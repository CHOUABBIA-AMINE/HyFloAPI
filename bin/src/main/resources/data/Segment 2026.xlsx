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ev Framework\Workspace\Backend\HyFloAPI\src\main\resources\data\"/>
    </mc:Choice>
  </mc:AlternateContent>
  <bookViews>
    <workbookView xWindow="-105" yWindow="-105" windowWidth="19425" windowHeight="10425" tabRatio="844" firstSheet="1" activeTab="11"/>
  </bookViews>
  <sheets>
    <sheet name="02-03-01" sheetId="1" r:id="rId1"/>
    <sheet name="Stations" sheetId="15" r:id="rId2"/>
    <sheet name="02-03-03-TTST" sheetId="21" r:id="rId3"/>
    <sheet name="02-03-03-ST" sheetId="18" r:id="rId4"/>
    <sheet name="02-03-PC" sheetId="8" r:id="rId5"/>
    <sheet name="02-03-PS" sheetId="5" r:id="rId6"/>
    <sheet name="02-03-PPR" sheetId="10" r:id="rId7"/>
    <sheet name="02-03-04" sheetId="17" r:id="rId8"/>
    <sheet name="Feuil2" sheetId="16" r:id="rId9"/>
    <sheet name="02-03-07" sheetId="20" r:id="rId10"/>
    <sheet name="02-03-08" sheetId="2" r:id="rId11"/>
    <sheet name="02-03-09" sheetId="3" r:id="rId12"/>
    <sheet name="02-03-PI" sheetId="7" r:id="rId13"/>
    <sheet name="02-03-PP" sheetId="9" r:id="rId14"/>
    <sheet name="02-03-PRVD" sheetId="11" r:id="rId15"/>
    <sheet name="02-03-10" sheetId="13" r:id="rId16"/>
    <sheet name="Feuil1" sheetId="6" r:id="rId17"/>
    <sheet name="Feuil3" sheetId="19" r:id="rId18"/>
    <sheet name="Feuil4" sheetId="22" r:id="rId19"/>
  </sheets>
  <definedNames>
    <definedName name="_xlnm._FilterDatabase" localSheetId="0" hidden="1">'02-03-01'!$A$2:$H$183</definedName>
    <definedName name="_xlnm._FilterDatabase" localSheetId="3" hidden="1">'02-03-03-ST'!$A$2:$L$101</definedName>
    <definedName name="_xlnm._FilterDatabase" localSheetId="2" hidden="1">'02-03-03-TTST'!$A$2:$S$1211</definedName>
    <definedName name="_xlnm._FilterDatabase" localSheetId="7" hidden="1">'02-03-04'!$A$2:$I$42</definedName>
    <definedName name="_xlnm._FilterDatabase" localSheetId="9" hidden="1">'02-03-07'!$A$2:$F$24</definedName>
    <definedName name="_xlnm._FilterDatabase" localSheetId="10" hidden="1">'02-03-08'!$A$1:$AC$59</definedName>
    <definedName name="_xlnm._FilterDatabase" localSheetId="11" hidden="1">'02-03-09'!$A$1:$AC$239</definedName>
    <definedName name="_xlnm._FilterDatabase" localSheetId="15" hidden="1">'02-03-10'!$A$2:$N$905</definedName>
    <definedName name="_xlnm._FilterDatabase" localSheetId="4" hidden="1">'02-03-PC'!$A$2:$R$138</definedName>
    <definedName name="_xlnm._FilterDatabase" localSheetId="12" hidden="1">'02-03-PI'!$A$1:$AZ$236</definedName>
    <definedName name="_xlnm._FilterDatabase" localSheetId="13" hidden="1">'02-03-PP'!$A$1:$AZ$235</definedName>
    <definedName name="_xlnm._FilterDatabase" localSheetId="6" hidden="1">'02-03-PPR'!$A$2:$R$166</definedName>
    <definedName name="_xlnm._FilterDatabase" localSheetId="14" hidden="1">'02-03-PRVD'!$A$1:$AZ$37</definedName>
    <definedName name="_xlnm._FilterDatabase" localSheetId="5" hidden="1">'02-03-PS'!$A$2:$R$829</definedName>
    <definedName name="_xlnm._FilterDatabase" localSheetId="17" hidden="1">Feuil3!$A$1:$D$37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0" i="3" l="1"/>
  <c r="M71" i="3"/>
  <c r="M72" i="3"/>
  <c r="M69" i="3"/>
  <c r="M66" i="3"/>
  <c r="M67" i="3"/>
  <c r="M68" i="3"/>
  <c r="M65" i="3"/>
  <c r="M62" i="3"/>
  <c r="M63" i="3"/>
  <c r="M64" i="3"/>
  <c r="M61" i="3"/>
  <c r="M52" i="3"/>
  <c r="M53" i="3"/>
  <c r="M54" i="3"/>
  <c r="M51" i="3"/>
  <c r="M50" i="3"/>
  <c r="M60" i="3"/>
  <c r="M58" i="3"/>
  <c r="M57" i="3"/>
  <c r="M56" i="3"/>
  <c r="M55" i="3"/>
  <c r="M22" i="3"/>
  <c r="M23" i="3"/>
  <c r="M24" i="3"/>
  <c r="M25" i="3"/>
  <c r="M26" i="3"/>
  <c r="M27" i="3"/>
  <c r="M28" i="3"/>
  <c r="M21" i="3"/>
  <c r="M214" i="3" l="1"/>
  <c r="M213" i="3"/>
  <c r="M212" i="3"/>
  <c r="M211" i="3"/>
  <c r="M210" i="3"/>
  <c r="M209" i="3"/>
  <c r="M208" i="3"/>
  <c r="M199" i="3"/>
  <c r="M198" i="3"/>
  <c r="M197" i="3"/>
  <c r="M196" i="3"/>
  <c r="M195" i="3"/>
  <c r="M194" i="3"/>
  <c r="M193" i="3"/>
  <c r="M191" i="3"/>
  <c r="M190" i="3"/>
  <c r="M189" i="3"/>
  <c r="M188" i="3"/>
  <c r="M187" i="3"/>
  <c r="M186" i="3"/>
  <c r="M185" i="3"/>
  <c r="M184" i="3"/>
  <c r="M183" i="3"/>
  <c r="M182" i="3"/>
  <c r="M181" i="3"/>
  <c r="M171" i="3"/>
  <c r="M172" i="3"/>
  <c r="M173" i="3"/>
  <c r="M174" i="3"/>
  <c r="M175" i="3"/>
  <c r="M176" i="3"/>
  <c r="M177" i="3"/>
  <c r="M178" i="3"/>
  <c r="M179" i="3"/>
  <c r="M180" i="3"/>
  <c r="M170" i="3"/>
  <c r="M201" i="3"/>
  <c r="M202" i="3"/>
  <c r="M203" i="3"/>
  <c r="M204" i="3"/>
  <c r="M205" i="3"/>
  <c r="M206" i="3"/>
  <c r="M207" i="3"/>
  <c r="M200" i="3"/>
  <c r="M40" i="3" l="1"/>
  <c r="M41" i="3"/>
  <c r="M42" i="3"/>
  <c r="M43" i="3"/>
  <c r="M44" i="3"/>
  <c r="M45" i="3"/>
  <c r="M46" i="3"/>
  <c r="M47" i="3"/>
  <c r="M48" i="3"/>
  <c r="M49" i="3"/>
  <c r="M39" i="3"/>
  <c r="M31" i="3"/>
  <c r="M32" i="3"/>
  <c r="M33" i="3"/>
  <c r="M34" i="3"/>
  <c r="M35" i="3"/>
  <c r="M36" i="3"/>
  <c r="M37" i="3"/>
  <c r="M38" i="3"/>
  <c r="M30" i="3"/>
  <c r="M18" i="3" l="1"/>
  <c r="M19" i="3"/>
  <c r="M20" i="3"/>
  <c r="M17" i="3"/>
  <c r="M11" i="3" l="1"/>
  <c r="M12" i="3"/>
  <c r="M13" i="3"/>
  <c r="M14" i="3"/>
  <c r="M15" i="3"/>
  <c r="M16" i="3"/>
  <c r="M10" i="3"/>
  <c r="M4" i="3" l="1"/>
  <c r="M5" i="3"/>
  <c r="M6" i="3"/>
  <c r="M7" i="3"/>
  <c r="M8" i="3"/>
  <c r="M9" i="3"/>
  <c r="M3" i="3"/>
  <c r="D228" i="3" l="1"/>
  <c r="D229" i="3"/>
  <c r="D230" i="3"/>
  <c r="D231" i="3"/>
  <c r="D232" i="3"/>
  <c r="D233" i="3"/>
  <c r="D234" i="3"/>
  <c r="D235" i="3"/>
  <c r="D236" i="3"/>
  <c r="D237" i="3"/>
  <c r="D238" i="3"/>
  <c r="D239" i="3"/>
  <c r="D220" i="3"/>
  <c r="D221" i="3"/>
  <c r="D222" i="3"/>
  <c r="D223" i="3"/>
  <c r="D224" i="3"/>
  <c r="D225" i="3"/>
  <c r="D226" i="3"/>
  <c r="D227" i="3"/>
  <c r="D215" i="3"/>
  <c r="D216" i="3"/>
  <c r="D217" i="3"/>
  <c r="D218" i="3"/>
  <c r="D219" i="3"/>
  <c r="C215" i="3"/>
  <c r="C216" i="3"/>
  <c r="C217" i="3"/>
  <c r="C218" i="3"/>
  <c r="C219" i="3"/>
  <c r="D208" i="3"/>
  <c r="D209" i="3"/>
  <c r="D210" i="3"/>
  <c r="D211" i="3"/>
  <c r="D212" i="3"/>
  <c r="D213" i="3"/>
  <c r="D214" i="3"/>
  <c r="C214" i="3"/>
  <c r="C208" i="3"/>
  <c r="C209" i="3"/>
  <c r="C210" i="3"/>
  <c r="C211" i="3"/>
  <c r="C212" i="3"/>
  <c r="C213" i="3"/>
  <c r="C200" i="3"/>
  <c r="C201" i="3"/>
  <c r="C202" i="3"/>
  <c r="C203" i="3"/>
  <c r="C204" i="3"/>
  <c r="C205" i="3"/>
  <c r="C206" i="3"/>
  <c r="C207" i="3"/>
  <c r="D207" i="3"/>
  <c r="D206" i="3"/>
  <c r="D205" i="3"/>
  <c r="D204" i="3"/>
  <c r="D203" i="3"/>
  <c r="D202" i="3"/>
  <c r="D201" i="3"/>
  <c r="D200" i="3"/>
  <c r="D193" i="3"/>
  <c r="D194" i="3"/>
  <c r="D195" i="3"/>
  <c r="D196" i="3"/>
  <c r="D197" i="3"/>
  <c r="D198" i="3"/>
  <c r="D199" i="3"/>
  <c r="C193" i="3"/>
  <c r="C194" i="3"/>
  <c r="C195" i="3"/>
  <c r="C196" i="3"/>
  <c r="C197" i="3"/>
  <c r="C198" i="3"/>
  <c r="C199" i="3"/>
  <c r="D181" i="3"/>
  <c r="D182" i="3"/>
  <c r="D183" i="3"/>
  <c r="D184" i="3"/>
  <c r="D185" i="3"/>
  <c r="D186" i="3"/>
  <c r="D187" i="3"/>
  <c r="D188" i="3"/>
  <c r="D189" i="3"/>
  <c r="D190" i="3"/>
  <c r="D191" i="3"/>
  <c r="C181" i="3"/>
  <c r="C182" i="3"/>
  <c r="C183" i="3"/>
  <c r="C184" i="3"/>
  <c r="C185" i="3"/>
  <c r="C186" i="3"/>
  <c r="C187" i="3"/>
  <c r="C188" i="3"/>
  <c r="C189" i="3"/>
  <c r="C190" i="3"/>
  <c r="C191" i="3"/>
  <c r="D171" i="3" l="1"/>
  <c r="D172" i="3"/>
  <c r="D173" i="3"/>
  <c r="D174" i="3"/>
  <c r="D175" i="3"/>
  <c r="D176" i="3"/>
  <c r="D177" i="3"/>
  <c r="D178" i="3"/>
  <c r="D179" i="3"/>
  <c r="D180" i="3"/>
  <c r="C171" i="3"/>
  <c r="C172" i="3"/>
  <c r="C173" i="3"/>
  <c r="C174" i="3"/>
  <c r="C175" i="3"/>
  <c r="C176" i="3"/>
  <c r="C177" i="3"/>
  <c r="C178" i="3"/>
  <c r="C179" i="3"/>
  <c r="C180" i="3"/>
  <c r="C170" i="3"/>
  <c r="D170" i="3"/>
  <c r="C167" i="3" l="1"/>
  <c r="C168" i="3"/>
  <c r="D167" i="3"/>
  <c r="D168" i="3"/>
  <c r="D161" i="3"/>
  <c r="D162" i="3"/>
  <c r="D163" i="3"/>
  <c r="D164" i="3"/>
  <c r="D165" i="3"/>
  <c r="D166" i="3"/>
  <c r="C161" i="3"/>
  <c r="C162" i="3"/>
  <c r="C163" i="3"/>
  <c r="C164" i="3"/>
  <c r="C165" i="3"/>
  <c r="C166" i="3"/>
  <c r="D160" i="3"/>
  <c r="C160" i="3" l="1"/>
  <c r="C159" i="3"/>
  <c r="D159" i="3"/>
  <c r="D158" i="3"/>
  <c r="D157" i="3"/>
  <c r="D156" i="3"/>
  <c r="D155" i="3"/>
  <c r="D154" i="3"/>
  <c r="D153" i="3"/>
  <c r="D152" i="3"/>
  <c r="D151" i="3"/>
  <c r="C151" i="3"/>
  <c r="C152" i="3"/>
  <c r="C153" i="3"/>
  <c r="C154" i="3"/>
  <c r="C155" i="3"/>
  <c r="C156" i="3"/>
  <c r="C157" i="3"/>
  <c r="C158" i="3"/>
  <c r="P76" i="8"/>
  <c r="O76" i="8"/>
  <c r="E76" i="8"/>
  <c r="D76" i="8"/>
  <c r="P75" i="8"/>
  <c r="O75" i="8"/>
  <c r="E75" i="8"/>
  <c r="D75" i="8"/>
  <c r="P74" i="8"/>
  <c r="O74" i="8"/>
  <c r="E74" i="8"/>
  <c r="D74" i="8"/>
  <c r="P73" i="8"/>
  <c r="O73" i="8"/>
  <c r="E73" i="8"/>
  <c r="D73" i="8"/>
  <c r="P72" i="8"/>
  <c r="O72" i="8"/>
  <c r="E72" i="8"/>
  <c r="D72" i="8"/>
  <c r="C139" i="3"/>
  <c r="C140" i="3"/>
  <c r="C141" i="3"/>
  <c r="C142" i="3"/>
  <c r="C143" i="3"/>
  <c r="C144" i="3"/>
  <c r="C145" i="3"/>
  <c r="C146" i="3"/>
  <c r="C147" i="3"/>
  <c r="C148" i="3"/>
  <c r="C149" i="3"/>
  <c r="C150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31" i="3"/>
  <c r="D132" i="3"/>
  <c r="D133" i="3"/>
  <c r="D134" i="3"/>
  <c r="D135" i="3"/>
  <c r="D136" i="3"/>
  <c r="D137" i="3"/>
  <c r="D138" i="3"/>
  <c r="C138" i="3"/>
  <c r="C131" i="3"/>
  <c r="C132" i="3"/>
  <c r="C133" i="3"/>
  <c r="C134" i="3"/>
  <c r="C135" i="3"/>
  <c r="C136" i="3"/>
  <c r="C137" i="3"/>
  <c r="D130" i="3"/>
  <c r="D129" i="3"/>
  <c r="C129" i="3"/>
  <c r="C130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06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60" i="3"/>
  <c r="D121" i="3"/>
  <c r="D122" i="3"/>
  <c r="D124" i="3"/>
  <c r="D125" i="3"/>
  <c r="D126" i="3"/>
  <c r="D127" i="3"/>
  <c r="D128" i="3"/>
  <c r="D123" i="3"/>
  <c r="D115" i="3"/>
  <c r="D116" i="3"/>
  <c r="D117" i="3"/>
  <c r="D118" i="3"/>
  <c r="D119" i="3"/>
  <c r="D120" i="3"/>
  <c r="D107" i="3"/>
  <c r="D108" i="3"/>
  <c r="D109" i="3"/>
  <c r="D110" i="3"/>
  <c r="D111" i="3"/>
  <c r="D112" i="3"/>
  <c r="D113" i="3"/>
  <c r="D114" i="3"/>
  <c r="D106" i="3"/>
  <c r="R73" i="8" l="1"/>
  <c r="R75" i="8"/>
  <c r="R72" i="8"/>
  <c r="R74" i="8"/>
  <c r="R76" i="8"/>
  <c r="D100" i="3"/>
  <c r="D101" i="3"/>
  <c r="D102" i="3"/>
  <c r="D103" i="3"/>
  <c r="D104" i="3"/>
  <c r="D91" i="3"/>
  <c r="D92" i="3"/>
  <c r="D96" i="3" l="1"/>
  <c r="D97" i="3"/>
  <c r="D98" i="3"/>
  <c r="D99" i="3"/>
  <c r="D94" i="3"/>
  <c r="D95" i="3"/>
  <c r="D93" i="3"/>
  <c r="R421" i="21"/>
  <c r="Q421" i="21"/>
  <c r="D83" i="3"/>
  <c r="D84" i="3"/>
  <c r="D85" i="3"/>
  <c r="D86" i="3"/>
  <c r="D87" i="3"/>
  <c r="D88" i="3"/>
  <c r="D89" i="3"/>
  <c r="D90" i="3"/>
  <c r="Q351" i="21"/>
  <c r="R351" i="21"/>
  <c r="D77" i="3"/>
  <c r="D78" i="3"/>
  <c r="D79" i="3"/>
  <c r="D80" i="3"/>
  <c r="D81" i="3"/>
  <c r="D82" i="3"/>
  <c r="D73" i="3"/>
  <c r="D74" i="3"/>
  <c r="D75" i="3"/>
  <c r="D76" i="3"/>
  <c r="D69" i="3"/>
  <c r="D70" i="3"/>
  <c r="D71" i="3"/>
  <c r="D72" i="3"/>
  <c r="D65" i="3" l="1"/>
  <c r="D66" i="3"/>
  <c r="D67" i="3"/>
  <c r="D68" i="3"/>
  <c r="AG64" i="3"/>
  <c r="AG63" i="3"/>
  <c r="AG62" i="3"/>
  <c r="D61" i="3"/>
  <c r="D62" i="3"/>
  <c r="D63" i="3"/>
  <c r="D64" i="3"/>
  <c r="C50" i="3" l="1"/>
  <c r="C51" i="3"/>
  <c r="C52" i="3"/>
  <c r="C53" i="3"/>
  <c r="C54" i="3"/>
  <c r="C55" i="3"/>
  <c r="C56" i="3"/>
  <c r="C57" i="3"/>
  <c r="C58" i="3"/>
  <c r="D51" i="3"/>
  <c r="D52" i="3"/>
  <c r="D53" i="3"/>
  <c r="D54" i="3"/>
  <c r="D50" i="3"/>
  <c r="D60" i="3"/>
  <c r="AG58" i="3"/>
  <c r="D56" i="3"/>
  <c r="D57" i="3"/>
  <c r="D58" i="3"/>
  <c r="D55" i="3"/>
  <c r="AG56" i="3"/>
  <c r="C47" i="3"/>
  <c r="C48" i="3"/>
  <c r="C49" i="3"/>
  <c r="C39" i="3"/>
  <c r="C40" i="3"/>
  <c r="C41" i="3"/>
  <c r="C42" i="3"/>
  <c r="C43" i="3"/>
  <c r="C44" i="3"/>
  <c r="C45" i="3"/>
  <c r="C46" i="3"/>
  <c r="D47" i="3"/>
  <c r="D48" i="3"/>
  <c r="D49" i="3"/>
  <c r="E194" i="21" l="1"/>
  <c r="D39" i="3"/>
  <c r="D40" i="3"/>
  <c r="D41" i="3"/>
  <c r="D42" i="3"/>
  <c r="D43" i="3"/>
  <c r="D44" i="3"/>
  <c r="D45" i="3"/>
  <c r="D46" i="3"/>
  <c r="D30" i="3"/>
  <c r="D31" i="3"/>
  <c r="D32" i="3"/>
  <c r="D33" i="3"/>
  <c r="D34" i="3"/>
  <c r="D35" i="3"/>
  <c r="D36" i="3"/>
  <c r="D37" i="3"/>
  <c r="D38" i="3"/>
  <c r="D29" i="3"/>
  <c r="C29" i="3"/>
  <c r="C30" i="3"/>
  <c r="C31" i="3"/>
  <c r="C32" i="3"/>
  <c r="C33" i="3"/>
  <c r="C34" i="3"/>
  <c r="C35" i="3"/>
  <c r="C36" i="3"/>
  <c r="C37" i="3"/>
  <c r="C38" i="3"/>
  <c r="Q898" i="21" l="1"/>
  <c r="R898" i="21"/>
  <c r="R709" i="21"/>
  <c r="Q709" i="21"/>
  <c r="Q38" i="21"/>
  <c r="R38" i="21"/>
  <c r="Q43" i="21"/>
  <c r="R43" i="21"/>
  <c r="Q48" i="21"/>
  <c r="R48" i="21"/>
  <c r="Q53" i="21"/>
  <c r="R53" i="21"/>
  <c r="Q58" i="21"/>
  <c r="R58" i="21"/>
  <c r="Q63" i="21"/>
  <c r="R63" i="21"/>
  <c r="Q70" i="21"/>
  <c r="R70" i="21"/>
  <c r="Q5" i="21"/>
  <c r="R5" i="21"/>
  <c r="Q9" i="21"/>
  <c r="R9" i="21"/>
  <c r="Q13" i="21"/>
  <c r="R13" i="21"/>
  <c r="Q17" i="21"/>
  <c r="R17" i="21"/>
  <c r="Q20" i="21"/>
  <c r="R20" i="21"/>
  <c r="Q26" i="21"/>
  <c r="R26" i="21"/>
  <c r="Q32" i="21"/>
  <c r="R32" i="21"/>
  <c r="Q77" i="21"/>
  <c r="R77" i="21"/>
  <c r="Q76" i="21"/>
  <c r="R76" i="21"/>
  <c r="Q84" i="21"/>
  <c r="R84" i="21"/>
  <c r="Q90" i="21"/>
  <c r="R90" i="21"/>
  <c r="Q96" i="21"/>
  <c r="R96" i="21"/>
  <c r="Q105" i="21"/>
  <c r="R105" i="21"/>
  <c r="Q155" i="21"/>
  <c r="R155" i="21"/>
  <c r="Q115" i="21"/>
  <c r="R115" i="21"/>
  <c r="Q120" i="21"/>
  <c r="R120" i="21"/>
  <c r="Q122" i="21"/>
  <c r="R122" i="21"/>
  <c r="Q106" i="21"/>
  <c r="R106" i="21"/>
  <c r="Q110" i="21"/>
  <c r="R110" i="21"/>
  <c r="Q114" i="21"/>
  <c r="R114" i="21"/>
  <c r="Q119" i="21"/>
  <c r="R119" i="21"/>
  <c r="Q109" i="21"/>
  <c r="R109" i="21"/>
  <c r="Q113" i="21"/>
  <c r="R113" i="21"/>
  <c r="Q117" i="21"/>
  <c r="R117" i="21"/>
  <c r="Q121" i="21"/>
  <c r="R121" i="21"/>
  <c r="Q123" i="21"/>
  <c r="R123" i="21"/>
  <c r="Q169" i="21"/>
  <c r="R169" i="21"/>
  <c r="Q174" i="21"/>
  <c r="R174" i="21"/>
  <c r="Q180" i="21"/>
  <c r="R180" i="21"/>
  <c r="Q185" i="21"/>
  <c r="R185" i="21"/>
  <c r="Q190" i="21"/>
  <c r="R190" i="21"/>
  <c r="Q195" i="21"/>
  <c r="R195" i="21"/>
  <c r="Q201" i="21"/>
  <c r="R201" i="21"/>
  <c r="Q214" i="21"/>
  <c r="R214" i="21"/>
  <c r="Q229" i="21"/>
  <c r="R229" i="21"/>
  <c r="Q234" i="21"/>
  <c r="R234" i="21"/>
  <c r="Q241" i="21"/>
  <c r="R241" i="21"/>
  <c r="Q249" i="21"/>
  <c r="R249" i="21"/>
  <c r="Q256" i="21"/>
  <c r="R256" i="21"/>
  <c r="Q264" i="21"/>
  <c r="R264" i="21"/>
  <c r="Q283" i="21"/>
  <c r="R283" i="21"/>
  <c r="Q318" i="21"/>
  <c r="R318" i="21"/>
  <c r="Q321" i="21"/>
  <c r="R321" i="21"/>
  <c r="Q319" i="21"/>
  <c r="R319" i="21"/>
  <c r="Q320" i="21"/>
  <c r="R320" i="21"/>
  <c r="Q322" i="21"/>
  <c r="R322" i="21"/>
  <c r="Q327" i="21"/>
  <c r="R327" i="21"/>
  <c r="Q334" i="21"/>
  <c r="R334" i="21"/>
  <c r="Q344" i="21"/>
  <c r="R344" i="21"/>
  <c r="Q438" i="21"/>
  <c r="R438" i="21"/>
  <c r="Q439" i="21"/>
  <c r="R439" i="21"/>
  <c r="Q445" i="21"/>
  <c r="R445" i="21"/>
  <c r="Q409" i="21"/>
  <c r="R409" i="21"/>
  <c r="Q410" i="21"/>
  <c r="Q458" i="21"/>
  <c r="R458" i="21"/>
  <c r="Q467" i="21"/>
  <c r="R467" i="21"/>
  <c r="Q474" i="21"/>
  <c r="R474" i="21"/>
  <c r="Q482" i="21"/>
  <c r="R482" i="21"/>
  <c r="Q492" i="21"/>
  <c r="R492" i="21"/>
  <c r="Q494" i="21"/>
  <c r="R494" i="21"/>
  <c r="Q496" i="21"/>
  <c r="R496" i="21"/>
  <c r="Q501" i="21"/>
  <c r="R501" i="21"/>
  <c r="Q511" i="21"/>
  <c r="R511" i="21"/>
  <c r="Q522" i="21"/>
  <c r="R522" i="21"/>
  <c r="Q527" i="21"/>
  <c r="R527" i="21"/>
  <c r="Q533" i="21"/>
  <c r="R533" i="21"/>
  <c r="Q536" i="21"/>
  <c r="R536" i="21"/>
  <c r="Q545" i="21"/>
  <c r="R545" i="21"/>
  <c r="Q557" i="21"/>
  <c r="R557" i="21"/>
  <c r="Q563" i="21"/>
  <c r="R563" i="21"/>
  <c r="Q570" i="21"/>
  <c r="R570" i="21"/>
  <c r="Q574" i="21"/>
  <c r="R574" i="21"/>
  <c r="Q575" i="21"/>
  <c r="R575" i="21"/>
  <c r="Q726" i="21"/>
  <c r="R726" i="21"/>
  <c r="Q729" i="21"/>
  <c r="R729" i="21"/>
  <c r="Q733" i="21"/>
  <c r="R733" i="21"/>
  <c r="Q739" i="21"/>
  <c r="R739" i="21"/>
  <c r="Q744" i="21"/>
  <c r="R744" i="21"/>
  <c r="Q939" i="21"/>
  <c r="R939" i="21"/>
  <c r="Q1050" i="21"/>
  <c r="R1050" i="21"/>
  <c r="Q1035" i="21"/>
  <c r="R1035" i="21"/>
  <c r="Q1062" i="21"/>
  <c r="R1062" i="21"/>
  <c r="Q1071" i="21"/>
  <c r="R1071" i="21"/>
  <c r="Q1082" i="21"/>
  <c r="R1082" i="21"/>
  <c r="Q1093" i="21"/>
  <c r="R1093" i="21"/>
  <c r="Q1125" i="21"/>
  <c r="R1125" i="21"/>
  <c r="Q1196" i="21"/>
  <c r="R1196" i="21"/>
  <c r="Q1202" i="21"/>
  <c r="R1202" i="21"/>
  <c r="F9" i="21"/>
  <c r="F13" i="21"/>
  <c r="F17" i="21"/>
  <c r="F20" i="21"/>
  <c r="F26" i="21"/>
  <c r="F5" i="21"/>
  <c r="F43" i="21"/>
  <c r="F48" i="21"/>
  <c r="F53" i="21"/>
  <c r="F58" i="21"/>
  <c r="F63" i="21"/>
  <c r="F38" i="21"/>
  <c r="R634" i="21"/>
  <c r="Q634" i="21"/>
  <c r="F634" i="21"/>
  <c r="E634" i="21"/>
  <c r="R674" i="21"/>
  <c r="Q674" i="21"/>
  <c r="F674" i="21"/>
  <c r="E674" i="21"/>
  <c r="R662" i="21"/>
  <c r="Q662" i="21"/>
  <c r="F662" i="21"/>
  <c r="E662" i="21"/>
  <c r="R651" i="21"/>
  <c r="Q651" i="21"/>
  <c r="F651" i="21"/>
  <c r="E651" i="21"/>
  <c r="R646" i="21"/>
  <c r="Q646" i="21"/>
  <c r="F646" i="21"/>
  <c r="E646" i="21"/>
  <c r="R641" i="21"/>
  <c r="Q641" i="21"/>
  <c r="F641" i="21"/>
  <c r="E641" i="21"/>
  <c r="R636" i="21"/>
  <c r="Q636" i="21"/>
  <c r="F636" i="21"/>
  <c r="E636" i="21"/>
  <c r="R629" i="21"/>
  <c r="Q629" i="21"/>
  <c r="F629" i="21"/>
  <c r="E629" i="21"/>
  <c r="R623" i="21"/>
  <c r="Q623" i="21"/>
  <c r="F623" i="21"/>
  <c r="E623" i="21"/>
  <c r="R622" i="21"/>
  <c r="Q622" i="21"/>
  <c r="F622" i="21"/>
  <c r="E622" i="21"/>
  <c r="R618" i="21"/>
  <c r="Q618" i="21"/>
  <c r="F618" i="21"/>
  <c r="E618" i="21"/>
  <c r="R615" i="21"/>
  <c r="Q615" i="21"/>
  <c r="F615" i="21"/>
  <c r="E615" i="21"/>
  <c r="R613" i="21"/>
  <c r="Q613" i="21"/>
  <c r="F613" i="21"/>
  <c r="E613" i="21"/>
  <c r="R611" i="21"/>
  <c r="Q611" i="21"/>
  <c r="F611" i="21"/>
  <c r="E611" i="21"/>
  <c r="R610" i="21"/>
  <c r="Q610" i="21"/>
  <c r="F610" i="21"/>
  <c r="E610" i="21"/>
  <c r="R608" i="21"/>
  <c r="Q608" i="21"/>
  <c r="F608" i="21"/>
  <c r="E608" i="21"/>
  <c r="R631" i="21"/>
  <c r="Q631" i="21"/>
  <c r="F631" i="21"/>
  <c r="E631" i="21"/>
  <c r="R571" i="21"/>
  <c r="Q571" i="21"/>
  <c r="F571" i="21"/>
  <c r="E571" i="21"/>
  <c r="R569" i="21"/>
  <c r="Q569" i="21"/>
  <c r="F569" i="21"/>
  <c r="E569" i="21"/>
  <c r="R567" i="21"/>
  <c r="Q567" i="21"/>
  <c r="F567" i="21"/>
  <c r="E567" i="21"/>
  <c r="R565" i="21"/>
  <c r="Q565" i="21"/>
  <c r="F565" i="21"/>
  <c r="E565" i="21"/>
  <c r="R564" i="21"/>
  <c r="Q564" i="21"/>
  <c r="F564" i="21"/>
  <c r="E564" i="21"/>
  <c r="R562" i="21"/>
  <c r="Q562" i="21"/>
  <c r="F562" i="21"/>
  <c r="E562" i="21"/>
  <c r="R561" i="21"/>
  <c r="Q561" i="21"/>
  <c r="F561" i="21"/>
  <c r="E561" i="21"/>
  <c r="R559" i="21"/>
  <c r="Q559" i="21"/>
  <c r="F559" i="21"/>
  <c r="E559" i="21"/>
  <c r="R554" i="21"/>
  <c r="Q554" i="21"/>
  <c r="F554" i="21"/>
  <c r="E554" i="21"/>
  <c r="R552" i="21"/>
  <c r="Q552" i="21"/>
  <c r="F552" i="21"/>
  <c r="E552" i="21"/>
  <c r="R550" i="21"/>
  <c r="Q550" i="21"/>
  <c r="F550" i="21"/>
  <c r="E550" i="21"/>
  <c r="R548" i="21"/>
  <c r="Q548" i="21"/>
  <c r="F548" i="21"/>
  <c r="E548" i="21"/>
  <c r="R546" i="21"/>
  <c r="Q546" i="21"/>
  <c r="F546" i="21"/>
  <c r="E546" i="21"/>
  <c r="R544" i="21"/>
  <c r="Q544" i="21"/>
  <c r="F544" i="21"/>
  <c r="E544" i="21"/>
  <c r="R542" i="21"/>
  <c r="Q542" i="21"/>
  <c r="F542" i="21"/>
  <c r="E542" i="21"/>
  <c r="R541" i="21"/>
  <c r="Q541" i="21"/>
  <c r="F541" i="21"/>
  <c r="E541" i="21"/>
  <c r="R539" i="21"/>
  <c r="Q539" i="21"/>
  <c r="F539" i="21"/>
  <c r="E539" i="21"/>
  <c r="R538" i="21"/>
  <c r="Q538" i="21"/>
  <c r="F538" i="21"/>
  <c r="E538" i="21"/>
  <c r="R535" i="21"/>
  <c r="Q535" i="21"/>
  <c r="F535" i="21"/>
  <c r="E535" i="21"/>
  <c r="R534" i="21"/>
  <c r="Q534" i="21"/>
  <c r="F534" i="21"/>
  <c r="E534" i="21"/>
  <c r="R532" i="21"/>
  <c r="Q532" i="21"/>
  <c r="F532" i="21"/>
  <c r="E532" i="21"/>
  <c r="R531" i="21"/>
  <c r="Q531" i="21"/>
  <c r="F531" i="21"/>
  <c r="E531" i="21"/>
  <c r="R530" i="21"/>
  <c r="Q530" i="21"/>
  <c r="F530" i="21"/>
  <c r="E530" i="21"/>
  <c r="R528" i="21"/>
  <c r="Q528" i="21"/>
  <c r="F528" i="21"/>
  <c r="E528" i="21"/>
  <c r="R526" i="21"/>
  <c r="Q526" i="21"/>
  <c r="F526" i="21"/>
  <c r="E526" i="21"/>
  <c r="R525" i="21"/>
  <c r="Q525" i="21"/>
  <c r="F525" i="21"/>
  <c r="E525" i="21"/>
  <c r="R523" i="21"/>
  <c r="Q523" i="21"/>
  <c r="F523" i="21"/>
  <c r="E523" i="21"/>
  <c r="R520" i="21"/>
  <c r="Q520" i="21"/>
  <c r="F520" i="21"/>
  <c r="E520" i="21"/>
  <c r="R518" i="21"/>
  <c r="Q518" i="21"/>
  <c r="F518" i="21"/>
  <c r="E518" i="21"/>
  <c r="R514" i="21"/>
  <c r="Q514" i="21"/>
  <c r="F514" i="21"/>
  <c r="E514" i="21"/>
  <c r="R513" i="21"/>
  <c r="Q513" i="21"/>
  <c r="F513" i="21"/>
  <c r="E513" i="21"/>
  <c r="R509" i="21"/>
  <c r="Q509" i="21"/>
  <c r="F509" i="21"/>
  <c r="E509" i="21"/>
  <c r="R507" i="21"/>
  <c r="Q507" i="21"/>
  <c r="F507" i="21"/>
  <c r="E507" i="21"/>
  <c r="R506" i="21"/>
  <c r="Q506" i="21"/>
  <c r="F506" i="21"/>
  <c r="E506" i="21"/>
  <c r="R504" i="21"/>
  <c r="Q504" i="21"/>
  <c r="F504" i="21"/>
  <c r="E504" i="21"/>
  <c r="R503" i="21"/>
  <c r="Q503" i="21"/>
  <c r="F503" i="21"/>
  <c r="E503" i="21"/>
  <c r="R499" i="21"/>
  <c r="Q499" i="21"/>
  <c r="F499" i="21"/>
  <c r="E499" i="21"/>
  <c r="R497" i="21"/>
  <c r="Q497" i="21"/>
  <c r="F497" i="21"/>
  <c r="E497" i="21"/>
  <c r="R587" i="21"/>
  <c r="Q587" i="21"/>
  <c r="F587" i="21"/>
  <c r="E587" i="21"/>
  <c r="R583" i="21"/>
  <c r="Q583" i="21"/>
  <c r="F583" i="21"/>
  <c r="E583" i="21"/>
  <c r="R579" i="21"/>
  <c r="Q579" i="21"/>
  <c r="F579" i="21"/>
  <c r="E579" i="21"/>
  <c r="R489" i="21"/>
  <c r="Q489" i="21"/>
  <c r="F489" i="21"/>
  <c r="E489" i="21"/>
  <c r="R486" i="21"/>
  <c r="Q486" i="21"/>
  <c r="F486" i="21"/>
  <c r="E486" i="21"/>
  <c r="R483" i="21"/>
  <c r="Q483" i="21"/>
  <c r="F483" i="21"/>
  <c r="E483" i="21"/>
  <c r="R480" i="21"/>
  <c r="Q480" i="21"/>
  <c r="F480" i="21"/>
  <c r="E480" i="21"/>
  <c r="R478" i="21"/>
  <c r="Q478" i="21"/>
  <c r="F478" i="21"/>
  <c r="E478" i="21"/>
  <c r="R477" i="21"/>
  <c r="Q477" i="21"/>
  <c r="F477" i="21"/>
  <c r="E477" i="21"/>
  <c r="R475" i="21"/>
  <c r="Q475" i="21"/>
  <c r="F475" i="21"/>
  <c r="E475" i="21"/>
  <c r="R472" i="21"/>
  <c r="Q472" i="21"/>
  <c r="F472" i="21"/>
  <c r="E472" i="21"/>
  <c r="R470" i="21"/>
  <c r="Q470" i="21"/>
  <c r="F470" i="21"/>
  <c r="E470" i="21"/>
  <c r="R468" i="21"/>
  <c r="Q468" i="21"/>
  <c r="F468" i="21"/>
  <c r="E468" i="21"/>
  <c r="R465" i="21"/>
  <c r="Q465" i="21"/>
  <c r="F465" i="21"/>
  <c r="E465" i="21"/>
  <c r="R464" i="21"/>
  <c r="Q464" i="21"/>
  <c r="F464" i="21"/>
  <c r="E464" i="21"/>
  <c r="R463" i="21"/>
  <c r="Q463" i="21"/>
  <c r="F463" i="21"/>
  <c r="E463" i="21"/>
  <c r="R461" i="21"/>
  <c r="Q461" i="21"/>
  <c r="F461" i="21"/>
  <c r="E461" i="21"/>
  <c r="R460" i="21"/>
  <c r="Q460" i="21"/>
  <c r="F460" i="21"/>
  <c r="E460" i="21"/>
  <c r="R459" i="21"/>
  <c r="Q459" i="21"/>
  <c r="F459" i="21"/>
  <c r="E459" i="21"/>
  <c r="R456" i="21"/>
  <c r="Q456" i="21"/>
  <c r="F456" i="21"/>
  <c r="E456" i="21"/>
  <c r="R454" i="21"/>
  <c r="Q454" i="21"/>
  <c r="F454" i="21"/>
  <c r="E454" i="21"/>
  <c r="R1172" i="21"/>
  <c r="F1172" i="21"/>
  <c r="E1172" i="21"/>
  <c r="R1167" i="21"/>
  <c r="F1167" i="21"/>
  <c r="E1167" i="21"/>
  <c r="R1157" i="21"/>
  <c r="F1157" i="21"/>
  <c r="E1157" i="21"/>
  <c r="R1155" i="21"/>
  <c r="F1155" i="21"/>
  <c r="E1155" i="21"/>
  <c r="R1145" i="21"/>
  <c r="F1145" i="21"/>
  <c r="E1145" i="21"/>
  <c r="R1138" i="21"/>
  <c r="F1138" i="21"/>
  <c r="E1138" i="21"/>
  <c r="R1132" i="21"/>
  <c r="F1132" i="21"/>
  <c r="E1132" i="21"/>
  <c r="R1123" i="21"/>
  <c r="F1123" i="21"/>
  <c r="E1123" i="21"/>
  <c r="R1116" i="21"/>
  <c r="F1116" i="21"/>
  <c r="E1116" i="21"/>
  <c r="R1111" i="21"/>
  <c r="F1111" i="21"/>
  <c r="E1111" i="21"/>
  <c r="R1037" i="21"/>
  <c r="Q1037" i="21"/>
  <c r="F1037" i="21"/>
  <c r="E1037" i="21"/>
  <c r="R1032" i="21"/>
  <c r="Q1032" i="21"/>
  <c r="F1032" i="21"/>
  <c r="E1032" i="21"/>
  <c r="R1028" i="21"/>
  <c r="Q1028" i="21"/>
  <c r="F1028" i="21"/>
  <c r="E1028" i="21"/>
  <c r="R1024" i="21"/>
  <c r="Q1024" i="21"/>
  <c r="F1024" i="21"/>
  <c r="E1024" i="21"/>
  <c r="R1020" i="21"/>
  <c r="Q1020" i="21"/>
  <c r="F1020" i="21"/>
  <c r="E1020" i="21"/>
  <c r="R1016" i="21"/>
  <c r="Q1016" i="21"/>
  <c r="F1016" i="21"/>
  <c r="E1016" i="21"/>
  <c r="R1013" i="21"/>
  <c r="Q1013" i="21"/>
  <c r="F1013" i="21"/>
  <c r="E1013" i="21"/>
  <c r="R1011" i="21"/>
  <c r="Q1011" i="21"/>
  <c r="F1011" i="21"/>
  <c r="E1011" i="21"/>
  <c r="R1007" i="21"/>
  <c r="Q1007" i="21"/>
  <c r="F1007" i="21"/>
  <c r="E1007" i="21"/>
  <c r="R1002" i="21"/>
  <c r="Q1002" i="21"/>
  <c r="F1002" i="21"/>
  <c r="E1002" i="21"/>
  <c r="R992" i="21"/>
  <c r="Q992" i="21"/>
  <c r="F992" i="21"/>
  <c r="E992" i="21"/>
  <c r="R990" i="21"/>
  <c r="Q990" i="21"/>
  <c r="F990" i="21"/>
  <c r="E990" i="21"/>
  <c r="R987" i="21"/>
  <c r="Q987" i="21"/>
  <c r="F987" i="21"/>
  <c r="E987" i="21"/>
  <c r="R985" i="21"/>
  <c r="Q985" i="21"/>
  <c r="F985" i="21"/>
  <c r="E985" i="21"/>
  <c r="R981" i="21"/>
  <c r="Q981" i="21"/>
  <c r="F981" i="21"/>
  <c r="E981" i="21"/>
  <c r="R974" i="21"/>
  <c r="Q974" i="21"/>
  <c r="F974" i="21"/>
  <c r="E974" i="21"/>
  <c r="R934" i="21"/>
  <c r="Q934" i="21"/>
  <c r="F934" i="21"/>
  <c r="E934" i="21"/>
  <c r="R929" i="21"/>
  <c r="Q929" i="21"/>
  <c r="F929" i="21"/>
  <c r="E929" i="21"/>
  <c r="R924" i="21"/>
  <c r="Q924" i="21"/>
  <c r="F924" i="21"/>
  <c r="E924" i="21"/>
  <c r="R922" i="21"/>
  <c r="Q922" i="21"/>
  <c r="F922" i="21"/>
  <c r="E922" i="21"/>
  <c r="R916" i="21"/>
  <c r="Q916" i="21"/>
  <c r="F916" i="21"/>
  <c r="E916" i="21"/>
  <c r="R908" i="21"/>
  <c r="Q908" i="21"/>
  <c r="F908" i="21"/>
  <c r="E908" i="21"/>
  <c r="R905" i="21"/>
  <c r="Q905" i="21"/>
  <c r="F905" i="21"/>
  <c r="E905" i="21"/>
  <c r="R903" i="21"/>
  <c r="Q903" i="21"/>
  <c r="F903" i="21"/>
  <c r="E903" i="21"/>
  <c r="R899" i="21"/>
  <c r="Q899" i="21"/>
  <c r="F899" i="21"/>
  <c r="E899" i="21"/>
  <c r="R896" i="21"/>
  <c r="Q896" i="21"/>
  <c r="F896" i="21"/>
  <c r="E896" i="21"/>
  <c r="R891" i="21"/>
  <c r="Q891" i="21"/>
  <c r="F891" i="21"/>
  <c r="E891" i="21"/>
  <c r="R889" i="21"/>
  <c r="Q889" i="21"/>
  <c r="F889" i="21"/>
  <c r="E889" i="21"/>
  <c r="R883" i="21"/>
  <c r="Q883" i="21"/>
  <c r="F883" i="21"/>
  <c r="E883" i="21"/>
  <c r="R875" i="21"/>
  <c r="Q875" i="21"/>
  <c r="F875" i="21"/>
  <c r="E875" i="21"/>
  <c r="R879" i="21"/>
  <c r="Q879" i="21"/>
  <c r="F879" i="21"/>
  <c r="E879" i="21"/>
  <c r="R874" i="21"/>
  <c r="Q874" i="21"/>
  <c r="F874" i="21"/>
  <c r="E874" i="21"/>
  <c r="R872" i="21"/>
  <c r="Q872" i="21"/>
  <c r="F872" i="21"/>
  <c r="E872" i="21"/>
  <c r="R867" i="21"/>
  <c r="Q867" i="21"/>
  <c r="F867" i="21"/>
  <c r="E867" i="21"/>
  <c r="R865" i="21"/>
  <c r="Q865" i="21"/>
  <c r="F865" i="21"/>
  <c r="E865" i="21"/>
  <c r="R692" i="21"/>
  <c r="Q692" i="21"/>
  <c r="F692" i="21"/>
  <c r="E692" i="21"/>
  <c r="R688" i="21"/>
  <c r="Q688" i="21"/>
  <c r="F688" i="21"/>
  <c r="E688" i="21"/>
  <c r="R685" i="21"/>
  <c r="Q685" i="21"/>
  <c r="F685" i="21"/>
  <c r="E685" i="21"/>
  <c r="R722" i="21"/>
  <c r="Q722" i="21"/>
  <c r="F722" i="21"/>
  <c r="E722" i="21"/>
  <c r="R969" i="21"/>
  <c r="Q969" i="21"/>
  <c r="F969" i="21"/>
  <c r="E969" i="21"/>
  <c r="R966" i="21"/>
  <c r="Q966" i="21"/>
  <c r="F966" i="21"/>
  <c r="E966" i="21"/>
  <c r="R964" i="21"/>
  <c r="Q964" i="21"/>
  <c r="F964" i="21"/>
  <c r="E964" i="21"/>
  <c r="R959" i="21"/>
  <c r="Q959" i="21"/>
  <c r="F959" i="21"/>
  <c r="E959" i="21"/>
  <c r="R954" i="21"/>
  <c r="Q954" i="21"/>
  <c r="F954" i="21"/>
  <c r="E954" i="21"/>
  <c r="R947" i="21"/>
  <c r="Q947" i="21"/>
  <c r="F947" i="21"/>
  <c r="E947" i="21"/>
  <c r="R943" i="21"/>
  <c r="Q943" i="21"/>
  <c r="F943" i="21"/>
  <c r="E943" i="21"/>
  <c r="R937" i="21"/>
  <c r="Q937" i="21"/>
  <c r="F937" i="21"/>
  <c r="E937" i="21"/>
  <c r="R860" i="21"/>
  <c r="Q860" i="21"/>
  <c r="F860" i="21"/>
  <c r="E860" i="21"/>
  <c r="R857" i="21"/>
  <c r="Q857" i="21"/>
  <c r="F857" i="21"/>
  <c r="E857" i="21"/>
  <c r="R854" i="21"/>
  <c r="Q854" i="21"/>
  <c r="F854" i="21"/>
  <c r="E854" i="21"/>
  <c r="R852" i="21"/>
  <c r="Q852" i="21"/>
  <c r="F852" i="21"/>
  <c r="E852" i="21"/>
  <c r="R848" i="21"/>
  <c r="Q848" i="21"/>
  <c r="F848" i="21"/>
  <c r="E848" i="21"/>
  <c r="R845" i="21"/>
  <c r="Q845" i="21"/>
  <c r="F845" i="21"/>
  <c r="E845" i="21"/>
  <c r="R842" i="21"/>
  <c r="Q842" i="21"/>
  <c r="F842" i="21"/>
  <c r="E842" i="21"/>
  <c r="R838" i="21"/>
  <c r="Q838" i="21"/>
  <c r="F838" i="21"/>
  <c r="E838" i="21"/>
  <c r="R833" i="21"/>
  <c r="Q833" i="21"/>
  <c r="F833" i="21"/>
  <c r="E833" i="21"/>
  <c r="R827" i="21"/>
  <c r="Q827" i="21"/>
  <c r="F827" i="21"/>
  <c r="E827" i="21"/>
  <c r="R817" i="21"/>
  <c r="Q817" i="21"/>
  <c r="F817" i="21"/>
  <c r="E817" i="21"/>
  <c r="R806" i="21"/>
  <c r="Q806" i="21"/>
  <c r="F806" i="21"/>
  <c r="E806" i="21"/>
  <c r="R804" i="21"/>
  <c r="Q804" i="21"/>
  <c r="F804" i="21"/>
  <c r="E804" i="21"/>
  <c r="R801" i="21"/>
  <c r="Q801" i="21"/>
  <c r="F801" i="21"/>
  <c r="E801" i="21"/>
  <c r="R783" i="21"/>
  <c r="Q783" i="21"/>
  <c r="F783" i="21"/>
  <c r="E783" i="21"/>
  <c r="R782" i="21"/>
  <c r="Q782" i="21"/>
  <c r="F782" i="21"/>
  <c r="E782" i="21"/>
  <c r="R777" i="21"/>
  <c r="Q777" i="21"/>
  <c r="F777" i="21"/>
  <c r="E777" i="21"/>
  <c r="R774" i="21"/>
  <c r="Q774" i="21"/>
  <c r="F774" i="21"/>
  <c r="E774" i="21"/>
  <c r="R770" i="21"/>
  <c r="Q770" i="21"/>
  <c r="F770" i="21"/>
  <c r="E770" i="21"/>
  <c r="R766" i="21"/>
  <c r="Q766" i="21"/>
  <c r="F766" i="21"/>
  <c r="E766" i="21"/>
  <c r="R764" i="21"/>
  <c r="Q764" i="21"/>
  <c r="F764" i="21"/>
  <c r="E764" i="21"/>
  <c r="R763" i="21"/>
  <c r="Q763" i="21"/>
  <c r="F763" i="21"/>
  <c r="E763" i="21"/>
  <c r="R757" i="21"/>
  <c r="Q757" i="21"/>
  <c r="F757" i="21"/>
  <c r="E757" i="21"/>
  <c r="R754" i="21"/>
  <c r="Q754" i="21"/>
  <c r="F754" i="21"/>
  <c r="E754" i="21"/>
  <c r="R753" i="21"/>
  <c r="Q753" i="21"/>
  <c r="F753" i="21"/>
  <c r="E753" i="21"/>
  <c r="R749" i="21"/>
  <c r="Q749" i="21"/>
  <c r="F749" i="21"/>
  <c r="E749" i="21"/>
  <c r="R742" i="21"/>
  <c r="Q742" i="21"/>
  <c r="F742" i="21"/>
  <c r="E742" i="21"/>
  <c r="R736" i="21"/>
  <c r="Q736" i="21"/>
  <c r="F736" i="21"/>
  <c r="E736" i="21"/>
  <c r="R734" i="21"/>
  <c r="Q734" i="21"/>
  <c r="F734" i="21"/>
  <c r="E734" i="21"/>
  <c r="R731" i="21"/>
  <c r="Q731" i="21"/>
  <c r="F731" i="21"/>
  <c r="E731" i="21"/>
  <c r="R724" i="21"/>
  <c r="Q724" i="21"/>
  <c r="F724" i="21"/>
  <c r="E724" i="21"/>
  <c r="R194" i="21"/>
  <c r="Q194" i="21"/>
  <c r="F194" i="21"/>
  <c r="R192" i="21"/>
  <c r="Q192" i="21"/>
  <c r="F192" i="21"/>
  <c r="E192" i="21"/>
  <c r="R189" i="21"/>
  <c r="Q189" i="21"/>
  <c r="F189" i="21"/>
  <c r="E189" i="21"/>
  <c r="R187" i="21"/>
  <c r="Q187" i="21"/>
  <c r="F187" i="21"/>
  <c r="E187" i="21"/>
  <c r="R184" i="21"/>
  <c r="Q184" i="21"/>
  <c r="F184" i="21"/>
  <c r="E184" i="21"/>
  <c r="R183" i="21"/>
  <c r="Q183" i="21"/>
  <c r="F183" i="21"/>
  <c r="E183" i="21"/>
  <c r="R182" i="21"/>
  <c r="Q182" i="21"/>
  <c r="F182" i="21"/>
  <c r="E182" i="21"/>
  <c r="R179" i="21"/>
  <c r="Q179" i="21"/>
  <c r="F179" i="21"/>
  <c r="E179" i="21"/>
  <c r="R178" i="21"/>
  <c r="Q178" i="21"/>
  <c r="F178" i="21"/>
  <c r="E178" i="21"/>
  <c r="R1211" i="21"/>
  <c r="F1211" i="21"/>
  <c r="E1211" i="21"/>
  <c r="R1210" i="21"/>
  <c r="F1210" i="21"/>
  <c r="E1210" i="21"/>
  <c r="R1209" i="21"/>
  <c r="F1209" i="21"/>
  <c r="E1209" i="21"/>
  <c r="R1208" i="21"/>
  <c r="F1208" i="21"/>
  <c r="E1208" i="21"/>
  <c r="R1206" i="21"/>
  <c r="F1206" i="21"/>
  <c r="E1206" i="21"/>
  <c r="R1205" i="21"/>
  <c r="F1205" i="21"/>
  <c r="E1205" i="21"/>
  <c r="R1204" i="21"/>
  <c r="F1204" i="21"/>
  <c r="E1204" i="21"/>
  <c r="R1203" i="21"/>
  <c r="F1203" i="21"/>
  <c r="E1203" i="21"/>
  <c r="R1200" i="21"/>
  <c r="F1200" i="21"/>
  <c r="E1200" i="21"/>
  <c r="R1199" i="21"/>
  <c r="F1199" i="21"/>
  <c r="E1199" i="21"/>
  <c r="R1198" i="21"/>
  <c r="F1198" i="21"/>
  <c r="E1198" i="21"/>
  <c r="R1197" i="21"/>
  <c r="F1197" i="21"/>
  <c r="E1197" i="21"/>
  <c r="R1194" i="21"/>
  <c r="F1194" i="21"/>
  <c r="E1194" i="21"/>
  <c r="R1193" i="21"/>
  <c r="F1193" i="21"/>
  <c r="E1193" i="21"/>
  <c r="R1192" i="21"/>
  <c r="F1192" i="21"/>
  <c r="E1192" i="21"/>
  <c r="R1191" i="21"/>
  <c r="F1191" i="21"/>
  <c r="E1191" i="21"/>
  <c r="R1189" i="21"/>
  <c r="F1189" i="21"/>
  <c r="E1189" i="21"/>
  <c r="R1188" i="21"/>
  <c r="F1188" i="21"/>
  <c r="E1188" i="21"/>
  <c r="R1187" i="21"/>
  <c r="F1187" i="21"/>
  <c r="E1187" i="21"/>
  <c r="R1186" i="21"/>
  <c r="F1186" i="21"/>
  <c r="E1186" i="21"/>
  <c r="R1184" i="21"/>
  <c r="F1184" i="21"/>
  <c r="E1184" i="21"/>
  <c r="R1183" i="21"/>
  <c r="F1183" i="21"/>
  <c r="E1183" i="21"/>
  <c r="R1182" i="21"/>
  <c r="F1182" i="21"/>
  <c r="E1182" i="21"/>
  <c r="R1181" i="21"/>
  <c r="F1181" i="21"/>
  <c r="E1181" i="21"/>
  <c r="R1179" i="21"/>
  <c r="F1179" i="21"/>
  <c r="E1179" i="21"/>
  <c r="R1178" i="21"/>
  <c r="F1178" i="21"/>
  <c r="E1178" i="21"/>
  <c r="R1177" i="21"/>
  <c r="F1177" i="21"/>
  <c r="E1177" i="21"/>
  <c r="R1176" i="21"/>
  <c r="F1176" i="21"/>
  <c r="E1176" i="21"/>
  <c r="R1174" i="21"/>
  <c r="F1174" i="21"/>
  <c r="E1174" i="21"/>
  <c r="R1173" i="21"/>
  <c r="F1173" i="21"/>
  <c r="E1173" i="21"/>
  <c r="R1171" i="21"/>
  <c r="F1171" i="21"/>
  <c r="E1171" i="21"/>
  <c r="R1170" i="21"/>
  <c r="F1170" i="21"/>
  <c r="E1170" i="21"/>
  <c r="R1169" i="21"/>
  <c r="F1169" i="21"/>
  <c r="E1169" i="21"/>
  <c r="R1166" i="21"/>
  <c r="F1166" i="21"/>
  <c r="E1166" i="21"/>
  <c r="R1165" i="21"/>
  <c r="F1165" i="21"/>
  <c r="E1165" i="21"/>
  <c r="R1164" i="21"/>
  <c r="F1164" i="21"/>
  <c r="E1164" i="21"/>
  <c r="R1163" i="21"/>
  <c r="F1163" i="21"/>
  <c r="E1163" i="21"/>
  <c r="R1161" i="21"/>
  <c r="F1161" i="21"/>
  <c r="E1161" i="21"/>
  <c r="R1160" i="21"/>
  <c r="F1160" i="21"/>
  <c r="E1160" i="21"/>
  <c r="R1159" i="21"/>
  <c r="F1159" i="21"/>
  <c r="E1159" i="21"/>
  <c r="R1156" i="21"/>
  <c r="F1156" i="21"/>
  <c r="E1156" i="21"/>
  <c r="R1154" i="21"/>
  <c r="F1154" i="21"/>
  <c r="E1154" i="21"/>
  <c r="R1153" i="21"/>
  <c r="F1153" i="21"/>
  <c r="E1153" i="21"/>
  <c r="R1152" i="21"/>
  <c r="F1152" i="21"/>
  <c r="E1152" i="21"/>
  <c r="R1150" i="21"/>
  <c r="F1150" i="21"/>
  <c r="E1150" i="21"/>
  <c r="R1149" i="21"/>
  <c r="F1149" i="21"/>
  <c r="E1149" i="21"/>
  <c r="R1148" i="21"/>
  <c r="F1148" i="21"/>
  <c r="E1148" i="21"/>
  <c r="R1147" i="21"/>
  <c r="F1147" i="21"/>
  <c r="E1147" i="21"/>
  <c r="R1144" i="21"/>
  <c r="F1144" i="21"/>
  <c r="E1144" i="21"/>
  <c r="R1143" i="21"/>
  <c r="F1143" i="21"/>
  <c r="E1143" i="21"/>
  <c r="R1142" i="21"/>
  <c r="F1142" i="21"/>
  <c r="E1142" i="21"/>
  <c r="R1141" i="21"/>
  <c r="F1141" i="21"/>
  <c r="E1141" i="21"/>
  <c r="R1140" i="21"/>
  <c r="F1140" i="21"/>
  <c r="E1140" i="21"/>
  <c r="R1137" i="21"/>
  <c r="F1137" i="21"/>
  <c r="E1137" i="21"/>
  <c r="R1136" i="21"/>
  <c r="F1136" i="21"/>
  <c r="E1136" i="21"/>
  <c r="R1135" i="21"/>
  <c r="F1135" i="21"/>
  <c r="E1135" i="21"/>
  <c r="R1133" i="21"/>
  <c r="F1133" i="21"/>
  <c r="E1133" i="21"/>
  <c r="R1131" i="21"/>
  <c r="F1131" i="21"/>
  <c r="E1131" i="21"/>
  <c r="R1130" i="21"/>
  <c r="F1130" i="21"/>
  <c r="E1130" i="21"/>
  <c r="R1128" i="21"/>
  <c r="F1128" i="21"/>
  <c r="E1128" i="21"/>
  <c r="R1127" i="21"/>
  <c r="F1127" i="21"/>
  <c r="E1127" i="21"/>
  <c r="R1126" i="21"/>
  <c r="F1126" i="21"/>
  <c r="E1126" i="21"/>
  <c r="R1122" i="21"/>
  <c r="F1122" i="21"/>
  <c r="E1122" i="21"/>
  <c r="R1121" i="21"/>
  <c r="F1121" i="21"/>
  <c r="E1121" i="21"/>
  <c r="R1120" i="21"/>
  <c r="F1120" i="21"/>
  <c r="E1120" i="21"/>
  <c r="R1119" i="21"/>
  <c r="F1119" i="21"/>
  <c r="E1119" i="21"/>
  <c r="R1117" i="21"/>
  <c r="F1117" i="21"/>
  <c r="E1117" i="21"/>
  <c r="R1115" i="21"/>
  <c r="F1115" i="21"/>
  <c r="E1115" i="21"/>
  <c r="R1114" i="21"/>
  <c r="F1114" i="21"/>
  <c r="E1114" i="21"/>
  <c r="R1113" i="21"/>
  <c r="F1113" i="21"/>
  <c r="E1113" i="21"/>
  <c r="R1110" i="21"/>
  <c r="F1110" i="21"/>
  <c r="E1110" i="21"/>
  <c r="R1109" i="21"/>
  <c r="F1109" i="21"/>
  <c r="E1109" i="21"/>
  <c r="R1108" i="21"/>
  <c r="F1108" i="21"/>
  <c r="E1108" i="21"/>
  <c r="R1107" i="21"/>
  <c r="F1107" i="21"/>
  <c r="E1107" i="21"/>
  <c r="R1106" i="21"/>
  <c r="F1106" i="21"/>
  <c r="E1106" i="21"/>
  <c r="R1104" i="21"/>
  <c r="F1104" i="21"/>
  <c r="E1104" i="21"/>
  <c r="R1103" i="21"/>
  <c r="F1103" i="21"/>
  <c r="E1103" i="21"/>
  <c r="R1102" i="21"/>
  <c r="F1102" i="21"/>
  <c r="E1102" i="21"/>
  <c r="R1100" i="21"/>
  <c r="F1100" i="21"/>
  <c r="E1100" i="21"/>
  <c r="R1099" i="21"/>
  <c r="F1099" i="21"/>
  <c r="E1099" i="21"/>
  <c r="R1098" i="21"/>
  <c r="F1098" i="21"/>
  <c r="E1098" i="21"/>
  <c r="R1096" i="21"/>
  <c r="F1096" i="21"/>
  <c r="E1096" i="21"/>
  <c r="R1095" i="21"/>
  <c r="F1095" i="21"/>
  <c r="E1095" i="21"/>
  <c r="R1094" i="21"/>
  <c r="F1094" i="21"/>
  <c r="E1094" i="21"/>
  <c r="R1091" i="21"/>
  <c r="F1091" i="21"/>
  <c r="E1091" i="21"/>
  <c r="R1090" i="21"/>
  <c r="F1090" i="21"/>
  <c r="E1090" i="21"/>
  <c r="R1089" i="21"/>
  <c r="F1089" i="21"/>
  <c r="E1089" i="21"/>
  <c r="R1088" i="21"/>
  <c r="F1088" i="21"/>
  <c r="E1088" i="21"/>
  <c r="R1086" i="21"/>
  <c r="F1086" i="21"/>
  <c r="E1086" i="21"/>
  <c r="R1085" i="21"/>
  <c r="F1085" i="21"/>
  <c r="E1085" i="21"/>
  <c r="R1084" i="21"/>
  <c r="F1084" i="21"/>
  <c r="E1084" i="21"/>
  <c r="R1083" i="21"/>
  <c r="F1083" i="21"/>
  <c r="E1083" i="21"/>
  <c r="R1080" i="21"/>
  <c r="F1080" i="21"/>
  <c r="E1080" i="21"/>
  <c r="R1079" i="21"/>
  <c r="F1079" i="21"/>
  <c r="E1079" i="21"/>
  <c r="R1078" i="21"/>
  <c r="F1078" i="21"/>
  <c r="E1078" i="21"/>
  <c r="R1077" i="21"/>
  <c r="F1077" i="21"/>
  <c r="E1077" i="21"/>
  <c r="R1076" i="21"/>
  <c r="F1076" i="21"/>
  <c r="E1076" i="21"/>
  <c r="R1074" i="21"/>
  <c r="F1074" i="21"/>
  <c r="E1074" i="21"/>
  <c r="R1073" i="21"/>
  <c r="F1073" i="21"/>
  <c r="E1073" i="21"/>
  <c r="R1072" i="21"/>
  <c r="F1072" i="21"/>
  <c r="E1072" i="21"/>
  <c r="R1069" i="21"/>
  <c r="F1069" i="21"/>
  <c r="E1069" i="21"/>
  <c r="R1068" i="21"/>
  <c r="F1068" i="21"/>
  <c r="E1068" i="21"/>
  <c r="R1067" i="21"/>
  <c r="F1067" i="21"/>
  <c r="E1067" i="21"/>
  <c r="R1065" i="21"/>
  <c r="F1065" i="21"/>
  <c r="E1065" i="21"/>
  <c r="R1064" i="21"/>
  <c r="F1064" i="21"/>
  <c r="E1064" i="21"/>
  <c r="R1063" i="21"/>
  <c r="F1063" i="21"/>
  <c r="E1063" i="21"/>
  <c r="R1060" i="21"/>
  <c r="F1060" i="21"/>
  <c r="E1060" i="21"/>
  <c r="R1059" i="21"/>
  <c r="F1059" i="21"/>
  <c r="E1059" i="21"/>
  <c r="R1058" i="21"/>
  <c r="F1058" i="21"/>
  <c r="E1058" i="21"/>
  <c r="R1057" i="21"/>
  <c r="F1057" i="21"/>
  <c r="E1057" i="21"/>
  <c r="R1056" i="21"/>
  <c r="F1056" i="21"/>
  <c r="E1056" i="21"/>
  <c r="R1055" i="21"/>
  <c r="F1055" i="21"/>
  <c r="E1055" i="21"/>
  <c r="R1053" i="21"/>
  <c r="F1053" i="21"/>
  <c r="E1053" i="21"/>
  <c r="R1052" i="21"/>
  <c r="F1052" i="21"/>
  <c r="E1052" i="21"/>
  <c r="R1051" i="21"/>
  <c r="F1051" i="21"/>
  <c r="E1051" i="21"/>
  <c r="R1048" i="21"/>
  <c r="F1048" i="21"/>
  <c r="E1048" i="21"/>
  <c r="R1047" i="21"/>
  <c r="F1047" i="21"/>
  <c r="E1047" i="21"/>
  <c r="R1046" i="21"/>
  <c r="F1046" i="21"/>
  <c r="E1046" i="21"/>
  <c r="R1045" i="21"/>
  <c r="F1045" i="21"/>
  <c r="E1045" i="21"/>
  <c r="R1044" i="21"/>
  <c r="F1044" i="21"/>
  <c r="E1044" i="21"/>
  <c r="R1043" i="21"/>
  <c r="F1043" i="21"/>
  <c r="E1043" i="21"/>
  <c r="R1041" i="21"/>
  <c r="F1041" i="21"/>
  <c r="E1041" i="21"/>
  <c r="R1040" i="21"/>
  <c r="F1040" i="21"/>
  <c r="E1040" i="21"/>
  <c r="R1039" i="21"/>
  <c r="F1039" i="21"/>
  <c r="E1039" i="21"/>
  <c r="R1038" i="21"/>
  <c r="F1038" i="21"/>
  <c r="E1038" i="21"/>
  <c r="R1034" i="21"/>
  <c r="F1034" i="21"/>
  <c r="E1034" i="21"/>
  <c r="R1033" i="21"/>
  <c r="F1033" i="21"/>
  <c r="E1033" i="21"/>
  <c r="R1031" i="21"/>
  <c r="F1031" i="21"/>
  <c r="E1031" i="21"/>
  <c r="R1030" i="21"/>
  <c r="F1030" i="21"/>
  <c r="E1030" i="21"/>
  <c r="R1027" i="21"/>
  <c r="F1027" i="21"/>
  <c r="E1027" i="21"/>
  <c r="R1026" i="21"/>
  <c r="F1026" i="21"/>
  <c r="E1026" i="21"/>
  <c r="R1025" i="21"/>
  <c r="F1025" i="21"/>
  <c r="E1025" i="21"/>
  <c r="R1023" i="21"/>
  <c r="F1023" i="21"/>
  <c r="E1023" i="21"/>
  <c r="R1021" i="21"/>
  <c r="F1021" i="21"/>
  <c r="E1021" i="21"/>
  <c r="R1019" i="21"/>
  <c r="F1019" i="21"/>
  <c r="E1019" i="21"/>
  <c r="R1018" i="21"/>
  <c r="F1018" i="21"/>
  <c r="E1018" i="21"/>
  <c r="R1017" i="21"/>
  <c r="F1017" i="21"/>
  <c r="E1017" i="21"/>
  <c r="R1015" i="21"/>
  <c r="F1015" i="21"/>
  <c r="E1015" i="21"/>
  <c r="R1012" i="21"/>
  <c r="F1012" i="21"/>
  <c r="E1012" i="21"/>
  <c r="R1010" i="21"/>
  <c r="F1010" i="21"/>
  <c r="E1010" i="21"/>
  <c r="R1009" i="21"/>
  <c r="F1009" i="21"/>
  <c r="E1009" i="21"/>
  <c r="R1006" i="21"/>
  <c r="F1006" i="21"/>
  <c r="E1006" i="21"/>
  <c r="R1005" i="21"/>
  <c r="F1005" i="21"/>
  <c r="E1005" i="21"/>
  <c r="R1004" i="21"/>
  <c r="F1004" i="21"/>
  <c r="E1004" i="21"/>
  <c r="R1001" i="21"/>
  <c r="F1001" i="21"/>
  <c r="E1001" i="21"/>
  <c r="R1000" i="21"/>
  <c r="F1000" i="21"/>
  <c r="E1000" i="21"/>
  <c r="R999" i="21"/>
  <c r="F999" i="21"/>
  <c r="E999" i="21"/>
  <c r="R997" i="21"/>
  <c r="F997" i="21"/>
  <c r="E997" i="21"/>
  <c r="R996" i="21"/>
  <c r="F996" i="21"/>
  <c r="E996" i="21"/>
  <c r="R995" i="21"/>
  <c r="F995" i="21"/>
  <c r="E995" i="21"/>
  <c r="R994" i="21"/>
  <c r="F994" i="21"/>
  <c r="E994" i="21"/>
  <c r="R993" i="21"/>
  <c r="F993" i="21"/>
  <c r="E993" i="21"/>
  <c r="R991" i="21"/>
  <c r="F991" i="21"/>
  <c r="E991" i="21"/>
  <c r="R988" i="21"/>
  <c r="F988" i="21"/>
  <c r="E988" i="21"/>
  <c r="R986" i="21"/>
  <c r="F986" i="21"/>
  <c r="E986" i="21"/>
  <c r="R984" i="21"/>
  <c r="F984" i="21"/>
  <c r="E984" i="21"/>
  <c r="R982" i="21"/>
  <c r="F982" i="21"/>
  <c r="E982" i="21"/>
  <c r="R980" i="21"/>
  <c r="F980" i="21"/>
  <c r="E980" i="21"/>
  <c r="R979" i="21"/>
  <c r="F979" i="21"/>
  <c r="E979" i="21"/>
  <c r="R978" i="21"/>
  <c r="F978" i="21"/>
  <c r="E978" i="21"/>
  <c r="R977" i="21"/>
  <c r="F977" i="21"/>
  <c r="E977" i="21"/>
  <c r="R976" i="21"/>
  <c r="F976" i="21"/>
  <c r="E976" i="21"/>
  <c r="R973" i="21"/>
  <c r="F973" i="21"/>
  <c r="E973" i="21"/>
  <c r="R972" i="21"/>
  <c r="F972" i="21"/>
  <c r="E972" i="21"/>
  <c r="R971" i="21"/>
  <c r="F971" i="21"/>
  <c r="E971" i="21"/>
  <c r="R970" i="21"/>
  <c r="F970" i="21"/>
  <c r="E970" i="21"/>
  <c r="R933" i="21"/>
  <c r="Q933" i="21"/>
  <c r="F933" i="21"/>
  <c r="E933" i="21"/>
  <c r="R932" i="21"/>
  <c r="Q932" i="21"/>
  <c r="F932" i="21"/>
  <c r="E932" i="21"/>
  <c r="R931" i="21"/>
  <c r="Q931" i="21"/>
  <c r="F931" i="21"/>
  <c r="E931" i="21"/>
  <c r="R930" i="21"/>
  <c r="Q930" i="21"/>
  <c r="F930" i="21"/>
  <c r="E930" i="21"/>
  <c r="R927" i="21"/>
  <c r="Q927" i="21"/>
  <c r="F927" i="21"/>
  <c r="E927" i="21"/>
  <c r="R926" i="21"/>
  <c r="Q926" i="21"/>
  <c r="F926" i="21"/>
  <c r="E926" i="21"/>
  <c r="R925" i="21"/>
  <c r="Q925" i="21"/>
  <c r="F925" i="21"/>
  <c r="E925" i="21"/>
  <c r="R921" i="21"/>
  <c r="Q921" i="21"/>
  <c r="F921" i="21"/>
  <c r="E921" i="21"/>
  <c r="R920" i="21"/>
  <c r="Q920" i="21"/>
  <c r="F920" i="21"/>
  <c r="E920" i="21"/>
  <c r="R919" i="21"/>
  <c r="Q919" i="21"/>
  <c r="F919" i="21"/>
  <c r="E919" i="21"/>
  <c r="R918" i="21"/>
  <c r="Q918" i="21"/>
  <c r="F918" i="21"/>
  <c r="E918" i="21"/>
  <c r="R915" i="21"/>
  <c r="Q915" i="21"/>
  <c r="F915" i="21"/>
  <c r="E915" i="21"/>
  <c r="R914" i="21"/>
  <c r="Q914" i="21"/>
  <c r="F914" i="21"/>
  <c r="E914" i="21"/>
  <c r="R913" i="21"/>
  <c r="Q913" i="21"/>
  <c r="F913" i="21"/>
  <c r="E913" i="21"/>
  <c r="R912" i="21"/>
  <c r="Q912" i="21"/>
  <c r="F912" i="21"/>
  <c r="E912" i="21"/>
  <c r="R911" i="21"/>
  <c r="Q911" i="21"/>
  <c r="F911" i="21"/>
  <c r="E911" i="21"/>
  <c r="R910" i="21"/>
  <c r="Q910" i="21"/>
  <c r="F910" i="21"/>
  <c r="E910" i="21"/>
  <c r="R909" i="21"/>
  <c r="Q909" i="21"/>
  <c r="F909" i="21"/>
  <c r="E909" i="21"/>
  <c r="R907" i="21"/>
  <c r="Q907" i="21"/>
  <c r="F907" i="21"/>
  <c r="E907" i="21"/>
  <c r="R906" i="21"/>
  <c r="Q906" i="21"/>
  <c r="F906" i="21"/>
  <c r="E906" i="21"/>
  <c r="R902" i="21"/>
  <c r="Q902" i="21"/>
  <c r="F902" i="21"/>
  <c r="E902" i="21"/>
  <c r="R901" i="21"/>
  <c r="Q901" i="21"/>
  <c r="F901" i="21"/>
  <c r="E901" i="21"/>
  <c r="R900" i="21"/>
  <c r="Q900" i="21"/>
  <c r="F900" i="21"/>
  <c r="E900" i="21"/>
  <c r="R895" i="21"/>
  <c r="Q895" i="21"/>
  <c r="F895" i="21"/>
  <c r="E895" i="21"/>
  <c r="R894" i="21"/>
  <c r="Q894" i="21"/>
  <c r="F894" i="21"/>
  <c r="E894" i="21"/>
  <c r="R893" i="21"/>
  <c r="Q893" i="21"/>
  <c r="F893" i="21"/>
  <c r="E893" i="21"/>
  <c r="R892" i="21"/>
  <c r="Q892" i="21"/>
  <c r="F892" i="21"/>
  <c r="E892" i="21"/>
  <c r="R888" i="21"/>
  <c r="Q888" i="21"/>
  <c r="F888" i="21"/>
  <c r="E888" i="21"/>
  <c r="R887" i="21"/>
  <c r="Q887" i="21"/>
  <c r="F887" i="21"/>
  <c r="E887" i="21"/>
  <c r="R886" i="21"/>
  <c r="Q886" i="21"/>
  <c r="F886" i="21"/>
  <c r="E886" i="21"/>
  <c r="R885" i="21"/>
  <c r="Q885" i="21"/>
  <c r="F885" i="21"/>
  <c r="E885" i="21"/>
  <c r="R884" i="21"/>
  <c r="Q884" i="21"/>
  <c r="F884" i="21"/>
  <c r="E884" i="21"/>
  <c r="R882" i="21"/>
  <c r="Q882" i="21"/>
  <c r="F882" i="21"/>
  <c r="E882" i="21"/>
  <c r="R881" i="21"/>
  <c r="Q881" i="21"/>
  <c r="F881" i="21"/>
  <c r="E881" i="21"/>
  <c r="R878" i="21"/>
  <c r="Q878" i="21"/>
  <c r="F878" i="21"/>
  <c r="E878" i="21"/>
  <c r="R877" i="21"/>
  <c r="Q877" i="21"/>
  <c r="F877" i="21"/>
  <c r="E877" i="21"/>
  <c r="R876" i="21"/>
  <c r="Q876" i="21"/>
  <c r="F876" i="21"/>
  <c r="E876" i="21"/>
  <c r="R871" i="21"/>
  <c r="Q871" i="21"/>
  <c r="F871" i="21"/>
  <c r="E871" i="21"/>
  <c r="R870" i="21"/>
  <c r="Q870" i="21"/>
  <c r="F870" i="21"/>
  <c r="E870" i="21"/>
  <c r="R869" i="21"/>
  <c r="Q869" i="21"/>
  <c r="F869" i="21"/>
  <c r="E869" i="21"/>
  <c r="R868" i="21"/>
  <c r="Q868" i="21"/>
  <c r="F868" i="21"/>
  <c r="E868" i="21"/>
  <c r="R864" i="21"/>
  <c r="Q864" i="21"/>
  <c r="F864" i="21"/>
  <c r="E864" i="21"/>
  <c r="R863" i="21"/>
  <c r="Q863" i="21"/>
  <c r="F863" i="21"/>
  <c r="E863" i="21"/>
  <c r="R862" i="21"/>
  <c r="Q862" i="21"/>
  <c r="F862" i="21"/>
  <c r="E862" i="21"/>
  <c r="R861" i="21"/>
  <c r="Q861" i="21"/>
  <c r="F861" i="21"/>
  <c r="E861" i="21"/>
  <c r="R693" i="21"/>
  <c r="F693" i="21"/>
  <c r="E693" i="21"/>
  <c r="R691" i="21"/>
  <c r="F691" i="21"/>
  <c r="E691" i="21"/>
  <c r="R690" i="21"/>
  <c r="F690" i="21"/>
  <c r="E690" i="21"/>
  <c r="R689" i="21"/>
  <c r="F689" i="21"/>
  <c r="E689" i="21"/>
  <c r="R687" i="21"/>
  <c r="F687" i="21"/>
  <c r="E687" i="21"/>
  <c r="R684" i="21"/>
  <c r="F684" i="21"/>
  <c r="E684" i="21"/>
  <c r="R683" i="21"/>
  <c r="F683" i="21"/>
  <c r="E683" i="21"/>
  <c r="R682" i="21"/>
  <c r="F682" i="21"/>
  <c r="E682" i="21"/>
  <c r="R681" i="21"/>
  <c r="F681" i="21"/>
  <c r="E681" i="21"/>
  <c r="R721" i="21"/>
  <c r="Q721" i="21"/>
  <c r="F721" i="21"/>
  <c r="E721" i="21"/>
  <c r="R720" i="21"/>
  <c r="Q720" i="21"/>
  <c r="F720" i="21"/>
  <c r="E720" i="21"/>
  <c r="R719" i="21"/>
  <c r="Q719" i="21"/>
  <c r="F719" i="21"/>
  <c r="E719" i="21"/>
  <c r="R717" i="21"/>
  <c r="Q717" i="21"/>
  <c r="F717" i="21"/>
  <c r="E717" i="21"/>
  <c r="R716" i="21"/>
  <c r="Q716" i="21"/>
  <c r="F716" i="21"/>
  <c r="E716" i="21"/>
  <c r="R715" i="21"/>
  <c r="Q715" i="21"/>
  <c r="F715" i="21"/>
  <c r="E715" i="21"/>
  <c r="R714" i="21"/>
  <c r="Q714" i="21"/>
  <c r="F714" i="21"/>
  <c r="E714" i="21"/>
  <c r="R712" i="21"/>
  <c r="Q712" i="21"/>
  <c r="F712" i="21"/>
  <c r="E712" i="21"/>
  <c r="R711" i="21"/>
  <c r="Q711" i="21"/>
  <c r="F711" i="21"/>
  <c r="E711" i="21"/>
  <c r="R710" i="21"/>
  <c r="Q710" i="21"/>
  <c r="F710" i="21"/>
  <c r="E710" i="21"/>
  <c r="R707" i="21"/>
  <c r="Q707" i="21"/>
  <c r="F707" i="21"/>
  <c r="E707" i="21"/>
  <c r="R706" i="21"/>
  <c r="Q706" i="21"/>
  <c r="F706" i="21"/>
  <c r="E706" i="21"/>
  <c r="R705" i="21"/>
  <c r="Q705" i="21"/>
  <c r="F705" i="21"/>
  <c r="E705" i="21"/>
  <c r="R704" i="21"/>
  <c r="Q704" i="21"/>
  <c r="F704" i="21"/>
  <c r="E704" i="21"/>
  <c r="R702" i="21"/>
  <c r="Q702" i="21"/>
  <c r="F702" i="21"/>
  <c r="E702" i="21"/>
  <c r="R701" i="21"/>
  <c r="Q701" i="21"/>
  <c r="F701" i="21"/>
  <c r="E701" i="21"/>
  <c r="R700" i="21"/>
  <c r="Q700" i="21"/>
  <c r="F700" i="21"/>
  <c r="E700" i="21"/>
  <c r="R699" i="21"/>
  <c r="Q699" i="21"/>
  <c r="F699" i="21"/>
  <c r="E699" i="21"/>
  <c r="R697" i="21"/>
  <c r="Q697" i="21"/>
  <c r="F697" i="21"/>
  <c r="E697" i="21"/>
  <c r="R696" i="21"/>
  <c r="Q696" i="21"/>
  <c r="F696" i="21"/>
  <c r="E696" i="21"/>
  <c r="R695" i="21"/>
  <c r="Q695" i="21"/>
  <c r="F695" i="21"/>
  <c r="E695" i="21"/>
  <c r="R694" i="21"/>
  <c r="Q694" i="21"/>
  <c r="F694" i="21"/>
  <c r="E694" i="21"/>
  <c r="R968" i="21"/>
  <c r="Q968" i="21"/>
  <c r="F968" i="21"/>
  <c r="E968" i="21"/>
  <c r="R967" i="21"/>
  <c r="Q967" i="21"/>
  <c r="F967" i="21"/>
  <c r="E967" i="21"/>
  <c r="R965" i="21"/>
  <c r="Q965" i="21"/>
  <c r="F965" i="21"/>
  <c r="E965" i="21"/>
  <c r="R963" i="21"/>
  <c r="Q963" i="21"/>
  <c r="F963" i="21"/>
  <c r="E963" i="21"/>
  <c r="R962" i="21"/>
  <c r="Q962" i="21"/>
  <c r="F962" i="21"/>
  <c r="E962" i="21"/>
  <c r="R961" i="21"/>
  <c r="Q961" i="21"/>
  <c r="F961" i="21"/>
  <c r="E961" i="21"/>
  <c r="R960" i="21"/>
  <c r="Q960" i="21"/>
  <c r="F960" i="21"/>
  <c r="E960" i="21"/>
  <c r="R958" i="21"/>
  <c r="Q958" i="21"/>
  <c r="F958" i="21"/>
  <c r="E958" i="21"/>
  <c r="R957" i="21"/>
  <c r="Q957" i="21"/>
  <c r="F957" i="21"/>
  <c r="E957" i="21"/>
  <c r="R956" i="21"/>
  <c r="Q956" i="21"/>
  <c r="F956" i="21"/>
  <c r="E956" i="21"/>
  <c r="R953" i="21"/>
  <c r="Q953" i="21"/>
  <c r="F953" i="21"/>
  <c r="E953" i="21"/>
  <c r="R952" i="21"/>
  <c r="Q952" i="21"/>
  <c r="F952" i="21"/>
  <c r="E952" i="21"/>
  <c r="R951" i="21"/>
  <c r="Q951" i="21"/>
  <c r="F951" i="21"/>
  <c r="E951" i="21"/>
  <c r="R950" i="21"/>
  <c r="Q950" i="21"/>
  <c r="F950" i="21"/>
  <c r="E950" i="21"/>
  <c r="R949" i="21"/>
  <c r="Q949" i="21"/>
  <c r="F949" i="21"/>
  <c r="E949" i="21"/>
  <c r="R948" i="21"/>
  <c r="Q948" i="21"/>
  <c r="F948" i="21"/>
  <c r="E948" i="21"/>
  <c r="R946" i="21"/>
  <c r="Q946" i="21"/>
  <c r="F946" i="21"/>
  <c r="E946" i="21"/>
  <c r="R945" i="21"/>
  <c r="Q945" i="21"/>
  <c r="F945" i="21"/>
  <c r="E945" i="21"/>
  <c r="R942" i="21"/>
  <c r="Q942" i="21"/>
  <c r="F942" i="21"/>
  <c r="E942" i="21"/>
  <c r="R940" i="21"/>
  <c r="Q940" i="21"/>
  <c r="F940" i="21"/>
  <c r="E940" i="21"/>
  <c r="R936" i="21"/>
  <c r="Q936" i="21"/>
  <c r="F936" i="21"/>
  <c r="E936" i="21"/>
  <c r="R859" i="21"/>
  <c r="Q859" i="21"/>
  <c r="F859" i="21"/>
  <c r="E859" i="21"/>
  <c r="R858" i="21"/>
  <c r="Q858" i="21"/>
  <c r="F858" i="21"/>
  <c r="E858" i="21"/>
  <c r="R856" i="21"/>
  <c r="Q856" i="21"/>
  <c r="F856" i="21"/>
  <c r="E856" i="21"/>
  <c r="R855" i="21"/>
  <c r="Q855" i="21"/>
  <c r="F855" i="21"/>
  <c r="E855" i="21"/>
  <c r="R853" i="21"/>
  <c r="Q853" i="21"/>
  <c r="F853" i="21"/>
  <c r="E853" i="21"/>
  <c r="R851" i="21"/>
  <c r="Q851" i="21"/>
  <c r="F851" i="21"/>
  <c r="E851" i="21"/>
  <c r="R850" i="21"/>
  <c r="Q850" i="21"/>
  <c r="F850" i="21"/>
  <c r="E850" i="21"/>
  <c r="R849" i="21"/>
  <c r="Q849" i="21"/>
  <c r="F849" i="21"/>
  <c r="E849" i="21"/>
  <c r="R847" i="21"/>
  <c r="Q847" i="21"/>
  <c r="F847" i="21"/>
  <c r="E847" i="21"/>
  <c r="R846" i="21"/>
  <c r="Q846" i="21"/>
  <c r="F846" i="21"/>
  <c r="E846" i="21"/>
  <c r="R844" i="21"/>
  <c r="Q844" i="21"/>
  <c r="F844" i="21"/>
  <c r="E844" i="21"/>
  <c r="R843" i="21"/>
  <c r="Q843" i="21"/>
  <c r="F843" i="21"/>
  <c r="E843" i="21"/>
  <c r="R841" i="21"/>
  <c r="Q841" i="21"/>
  <c r="F841" i="21"/>
  <c r="E841" i="21"/>
  <c r="R840" i="21"/>
  <c r="Q840" i="21"/>
  <c r="F840" i="21"/>
  <c r="E840" i="21"/>
  <c r="R839" i="21"/>
  <c r="Q839" i="21"/>
  <c r="F839" i="21"/>
  <c r="E839" i="21"/>
  <c r="R837" i="21"/>
  <c r="Q837" i="21"/>
  <c r="F837" i="21"/>
  <c r="E837" i="21"/>
  <c r="R836" i="21"/>
  <c r="Q836" i="21"/>
  <c r="F836" i="21"/>
  <c r="E836" i="21"/>
  <c r="R835" i="21"/>
  <c r="Q835" i="21"/>
  <c r="F835" i="21"/>
  <c r="E835" i="21"/>
  <c r="R834" i="21"/>
  <c r="Q834" i="21"/>
  <c r="F834" i="21"/>
  <c r="E834" i="21"/>
  <c r="R832" i="21"/>
  <c r="Q832" i="21"/>
  <c r="F832" i="21"/>
  <c r="E832" i="21"/>
  <c r="R831" i="21"/>
  <c r="Q831" i="21"/>
  <c r="F831" i="21"/>
  <c r="E831" i="21"/>
  <c r="R830" i="21"/>
  <c r="Q830" i="21"/>
  <c r="F830" i="21"/>
  <c r="E830" i="21"/>
  <c r="R829" i="21"/>
  <c r="Q829" i="21"/>
  <c r="F829" i="21"/>
  <c r="E829" i="21"/>
  <c r="R828" i="21"/>
  <c r="Q828" i="21"/>
  <c r="F828" i="21"/>
  <c r="E828" i="21"/>
  <c r="R826" i="21"/>
  <c r="Q826" i="21"/>
  <c r="F826" i="21"/>
  <c r="E826" i="21"/>
  <c r="R825" i="21"/>
  <c r="Q825" i="21"/>
  <c r="F825" i="21"/>
  <c r="E825" i="21"/>
  <c r="R824" i="21"/>
  <c r="Q824" i="21"/>
  <c r="F824" i="21"/>
  <c r="E824" i="21"/>
  <c r="R823" i="21"/>
  <c r="Q823" i="21"/>
  <c r="F823" i="21"/>
  <c r="E823" i="21"/>
  <c r="R822" i="21"/>
  <c r="Q822" i="21"/>
  <c r="F822" i="21"/>
  <c r="E822" i="21"/>
  <c r="R821" i="21"/>
  <c r="Q821" i="21"/>
  <c r="F821" i="21"/>
  <c r="E821" i="21"/>
  <c r="R820" i="21"/>
  <c r="Q820" i="21"/>
  <c r="F820" i="21"/>
  <c r="E820" i="21"/>
  <c r="R818" i="21"/>
  <c r="Q818" i="21"/>
  <c r="F818" i="21"/>
  <c r="E818" i="21"/>
  <c r="R816" i="21"/>
  <c r="Q816" i="21"/>
  <c r="F816" i="21"/>
  <c r="E816" i="21"/>
  <c r="R815" i="21"/>
  <c r="Q815" i="21"/>
  <c r="F815" i="21"/>
  <c r="E815" i="21"/>
  <c r="R814" i="21"/>
  <c r="Q814" i="21"/>
  <c r="F814" i="21"/>
  <c r="E814" i="21"/>
  <c r="R813" i="21"/>
  <c r="Q813" i="21"/>
  <c r="F813" i="21"/>
  <c r="E813" i="21"/>
  <c r="R812" i="21"/>
  <c r="Q812" i="21"/>
  <c r="F812" i="21"/>
  <c r="E812" i="21"/>
  <c r="R811" i="21"/>
  <c r="Q811" i="21"/>
  <c r="F811" i="21"/>
  <c r="E811" i="21"/>
  <c r="R809" i="21"/>
  <c r="Q809" i="21"/>
  <c r="F809" i="21"/>
  <c r="E809" i="21"/>
  <c r="R808" i="21"/>
  <c r="Q808" i="21"/>
  <c r="F808" i="21"/>
  <c r="E808" i="21"/>
  <c r="R807" i="21"/>
  <c r="Q807" i="21"/>
  <c r="F807" i="21"/>
  <c r="E807" i="21"/>
  <c r="R805" i="21"/>
  <c r="Q805" i="21"/>
  <c r="F805" i="21"/>
  <c r="E805" i="21"/>
  <c r="R802" i="21"/>
  <c r="Q802" i="21"/>
  <c r="F802" i="21"/>
  <c r="E802" i="21"/>
  <c r="R800" i="21"/>
  <c r="Q800" i="21"/>
  <c r="F800" i="21"/>
  <c r="E800" i="21"/>
  <c r="R799" i="21"/>
  <c r="Q799" i="21"/>
  <c r="F799" i="21"/>
  <c r="E799" i="21"/>
  <c r="R798" i="21"/>
  <c r="Q798" i="21"/>
  <c r="F798" i="21"/>
  <c r="E798" i="21"/>
  <c r="R795" i="21"/>
  <c r="Q795" i="21"/>
  <c r="F795" i="21"/>
  <c r="E795" i="21"/>
  <c r="R794" i="21"/>
  <c r="Q794" i="21"/>
  <c r="F794" i="21"/>
  <c r="E794" i="21"/>
  <c r="R793" i="21"/>
  <c r="Q793" i="21"/>
  <c r="F793" i="21"/>
  <c r="E793" i="21"/>
  <c r="R792" i="21"/>
  <c r="Q792" i="21"/>
  <c r="F792" i="21"/>
  <c r="E792" i="21"/>
  <c r="R790" i="21"/>
  <c r="Q790" i="21"/>
  <c r="F790" i="21"/>
  <c r="E790" i="21"/>
  <c r="R788" i="21"/>
  <c r="Q788" i="21"/>
  <c r="F788" i="21"/>
  <c r="E788" i="21"/>
  <c r="R787" i="21"/>
  <c r="Q787" i="21"/>
  <c r="F787" i="21"/>
  <c r="E787" i="21"/>
  <c r="R786" i="21"/>
  <c r="Q786" i="21"/>
  <c r="F786" i="21"/>
  <c r="E786" i="21"/>
  <c r="R785" i="21"/>
  <c r="Q785" i="21"/>
  <c r="F785" i="21"/>
  <c r="E785" i="21"/>
  <c r="R784" i="21"/>
  <c r="Q784" i="21"/>
  <c r="F784" i="21"/>
  <c r="E784" i="21"/>
  <c r="R781" i="21"/>
  <c r="Q781" i="21"/>
  <c r="F781" i="21"/>
  <c r="E781" i="21"/>
  <c r="R780" i="21"/>
  <c r="Q780" i="21"/>
  <c r="F780" i="21"/>
  <c r="E780" i="21"/>
  <c r="R779" i="21"/>
  <c r="Q779" i="21"/>
  <c r="F779" i="21"/>
  <c r="E779" i="21"/>
  <c r="R778" i="21"/>
  <c r="Q778" i="21"/>
  <c r="F778" i="21"/>
  <c r="E778" i="21"/>
  <c r="R776" i="21"/>
  <c r="Q776" i="21"/>
  <c r="F776" i="21"/>
  <c r="E776" i="21"/>
  <c r="R775" i="21"/>
  <c r="Q775" i="21"/>
  <c r="F775" i="21"/>
  <c r="E775" i="21"/>
  <c r="R773" i="21"/>
  <c r="Q773" i="21"/>
  <c r="F773" i="21"/>
  <c r="E773" i="21"/>
  <c r="R772" i="21"/>
  <c r="Q772" i="21"/>
  <c r="F772" i="21"/>
  <c r="E772" i="21"/>
  <c r="R771" i="21"/>
  <c r="Q771" i="21"/>
  <c r="F771" i="21"/>
  <c r="E771" i="21"/>
  <c r="R769" i="21"/>
  <c r="Q769" i="21"/>
  <c r="F769" i="21"/>
  <c r="E769" i="21"/>
  <c r="R768" i="21"/>
  <c r="Q768" i="21"/>
  <c r="F768" i="21"/>
  <c r="E768" i="21"/>
  <c r="R767" i="21"/>
  <c r="Q767" i="21"/>
  <c r="F767" i="21"/>
  <c r="E767" i="21"/>
  <c r="R765" i="21"/>
  <c r="Q765" i="21"/>
  <c r="F765" i="21"/>
  <c r="E765" i="21"/>
  <c r="R762" i="21"/>
  <c r="Q762" i="21"/>
  <c r="F762" i="21"/>
  <c r="E762" i="21"/>
  <c r="R761" i="21"/>
  <c r="Q761" i="21"/>
  <c r="F761" i="21"/>
  <c r="E761" i="21"/>
  <c r="R760" i="21"/>
  <c r="Q760" i="21"/>
  <c r="F760" i="21"/>
  <c r="E760" i="21"/>
  <c r="R759" i="21"/>
  <c r="Q759" i="21"/>
  <c r="F759" i="21"/>
  <c r="E759" i="21"/>
  <c r="R758" i="21"/>
  <c r="Q758" i="21"/>
  <c r="F758" i="21"/>
  <c r="E758" i="21"/>
  <c r="R756" i="21"/>
  <c r="Q756" i="21"/>
  <c r="F756" i="21"/>
  <c r="E756" i="21"/>
  <c r="R755" i="21"/>
  <c r="Q755" i="21"/>
  <c r="F755" i="21"/>
  <c r="E755" i="21"/>
  <c r="R752" i="21"/>
  <c r="Q752" i="21"/>
  <c r="F752" i="21"/>
  <c r="E752" i="21"/>
  <c r="R751" i="21"/>
  <c r="Q751" i="21"/>
  <c r="F751" i="21"/>
  <c r="E751" i="21"/>
  <c r="R750" i="21"/>
  <c r="Q750" i="21"/>
  <c r="F750" i="21"/>
  <c r="E750" i="21"/>
  <c r="R748" i="21"/>
  <c r="Q748" i="21"/>
  <c r="F748" i="21"/>
  <c r="E748" i="21"/>
  <c r="R747" i="21"/>
  <c r="Q747" i="21"/>
  <c r="F747" i="21"/>
  <c r="E747" i="21"/>
  <c r="R746" i="21"/>
  <c r="Q746" i="21"/>
  <c r="F746" i="21"/>
  <c r="E746" i="21"/>
  <c r="R745" i="21"/>
  <c r="Q745" i="21"/>
  <c r="F745" i="21"/>
  <c r="E745" i="21"/>
  <c r="R741" i="21"/>
  <c r="Q741" i="21"/>
  <c r="F741" i="21"/>
  <c r="E741" i="21"/>
  <c r="R740" i="21"/>
  <c r="Q740" i="21"/>
  <c r="F740" i="21"/>
  <c r="E740" i="21"/>
  <c r="R737" i="21"/>
  <c r="Q737" i="21"/>
  <c r="F737" i="21"/>
  <c r="E737" i="21"/>
  <c r="R735" i="21"/>
  <c r="Q735" i="21"/>
  <c r="F735" i="21"/>
  <c r="E735" i="21"/>
  <c r="R730" i="21"/>
  <c r="Q730" i="21"/>
  <c r="F730" i="21"/>
  <c r="E730" i="21"/>
  <c r="R727" i="21"/>
  <c r="Q727" i="21"/>
  <c r="F727" i="21"/>
  <c r="E727" i="21"/>
  <c r="R723" i="21"/>
  <c r="Q723" i="21"/>
  <c r="F723" i="21"/>
  <c r="E723" i="21"/>
  <c r="R680" i="21"/>
  <c r="Q680" i="21"/>
  <c r="F680" i="21"/>
  <c r="E680" i="21"/>
  <c r="R679" i="21"/>
  <c r="Q679" i="21"/>
  <c r="F679" i="21"/>
  <c r="E679" i="21"/>
  <c r="R678" i="21"/>
  <c r="Q678" i="21"/>
  <c r="F678" i="21"/>
  <c r="E678" i="21"/>
  <c r="R677" i="21"/>
  <c r="Q677" i="21"/>
  <c r="F677" i="21"/>
  <c r="E677" i="21"/>
  <c r="R676" i="21"/>
  <c r="Q676" i="21"/>
  <c r="F676" i="21"/>
  <c r="E676" i="21"/>
  <c r="R675" i="21"/>
  <c r="Q675" i="21"/>
  <c r="F675" i="21"/>
  <c r="E675" i="21"/>
  <c r="R673" i="21"/>
  <c r="Q673" i="21"/>
  <c r="F673" i="21"/>
  <c r="E673" i="21"/>
  <c r="R672" i="21"/>
  <c r="Q672" i="21"/>
  <c r="F672" i="21"/>
  <c r="E672" i="21"/>
  <c r="R671" i="21"/>
  <c r="Q671" i="21"/>
  <c r="F671" i="21"/>
  <c r="E671" i="21"/>
  <c r="R670" i="21"/>
  <c r="Q670" i="21"/>
  <c r="F670" i="21"/>
  <c r="E670" i="21"/>
  <c r="R669" i="21"/>
  <c r="Q669" i="21"/>
  <c r="F669" i="21"/>
  <c r="E669" i="21"/>
  <c r="R668" i="21"/>
  <c r="Q668" i="21"/>
  <c r="F668" i="21"/>
  <c r="E668" i="21"/>
  <c r="R667" i="21"/>
  <c r="Q667" i="21"/>
  <c r="F667" i="21"/>
  <c r="E667" i="21"/>
  <c r="R666" i="21"/>
  <c r="Q666" i="21"/>
  <c r="F666" i="21"/>
  <c r="E666" i="21"/>
  <c r="R665" i="21"/>
  <c r="Q665" i="21"/>
  <c r="F665" i="21"/>
  <c r="E665" i="21"/>
  <c r="R664" i="21"/>
  <c r="Q664" i="21"/>
  <c r="F664" i="21"/>
  <c r="E664" i="21"/>
  <c r="R661" i="21"/>
  <c r="Q661" i="21"/>
  <c r="F661" i="21"/>
  <c r="E661" i="21"/>
  <c r="R660" i="21"/>
  <c r="Q660" i="21"/>
  <c r="F660" i="21"/>
  <c r="E660" i="21"/>
  <c r="R659" i="21"/>
  <c r="Q659" i="21"/>
  <c r="F659" i="21"/>
  <c r="E659" i="21"/>
  <c r="R658" i="21"/>
  <c r="Q658" i="21"/>
  <c r="F658" i="21"/>
  <c r="E658" i="21"/>
  <c r="R657" i="21"/>
  <c r="Q657" i="21"/>
  <c r="F657" i="21"/>
  <c r="E657" i="21"/>
  <c r="R656" i="21"/>
  <c r="Q656" i="21"/>
  <c r="F656" i="21"/>
  <c r="E656" i="21"/>
  <c r="R655" i="21"/>
  <c r="Q655" i="21"/>
  <c r="F655" i="21"/>
  <c r="E655" i="21"/>
  <c r="R654" i="21"/>
  <c r="Q654" i="21"/>
  <c r="F654" i="21"/>
  <c r="E654" i="21"/>
  <c r="R653" i="21"/>
  <c r="Q653" i="21"/>
  <c r="F653" i="21"/>
  <c r="E653" i="21"/>
  <c r="R650" i="21"/>
  <c r="Q650" i="21"/>
  <c r="F650" i="21"/>
  <c r="E650" i="21"/>
  <c r="R649" i="21"/>
  <c r="Q649" i="21"/>
  <c r="F649" i="21"/>
  <c r="E649" i="21"/>
  <c r="R648" i="21"/>
  <c r="Q648" i="21"/>
  <c r="F648" i="21"/>
  <c r="E648" i="21"/>
  <c r="R645" i="21"/>
  <c r="Q645" i="21"/>
  <c r="F645" i="21"/>
  <c r="E645" i="21"/>
  <c r="R644" i="21"/>
  <c r="Q644" i="21"/>
  <c r="F644" i="21"/>
  <c r="E644" i="21"/>
  <c r="R643" i="21"/>
  <c r="Q643" i="21"/>
  <c r="F643" i="21"/>
  <c r="E643" i="21"/>
  <c r="R640" i="21"/>
  <c r="Q640" i="21"/>
  <c r="F640" i="21"/>
  <c r="E640" i="21"/>
  <c r="R639" i="21"/>
  <c r="Q639" i="21"/>
  <c r="F639" i="21"/>
  <c r="E639" i="21"/>
  <c r="R638" i="21"/>
  <c r="Q638" i="21"/>
  <c r="F638" i="21"/>
  <c r="E638" i="21"/>
  <c r="R635" i="21"/>
  <c r="Q635" i="21"/>
  <c r="F635" i="21"/>
  <c r="E635" i="21"/>
  <c r="R633" i="21"/>
  <c r="Q633" i="21"/>
  <c r="F633" i="21"/>
  <c r="E633" i="21"/>
  <c r="R632" i="21"/>
  <c r="Q632" i="21"/>
  <c r="F632" i="21"/>
  <c r="E632" i="21"/>
  <c r="R628" i="21"/>
  <c r="Q628" i="21"/>
  <c r="F628" i="21"/>
  <c r="E628" i="21"/>
  <c r="R627" i="21"/>
  <c r="Q627" i="21"/>
  <c r="F627" i="21"/>
  <c r="E627" i="21"/>
  <c r="R626" i="21"/>
  <c r="Q626" i="21"/>
  <c r="F626" i="21"/>
  <c r="E626" i="21"/>
  <c r="R625" i="21"/>
  <c r="Q625" i="21"/>
  <c r="F625" i="21"/>
  <c r="E625" i="21"/>
  <c r="R624" i="21"/>
  <c r="Q624" i="21"/>
  <c r="F624" i="21"/>
  <c r="E624" i="21"/>
  <c r="R621" i="21"/>
  <c r="Q621" i="21"/>
  <c r="F621" i="21"/>
  <c r="E621" i="21"/>
  <c r="R620" i="21"/>
  <c r="Q620" i="21"/>
  <c r="F620" i="21"/>
  <c r="E620" i="21"/>
  <c r="R619" i="21"/>
  <c r="Q619" i="21"/>
  <c r="F619" i="21"/>
  <c r="E619" i="21"/>
  <c r="R617" i="21"/>
  <c r="Q617" i="21"/>
  <c r="F617" i="21"/>
  <c r="E617" i="21"/>
  <c r="R616" i="21"/>
  <c r="Q616" i="21"/>
  <c r="F616" i="21"/>
  <c r="E616" i="21"/>
  <c r="R614" i="21"/>
  <c r="Q614" i="21"/>
  <c r="F614" i="21"/>
  <c r="E614" i="21"/>
  <c r="R612" i="21"/>
  <c r="Q612" i="21"/>
  <c r="F612" i="21"/>
  <c r="E612" i="21"/>
  <c r="R609" i="21"/>
  <c r="Q609" i="21"/>
  <c r="F609" i="21"/>
  <c r="E609" i="21"/>
  <c r="R607" i="21"/>
  <c r="Q607" i="21"/>
  <c r="F607" i="21"/>
  <c r="E607" i="21"/>
  <c r="R573" i="21"/>
  <c r="Q573" i="21"/>
  <c r="F573" i="21"/>
  <c r="E573" i="21"/>
  <c r="R572" i="21"/>
  <c r="Q572" i="21"/>
  <c r="F572" i="21"/>
  <c r="E572" i="21"/>
  <c r="R568" i="21"/>
  <c r="Q568" i="21"/>
  <c r="F568" i="21"/>
  <c r="E568" i="21"/>
  <c r="R566" i="21"/>
  <c r="Q566" i="21"/>
  <c r="F566" i="21"/>
  <c r="E566" i="21"/>
  <c r="R560" i="21"/>
  <c r="Q560" i="21"/>
  <c r="F560" i="21"/>
  <c r="E560" i="21"/>
  <c r="R558" i="21"/>
  <c r="Q558" i="21"/>
  <c r="F558" i="21"/>
  <c r="E558" i="21"/>
  <c r="R556" i="21"/>
  <c r="Q556" i="21"/>
  <c r="F556" i="21"/>
  <c r="E556" i="21"/>
  <c r="R555" i="21"/>
  <c r="Q555" i="21"/>
  <c r="F555" i="21"/>
  <c r="E555" i="21"/>
  <c r="R606" i="21"/>
  <c r="Q606" i="21"/>
  <c r="F606" i="21"/>
  <c r="E606" i="21"/>
  <c r="R605" i="21"/>
  <c r="Q605" i="21"/>
  <c r="F605" i="21"/>
  <c r="E605" i="21"/>
  <c r="R604" i="21"/>
  <c r="Q604" i="21"/>
  <c r="F604" i="21"/>
  <c r="E604" i="21"/>
  <c r="R603" i="21"/>
  <c r="Q603" i="21"/>
  <c r="F603" i="21"/>
  <c r="E603" i="21"/>
  <c r="R602" i="21"/>
  <c r="Q602" i="21"/>
  <c r="F602" i="21"/>
  <c r="E602" i="21"/>
  <c r="R601" i="21"/>
  <c r="Q601" i="21"/>
  <c r="F601" i="21"/>
  <c r="E601" i="21"/>
  <c r="R600" i="21"/>
  <c r="Q600" i="21"/>
  <c r="F600" i="21"/>
  <c r="E600" i="21"/>
  <c r="R599" i="21"/>
  <c r="Q599" i="21"/>
  <c r="F599" i="21"/>
  <c r="E599" i="21"/>
  <c r="R598" i="21"/>
  <c r="Q598" i="21"/>
  <c r="F598" i="21"/>
  <c r="E598" i="21"/>
  <c r="R597" i="21"/>
  <c r="Q597" i="21"/>
  <c r="F597" i="21"/>
  <c r="E597" i="21"/>
  <c r="R596" i="21"/>
  <c r="Q596" i="21"/>
  <c r="F596" i="21"/>
  <c r="E596" i="21"/>
  <c r="R595" i="21"/>
  <c r="Q595" i="21"/>
  <c r="F595" i="21"/>
  <c r="E595" i="21"/>
  <c r="R594" i="21"/>
  <c r="Q594" i="21"/>
  <c r="F594" i="21"/>
  <c r="E594" i="21"/>
  <c r="R593" i="21"/>
  <c r="Q593" i="21"/>
  <c r="F593" i="21"/>
  <c r="E593" i="21"/>
  <c r="R592" i="21"/>
  <c r="Q592" i="21"/>
  <c r="F592" i="21"/>
  <c r="E592" i="21"/>
  <c r="R591" i="21"/>
  <c r="Q591" i="21"/>
  <c r="F591" i="21"/>
  <c r="E591" i="21"/>
  <c r="R590" i="21"/>
  <c r="Q590" i="21"/>
  <c r="F590" i="21"/>
  <c r="E590" i="21"/>
  <c r="R589" i="21"/>
  <c r="Q589" i="21"/>
  <c r="F589" i="21"/>
  <c r="E589" i="21"/>
  <c r="R588" i="21"/>
  <c r="Q588" i="21"/>
  <c r="F588" i="21"/>
  <c r="E588" i="21"/>
  <c r="R553" i="21"/>
  <c r="Q553" i="21"/>
  <c r="F553" i="21"/>
  <c r="E553" i="21"/>
  <c r="R551" i="21"/>
  <c r="Q551" i="21"/>
  <c r="F551" i="21"/>
  <c r="E551" i="21"/>
  <c r="R549" i="21"/>
  <c r="Q549" i="21"/>
  <c r="F549" i="21"/>
  <c r="E549" i="21"/>
  <c r="R547" i="21"/>
  <c r="Q547" i="21"/>
  <c r="F547" i="21"/>
  <c r="E547" i="21"/>
  <c r="R543" i="21"/>
  <c r="Q543" i="21"/>
  <c r="F543" i="21"/>
  <c r="E543" i="21"/>
  <c r="R540" i="21"/>
  <c r="Q540" i="21"/>
  <c r="F540" i="21"/>
  <c r="E540" i="21"/>
  <c r="R537" i="21"/>
  <c r="Q537" i="21"/>
  <c r="F537" i="21"/>
  <c r="E537" i="21"/>
  <c r="R630" i="21"/>
  <c r="Q630" i="21"/>
  <c r="F630" i="21"/>
  <c r="E630" i="21"/>
  <c r="R529" i="21"/>
  <c r="Q529" i="21"/>
  <c r="F529" i="21"/>
  <c r="E529" i="21"/>
  <c r="R524" i="21"/>
  <c r="Q524" i="21"/>
  <c r="F524" i="21"/>
  <c r="E524" i="21"/>
  <c r="R521" i="21"/>
  <c r="Q521" i="21"/>
  <c r="F521" i="21"/>
  <c r="E521" i="21"/>
  <c r="R519" i="21"/>
  <c r="Q519" i="21"/>
  <c r="F519" i="21"/>
  <c r="E519" i="21"/>
  <c r="R517" i="21"/>
  <c r="Q517" i="21"/>
  <c r="F517" i="21"/>
  <c r="E517" i="21"/>
  <c r="R516" i="21"/>
  <c r="Q516" i="21"/>
  <c r="F516" i="21"/>
  <c r="E516" i="21"/>
  <c r="R515" i="21"/>
  <c r="Q515" i="21"/>
  <c r="F515" i="21"/>
  <c r="E515" i="21"/>
  <c r="R512" i="21"/>
  <c r="Q512" i="21"/>
  <c r="F512" i="21"/>
  <c r="E512" i="21"/>
  <c r="R508" i="21"/>
  <c r="Q508" i="21"/>
  <c r="F508" i="21"/>
  <c r="E508" i="21"/>
  <c r="R505" i="21"/>
  <c r="Q505" i="21"/>
  <c r="F505" i="21"/>
  <c r="E505" i="21"/>
  <c r="R502" i="21"/>
  <c r="Q502" i="21"/>
  <c r="F502" i="21"/>
  <c r="E502" i="21"/>
  <c r="R498" i="21"/>
  <c r="Q498" i="21"/>
  <c r="F498" i="21"/>
  <c r="E498" i="21"/>
  <c r="R586" i="21"/>
  <c r="Q586" i="21"/>
  <c r="F586" i="21"/>
  <c r="E586" i="21"/>
  <c r="R585" i="21"/>
  <c r="Q585" i="21"/>
  <c r="F585" i="21"/>
  <c r="E585" i="21"/>
  <c r="R584" i="21"/>
  <c r="Q584" i="21"/>
  <c r="F584" i="21"/>
  <c r="E584" i="21"/>
  <c r="R582" i="21"/>
  <c r="Q582" i="21"/>
  <c r="F582" i="21"/>
  <c r="E582" i="21"/>
  <c r="R581" i="21"/>
  <c r="Q581" i="21"/>
  <c r="F581" i="21"/>
  <c r="E581" i="21"/>
  <c r="R580" i="21"/>
  <c r="Q580" i="21"/>
  <c r="F580" i="21"/>
  <c r="E580" i="21"/>
  <c r="R578" i="21"/>
  <c r="Q578" i="21"/>
  <c r="F578" i="21"/>
  <c r="E578" i="21"/>
  <c r="R577" i="21"/>
  <c r="Q577" i="21"/>
  <c r="F577" i="21"/>
  <c r="E577" i="21"/>
  <c r="R576" i="21"/>
  <c r="Q576" i="21"/>
  <c r="F576" i="21"/>
  <c r="E576" i="21"/>
  <c r="R490" i="21"/>
  <c r="Q490" i="21"/>
  <c r="F490" i="21"/>
  <c r="E490" i="21"/>
  <c r="R488" i="21"/>
  <c r="Q488" i="21"/>
  <c r="F488" i="21"/>
  <c r="E488" i="21"/>
  <c r="R487" i="21"/>
  <c r="Q487" i="21"/>
  <c r="F487" i="21"/>
  <c r="E487" i="21"/>
  <c r="R485" i="21"/>
  <c r="Q485" i="21"/>
  <c r="F485" i="21"/>
  <c r="E485" i="21"/>
  <c r="R484" i="21"/>
  <c r="Q484" i="21"/>
  <c r="F484" i="21"/>
  <c r="E484" i="21"/>
  <c r="R479" i="21"/>
  <c r="Q479" i="21"/>
  <c r="F479" i="21"/>
  <c r="E479" i="21"/>
  <c r="R476" i="21"/>
  <c r="Q476" i="21"/>
  <c r="F476" i="21"/>
  <c r="E476" i="21"/>
  <c r="R471" i="21"/>
  <c r="Q471" i="21"/>
  <c r="F471" i="21"/>
  <c r="E471" i="21"/>
  <c r="R469" i="21"/>
  <c r="Q469" i="21"/>
  <c r="F469" i="21"/>
  <c r="E469" i="21"/>
  <c r="R462" i="21"/>
  <c r="Q462" i="21"/>
  <c r="F462" i="21"/>
  <c r="E462" i="21"/>
  <c r="R455" i="21"/>
  <c r="Q455" i="21"/>
  <c r="F455" i="21"/>
  <c r="E455" i="21"/>
  <c r="R408" i="21"/>
  <c r="Q408" i="21"/>
  <c r="F408" i="21"/>
  <c r="E408" i="21"/>
  <c r="R407" i="21"/>
  <c r="Q407" i="21"/>
  <c r="F407" i="21"/>
  <c r="E407" i="21"/>
  <c r="R406" i="21"/>
  <c r="Q406" i="21"/>
  <c r="F406" i="21"/>
  <c r="E406" i="21"/>
  <c r="R405" i="21"/>
  <c r="Q405" i="21"/>
  <c r="F405" i="21"/>
  <c r="E405" i="21"/>
  <c r="R403" i="21"/>
  <c r="Q403" i="21"/>
  <c r="F403" i="21"/>
  <c r="E403" i="21"/>
  <c r="R402" i="21"/>
  <c r="Q402" i="21"/>
  <c r="F402" i="21"/>
  <c r="E402" i="21"/>
  <c r="R401" i="21"/>
  <c r="Q401" i="21"/>
  <c r="F401" i="21"/>
  <c r="E401" i="21"/>
  <c r="R400" i="21"/>
  <c r="Q400" i="21"/>
  <c r="F400" i="21"/>
  <c r="E400" i="21"/>
  <c r="R398" i="21"/>
  <c r="Q398" i="21"/>
  <c r="F398" i="21"/>
  <c r="E398" i="21"/>
  <c r="R397" i="21"/>
  <c r="Q397" i="21"/>
  <c r="F397" i="21"/>
  <c r="E397" i="21"/>
  <c r="R396" i="21"/>
  <c r="Q396" i="21"/>
  <c r="F396" i="21"/>
  <c r="E396" i="21"/>
  <c r="R395" i="21"/>
  <c r="Q395" i="21"/>
  <c r="F395" i="21"/>
  <c r="E395" i="21"/>
  <c r="R394" i="21"/>
  <c r="Q394" i="21"/>
  <c r="F394" i="21"/>
  <c r="E394" i="21"/>
  <c r="R393" i="21"/>
  <c r="Q393" i="21"/>
  <c r="F393" i="21"/>
  <c r="E393" i="21"/>
  <c r="R391" i="21"/>
  <c r="Q391" i="21"/>
  <c r="F391" i="21"/>
  <c r="E391" i="21"/>
  <c r="R390" i="21"/>
  <c r="Q390" i="21"/>
  <c r="F390" i="21"/>
  <c r="E390" i="21"/>
  <c r="R389" i="21"/>
  <c r="Q389" i="21"/>
  <c r="F389" i="21"/>
  <c r="E389" i="21"/>
  <c r="R387" i="21"/>
  <c r="Q387" i="21"/>
  <c r="F387" i="21"/>
  <c r="E387" i="21"/>
  <c r="R386" i="21"/>
  <c r="Q386" i="21"/>
  <c r="F386" i="21"/>
  <c r="E386" i="21"/>
  <c r="R385" i="21"/>
  <c r="Q385" i="21"/>
  <c r="F385" i="21"/>
  <c r="E385" i="21"/>
  <c r="R384" i="21"/>
  <c r="Q384" i="21"/>
  <c r="F384" i="21"/>
  <c r="E384" i="21"/>
  <c r="R383" i="21"/>
  <c r="Q383" i="21"/>
  <c r="F383" i="21"/>
  <c r="E383" i="21"/>
  <c r="R381" i="21"/>
  <c r="Q381" i="21"/>
  <c r="F381" i="21"/>
  <c r="E381" i="21"/>
  <c r="R380" i="21"/>
  <c r="Q380" i="21"/>
  <c r="F380" i="21"/>
  <c r="E380" i="21"/>
  <c r="R379" i="21"/>
  <c r="Q379" i="21"/>
  <c r="F379" i="21"/>
  <c r="E379" i="21"/>
  <c r="R453" i="21"/>
  <c r="Q453" i="21"/>
  <c r="F453" i="21"/>
  <c r="E453" i="21"/>
  <c r="R452" i="21"/>
  <c r="Q452" i="21"/>
  <c r="F452" i="21"/>
  <c r="E452" i="21"/>
  <c r="R451" i="21"/>
  <c r="Q451" i="21"/>
  <c r="F451" i="21"/>
  <c r="E451" i="21"/>
  <c r="R450" i="21"/>
  <c r="Q450" i="21"/>
  <c r="F450" i="21"/>
  <c r="E450" i="21"/>
  <c r="R449" i="21"/>
  <c r="Q449" i="21"/>
  <c r="F449" i="21"/>
  <c r="E449" i="21"/>
  <c r="R448" i="21"/>
  <c r="Q448" i="21"/>
  <c r="F448" i="21"/>
  <c r="E448" i="21"/>
  <c r="R447" i="21"/>
  <c r="Q447" i="21"/>
  <c r="F447" i="21"/>
  <c r="E447" i="21"/>
  <c r="R446" i="21"/>
  <c r="Q446" i="21"/>
  <c r="F446" i="21"/>
  <c r="E446" i="21"/>
  <c r="R443" i="21"/>
  <c r="Q443" i="21"/>
  <c r="F443" i="21"/>
  <c r="E443" i="21"/>
  <c r="R442" i="21"/>
  <c r="Q442" i="21"/>
  <c r="F442" i="21"/>
  <c r="E442" i="21"/>
  <c r="R441" i="21"/>
  <c r="Q441" i="21"/>
  <c r="F441" i="21"/>
  <c r="E441" i="21"/>
  <c r="R440" i="21"/>
  <c r="Q440" i="21"/>
  <c r="F440" i="21"/>
  <c r="E440" i="21"/>
  <c r="R436" i="21"/>
  <c r="Q436" i="21"/>
  <c r="F436" i="21"/>
  <c r="E436" i="21"/>
  <c r="R435" i="21"/>
  <c r="Q435" i="21"/>
  <c r="F435" i="21"/>
  <c r="E435" i="21"/>
  <c r="R434" i="21"/>
  <c r="Q434" i="21"/>
  <c r="F434" i="21"/>
  <c r="E434" i="21"/>
  <c r="R433" i="21"/>
  <c r="Q433" i="21"/>
  <c r="F433" i="21"/>
  <c r="E433" i="21"/>
  <c r="R432" i="21"/>
  <c r="Q432" i="21"/>
  <c r="F432" i="21"/>
  <c r="E432" i="21"/>
  <c r="R431" i="21"/>
  <c r="Q431" i="21"/>
  <c r="F431" i="21"/>
  <c r="E431" i="21"/>
  <c r="R430" i="21"/>
  <c r="Q430" i="21"/>
  <c r="F430" i="21"/>
  <c r="E430" i="21"/>
  <c r="R429" i="21"/>
  <c r="Q429" i="21"/>
  <c r="F429" i="21"/>
  <c r="E429" i="21"/>
  <c r="R427" i="21"/>
  <c r="Q427" i="21"/>
  <c r="F427" i="21"/>
  <c r="E427" i="21"/>
  <c r="R426" i="21"/>
  <c r="Q426" i="21"/>
  <c r="F426" i="21"/>
  <c r="E426" i="21"/>
  <c r="R424" i="21"/>
  <c r="Q424" i="21"/>
  <c r="F424" i="21"/>
  <c r="E424" i="21"/>
  <c r="R423" i="21"/>
  <c r="Q423" i="21"/>
  <c r="F423" i="21"/>
  <c r="E423" i="21"/>
  <c r="R422" i="21"/>
  <c r="Q422" i="21"/>
  <c r="F422" i="21"/>
  <c r="E422" i="21"/>
  <c r="R420" i="21"/>
  <c r="Q420" i="21"/>
  <c r="F420" i="21"/>
  <c r="E420" i="21"/>
  <c r="R419" i="21"/>
  <c r="Q419" i="21"/>
  <c r="F419" i="21"/>
  <c r="E419" i="21"/>
  <c r="R417" i="21"/>
  <c r="Q417" i="21"/>
  <c r="F417" i="21"/>
  <c r="E417" i="21"/>
  <c r="R416" i="21"/>
  <c r="Q416" i="21"/>
  <c r="F416" i="21"/>
  <c r="E416" i="21"/>
  <c r="R415" i="21"/>
  <c r="Q415" i="21"/>
  <c r="F415" i="21"/>
  <c r="E415" i="21"/>
  <c r="R413" i="21"/>
  <c r="Q413" i="21"/>
  <c r="F413" i="21"/>
  <c r="E413" i="21"/>
  <c r="R412" i="21"/>
  <c r="Q412" i="21"/>
  <c r="F412" i="21"/>
  <c r="E412" i="21"/>
  <c r="R411" i="21"/>
  <c r="Q411" i="21"/>
  <c r="F411" i="21"/>
  <c r="E411" i="21"/>
  <c r="R378" i="21"/>
  <c r="Q378" i="21"/>
  <c r="F378" i="21"/>
  <c r="E378" i="21"/>
  <c r="R377" i="21"/>
  <c r="Q377" i="21"/>
  <c r="F377" i="21"/>
  <c r="E377" i="21"/>
  <c r="R376" i="21"/>
  <c r="Q376" i="21"/>
  <c r="F376" i="21"/>
  <c r="E376" i="21"/>
  <c r="R375" i="21"/>
  <c r="Q375" i="21"/>
  <c r="F375" i="21"/>
  <c r="E375" i="21"/>
  <c r="R374" i="21"/>
  <c r="Q374" i="21"/>
  <c r="F374" i="21"/>
  <c r="E374" i="21"/>
  <c r="R373" i="21"/>
  <c r="Q373" i="21"/>
  <c r="F373" i="21"/>
  <c r="E373" i="21"/>
  <c r="R372" i="21"/>
  <c r="Q372" i="21"/>
  <c r="F372" i="21"/>
  <c r="E372" i="21"/>
  <c r="R371" i="21"/>
  <c r="Q371" i="21"/>
  <c r="F371" i="21"/>
  <c r="E371" i="21"/>
  <c r="R370" i="21"/>
  <c r="Q370" i="21"/>
  <c r="F370" i="21"/>
  <c r="E370" i="21"/>
  <c r="R369" i="21"/>
  <c r="Q369" i="21"/>
  <c r="F369" i="21"/>
  <c r="E369" i="21"/>
  <c r="R368" i="21"/>
  <c r="Q368" i="21"/>
  <c r="F368" i="21"/>
  <c r="E368" i="21"/>
  <c r="R367" i="21"/>
  <c r="Q367" i="21"/>
  <c r="F367" i="21"/>
  <c r="E367" i="21"/>
  <c r="R366" i="21"/>
  <c r="Q366" i="21"/>
  <c r="F366" i="21"/>
  <c r="E366" i="21"/>
  <c r="R365" i="21"/>
  <c r="Q365" i="21"/>
  <c r="F365" i="21"/>
  <c r="E365" i="21"/>
  <c r="R364" i="21"/>
  <c r="Q364" i="21"/>
  <c r="F364" i="21"/>
  <c r="E364" i="21"/>
  <c r="R363" i="21"/>
  <c r="Q363" i="21"/>
  <c r="F363" i="21"/>
  <c r="E363" i="21"/>
  <c r="R361" i="21"/>
  <c r="Q361" i="21"/>
  <c r="F361" i="21"/>
  <c r="E361" i="21"/>
  <c r="R360" i="21"/>
  <c r="Q360" i="21"/>
  <c r="F360" i="21"/>
  <c r="E360" i="21"/>
  <c r="R359" i="21"/>
  <c r="Q359" i="21"/>
  <c r="F359" i="21"/>
  <c r="E359" i="21"/>
  <c r="R358" i="21"/>
  <c r="Q358" i="21"/>
  <c r="F358" i="21"/>
  <c r="E358" i="21"/>
  <c r="R357" i="21"/>
  <c r="Q357" i="21"/>
  <c r="F357" i="21"/>
  <c r="E357" i="21"/>
  <c r="R356" i="21"/>
  <c r="Q356" i="21"/>
  <c r="F356" i="21"/>
  <c r="E356" i="21"/>
  <c r="R355" i="21"/>
  <c r="Q355" i="21"/>
  <c r="F355" i="21"/>
  <c r="E355" i="21"/>
  <c r="R354" i="21"/>
  <c r="Q354" i="21"/>
  <c r="F354" i="21"/>
  <c r="E354" i="21"/>
  <c r="R353" i="21"/>
  <c r="Q353" i="21"/>
  <c r="F353" i="21"/>
  <c r="E353" i="21"/>
  <c r="R352" i="21"/>
  <c r="Q352" i="21"/>
  <c r="F352" i="21"/>
  <c r="E352" i="21"/>
  <c r="R349" i="21"/>
  <c r="Q349" i="21"/>
  <c r="F349" i="21"/>
  <c r="E349" i="21"/>
  <c r="R348" i="21"/>
  <c r="Q348" i="21"/>
  <c r="F348" i="21"/>
  <c r="E348" i="21"/>
  <c r="R347" i="21"/>
  <c r="Q347" i="21"/>
  <c r="F347" i="21"/>
  <c r="E347" i="21"/>
  <c r="R346" i="21"/>
  <c r="Q346" i="21"/>
  <c r="F346" i="21"/>
  <c r="E346" i="21"/>
  <c r="R345" i="21"/>
  <c r="Q345" i="21"/>
  <c r="F345" i="21"/>
  <c r="E345" i="21"/>
  <c r="R343" i="21"/>
  <c r="Q343" i="21"/>
  <c r="F343" i="21"/>
  <c r="E343" i="21"/>
  <c r="R342" i="21"/>
  <c r="Q342" i="21"/>
  <c r="F342" i="21"/>
  <c r="E342" i="21"/>
  <c r="R341" i="21"/>
  <c r="Q341" i="21"/>
  <c r="F341" i="21"/>
  <c r="E341" i="21"/>
  <c r="R340" i="21"/>
  <c r="Q340" i="21"/>
  <c r="F340" i="21"/>
  <c r="E340" i="21"/>
  <c r="R339" i="21"/>
  <c r="Q339" i="21"/>
  <c r="F339" i="21"/>
  <c r="E339" i="21"/>
  <c r="R338" i="21"/>
  <c r="Q338" i="21"/>
  <c r="F338" i="21"/>
  <c r="E338" i="21"/>
  <c r="R337" i="21"/>
  <c r="Q337" i="21"/>
  <c r="F337" i="21"/>
  <c r="E337" i="21"/>
  <c r="R336" i="21"/>
  <c r="Q336" i="21"/>
  <c r="F336" i="21"/>
  <c r="E336" i="21"/>
  <c r="R335" i="21"/>
  <c r="Q335" i="21"/>
  <c r="F335" i="21"/>
  <c r="E335" i="21"/>
  <c r="R332" i="21"/>
  <c r="Q332" i="21"/>
  <c r="F332" i="21"/>
  <c r="E332" i="21"/>
  <c r="R331" i="21"/>
  <c r="Q331" i="21"/>
  <c r="F331" i="21"/>
  <c r="E331" i="21"/>
  <c r="R330" i="21"/>
  <c r="Q330" i="21"/>
  <c r="F330" i="21"/>
  <c r="E330" i="21"/>
  <c r="R329" i="21"/>
  <c r="Q329" i="21"/>
  <c r="F329" i="21"/>
  <c r="E329" i="21"/>
  <c r="R328" i="21"/>
  <c r="Q328" i="21"/>
  <c r="F328" i="21"/>
  <c r="E328" i="21"/>
  <c r="R325" i="21"/>
  <c r="Q325" i="21"/>
  <c r="F325" i="21"/>
  <c r="E325" i="21"/>
  <c r="R324" i="21"/>
  <c r="Q324" i="21"/>
  <c r="F324" i="21"/>
  <c r="E324" i="21"/>
  <c r="R323" i="21"/>
  <c r="Q323" i="21"/>
  <c r="F323" i="21"/>
  <c r="E323" i="21"/>
  <c r="R317" i="21"/>
  <c r="Q317" i="21"/>
  <c r="F317" i="21"/>
  <c r="E317" i="21"/>
  <c r="R316" i="21"/>
  <c r="Q316" i="21"/>
  <c r="F316" i="21"/>
  <c r="E316" i="21"/>
  <c r="R315" i="21"/>
  <c r="Q315" i="21"/>
  <c r="F315" i="21"/>
  <c r="E315" i="21"/>
  <c r="R313" i="21"/>
  <c r="Q313" i="21"/>
  <c r="F313" i="21"/>
  <c r="E313" i="21"/>
  <c r="R312" i="21"/>
  <c r="Q312" i="21"/>
  <c r="F312" i="21"/>
  <c r="E312" i="21"/>
  <c r="R311" i="21"/>
  <c r="Q311" i="21"/>
  <c r="F311" i="21"/>
  <c r="E311" i="21"/>
  <c r="R309" i="21"/>
  <c r="Q309" i="21"/>
  <c r="F309" i="21"/>
  <c r="E309" i="21"/>
  <c r="R308" i="21"/>
  <c r="Q308" i="21"/>
  <c r="F308" i="21"/>
  <c r="E308" i="21"/>
  <c r="R306" i="21"/>
  <c r="Q306" i="21"/>
  <c r="F306" i="21"/>
  <c r="E306" i="21"/>
  <c r="R305" i="21"/>
  <c r="Q305" i="21"/>
  <c r="F305" i="21"/>
  <c r="E305" i="21"/>
  <c r="R304" i="21"/>
  <c r="Q304" i="21"/>
  <c r="F304" i="21"/>
  <c r="E304" i="21"/>
  <c r="R303" i="21"/>
  <c r="Q303" i="21"/>
  <c r="F303" i="21"/>
  <c r="E303" i="21"/>
  <c r="R302" i="21"/>
  <c r="Q302" i="21"/>
  <c r="F302" i="21"/>
  <c r="E302" i="21"/>
  <c r="R301" i="21"/>
  <c r="Q301" i="21"/>
  <c r="F301" i="21"/>
  <c r="E301" i="21"/>
  <c r="R300" i="21"/>
  <c r="Q300" i="21"/>
  <c r="F300" i="21"/>
  <c r="E300" i="21"/>
  <c r="R299" i="21"/>
  <c r="Q299" i="21"/>
  <c r="F299" i="21"/>
  <c r="E299" i="21"/>
  <c r="R298" i="21"/>
  <c r="Q298" i="21"/>
  <c r="F298" i="21"/>
  <c r="E298" i="21"/>
  <c r="R297" i="21"/>
  <c r="Q297" i="21"/>
  <c r="F297" i="21"/>
  <c r="E297" i="21"/>
  <c r="R296" i="21"/>
  <c r="Q296" i="21"/>
  <c r="F296" i="21"/>
  <c r="E296" i="21"/>
  <c r="R295" i="21"/>
  <c r="Q295" i="21"/>
  <c r="F295" i="21"/>
  <c r="E295" i="21"/>
  <c r="R294" i="21"/>
  <c r="Q294" i="21"/>
  <c r="F294" i="21"/>
  <c r="E294" i="21"/>
  <c r="R293" i="21"/>
  <c r="Q293" i="21"/>
  <c r="F293" i="21"/>
  <c r="E293" i="21"/>
  <c r="R292" i="21"/>
  <c r="Q292" i="21"/>
  <c r="F292" i="21"/>
  <c r="E292" i="21"/>
  <c r="R291" i="21"/>
  <c r="Q291" i="21"/>
  <c r="F291" i="21"/>
  <c r="E291" i="21"/>
  <c r="R290" i="21"/>
  <c r="Q290" i="21"/>
  <c r="F290" i="21"/>
  <c r="E290" i="21"/>
  <c r="R289" i="21"/>
  <c r="Q289" i="21"/>
  <c r="F289" i="21"/>
  <c r="E289" i="21"/>
  <c r="R287" i="21"/>
  <c r="Q287" i="21"/>
  <c r="F287" i="21"/>
  <c r="E287" i="21"/>
  <c r="R286" i="21"/>
  <c r="Q286" i="21"/>
  <c r="F286" i="21"/>
  <c r="E286" i="21"/>
  <c r="R285" i="21"/>
  <c r="Q285" i="21"/>
  <c r="F285" i="21"/>
  <c r="E285" i="21"/>
  <c r="R284" i="21"/>
  <c r="Q284" i="21"/>
  <c r="F284" i="21"/>
  <c r="E284" i="21"/>
  <c r="R281" i="21"/>
  <c r="Q281" i="21"/>
  <c r="F281" i="21"/>
  <c r="E281" i="21"/>
  <c r="R280" i="21"/>
  <c r="Q280" i="21"/>
  <c r="F280" i="21"/>
  <c r="E280" i="21"/>
  <c r="R279" i="21"/>
  <c r="Q279" i="21"/>
  <c r="F279" i="21"/>
  <c r="E279" i="21"/>
  <c r="R278" i="21"/>
  <c r="Q278" i="21"/>
  <c r="F278" i="21"/>
  <c r="E278" i="21"/>
  <c r="R277" i="21"/>
  <c r="Q277" i="21"/>
  <c r="F277" i="21"/>
  <c r="E277" i="21"/>
  <c r="R276" i="21"/>
  <c r="Q276" i="21"/>
  <c r="F276" i="21"/>
  <c r="E276" i="21"/>
  <c r="R275" i="21"/>
  <c r="Q275" i="21"/>
  <c r="F275" i="21"/>
  <c r="E275" i="21"/>
  <c r="R273" i="21"/>
  <c r="Q273" i="21"/>
  <c r="F273" i="21"/>
  <c r="E273" i="21"/>
  <c r="R272" i="21"/>
  <c r="Q272" i="21"/>
  <c r="F272" i="21"/>
  <c r="E272" i="21"/>
  <c r="R271" i="21"/>
  <c r="Q271" i="21"/>
  <c r="F271" i="21"/>
  <c r="E271" i="21"/>
  <c r="R270" i="21"/>
  <c r="Q270" i="21"/>
  <c r="F270" i="21"/>
  <c r="E270" i="21"/>
  <c r="R269" i="21"/>
  <c r="Q269" i="21"/>
  <c r="F269" i="21"/>
  <c r="E269" i="21"/>
  <c r="R268" i="21"/>
  <c r="Q268" i="21"/>
  <c r="F268" i="21"/>
  <c r="E268" i="21"/>
  <c r="R267" i="21"/>
  <c r="Q267" i="21"/>
  <c r="F267" i="21"/>
  <c r="E267" i="21"/>
  <c r="R266" i="21"/>
  <c r="Q266" i="21"/>
  <c r="F266" i="21"/>
  <c r="E266" i="21"/>
  <c r="R265" i="21"/>
  <c r="Q265" i="21"/>
  <c r="F265" i="21"/>
  <c r="E265" i="21"/>
  <c r="R263" i="21"/>
  <c r="F263" i="21"/>
  <c r="E263" i="21"/>
  <c r="R262" i="21"/>
  <c r="F262" i="21"/>
  <c r="E262" i="21"/>
  <c r="R261" i="21"/>
  <c r="F261" i="21"/>
  <c r="E261" i="21"/>
  <c r="R260" i="21"/>
  <c r="F260" i="21"/>
  <c r="E260" i="21"/>
  <c r="R259" i="21"/>
  <c r="F259" i="21"/>
  <c r="E259" i="21"/>
  <c r="R258" i="21"/>
  <c r="F258" i="21"/>
  <c r="E258" i="21"/>
  <c r="R257" i="21"/>
  <c r="F257" i="21"/>
  <c r="E257" i="21"/>
  <c r="R255" i="21"/>
  <c r="F255" i="21"/>
  <c r="E255" i="21"/>
  <c r="R254" i="21"/>
  <c r="F254" i="21"/>
  <c r="E254" i="21"/>
  <c r="R253" i="21"/>
  <c r="F253" i="21"/>
  <c r="E253" i="21"/>
  <c r="R252" i="21"/>
  <c r="F252" i="21"/>
  <c r="E252" i="21"/>
  <c r="R251" i="21"/>
  <c r="F251" i="21"/>
  <c r="E251" i="21"/>
  <c r="R250" i="21"/>
  <c r="F250" i="21"/>
  <c r="E250" i="21"/>
  <c r="R247" i="21"/>
  <c r="F247" i="21"/>
  <c r="E247" i="21"/>
  <c r="R246" i="21"/>
  <c r="F246" i="21"/>
  <c r="E246" i="21"/>
  <c r="R245" i="21"/>
  <c r="F245" i="21"/>
  <c r="E245" i="21"/>
  <c r="R244" i="21"/>
  <c r="F244" i="21"/>
  <c r="E244" i="21"/>
  <c r="R243" i="21"/>
  <c r="F243" i="21"/>
  <c r="E243" i="21"/>
  <c r="R242" i="21"/>
  <c r="F242" i="21"/>
  <c r="E242" i="21"/>
  <c r="R239" i="21"/>
  <c r="F239" i="21"/>
  <c r="E239" i="21"/>
  <c r="R238" i="21"/>
  <c r="F238" i="21"/>
  <c r="E238" i="21"/>
  <c r="R237" i="21"/>
  <c r="F237" i="21"/>
  <c r="E237" i="21"/>
  <c r="R236" i="21"/>
  <c r="F236" i="21"/>
  <c r="E236" i="21"/>
  <c r="R235" i="21"/>
  <c r="F235" i="21"/>
  <c r="E235" i="21"/>
  <c r="R233" i="21"/>
  <c r="Q233" i="21"/>
  <c r="F233" i="21"/>
  <c r="E233" i="21"/>
  <c r="R232" i="21"/>
  <c r="Q232" i="21"/>
  <c r="F232" i="21"/>
  <c r="E232" i="21"/>
  <c r="R231" i="21"/>
  <c r="Q231" i="21"/>
  <c r="F231" i="21"/>
  <c r="E231" i="21"/>
  <c r="R230" i="21"/>
  <c r="Q230" i="21"/>
  <c r="F230" i="21"/>
  <c r="E230" i="21"/>
  <c r="R227" i="21"/>
  <c r="Q227" i="21"/>
  <c r="F227" i="21"/>
  <c r="E227" i="21"/>
  <c r="R226" i="21"/>
  <c r="Q226" i="21"/>
  <c r="F226" i="21"/>
  <c r="E226" i="21"/>
  <c r="R225" i="21"/>
  <c r="Q225" i="21"/>
  <c r="F225" i="21"/>
  <c r="E225" i="21"/>
  <c r="R224" i="21"/>
  <c r="Q224" i="21"/>
  <c r="F224" i="21"/>
  <c r="E224" i="21"/>
  <c r="R223" i="21"/>
  <c r="Q223" i="21"/>
  <c r="F223" i="21"/>
  <c r="E223" i="21"/>
  <c r="R222" i="21"/>
  <c r="Q222" i="21"/>
  <c r="F222" i="21"/>
  <c r="E222" i="21"/>
  <c r="R221" i="21"/>
  <c r="Q221" i="21"/>
  <c r="F221" i="21"/>
  <c r="E221" i="21"/>
  <c r="R220" i="21"/>
  <c r="Q220" i="21"/>
  <c r="F220" i="21"/>
  <c r="E220" i="21"/>
  <c r="R218" i="21"/>
  <c r="Q218" i="21"/>
  <c r="F218" i="21"/>
  <c r="E218" i="21"/>
  <c r="R217" i="21"/>
  <c r="Q217" i="21"/>
  <c r="F217" i="21"/>
  <c r="E217" i="21"/>
  <c r="R216" i="21"/>
  <c r="Q216" i="21"/>
  <c r="F216" i="21"/>
  <c r="E216" i="21"/>
  <c r="R215" i="21"/>
  <c r="Q215" i="21"/>
  <c r="F215" i="21"/>
  <c r="E215" i="21"/>
  <c r="R203" i="21"/>
  <c r="Q203" i="21"/>
  <c r="F203" i="21"/>
  <c r="E203" i="21"/>
  <c r="R202" i="21"/>
  <c r="Q202" i="21"/>
  <c r="F202" i="21"/>
  <c r="E202" i="21"/>
  <c r="R213" i="21"/>
  <c r="Q213" i="21"/>
  <c r="F213" i="21"/>
  <c r="E213" i="21"/>
  <c r="R212" i="21"/>
  <c r="Q212" i="21"/>
  <c r="F212" i="21"/>
  <c r="E212" i="21"/>
  <c r="R211" i="21"/>
  <c r="Q211" i="21"/>
  <c r="F211" i="21"/>
  <c r="E211" i="21"/>
  <c r="R210" i="21"/>
  <c r="Q210" i="21"/>
  <c r="F210" i="21"/>
  <c r="E210" i="21"/>
  <c r="R209" i="21"/>
  <c r="Q209" i="21"/>
  <c r="F209" i="21"/>
  <c r="E209" i="21"/>
  <c r="R208" i="21"/>
  <c r="Q208" i="21"/>
  <c r="F208" i="21"/>
  <c r="E208" i="21"/>
  <c r="R207" i="21"/>
  <c r="Q207" i="21"/>
  <c r="F207" i="21"/>
  <c r="E207" i="21"/>
  <c r="R206" i="21"/>
  <c r="Q206" i="21"/>
  <c r="F206" i="21"/>
  <c r="E206" i="21"/>
  <c r="R205" i="21"/>
  <c r="Q205" i="21"/>
  <c r="F205" i="21"/>
  <c r="E205" i="21"/>
  <c r="R204" i="21"/>
  <c r="Q204" i="21"/>
  <c r="F204" i="21"/>
  <c r="E204" i="21"/>
  <c r="R200" i="21"/>
  <c r="Q200" i="21"/>
  <c r="F200" i="21"/>
  <c r="E200" i="21"/>
  <c r="R199" i="21"/>
  <c r="Q199" i="21"/>
  <c r="F199" i="21"/>
  <c r="E199" i="21"/>
  <c r="R197" i="21"/>
  <c r="Q197" i="21"/>
  <c r="F197" i="21"/>
  <c r="E197" i="21"/>
  <c r="R196" i="21"/>
  <c r="Q196" i="21"/>
  <c r="F196" i="21"/>
  <c r="E196" i="21"/>
  <c r="R177" i="21"/>
  <c r="Q177" i="21"/>
  <c r="F177" i="21"/>
  <c r="E177" i="21"/>
  <c r="R176" i="21"/>
  <c r="Q176" i="21"/>
  <c r="F176" i="21"/>
  <c r="E176" i="21"/>
  <c r="R175" i="21"/>
  <c r="Q175" i="21"/>
  <c r="F175" i="21"/>
  <c r="E175" i="21"/>
  <c r="R173" i="21"/>
  <c r="Q173" i="21"/>
  <c r="F173" i="21"/>
  <c r="E173" i="21"/>
  <c r="R172" i="21"/>
  <c r="Q172" i="21"/>
  <c r="F172" i="21"/>
  <c r="E172" i="21"/>
  <c r="R171" i="21"/>
  <c r="Q171" i="21"/>
  <c r="F171" i="21"/>
  <c r="E171" i="21"/>
  <c r="R170" i="21"/>
  <c r="Q170" i="21"/>
  <c r="F170" i="21"/>
  <c r="E170" i="21"/>
  <c r="R130" i="21"/>
  <c r="Q130" i="21"/>
  <c r="F130" i="21"/>
  <c r="E130" i="21"/>
  <c r="R129" i="21"/>
  <c r="Q129" i="21"/>
  <c r="F129" i="21"/>
  <c r="E129" i="21"/>
  <c r="R128" i="21"/>
  <c r="Q128" i="21"/>
  <c r="F128" i="21"/>
  <c r="E128" i="21"/>
  <c r="R127" i="21"/>
  <c r="Q127" i="21"/>
  <c r="F127" i="21"/>
  <c r="E127" i="21"/>
  <c r="R126" i="21"/>
  <c r="Q126" i="21"/>
  <c r="F126" i="21"/>
  <c r="E126" i="21"/>
  <c r="R125" i="21"/>
  <c r="Q125" i="21"/>
  <c r="F125" i="21"/>
  <c r="E125" i="21"/>
  <c r="R124" i="21"/>
  <c r="Q124" i="21"/>
  <c r="F124" i="21"/>
  <c r="E124" i="21"/>
  <c r="R168" i="21"/>
  <c r="Q168" i="21"/>
  <c r="F168" i="21"/>
  <c r="E168" i="21"/>
  <c r="R167" i="21"/>
  <c r="Q167" i="21"/>
  <c r="F167" i="21"/>
  <c r="E167" i="21"/>
  <c r="R166" i="21"/>
  <c r="Q166" i="21"/>
  <c r="F166" i="21"/>
  <c r="E166" i="21"/>
  <c r="R165" i="21"/>
  <c r="Q165" i="21"/>
  <c r="F165" i="21"/>
  <c r="E165" i="21"/>
  <c r="R164" i="21"/>
  <c r="Q164" i="21"/>
  <c r="F164" i="21"/>
  <c r="E164" i="21"/>
  <c r="R163" i="21"/>
  <c r="Q163" i="21"/>
  <c r="F163" i="21"/>
  <c r="E163" i="21"/>
  <c r="R162" i="21"/>
  <c r="Q162" i="21"/>
  <c r="F162" i="21"/>
  <c r="E162" i="21"/>
  <c r="R161" i="21"/>
  <c r="Q161" i="21"/>
  <c r="F161" i="21"/>
  <c r="E161" i="21"/>
  <c r="R160" i="21"/>
  <c r="Q160" i="21"/>
  <c r="F160" i="21"/>
  <c r="E160" i="21"/>
  <c r="R159" i="21"/>
  <c r="Q159" i="21"/>
  <c r="F159" i="21"/>
  <c r="E159" i="21"/>
  <c r="R158" i="21"/>
  <c r="Q158" i="21"/>
  <c r="F158" i="21"/>
  <c r="E158" i="21"/>
  <c r="R157" i="21"/>
  <c r="Q157" i="21"/>
  <c r="F157" i="21"/>
  <c r="E157" i="21"/>
  <c r="R156" i="21"/>
  <c r="Q156" i="21"/>
  <c r="F156" i="21"/>
  <c r="E156" i="21"/>
  <c r="R154" i="21"/>
  <c r="Q154" i="21"/>
  <c r="F154" i="21"/>
  <c r="E154" i="21"/>
  <c r="R151" i="21"/>
  <c r="Q151" i="21"/>
  <c r="F151" i="21"/>
  <c r="E151" i="21"/>
  <c r="R149" i="21"/>
  <c r="Q149" i="21"/>
  <c r="F149" i="21"/>
  <c r="E149" i="21"/>
  <c r="R146" i="21"/>
  <c r="Q146" i="21"/>
  <c r="F146" i="21"/>
  <c r="E146" i="21"/>
  <c r="R143" i="21"/>
  <c r="Q143" i="21"/>
  <c r="F143" i="21"/>
  <c r="E143" i="21"/>
  <c r="R140" i="21"/>
  <c r="Q140" i="21"/>
  <c r="F140" i="21"/>
  <c r="E140" i="21"/>
  <c r="R138" i="21"/>
  <c r="Q138" i="21"/>
  <c r="F138" i="21"/>
  <c r="E138" i="21"/>
  <c r="R135" i="21"/>
  <c r="Q135" i="21"/>
  <c r="F135" i="21"/>
  <c r="E135" i="21"/>
  <c r="R132" i="21"/>
  <c r="Q132" i="21"/>
  <c r="F132" i="21"/>
  <c r="E132" i="21"/>
  <c r="R153" i="21"/>
  <c r="Q153" i="21"/>
  <c r="F153" i="21"/>
  <c r="E153" i="21"/>
  <c r="R152" i="21"/>
  <c r="Q152" i="21"/>
  <c r="F152" i="21"/>
  <c r="E152" i="21"/>
  <c r="R150" i="21"/>
  <c r="Q150" i="21"/>
  <c r="F150" i="21"/>
  <c r="E150" i="21"/>
  <c r="R148" i="21"/>
  <c r="Q148" i="21"/>
  <c r="F148" i="21"/>
  <c r="E148" i="21"/>
  <c r="R147" i="21"/>
  <c r="Q147" i="21"/>
  <c r="F147" i="21"/>
  <c r="E147" i="21"/>
  <c r="R145" i="21"/>
  <c r="Q145" i="21"/>
  <c r="F145" i="21"/>
  <c r="E145" i="21"/>
  <c r="R144" i="21"/>
  <c r="Q144" i="21"/>
  <c r="F144" i="21"/>
  <c r="E144" i="21"/>
  <c r="R142" i="21"/>
  <c r="Q142" i="21"/>
  <c r="F142" i="21"/>
  <c r="E142" i="21"/>
  <c r="R141" i="21"/>
  <c r="Q141" i="21"/>
  <c r="F141" i="21"/>
  <c r="E141" i="21"/>
  <c r="R139" i="21"/>
  <c r="Q139" i="21"/>
  <c r="F139" i="21"/>
  <c r="E139" i="21"/>
  <c r="R137" i="21"/>
  <c r="Q137" i="21"/>
  <c r="F137" i="21"/>
  <c r="E137" i="21"/>
  <c r="R136" i="21"/>
  <c r="Q136" i="21"/>
  <c r="F136" i="21"/>
  <c r="E136" i="21"/>
  <c r="R134" i="21"/>
  <c r="Q134" i="21"/>
  <c r="F134" i="21"/>
  <c r="E134" i="21"/>
  <c r="R133" i="21"/>
  <c r="Q133" i="21"/>
  <c r="F133" i="21"/>
  <c r="E133" i="21"/>
  <c r="R131" i="21"/>
  <c r="Q131" i="21"/>
  <c r="F131" i="21"/>
  <c r="E131" i="21"/>
  <c r="R118" i="21"/>
  <c r="Q118" i="21"/>
  <c r="F118" i="21"/>
  <c r="E118" i="21"/>
  <c r="R116" i="21"/>
  <c r="Q116" i="21"/>
  <c r="F116" i="21"/>
  <c r="E116" i="21"/>
  <c r="R112" i="21"/>
  <c r="Q112" i="21"/>
  <c r="F112" i="21"/>
  <c r="E112" i="21"/>
  <c r="R111" i="21"/>
  <c r="Q111" i="21"/>
  <c r="F111" i="21"/>
  <c r="E111" i="21"/>
  <c r="R108" i="21"/>
  <c r="Q108" i="21"/>
  <c r="F108" i="21"/>
  <c r="E108" i="21"/>
  <c r="R107" i="21"/>
  <c r="Q107" i="21"/>
  <c r="F107" i="21"/>
  <c r="E107" i="21"/>
  <c r="R104" i="21"/>
  <c r="Q104" i="21"/>
  <c r="F104" i="21"/>
  <c r="E104" i="21"/>
  <c r="R103" i="21"/>
  <c r="Q103" i="21"/>
  <c r="F103" i="21"/>
  <c r="E103" i="21"/>
  <c r="R102" i="21"/>
  <c r="Q102" i="21"/>
  <c r="F102" i="21"/>
  <c r="E102" i="21"/>
  <c r="R101" i="21"/>
  <c r="Q101" i="21"/>
  <c r="F101" i="21"/>
  <c r="E101" i="21"/>
  <c r="R100" i="21"/>
  <c r="Q100" i="21"/>
  <c r="F100" i="21"/>
  <c r="E100" i="21"/>
  <c r="R99" i="21"/>
  <c r="Q99" i="21"/>
  <c r="F99" i="21"/>
  <c r="E99" i="21"/>
  <c r="R98" i="21"/>
  <c r="Q98" i="21"/>
  <c r="F98" i="21"/>
  <c r="E98" i="21"/>
  <c r="R97" i="21"/>
  <c r="Q97" i="21"/>
  <c r="F97" i="21"/>
  <c r="E97" i="21"/>
  <c r="R95" i="21"/>
  <c r="Q95" i="21"/>
  <c r="F95" i="21"/>
  <c r="E95" i="21"/>
  <c r="R94" i="21"/>
  <c r="Q94" i="21"/>
  <c r="F94" i="21"/>
  <c r="E94" i="21"/>
  <c r="R92" i="21"/>
  <c r="Q92" i="21"/>
  <c r="F92" i="21"/>
  <c r="E92" i="21"/>
  <c r="R91" i="21"/>
  <c r="Q91" i="21"/>
  <c r="F91" i="21"/>
  <c r="E91" i="21"/>
  <c r="R89" i="21"/>
  <c r="Q89" i="21"/>
  <c r="F89" i="21"/>
  <c r="E89" i="21"/>
  <c r="R88" i="21"/>
  <c r="Q88" i="21"/>
  <c r="F88" i="21"/>
  <c r="E88" i="21"/>
  <c r="R86" i="21"/>
  <c r="Q86" i="21"/>
  <c r="F86" i="21"/>
  <c r="E86" i="21"/>
  <c r="R85" i="21"/>
  <c r="Q85" i="21"/>
  <c r="F85" i="21"/>
  <c r="E85" i="21"/>
  <c r="R83" i="21"/>
  <c r="Q83" i="21"/>
  <c r="F83" i="21"/>
  <c r="E83" i="21"/>
  <c r="R82" i="21"/>
  <c r="Q82" i="21"/>
  <c r="F82" i="21"/>
  <c r="E82" i="21"/>
  <c r="R80" i="21"/>
  <c r="Q80" i="21"/>
  <c r="F80" i="21"/>
  <c r="E80" i="21"/>
  <c r="R79" i="21"/>
  <c r="Q79" i="21"/>
  <c r="F79" i="21"/>
  <c r="E79" i="21"/>
  <c r="R78" i="21"/>
  <c r="Q78" i="21"/>
  <c r="F78" i="21"/>
  <c r="E78" i="21"/>
  <c r="R75" i="21"/>
  <c r="Q75" i="21"/>
  <c r="F75" i="21"/>
  <c r="E75" i="21"/>
  <c r="R74" i="21"/>
  <c r="Q74" i="21"/>
  <c r="F74" i="21"/>
  <c r="E74" i="21"/>
  <c r="R73" i="21"/>
  <c r="Q73" i="21"/>
  <c r="F73" i="21"/>
  <c r="E73" i="21"/>
  <c r="R72" i="21"/>
  <c r="Q72" i="21"/>
  <c r="F72" i="21"/>
  <c r="E72" i="21"/>
  <c r="R71" i="21"/>
  <c r="Q71" i="21"/>
  <c r="F71" i="21"/>
  <c r="E71" i="21"/>
  <c r="R69" i="21"/>
  <c r="Q69" i="21"/>
  <c r="F69" i="21"/>
  <c r="E69" i="21"/>
  <c r="R68" i="21"/>
  <c r="Q68" i="21"/>
  <c r="F68" i="21"/>
  <c r="E68" i="21"/>
  <c r="R67" i="21"/>
  <c r="Q67" i="21"/>
  <c r="F67" i="21"/>
  <c r="E67" i="21"/>
  <c r="R66" i="21"/>
  <c r="Q66" i="21"/>
  <c r="F66" i="21"/>
  <c r="E66" i="21"/>
  <c r="R65" i="21"/>
  <c r="Q65" i="21"/>
  <c r="F65" i="21"/>
  <c r="E65" i="21"/>
  <c r="R62" i="21"/>
  <c r="Q62" i="21"/>
  <c r="F62" i="21"/>
  <c r="E62" i="21"/>
  <c r="R61" i="21"/>
  <c r="Q61" i="21"/>
  <c r="F61" i="21"/>
  <c r="E61" i="21"/>
  <c r="R60" i="21"/>
  <c r="Q60" i="21"/>
  <c r="F60" i="21"/>
  <c r="E60" i="21"/>
  <c r="R57" i="21"/>
  <c r="Q57" i="21"/>
  <c r="F57" i="21"/>
  <c r="E57" i="21"/>
  <c r="R56" i="21"/>
  <c r="Q56" i="21"/>
  <c r="F56" i="21"/>
  <c r="E56" i="21"/>
  <c r="R55" i="21"/>
  <c r="Q55" i="21"/>
  <c r="F55" i="21"/>
  <c r="E55" i="21"/>
  <c r="R52" i="21"/>
  <c r="Q52" i="21"/>
  <c r="F52" i="21"/>
  <c r="E52" i="21"/>
  <c r="R51" i="21"/>
  <c r="Q51" i="21"/>
  <c r="F51" i="21"/>
  <c r="E51" i="21"/>
  <c r="R50" i="21"/>
  <c r="Q50" i="21"/>
  <c r="F50" i="21"/>
  <c r="E50" i="21"/>
  <c r="R47" i="21"/>
  <c r="Q47" i="21"/>
  <c r="F47" i="21"/>
  <c r="E47" i="21"/>
  <c r="R46" i="21"/>
  <c r="Q46" i="21"/>
  <c r="F46" i="21"/>
  <c r="E46" i="21"/>
  <c r="R45" i="21"/>
  <c r="Q45" i="21"/>
  <c r="F45" i="21"/>
  <c r="E45" i="21"/>
  <c r="R42" i="21"/>
  <c r="Q42" i="21"/>
  <c r="F42" i="21"/>
  <c r="E42" i="21"/>
  <c r="R41" i="21"/>
  <c r="Q41" i="21"/>
  <c r="F41" i="21"/>
  <c r="E41" i="21"/>
  <c r="R40" i="21"/>
  <c r="Q40" i="21"/>
  <c r="F40" i="21"/>
  <c r="E40" i="21"/>
  <c r="R39" i="21"/>
  <c r="Q39" i="21"/>
  <c r="F39" i="21"/>
  <c r="E39" i="21"/>
  <c r="R36" i="21"/>
  <c r="Q36" i="21"/>
  <c r="F36" i="21"/>
  <c r="E36" i="21"/>
  <c r="R35" i="21"/>
  <c r="Q35" i="21"/>
  <c r="F35" i="21"/>
  <c r="E35" i="21"/>
  <c r="R34" i="21"/>
  <c r="Q34" i="21"/>
  <c r="F34" i="21"/>
  <c r="E34" i="21"/>
  <c r="R33" i="21"/>
  <c r="Q33" i="21"/>
  <c r="F33" i="21"/>
  <c r="E33" i="21"/>
  <c r="R31" i="21"/>
  <c r="Q31" i="21"/>
  <c r="F31" i="21"/>
  <c r="E31" i="21"/>
  <c r="R30" i="21"/>
  <c r="Q30" i="21"/>
  <c r="F30" i="21"/>
  <c r="E30" i="21"/>
  <c r="R29" i="21"/>
  <c r="Q29" i="21"/>
  <c r="F29" i="21"/>
  <c r="E29" i="21"/>
  <c r="R28" i="21"/>
  <c r="Q28" i="21"/>
  <c r="F28" i="21"/>
  <c r="E28" i="21"/>
  <c r="R27" i="21"/>
  <c r="Q27" i="21"/>
  <c r="F27" i="21"/>
  <c r="E27" i="21"/>
  <c r="R24" i="21"/>
  <c r="Q24" i="21"/>
  <c r="F24" i="21"/>
  <c r="E24" i="21"/>
  <c r="R23" i="21"/>
  <c r="Q23" i="21"/>
  <c r="F23" i="21"/>
  <c r="E23" i="21"/>
  <c r="R22" i="21"/>
  <c r="Q22" i="21"/>
  <c r="F22" i="21"/>
  <c r="E22" i="21"/>
  <c r="R21" i="21"/>
  <c r="Q21" i="21"/>
  <c r="F21" i="21"/>
  <c r="E21" i="21"/>
  <c r="R18" i="21"/>
  <c r="Q18" i="21"/>
  <c r="F18" i="21"/>
  <c r="E18" i="21"/>
  <c r="R15" i="21"/>
  <c r="Q15" i="21"/>
  <c r="F15" i="21"/>
  <c r="E15" i="21"/>
  <c r="R14" i="21"/>
  <c r="Q14" i="21"/>
  <c r="F14" i="21"/>
  <c r="E14" i="21"/>
  <c r="R11" i="21"/>
  <c r="Q11" i="21"/>
  <c r="F11" i="21"/>
  <c r="E11" i="21"/>
  <c r="R10" i="21"/>
  <c r="Q10" i="21"/>
  <c r="F10" i="21"/>
  <c r="E10" i="21"/>
  <c r="R7" i="21"/>
  <c r="Q7" i="21"/>
  <c r="F7" i="21"/>
  <c r="E7" i="21"/>
  <c r="R6" i="21"/>
  <c r="Q6" i="21"/>
  <c r="F6" i="21"/>
  <c r="E6" i="21"/>
  <c r="R4" i="21"/>
  <c r="Q4" i="21"/>
  <c r="F4" i="21"/>
  <c r="E4" i="21"/>
  <c r="R1195" i="21"/>
  <c r="Q1195" i="21"/>
  <c r="F1195" i="21"/>
  <c r="E1195" i="21"/>
  <c r="R1190" i="21"/>
  <c r="Q1190" i="21"/>
  <c r="F1190" i="21"/>
  <c r="E1190" i="21"/>
  <c r="R1185" i="21"/>
  <c r="Q1185" i="21"/>
  <c r="F1185" i="21"/>
  <c r="E1185" i="21"/>
  <c r="R1180" i="21"/>
  <c r="Q1180" i="21"/>
  <c r="F1180" i="21"/>
  <c r="E1180" i="21"/>
  <c r="R1175" i="21"/>
  <c r="Q1175" i="21"/>
  <c r="F1175" i="21"/>
  <c r="E1175" i="21"/>
  <c r="R1207" i="21"/>
  <c r="Q1207" i="21"/>
  <c r="F1207" i="21"/>
  <c r="E1207" i="21"/>
  <c r="R1168" i="21"/>
  <c r="Q1168" i="21"/>
  <c r="F1168" i="21"/>
  <c r="E1168" i="21"/>
  <c r="R1201" i="21"/>
  <c r="Q1201" i="21"/>
  <c r="F1201" i="21"/>
  <c r="E1201" i="21"/>
  <c r="R1162" i="21"/>
  <c r="Q1162" i="21"/>
  <c r="F1162" i="21"/>
  <c r="E1162" i="21"/>
  <c r="R1092" i="21"/>
  <c r="Q1092" i="21"/>
  <c r="F1092" i="21"/>
  <c r="E1092" i="21"/>
  <c r="R1036" i="21"/>
  <c r="Q1036" i="21"/>
  <c r="F1036" i="21"/>
  <c r="E1036" i="21"/>
  <c r="R1087" i="21"/>
  <c r="Q1087" i="21"/>
  <c r="F1087" i="21"/>
  <c r="E1087" i="21"/>
  <c r="R1029" i="21"/>
  <c r="Q1029" i="21"/>
  <c r="F1029" i="21"/>
  <c r="E1029" i="21"/>
  <c r="R1081" i="21"/>
  <c r="Q1081" i="21"/>
  <c r="F1081" i="21"/>
  <c r="E1081" i="21"/>
  <c r="R1022" i="21"/>
  <c r="Q1022" i="21"/>
  <c r="F1022" i="21"/>
  <c r="E1022" i="21"/>
  <c r="R1075" i="21"/>
  <c r="Q1075" i="21"/>
  <c r="F1075" i="21"/>
  <c r="E1075" i="21"/>
  <c r="R1014" i="21"/>
  <c r="Q1014" i="21"/>
  <c r="F1014" i="21"/>
  <c r="E1014" i="21"/>
  <c r="R1158" i="21"/>
  <c r="F1158" i="21"/>
  <c r="E1158" i="21"/>
  <c r="R1124" i="21"/>
  <c r="Q1124" i="21"/>
  <c r="F1124" i="21"/>
  <c r="E1124" i="21"/>
  <c r="R1070" i="21"/>
  <c r="Q1070" i="21"/>
  <c r="F1070" i="21"/>
  <c r="E1070" i="21"/>
  <c r="R1008" i="21"/>
  <c r="Q1008" i="21"/>
  <c r="F1008" i="21"/>
  <c r="E1008" i="21"/>
  <c r="R1151" i="21"/>
  <c r="F1151" i="21"/>
  <c r="E1151" i="21"/>
  <c r="R1118" i="21"/>
  <c r="Q1118" i="21"/>
  <c r="F1118" i="21"/>
  <c r="E1118" i="21"/>
  <c r="R1066" i="21"/>
  <c r="Q1066" i="21"/>
  <c r="F1066" i="21"/>
  <c r="E1066" i="21"/>
  <c r="R1003" i="21"/>
  <c r="Q1003" i="21"/>
  <c r="F1003" i="21"/>
  <c r="E1003" i="21"/>
  <c r="R1146" i="21"/>
  <c r="F1146" i="21"/>
  <c r="E1146" i="21"/>
  <c r="R1112" i="21"/>
  <c r="Q1112" i="21"/>
  <c r="F1112" i="21"/>
  <c r="E1112" i="21"/>
  <c r="R1061" i="21"/>
  <c r="Q1061" i="21"/>
  <c r="F1061" i="21"/>
  <c r="E1061" i="21"/>
  <c r="R998" i="21"/>
  <c r="Q998" i="21"/>
  <c r="F998" i="21"/>
  <c r="E998" i="21"/>
  <c r="R1139" i="21"/>
  <c r="F1139" i="21"/>
  <c r="E1139" i="21"/>
  <c r="R1105" i="21"/>
  <c r="Q1105" i="21"/>
  <c r="F1105" i="21"/>
  <c r="E1105" i="21"/>
  <c r="R1054" i="21"/>
  <c r="Q1054" i="21"/>
  <c r="F1054" i="21"/>
  <c r="E1054" i="21"/>
  <c r="R989" i="21"/>
  <c r="Q989" i="21"/>
  <c r="F989" i="21"/>
  <c r="E989" i="21"/>
  <c r="R1134" i="21"/>
  <c r="F1134" i="21"/>
  <c r="E1134" i="21"/>
  <c r="R1101" i="21"/>
  <c r="Q1101" i="21"/>
  <c r="F1101" i="21"/>
  <c r="E1101" i="21"/>
  <c r="R1049" i="21"/>
  <c r="Q1049" i="21"/>
  <c r="F1049" i="21"/>
  <c r="E1049" i="21"/>
  <c r="R983" i="21"/>
  <c r="Q983" i="21"/>
  <c r="F983" i="21"/>
  <c r="E983" i="21"/>
  <c r="R1129" i="21"/>
  <c r="F1129" i="21"/>
  <c r="E1129" i="21"/>
  <c r="R1097" i="21"/>
  <c r="Q1097" i="21"/>
  <c r="F1097" i="21"/>
  <c r="E1097" i="21"/>
  <c r="R1042" i="21"/>
  <c r="Q1042" i="21"/>
  <c r="F1042" i="21"/>
  <c r="E1042" i="21"/>
  <c r="R975" i="21"/>
  <c r="Q975" i="21"/>
  <c r="F975" i="21"/>
  <c r="E975" i="21"/>
  <c r="R944" i="21"/>
  <c r="Q944" i="21"/>
  <c r="F944" i="21"/>
  <c r="E944" i="21"/>
  <c r="R941" i="21"/>
  <c r="Q941" i="21"/>
  <c r="F941" i="21"/>
  <c r="E941" i="21"/>
  <c r="R938" i="21"/>
  <c r="Q938" i="21"/>
  <c r="F938" i="21"/>
  <c r="E938" i="21"/>
  <c r="R955" i="21"/>
  <c r="Q955" i="21"/>
  <c r="F955" i="21"/>
  <c r="E955" i="21"/>
  <c r="R935" i="21"/>
  <c r="Q935" i="21"/>
  <c r="F935" i="21"/>
  <c r="E935" i="21"/>
  <c r="R928" i="21"/>
  <c r="Q928" i="21"/>
  <c r="F928" i="21"/>
  <c r="E928" i="21"/>
  <c r="R904" i="21"/>
  <c r="Q904" i="21"/>
  <c r="F904" i="21"/>
  <c r="E904" i="21"/>
  <c r="R880" i="21"/>
  <c r="Q880" i="21"/>
  <c r="F880" i="21"/>
  <c r="E880" i="21"/>
  <c r="R923" i="21"/>
  <c r="Q923" i="21"/>
  <c r="F923" i="21"/>
  <c r="E923" i="21"/>
  <c r="R897" i="21"/>
  <c r="Q897" i="21"/>
  <c r="F897" i="21"/>
  <c r="E897" i="21"/>
  <c r="R873" i="21"/>
  <c r="Q873" i="21"/>
  <c r="F873" i="21"/>
  <c r="E873" i="21"/>
  <c r="R917" i="21"/>
  <c r="Q917" i="21"/>
  <c r="F917" i="21"/>
  <c r="E917" i="21"/>
  <c r="R890" i="21"/>
  <c r="Q890" i="21"/>
  <c r="F890" i="21"/>
  <c r="E890" i="21"/>
  <c r="R866" i="21"/>
  <c r="Q866" i="21"/>
  <c r="F866" i="21"/>
  <c r="E866" i="21"/>
  <c r="R797" i="21"/>
  <c r="Q797" i="21"/>
  <c r="F797" i="21"/>
  <c r="E797" i="21"/>
  <c r="R791" i="21"/>
  <c r="Q791" i="21"/>
  <c r="F791" i="21"/>
  <c r="E791" i="21"/>
  <c r="R819" i="21"/>
  <c r="Q819" i="21"/>
  <c r="F819" i="21"/>
  <c r="E819" i="21"/>
  <c r="R810" i="21"/>
  <c r="Q810" i="21"/>
  <c r="F810" i="21"/>
  <c r="E810" i="21"/>
  <c r="R803" i="21"/>
  <c r="Q803" i="21"/>
  <c r="F803" i="21"/>
  <c r="E803" i="21"/>
  <c r="R796" i="21"/>
  <c r="Q796" i="21"/>
  <c r="F796" i="21"/>
  <c r="E796" i="21"/>
  <c r="R789" i="21"/>
  <c r="Q789" i="21"/>
  <c r="F789" i="21"/>
  <c r="E789" i="21"/>
  <c r="R743" i="21"/>
  <c r="Q743" i="21"/>
  <c r="F743" i="21"/>
  <c r="E743" i="21"/>
  <c r="R738" i="21"/>
  <c r="Q738" i="21"/>
  <c r="F738" i="21"/>
  <c r="E738" i="21"/>
  <c r="R732" i="21"/>
  <c r="Q732" i="21"/>
  <c r="F732" i="21"/>
  <c r="E732" i="21"/>
  <c r="R728" i="21"/>
  <c r="Q728" i="21"/>
  <c r="F728" i="21"/>
  <c r="E728" i="21"/>
  <c r="R725" i="21"/>
  <c r="Q725" i="21"/>
  <c r="F725" i="21"/>
  <c r="E725" i="21"/>
  <c r="R718" i="21"/>
  <c r="Q718" i="21"/>
  <c r="F718" i="21"/>
  <c r="E718" i="21"/>
  <c r="R713" i="21"/>
  <c r="Q713" i="21"/>
  <c r="F713" i="21"/>
  <c r="E713" i="21"/>
  <c r="R708" i="21"/>
  <c r="Q708" i="21"/>
  <c r="F708" i="21"/>
  <c r="E708" i="21"/>
  <c r="R703" i="21"/>
  <c r="Q703" i="21"/>
  <c r="F703" i="21"/>
  <c r="E703" i="21"/>
  <c r="R686" i="21"/>
  <c r="Q686" i="21"/>
  <c r="F686" i="21"/>
  <c r="E686" i="21"/>
  <c r="R698" i="21"/>
  <c r="Q698" i="21"/>
  <c r="F698" i="21"/>
  <c r="E698" i="21"/>
  <c r="R663" i="21"/>
  <c r="Q663" i="21"/>
  <c r="F663" i="21"/>
  <c r="E663" i="21"/>
  <c r="R652" i="21"/>
  <c r="Q652" i="21"/>
  <c r="F652" i="21"/>
  <c r="E652" i="21"/>
  <c r="R647" i="21"/>
  <c r="Q647" i="21"/>
  <c r="F647" i="21"/>
  <c r="E647" i="21"/>
  <c r="R642" i="21"/>
  <c r="Q642" i="21"/>
  <c r="F642" i="21"/>
  <c r="E642" i="21"/>
  <c r="R637" i="21"/>
  <c r="Q637" i="21"/>
  <c r="F637" i="21"/>
  <c r="E637" i="21"/>
  <c r="R510" i="21"/>
  <c r="Q510" i="21"/>
  <c r="F510" i="21"/>
  <c r="E510" i="21"/>
  <c r="R500" i="21"/>
  <c r="Q500" i="21"/>
  <c r="F500" i="21"/>
  <c r="E500" i="21"/>
  <c r="R495" i="21"/>
  <c r="Q495" i="21"/>
  <c r="F495" i="21"/>
  <c r="E495" i="21"/>
  <c r="R493" i="21"/>
  <c r="Q493" i="21"/>
  <c r="F493" i="21"/>
  <c r="E493" i="21"/>
  <c r="R491" i="21"/>
  <c r="Q491" i="21"/>
  <c r="F491" i="21"/>
  <c r="E491" i="21"/>
  <c r="R481" i="21"/>
  <c r="Q481" i="21"/>
  <c r="F481" i="21"/>
  <c r="E481" i="21"/>
  <c r="R473" i="21"/>
  <c r="Q473" i="21"/>
  <c r="F473" i="21"/>
  <c r="E473" i="21"/>
  <c r="R466" i="21"/>
  <c r="Q466" i="21"/>
  <c r="F466" i="21"/>
  <c r="E466" i="21"/>
  <c r="R457" i="21"/>
  <c r="Q457" i="21"/>
  <c r="F457" i="21"/>
  <c r="E457" i="21"/>
  <c r="R444" i="21"/>
  <c r="Q444" i="21"/>
  <c r="F444" i="21"/>
  <c r="E444" i="21"/>
  <c r="R437" i="21"/>
  <c r="Q437" i="21"/>
  <c r="F437" i="21"/>
  <c r="E437" i="21"/>
  <c r="R428" i="21"/>
  <c r="Q428" i="21"/>
  <c r="F428" i="21"/>
  <c r="E428" i="21"/>
  <c r="R404" i="21"/>
  <c r="Q404" i="21"/>
  <c r="F404" i="21"/>
  <c r="E404" i="21"/>
  <c r="R425" i="21"/>
  <c r="Q425" i="21"/>
  <c r="F425" i="21"/>
  <c r="E425" i="21"/>
  <c r="R399" i="21"/>
  <c r="Q399" i="21"/>
  <c r="F399" i="21"/>
  <c r="E399" i="21"/>
  <c r="R388" i="21"/>
  <c r="Q388" i="21"/>
  <c r="F388" i="21"/>
  <c r="E388" i="21"/>
  <c r="R418" i="21"/>
  <c r="Q418" i="21"/>
  <c r="F418" i="21"/>
  <c r="E418" i="21"/>
  <c r="R392" i="21"/>
  <c r="Q392" i="21"/>
  <c r="F392" i="21"/>
  <c r="E392" i="21"/>
  <c r="R382" i="21"/>
  <c r="Q382" i="21"/>
  <c r="F382" i="21"/>
  <c r="E382" i="21"/>
  <c r="R414" i="21"/>
  <c r="Q414" i="21"/>
  <c r="F414" i="21"/>
  <c r="E414" i="21"/>
  <c r="R362" i="21"/>
  <c r="Q362" i="21"/>
  <c r="F362" i="21"/>
  <c r="E362" i="21"/>
  <c r="R333" i="21"/>
  <c r="Q333" i="21"/>
  <c r="F333" i="21"/>
  <c r="E333" i="21"/>
  <c r="R350" i="21"/>
  <c r="Q350" i="21"/>
  <c r="F350" i="21"/>
  <c r="E350" i="21"/>
  <c r="R326" i="21"/>
  <c r="Q326" i="21"/>
  <c r="F326" i="21"/>
  <c r="E326" i="21"/>
  <c r="R314" i="21"/>
  <c r="Q314" i="21"/>
  <c r="F314" i="21"/>
  <c r="E314" i="21"/>
  <c r="R310" i="21"/>
  <c r="Q310" i="21"/>
  <c r="F310" i="21"/>
  <c r="E310" i="21"/>
  <c r="R307" i="21"/>
  <c r="Q307" i="21"/>
  <c r="F307" i="21"/>
  <c r="E307" i="21"/>
  <c r="R288" i="21"/>
  <c r="Q288" i="21"/>
  <c r="F288" i="21"/>
  <c r="E288" i="21"/>
  <c r="R282" i="21"/>
  <c r="Q282" i="21"/>
  <c r="F282" i="21"/>
  <c r="E282" i="21"/>
  <c r="R274" i="21"/>
  <c r="Q274" i="21"/>
  <c r="F274" i="21"/>
  <c r="E274" i="21"/>
  <c r="R248" i="21"/>
  <c r="F248" i="21"/>
  <c r="E248" i="21"/>
  <c r="R240" i="21"/>
  <c r="F240" i="21"/>
  <c r="E240" i="21"/>
  <c r="R228" i="21"/>
  <c r="Q228" i="21"/>
  <c r="F228" i="21"/>
  <c r="E228" i="21"/>
  <c r="R219" i="21"/>
  <c r="Q219" i="21"/>
  <c r="F219" i="21"/>
  <c r="E219" i="21"/>
  <c r="R198" i="21"/>
  <c r="Q198" i="21"/>
  <c r="F198" i="21"/>
  <c r="E198" i="21"/>
  <c r="R193" i="21"/>
  <c r="Q193" i="21"/>
  <c r="F193" i="21"/>
  <c r="E193" i="21"/>
  <c r="R191" i="21"/>
  <c r="Q191" i="21"/>
  <c r="F191" i="21"/>
  <c r="E191" i="21"/>
  <c r="R188" i="21"/>
  <c r="Q188" i="21"/>
  <c r="F188" i="21"/>
  <c r="E188" i="21"/>
  <c r="R186" i="21"/>
  <c r="Q186" i="21"/>
  <c r="F186" i="21"/>
  <c r="E186" i="21"/>
  <c r="R181" i="21"/>
  <c r="Q181" i="21"/>
  <c r="F181" i="21"/>
  <c r="E181" i="21"/>
  <c r="R93" i="21"/>
  <c r="Q93" i="21"/>
  <c r="F93" i="21"/>
  <c r="E93" i="21"/>
  <c r="R87" i="21"/>
  <c r="Q87" i="21"/>
  <c r="F87" i="21"/>
  <c r="E87" i="21"/>
  <c r="R81" i="21"/>
  <c r="Q81" i="21"/>
  <c r="F81" i="21"/>
  <c r="E81" i="21"/>
  <c r="R64" i="21"/>
  <c r="Q64" i="21"/>
  <c r="F64" i="21"/>
  <c r="E64" i="21"/>
  <c r="R25" i="21"/>
  <c r="Q25" i="21"/>
  <c r="F25" i="21"/>
  <c r="E25" i="21"/>
  <c r="R59" i="21"/>
  <c r="Q59" i="21"/>
  <c r="F59" i="21"/>
  <c r="E59" i="21"/>
  <c r="R19" i="21"/>
  <c r="Q19" i="21"/>
  <c r="F19" i="21"/>
  <c r="E19" i="21"/>
  <c r="R54" i="21"/>
  <c r="Q54" i="21"/>
  <c r="F54" i="21"/>
  <c r="E54" i="21"/>
  <c r="R16" i="21"/>
  <c r="Q16" i="21"/>
  <c r="F16" i="21"/>
  <c r="E16" i="21"/>
  <c r="R49" i="21"/>
  <c r="Q49" i="21"/>
  <c r="F49" i="21"/>
  <c r="E49" i="21"/>
  <c r="R12" i="21"/>
  <c r="Q12" i="21"/>
  <c r="F12" i="21"/>
  <c r="E12" i="21"/>
  <c r="R44" i="21"/>
  <c r="Q44" i="21"/>
  <c r="F44" i="21"/>
  <c r="E44" i="21"/>
  <c r="R8" i="21"/>
  <c r="Q8" i="21"/>
  <c r="F8" i="21"/>
  <c r="E8" i="21"/>
  <c r="R37" i="21"/>
  <c r="Q37" i="21"/>
  <c r="F37" i="21"/>
  <c r="E37" i="21"/>
  <c r="R3" i="21"/>
  <c r="Q3" i="21"/>
  <c r="F3" i="21"/>
  <c r="E3" i="21"/>
  <c r="F1202" i="21"/>
  <c r="F1196" i="21"/>
  <c r="F1125" i="21"/>
  <c r="F1093" i="21"/>
  <c r="F1082" i="21"/>
  <c r="F1071" i="21"/>
  <c r="F1062" i="21"/>
  <c r="F1035" i="21"/>
  <c r="F1050" i="21"/>
  <c r="F939" i="21"/>
  <c r="F898" i="21"/>
  <c r="F744" i="21"/>
  <c r="F739" i="21"/>
  <c r="F733" i="21"/>
  <c r="F729" i="21"/>
  <c r="F726" i="21"/>
  <c r="F709" i="21"/>
  <c r="F575" i="21"/>
  <c r="F574" i="21"/>
  <c r="F570" i="21"/>
  <c r="F563" i="21"/>
  <c r="F557" i="21"/>
  <c r="F545" i="21"/>
  <c r="F536" i="21"/>
  <c r="F533" i="21"/>
  <c r="F527" i="21"/>
  <c r="F522" i="21"/>
  <c r="F511" i="21"/>
  <c r="F501" i="21"/>
  <c r="F496" i="21"/>
  <c r="F494" i="21"/>
  <c r="F492" i="21"/>
  <c r="F482" i="21"/>
  <c r="F474" i="21"/>
  <c r="F467" i="21"/>
  <c r="F458" i="21"/>
  <c r="F410" i="21"/>
  <c r="F409" i="21"/>
  <c r="F445" i="21"/>
  <c r="F439" i="21"/>
  <c r="F438" i="21"/>
  <c r="F421" i="21"/>
  <c r="F351" i="21"/>
  <c r="F344" i="21"/>
  <c r="F334" i="21"/>
  <c r="F327" i="21"/>
  <c r="F322" i="21"/>
  <c r="F320" i="21"/>
  <c r="F319" i="21"/>
  <c r="F321" i="21"/>
  <c r="F318" i="21"/>
  <c r="F283" i="21"/>
  <c r="F264" i="21"/>
  <c r="F256" i="21"/>
  <c r="F249" i="21"/>
  <c r="F241" i="21"/>
  <c r="F234" i="21"/>
  <c r="F229" i="21"/>
  <c r="F214" i="21"/>
  <c r="F201" i="21"/>
  <c r="F195" i="21"/>
  <c r="F190" i="21"/>
  <c r="F185" i="21"/>
  <c r="F180" i="21"/>
  <c r="T38" i="21" s="1"/>
  <c r="F174" i="21"/>
  <c r="F169" i="21"/>
  <c r="F123" i="21"/>
  <c r="F121" i="21"/>
  <c r="F117" i="21"/>
  <c r="F113" i="21"/>
  <c r="F109" i="21"/>
  <c r="F119" i="21"/>
  <c r="F114" i="21"/>
  <c r="F110" i="21"/>
  <c r="F106" i="21"/>
  <c r="E48" i="18"/>
  <c r="E57" i="18"/>
  <c r="E59" i="18"/>
  <c r="C128" i="5"/>
  <c r="T53" i="21" l="1"/>
  <c r="T9" i="21"/>
  <c r="T16" i="21"/>
  <c r="T19" i="21"/>
  <c r="T43" i="21"/>
  <c r="T26" i="21"/>
  <c r="T21" i="21"/>
  <c r="T37" i="21"/>
  <c r="T61" i="21"/>
  <c r="T73" i="21"/>
  <c r="T91" i="21"/>
  <c r="T14" i="21"/>
  <c r="T79" i="21"/>
  <c r="T48" i="21"/>
  <c r="T49" i="21"/>
  <c r="T67" i="21"/>
  <c r="T97" i="21"/>
  <c r="T55" i="21"/>
  <c r="T47" i="21"/>
  <c r="T17" i="21"/>
  <c r="T15" i="21"/>
  <c r="T85" i="21"/>
  <c r="T31" i="21"/>
  <c r="T1165" i="21"/>
  <c r="T51" i="21"/>
  <c r="T63" i="21"/>
  <c r="T87" i="21"/>
  <c r="T99" i="21"/>
  <c r="T27" i="21"/>
  <c r="T57" i="21"/>
  <c r="T93" i="21"/>
  <c r="T22" i="21"/>
  <c r="T50" i="21"/>
  <c r="T56" i="21"/>
  <c r="T68" i="21"/>
  <c r="T80" i="21"/>
  <c r="T86" i="21"/>
  <c r="T92" i="21"/>
  <c r="T98" i="21"/>
  <c r="T8" i="21"/>
  <c r="T24" i="21"/>
  <c r="T7" i="21"/>
  <c r="T18" i="21"/>
  <c r="T20" i="21"/>
  <c r="T45" i="21"/>
  <c r="T23" i="21"/>
  <c r="T41" i="21"/>
  <c r="T65" i="21"/>
  <c r="T69" i="21"/>
  <c r="T75" i="21"/>
  <c r="T25" i="21"/>
  <c r="T11" i="21"/>
  <c r="T10" i="21"/>
  <c r="T13" i="21"/>
  <c r="T12" i="21"/>
  <c r="T32" i="21"/>
  <c r="T62" i="21"/>
  <c r="T46" i="21"/>
  <c r="T64" i="21"/>
  <c r="T88" i="21"/>
  <c r="T1146" i="21"/>
  <c r="T3" i="21"/>
  <c r="T28" i="21"/>
  <c r="T34" i="21"/>
  <c r="T40" i="21"/>
  <c r="T52" i="21"/>
  <c r="T58" i="21"/>
  <c r="T70" i="21"/>
  <c r="T76" i="21"/>
  <c r="T82" i="21"/>
  <c r="T94" i="21"/>
  <c r="T100" i="21"/>
  <c r="T81" i="21"/>
  <c r="T95" i="21"/>
  <c r="T35" i="21"/>
  <c r="T71" i="21"/>
  <c r="T89" i="21"/>
  <c r="T6" i="21"/>
  <c r="T33" i="21"/>
  <c r="T39" i="21"/>
  <c r="T60" i="21"/>
  <c r="T78" i="21"/>
  <c r="T90" i="21"/>
  <c r="T5" i="21"/>
  <c r="T44" i="21"/>
  <c r="T74" i="21"/>
  <c r="T29" i="21"/>
  <c r="T59" i="21"/>
  <c r="T77" i="21"/>
  <c r="T83" i="21"/>
  <c r="T101" i="21"/>
  <c r="T30" i="21"/>
  <c r="T36" i="21"/>
  <c r="T42" i="21"/>
  <c r="T54" i="21"/>
  <c r="T66" i="21"/>
  <c r="T72" i="21"/>
  <c r="T84" i="21"/>
  <c r="T96" i="21"/>
  <c r="T4" i="21"/>
  <c r="T1091" i="21"/>
  <c r="T649" i="21"/>
  <c r="T658" i="21"/>
  <c r="T682" i="21"/>
  <c r="T1053" i="21"/>
  <c r="T1056" i="21"/>
  <c r="T1080" i="21"/>
  <c r="T1086" i="21"/>
  <c r="T1089" i="21"/>
  <c r="T1172" i="21"/>
  <c r="T1175" i="21"/>
  <c r="T1178" i="21"/>
  <c r="T1190" i="21"/>
  <c r="T1092" i="21"/>
  <c r="T1101" i="21"/>
  <c r="T1125" i="21"/>
  <c r="T893" i="21"/>
  <c r="T732" i="21"/>
  <c r="T738" i="21"/>
  <c r="T750" i="21"/>
  <c r="T753" i="21"/>
  <c r="T756" i="21"/>
  <c r="T762" i="21"/>
  <c r="T774" i="21"/>
  <c r="T786" i="21"/>
  <c r="T795" i="21"/>
  <c r="T1153" i="21"/>
  <c r="T1156" i="21"/>
  <c r="T193" i="21"/>
  <c r="T1048" i="21"/>
  <c r="T1051" i="21"/>
  <c r="T1072" i="21"/>
  <c r="T1078" i="21"/>
  <c r="T1182" i="21"/>
  <c r="T1188" i="21"/>
  <c r="T116" i="21"/>
  <c r="T119" i="21"/>
  <c r="T409" i="21"/>
  <c r="T466" i="21"/>
  <c r="T469" i="21"/>
  <c r="T472" i="21"/>
  <c r="T646" i="21"/>
  <c r="T233" i="21"/>
  <c r="T239" i="21"/>
  <c r="T254" i="21"/>
  <c r="T257" i="21"/>
  <c r="T278" i="21"/>
  <c r="T296" i="21"/>
  <c r="T326" i="21"/>
  <c r="T332" i="21"/>
  <c r="T335" i="21"/>
  <c r="T406" i="21"/>
  <c r="T371" i="21"/>
  <c r="T374" i="21"/>
  <c r="T383" i="21"/>
  <c r="T488" i="21"/>
  <c r="T491" i="21"/>
  <c r="T500" i="21"/>
  <c r="T503" i="21"/>
  <c r="T506" i="21"/>
  <c r="T509" i="21"/>
  <c r="T539" i="21"/>
  <c r="T557" i="21"/>
  <c r="T578" i="21"/>
  <c r="T581" i="21"/>
  <c r="T219" i="21"/>
  <c r="T228" i="21"/>
  <c r="T240" i="21"/>
  <c r="T345" i="21"/>
  <c r="T348" i="21"/>
  <c r="T129" i="21"/>
  <c r="T132" i="21"/>
  <c r="T135" i="21"/>
  <c r="T138" i="21"/>
  <c r="T1132" i="21"/>
  <c r="T1139" i="21"/>
  <c r="T1154" i="21"/>
  <c r="T1163" i="21"/>
  <c r="T143" i="21"/>
  <c r="T146" i="21"/>
  <c r="T149" i="21"/>
  <c r="T155" i="21"/>
  <c r="T161" i="21"/>
  <c r="T203" i="21"/>
  <c r="T1137" i="21"/>
  <c r="T1135" i="21"/>
  <c r="T1168" i="21"/>
  <c r="T1015" i="21"/>
  <c r="T1031" i="21"/>
  <c r="T1103" i="21"/>
  <c r="T1106" i="21"/>
  <c r="T1115" i="21"/>
  <c r="T1118" i="21"/>
  <c r="T819" i="21"/>
  <c r="T920" i="21"/>
  <c r="T112" i="21"/>
  <c r="T425" i="21"/>
  <c r="T443" i="21"/>
  <c r="T403" i="21"/>
  <c r="T797" i="21"/>
  <c r="T823" i="21"/>
  <c r="T905" i="21"/>
  <c r="T929" i="21"/>
  <c r="T937" i="21"/>
  <c r="T985" i="21"/>
  <c r="T989" i="21"/>
  <c r="T1202" i="21"/>
  <c r="T255" i="21"/>
  <c r="T339" i="21"/>
  <c r="T474" i="21"/>
  <c r="T486" i="21"/>
  <c r="T501" i="21"/>
  <c r="T510" i="21"/>
  <c r="T513" i="21"/>
  <c r="T516" i="21"/>
  <c r="T519" i="21"/>
  <c r="T522" i="21"/>
  <c r="T525" i="21"/>
  <c r="T570" i="21"/>
  <c r="T1105" i="21"/>
  <c r="T1108" i="21"/>
  <c r="T1114" i="21"/>
  <c r="T1123" i="21"/>
  <c r="T1164" i="21"/>
  <c r="T729" i="21"/>
  <c r="T1206" i="21"/>
  <c r="T139" i="21"/>
  <c r="T151" i="21"/>
  <c r="T154" i="21"/>
  <c r="T355" i="21"/>
  <c r="T511" i="21"/>
  <c r="T520" i="21"/>
  <c r="T1141" i="21"/>
  <c r="T1144" i="21"/>
  <c r="T858" i="21"/>
  <c r="T243" i="21"/>
  <c r="T249" i="21"/>
  <c r="T252" i="21"/>
  <c r="T300" i="21"/>
  <c r="T303" i="21"/>
  <c r="T306" i="21"/>
  <c r="T464" i="21"/>
  <c r="T470" i="21"/>
  <c r="T760" i="21"/>
  <c r="T763" i="21"/>
  <c r="T769" i="21"/>
  <c r="T772" i="21"/>
  <c r="T775" i="21"/>
  <c r="T790" i="21"/>
  <c r="T793" i="21"/>
  <c r="T796" i="21"/>
  <c r="T822" i="21"/>
  <c r="T828" i="21"/>
  <c r="T871" i="21"/>
  <c r="T883" i="21"/>
  <c r="T1049" i="21"/>
  <c r="T1084" i="21"/>
  <c r="T1096" i="21"/>
  <c r="T1099" i="21"/>
  <c r="T1166" i="21"/>
  <c r="T650" i="21"/>
  <c r="T653" i="21"/>
  <c r="T656" i="21"/>
  <c r="T662" i="21"/>
  <c r="T665" i="21"/>
  <c r="T668" i="21"/>
  <c r="T680" i="21"/>
  <c r="T683" i="21"/>
  <c r="T686" i="21"/>
  <c r="T689" i="21"/>
  <c r="T695" i="21"/>
  <c r="T983" i="21"/>
  <c r="T1061" i="21"/>
  <c r="T1070" i="21"/>
  <c r="T1120" i="21"/>
  <c r="T1130" i="21"/>
  <c r="T1134" i="21"/>
  <c r="T1143" i="21"/>
  <c r="T1187" i="21"/>
  <c r="T1211" i="21"/>
  <c r="T156" i="21"/>
  <c r="T120" i="21"/>
  <c r="T235" i="21"/>
  <c r="T238" i="21"/>
  <c r="T357" i="21"/>
  <c r="T363" i="21"/>
  <c r="T366" i="21"/>
  <c r="T369" i="21"/>
  <c r="T375" i="21"/>
  <c r="T378" i="21"/>
  <c r="T208" i="21"/>
  <c r="T256" i="21"/>
  <c r="T265" i="21"/>
  <c r="T271" i="21"/>
  <c r="T274" i="21"/>
  <c r="T298" i="21"/>
  <c r="T307" i="21"/>
  <c r="T310" i="21"/>
  <c r="T313" i="21"/>
  <c r="T319" i="21"/>
  <c r="T322" i="21"/>
  <c r="T325" i="21"/>
  <c r="T388" i="21"/>
  <c r="T392" i="21"/>
  <c r="T417" i="21"/>
  <c r="T423" i="21"/>
  <c r="T444" i="21"/>
  <c r="T450" i="21"/>
  <c r="T462" i="21"/>
  <c r="T992" i="21"/>
  <c r="T996" i="21"/>
  <c r="T1004" i="21"/>
  <c r="T1016" i="21"/>
  <c r="T1028" i="21"/>
  <c r="T1038" i="21"/>
  <c r="T1100" i="21"/>
  <c r="T202" i="21"/>
  <c r="T696" i="21"/>
  <c r="T708" i="21"/>
  <c r="T820" i="21"/>
  <c r="T1062" i="21"/>
  <c r="T1065" i="21"/>
  <c r="T1197" i="21"/>
  <c r="T361" i="21"/>
  <c r="T571" i="21"/>
  <c r="T574" i="21"/>
  <c r="T607" i="21"/>
  <c r="T619" i="21"/>
  <c r="T890" i="21"/>
  <c r="T898" i="21"/>
  <c r="T902" i="21"/>
  <c r="T1054" i="21"/>
  <c r="T1104" i="21"/>
  <c r="T110" i="21"/>
  <c r="T200" i="21"/>
  <c r="T718" i="21"/>
  <c r="T914" i="21"/>
  <c r="T926" i="21"/>
  <c r="T938" i="21"/>
  <c r="T946" i="21"/>
  <c r="T958" i="21"/>
  <c r="T962" i="21"/>
  <c r="T970" i="21"/>
  <c r="T974" i="21"/>
  <c r="T978" i="21"/>
  <c r="T998" i="21"/>
  <c r="T1057" i="21"/>
  <c r="T1142" i="21"/>
  <c r="T1192" i="21"/>
  <c r="T1195" i="21"/>
  <c r="T1201" i="21"/>
  <c r="T1204" i="21"/>
  <c r="T715" i="21"/>
  <c r="T1068" i="21"/>
  <c r="T1151" i="21"/>
  <c r="T1183" i="21"/>
  <c r="T1189" i="21"/>
  <c r="T301" i="21"/>
  <c r="T164" i="21"/>
  <c r="T251" i="21"/>
  <c r="T476" i="21"/>
  <c r="T263" i="21"/>
  <c r="T587" i="21"/>
  <c r="T611" i="21"/>
  <c r="T629" i="21"/>
  <c r="T632" i="21"/>
  <c r="T787" i="21"/>
  <c r="T1109" i="21"/>
  <c r="T181" i="21"/>
  <c r="T187" i="21"/>
  <c r="T1077" i="21"/>
  <c r="T102" i="21"/>
  <c r="T108" i="21"/>
  <c r="T111" i="21"/>
  <c r="T159" i="21"/>
  <c r="T191" i="21"/>
  <c r="T290" i="21"/>
  <c r="T308" i="21"/>
  <c r="T311" i="21"/>
  <c r="T320" i="21"/>
  <c r="T323" i="21"/>
  <c r="T379" i="21"/>
  <c r="T432" i="21"/>
  <c r="T707" i="21"/>
  <c r="T907" i="21"/>
  <c r="T911" i="21"/>
  <c r="T923" i="21"/>
  <c r="T943" i="21"/>
  <c r="T947" i="21"/>
  <c r="T1037" i="21"/>
  <c r="T1040" i="21"/>
  <c r="T1060" i="21"/>
  <c r="T1121" i="21"/>
  <c r="T1124" i="21"/>
  <c r="T1127" i="21"/>
  <c r="T1131" i="21"/>
  <c r="T1158" i="21"/>
  <c r="T1161" i="21"/>
  <c r="T1207" i="21"/>
  <c r="T117" i="21"/>
  <c r="T258" i="21"/>
  <c r="T261" i="21"/>
  <c r="T264" i="21"/>
  <c r="T267" i="21"/>
  <c r="T270" i="21"/>
  <c r="T276" i="21"/>
  <c r="T344" i="21"/>
  <c r="T489" i="21"/>
  <c r="T528" i="21"/>
  <c r="T573" i="21"/>
  <c r="T582" i="21"/>
  <c r="T591" i="21"/>
  <c r="T594" i="21"/>
  <c r="T609" i="21"/>
  <c r="T618" i="21"/>
  <c r="T621" i="21"/>
  <c r="T624" i="21"/>
  <c r="T630" i="21"/>
  <c r="T868" i="21"/>
  <c r="T872" i="21"/>
  <c r="T880" i="21"/>
  <c r="T884" i="21"/>
  <c r="T1055" i="21"/>
  <c r="T1081" i="21"/>
  <c r="T1087" i="21"/>
  <c r="T1110" i="21"/>
  <c r="T1113" i="21"/>
  <c r="T1196" i="21"/>
  <c r="T1199" i="21"/>
  <c r="T195" i="21"/>
  <c r="T279" i="21"/>
  <c r="T282" i="21"/>
  <c r="T285" i="21"/>
  <c r="T288" i="21"/>
  <c r="T291" i="21"/>
  <c r="T294" i="21"/>
  <c r="T353" i="21"/>
  <c r="T427" i="21"/>
  <c r="T430" i="21"/>
  <c r="T439" i="21"/>
  <c r="T457" i="21"/>
  <c r="T460" i="21"/>
  <c r="T651" i="21"/>
  <c r="T660" i="21"/>
  <c r="T666" i="21"/>
  <c r="T687" i="21"/>
  <c r="T690" i="21"/>
  <c r="T844" i="21"/>
  <c r="T850" i="21"/>
  <c r="T853" i="21"/>
  <c r="T908" i="21"/>
  <c r="T1058" i="21"/>
  <c r="T1116" i="21"/>
  <c r="T1128" i="21"/>
  <c r="T1170" i="21"/>
  <c r="T1173" i="21"/>
  <c r="T1179" i="21"/>
  <c r="T115" i="21"/>
  <c r="T166" i="21"/>
  <c r="T174" i="21"/>
  <c r="T176" i="21"/>
  <c r="T205" i="21"/>
  <c r="T244" i="21"/>
  <c r="T247" i="21"/>
  <c r="T327" i="21"/>
  <c r="T330" i="21"/>
  <c r="T336" i="21"/>
  <c r="T380" i="21"/>
  <c r="T478" i="21"/>
  <c r="T484" i="21"/>
  <c r="T502" i="21"/>
  <c r="T505" i="21"/>
  <c r="T526" i="21"/>
  <c r="T538" i="21"/>
  <c r="T541" i="21"/>
  <c r="T544" i="21"/>
  <c r="T547" i="21"/>
  <c r="T559" i="21"/>
  <c r="T568" i="21"/>
  <c r="T869" i="21"/>
  <c r="T885" i="21"/>
  <c r="T901" i="21"/>
  <c r="T1067" i="21"/>
  <c r="T1076" i="21"/>
  <c r="T1079" i="21"/>
  <c r="T1136" i="21"/>
  <c r="T1147" i="21"/>
  <c r="T1159" i="21"/>
  <c r="T1191" i="21"/>
  <c r="T1194" i="21"/>
  <c r="T372" i="21"/>
  <c r="T1200" i="21"/>
  <c r="T131" i="21"/>
  <c r="T137" i="21"/>
  <c r="T196" i="21"/>
  <c r="T218" i="21"/>
  <c r="T277" i="21"/>
  <c r="T283" i="21"/>
  <c r="T292" i="21"/>
  <c r="T295" i="21"/>
  <c r="T342" i="21"/>
  <c r="T419" i="21"/>
  <c r="T422" i="21"/>
  <c r="T428" i="21"/>
  <c r="T434" i="21"/>
  <c r="T452" i="21"/>
  <c r="T461" i="21"/>
  <c r="T598" i="21"/>
  <c r="T601" i="21"/>
  <c r="T634" i="21"/>
  <c r="T637" i="21"/>
  <c r="T643" i="21"/>
  <c r="T691" i="21"/>
  <c r="T777" i="21"/>
  <c r="T801" i="21"/>
  <c r="T830" i="21"/>
  <c r="T845" i="21"/>
  <c r="T848" i="21"/>
  <c r="T851" i="21"/>
  <c r="T854" i="21"/>
  <c r="T977" i="21"/>
  <c r="T993" i="21"/>
  <c r="T1001" i="21"/>
  <c r="T1009" i="21"/>
  <c r="T1013" i="21"/>
  <c r="T1059" i="21"/>
  <c r="T1082" i="21"/>
  <c r="T1085" i="21"/>
  <c r="T1094" i="21"/>
  <c r="T1145" i="21"/>
  <c r="T1174" i="21"/>
  <c r="T1177" i="21"/>
  <c r="T1180" i="21"/>
  <c r="T1203" i="21"/>
  <c r="T343" i="21"/>
  <c r="T349" i="21"/>
  <c r="T387" i="21"/>
  <c r="T391" i="21"/>
  <c r="T395" i="21"/>
  <c r="T410" i="21"/>
  <c r="T433" i="21"/>
  <c r="T565" i="21"/>
  <c r="T612" i="21"/>
  <c r="T659" i="21"/>
  <c r="T789" i="21"/>
  <c r="T856" i="21"/>
  <c r="T635" i="21"/>
  <c r="T241" i="21"/>
  <c r="T317" i="21"/>
  <c r="T739" i="21"/>
  <c r="T742" i="21"/>
  <c r="T754" i="21"/>
  <c r="T766" i="21"/>
  <c r="T813" i="21"/>
  <c r="T859" i="21"/>
  <c r="T1043" i="21"/>
  <c r="T1097" i="21"/>
  <c r="T1140" i="21"/>
  <c r="T1148" i="21"/>
  <c r="T1186" i="21"/>
  <c r="T175" i="21"/>
  <c r="T178" i="21"/>
  <c r="T190" i="21"/>
  <c r="T230" i="21"/>
  <c r="T253" i="21"/>
  <c r="T259" i="21"/>
  <c r="T262" i="21"/>
  <c r="T329" i="21"/>
  <c r="T381" i="21"/>
  <c r="T451" i="21"/>
  <c r="T492" i="21"/>
  <c r="T495" i="21"/>
  <c r="T498" i="21"/>
  <c r="T515" i="21"/>
  <c r="T527" i="21"/>
  <c r="T533" i="21"/>
  <c r="T536" i="21"/>
  <c r="T583" i="21"/>
  <c r="T589" i="21"/>
  <c r="T592" i="21"/>
  <c r="T595" i="21"/>
  <c r="T645" i="21"/>
  <c r="T713" i="21"/>
  <c r="T719" i="21"/>
  <c r="T722" i="21"/>
  <c r="T725" i="21"/>
  <c r="T784" i="21"/>
  <c r="T804" i="21"/>
  <c r="T833" i="21"/>
  <c r="T877" i="21"/>
  <c r="T881" i="21"/>
  <c r="T896" i="21"/>
  <c r="T931" i="21"/>
  <c r="T935" i="21"/>
  <c r="T994" i="21"/>
  <c r="T1052" i="21"/>
  <c r="T1073" i="21"/>
  <c r="T1111" i="21"/>
  <c r="T1119" i="21"/>
  <c r="T1162" i="21"/>
  <c r="T1167" i="21"/>
  <c r="T114" i="21"/>
  <c r="T144" i="21"/>
  <c r="T147" i="21"/>
  <c r="T236" i="21"/>
  <c r="T242" i="21"/>
  <c r="T248" i="21"/>
  <c r="T312" i="21"/>
  <c r="T318" i="21"/>
  <c r="T324" i="21"/>
  <c r="T367" i="21"/>
  <c r="T370" i="21"/>
  <c r="T373" i="21"/>
  <c r="T404" i="21"/>
  <c r="T408" i="21"/>
  <c r="T446" i="21"/>
  <c r="T449" i="21"/>
  <c r="T548" i="21"/>
  <c r="T551" i="21"/>
  <c r="T554" i="21"/>
  <c r="T560" i="21"/>
  <c r="T563" i="21"/>
  <c r="T610" i="21"/>
  <c r="T657" i="21"/>
  <c r="T734" i="21"/>
  <c r="T737" i="21"/>
  <c r="T755" i="21"/>
  <c r="T773" i="21"/>
  <c r="T799" i="21"/>
  <c r="T814" i="21"/>
  <c r="T860" i="21"/>
  <c r="T863" i="21"/>
  <c r="T866" i="21"/>
  <c r="T979" i="21"/>
  <c r="T991" i="21"/>
  <c r="T1010" i="21"/>
  <c r="T1029" i="21"/>
  <c r="T1041" i="21"/>
  <c r="T1044" i="21"/>
  <c r="T1047" i="21"/>
  <c r="T1063" i="21"/>
  <c r="T1071" i="21"/>
  <c r="T1090" i="21"/>
  <c r="T1098" i="21"/>
  <c r="T1122" i="21"/>
  <c r="T1138" i="21"/>
  <c r="T928" i="21"/>
  <c r="T932" i="21"/>
  <c r="T995" i="21"/>
  <c r="T1014" i="21"/>
  <c r="T1066" i="21"/>
  <c r="T1074" i="21"/>
  <c r="T1149" i="21"/>
  <c r="T1157" i="21"/>
  <c r="T1176" i="21"/>
  <c r="T1184" i="21"/>
  <c r="T1208" i="21"/>
  <c r="T727" i="21"/>
  <c r="T780" i="21"/>
  <c r="T172" i="21"/>
  <c r="T177" i="21"/>
  <c r="T179" i="21"/>
  <c r="T182" i="21"/>
  <c r="T185" i="21"/>
  <c r="T188" i="21"/>
  <c r="T210" i="21"/>
  <c r="T222" i="21"/>
  <c r="T225" i="21"/>
  <c r="T260" i="21"/>
  <c r="T286" i="21"/>
  <c r="T359" i="21"/>
  <c r="T382" i="21"/>
  <c r="T385" i="21"/>
  <c r="T393" i="21"/>
  <c r="T397" i="21"/>
  <c r="T401" i="21"/>
  <c r="T420" i="21"/>
  <c r="T426" i="21"/>
  <c r="T487" i="21"/>
  <c r="T496" i="21"/>
  <c r="T499" i="21"/>
  <c r="T531" i="21"/>
  <c r="T537" i="21"/>
  <c r="T590" i="21"/>
  <c r="T593" i="21"/>
  <c r="T602" i="21"/>
  <c r="T605" i="21"/>
  <c r="T631" i="21"/>
  <c r="T705" i="21"/>
  <c r="T717" i="21"/>
  <c r="T723" i="21"/>
  <c r="T726" i="21"/>
  <c r="T779" i="21"/>
  <c r="T782" i="21"/>
  <c r="T785" i="21"/>
  <c r="T802" i="21"/>
  <c r="T811" i="21"/>
  <c r="T834" i="21"/>
  <c r="T837" i="21"/>
  <c r="T886" i="21"/>
  <c r="T952" i="21"/>
  <c r="T956" i="21"/>
  <c r="T964" i="21"/>
  <c r="T976" i="21"/>
  <c r="T1022" i="21"/>
  <c r="T1033" i="21"/>
  <c r="T1036" i="21"/>
  <c r="T1050" i="21"/>
  <c r="T1093" i="21"/>
  <c r="T1152" i="21"/>
  <c r="T1160" i="21"/>
  <c r="T535" i="21"/>
  <c r="T103" i="21"/>
  <c r="T127" i="21"/>
  <c r="T130" i="21"/>
  <c r="T136" i="21"/>
  <c r="T201" i="21"/>
  <c r="T237" i="21"/>
  <c r="T272" i="21"/>
  <c r="T275" i="21"/>
  <c r="T304" i="21"/>
  <c r="T362" i="21"/>
  <c r="T429" i="21"/>
  <c r="T435" i="21"/>
  <c r="T438" i="21"/>
  <c r="T467" i="21"/>
  <c r="T540" i="21"/>
  <c r="T549" i="21"/>
  <c r="T558" i="21"/>
  <c r="T561" i="21"/>
  <c r="T564" i="21"/>
  <c r="T617" i="21"/>
  <c r="T655" i="21"/>
  <c r="T664" i="21"/>
  <c r="T667" i="21"/>
  <c r="T670" i="21"/>
  <c r="T679" i="21"/>
  <c r="T788" i="21"/>
  <c r="T846" i="21"/>
  <c r="T852" i="21"/>
  <c r="T855" i="21"/>
  <c r="T921" i="21"/>
  <c r="T980" i="21"/>
  <c r="T988" i="21"/>
  <c r="T1088" i="21"/>
  <c r="T1129" i="21"/>
  <c r="T588" i="21"/>
  <c r="T606" i="21"/>
  <c r="T124" i="21"/>
  <c r="T157" i="21"/>
  <c r="T192" i="21"/>
  <c r="T214" i="21"/>
  <c r="T217" i="21"/>
  <c r="T220" i="21"/>
  <c r="T226" i="21"/>
  <c r="T229" i="21"/>
  <c r="T232" i="21"/>
  <c r="T284" i="21"/>
  <c r="T287" i="21"/>
  <c r="T331" i="21"/>
  <c r="T334" i="21"/>
  <c r="T351" i="21"/>
  <c r="T354" i="21"/>
  <c r="T377" i="21"/>
  <c r="T386" i="21"/>
  <c r="T390" i="21"/>
  <c r="T415" i="21"/>
  <c r="T418" i="21"/>
  <c r="T421" i="21"/>
  <c r="T456" i="21"/>
  <c r="T459" i="21"/>
  <c r="T479" i="21"/>
  <c r="T523" i="21"/>
  <c r="T579" i="21"/>
  <c r="T694" i="21"/>
  <c r="T703" i="21"/>
  <c r="T712" i="21"/>
  <c r="T741" i="21"/>
  <c r="T803" i="21"/>
  <c r="T806" i="21"/>
  <c r="T809" i="21"/>
  <c r="T861" i="21"/>
  <c r="T875" i="21"/>
  <c r="T887" i="21"/>
  <c r="T906" i="21"/>
  <c r="T941" i="21"/>
  <c r="T949" i="21"/>
  <c r="T953" i="21"/>
  <c r="T961" i="21"/>
  <c r="T965" i="21"/>
  <c r="T973" i="21"/>
  <c r="T1019" i="21"/>
  <c r="T1042" i="21"/>
  <c r="T1075" i="21"/>
  <c r="T1102" i="21"/>
  <c r="T1126" i="21"/>
  <c r="T1133" i="21"/>
  <c r="T1171" i="21"/>
  <c r="T1185" i="21"/>
  <c r="T1209" i="21"/>
  <c r="T293" i="21"/>
  <c r="T445" i="21"/>
  <c r="T576" i="21"/>
  <c r="T613" i="21"/>
  <c r="T644" i="21"/>
  <c r="T437" i="21"/>
  <c r="T356" i="21"/>
  <c r="T481" i="21"/>
  <c r="T596" i="21"/>
  <c r="T599" i="21"/>
  <c r="T744" i="21"/>
  <c r="T142" i="21"/>
  <c r="T162" i="21"/>
  <c r="T165" i="21"/>
  <c r="T168" i="21"/>
  <c r="T184" i="21"/>
  <c r="T199" i="21"/>
  <c r="T250" i="21"/>
  <c r="T266" i="21"/>
  <c r="T299" i="21"/>
  <c r="T302" i="21"/>
  <c r="T315" i="21"/>
  <c r="T337" i="21"/>
  <c r="T340" i="21"/>
  <c r="T365" i="21"/>
  <c r="T376" i="21"/>
  <c r="T384" i="21"/>
  <c r="T407" i="21"/>
  <c r="T413" i="21"/>
  <c r="T424" i="21"/>
  <c r="T440" i="21"/>
  <c r="T465" i="21"/>
  <c r="T473" i="21"/>
  <c r="T490" i="21"/>
  <c r="T518" i="21"/>
  <c r="T521" i="21"/>
  <c r="T546" i="21"/>
  <c r="T585" i="21"/>
  <c r="T636" i="21"/>
  <c r="T642" i="21"/>
  <c r="T702" i="21"/>
  <c r="T730" i="21"/>
  <c r="T736" i="21"/>
  <c r="T765" i="21"/>
  <c r="T768" i="21"/>
  <c r="T771" i="21"/>
  <c r="T839" i="21"/>
  <c r="T842" i="21"/>
  <c r="T865" i="21"/>
  <c r="T903" i="21"/>
  <c r="T922" i="21"/>
  <c r="T1011" i="21"/>
  <c r="T1030" i="21"/>
  <c r="T1210" i="21"/>
  <c r="T1095" i="21"/>
  <c r="T1181" i="21"/>
  <c r="T368" i="21"/>
  <c r="T416" i="21"/>
  <c r="T454" i="21"/>
  <c r="T552" i="21"/>
  <c r="T555" i="21"/>
  <c r="T566" i="21"/>
  <c r="T569" i="21"/>
  <c r="T577" i="21"/>
  <c r="T600" i="21"/>
  <c r="T620" i="21"/>
  <c r="T674" i="21"/>
  <c r="T677" i="21"/>
  <c r="T751" i="21"/>
  <c r="T825" i="21"/>
  <c r="T831" i="21"/>
  <c r="T892" i="21"/>
  <c r="T1000" i="21"/>
  <c r="T1064" i="21"/>
  <c r="T1069" i="21"/>
  <c r="T1150" i="21"/>
  <c r="T1155" i="21"/>
  <c r="T1205" i="21"/>
  <c r="T269" i="21"/>
  <c r="T160" i="21"/>
  <c r="T211" i="21"/>
  <c r="T231" i="21"/>
  <c r="T234" i="21"/>
  <c r="T245" i="21"/>
  <c r="T297" i="21"/>
  <c r="T338" i="21"/>
  <c r="T346" i="21"/>
  <c r="T360" i="21"/>
  <c r="T400" i="21"/>
  <c r="T463" i="21"/>
  <c r="T507" i="21"/>
  <c r="T530" i="21"/>
  <c r="T731" i="21"/>
  <c r="T289" i="21"/>
  <c r="T341" i="21"/>
  <c r="T477" i="21"/>
  <c r="T586" i="21"/>
  <c r="T305" i="21"/>
  <c r="T128" i="21"/>
  <c r="T122" i="21"/>
  <c r="T358" i="21"/>
  <c r="T405" i="21"/>
  <c r="T447" i="21"/>
  <c r="T455" i="21"/>
  <c r="T458" i="21"/>
  <c r="T480" i="21"/>
  <c r="T494" i="21"/>
  <c r="T497" i="21"/>
  <c r="T575" i="21"/>
  <c r="T604" i="21"/>
  <c r="T672" i="21"/>
  <c r="T678" i="21"/>
  <c r="T706" i="21"/>
  <c r="T792" i="21"/>
  <c r="T798" i="21"/>
  <c r="T832" i="21"/>
  <c r="T849" i="21"/>
  <c r="T959" i="21"/>
  <c r="T1083" i="21"/>
  <c r="T1112" i="21"/>
  <c r="T1117" i="21"/>
  <c r="T1169" i="21"/>
  <c r="T1198" i="21"/>
  <c r="T113" i="21"/>
  <c r="T163" i="21"/>
  <c r="T223" i="21"/>
  <c r="T105" i="21"/>
  <c r="T215" i="21"/>
  <c r="T246" i="21"/>
  <c r="T140" i="21"/>
  <c r="T125" i="21"/>
  <c r="T197" i="21"/>
  <c r="T152" i="21"/>
  <c r="T281" i="21"/>
  <c r="T126" i="21"/>
  <c r="T141" i="21"/>
  <c r="T170" i="21"/>
  <c r="T180" i="21"/>
  <c r="T183" i="21"/>
  <c r="T221" i="21"/>
  <c r="T224" i="21"/>
  <c r="T328" i="21"/>
  <c r="T350" i="21"/>
  <c r="T394" i="21"/>
  <c r="T398" i="21"/>
  <c r="T431" i="21"/>
  <c r="T442" i="21"/>
  <c r="T517" i="21"/>
  <c r="T534" i="21"/>
  <c r="T627" i="21"/>
  <c r="T638" i="21"/>
  <c r="T641" i="21"/>
  <c r="T764" i="21"/>
  <c r="T767" i="21"/>
  <c r="T770" i="21"/>
  <c r="T778" i="21"/>
  <c r="T810" i="21"/>
  <c r="T817" i="21"/>
  <c r="T913" i="21"/>
  <c r="T917" i="21"/>
  <c r="T944" i="21"/>
  <c r="T1021" i="21"/>
  <c r="T1025" i="21"/>
  <c r="T1107" i="21"/>
  <c r="T1193" i="21"/>
  <c r="T508" i="21"/>
  <c r="T514" i="21"/>
  <c r="T550" i="21"/>
  <c r="T553" i="21"/>
  <c r="T572" i="21"/>
  <c r="T597" i="21"/>
  <c r="T608" i="21"/>
  <c r="T614" i="21"/>
  <c r="T622" i="21"/>
  <c r="T628" i="21"/>
  <c r="T633" i="21"/>
  <c r="T647" i="21"/>
  <c r="T669" i="21"/>
  <c r="T697" i="21"/>
  <c r="T700" i="21"/>
  <c r="T714" i="21"/>
  <c r="T728" i="21"/>
  <c r="T748" i="21"/>
  <c r="T776" i="21"/>
  <c r="T816" i="21"/>
  <c r="T829" i="21"/>
  <c r="T843" i="21"/>
  <c r="T857" i="21"/>
  <c r="T895" i="21"/>
  <c r="T899" i="21"/>
  <c r="T910" i="21"/>
  <c r="T925" i="21"/>
  <c r="T940" i="21"/>
  <c r="T955" i="21"/>
  <c r="T1003" i="21"/>
  <c r="T1007" i="21"/>
  <c r="T1018" i="21"/>
  <c r="T150" i="21"/>
  <c r="T198" i="21"/>
  <c r="T204" i="21"/>
  <c r="T207" i="21"/>
  <c r="T213" i="21"/>
  <c r="T216" i="21"/>
  <c r="T309" i="21"/>
  <c r="T314" i="21"/>
  <c r="T389" i="21"/>
  <c r="T411" i="21"/>
  <c r="T414" i="21"/>
  <c r="T468" i="21"/>
  <c r="T485" i="21"/>
  <c r="T493" i="21"/>
  <c r="T512" i="21"/>
  <c r="T529" i="21"/>
  <c r="T542" i="21"/>
  <c r="T545" i="21"/>
  <c r="T562" i="21"/>
  <c r="T615" i="21"/>
  <c r="T623" i="21"/>
  <c r="T626" i="21"/>
  <c r="T648" i="21"/>
  <c r="T654" i="21"/>
  <c r="T681" i="21"/>
  <c r="T684" i="21"/>
  <c r="T698" i="21"/>
  <c r="T701" i="21"/>
  <c r="T720" i="21"/>
  <c r="T743" i="21"/>
  <c r="T746" i="21"/>
  <c r="T749" i="21"/>
  <c r="T808" i="21"/>
  <c r="T824" i="21"/>
  <c r="T827" i="21"/>
  <c r="T835" i="21"/>
  <c r="T841" i="21"/>
  <c r="T874" i="21"/>
  <c r="T889" i="21"/>
  <c r="T904" i="21"/>
  <c r="T919" i="21"/>
  <c r="T967" i="21"/>
  <c r="T971" i="21"/>
  <c r="T982" i="21"/>
  <c r="T997" i="21"/>
  <c r="T1012" i="21"/>
  <c r="T1027" i="21"/>
  <c r="T640" i="21"/>
  <c r="T673" i="21"/>
  <c r="T676" i="21"/>
  <c r="T704" i="21"/>
  <c r="T752" i="21"/>
  <c r="T783" i="21"/>
  <c r="T791" i="21"/>
  <c r="T794" i="21"/>
  <c r="T864" i="21"/>
  <c r="T867" i="21"/>
  <c r="T878" i="21"/>
  <c r="T934" i="21"/>
  <c r="T975" i="21"/>
  <c r="T986" i="21"/>
  <c r="T1045" i="21"/>
  <c r="T652" i="21"/>
  <c r="T685" i="21"/>
  <c r="T688" i="21"/>
  <c r="T693" i="21"/>
  <c r="T710" i="21"/>
  <c r="T721" i="21"/>
  <c r="T724" i="21"/>
  <c r="T758" i="21"/>
  <c r="T761" i="21"/>
  <c r="T800" i="21"/>
  <c r="T836" i="21"/>
  <c r="T847" i="21"/>
  <c r="T916" i="21"/>
  <c r="T942" i="21"/>
  <c r="T957" i="21"/>
  <c r="T968" i="21"/>
  <c r="T1024" i="21"/>
  <c r="T924" i="21"/>
  <c r="T939" i="21"/>
  <c r="T950" i="21"/>
  <c r="T1006" i="21"/>
  <c r="T1032" i="21"/>
  <c r="T1035" i="21"/>
  <c r="T1046" i="21"/>
  <c r="T104" i="21"/>
  <c r="T134" i="21"/>
  <c r="T145" i="21"/>
  <c r="T153" i="21"/>
  <c r="T206" i="21"/>
  <c r="T209" i="21"/>
  <c r="T212" i="21"/>
  <c r="T268" i="21"/>
  <c r="T273" i="21"/>
  <c r="T321" i="21"/>
  <c r="T396" i="21"/>
  <c r="T441" i="21"/>
  <c r="T475" i="21"/>
  <c r="T504" i="21"/>
  <c r="T625" i="21"/>
  <c r="T960" i="21"/>
  <c r="T107" i="21"/>
  <c r="T123" i="21"/>
  <c r="T167" i="21"/>
  <c r="T316" i="21"/>
  <c r="T347" i="21"/>
  <c r="T352" i="21"/>
  <c r="T436" i="21"/>
  <c r="T584" i="21"/>
  <c r="T661" i="21"/>
  <c r="T747" i="21"/>
  <c r="T709" i="21"/>
  <c r="T807" i="21"/>
  <c r="T173" i="21"/>
  <c r="T227" i="21"/>
  <c r="T133" i="21"/>
  <c r="T186" i="21"/>
  <c r="T194" i="21"/>
  <c r="T333" i="21"/>
  <c r="T402" i="21"/>
  <c r="T448" i="21"/>
  <c r="T453" i="21"/>
  <c r="T482" i="21"/>
  <c r="T524" i="21"/>
  <c r="T556" i="21"/>
  <c r="T888" i="21"/>
  <c r="T106" i="21"/>
  <c r="T109" i="21"/>
  <c r="T158" i="21"/>
  <c r="T169" i="21"/>
  <c r="T280" i="21"/>
  <c r="T364" i="21"/>
  <c r="T399" i="21"/>
  <c r="T412" i="21"/>
  <c r="T543" i="21"/>
  <c r="T870" i="21"/>
  <c r="T671" i="21"/>
  <c r="T733" i="21"/>
  <c r="T812" i="21"/>
  <c r="T873" i="21"/>
  <c r="T891" i="21"/>
  <c r="T909" i="21"/>
  <c r="T927" i="21"/>
  <c r="T945" i="21"/>
  <c r="T963" i="21"/>
  <c r="T981" i="21"/>
  <c r="T999" i="21"/>
  <c r="T1017" i="21"/>
  <c r="T118" i="21"/>
  <c r="T121" i="21"/>
  <c r="T148" i="21"/>
  <c r="T171" i="21"/>
  <c r="T189" i="21"/>
  <c r="T483" i="21"/>
  <c r="T532" i="21"/>
  <c r="T675" i="21"/>
  <c r="T699" i="21"/>
  <c r="T745" i="21"/>
  <c r="T826" i="21"/>
  <c r="T471" i="21"/>
  <c r="T740" i="21"/>
  <c r="T759" i="21"/>
  <c r="T805" i="21"/>
  <c r="T821" i="21"/>
  <c r="T840" i="21"/>
  <c r="T882" i="21"/>
  <c r="T900" i="21"/>
  <c r="T918" i="21"/>
  <c r="T936" i="21"/>
  <c r="T954" i="21"/>
  <c r="T972" i="21"/>
  <c r="T990" i="21"/>
  <c r="T1008" i="21"/>
  <c r="T1026" i="21"/>
  <c r="T567" i="21"/>
  <c r="T580" i="21"/>
  <c r="T603" i="21"/>
  <c r="T616" i="21"/>
  <c r="T639" i="21"/>
  <c r="T716" i="21"/>
  <c r="T735" i="21"/>
  <c r="T781" i="21"/>
  <c r="T818" i="21"/>
  <c r="T862" i="21"/>
  <c r="T879" i="21"/>
  <c r="T897" i="21"/>
  <c r="T915" i="21"/>
  <c r="T933" i="21"/>
  <c r="T951" i="21"/>
  <c r="T969" i="21"/>
  <c r="T987" i="21"/>
  <c r="T1005" i="21"/>
  <c r="T1023" i="21"/>
  <c r="T1039" i="21"/>
  <c r="T663" i="21"/>
  <c r="T692" i="21"/>
  <c r="T711" i="21"/>
  <c r="T757" i="21"/>
  <c r="T815" i="21"/>
  <c r="T838" i="21"/>
  <c r="T876" i="21"/>
  <c r="T894" i="21"/>
  <c r="T912" i="21"/>
  <c r="T930" i="21"/>
  <c r="T948" i="21"/>
  <c r="T966" i="21"/>
  <c r="T984" i="21"/>
  <c r="T1002" i="21"/>
  <c r="T1020" i="21"/>
  <c r="T1034" i="21"/>
  <c r="G24" i="20" l="1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9" i="20"/>
  <c r="G8" i="20"/>
  <c r="G7" i="20"/>
  <c r="G6" i="20"/>
  <c r="G5" i="20"/>
  <c r="G4" i="20"/>
  <c r="G3" i="20"/>
  <c r="E100" i="18"/>
  <c r="E101" i="18"/>
  <c r="E93" i="18"/>
  <c r="E94" i="18"/>
  <c r="E95" i="18"/>
  <c r="E96" i="18"/>
  <c r="E97" i="18"/>
  <c r="E98" i="18"/>
  <c r="E99" i="18"/>
  <c r="E91" i="18"/>
  <c r="M91" i="18" s="1"/>
  <c r="E92" i="18"/>
  <c r="M92" i="18" s="1"/>
  <c r="E86" i="18"/>
  <c r="M86" i="18" s="1"/>
  <c r="E87" i="18"/>
  <c r="M87" i="18" s="1"/>
  <c r="E88" i="18"/>
  <c r="M88" i="18" s="1"/>
  <c r="E89" i="18"/>
  <c r="M89" i="18" s="1"/>
  <c r="E90" i="18"/>
  <c r="M90" i="18" s="1"/>
  <c r="E85" i="18"/>
  <c r="M85" i="18" s="1"/>
  <c r="E80" i="18"/>
  <c r="M80" i="18" s="1"/>
  <c r="E81" i="18"/>
  <c r="M81" i="18" s="1"/>
  <c r="E82" i="18"/>
  <c r="M82" i="18" s="1"/>
  <c r="E83" i="18"/>
  <c r="M83" i="18" s="1"/>
  <c r="E84" i="18"/>
  <c r="M84" i="18" s="1"/>
  <c r="E76" i="18"/>
  <c r="M76" i="18" s="1"/>
  <c r="E77" i="18"/>
  <c r="M77" i="18" s="1"/>
  <c r="E78" i="18"/>
  <c r="M78" i="18" s="1"/>
  <c r="E79" i="18"/>
  <c r="M79" i="18" s="1"/>
  <c r="E75" i="18"/>
  <c r="M75" i="18" s="1"/>
  <c r="E70" i="18"/>
  <c r="M70" i="18" s="1"/>
  <c r="E71" i="18"/>
  <c r="M71" i="18" s="1"/>
  <c r="E72" i="18"/>
  <c r="M72" i="18" s="1"/>
  <c r="E73" i="18"/>
  <c r="M73" i="18" s="1"/>
  <c r="E74" i="18"/>
  <c r="M74" i="18" s="1"/>
  <c r="E65" i="18"/>
  <c r="E66" i="18"/>
  <c r="M66" i="18" s="1"/>
  <c r="E67" i="18"/>
  <c r="M67" i="18" s="1"/>
  <c r="E68" i="18"/>
  <c r="M68" i="18" s="1"/>
  <c r="E69" i="18"/>
  <c r="M69" i="18" s="1"/>
  <c r="C50" i="18"/>
  <c r="C42" i="18"/>
  <c r="C85" i="18"/>
  <c r="C101" i="18"/>
  <c r="C51" i="18"/>
  <c r="C11" i="18"/>
  <c r="C58" i="18"/>
  <c r="C7" i="18"/>
  <c r="C64" i="18"/>
  <c r="C86" i="18"/>
  <c r="C52" i="18"/>
  <c r="C29" i="18"/>
  <c r="C91" i="18"/>
  <c r="C75" i="18"/>
  <c r="C5" i="18"/>
  <c r="C71" i="18"/>
  <c r="C39" i="18"/>
  <c r="C67" i="18"/>
  <c r="C79" i="18"/>
  <c r="C92" i="18"/>
  <c r="C81" i="18"/>
  <c r="C90" i="18"/>
  <c r="C76" i="18"/>
  <c r="C48" i="18"/>
  <c r="C77" i="18"/>
  <c r="C99" i="18"/>
  <c r="C66" i="18"/>
  <c r="C26" i="18"/>
  <c r="C44" i="18"/>
  <c r="C88" i="18"/>
  <c r="C87" i="18"/>
  <c r="C68" i="18"/>
  <c r="C73" i="18"/>
  <c r="C24" i="18"/>
  <c r="C32" i="18"/>
  <c r="C3" i="18"/>
  <c r="C59" i="18"/>
  <c r="C27" i="18"/>
  <c r="C74" i="18"/>
  <c r="C61" i="18"/>
  <c r="C78" i="18"/>
  <c r="C25" i="18"/>
  <c r="C100" i="18"/>
  <c r="C82" i="18"/>
  <c r="C18" i="18"/>
  <c r="C54" i="18"/>
  <c r="C97" i="18"/>
  <c r="C96" i="18"/>
  <c r="C41" i="18"/>
  <c r="C46" i="18"/>
  <c r="C45" i="18"/>
  <c r="C57" i="18"/>
  <c r="C17" i="18"/>
  <c r="C93" i="18"/>
  <c r="C55" i="18"/>
  <c r="C6" i="18"/>
  <c r="C33" i="18"/>
  <c r="C12" i="18"/>
  <c r="C94" i="18"/>
  <c r="C35" i="18"/>
  <c r="C23" i="18"/>
  <c r="C31" i="18"/>
  <c r="C34" i="18"/>
  <c r="C38" i="18"/>
  <c r="C4" i="18"/>
  <c r="C43" i="18"/>
  <c r="C65" i="18"/>
  <c r="C63" i="18"/>
  <c r="C37" i="18"/>
  <c r="C21" i="18"/>
  <c r="C69" i="18"/>
  <c r="C47" i="18"/>
  <c r="C98" i="18"/>
  <c r="C14" i="18"/>
  <c r="C28" i="18"/>
  <c r="C62" i="18"/>
  <c r="C22" i="18"/>
  <c r="C84" i="18"/>
  <c r="C19" i="18"/>
  <c r="C40" i="18"/>
  <c r="C10" i="18"/>
  <c r="C15" i="18"/>
  <c r="C89" i="18"/>
  <c r="C72" i="18"/>
  <c r="C53" i="18"/>
  <c r="C30" i="18"/>
  <c r="C80" i="18"/>
  <c r="C36" i="18"/>
  <c r="C95" i="18"/>
  <c r="C13" i="18"/>
  <c r="C16" i="18"/>
  <c r="C9" i="18"/>
  <c r="C70" i="18"/>
  <c r="C20" i="18"/>
  <c r="C8" i="18"/>
  <c r="C49" i="18"/>
  <c r="C60" i="18"/>
  <c r="C83" i="18"/>
  <c r="C56" i="18"/>
  <c r="M101" i="18" l="1"/>
  <c r="M98" i="18"/>
  <c r="M95" i="18"/>
  <c r="M100" i="18"/>
  <c r="M99" i="18"/>
  <c r="M97" i="18"/>
  <c r="M96" i="18"/>
  <c r="M94" i="18"/>
  <c r="M93" i="18"/>
  <c r="E60" i="18" l="1"/>
  <c r="M60" i="18" s="1"/>
  <c r="E61" i="18"/>
  <c r="M61" i="18" s="1"/>
  <c r="E62" i="18"/>
  <c r="M62" i="18" s="1"/>
  <c r="E63" i="18"/>
  <c r="M63" i="18" s="1"/>
  <c r="E64" i="18"/>
  <c r="M64" i="18" s="1"/>
  <c r="M65" i="18"/>
  <c r="E54" i="18"/>
  <c r="M54" i="18" s="1"/>
  <c r="E51" i="18"/>
  <c r="M51" i="18" s="1"/>
  <c r="E52" i="18"/>
  <c r="M52" i="18" s="1"/>
  <c r="E53" i="18"/>
  <c r="M53" i="18" s="1"/>
  <c r="E55" i="18"/>
  <c r="M55" i="18" s="1"/>
  <c r="E56" i="18"/>
  <c r="M56" i="18" s="1"/>
  <c r="M57" i="18"/>
  <c r="E58" i="18"/>
  <c r="M58" i="18" s="1"/>
  <c r="M59" i="18"/>
  <c r="E36" i="18"/>
  <c r="M36" i="18" s="1"/>
  <c r="E37" i="18"/>
  <c r="M37" i="18" s="1"/>
  <c r="E38" i="18"/>
  <c r="M38" i="18" s="1"/>
  <c r="E39" i="18"/>
  <c r="M39" i="18" s="1"/>
  <c r="E40" i="18"/>
  <c r="M40" i="18" s="1"/>
  <c r="E41" i="18"/>
  <c r="M41" i="18" s="1"/>
  <c r="E42" i="18"/>
  <c r="M42" i="18" s="1"/>
  <c r="E43" i="18"/>
  <c r="M43" i="18" s="1"/>
  <c r="E44" i="18"/>
  <c r="M44" i="18" s="1"/>
  <c r="E45" i="18"/>
  <c r="M45" i="18" s="1"/>
  <c r="E46" i="18"/>
  <c r="M46" i="18" s="1"/>
  <c r="E47" i="18"/>
  <c r="M47" i="18" s="1"/>
  <c r="M48" i="18"/>
  <c r="E49" i="18"/>
  <c r="M49" i="18" s="1"/>
  <c r="E50" i="18"/>
  <c r="M50" i="18" s="1"/>
  <c r="M4" i="18"/>
  <c r="M5" i="18"/>
  <c r="M6" i="18"/>
  <c r="M7" i="18"/>
  <c r="M8" i="18"/>
  <c r="M9" i="18"/>
  <c r="M10" i="18"/>
  <c r="M11" i="18"/>
  <c r="M12" i="18"/>
  <c r="M13" i="18"/>
  <c r="M14" i="18"/>
  <c r="M15" i="18"/>
  <c r="M16" i="18"/>
  <c r="M17" i="18"/>
  <c r="M18" i="18"/>
  <c r="M19" i="18"/>
  <c r="M20" i="18"/>
  <c r="M21" i="18"/>
  <c r="M22" i="18"/>
  <c r="M23" i="18"/>
  <c r="M24" i="18"/>
  <c r="M25" i="18"/>
  <c r="M26" i="18"/>
  <c r="E28" i="18"/>
  <c r="M28" i="18" s="1"/>
  <c r="E29" i="18"/>
  <c r="M29" i="18" s="1"/>
  <c r="E30" i="18"/>
  <c r="M30" i="18" s="1"/>
  <c r="E31" i="18"/>
  <c r="M31" i="18" s="1"/>
  <c r="E32" i="18"/>
  <c r="M32" i="18" s="1"/>
  <c r="E33" i="18"/>
  <c r="M33" i="18" s="1"/>
  <c r="E34" i="18"/>
  <c r="M34" i="18" s="1"/>
  <c r="E35" i="18"/>
  <c r="M35" i="18" s="1"/>
  <c r="E27" i="18"/>
  <c r="M27" i="18" s="1"/>
  <c r="M3" i="18"/>
  <c r="I15" i="1"/>
  <c r="I56" i="1" l="1"/>
  <c r="J42" i="17" l="1"/>
  <c r="J4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3" i="17"/>
  <c r="I42" i="1"/>
  <c r="B25" i="15" l="1"/>
  <c r="C25" i="15"/>
  <c r="D25" i="15"/>
  <c r="E25" i="15"/>
  <c r="F25" i="15"/>
  <c r="G25" i="15"/>
  <c r="H25" i="15"/>
  <c r="I25" i="15"/>
  <c r="J25" i="15"/>
  <c r="K27" i="15" l="1"/>
  <c r="K26" i="15"/>
  <c r="K25" i="15"/>
  <c r="I54" i="1"/>
  <c r="I52" i="1"/>
  <c r="I50" i="1"/>
  <c r="I48" i="1"/>
  <c r="I46" i="1"/>
  <c r="I44" i="1"/>
  <c r="D43" i="8" l="1"/>
  <c r="E43" i="8"/>
  <c r="D41" i="8"/>
  <c r="E41" i="8"/>
  <c r="D38" i="8"/>
  <c r="E38" i="8"/>
  <c r="D40" i="8"/>
  <c r="E40" i="8"/>
  <c r="D37" i="8"/>
  <c r="E37" i="8"/>
  <c r="O38" i="8"/>
  <c r="P38" i="8"/>
  <c r="O41" i="8"/>
  <c r="P41" i="8"/>
  <c r="O43" i="8"/>
  <c r="P43" i="8"/>
  <c r="O37" i="8"/>
  <c r="P37" i="8"/>
  <c r="O40" i="8"/>
  <c r="P40" i="8"/>
  <c r="D46" i="8"/>
  <c r="E46" i="8"/>
  <c r="D45" i="8"/>
  <c r="E45" i="8"/>
  <c r="D44" i="8"/>
  <c r="E44" i="8"/>
  <c r="D42" i="8"/>
  <c r="E42" i="8"/>
  <c r="D39" i="8"/>
  <c r="E39" i="8"/>
  <c r="D36" i="8"/>
  <c r="E36" i="8"/>
  <c r="O36" i="8"/>
  <c r="P36" i="8"/>
  <c r="O39" i="8"/>
  <c r="P39" i="8"/>
  <c r="O42" i="8"/>
  <c r="P42" i="8"/>
  <c r="O44" i="8"/>
  <c r="P44" i="8"/>
  <c r="O45" i="8"/>
  <c r="P45" i="8"/>
  <c r="O46" i="8"/>
  <c r="P46" i="8"/>
  <c r="D35" i="8"/>
  <c r="E35" i="8"/>
  <c r="D33" i="8"/>
  <c r="E33" i="8"/>
  <c r="D34" i="8"/>
  <c r="E34" i="8"/>
  <c r="D32" i="8"/>
  <c r="E32" i="8"/>
  <c r="O32" i="8"/>
  <c r="P32" i="8"/>
  <c r="O34" i="8"/>
  <c r="P34" i="8"/>
  <c r="O33" i="8"/>
  <c r="P33" i="8"/>
  <c r="O35" i="8"/>
  <c r="P35" i="8"/>
  <c r="D31" i="8"/>
  <c r="E31" i="8"/>
  <c r="D30" i="8"/>
  <c r="E30" i="8"/>
  <c r="D29" i="8"/>
  <c r="E29" i="8"/>
  <c r="O29" i="8"/>
  <c r="P29" i="8"/>
  <c r="O30" i="8"/>
  <c r="P30" i="8"/>
  <c r="O31" i="8"/>
  <c r="P31" i="8"/>
  <c r="D28" i="8"/>
  <c r="E28" i="8"/>
  <c r="D27" i="8"/>
  <c r="E27" i="8"/>
  <c r="D26" i="8"/>
  <c r="E26" i="8"/>
  <c r="O27" i="8"/>
  <c r="P27" i="8"/>
  <c r="O28" i="8"/>
  <c r="P28" i="8"/>
  <c r="P26" i="8"/>
  <c r="O26" i="8"/>
  <c r="D25" i="8"/>
  <c r="E25" i="8"/>
  <c r="D24" i="8"/>
  <c r="E24" i="8"/>
  <c r="P25" i="8"/>
  <c r="P24" i="8"/>
  <c r="D23" i="8"/>
  <c r="E23" i="8"/>
  <c r="D22" i="8"/>
  <c r="E22" i="8"/>
  <c r="O23" i="8"/>
  <c r="P23" i="8"/>
  <c r="O22" i="8"/>
  <c r="P22" i="8"/>
  <c r="D21" i="8"/>
  <c r="E21" i="8"/>
  <c r="O21" i="8"/>
  <c r="P21" i="8"/>
  <c r="D20" i="8"/>
  <c r="E20" i="8"/>
  <c r="D19" i="8"/>
  <c r="E19" i="8"/>
  <c r="D18" i="8"/>
  <c r="E18" i="8"/>
  <c r="D17" i="8"/>
  <c r="E17" i="8"/>
  <c r="D16" i="8"/>
  <c r="E16" i="8"/>
  <c r="O16" i="8"/>
  <c r="P16" i="8"/>
  <c r="O17" i="8"/>
  <c r="P17" i="8"/>
  <c r="O18" i="8"/>
  <c r="P18" i="8"/>
  <c r="O19" i="8"/>
  <c r="P19" i="8"/>
  <c r="O20" i="8"/>
  <c r="P20" i="8"/>
  <c r="D808" i="5"/>
  <c r="E808" i="5"/>
  <c r="D809" i="5"/>
  <c r="E809" i="5"/>
  <c r="D810" i="5"/>
  <c r="E810" i="5"/>
  <c r="D811" i="5"/>
  <c r="E811" i="5"/>
  <c r="D812" i="5"/>
  <c r="E812" i="5"/>
  <c r="D813" i="5"/>
  <c r="E813" i="5"/>
  <c r="D814" i="5"/>
  <c r="E814" i="5"/>
  <c r="D815" i="5"/>
  <c r="E815" i="5"/>
  <c r="D807" i="5"/>
  <c r="E807" i="5"/>
  <c r="O808" i="5"/>
  <c r="P808" i="5"/>
  <c r="O809" i="5"/>
  <c r="P809" i="5"/>
  <c r="O810" i="5"/>
  <c r="P810" i="5"/>
  <c r="O811" i="5"/>
  <c r="P811" i="5"/>
  <c r="O812" i="5"/>
  <c r="P812" i="5"/>
  <c r="O813" i="5"/>
  <c r="P813" i="5"/>
  <c r="O814" i="5"/>
  <c r="P814" i="5"/>
  <c r="O815" i="5"/>
  <c r="P815" i="5"/>
  <c r="P807" i="5"/>
  <c r="O807" i="5"/>
  <c r="R808" i="5" l="1"/>
  <c r="R814" i="5"/>
  <c r="R41" i="8"/>
  <c r="R807" i="5"/>
  <c r="R39" i="8"/>
  <c r="R38" i="8"/>
  <c r="R811" i="5"/>
  <c r="R810" i="5"/>
  <c r="R815" i="5"/>
  <c r="R45" i="8"/>
  <c r="R36" i="8"/>
  <c r="R40" i="8"/>
  <c r="R46" i="8"/>
  <c r="R37" i="8"/>
  <c r="R42" i="8"/>
  <c r="R44" i="8"/>
  <c r="R43" i="8"/>
  <c r="R813" i="5"/>
  <c r="R812" i="5"/>
  <c r="R809" i="5"/>
  <c r="D15" i="8"/>
  <c r="E15" i="8"/>
  <c r="D14" i="8"/>
  <c r="E14" i="8"/>
  <c r="D13" i="8"/>
  <c r="E13" i="8"/>
  <c r="O13" i="8"/>
  <c r="P13" i="8"/>
  <c r="O14" i="8"/>
  <c r="P14" i="8"/>
  <c r="O15" i="8"/>
  <c r="P15" i="8"/>
  <c r="D4" i="8"/>
  <c r="E4" i="8"/>
  <c r="D6" i="8"/>
  <c r="E6" i="8"/>
  <c r="D8" i="8"/>
  <c r="E8" i="8"/>
  <c r="D10" i="8"/>
  <c r="E10" i="8"/>
  <c r="D12" i="8"/>
  <c r="E12" i="8"/>
  <c r="D3" i="8"/>
  <c r="E3" i="8"/>
  <c r="D5" i="8"/>
  <c r="E5" i="8"/>
  <c r="D7" i="8"/>
  <c r="E7" i="8"/>
  <c r="D9" i="8"/>
  <c r="E9" i="8"/>
  <c r="D11" i="8"/>
  <c r="E11" i="8"/>
  <c r="O4" i="8"/>
  <c r="P4" i="8"/>
  <c r="O6" i="8"/>
  <c r="P6" i="8"/>
  <c r="O8" i="8"/>
  <c r="P8" i="8"/>
  <c r="O10" i="8"/>
  <c r="P10" i="8"/>
  <c r="O12" i="8"/>
  <c r="P12" i="8"/>
  <c r="O3" i="8"/>
  <c r="P3" i="8"/>
  <c r="O5" i="8"/>
  <c r="P5" i="8"/>
  <c r="O7" i="8"/>
  <c r="P7" i="8"/>
  <c r="O9" i="8"/>
  <c r="P9" i="8"/>
  <c r="O11" i="8"/>
  <c r="P11" i="8"/>
  <c r="D69" i="8"/>
  <c r="E69" i="8"/>
  <c r="D70" i="8"/>
  <c r="E70" i="8"/>
  <c r="D71" i="8"/>
  <c r="E71" i="8"/>
  <c r="D68" i="8"/>
  <c r="E68" i="8"/>
  <c r="D67" i="8"/>
  <c r="E67" i="8"/>
  <c r="O67" i="8"/>
  <c r="P67" i="8"/>
  <c r="O68" i="8"/>
  <c r="P68" i="8"/>
  <c r="O69" i="8"/>
  <c r="P69" i="8"/>
  <c r="O70" i="8"/>
  <c r="P70" i="8"/>
  <c r="O71" i="8"/>
  <c r="P71" i="8"/>
  <c r="D163" i="10"/>
  <c r="E163" i="10"/>
  <c r="D164" i="10"/>
  <c r="E164" i="10"/>
  <c r="D165" i="10"/>
  <c r="E165" i="10"/>
  <c r="D166" i="10"/>
  <c r="E166" i="10"/>
  <c r="D162" i="10"/>
  <c r="E162" i="10"/>
  <c r="D161" i="10"/>
  <c r="E161" i="10"/>
  <c r="D160" i="10"/>
  <c r="E160" i="10"/>
  <c r="O160" i="10"/>
  <c r="P160" i="10"/>
  <c r="O161" i="10"/>
  <c r="P161" i="10"/>
  <c r="O162" i="10"/>
  <c r="P162" i="10"/>
  <c r="O163" i="10"/>
  <c r="P163" i="10"/>
  <c r="O164" i="10"/>
  <c r="P164" i="10"/>
  <c r="O165" i="10"/>
  <c r="P165" i="10"/>
  <c r="O166" i="10"/>
  <c r="P166" i="10"/>
  <c r="O109" i="10"/>
  <c r="P109" i="10"/>
  <c r="O110" i="10"/>
  <c r="P110" i="10"/>
  <c r="O111" i="10"/>
  <c r="P111" i="10"/>
  <c r="O112" i="10"/>
  <c r="P112" i="10"/>
  <c r="O113" i="10"/>
  <c r="P113" i="10"/>
  <c r="O114" i="10"/>
  <c r="P114" i="10"/>
  <c r="O115" i="10"/>
  <c r="P115" i="10"/>
  <c r="O116" i="10"/>
  <c r="P116" i="10"/>
  <c r="O117" i="10"/>
  <c r="P117" i="10"/>
  <c r="O118" i="10"/>
  <c r="P118" i="10"/>
  <c r="O119" i="10"/>
  <c r="P119" i="10"/>
  <c r="O120" i="10"/>
  <c r="P120" i="10"/>
  <c r="O121" i="10"/>
  <c r="P121" i="10"/>
  <c r="O122" i="10"/>
  <c r="P122" i="10"/>
  <c r="O123" i="10"/>
  <c r="P123" i="10"/>
  <c r="O124" i="10"/>
  <c r="P124" i="10"/>
  <c r="O125" i="10"/>
  <c r="P125" i="10"/>
  <c r="O126" i="10"/>
  <c r="P126" i="10"/>
  <c r="O127" i="10"/>
  <c r="P127" i="10"/>
  <c r="O128" i="10"/>
  <c r="P128" i="10"/>
  <c r="O129" i="10"/>
  <c r="P129" i="10"/>
  <c r="O130" i="10"/>
  <c r="P130" i="10"/>
  <c r="O131" i="10"/>
  <c r="P131" i="10"/>
  <c r="O132" i="10"/>
  <c r="P132" i="10"/>
  <c r="O133" i="10"/>
  <c r="P133" i="10"/>
  <c r="O134" i="10"/>
  <c r="P134" i="10"/>
  <c r="O135" i="10"/>
  <c r="P135" i="10"/>
  <c r="O136" i="10"/>
  <c r="P136" i="10"/>
  <c r="O137" i="10"/>
  <c r="P137" i="10"/>
  <c r="O138" i="10"/>
  <c r="P138" i="10"/>
  <c r="O139" i="10"/>
  <c r="P139" i="10"/>
  <c r="O140" i="10"/>
  <c r="P140" i="10"/>
  <c r="O141" i="10"/>
  <c r="P141" i="10"/>
  <c r="O142" i="10"/>
  <c r="P142" i="10"/>
  <c r="O143" i="10"/>
  <c r="P143" i="10"/>
  <c r="O144" i="10"/>
  <c r="P144" i="10"/>
  <c r="O145" i="10"/>
  <c r="P145" i="10"/>
  <c r="O146" i="10"/>
  <c r="P146" i="10"/>
  <c r="O147" i="10"/>
  <c r="P147" i="10"/>
  <c r="O148" i="10"/>
  <c r="P148" i="10"/>
  <c r="O149" i="10"/>
  <c r="P149" i="10"/>
  <c r="O150" i="10"/>
  <c r="P150" i="10"/>
  <c r="O151" i="10"/>
  <c r="P151" i="10"/>
  <c r="O152" i="10"/>
  <c r="P152" i="10"/>
  <c r="O153" i="10"/>
  <c r="P153" i="10"/>
  <c r="O154" i="10"/>
  <c r="P154" i="10"/>
  <c r="O155" i="10"/>
  <c r="P155" i="10"/>
  <c r="O156" i="10"/>
  <c r="P156" i="10"/>
  <c r="O157" i="10"/>
  <c r="P157" i="10"/>
  <c r="O158" i="10"/>
  <c r="P158" i="10"/>
  <c r="O159" i="10"/>
  <c r="P159" i="10"/>
  <c r="D60" i="8"/>
  <c r="E60" i="8"/>
  <c r="D59" i="8"/>
  <c r="E59" i="8"/>
  <c r="D58" i="8"/>
  <c r="E58" i="8"/>
  <c r="D57" i="8"/>
  <c r="E57" i="8"/>
  <c r="D56" i="8"/>
  <c r="E56" i="8"/>
  <c r="O56" i="8"/>
  <c r="P56" i="8"/>
  <c r="O57" i="8"/>
  <c r="P57" i="8"/>
  <c r="O58" i="8"/>
  <c r="P58" i="8"/>
  <c r="O59" i="8"/>
  <c r="P59" i="8"/>
  <c r="O60" i="8"/>
  <c r="P60" i="8"/>
  <c r="D55" i="8"/>
  <c r="E55" i="8"/>
  <c r="D54" i="8"/>
  <c r="E54" i="8"/>
  <c r="D53" i="8"/>
  <c r="E53" i="8"/>
  <c r="D52" i="8"/>
  <c r="E52" i="8"/>
  <c r="D51" i="8"/>
  <c r="E51" i="8"/>
  <c r="O51" i="8"/>
  <c r="P51" i="8"/>
  <c r="O52" i="8"/>
  <c r="P52" i="8"/>
  <c r="O53" i="8"/>
  <c r="P53" i="8"/>
  <c r="O54" i="8"/>
  <c r="P54" i="8"/>
  <c r="O55" i="8"/>
  <c r="P55" i="8"/>
  <c r="D124" i="10"/>
  <c r="E124" i="10"/>
  <c r="D125" i="10"/>
  <c r="E125" i="10"/>
  <c r="D126" i="10"/>
  <c r="E126" i="10"/>
  <c r="D127" i="10"/>
  <c r="E127" i="10"/>
  <c r="D128" i="10"/>
  <c r="E128" i="10"/>
  <c r="D129" i="10"/>
  <c r="E129" i="10"/>
  <c r="D130" i="10"/>
  <c r="E130" i="10"/>
  <c r="D131" i="10"/>
  <c r="E131" i="10"/>
  <c r="D132" i="10"/>
  <c r="E132" i="10"/>
  <c r="D133" i="10"/>
  <c r="E133" i="10"/>
  <c r="D134" i="10"/>
  <c r="E134" i="10"/>
  <c r="D135" i="10"/>
  <c r="E135" i="10"/>
  <c r="D136" i="10"/>
  <c r="E136" i="10"/>
  <c r="D137" i="10"/>
  <c r="E137" i="10"/>
  <c r="D138" i="10"/>
  <c r="E138" i="10"/>
  <c r="D139" i="10"/>
  <c r="E139" i="10"/>
  <c r="D140" i="10"/>
  <c r="E140" i="10"/>
  <c r="D141" i="10"/>
  <c r="E141" i="10"/>
  <c r="D142" i="10"/>
  <c r="E142" i="10"/>
  <c r="D143" i="10"/>
  <c r="E143" i="10"/>
  <c r="D144" i="10"/>
  <c r="E144" i="10"/>
  <c r="D145" i="10"/>
  <c r="E145" i="10"/>
  <c r="D146" i="10"/>
  <c r="E146" i="10"/>
  <c r="D147" i="10"/>
  <c r="E147" i="10"/>
  <c r="D148" i="10"/>
  <c r="E148" i="10"/>
  <c r="D149" i="10"/>
  <c r="E149" i="10"/>
  <c r="D150" i="10"/>
  <c r="E150" i="10"/>
  <c r="D151" i="10"/>
  <c r="E151" i="10"/>
  <c r="D152" i="10"/>
  <c r="E152" i="10"/>
  <c r="D153" i="10"/>
  <c r="E153" i="10"/>
  <c r="D154" i="10"/>
  <c r="E154" i="10"/>
  <c r="D155" i="10"/>
  <c r="E155" i="10"/>
  <c r="D156" i="10"/>
  <c r="E156" i="10"/>
  <c r="D157" i="10"/>
  <c r="E157" i="10"/>
  <c r="D158" i="10"/>
  <c r="E158" i="10"/>
  <c r="D159" i="10"/>
  <c r="E159" i="10"/>
  <c r="D123" i="10"/>
  <c r="E123" i="10"/>
  <c r="D122" i="10"/>
  <c r="E122" i="10"/>
  <c r="D114" i="10"/>
  <c r="E114" i="10"/>
  <c r="D115" i="10"/>
  <c r="E115" i="10"/>
  <c r="D116" i="10"/>
  <c r="E116" i="10"/>
  <c r="D117" i="10"/>
  <c r="E117" i="10"/>
  <c r="D118" i="10"/>
  <c r="E118" i="10"/>
  <c r="D119" i="10"/>
  <c r="E119" i="10"/>
  <c r="D120" i="10"/>
  <c r="E120" i="10"/>
  <c r="D121" i="10"/>
  <c r="E121" i="10"/>
  <c r="D113" i="10"/>
  <c r="E113" i="10"/>
  <c r="D112" i="10"/>
  <c r="E112" i="10"/>
  <c r="D111" i="10"/>
  <c r="E111" i="10"/>
  <c r="D110" i="10"/>
  <c r="E110" i="10"/>
  <c r="D109" i="10"/>
  <c r="E109" i="10"/>
  <c r="O47" i="8"/>
  <c r="P47" i="8"/>
  <c r="O48" i="8"/>
  <c r="P48" i="8"/>
  <c r="O49" i="8"/>
  <c r="P49" i="8"/>
  <c r="O50" i="8"/>
  <c r="P50" i="8"/>
  <c r="D50" i="8"/>
  <c r="E50" i="8"/>
  <c r="D49" i="8"/>
  <c r="E49" i="8"/>
  <c r="D48" i="8"/>
  <c r="E48" i="8"/>
  <c r="D47" i="8"/>
  <c r="E47" i="8"/>
  <c r="D93" i="10"/>
  <c r="E93" i="10"/>
  <c r="D94" i="10"/>
  <c r="E94" i="10"/>
  <c r="D95" i="10"/>
  <c r="E95" i="10"/>
  <c r="D96" i="10"/>
  <c r="E96" i="10"/>
  <c r="D97" i="10"/>
  <c r="E97" i="10"/>
  <c r="D98" i="10"/>
  <c r="E98" i="10"/>
  <c r="D99" i="10"/>
  <c r="E99" i="10"/>
  <c r="D100" i="10"/>
  <c r="E100" i="10"/>
  <c r="D101" i="10"/>
  <c r="E101" i="10"/>
  <c r="D102" i="10"/>
  <c r="E102" i="10"/>
  <c r="D103" i="10"/>
  <c r="E103" i="10"/>
  <c r="D104" i="10"/>
  <c r="E104" i="10"/>
  <c r="D105" i="10"/>
  <c r="E105" i="10"/>
  <c r="D106" i="10"/>
  <c r="E106" i="10"/>
  <c r="D107" i="10"/>
  <c r="E107" i="10"/>
  <c r="D108" i="10"/>
  <c r="E108" i="10"/>
  <c r="D92" i="10"/>
  <c r="E92" i="10"/>
  <c r="D91" i="10"/>
  <c r="E91" i="10"/>
  <c r="O92" i="10"/>
  <c r="P92" i="10"/>
  <c r="O93" i="10"/>
  <c r="P93" i="10"/>
  <c r="O94" i="10"/>
  <c r="P94" i="10"/>
  <c r="O95" i="10"/>
  <c r="P95" i="10"/>
  <c r="O96" i="10"/>
  <c r="P96" i="10"/>
  <c r="O97" i="10"/>
  <c r="P97" i="10"/>
  <c r="O98" i="10"/>
  <c r="P98" i="10"/>
  <c r="O99" i="10"/>
  <c r="P99" i="10"/>
  <c r="O100" i="10"/>
  <c r="P100" i="10"/>
  <c r="O101" i="10"/>
  <c r="P101" i="10"/>
  <c r="O102" i="10"/>
  <c r="P102" i="10"/>
  <c r="O103" i="10"/>
  <c r="P103" i="10"/>
  <c r="O104" i="10"/>
  <c r="P104" i="10"/>
  <c r="O105" i="10"/>
  <c r="P105" i="10"/>
  <c r="O106" i="10"/>
  <c r="P106" i="10"/>
  <c r="O107" i="10"/>
  <c r="P107" i="10"/>
  <c r="O108" i="10"/>
  <c r="P108" i="10"/>
  <c r="P91" i="10"/>
  <c r="O91" i="10"/>
  <c r="D90" i="10"/>
  <c r="E90" i="10"/>
  <c r="D89" i="10"/>
  <c r="E89" i="10"/>
  <c r="P89" i="10"/>
  <c r="P90" i="10"/>
  <c r="D797" i="5"/>
  <c r="E797" i="5"/>
  <c r="D798" i="5"/>
  <c r="E798" i="5"/>
  <c r="D799" i="5"/>
  <c r="E799" i="5"/>
  <c r="D800" i="5"/>
  <c r="E800" i="5"/>
  <c r="D801" i="5"/>
  <c r="E801" i="5"/>
  <c r="D802" i="5"/>
  <c r="E802" i="5"/>
  <c r="D803" i="5"/>
  <c r="E803" i="5"/>
  <c r="D804" i="5"/>
  <c r="E804" i="5"/>
  <c r="D805" i="5"/>
  <c r="E805" i="5"/>
  <c r="D806" i="5"/>
  <c r="E806" i="5"/>
  <c r="D796" i="5"/>
  <c r="E796" i="5"/>
  <c r="D795" i="5"/>
  <c r="E795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D769" i="5"/>
  <c r="E769" i="5"/>
  <c r="D770" i="5"/>
  <c r="E770" i="5"/>
  <c r="D771" i="5"/>
  <c r="E771" i="5"/>
  <c r="D772" i="5"/>
  <c r="E772" i="5"/>
  <c r="D773" i="5"/>
  <c r="E773" i="5"/>
  <c r="D774" i="5"/>
  <c r="E774" i="5"/>
  <c r="D775" i="5"/>
  <c r="E775" i="5"/>
  <c r="D776" i="5"/>
  <c r="E776" i="5"/>
  <c r="D777" i="5"/>
  <c r="E777" i="5"/>
  <c r="D778" i="5"/>
  <c r="E778" i="5"/>
  <c r="D779" i="5"/>
  <c r="E779" i="5"/>
  <c r="D780" i="5"/>
  <c r="E780" i="5"/>
  <c r="D781" i="5"/>
  <c r="E781" i="5"/>
  <c r="D782" i="5"/>
  <c r="E782" i="5"/>
  <c r="D783" i="5"/>
  <c r="E783" i="5"/>
  <c r="D784" i="5"/>
  <c r="E784" i="5"/>
  <c r="D785" i="5"/>
  <c r="E785" i="5"/>
  <c r="D786" i="5"/>
  <c r="E786" i="5"/>
  <c r="D787" i="5"/>
  <c r="E787" i="5"/>
  <c r="D788" i="5"/>
  <c r="E788" i="5"/>
  <c r="D789" i="5"/>
  <c r="E789" i="5"/>
  <c r="D790" i="5"/>
  <c r="E790" i="5"/>
  <c r="D791" i="5"/>
  <c r="E791" i="5"/>
  <c r="D792" i="5"/>
  <c r="E792" i="5"/>
  <c r="D793" i="5"/>
  <c r="E793" i="5"/>
  <c r="D794" i="5"/>
  <c r="E794" i="5"/>
  <c r="D768" i="5"/>
  <c r="E768" i="5"/>
  <c r="D767" i="5"/>
  <c r="E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67" i="5"/>
  <c r="D133" i="8"/>
  <c r="E133" i="8"/>
  <c r="D131" i="8"/>
  <c r="E131" i="8"/>
  <c r="O131" i="8"/>
  <c r="P131" i="8"/>
  <c r="O133" i="8"/>
  <c r="P133" i="8"/>
  <c r="D134" i="8"/>
  <c r="E134" i="8"/>
  <c r="D135" i="8"/>
  <c r="E135" i="8"/>
  <c r="D136" i="8"/>
  <c r="E136" i="8"/>
  <c r="D137" i="8"/>
  <c r="E137" i="8"/>
  <c r="D138" i="8"/>
  <c r="E138" i="8"/>
  <c r="D132" i="8"/>
  <c r="E132" i="8"/>
  <c r="D130" i="8"/>
  <c r="E130" i="8"/>
  <c r="O132" i="8"/>
  <c r="P132" i="8"/>
  <c r="O134" i="8"/>
  <c r="P134" i="8"/>
  <c r="O135" i="8"/>
  <c r="P135" i="8"/>
  <c r="O136" i="8"/>
  <c r="P136" i="8"/>
  <c r="O137" i="8"/>
  <c r="P137" i="8"/>
  <c r="O138" i="8"/>
  <c r="P138" i="8"/>
  <c r="P130" i="8"/>
  <c r="O130" i="8"/>
  <c r="P105" i="8"/>
  <c r="P109" i="8"/>
  <c r="P113" i="8"/>
  <c r="P117" i="8"/>
  <c r="P121" i="8"/>
  <c r="P101" i="8"/>
  <c r="D88" i="10"/>
  <c r="E88" i="10"/>
  <c r="D87" i="10"/>
  <c r="E87" i="10"/>
  <c r="D86" i="10"/>
  <c r="E86" i="10"/>
  <c r="D85" i="10"/>
  <c r="E85" i="10"/>
  <c r="D84" i="10"/>
  <c r="E84" i="10"/>
  <c r="D83" i="10"/>
  <c r="E83" i="10"/>
  <c r="D82" i="10"/>
  <c r="E82" i="10"/>
  <c r="D81" i="10"/>
  <c r="E81" i="10"/>
  <c r="P82" i="10"/>
  <c r="P83" i="10"/>
  <c r="P84" i="10"/>
  <c r="P85" i="10"/>
  <c r="P86" i="10"/>
  <c r="P87" i="10"/>
  <c r="P88" i="10"/>
  <c r="P81" i="10"/>
  <c r="O46" i="10"/>
  <c r="P46" i="10"/>
  <c r="O47" i="10"/>
  <c r="P47" i="10"/>
  <c r="O48" i="10"/>
  <c r="P48" i="10"/>
  <c r="O49" i="10"/>
  <c r="P49" i="10"/>
  <c r="O50" i="10"/>
  <c r="P50" i="10"/>
  <c r="O51" i="10"/>
  <c r="P51" i="10"/>
  <c r="O52" i="10"/>
  <c r="P52" i="10"/>
  <c r="O53" i="10"/>
  <c r="P53" i="10"/>
  <c r="O54" i="10"/>
  <c r="P54" i="10"/>
  <c r="O55" i="10"/>
  <c r="P55" i="10"/>
  <c r="O56" i="10"/>
  <c r="P56" i="10"/>
  <c r="O57" i="10"/>
  <c r="P57" i="10"/>
  <c r="O58" i="10"/>
  <c r="P58" i="10"/>
  <c r="O59" i="10"/>
  <c r="P59" i="10"/>
  <c r="O60" i="10"/>
  <c r="P60" i="10"/>
  <c r="O61" i="10"/>
  <c r="P61" i="10"/>
  <c r="O62" i="10"/>
  <c r="P62" i="10"/>
  <c r="O63" i="10"/>
  <c r="P63" i="10"/>
  <c r="O64" i="10"/>
  <c r="P64" i="10"/>
  <c r="O65" i="10"/>
  <c r="P65" i="10"/>
  <c r="O66" i="10"/>
  <c r="P66" i="10"/>
  <c r="O67" i="10"/>
  <c r="P67" i="10"/>
  <c r="O68" i="10"/>
  <c r="P68" i="10"/>
  <c r="O69" i="10"/>
  <c r="P69" i="10"/>
  <c r="O70" i="10"/>
  <c r="P70" i="10"/>
  <c r="O71" i="10"/>
  <c r="P71" i="10"/>
  <c r="O72" i="10"/>
  <c r="P72" i="10"/>
  <c r="O73" i="10"/>
  <c r="P73" i="10"/>
  <c r="O74" i="10"/>
  <c r="P74" i="10"/>
  <c r="O75" i="10"/>
  <c r="P75" i="10"/>
  <c r="O76" i="10"/>
  <c r="P76" i="10"/>
  <c r="O77" i="10"/>
  <c r="P77" i="10"/>
  <c r="O78" i="10"/>
  <c r="P78" i="10"/>
  <c r="O79" i="10"/>
  <c r="P79" i="10"/>
  <c r="O80" i="10"/>
  <c r="P80" i="10"/>
  <c r="D67" i="10"/>
  <c r="E67" i="10"/>
  <c r="D68" i="10"/>
  <c r="E68" i="10"/>
  <c r="D69" i="10"/>
  <c r="E69" i="10"/>
  <c r="D70" i="10"/>
  <c r="E70" i="10"/>
  <c r="D71" i="10"/>
  <c r="E71" i="10"/>
  <c r="D72" i="10"/>
  <c r="E72" i="10"/>
  <c r="D73" i="10"/>
  <c r="E73" i="10"/>
  <c r="D74" i="10"/>
  <c r="E74" i="10"/>
  <c r="D75" i="10"/>
  <c r="E75" i="10"/>
  <c r="D76" i="10"/>
  <c r="E76" i="10"/>
  <c r="D77" i="10"/>
  <c r="E77" i="10"/>
  <c r="D78" i="10"/>
  <c r="E78" i="10"/>
  <c r="D79" i="10"/>
  <c r="E79" i="10"/>
  <c r="D80" i="10"/>
  <c r="E80" i="10"/>
  <c r="D66" i="10"/>
  <c r="E66" i="10"/>
  <c r="D65" i="10"/>
  <c r="E65" i="10"/>
  <c r="D745" i="5"/>
  <c r="E745" i="5"/>
  <c r="D746" i="5"/>
  <c r="E746" i="5"/>
  <c r="D747" i="5"/>
  <c r="E747" i="5"/>
  <c r="D748" i="5"/>
  <c r="E748" i="5"/>
  <c r="D749" i="5"/>
  <c r="E749" i="5"/>
  <c r="D750" i="5"/>
  <c r="E750" i="5"/>
  <c r="D751" i="5"/>
  <c r="E751" i="5"/>
  <c r="D752" i="5"/>
  <c r="E752" i="5"/>
  <c r="D753" i="5"/>
  <c r="E753" i="5"/>
  <c r="D754" i="5"/>
  <c r="E754" i="5"/>
  <c r="D755" i="5"/>
  <c r="E755" i="5"/>
  <c r="D756" i="5"/>
  <c r="E756" i="5"/>
  <c r="D757" i="5"/>
  <c r="E757" i="5"/>
  <c r="D758" i="5"/>
  <c r="E758" i="5"/>
  <c r="D759" i="5"/>
  <c r="E759" i="5"/>
  <c r="D760" i="5"/>
  <c r="E760" i="5"/>
  <c r="D761" i="5"/>
  <c r="E761" i="5"/>
  <c r="D762" i="5"/>
  <c r="E762" i="5"/>
  <c r="D763" i="5"/>
  <c r="E763" i="5"/>
  <c r="D764" i="5"/>
  <c r="E764" i="5"/>
  <c r="D765" i="5"/>
  <c r="E765" i="5"/>
  <c r="D766" i="5"/>
  <c r="E766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D725" i="5"/>
  <c r="E725" i="5"/>
  <c r="D726" i="5"/>
  <c r="E726" i="5"/>
  <c r="D727" i="5"/>
  <c r="E727" i="5"/>
  <c r="D728" i="5"/>
  <c r="E728" i="5"/>
  <c r="D729" i="5"/>
  <c r="E729" i="5"/>
  <c r="D730" i="5"/>
  <c r="E730" i="5"/>
  <c r="D731" i="5"/>
  <c r="E731" i="5"/>
  <c r="D732" i="5"/>
  <c r="E732" i="5"/>
  <c r="D733" i="5"/>
  <c r="E733" i="5"/>
  <c r="D734" i="5"/>
  <c r="E734" i="5"/>
  <c r="D735" i="5"/>
  <c r="E735" i="5"/>
  <c r="D736" i="5"/>
  <c r="E736" i="5"/>
  <c r="D737" i="5"/>
  <c r="E737" i="5"/>
  <c r="D738" i="5"/>
  <c r="E738" i="5"/>
  <c r="D739" i="5"/>
  <c r="E739" i="5"/>
  <c r="D740" i="5"/>
  <c r="E740" i="5"/>
  <c r="D741" i="5"/>
  <c r="E741" i="5"/>
  <c r="D742" i="5"/>
  <c r="E742" i="5"/>
  <c r="D743" i="5"/>
  <c r="E743" i="5"/>
  <c r="D744" i="5"/>
  <c r="E744" i="5"/>
  <c r="D724" i="5"/>
  <c r="E724" i="5"/>
  <c r="D723" i="5"/>
  <c r="E723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22" i="5"/>
  <c r="E722" i="5"/>
  <c r="D722" i="5"/>
  <c r="P721" i="5"/>
  <c r="E721" i="5"/>
  <c r="D721" i="5"/>
  <c r="P720" i="5"/>
  <c r="E720" i="5"/>
  <c r="D720" i="5"/>
  <c r="P719" i="5"/>
  <c r="E719" i="5"/>
  <c r="D719" i="5"/>
  <c r="P718" i="5"/>
  <c r="E718" i="5"/>
  <c r="D718" i="5"/>
  <c r="P717" i="5"/>
  <c r="E717" i="5"/>
  <c r="D717" i="5"/>
  <c r="P716" i="5"/>
  <c r="E716" i="5"/>
  <c r="D716" i="5"/>
  <c r="P715" i="5"/>
  <c r="E715" i="5"/>
  <c r="D715" i="5"/>
  <c r="P714" i="5"/>
  <c r="E714" i="5"/>
  <c r="D714" i="5"/>
  <c r="P713" i="5"/>
  <c r="E713" i="5"/>
  <c r="D713" i="5"/>
  <c r="P712" i="5"/>
  <c r="E712" i="5"/>
  <c r="D712" i="5"/>
  <c r="P711" i="5"/>
  <c r="E711" i="5"/>
  <c r="D711" i="5"/>
  <c r="P710" i="5"/>
  <c r="E710" i="5"/>
  <c r="D710" i="5"/>
  <c r="P709" i="5"/>
  <c r="E709" i="5"/>
  <c r="D709" i="5"/>
  <c r="P708" i="5"/>
  <c r="E708" i="5"/>
  <c r="D708" i="5"/>
  <c r="P707" i="5"/>
  <c r="E707" i="5"/>
  <c r="D707" i="5"/>
  <c r="P706" i="5"/>
  <c r="E706" i="5"/>
  <c r="D706" i="5"/>
  <c r="P705" i="5"/>
  <c r="E705" i="5"/>
  <c r="D705" i="5"/>
  <c r="P704" i="5"/>
  <c r="E704" i="5"/>
  <c r="D704" i="5"/>
  <c r="P703" i="5"/>
  <c r="E703" i="5"/>
  <c r="D703" i="5"/>
  <c r="P702" i="5"/>
  <c r="E702" i="5"/>
  <c r="D702" i="5"/>
  <c r="P701" i="5"/>
  <c r="E701" i="5"/>
  <c r="D701" i="5"/>
  <c r="P700" i="5"/>
  <c r="E700" i="5"/>
  <c r="D700" i="5"/>
  <c r="P699" i="5"/>
  <c r="E699" i="5"/>
  <c r="D699" i="5"/>
  <c r="P698" i="5"/>
  <c r="E698" i="5"/>
  <c r="D698" i="5"/>
  <c r="P697" i="5"/>
  <c r="E697" i="5"/>
  <c r="D697" i="5"/>
  <c r="P696" i="5"/>
  <c r="E696" i="5"/>
  <c r="D696" i="5"/>
  <c r="P695" i="5"/>
  <c r="E695" i="5"/>
  <c r="D695" i="5"/>
  <c r="P694" i="5"/>
  <c r="E694" i="5"/>
  <c r="D694" i="5"/>
  <c r="P693" i="5"/>
  <c r="E693" i="5"/>
  <c r="D693" i="5"/>
  <c r="P692" i="5"/>
  <c r="E692" i="5"/>
  <c r="D692" i="5"/>
  <c r="P691" i="5"/>
  <c r="E691" i="5"/>
  <c r="D691" i="5"/>
  <c r="P690" i="5"/>
  <c r="E690" i="5"/>
  <c r="D690" i="5"/>
  <c r="P689" i="5"/>
  <c r="E689" i="5"/>
  <c r="D689" i="5"/>
  <c r="P688" i="5"/>
  <c r="E688" i="5"/>
  <c r="D688" i="5"/>
  <c r="P687" i="5"/>
  <c r="E687" i="5"/>
  <c r="D687" i="5"/>
  <c r="P686" i="5"/>
  <c r="E686" i="5"/>
  <c r="D686" i="5"/>
  <c r="P685" i="5"/>
  <c r="E685" i="5"/>
  <c r="D685" i="5"/>
  <c r="P684" i="5"/>
  <c r="E684" i="5"/>
  <c r="D684" i="5"/>
  <c r="P683" i="5"/>
  <c r="E683" i="5"/>
  <c r="D683" i="5"/>
  <c r="P682" i="5"/>
  <c r="E682" i="5"/>
  <c r="D682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41" i="5"/>
  <c r="D642" i="5"/>
  <c r="E642" i="5"/>
  <c r="D643" i="5"/>
  <c r="E643" i="5"/>
  <c r="D644" i="5"/>
  <c r="E644" i="5"/>
  <c r="D645" i="5"/>
  <c r="E645" i="5"/>
  <c r="D646" i="5"/>
  <c r="E646" i="5"/>
  <c r="D647" i="5"/>
  <c r="E647" i="5"/>
  <c r="D648" i="5"/>
  <c r="E648" i="5"/>
  <c r="D649" i="5"/>
  <c r="E649" i="5"/>
  <c r="D650" i="5"/>
  <c r="E650" i="5"/>
  <c r="D651" i="5"/>
  <c r="E651" i="5"/>
  <c r="D652" i="5"/>
  <c r="E652" i="5"/>
  <c r="D653" i="5"/>
  <c r="E653" i="5"/>
  <c r="D654" i="5"/>
  <c r="E654" i="5"/>
  <c r="D655" i="5"/>
  <c r="E655" i="5"/>
  <c r="D656" i="5"/>
  <c r="E656" i="5"/>
  <c r="D657" i="5"/>
  <c r="E657" i="5"/>
  <c r="D658" i="5"/>
  <c r="E658" i="5"/>
  <c r="D659" i="5"/>
  <c r="E659" i="5"/>
  <c r="D660" i="5"/>
  <c r="E660" i="5"/>
  <c r="D661" i="5"/>
  <c r="E661" i="5"/>
  <c r="D662" i="5"/>
  <c r="E662" i="5"/>
  <c r="D663" i="5"/>
  <c r="E663" i="5"/>
  <c r="D664" i="5"/>
  <c r="E664" i="5"/>
  <c r="D665" i="5"/>
  <c r="E665" i="5"/>
  <c r="D666" i="5"/>
  <c r="E666" i="5"/>
  <c r="D667" i="5"/>
  <c r="E667" i="5"/>
  <c r="D668" i="5"/>
  <c r="E668" i="5"/>
  <c r="D669" i="5"/>
  <c r="E669" i="5"/>
  <c r="D670" i="5"/>
  <c r="E670" i="5"/>
  <c r="D671" i="5"/>
  <c r="E671" i="5"/>
  <c r="D672" i="5"/>
  <c r="E672" i="5"/>
  <c r="D673" i="5"/>
  <c r="E673" i="5"/>
  <c r="D674" i="5"/>
  <c r="E674" i="5"/>
  <c r="D675" i="5"/>
  <c r="E675" i="5"/>
  <c r="D676" i="5"/>
  <c r="E676" i="5"/>
  <c r="D677" i="5"/>
  <c r="E677" i="5"/>
  <c r="D678" i="5"/>
  <c r="E678" i="5"/>
  <c r="D679" i="5"/>
  <c r="E679" i="5"/>
  <c r="D680" i="5"/>
  <c r="E680" i="5"/>
  <c r="D681" i="5"/>
  <c r="E681" i="5"/>
  <c r="D641" i="5"/>
  <c r="E641" i="5"/>
  <c r="D105" i="8"/>
  <c r="E105" i="8"/>
  <c r="D109" i="8"/>
  <c r="E109" i="8"/>
  <c r="D113" i="8"/>
  <c r="E113" i="8"/>
  <c r="D117" i="8"/>
  <c r="E117" i="8"/>
  <c r="D121" i="8"/>
  <c r="E121" i="8"/>
  <c r="D101" i="8"/>
  <c r="E101" i="8"/>
  <c r="O100" i="8"/>
  <c r="P100" i="8"/>
  <c r="O104" i="8"/>
  <c r="P104" i="8"/>
  <c r="O108" i="8"/>
  <c r="P108" i="8"/>
  <c r="O112" i="8"/>
  <c r="P112" i="8"/>
  <c r="O116" i="8"/>
  <c r="P116" i="8"/>
  <c r="O120" i="8"/>
  <c r="P120" i="8"/>
  <c r="D104" i="8"/>
  <c r="E104" i="8"/>
  <c r="D108" i="8"/>
  <c r="E108" i="8"/>
  <c r="D112" i="8"/>
  <c r="E112" i="8"/>
  <c r="D116" i="8"/>
  <c r="E116" i="8"/>
  <c r="D120" i="8"/>
  <c r="E120" i="8"/>
  <c r="D100" i="8"/>
  <c r="E100" i="8"/>
  <c r="D99" i="8"/>
  <c r="E99" i="8"/>
  <c r="D103" i="8"/>
  <c r="E103" i="8"/>
  <c r="D107" i="8"/>
  <c r="E107" i="8"/>
  <c r="D111" i="8"/>
  <c r="E111" i="8"/>
  <c r="D115" i="8"/>
  <c r="E115" i="8"/>
  <c r="D119" i="8"/>
  <c r="E119" i="8"/>
  <c r="D123" i="8"/>
  <c r="E123" i="8"/>
  <c r="D125" i="8"/>
  <c r="E125" i="8"/>
  <c r="D127" i="8"/>
  <c r="E127" i="8"/>
  <c r="D129" i="8"/>
  <c r="E129" i="8"/>
  <c r="O98" i="8"/>
  <c r="P98" i="8"/>
  <c r="O102" i="8"/>
  <c r="P102" i="8"/>
  <c r="O106" i="8"/>
  <c r="P106" i="8"/>
  <c r="O110" i="8"/>
  <c r="P110" i="8"/>
  <c r="O114" i="8"/>
  <c r="P114" i="8"/>
  <c r="O118" i="8"/>
  <c r="P118" i="8"/>
  <c r="O122" i="8"/>
  <c r="P122" i="8"/>
  <c r="O124" i="8"/>
  <c r="P124" i="8"/>
  <c r="O126" i="8"/>
  <c r="P126" i="8"/>
  <c r="O128" i="8"/>
  <c r="P128" i="8"/>
  <c r="O99" i="8"/>
  <c r="P99" i="8"/>
  <c r="O103" i="8"/>
  <c r="P103" i="8"/>
  <c r="O107" i="8"/>
  <c r="P107" i="8"/>
  <c r="O111" i="8"/>
  <c r="P111" i="8"/>
  <c r="O115" i="8"/>
  <c r="P115" i="8"/>
  <c r="O119" i="8"/>
  <c r="P119" i="8"/>
  <c r="O123" i="8"/>
  <c r="P123" i="8"/>
  <c r="O125" i="8"/>
  <c r="P125" i="8"/>
  <c r="O127" i="8"/>
  <c r="P127" i="8"/>
  <c r="O129" i="8"/>
  <c r="P129" i="8"/>
  <c r="D106" i="8"/>
  <c r="E106" i="8"/>
  <c r="D110" i="8"/>
  <c r="E110" i="8"/>
  <c r="D114" i="8"/>
  <c r="E114" i="8"/>
  <c r="D118" i="8"/>
  <c r="E118" i="8"/>
  <c r="D122" i="8"/>
  <c r="E122" i="8"/>
  <c r="D124" i="8"/>
  <c r="E124" i="8"/>
  <c r="D126" i="8"/>
  <c r="E126" i="8"/>
  <c r="D128" i="8"/>
  <c r="E128" i="8"/>
  <c r="D102" i="8"/>
  <c r="E102" i="8"/>
  <c r="D98" i="8"/>
  <c r="E98" i="8"/>
  <c r="D48" i="10"/>
  <c r="E48" i="10"/>
  <c r="D49" i="10"/>
  <c r="E49" i="10"/>
  <c r="D50" i="10"/>
  <c r="E50" i="10"/>
  <c r="D51" i="10"/>
  <c r="E51" i="10"/>
  <c r="D52" i="10"/>
  <c r="E52" i="10"/>
  <c r="D53" i="10"/>
  <c r="E53" i="10"/>
  <c r="D54" i="10"/>
  <c r="E54" i="10"/>
  <c r="D55" i="10"/>
  <c r="E55" i="10"/>
  <c r="D56" i="10"/>
  <c r="E56" i="10"/>
  <c r="D57" i="10"/>
  <c r="E57" i="10"/>
  <c r="D58" i="10"/>
  <c r="E58" i="10"/>
  <c r="D59" i="10"/>
  <c r="E59" i="10"/>
  <c r="D60" i="10"/>
  <c r="E60" i="10"/>
  <c r="D61" i="10"/>
  <c r="E61" i="10"/>
  <c r="D62" i="10"/>
  <c r="E62" i="10"/>
  <c r="D63" i="10"/>
  <c r="E63" i="10"/>
  <c r="D64" i="10"/>
  <c r="E64" i="10"/>
  <c r="D47" i="10"/>
  <c r="E47" i="10"/>
  <c r="D46" i="10"/>
  <c r="E46" i="10"/>
  <c r="D624" i="5"/>
  <c r="E624" i="5"/>
  <c r="D625" i="5"/>
  <c r="E625" i="5"/>
  <c r="D626" i="5"/>
  <c r="E626" i="5"/>
  <c r="D627" i="5"/>
  <c r="E627" i="5"/>
  <c r="D628" i="5"/>
  <c r="E628" i="5"/>
  <c r="D629" i="5"/>
  <c r="E629" i="5"/>
  <c r="D630" i="5"/>
  <c r="E630" i="5"/>
  <c r="D631" i="5"/>
  <c r="E631" i="5"/>
  <c r="D632" i="5"/>
  <c r="E632" i="5"/>
  <c r="D633" i="5"/>
  <c r="E633" i="5"/>
  <c r="D634" i="5"/>
  <c r="E634" i="5"/>
  <c r="D635" i="5"/>
  <c r="E635" i="5"/>
  <c r="D636" i="5"/>
  <c r="E636" i="5"/>
  <c r="D637" i="5"/>
  <c r="E637" i="5"/>
  <c r="D638" i="5"/>
  <c r="E638" i="5"/>
  <c r="D639" i="5"/>
  <c r="E639" i="5"/>
  <c r="D640" i="5"/>
  <c r="E640" i="5"/>
  <c r="D623" i="5"/>
  <c r="E623" i="5"/>
  <c r="D610" i="5"/>
  <c r="E610" i="5"/>
  <c r="D611" i="5"/>
  <c r="E611" i="5"/>
  <c r="D612" i="5"/>
  <c r="E612" i="5"/>
  <c r="D613" i="5"/>
  <c r="E613" i="5"/>
  <c r="D614" i="5"/>
  <c r="E614" i="5"/>
  <c r="D615" i="5"/>
  <c r="E615" i="5"/>
  <c r="D616" i="5"/>
  <c r="E616" i="5"/>
  <c r="D617" i="5"/>
  <c r="E617" i="5"/>
  <c r="D618" i="5"/>
  <c r="E618" i="5"/>
  <c r="D619" i="5"/>
  <c r="E619" i="5"/>
  <c r="D620" i="5"/>
  <c r="E620" i="5"/>
  <c r="D621" i="5"/>
  <c r="E621" i="5"/>
  <c r="D622" i="5"/>
  <c r="E622" i="5"/>
  <c r="D609" i="5"/>
  <c r="E609" i="5"/>
  <c r="D597" i="5"/>
  <c r="E597" i="5"/>
  <c r="D598" i="5"/>
  <c r="E598" i="5"/>
  <c r="D599" i="5"/>
  <c r="E599" i="5"/>
  <c r="D600" i="5"/>
  <c r="E600" i="5"/>
  <c r="D601" i="5"/>
  <c r="E601" i="5"/>
  <c r="D602" i="5"/>
  <c r="E602" i="5"/>
  <c r="D603" i="5"/>
  <c r="E603" i="5"/>
  <c r="D604" i="5"/>
  <c r="E604" i="5"/>
  <c r="D605" i="5"/>
  <c r="E605" i="5"/>
  <c r="D606" i="5"/>
  <c r="E606" i="5"/>
  <c r="D607" i="5"/>
  <c r="E607" i="5"/>
  <c r="D608" i="5"/>
  <c r="E608" i="5"/>
  <c r="D596" i="5"/>
  <c r="E596" i="5"/>
  <c r="O609" i="5"/>
  <c r="P609" i="5"/>
  <c r="O610" i="5"/>
  <c r="P610" i="5"/>
  <c r="O611" i="5"/>
  <c r="P611" i="5"/>
  <c r="O612" i="5"/>
  <c r="P612" i="5"/>
  <c r="O613" i="5"/>
  <c r="P613" i="5"/>
  <c r="O614" i="5"/>
  <c r="P614" i="5"/>
  <c r="O615" i="5"/>
  <c r="P615" i="5"/>
  <c r="O616" i="5"/>
  <c r="P616" i="5"/>
  <c r="O617" i="5"/>
  <c r="P617" i="5"/>
  <c r="O618" i="5"/>
  <c r="P618" i="5"/>
  <c r="O619" i="5"/>
  <c r="P619" i="5"/>
  <c r="O620" i="5"/>
  <c r="P620" i="5"/>
  <c r="O621" i="5"/>
  <c r="P621" i="5"/>
  <c r="O622" i="5"/>
  <c r="P622" i="5"/>
  <c r="O623" i="5"/>
  <c r="P623" i="5"/>
  <c r="O624" i="5"/>
  <c r="P624" i="5"/>
  <c r="O625" i="5"/>
  <c r="P625" i="5"/>
  <c r="O626" i="5"/>
  <c r="P626" i="5"/>
  <c r="O627" i="5"/>
  <c r="P627" i="5"/>
  <c r="O628" i="5"/>
  <c r="P628" i="5"/>
  <c r="O629" i="5"/>
  <c r="P629" i="5"/>
  <c r="O630" i="5"/>
  <c r="P630" i="5"/>
  <c r="O631" i="5"/>
  <c r="P631" i="5"/>
  <c r="O632" i="5"/>
  <c r="P632" i="5"/>
  <c r="O633" i="5"/>
  <c r="P633" i="5"/>
  <c r="O634" i="5"/>
  <c r="P634" i="5"/>
  <c r="O635" i="5"/>
  <c r="P635" i="5"/>
  <c r="O636" i="5"/>
  <c r="P636" i="5"/>
  <c r="O637" i="5"/>
  <c r="P637" i="5"/>
  <c r="O638" i="5"/>
  <c r="P638" i="5"/>
  <c r="O639" i="5"/>
  <c r="P639" i="5"/>
  <c r="O640" i="5"/>
  <c r="P640" i="5"/>
  <c r="O597" i="5"/>
  <c r="P597" i="5"/>
  <c r="O598" i="5"/>
  <c r="P598" i="5"/>
  <c r="O599" i="5"/>
  <c r="P599" i="5"/>
  <c r="O600" i="5"/>
  <c r="P600" i="5"/>
  <c r="O601" i="5"/>
  <c r="P601" i="5"/>
  <c r="O602" i="5"/>
  <c r="P602" i="5"/>
  <c r="O603" i="5"/>
  <c r="P603" i="5"/>
  <c r="O604" i="5"/>
  <c r="P604" i="5"/>
  <c r="O605" i="5"/>
  <c r="P605" i="5"/>
  <c r="O606" i="5"/>
  <c r="P606" i="5"/>
  <c r="O607" i="5"/>
  <c r="P607" i="5"/>
  <c r="O608" i="5"/>
  <c r="P608" i="5"/>
  <c r="P596" i="5"/>
  <c r="O596" i="5"/>
  <c r="D92" i="8"/>
  <c r="E92" i="8"/>
  <c r="D89" i="8"/>
  <c r="E89" i="8"/>
  <c r="D86" i="8"/>
  <c r="E86" i="8"/>
  <c r="D91" i="8"/>
  <c r="E91" i="8"/>
  <c r="D88" i="8"/>
  <c r="E88" i="8"/>
  <c r="D85" i="8"/>
  <c r="E85" i="8"/>
  <c r="D90" i="8"/>
  <c r="E90" i="8"/>
  <c r="D87" i="8"/>
  <c r="E87" i="8"/>
  <c r="D84" i="8"/>
  <c r="E84" i="8"/>
  <c r="O84" i="8"/>
  <c r="P84" i="8"/>
  <c r="O87" i="8"/>
  <c r="P87" i="8"/>
  <c r="O90" i="8"/>
  <c r="P90" i="8"/>
  <c r="O85" i="8"/>
  <c r="P85" i="8"/>
  <c r="O88" i="8"/>
  <c r="P88" i="8"/>
  <c r="O91" i="8"/>
  <c r="P91" i="8"/>
  <c r="O86" i="8"/>
  <c r="P86" i="8"/>
  <c r="O89" i="8"/>
  <c r="P89" i="8"/>
  <c r="O92" i="8"/>
  <c r="P92" i="8"/>
  <c r="O43" i="10"/>
  <c r="P43" i="10"/>
  <c r="O44" i="10"/>
  <c r="P44" i="10"/>
  <c r="O45" i="10"/>
  <c r="P45" i="10"/>
  <c r="D45" i="10"/>
  <c r="E45" i="10"/>
  <c r="D44" i="10"/>
  <c r="E44" i="10"/>
  <c r="D43" i="10"/>
  <c r="E43" i="10"/>
  <c r="D42" i="10"/>
  <c r="E42" i="10"/>
  <c r="O42" i="10"/>
  <c r="P42" i="10"/>
  <c r="D62" i="8"/>
  <c r="E62" i="8"/>
  <c r="O62" i="8"/>
  <c r="P62" i="8"/>
  <c r="D63" i="8"/>
  <c r="E63" i="8"/>
  <c r="D64" i="8"/>
  <c r="E64" i="8"/>
  <c r="D65" i="8"/>
  <c r="E65" i="8"/>
  <c r="D66" i="8"/>
  <c r="E66" i="8"/>
  <c r="D61" i="8"/>
  <c r="E61" i="8"/>
  <c r="O61" i="8"/>
  <c r="P61" i="8"/>
  <c r="O63" i="8"/>
  <c r="P63" i="8"/>
  <c r="O64" i="8"/>
  <c r="P64" i="8"/>
  <c r="O65" i="8"/>
  <c r="P65" i="8"/>
  <c r="O66" i="8"/>
  <c r="P66" i="8"/>
  <c r="D589" i="5"/>
  <c r="E589" i="5"/>
  <c r="D590" i="5"/>
  <c r="E590" i="5"/>
  <c r="D591" i="5"/>
  <c r="E591" i="5"/>
  <c r="D592" i="5"/>
  <c r="E592" i="5"/>
  <c r="D593" i="5"/>
  <c r="E593" i="5"/>
  <c r="D594" i="5"/>
  <c r="E594" i="5"/>
  <c r="D595" i="5"/>
  <c r="E595" i="5"/>
  <c r="D588" i="5"/>
  <c r="E588" i="5"/>
  <c r="D587" i="5"/>
  <c r="E587" i="5"/>
  <c r="P588" i="5"/>
  <c r="P589" i="5"/>
  <c r="P590" i="5"/>
  <c r="P591" i="5"/>
  <c r="P592" i="5"/>
  <c r="P593" i="5"/>
  <c r="P594" i="5"/>
  <c r="P595" i="5"/>
  <c r="P587" i="5"/>
  <c r="D566" i="5"/>
  <c r="E566" i="5"/>
  <c r="D567" i="5"/>
  <c r="E567" i="5"/>
  <c r="D568" i="5"/>
  <c r="E568" i="5"/>
  <c r="D569" i="5"/>
  <c r="E569" i="5"/>
  <c r="D570" i="5"/>
  <c r="E570" i="5"/>
  <c r="D571" i="5"/>
  <c r="E571" i="5"/>
  <c r="D572" i="5"/>
  <c r="E572" i="5"/>
  <c r="D573" i="5"/>
  <c r="E573" i="5"/>
  <c r="D574" i="5"/>
  <c r="E574" i="5"/>
  <c r="D575" i="5"/>
  <c r="E575" i="5"/>
  <c r="D576" i="5"/>
  <c r="E576" i="5"/>
  <c r="D577" i="5"/>
  <c r="E577" i="5"/>
  <c r="D578" i="5"/>
  <c r="E578" i="5"/>
  <c r="D579" i="5"/>
  <c r="E579" i="5"/>
  <c r="D580" i="5"/>
  <c r="E580" i="5"/>
  <c r="D581" i="5"/>
  <c r="E581" i="5"/>
  <c r="D582" i="5"/>
  <c r="E582" i="5"/>
  <c r="D583" i="5"/>
  <c r="E583" i="5"/>
  <c r="D584" i="5"/>
  <c r="E584" i="5"/>
  <c r="D585" i="5"/>
  <c r="E585" i="5"/>
  <c r="D586" i="5"/>
  <c r="E586" i="5"/>
  <c r="O565" i="5"/>
  <c r="P565" i="5"/>
  <c r="O566" i="5"/>
  <c r="P566" i="5"/>
  <c r="O567" i="5"/>
  <c r="P567" i="5"/>
  <c r="O568" i="5"/>
  <c r="P568" i="5"/>
  <c r="O569" i="5"/>
  <c r="P569" i="5"/>
  <c r="O570" i="5"/>
  <c r="P570" i="5"/>
  <c r="O571" i="5"/>
  <c r="P571" i="5"/>
  <c r="O572" i="5"/>
  <c r="P572" i="5"/>
  <c r="O573" i="5"/>
  <c r="P573" i="5"/>
  <c r="O574" i="5"/>
  <c r="P574" i="5"/>
  <c r="O575" i="5"/>
  <c r="P575" i="5"/>
  <c r="O576" i="5"/>
  <c r="P576" i="5"/>
  <c r="O577" i="5"/>
  <c r="P577" i="5"/>
  <c r="O578" i="5"/>
  <c r="P578" i="5"/>
  <c r="O579" i="5"/>
  <c r="P579" i="5"/>
  <c r="O580" i="5"/>
  <c r="P580" i="5"/>
  <c r="O581" i="5"/>
  <c r="P581" i="5"/>
  <c r="O582" i="5"/>
  <c r="P582" i="5"/>
  <c r="O583" i="5"/>
  <c r="P583" i="5"/>
  <c r="O584" i="5"/>
  <c r="P584" i="5"/>
  <c r="O585" i="5"/>
  <c r="P585" i="5"/>
  <c r="O586" i="5"/>
  <c r="P586" i="5"/>
  <c r="D565" i="5"/>
  <c r="E565" i="5"/>
  <c r="N905" i="13"/>
  <c r="N904" i="13"/>
  <c r="N903" i="13"/>
  <c r="D41" i="10"/>
  <c r="E41" i="10"/>
  <c r="D40" i="10"/>
  <c r="E40" i="10"/>
  <c r="D39" i="10"/>
  <c r="E39" i="10"/>
  <c r="D38" i="10"/>
  <c r="E38" i="10"/>
  <c r="D37" i="10"/>
  <c r="E37" i="10"/>
  <c r="D36" i="10"/>
  <c r="E36" i="10"/>
  <c r="D35" i="10"/>
  <c r="E35" i="10"/>
  <c r="D34" i="10"/>
  <c r="E34" i="10"/>
  <c r="O34" i="10"/>
  <c r="P34" i="10"/>
  <c r="O35" i="10"/>
  <c r="P35" i="10"/>
  <c r="O36" i="10"/>
  <c r="P36" i="10"/>
  <c r="O37" i="10"/>
  <c r="P37" i="10"/>
  <c r="O38" i="10"/>
  <c r="P38" i="10"/>
  <c r="O39" i="10"/>
  <c r="P39" i="10"/>
  <c r="O40" i="10"/>
  <c r="P40" i="10"/>
  <c r="O41" i="10"/>
  <c r="P41" i="10"/>
  <c r="D546" i="5"/>
  <c r="E546" i="5"/>
  <c r="D547" i="5"/>
  <c r="E547" i="5"/>
  <c r="D548" i="5"/>
  <c r="E548" i="5"/>
  <c r="D549" i="5"/>
  <c r="E549" i="5"/>
  <c r="D550" i="5"/>
  <c r="E550" i="5"/>
  <c r="D551" i="5"/>
  <c r="E551" i="5"/>
  <c r="D552" i="5"/>
  <c r="E552" i="5"/>
  <c r="D553" i="5"/>
  <c r="E553" i="5"/>
  <c r="D554" i="5"/>
  <c r="E554" i="5"/>
  <c r="D555" i="5"/>
  <c r="E555" i="5"/>
  <c r="D556" i="5"/>
  <c r="E556" i="5"/>
  <c r="D557" i="5"/>
  <c r="E557" i="5"/>
  <c r="D558" i="5"/>
  <c r="E558" i="5"/>
  <c r="D559" i="5"/>
  <c r="E559" i="5"/>
  <c r="D560" i="5"/>
  <c r="E560" i="5"/>
  <c r="D561" i="5"/>
  <c r="E561" i="5"/>
  <c r="D562" i="5"/>
  <c r="E562" i="5"/>
  <c r="D563" i="5"/>
  <c r="E563" i="5"/>
  <c r="D564" i="5"/>
  <c r="E564" i="5"/>
  <c r="D545" i="5"/>
  <c r="E545" i="5"/>
  <c r="D544" i="5"/>
  <c r="E544" i="5"/>
  <c r="O544" i="5"/>
  <c r="P544" i="5"/>
  <c r="O545" i="5"/>
  <c r="P545" i="5"/>
  <c r="O546" i="5"/>
  <c r="P546" i="5"/>
  <c r="O547" i="5"/>
  <c r="P547" i="5"/>
  <c r="O548" i="5"/>
  <c r="P548" i="5"/>
  <c r="O549" i="5"/>
  <c r="P549" i="5"/>
  <c r="O550" i="5"/>
  <c r="P550" i="5"/>
  <c r="O551" i="5"/>
  <c r="P551" i="5"/>
  <c r="O552" i="5"/>
  <c r="P552" i="5"/>
  <c r="O553" i="5"/>
  <c r="P553" i="5"/>
  <c r="O554" i="5"/>
  <c r="P554" i="5"/>
  <c r="O555" i="5"/>
  <c r="P555" i="5"/>
  <c r="O556" i="5"/>
  <c r="P556" i="5"/>
  <c r="O557" i="5"/>
  <c r="P557" i="5"/>
  <c r="O558" i="5"/>
  <c r="P558" i="5"/>
  <c r="O559" i="5"/>
  <c r="P559" i="5"/>
  <c r="O560" i="5"/>
  <c r="P560" i="5"/>
  <c r="O561" i="5"/>
  <c r="P561" i="5"/>
  <c r="O562" i="5"/>
  <c r="P562" i="5"/>
  <c r="O563" i="5"/>
  <c r="P563" i="5"/>
  <c r="O564" i="5"/>
  <c r="P564" i="5"/>
  <c r="D96" i="8"/>
  <c r="E96" i="8"/>
  <c r="D97" i="8"/>
  <c r="E97" i="8"/>
  <c r="D94" i="8"/>
  <c r="E94" i="8"/>
  <c r="D95" i="8"/>
  <c r="E95" i="8"/>
  <c r="O93" i="8"/>
  <c r="P93" i="8"/>
  <c r="O95" i="8"/>
  <c r="P95" i="8"/>
  <c r="O96" i="8"/>
  <c r="P96" i="8"/>
  <c r="O97" i="8"/>
  <c r="P97" i="8"/>
  <c r="O94" i="8"/>
  <c r="P94" i="8"/>
  <c r="D93" i="8"/>
  <c r="E93" i="8"/>
  <c r="D31" i="10"/>
  <c r="E31" i="10"/>
  <c r="D32" i="10"/>
  <c r="E32" i="10"/>
  <c r="D33" i="10"/>
  <c r="E33" i="10"/>
  <c r="D30" i="10"/>
  <c r="E30" i="10"/>
  <c r="D26" i="10"/>
  <c r="E26" i="10"/>
  <c r="D27" i="10"/>
  <c r="E27" i="10"/>
  <c r="D28" i="10"/>
  <c r="E28" i="10"/>
  <c r="D29" i="10"/>
  <c r="E29" i="10"/>
  <c r="D25" i="10"/>
  <c r="E25" i="10"/>
  <c r="D24" i="10"/>
  <c r="E24" i="10"/>
  <c r="D22" i="10"/>
  <c r="E22" i="10"/>
  <c r="D23" i="10"/>
  <c r="E23" i="10"/>
  <c r="D21" i="10"/>
  <c r="E21" i="10"/>
  <c r="D20" i="10"/>
  <c r="E20" i="10"/>
  <c r="O20" i="10"/>
  <c r="P20" i="10"/>
  <c r="O21" i="10"/>
  <c r="P21" i="10"/>
  <c r="O22" i="10"/>
  <c r="P22" i="10"/>
  <c r="O23" i="10"/>
  <c r="P23" i="10"/>
  <c r="O24" i="10"/>
  <c r="P24" i="10"/>
  <c r="O25" i="10"/>
  <c r="P25" i="10"/>
  <c r="O26" i="10"/>
  <c r="P26" i="10"/>
  <c r="O27" i="10"/>
  <c r="P27" i="10"/>
  <c r="O28" i="10"/>
  <c r="P28" i="10"/>
  <c r="O29" i="10"/>
  <c r="P29" i="10"/>
  <c r="O30" i="10"/>
  <c r="P30" i="10"/>
  <c r="O31" i="10"/>
  <c r="P31" i="10"/>
  <c r="O32" i="10"/>
  <c r="P32" i="10"/>
  <c r="O33" i="10"/>
  <c r="P33" i="10"/>
  <c r="O78" i="8"/>
  <c r="P78" i="8"/>
  <c r="O79" i="8"/>
  <c r="P79" i="8"/>
  <c r="O80" i="8"/>
  <c r="P80" i="8"/>
  <c r="O81" i="8"/>
  <c r="P81" i="8"/>
  <c r="O82" i="8"/>
  <c r="P82" i="8"/>
  <c r="O83" i="8"/>
  <c r="P83" i="8"/>
  <c r="D78" i="8"/>
  <c r="E78" i="8"/>
  <c r="D79" i="8"/>
  <c r="E79" i="8"/>
  <c r="D80" i="8"/>
  <c r="E80" i="8"/>
  <c r="D81" i="8"/>
  <c r="E81" i="8"/>
  <c r="D82" i="8"/>
  <c r="E82" i="8"/>
  <c r="D83" i="8"/>
  <c r="E83" i="8"/>
  <c r="E77" i="8"/>
  <c r="D77" i="8"/>
  <c r="D543" i="5"/>
  <c r="E543" i="5"/>
  <c r="D490" i="5"/>
  <c r="E490" i="5"/>
  <c r="D491" i="5"/>
  <c r="E491" i="5"/>
  <c r="D492" i="5"/>
  <c r="E492" i="5"/>
  <c r="D493" i="5"/>
  <c r="E493" i="5"/>
  <c r="D494" i="5"/>
  <c r="E494" i="5"/>
  <c r="D495" i="5"/>
  <c r="E495" i="5"/>
  <c r="D496" i="5"/>
  <c r="E496" i="5"/>
  <c r="D497" i="5"/>
  <c r="E497" i="5"/>
  <c r="D498" i="5"/>
  <c r="E498" i="5"/>
  <c r="D499" i="5"/>
  <c r="E499" i="5"/>
  <c r="D500" i="5"/>
  <c r="E500" i="5"/>
  <c r="D501" i="5"/>
  <c r="E501" i="5"/>
  <c r="D502" i="5"/>
  <c r="E502" i="5"/>
  <c r="D503" i="5"/>
  <c r="E503" i="5"/>
  <c r="D504" i="5"/>
  <c r="E504" i="5"/>
  <c r="D505" i="5"/>
  <c r="E505" i="5"/>
  <c r="D506" i="5"/>
  <c r="E506" i="5"/>
  <c r="D507" i="5"/>
  <c r="E507" i="5"/>
  <c r="D508" i="5"/>
  <c r="E508" i="5"/>
  <c r="D509" i="5"/>
  <c r="E509" i="5"/>
  <c r="D510" i="5"/>
  <c r="E510" i="5"/>
  <c r="D511" i="5"/>
  <c r="E511" i="5"/>
  <c r="D512" i="5"/>
  <c r="E512" i="5"/>
  <c r="D513" i="5"/>
  <c r="E513" i="5"/>
  <c r="D514" i="5"/>
  <c r="E514" i="5"/>
  <c r="D515" i="5"/>
  <c r="E515" i="5"/>
  <c r="D516" i="5"/>
  <c r="E516" i="5"/>
  <c r="D517" i="5"/>
  <c r="E517" i="5"/>
  <c r="D518" i="5"/>
  <c r="E518" i="5"/>
  <c r="D519" i="5"/>
  <c r="E519" i="5"/>
  <c r="D520" i="5"/>
  <c r="E520" i="5"/>
  <c r="D521" i="5"/>
  <c r="E521" i="5"/>
  <c r="D522" i="5"/>
  <c r="E522" i="5"/>
  <c r="D523" i="5"/>
  <c r="E523" i="5"/>
  <c r="D524" i="5"/>
  <c r="E524" i="5"/>
  <c r="D525" i="5"/>
  <c r="E525" i="5"/>
  <c r="D526" i="5"/>
  <c r="E526" i="5"/>
  <c r="D527" i="5"/>
  <c r="E527" i="5"/>
  <c r="D528" i="5"/>
  <c r="E528" i="5"/>
  <c r="D529" i="5"/>
  <c r="E529" i="5"/>
  <c r="D530" i="5"/>
  <c r="E530" i="5"/>
  <c r="D531" i="5"/>
  <c r="E531" i="5"/>
  <c r="D532" i="5"/>
  <c r="E532" i="5"/>
  <c r="D533" i="5"/>
  <c r="E533" i="5"/>
  <c r="D534" i="5"/>
  <c r="E534" i="5"/>
  <c r="D535" i="5"/>
  <c r="E535" i="5"/>
  <c r="D536" i="5"/>
  <c r="E536" i="5"/>
  <c r="D537" i="5"/>
  <c r="E537" i="5"/>
  <c r="D538" i="5"/>
  <c r="E538" i="5"/>
  <c r="D539" i="5"/>
  <c r="E539" i="5"/>
  <c r="D540" i="5"/>
  <c r="E540" i="5"/>
  <c r="D541" i="5"/>
  <c r="E541" i="5"/>
  <c r="D542" i="5"/>
  <c r="E542" i="5"/>
  <c r="D489" i="5"/>
  <c r="E489" i="5"/>
  <c r="O489" i="5"/>
  <c r="P489" i="5"/>
  <c r="O490" i="5"/>
  <c r="P490" i="5"/>
  <c r="O491" i="5"/>
  <c r="P491" i="5"/>
  <c r="O492" i="5"/>
  <c r="P492" i="5"/>
  <c r="O493" i="5"/>
  <c r="P493" i="5"/>
  <c r="O494" i="5"/>
  <c r="P494" i="5"/>
  <c r="O495" i="5"/>
  <c r="P495" i="5"/>
  <c r="O496" i="5"/>
  <c r="P496" i="5"/>
  <c r="O497" i="5"/>
  <c r="P497" i="5"/>
  <c r="O498" i="5"/>
  <c r="P498" i="5"/>
  <c r="O499" i="5"/>
  <c r="P499" i="5"/>
  <c r="O500" i="5"/>
  <c r="P500" i="5"/>
  <c r="O501" i="5"/>
  <c r="P501" i="5"/>
  <c r="O502" i="5"/>
  <c r="P502" i="5"/>
  <c r="O503" i="5"/>
  <c r="P503" i="5"/>
  <c r="O504" i="5"/>
  <c r="P504" i="5"/>
  <c r="O505" i="5"/>
  <c r="P505" i="5"/>
  <c r="O506" i="5"/>
  <c r="P506" i="5"/>
  <c r="O507" i="5"/>
  <c r="P507" i="5"/>
  <c r="O508" i="5"/>
  <c r="P508" i="5"/>
  <c r="O509" i="5"/>
  <c r="P509" i="5"/>
  <c r="O510" i="5"/>
  <c r="P510" i="5"/>
  <c r="O511" i="5"/>
  <c r="P511" i="5"/>
  <c r="O512" i="5"/>
  <c r="P512" i="5"/>
  <c r="O513" i="5"/>
  <c r="P513" i="5"/>
  <c r="O514" i="5"/>
  <c r="P514" i="5"/>
  <c r="O515" i="5"/>
  <c r="P515" i="5"/>
  <c r="O516" i="5"/>
  <c r="P516" i="5"/>
  <c r="O517" i="5"/>
  <c r="P517" i="5"/>
  <c r="O518" i="5"/>
  <c r="P518" i="5"/>
  <c r="O519" i="5"/>
  <c r="P519" i="5"/>
  <c r="O520" i="5"/>
  <c r="P520" i="5"/>
  <c r="O521" i="5"/>
  <c r="P521" i="5"/>
  <c r="O522" i="5"/>
  <c r="P522" i="5"/>
  <c r="O523" i="5"/>
  <c r="P523" i="5"/>
  <c r="O524" i="5"/>
  <c r="P524" i="5"/>
  <c r="O525" i="5"/>
  <c r="P525" i="5"/>
  <c r="O526" i="5"/>
  <c r="P526" i="5"/>
  <c r="O527" i="5"/>
  <c r="P527" i="5"/>
  <c r="O528" i="5"/>
  <c r="P528" i="5"/>
  <c r="O529" i="5"/>
  <c r="P529" i="5"/>
  <c r="O530" i="5"/>
  <c r="P530" i="5"/>
  <c r="O531" i="5"/>
  <c r="P531" i="5"/>
  <c r="O532" i="5"/>
  <c r="P532" i="5"/>
  <c r="O533" i="5"/>
  <c r="P533" i="5"/>
  <c r="O534" i="5"/>
  <c r="P534" i="5"/>
  <c r="O535" i="5"/>
  <c r="P535" i="5"/>
  <c r="O536" i="5"/>
  <c r="P536" i="5"/>
  <c r="O537" i="5"/>
  <c r="P537" i="5"/>
  <c r="O538" i="5"/>
  <c r="P538" i="5"/>
  <c r="O539" i="5"/>
  <c r="P539" i="5"/>
  <c r="O540" i="5"/>
  <c r="P540" i="5"/>
  <c r="O541" i="5"/>
  <c r="P541" i="5"/>
  <c r="O542" i="5"/>
  <c r="P542" i="5"/>
  <c r="O543" i="5"/>
  <c r="P543" i="5"/>
  <c r="D12" i="10"/>
  <c r="E12" i="10"/>
  <c r="D13" i="10"/>
  <c r="E13" i="10"/>
  <c r="D14" i="10"/>
  <c r="E14" i="10"/>
  <c r="D15" i="10"/>
  <c r="E15" i="10"/>
  <c r="D16" i="10"/>
  <c r="E16" i="10"/>
  <c r="D17" i="10"/>
  <c r="E17" i="10"/>
  <c r="D18" i="10"/>
  <c r="E18" i="10"/>
  <c r="D19" i="10"/>
  <c r="E19" i="10"/>
  <c r="O11" i="10"/>
  <c r="P11" i="10"/>
  <c r="O12" i="10"/>
  <c r="P12" i="10"/>
  <c r="O13" i="10"/>
  <c r="P13" i="10"/>
  <c r="O14" i="10"/>
  <c r="P14" i="10"/>
  <c r="O15" i="10"/>
  <c r="P15" i="10"/>
  <c r="O16" i="10"/>
  <c r="P16" i="10"/>
  <c r="O17" i="10"/>
  <c r="P17" i="10"/>
  <c r="O18" i="10"/>
  <c r="P18" i="10"/>
  <c r="O19" i="10"/>
  <c r="P19" i="10"/>
  <c r="D11" i="10"/>
  <c r="E11" i="10"/>
  <c r="D4" i="10"/>
  <c r="E4" i="10"/>
  <c r="D5" i="10"/>
  <c r="E5" i="10"/>
  <c r="D6" i="10"/>
  <c r="E6" i="10"/>
  <c r="D7" i="10"/>
  <c r="E7" i="10"/>
  <c r="D8" i="10"/>
  <c r="E8" i="10"/>
  <c r="D9" i="10"/>
  <c r="E9" i="10"/>
  <c r="D10" i="10"/>
  <c r="E10" i="10"/>
  <c r="E3" i="10"/>
  <c r="D3" i="10"/>
  <c r="O4" i="10"/>
  <c r="P4" i="10"/>
  <c r="O5" i="10"/>
  <c r="P5" i="10"/>
  <c r="O6" i="10"/>
  <c r="P6" i="10"/>
  <c r="O7" i="10"/>
  <c r="P7" i="10"/>
  <c r="O8" i="10"/>
  <c r="P8" i="10"/>
  <c r="O9" i="10"/>
  <c r="P9" i="10"/>
  <c r="O10" i="10"/>
  <c r="P10" i="10"/>
  <c r="O454" i="5"/>
  <c r="P454" i="5"/>
  <c r="O455" i="5"/>
  <c r="P455" i="5"/>
  <c r="O456" i="5"/>
  <c r="P456" i="5"/>
  <c r="O457" i="5"/>
  <c r="P457" i="5"/>
  <c r="O458" i="5"/>
  <c r="P458" i="5"/>
  <c r="O459" i="5"/>
  <c r="P459" i="5"/>
  <c r="O460" i="5"/>
  <c r="P460" i="5"/>
  <c r="O461" i="5"/>
  <c r="P461" i="5"/>
  <c r="O462" i="5"/>
  <c r="P462" i="5"/>
  <c r="O463" i="5"/>
  <c r="P463" i="5"/>
  <c r="O464" i="5"/>
  <c r="P464" i="5"/>
  <c r="O465" i="5"/>
  <c r="P465" i="5"/>
  <c r="O466" i="5"/>
  <c r="P466" i="5"/>
  <c r="O467" i="5"/>
  <c r="P467" i="5"/>
  <c r="O468" i="5"/>
  <c r="P468" i="5"/>
  <c r="O469" i="5"/>
  <c r="P469" i="5"/>
  <c r="O470" i="5"/>
  <c r="P470" i="5"/>
  <c r="O471" i="5"/>
  <c r="P471" i="5"/>
  <c r="O472" i="5"/>
  <c r="P472" i="5"/>
  <c r="O473" i="5"/>
  <c r="P473" i="5"/>
  <c r="O474" i="5"/>
  <c r="P474" i="5"/>
  <c r="O475" i="5"/>
  <c r="P475" i="5"/>
  <c r="O476" i="5"/>
  <c r="P476" i="5"/>
  <c r="O477" i="5"/>
  <c r="P477" i="5"/>
  <c r="O478" i="5"/>
  <c r="P478" i="5"/>
  <c r="O479" i="5"/>
  <c r="P479" i="5"/>
  <c r="O480" i="5"/>
  <c r="P480" i="5"/>
  <c r="O481" i="5"/>
  <c r="P481" i="5"/>
  <c r="O482" i="5"/>
  <c r="P482" i="5"/>
  <c r="O483" i="5"/>
  <c r="P483" i="5"/>
  <c r="O484" i="5"/>
  <c r="P484" i="5"/>
  <c r="O485" i="5"/>
  <c r="P485" i="5"/>
  <c r="O486" i="5"/>
  <c r="P486" i="5"/>
  <c r="O487" i="5"/>
  <c r="P487" i="5"/>
  <c r="O488" i="5"/>
  <c r="P488" i="5"/>
  <c r="D456" i="5"/>
  <c r="E456" i="5"/>
  <c r="D457" i="5"/>
  <c r="E457" i="5"/>
  <c r="D458" i="5"/>
  <c r="E458" i="5"/>
  <c r="D459" i="5"/>
  <c r="E459" i="5"/>
  <c r="D460" i="5"/>
  <c r="E460" i="5"/>
  <c r="D461" i="5"/>
  <c r="E461" i="5"/>
  <c r="D462" i="5"/>
  <c r="E462" i="5"/>
  <c r="D463" i="5"/>
  <c r="E463" i="5"/>
  <c r="D464" i="5"/>
  <c r="E464" i="5"/>
  <c r="D465" i="5"/>
  <c r="E465" i="5"/>
  <c r="D466" i="5"/>
  <c r="E466" i="5"/>
  <c r="D467" i="5"/>
  <c r="E467" i="5"/>
  <c r="D468" i="5"/>
  <c r="E468" i="5"/>
  <c r="D469" i="5"/>
  <c r="E469" i="5"/>
  <c r="D470" i="5"/>
  <c r="E470" i="5"/>
  <c r="D471" i="5"/>
  <c r="E471" i="5"/>
  <c r="D472" i="5"/>
  <c r="E472" i="5"/>
  <c r="D473" i="5"/>
  <c r="E473" i="5"/>
  <c r="D474" i="5"/>
  <c r="E474" i="5"/>
  <c r="D475" i="5"/>
  <c r="E475" i="5"/>
  <c r="D476" i="5"/>
  <c r="E476" i="5"/>
  <c r="D477" i="5"/>
  <c r="E477" i="5"/>
  <c r="D478" i="5"/>
  <c r="E478" i="5"/>
  <c r="D479" i="5"/>
  <c r="E479" i="5"/>
  <c r="D480" i="5"/>
  <c r="E480" i="5"/>
  <c r="D481" i="5"/>
  <c r="E481" i="5"/>
  <c r="D482" i="5"/>
  <c r="E482" i="5"/>
  <c r="D483" i="5"/>
  <c r="E483" i="5"/>
  <c r="D484" i="5"/>
  <c r="E484" i="5"/>
  <c r="D485" i="5"/>
  <c r="E485" i="5"/>
  <c r="D486" i="5"/>
  <c r="E486" i="5"/>
  <c r="D487" i="5"/>
  <c r="E487" i="5"/>
  <c r="D488" i="5"/>
  <c r="E488" i="5"/>
  <c r="D455" i="5"/>
  <c r="E455" i="5"/>
  <c r="D454" i="5"/>
  <c r="E454" i="5"/>
  <c r="D419" i="5"/>
  <c r="E419" i="5"/>
  <c r="D420" i="5"/>
  <c r="E420" i="5"/>
  <c r="D421" i="5"/>
  <c r="E421" i="5"/>
  <c r="D422" i="5"/>
  <c r="E422" i="5"/>
  <c r="D423" i="5"/>
  <c r="E423" i="5"/>
  <c r="D424" i="5"/>
  <c r="E424" i="5"/>
  <c r="D425" i="5"/>
  <c r="E425" i="5"/>
  <c r="D426" i="5"/>
  <c r="E426" i="5"/>
  <c r="D427" i="5"/>
  <c r="E427" i="5"/>
  <c r="D428" i="5"/>
  <c r="E428" i="5"/>
  <c r="D429" i="5"/>
  <c r="E429" i="5"/>
  <c r="D430" i="5"/>
  <c r="E430" i="5"/>
  <c r="D431" i="5"/>
  <c r="E431" i="5"/>
  <c r="D432" i="5"/>
  <c r="E432" i="5"/>
  <c r="D433" i="5"/>
  <c r="E433" i="5"/>
  <c r="D434" i="5"/>
  <c r="E434" i="5"/>
  <c r="D435" i="5"/>
  <c r="E435" i="5"/>
  <c r="D436" i="5"/>
  <c r="E436" i="5"/>
  <c r="D437" i="5"/>
  <c r="E437" i="5"/>
  <c r="D438" i="5"/>
  <c r="E438" i="5"/>
  <c r="D439" i="5"/>
  <c r="E439" i="5"/>
  <c r="D440" i="5"/>
  <c r="E440" i="5"/>
  <c r="D441" i="5"/>
  <c r="E441" i="5"/>
  <c r="D442" i="5"/>
  <c r="E442" i="5"/>
  <c r="D443" i="5"/>
  <c r="E443" i="5"/>
  <c r="D444" i="5"/>
  <c r="E444" i="5"/>
  <c r="D445" i="5"/>
  <c r="E445" i="5"/>
  <c r="D446" i="5"/>
  <c r="E446" i="5"/>
  <c r="D447" i="5"/>
  <c r="E447" i="5"/>
  <c r="D448" i="5"/>
  <c r="E448" i="5"/>
  <c r="D449" i="5"/>
  <c r="E449" i="5"/>
  <c r="D450" i="5"/>
  <c r="E450" i="5"/>
  <c r="D451" i="5"/>
  <c r="E451" i="5"/>
  <c r="D452" i="5"/>
  <c r="E452" i="5"/>
  <c r="D453" i="5"/>
  <c r="E453" i="5"/>
  <c r="D418" i="5"/>
  <c r="E418" i="5"/>
  <c r="D417" i="5"/>
  <c r="E417" i="5"/>
  <c r="O417" i="5"/>
  <c r="P417" i="5"/>
  <c r="O418" i="5"/>
  <c r="P418" i="5"/>
  <c r="O419" i="5"/>
  <c r="P419" i="5"/>
  <c r="O420" i="5"/>
  <c r="P420" i="5"/>
  <c r="O421" i="5"/>
  <c r="P421" i="5"/>
  <c r="O422" i="5"/>
  <c r="P422" i="5"/>
  <c r="O423" i="5"/>
  <c r="P423" i="5"/>
  <c r="O424" i="5"/>
  <c r="P424" i="5"/>
  <c r="O425" i="5"/>
  <c r="P425" i="5"/>
  <c r="O426" i="5"/>
  <c r="P426" i="5"/>
  <c r="O427" i="5"/>
  <c r="P427" i="5"/>
  <c r="O428" i="5"/>
  <c r="P428" i="5"/>
  <c r="O429" i="5"/>
  <c r="P429" i="5"/>
  <c r="O430" i="5"/>
  <c r="P430" i="5"/>
  <c r="O431" i="5"/>
  <c r="P431" i="5"/>
  <c r="O432" i="5"/>
  <c r="P432" i="5"/>
  <c r="O433" i="5"/>
  <c r="P433" i="5"/>
  <c r="O434" i="5"/>
  <c r="P434" i="5"/>
  <c r="O435" i="5"/>
  <c r="P435" i="5"/>
  <c r="O436" i="5"/>
  <c r="P436" i="5"/>
  <c r="O437" i="5"/>
  <c r="P437" i="5"/>
  <c r="O438" i="5"/>
  <c r="P438" i="5"/>
  <c r="O439" i="5"/>
  <c r="P439" i="5"/>
  <c r="O440" i="5"/>
  <c r="P440" i="5"/>
  <c r="O441" i="5"/>
  <c r="P441" i="5"/>
  <c r="O442" i="5"/>
  <c r="P442" i="5"/>
  <c r="O443" i="5"/>
  <c r="P443" i="5"/>
  <c r="O444" i="5"/>
  <c r="P444" i="5"/>
  <c r="O445" i="5"/>
  <c r="P445" i="5"/>
  <c r="O446" i="5"/>
  <c r="P446" i="5"/>
  <c r="O447" i="5"/>
  <c r="P447" i="5"/>
  <c r="O448" i="5"/>
  <c r="P448" i="5"/>
  <c r="O449" i="5"/>
  <c r="P449" i="5"/>
  <c r="O450" i="5"/>
  <c r="P450" i="5"/>
  <c r="O451" i="5"/>
  <c r="P451" i="5"/>
  <c r="O452" i="5"/>
  <c r="P452" i="5"/>
  <c r="O453" i="5"/>
  <c r="P453" i="5"/>
  <c r="D397" i="5"/>
  <c r="E397" i="5"/>
  <c r="D398" i="5"/>
  <c r="E398" i="5"/>
  <c r="D399" i="5"/>
  <c r="E399" i="5"/>
  <c r="D400" i="5"/>
  <c r="E400" i="5"/>
  <c r="D401" i="5"/>
  <c r="E401" i="5"/>
  <c r="D402" i="5"/>
  <c r="E402" i="5"/>
  <c r="D403" i="5"/>
  <c r="E403" i="5"/>
  <c r="D404" i="5"/>
  <c r="E404" i="5"/>
  <c r="D405" i="5"/>
  <c r="E405" i="5"/>
  <c r="D406" i="5"/>
  <c r="E406" i="5"/>
  <c r="D407" i="5"/>
  <c r="E407" i="5"/>
  <c r="D408" i="5"/>
  <c r="E408" i="5"/>
  <c r="D409" i="5"/>
  <c r="E409" i="5"/>
  <c r="D410" i="5"/>
  <c r="E410" i="5"/>
  <c r="D411" i="5"/>
  <c r="E411" i="5"/>
  <c r="D412" i="5"/>
  <c r="E412" i="5"/>
  <c r="D413" i="5"/>
  <c r="E413" i="5"/>
  <c r="D414" i="5"/>
  <c r="E414" i="5"/>
  <c r="D415" i="5"/>
  <c r="E415" i="5"/>
  <c r="D416" i="5"/>
  <c r="E416" i="5"/>
  <c r="D396" i="5"/>
  <c r="E396" i="5"/>
  <c r="D395" i="5"/>
  <c r="E395" i="5"/>
  <c r="O395" i="5"/>
  <c r="P395" i="5"/>
  <c r="O396" i="5"/>
  <c r="P396" i="5"/>
  <c r="O397" i="5"/>
  <c r="P397" i="5"/>
  <c r="O398" i="5"/>
  <c r="P398" i="5"/>
  <c r="O399" i="5"/>
  <c r="P399" i="5"/>
  <c r="O400" i="5"/>
  <c r="P400" i="5"/>
  <c r="O401" i="5"/>
  <c r="P401" i="5"/>
  <c r="O402" i="5"/>
  <c r="P402" i="5"/>
  <c r="O403" i="5"/>
  <c r="P403" i="5"/>
  <c r="O404" i="5"/>
  <c r="P404" i="5"/>
  <c r="O405" i="5"/>
  <c r="P405" i="5"/>
  <c r="O406" i="5"/>
  <c r="P406" i="5"/>
  <c r="O407" i="5"/>
  <c r="P407" i="5"/>
  <c r="O408" i="5"/>
  <c r="P408" i="5"/>
  <c r="O409" i="5"/>
  <c r="P409" i="5"/>
  <c r="O410" i="5"/>
  <c r="P410" i="5"/>
  <c r="O411" i="5"/>
  <c r="P411" i="5"/>
  <c r="O412" i="5"/>
  <c r="P412" i="5"/>
  <c r="O413" i="5"/>
  <c r="P413" i="5"/>
  <c r="O414" i="5"/>
  <c r="P414" i="5"/>
  <c r="O415" i="5"/>
  <c r="P415" i="5"/>
  <c r="O416" i="5"/>
  <c r="P416" i="5"/>
  <c r="D367" i="5"/>
  <c r="E367" i="5"/>
  <c r="D368" i="5"/>
  <c r="E368" i="5"/>
  <c r="D369" i="5"/>
  <c r="E369" i="5"/>
  <c r="D370" i="5"/>
  <c r="E370" i="5"/>
  <c r="D371" i="5"/>
  <c r="E371" i="5"/>
  <c r="D372" i="5"/>
  <c r="E372" i="5"/>
  <c r="D373" i="5"/>
  <c r="E373" i="5"/>
  <c r="D374" i="5"/>
  <c r="E374" i="5"/>
  <c r="D375" i="5"/>
  <c r="E375" i="5"/>
  <c r="D376" i="5"/>
  <c r="E376" i="5"/>
  <c r="D377" i="5"/>
  <c r="E377" i="5"/>
  <c r="D378" i="5"/>
  <c r="E378" i="5"/>
  <c r="D379" i="5"/>
  <c r="E379" i="5"/>
  <c r="D380" i="5"/>
  <c r="E380" i="5"/>
  <c r="D381" i="5"/>
  <c r="E381" i="5"/>
  <c r="D382" i="5"/>
  <c r="E382" i="5"/>
  <c r="D383" i="5"/>
  <c r="E383" i="5"/>
  <c r="D384" i="5"/>
  <c r="E384" i="5"/>
  <c r="D385" i="5"/>
  <c r="E385" i="5"/>
  <c r="D386" i="5"/>
  <c r="E386" i="5"/>
  <c r="D387" i="5"/>
  <c r="E387" i="5"/>
  <c r="D388" i="5"/>
  <c r="E388" i="5"/>
  <c r="D389" i="5"/>
  <c r="E389" i="5"/>
  <c r="D390" i="5"/>
  <c r="E390" i="5"/>
  <c r="D391" i="5"/>
  <c r="E391" i="5"/>
  <c r="D392" i="5"/>
  <c r="E392" i="5"/>
  <c r="D393" i="5"/>
  <c r="E393" i="5"/>
  <c r="D394" i="5"/>
  <c r="E394" i="5"/>
  <c r="D366" i="5"/>
  <c r="E366" i="5"/>
  <c r="D365" i="5"/>
  <c r="E365" i="5"/>
  <c r="O365" i="5"/>
  <c r="P365" i="5"/>
  <c r="O366" i="5"/>
  <c r="P366" i="5"/>
  <c r="O367" i="5"/>
  <c r="P367" i="5"/>
  <c r="O368" i="5"/>
  <c r="P368" i="5"/>
  <c r="O369" i="5"/>
  <c r="P369" i="5"/>
  <c r="O370" i="5"/>
  <c r="P370" i="5"/>
  <c r="O371" i="5"/>
  <c r="P371" i="5"/>
  <c r="O372" i="5"/>
  <c r="P372" i="5"/>
  <c r="O373" i="5"/>
  <c r="P373" i="5"/>
  <c r="O374" i="5"/>
  <c r="P374" i="5"/>
  <c r="O375" i="5"/>
  <c r="P375" i="5"/>
  <c r="O376" i="5"/>
  <c r="P376" i="5"/>
  <c r="O377" i="5"/>
  <c r="P377" i="5"/>
  <c r="O378" i="5"/>
  <c r="P378" i="5"/>
  <c r="O379" i="5"/>
  <c r="P379" i="5"/>
  <c r="O380" i="5"/>
  <c r="P380" i="5"/>
  <c r="O381" i="5"/>
  <c r="P381" i="5"/>
  <c r="O382" i="5"/>
  <c r="P382" i="5"/>
  <c r="O383" i="5"/>
  <c r="P383" i="5"/>
  <c r="O384" i="5"/>
  <c r="P384" i="5"/>
  <c r="O385" i="5"/>
  <c r="P385" i="5"/>
  <c r="O386" i="5"/>
  <c r="P386" i="5"/>
  <c r="O387" i="5"/>
  <c r="P387" i="5"/>
  <c r="O388" i="5"/>
  <c r="P388" i="5"/>
  <c r="O389" i="5"/>
  <c r="P389" i="5"/>
  <c r="O390" i="5"/>
  <c r="P390" i="5"/>
  <c r="O391" i="5"/>
  <c r="P391" i="5"/>
  <c r="O392" i="5"/>
  <c r="P392" i="5"/>
  <c r="O393" i="5"/>
  <c r="P393" i="5"/>
  <c r="O394" i="5"/>
  <c r="P394" i="5"/>
  <c r="D348" i="5"/>
  <c r="E348" i="5"/>
  <c r="D349" i="5"/>
  <c r="E349" i="5"/>
  <c r="D350" i="5"/>
  <c r="E350" i="5"/>
  <c r="D351" i="5"/>
  <c r="E351" i="5"/>
  <c r="D352" i="5"/>
  <c r="E352" i="5"/>
  <c r="D353" i="5"/>
  <c r="E353" i="5"/>
  <c r="D354" i="5"/>
  <c r="E354" i="5"/>
  <c r="D355" i="5"/>
  <c r="E355" i="5"/>
  <c r="D356" i="5"/>
  <c r="E356" i="5"/>
  <c r="D357" i="5"/>
  <c r="E357" i="5"/>
  <c r="D358" i="5"/>
  <c r="E358" i="5"/>
  <c r="D359" i="5"/>
  <c r="E359" i="5"/>
  <c r="D360" i="5"/>
  <c r="E360" i="5"/>
  <c r="D361" i="5"/>
  <c r="E361" i="5"/>
  <c r="D362" i="5"/>
  <c r="E362" i="5"/>
  <c r="D363" i="5"/>
  <c r="E363" i="5"/>
  <c r="D364" i="5"/>
  <c r="E364" i="5"/>
  <c r="O347" i="5"/>
  <c r="P347" i="5"/>
  <c r="O348" i="5"/>
  <c r="P348" i="5"/>
  <c r="O349" i="5"/>
  <c r="P349" i="5"/>
  <c r="O350" i="5"/>
  <c r="P350" i="5"/>
  <c r="O351" i="5"/>
  <c r="P351" i="5"/>
  <c r="O352" i="5"/>
  <c r="P352" i="5"/>
  <c r="O353" i="5"/>
  <c r="P353" i="5"/>
  <c r="O354" i="5"/>
  <c r="P354" i="5"/>
  <c r="O355" i="5"/>
  <c r="P355" i="5"/>
  <c r="O356" i="5"/>
  <c r="P356" i="5"/>
  <c r="O357" i="5"/>
  <c r="P357" i="5"/>
  <c r="O358" i="5"/>
  <c r="P358" i="5"/>
  <c r="O359" i="5"/>
  <c r="P359" i="5"/>
  <c r="O360" i="5"/>
  <c r="P360" i="5"/>
  <c r="O361" i="5"/>
  <c r="P361" i="5"/>
  <c r="O362" i="5"/>
  <c r="P362" i="5"/>
  <c r="O363" i="5"/>
  <c r="P363" i="5"/>
  <c r="O364" i="5"/>
  <c r="P364" i="5"/>
  <c r="D347" i="5"/>
  <c r="E347" i="5"/>
  <c r="D338" i="5"/>
  <c r="E338" i="5"/>
  <c r="D339" i="5"/>
  <c r="E339" i="5"/>
  <c r="D340" i="5"/>
  <c r="E340" i="5"/>
  <c r="D341" i="5"/>
  <c r="E341" i="5"/>
  <c r="D342" i="5"/>
  <c r="E342" i="5"/>
  <c r="D343" i="5"/>
  <c r="E343" i="5"/>
  <c r="D344" i="5"/>
  <c r="E344" i="5"/>
  <c r="D345" i="5"/>
  <c r="E345" i="5"/>
  <c r="D346" i="5"/>
  <c r="E346" i="5"/>
  <c r="O336" i="5"/>
  <c r="P336" i="5"/>
  <c r="O337" i="5"/>
  <c r="P337" i="5"/>
  <c r="O338" i="5"/>
  <c r="P338" i="5"/>
  <c r="O339" i="5"/>
  <c r="P339" i="5"/>
  <c r="O340" i="5"/>
  <c r="P340" i="5"/>
  <c r="O341" i="5"/>
  <c r="P341" i="5"/>
  <c r="O342" i="5"/>
  <c r="P342" i="5"/>
  <c r="O343" i="5"/>
  <c r="P343" i="5"/>
  <c r="O344" i="5"/>
  <c r="P344" i="5"/>
  <c r="O345" i="5"/>
  <c r="P345" i="5"/>
  <c r="O346" i="5"/>
  <c r="P346" i="5"/>
  <c r="D337" i="5"/>
  <c r="E337" i="5"/>
  <c r="D336" i="5"/>
  <c r="E336" i="5"/>
  <c r="O311" i="5"/>
  <c r="P311" i="5"/>
  <c r="O312" i="5"/>
  <c r="P312" i="5"/>
  <c r="O313" i="5"/>
  <c r="P313" i="5"/>
  <c r="O314" i="5"/>
  <c r="P314" i="5"/>
  <c r="O315" i="5"/>
  <c r="P315" i="5"/>
  <c r="O316" i="5"/>
  <c r="P316" i="5"/>
  <c r="O317" i="5"/>
  <c r="P317" i="5"/>
  <c r="O318" i="5"/>
  <c r="P318" i="5"/>
  <c r="O319" i="5"/>
  <c r="P319" i="5"/>
  <c r="O320" i="5"/>
  <c r="P320" i="5"/>
  <c r="O321" i="5"/>
  <c r="P321" i="5"/>
  <c r="O322" i="5"/>
  <c r="P322" i="5"/>
  <c r="O323" i="5"/>
  <c r="P323" i="5"/>
  <c r="O324" i="5"/>
  <c r="P324" i="5"/>
  <c r="O325" i="5"/>
  <c r="P325" i="5"/>
  <c r="O326" i="5"/>
  <c r="P326" i="5"/>
  <c r="O327" i="5"/>
  <c r="P327" i="5"/>
  <c r="O328" i="5"/>
  <c r="P328" i="5"/>
  <c r="O329" i="5"/>
  <c r="P329" i="5"/>
  <c r="O330" i="5"/>
  <c r="P330" i="5"/>
  <c r="O331" i="5"/>
  <c r="P331" i="5"/>
  <c r="O332" i="5"/>
  <c r="P332" i="5"/>
  <c r="O333" i="5"/>
  <c r="P333" i="5"/>
  <c r="O334" i="5"/>
  <c r="P334" i="5"/>
  <c r="O335" i="5"/>
  <c r="P335" i="5"/>
  <c r="D313" i="5"/>
  <c r="E313" i="5"/>
  <c r="D314" i="5"/>
  <c r="E314" i="5"/>
  <c r="D315" i="5"/>
  <c r="E315" i="5"/>
  <c r="D316" i="5"/>
  <c r="E316" i="5"/>
  <c r="D317" i="5"/>
  <c r="E317" i="5"/>
  <c r="D318" i="5"/>
  <c r="E318" i="5"/>
  <c r="D319" i="5"/>
  <c r="E319" i="5"/>
  <c r="D320" i="5"/>
  <c r="E320" i="5"/>
  <c r="D321" i="5"/>
  <c r="E321" i="5"/>
  <c r="D322" i="5"/>
  <c r="E322" i="5"/>
  <c r="D323" i="5"/>
  <c r="E323" i="5"/>
  <c r="D324" i="5"/>
  <c r="E324" i="5"/>
  <c r="D325" i="5"/>
  <c r="E325" i="5"/>
  <c r="D326" i="5"/>
  <c r="E326" i="5"/>
  <c r="D327" i="5"/>
  <c r="E327" i="5"/>
  <c r="D328" i="5"/>
  <c r="E328" i="5"/>
  <c r="D329" i="5"/>
  <c r="E329" i="5"/>
  <c r="D330" i="5"/>
  <c r="E330" i="5"/>
  <c r="D331" i="5"/>
  <c r="E331" i="5"/>
  <c r="D332" i="5"/>
  <c r="E332" i="5"/>
  <c r="D333" i="5"/>
  <c r="E333" i="5"/>
  <c r="D334" i="5"/>
  <c r="E334" i="5"/>
  <c r="D335" i="5"/>
  <c r="E335" i="5"/>
  <c r="D312" i="5"/>
  <c r="E312" i="5"/>
  <c r="D311" i="5"/>
  <c r="E311" i="5"/>
  <c r="O290" i="5"/>
  <c r="P290" i="5"/>
  <c r="O291" i="5"/>
  <c r="P291" i="5"/>
  <c r="O292" i="5"/>
  <c r="P292" i="5"/>
  <c r="O293" i="5"/>
  <c r="P293" i="5"/>
  <c r="O294" i="5"/>
  <c r="P294" i="5"/>
  <c r="O295" i="5"/>
  <c r="P295" i="5"/>
  <c r="O296" i="5"/>
  <c r="P296" i="5"/>
  <c r="O297" i="5"/>
  <c r="P297" i="5"/>
  <c r="O298" i="5"/>
  <c r="P298" i="5"/>
  <c r="O299" i="5"/>
  <c r="P299" i="5"/>
  <c r="O300" i="5"/>
  <c r="P300" i="5"/>
  <c r="O301" i="5"/>
  <c r="P301" i="5"/>
  <c r="O302" i="5"/>
  <c r="P302" i="5"/>
  <c r="O303" i="5"/>
  <c r="P303" i="5"/>
  <c r="O304" i="5"/>
  <c r="P304" i="5"/>
  <c r="O305" i="5"/>
  <c r="P305" i="5"/>
  <c r="O306" i="5"/>
  <c r="P306" i="5"/>
  <c r="O307" i="5"/>
  <c r="P307" i="5"/>
  <c r="O308" i="5"/>
  <c r="P308" i="5"/>
  <c r="O309" i="5"/>
  <c r="P309" i="5"/>
  <c r="O310" i="5"/>
  <c r="P310" i="5"/>
  <c r="D290" i="5"/>
  <c r="E290" i="5"/>
  <c r="D291" i="5"/>
  <c r="E291" i="5"/>
  <c r="D292" i="5"/>
  <c r="E292" i="5"/>
  <c r="D293" i="5"/>
  <c r="E293" i="5"/>
  <c r="D294" i="5"/>
  <c r="E294" i="5"/>
  <c r="D295" i="5"/>
  <c r="E295" i="5"/>
  <c r="D296" i="5"/>
  <c r="E296" i="5"/>
  <c r="D297" i="5"/>
  <c r="E297" i="5"/>
  <c r="D298" i="5"/>
  <c r="E298" i="5"/>
  <c r="D299" i="5"/>
  <c r="E299" i="5"/>
  <c r="D300" i="5"/>
  <c r="E300" i="5"/>
  <c r="D301" i="5"/>
  <c r="E301" i="5"/>
  <c r="D302" i="5"/>
  <c r="E302" i="5"/>
  <c r="D303" i="5"/>
  <c r="E303" i="5"/>
  <c r="D304" i="5"/>
  <c r="E304" i="5"/>
  <c r="D305" i="5"/>
  <c r="E305" i="5"/>
  <c r="D306" i="5"/>
  <c r="E306" i="5"/>
  <c r="D307" i="5"/>
  <c r="E307" i="5"/>
  <c r="D308" i="5"/>
  <c r="E308" i="5"/>
  <c r="D309" i="5"/>
  <c r="E309" i="5"/>
  <c r="D310" i="5"/>
  <c r="E310" i="5"/>
  <c r="D280" i="5"/>
  <c r="E280" i="5"/>
  <c r="D281" i="5"/>
  <c r="E281" i="5"/>
  <c r="D282" i="5"/>
  <c r="E282" i="5"/>
  <c r="D283" i="5"/>
  <c r="E283" i="5"/>
  <c r="D284" i="5"/>
  <c r="E284" i="5"/>
  <c r="D285" i="5"/>
  <c r="E285" i="5"/>
  <c r="D286" i="5"/>
  <c r="E286" i="5"/>
  <c r="D287" i="5"/>
  <c r="E287" i="5"/>
  <c r="D288" i="5"/>
  <c r="E288" i="5"/>
  <c r="D289" i="5"/>
  <c r="E289" i="5"/>
  <c r="D279" i="5"/>
  <c r="E279" i="5"/>
  <c r="D278" i="5"/>
  <c r="E278" i="5"/>
  <c r="O278" i="5"/>
  <c r="P278" i="5"/>
  <c r="O279" i="5"/>
  <c r="P279" i="5"/>
  <c r="O280" i="5"/>
  <c r="P280" i="5"/>
  <c r="O281" i="5"/>
  <c r="P281" i="5"/>
  <c r="O282" i="5"/>
  <c r="P282" i="5"/>
  <c r="O283" i="5"/>
  <c r="P283" i="5"/>
  <c r="O284" i="5"/>
  <c r="P284" i="5"/>
  <c r="O285" i="5"/>
  <c r="P285" i="5"/>
  <c r="O286" i="5"/>
  <c r="P286" i="5"/>
  <c r="O287" i="5"/>
  <c r="P287" i="5"/>
  <c r="O288" i="5"/>
  <c r="P288" i="5"/>
  <c r="O289" i="5"/>
  <c r="P289" i="5"/>
  <c r="D264" i="5"/>
  <c r="E264" i="5"/>
  <c r="D265" i="5"/>
  <c r="E265" i="5"/>
  <c r="D266" i="5"/>
  <c r="E266" i="5"/>
  <c r="D267" i="5"/>
  <c r="E267" i="5"/>
  <c r="D268" i="5"/>
  <c r="E268" i="5"/>
  <c r="D269" i="5"/>
  <c r="E269" i="5"/>
  <c r="D270" i="5"/>
  <c r="E270" i="5"/>
  <c r="D271" i="5"/>
  <c r="E271" i="5"/>
  <c r="D272" i="5"/>
  <c r="E272" i="5"/>
  <c r="D273" i="5"/>
  <c r="E273" i="5"/>
  <c r="D274" i="5"/>
  <c r="E274" i="5"/>
  <c r="D275" i="5"/>
  <c r="E275" i="5"/>
  <c r="D276" i="5"/>
  <c r="E276" i="5"/>
  <c r="D277" i="5"/>
  <c r="E277" i="5"/>
  <c r="D232" i="5"/>
  <c r="E232" i="5"/>
  <c r="D233" i="5"/>
  <c r="E233" i="5"/>
  <c r="D234" i="5"/>
  <c r="E234" i="5"/>
  <c r="D235" i="5"/>
  <c r="E235" i="5"/>
  <c r="D236" i="5"/>
  <c r="E236" i="5"/>
  <c r="D237" i="5"/>
  <c r="E237" i="5"/>
  <c r="D238" i="5"/>
  <c r="E238" i="5"/>
  <c r="D239" i="5"/>
  <c r="E239" i="5"/>
  <c r="D240" i="5"/>
  <c r="E240" i="5"/>
  <c r="D241" i="5"/>
  <c r="E241" i="5"/>
  <c r="D242" i="5"/>
  <c r="E242" i="5"/>
  <c r="D243" i="5"/>
  <c r="E243" i="5"/>
  <c r="D244" i="5"/>
  <c r="E244" i="5"/>
  <c r="D245" i="5"/>
  <c r="E245" i="5"/>
  <c r="D246" i="5"/>
  <c r="E246" i="5"/>
  <c r="D247" i="5"/>
  <c r="E247" i="5"/>
  <c r="D248" i="5"/>
  <c r="E248" i="5"/>
  <c r="D249" i="5"/>
  <c r="E249" i="5"/>
  <c r="D250" i="5"/>
  <c r="E250" i="5"/>
  <c r="D251" i="5"/>
  <c r="E251" i="5"/>
  <c r="D252" i="5"/>
  <c r="E252" i="5"/>
  <c r="D253" i="5"/>
  <c r="E253" i="5"/>
  <c r="D254" i="5"/>
  <c r="E254" i="5"/>
  <c r="D255" i="5"/>
  <c r="E255" i="5"/>
  <c r="D256" i="5"/>
  <c r="E256" i="5"/>
  <c r="D257" i="5"/>
  <c r="E257" i="5"/>
  <c r="D258" i="5"/>
  <c r="E258" i="5"/>
  <c r="D259" i="5"/>
  <c r="E259" i="5"/>
  <c r="D260" i="5"/>
  <c r="E260" i="5"/>
  <c r="D261" i="5"/>
  <c r="E261" i="5"/>
  <c r="D262" i="5"/>
  <c r="E262" i="5"/>
  <c r="D263" i="5"/>
  <c r="E263" i="5"/>
  <c r="O247" i="5"/>
  <c r="P247" i="5"/>
  <c r="O248" i="5"/>
  <c r="P248" i="5"/>
  <c r="O249" i="5"/>
  <c r="P249" i="5"/>
  <c r="O250" i="5"/>
  <c r="P250" i="5"/>
  <c r="O251" i="5"/>
  <c r="P251" i="5"/>
  <c r="O252" i="5"/>
  <c r="P252" i="5"/>
  <c r="O253" i="5"/>
  <c r="P253" i="5"/>
  <c r="O254" i="5"/>
  <c r="P254" i="5"/>
  <c r="O255" i="5"/>
  <c r="P255" i="5"/>
  <c r="O256" i="5"/>
  <c r="P256" i="5"/>
  <c r="O257" i="5"/>
  <c r="P257" i="5"/>
  <c r="O258" i="5"/>
  <c r="P258" i="5"/>
  <c r="O259" i="5"/>
  <c r="P259" i="5"/>
  <c r="O260" i="5"/>
  <c r="P260" i="5"/>
  <c r="O261" i="5"/>
  <c r="P261" i="5"/>
  <c r="O262" i="5"/>
  <c r="P262" i="5"/>
  <c r="O263" i="5"/>
  <c r="P263" i="5"/>
  <c r="O264" i="5"/>
  <c r="P264" i="5"/>
  <c r="O265" i="5"/>
  <c r="P265" i="5"/>
  <c r="O266" i="5"/>
  <c r="P266" i="5"/>
  <c r="O267" i="5"/>
  <c r="P267" i="5"/>
  <c r="O268" i="5"/>
  <c r="P268" i="5"/>
  <c r="O269" i="5"/>
  <c r="P269" i="5"/>
  <c r="O270" i="5"/>
  <c r="P270" i="5"/>
  <c r="O271" i="5"/>
  <c r="P271" i="5"/>
  <c r="O272" i="5"/>
  <c r="P272" i="5"/>
  <c r="O273" i="5"/>
  <c r="P273" i="5"/>
  <c r="O274" i="5"/>
  <c r="P274" i="5"/>
  <c r="O275" i="5"/>
  <c r="P275" i="5"/>
  <c r="O276" i="5"/>
  <c r="P276" i="5"/>
  <c r="O277" i="5"/>
  <c r="P277" i="5"/>
  <c r="D231" i="5"/>
  <c r="E231" i="5"/>
  <c r="D230" i="5"/>
  <c r="E230" i="5"/>
  <c r="O230" i="5"/>
  <c r="P230" i="5"/>
  <c r="O231" i="5"/>
  <c r="P231" i="5"/>
  <c r="O232" i="5"/>
  <c r="P232" i="5"/>
  <c r="O233" i="5"/>
  <c r="P233" i="5"/>
  <c r="O234" i="5"/>
  <c r="P234" i="5"/>
  <c r="O235" i="5"/>
  <c r="P235" i="5"/>
  <c r="O236" i="5"/>
  <c r="P236" i="5"/>
  <c r="O237" i="5"/>
  <c r="P237" i="5"/>
  <c r="O238" i="5"/>
  <c r="P238" i="5"/>
  <c r="O239" i="5"/>
  <c r="P239" i="5"/>
  <c r="O240" i="5"/>
  <c r="P240" i="5"/>
  <c r="O241" i="5"/>
  <c r="P241" i="5"/>
  <c r="O242" i="5"/>
  <c r="P242" i="5"/>
  <c r="O243" i="5"/>
  <c r="P243" i="5"/>
  <c r="O244" i="5"/>
  <c r="P244" i="5"/>
  <c r="O245" i="5"/>
  <c r="P245" i="5"/>
  <c r="O246" i="5"/>
  <c r="P246" i="5"/>
  <c r="D224" i="5"/>
  <c r="E224" i="5"/>
  <c r="D225" i="5"/>
  <c r="E225" i="5"/>
  <c r="D226" i="5"/>
  <c r="E226" i="5"/>
  <c r="D227" i="5"/>
  <c r="E227" i="5"/>
  <c r="D228" i="5"/>
  <c r="E228" i="5"/>
  <c r="D229" i="5"/>
  <c r="E229" i="5"/>
  <c r="D223" i="5"/>
  <c r="E223" i="5"/>
  <c r="D222" i="5"/>
  <c r="E222" i="5"/>
  <c r="D221" i="5"/>
  <c r="E221" i="5"/>
  <c r="D220" i="5"/>
  <c r="E220" i="5"/>
  <c r="O220" i="5"/>
  <c r="P220" i="5"/>
  <c r="O221" i="5"/>
  <c r="P221" i="5"/>
  <c r="O222" i="5"/>
  <c r="P222" i="5"/>
  <c r="O223" i="5"/>
  <c r="P223" i="5"/>
  <c r="O224" i="5"/>
  <c r="P224" i="5"/>
  <c r="O225" i="5"/>
  <c r="P225" i="5"/>
  <c r="O226" i="5"/>
  <c r="P226" i="5"/>
  <c r="O227" i="5"/>
  <c r="P227" i="5"/>
  <c r="O228" i="5"/>
  <c r="P228" i="5"/>
  <c r="O229" i="5"/>
  <c r="P229" i="5"/>
  <c r="D202" i="5"/>
  <c r="E202" i="5"/>
  <c r="D203" i="5"/>
  <c r="E203" i="5"/>
  <c r="D204" i="5"/>
  <c r="E204" i="5"/>
  <c r="D205" i="5"/>
  <c r="E205" i="5"/>
  <c r="D206" i="5"/>
  <c r="E206" i="5"/>
  <c r="D207" i="5"/>
  <c r="E207" i="5"/>
  <c r="D208" i="5"/>
  <c r="E208" i="5"/>
  <c r="D209" i="5"/>
  <c r="E209" i="5"/>
  <c r="D210" i="5"/>
  <c r="E210" i="5"/>
  <c r="D211" i="5"/>
  <c r="E211" i="5"/>
  <c r="D212" i="5"/>
  <c r="E212" i="5"/>
  <c r="D213" i="5"/>
  <c r="E213" i="5"/>
  <c r="D214" i="5"/>
  <c r="E214" i="5"/>
  <c r="D215" i="5"/>
  <c r="E215" i="5"/>
  <c r="D216" i="5"/>
  <c r="E216" i="5"/>
  <c r="D217" i="5"/>
  <c r="E217" i="5"/>
  <c r="D218" i="5"/>
  <c r="E218" i="5"/>
  <c r="D219" i="5"/>
  <c r="E219" i="5"/>
  <c r="O202" i="5"/>
  <c r="P202" i="5"/>
  <c r="O203" i="5"/>
  <c r="P203" i="5"/>
  <c r="O204" i="5"/>
  <c r="P204" i="5"/>
  <c r="O205" i="5"/>
  <c r="P205" i="5"/>
  <c r="O206" i="5"/>
  <c r="P206" i="5"/>
  <c r="O207" i="5"/>
  <c r="P207" i="5"/>
  <c r="O208" i="5"/>
  <c r="P208" i="5"/>
  <c r="O209" i="5"/>
  <c r="P209" i="5"/>
  <c r="O210" i="5"/>
  <c r="P210" i="5"/>
  <c r="O211" i="5"/>
  <c r="P211" i="5"/>
  <c r="O212" i="5"/>
  <c r="P212" i="5"/>
  <c r="O213" i="5"/>
  <c r="P213" i="5"/>
  <c r="O214" i="5"/>
  <c r="P214" i="5"/>
  <c r="O215" i="5"/>
  <c r="P215" i="5"/>
  <c r="O216" i="5"/>
  <c r="P216" i="5"/>
  <c r="O217" i="5"/>
  <c r="P217" i="5"/>
  <c r="O218" i="5"/>
  <c r="P218" i="5"/>
  <c r="O219" i="5"/>
  <c r="P219" i="5"/>
  <c r="D186" i="5"/>
  <c r="E186" i="5"/>
  <c r="D187" i="5"/>
  <c r="E187" i="5"/>
  <c r="D188" i="5"/>
  <c r="E188" i="5"/>
  <c r="D189" i="5"/>
  <c r="E189" i="5"/>
  <c r="D190" i="5"/>
  <c r="E190" i="5"/>
  <c r="D191" i="5"/>
  <c r="E191" i="5"/>
  <c r="D192" i="5"/>
  <c r="E192" i="5"/>
  <c r="D193" i="5"/>
  <c r="E193" i="5"/>
  <c r="D194" i="5"/>
  <c r="E194" i="5"/>
  <c r="D195" i="5"/>
  <c r="E195" i="5"/>
  <c r="D196" i="5"/>
  <c r="E196" i="5"/>
  <c r="D197" i="5"/>
  <c r="E197" i="5"/>
  <c r="D198" i="5"/>
  <c r="E198" i="5"/>
  <c r="D199" i="5"/>
  <c r="E199" i="5"/>
  <c r="D200" i="5"/>
  <c r="E200" i="5"/>
  <c r="D201" i="5"/>
  <c r="E201" i="5"/>
  <c r="D185" i="5"/>
  <c r="E185" i="5"/>
  <c r="D184" i="5"/>
  <c r="E184" i="5"/>
  <c r="O201" i="5"/>
  <c r="P201" i="5"/>
  <c r="O185" i="5"/>
  <c r="P185" i="5"/>
  <c r="O186" i="5"/>
  <c r="P186" i="5"/>
  <c r="O187" i="5"/>
  <c r="P187" i="5"/>
  <c r="O188" i="5"/>
  <c r="P188" i="5"/>
  <c r="O189" i="5"/>
  <c r="P189" i="5"/>
  <c r="O190" i="5"/>
  <c r="P190" i="5"/>
  <c r="O191" i="5"/>
  <c r="P191" i="5"/>
  <c r="O192" i="5"/>
  <c r="P192" i="5"/>
  <c r="O193" i="5"/>
  <c r="P193" i="5"/>
  <c r="O194" i="5"/>
  <c r="P194" i="5"/>
  <c r="O195" i="5"/>
  <c r="P195" i="5"/>
  <c r="O196" i="5"/>
  <c r="P196" i="5"/>
  <c r="O197" i="5"/>
  <c r="P197" i="5"/>
  <c r="O198" i="5"/>
  <c r="P198" i="5"/>
  <c r="O199" i="5"/>
  <c r="P199" i="5"/>
  <c r="O200" i="5"/>
  <c r="P200" i="5"/>
  <c r="P184" i="5"/>
  <c r="O184" i="5"/>
  <c r="R13" i="10" l="1"/>
  <c r="R11" i="10"/>
  <c r="R9" i="10"/>
  <c r="R15" i="10"/>
  <c r="R110" i="10"/>
  <c r="R119" i="10"/>
  <c r="R122" i="10"/>
  <c r="R155" i="10"/>
  <c r="R149" i="10"/>
  <c r="R143" i="10"/>
  <c r="R137" i="10"/>
  <c r="R131" i="10"/>
  <c r="R125" i="10"/>
  <c r="R130" i="10"/>
  <c r="R148" i="10"/>
  <c r="R111" i="10"/>
  <c r="R124" i="10"/>
  <c r="R117" i="10"/>
  <c r="R159" i="10"/>
  <c r="R153" i="10"/>
  <c r="R147" i="10"/>
  <c r="R141" i="10"/>
  <c r="R135" i="10"/>
  <c r="R129" i="10"/>
  <c r="R136" i="10"/>
  <c r="R118" i="10"/>
  <c r="R142" i="10"/>
  <c r="R10" i="10"/>
  <c r="R154" i="10"/>
  <c r="R123" i="10"/>
  <c r="R7" i="10"/>
  <c r="R152" i="10"/>
  <c r="R134" i="10"/>
  <c r="R112" i="10"/>
  <c r="R113" i="10"/>
  <c r="R146" i="10"/>
  <c r="R128" i="10"/>
  <c r="R121" i="10"/>
  <c r="R115" i="10"/>
  <c r="R157" i="10"/>
  <c r="R151" i="10"/>
  <c r="R145" i="10"/>
  <c r="R139" i="10"/>
  <c r="R133" i="10"/>
  <c r="R127" i="10"/>
  <c r="R6" i="10"/>
  <c r="R160" i="10"/>
  <c r="R116" i="10"/>
  <c r="R18" i="10"/>
  <c r="R12" i="10"/>
  <c r="R109" i="10"/>
  <c r="R120" i="10"/>
  <c r="R114" i="10"/>
  <c r="R156" i="10"/>
  <c r="R150" i="10"/>
  <c r="R144" i="10"/>
  <c r="R138" i="10"/>
  <c r="R132" i="10"/>
  <c r="R126" i="10"/>
  <c r="R158" i="10"/>
  <c r="R140" i="10"/>
  <c r="R17" i="10"/>
  <c r="R682" i="5"/>
  <c r="R686" i="5"/>
  <c r="R690" i="5"/>
  <c r="R694" i="5"/>
  <c r="R698" i="5"/>
  <c r="R702" i="5"/>
  <c r="R706" i="5"/>
  <c r="R710" i="5"/>
  <c r="R714" i="5"/>
  <c r="R718" i="5"/>
  <c r="R722" i="5"/>
  <c r="R138" i="8"/>
  <c r="R47" i="8"/>
  <c r="R53" i="8"/>
  <c r="R137" i="8"/>
  <c r="R131" i="8"/>
  <c r="R48" i="8"/>
  <c r="R54" i="8"/>
  <c r="R8" i="10"/>
  <c r="R5" i="10"/>
  <c r="R4" i="10"/>
  <c r="R635" i="5"/>
  <c r="R788" i="5"/>
  <c r="R606" i="5"/>
  <c r="R615" i="5"/>
  <c r="R629" i="5"/>
  <c r="R675" i="5"/>
  <c r="R669" i="5"/>
  <c r="R657" i="5"/>
  <c r="R651" i="5"/>
  <c r="R645" i="5"/>
  <c r="R735" i="5"/>
  <c r="R764" i="5"/>
  <c r="R752" i="5"/>
  <c r="R794" i="5"/>
  <c r="R782" i="5"/>
  <c r="R623" i="5"/>
  <c r="R681" i="5"/>
  <c r="R663" i="5"/>
  <c r="R770" i="5"/>
  <c r="R729" i="5"/>
  <c r="R758" i="5"/>
  <c r="R776" i="5"/>
  <c r="R621" i="5"/>
  <c r="R741" i="5"/>
  <c r="R746" i="5"/>
  <c r="R779" i="5"/>
  <c r="R51" i="8"/>
  <c r="R55" i="8"/>
  <c r="R135" i="8"/>
  <c r="R50" i="8"/>
  <c r="R52" i="8"/>
  <c r="R130" i="8"/>
  <c r="R134" i="8"/>
  <c r="R136" i="8"/>
  <c r="R133" i="8"/>
  <c r="R49" i="8"/>
  <c r="R132" i="8"/>
  <c r="R673" i="5"/>
  <c r="R796" i="5"/>
  <c r="R608" i="5"/>
  <c r="R602" i="5"/>
  <c r="R609" i="5"/>
  <c r="R617" i="5"/>
  <c r="R611" i="5"/>
  <c r="R637" i="5"/>
  <c r="R631" i="5"/>
  <c r="R625" i="5"/>
  <c r="R677" i="5"/>
  <c r="R671" i="5"/>
  <c r="R665" i="5"/>
  <c r="R659" i="5"/>
  <c r="R653" i="5"/>
  <c r="R647" i="5"/>
  <c r="R743" i="5"/>
  <c r="R737" i="5"/>
  <c r="R731" i="5"/>
  <c r="R725" i="5"/>
  <c r="R766" i="5"/>
  <c r="R754" i="5"/>
  <c r="R767" i="5"/>
  <c r="R790" i="5"/>
  <c r="R778" i="5"/>
  <c r="R744" i="5"/>
  <c r="R607" i="5"/>
  <c r="R601" i="5"/>
  <c r="R622" i="5"/>
  <c r="R616" i="5"/>
  <c r="R610" i="5"/>
  <c r="R630" i="5"/>
  <c r="R641" i="5"/>
  <c r="R676" i="5"/>
  <c r="R670" i="5"/>
  <c r="R664" i="5"/>
  <c r="R658" i="5"/>
  <c r="R652" i="5"/>
  <c r="R646" i="5"/>
  <c r="R742" i="5"/>
  <c r="R736" i="5"/>
  <c r="R730" i="5"/>
  <c r="R765" i="5"/>
  <c r="R759" i="5"/>
  <c r="R753" i="5"/>
  <c r="R747" i="5"/>
  <c r="R789" i="5"/>
  <c r="R783" i="5"/>
  <c r="R777" i="5"/>
  <c r="R771" i="5"/>
  <c r="R797" i="5"/>
  <c r="R795" i="5"/>
  <c r="R684" i="5"/>
  <c r="R688" i="5"/>
  <c r="R692" i="5"/>
  <c r="R696" i="5"/>
  <c r="R700" i="5"/>
  <c r="R704" i="5"/>
  <c r="R708" i="5"/>
  <c r="R712" i="5"/>
  <c r="R805" i="5"/>
  <c r="R599" i="5"/>
  <c r="R614" i="5"/>
  <c r="R640" i="5"/>
  <c r="R634" i="5"/>
  <c r="R628" i="5"/>
  <c r="R680" i="5"/>
  <c r="R674" i="5"/>
  <c r="R668" i="5"/>
  <c r="R662" i="5"/>
  <c r="R656" i="5"/>
  <c r="R650" i="5"/>
  <c r="R644" i="5"/>
  <c r="R723" i="5"/>
  <c r="R740" i="5"/>
  <c r="R734" i="5"/>
  <c r="R728" i="5"/>
  <c r="R763" i="5"/>
  <c r="R757" i="5"/>
  <c r="R751" i="5"/>
  <c r="R745" i="5"/>
  <c r="R793" i="5"/>
  <c r="R787" i="5"/>
  <c r="R781" i="5"/>
  <c r="R775" i="5"/>
  <c r="R769" i="5"/>
  <c r="R649" i="5"/>
  <c r="R683" i="5"/>
  <c r="R687" i="5"/>
  <c r="R691" i="5"/>
  <c r="R695" i="5"/>
  <c r="R699" i="5"/>
  <c r="R703" i="5"/>
  <c r="R707" i="5"/>
  <c r="R711" i="5"/>
  <c r="R715" i="5"/>
  <c r="R719" i="5"/>
  <c r="R756" i="5"/>
  <c r="R792" i="5"/>
  <c r="R780" i="5"/>
  <c r="R638" i="5"/>
  <c r="R672" i="5"/>
  <c r="R613" i="5"/>
  <c r="R661" i="5"/>
  <c r="R733" i="5"/>
  <c r="R612" i="5"/>
  <c r="R626" i="5"/>
  <c r="R660" i="5"/>
  <c r="R648" i="5"/>
  <c r="R720" i="5"/>
  <c r="R732" i="5"/>
  <c r="R755" i="5"/>
  <c r="R791" i="5"/>
  <c r="R803" i="5"/>
  <c r="R604" i="5"/>
  <c r="R598" i="5"/>
  <c r="R619" i="5"/>
  <c r="R639" i="5"/>
  <c r="R633" i="5"/>
  <c r="R627" i="5"/>
  <c r="R679" i="5"/>
  <c r="R667" i="5"/>
  <c r="R655" i="5"/>
  <c r="R643" i="5"/>
  <c r="R724" i="5"/>
  <c r="R739" i="5"/>
  <c r="R727" i="5"/>
  <c r="R762" i="5"/>
  <c r="R750" i="5"/>
  <c r="R786" i="5"/>
  <c r="R774" i="5"/>
  <c r="R603" i="5"/>
  <c r="R597" i="5"/>
  <c r="R618" i="5"/>
  <c r="R632" i="5"/>
  <c r="R678" i="5"/>
  <c r="R666" i="5"/>
  <c r="R654" i="5"/>
  <c r="R642" i="5"/>
  <c r="R738" i="5"/>
  <c r="R726" i="5"/>
  <c r="R761" i="5"/>
  <c r="R749" i="5"/>
  <c r="R785" i="5"/>
  <c r="R773" i="5"/>
  <c r="R716" i="5"/>
  <c r="R760" i="5"/>
  <c r="R748" i="5"/>
  <c r="R784" i="5"/>
  <c r="R772" i="5"/>
  <c r="R636" i="5"/>
  <c r="R624" i="5"/>
  <c r="R685" i="5"/>
  <c r="R689" i="5"/>
  <c r="R693" i="5"/>
  <c r="R697" i="5"/>
  <c r="R701" i="5"/>
  <c r="R705" i="5"/>
  <c r="R709" i="5"/>
  <c r="R713" i="5"/>
  <c r="R717" i="5"/>
  <c r="R721" i="5"/>
  <c r="R768" i="5"/>
  <c r="R600" i="5"/>
  <c r="R605" i="5"/>
  <c r="R620" i="5"/>
  <c r="R804" i="5"/>
  <c r="R798" i="5"/>
  <c r="R799" i="5"/>
  <c r="R802" i="5"/>
  <c r="R801" i="5"/>
  <c r="R806" i="5"/>
  <c r="R800" i="5"/>
  <c r="R590" i="5"/>
  <c r="R589" i="5"/>
  <c r="R574" i="5"/>
  <c r="R568" i="5"/>
  <c r="R533" i="5"/>
  <c r="R585" i="5"/>
  <c r="R573" i="5"/>
  <c r="R579" i="5"/>
  <c r="R521" i="5"/>
  <c r="R509" i="5"/>
  <c r="R511" i="5"/>
  <c r="R545" i="5"/>
  <c r="R557" i="5"/>
  <c r="R497" i="5"/>
  <c r="R565" i="5"/>
  <c r="R567" i="5"/>
  <c r="R528" i="5"/>
  <c r="R516" i="5"/>
  <c r="R504" i="5"/>
  <c r="R492" i="5"/>
  <c r="R558" i="5"/>
  <c r="R552" i="5"/>
  <c r="R546" i="5"/>
  <c r="R572" i="5"/>
  <c r="R534" i="5"/>
  <c r="R522" i="5"/>
  <c r="R510" i="5"/>
  <c r="R498" i="5"/>
  <c r="R564" i="5"/>
  <c r="R566" i="5"/>
  <c r="R540" i="5"/>
  <c r="R595" i="5"/>
  <c r="R596" i="5"/>
  <c r="R559" i="5"/>
  <c r="R594" i="5"/>
  <c r="R592" i="5"/>
  <c r="R584" i="5"/>
  <c r="R489" i="5"/>
  <c r="R537" i="5"/>
  <c r="R531" i="5"/>
  <c r="R525" i="5"/>
  <c r="R519" i="5"/>
  <c r="R513" i="5"/>
  <c r="R507" i="5"/>
  <c r="R501" i="5"/>
  <c r="R495" i="5"/>
  <c r="R543" i="5"/>
  <c r="R561" i="5"/>
  <c r="R555" i="5"/>
  <c r="R549" i="5"/>
  <c r="R588" i="5"/>
  <c r="R542" i="5"/>
  <c r="R536" i="5"/>
  <c r="R530" i="5"/>
  <c r="R524" i="5"/>
  <c r="R518" i="5"/>
  <c r="R512" i="5"/>
  <c r="R506" i="5"/>
  <c r="R500" i="5"/>
  <c r="R494" i="5"/>
  <c r="R544" i="5"/>
  <c r="R560" i="5"/>
  <c r="R554" i="5"/>
  <c r="R548" i="5"/>
  <c r="R578" i="5"/>
  <c r="R541" i="5"/>
  <c r="R535" i="5"/>
  <c r="R529" i="5"/>
  <c r="R523" i="5"/>
  <c r="R517" i="5"/>
  <c r="R505" i="5"/>
  <c r="R499" i="5"/>
  <c r="R493" i="5"/>
  <c r="R553" i="5"/>
  <c r="R547" i="5"/>
  <c r="R586" i="5"/>
  <c r="R580" i="5"/>
  <c r="R591" i="5"/>
  <c r="R570" i="5"/>
  <c r="R583" i="5"/>
  <c r="R577" i="5"/>
  <c r="R571" i="5"/>
  <c r="R593" i="5"/>
  <c r="R539" i="5"/>
  <c r="R551" i="5"/>
  <c r="R587" i="5"/>
  <c r="R538" i="5"/>
  <c r="R532" i="5"/>
  <c r="R526" i="5"/>
  <c r="R520" i="5"/>
  <c r="R514" i="5"/>
  <c r="R508" i="5"/>
  <c r="R502" i="5"/>
  <c r="R496" i="5"/>
  <c r="R490" i="5"/>
  <c r="R562" i="5"/>
  <c r="R556" i="5"/>
  <c r="R550" i="5"/>
  <c r="R581" i="5"/>
  <c r="R575" i="5"/>
  <c r="R569" i="5"/>
  <c r="R503" i="5"/>
  <c r="R563" i="5"/>
  <c r="R576" i="5"/>
  <c r="R515" i="5"/>
  <c r="R582" i="5"/>
  <c r="R527" i="5"/>
  <c r="R491" i="5"/>
  <c r="R417" i="5"/>
  <c r="R449" i="5"/>
  <c r="R443" i="5"/>
  <c r="R437" i="5"/>
  <c r="R431" i="5"/>
  <c r="R425" i="5"/>
  <c r="R419" i="5"/>
  <c r="R485" i="5"/>
  <c r="R479" i="5"/>
  <c r="R453" i="5"/>
  <c r="R455" i="5"/>
  <c r="R459" i="5"/>
  <c r="R457" i="5"/>
  <c r="R429" i="5"/>
  <c r="R471" i="5"/>
  <c r="R441" i="5"/>
  <c r="R483" i="5"/>
  <c r="R447" i="5"/>
  <c r="R423" i="5"/>
  <c r="R465" i="5"/>
  <c r="R450" i="5"/>
  <c r="R438" i="5"/>
  <c r="R426" i="5"/>
  <c r="R486" i="5"/>
  <c r="R435" i="5"/>
  <c r="R477" i="5"/>
  <c r="R473" i="5"/>
  <c r="R467" i="5"/>
  <c r="R461" i="5"/>
  <c r="R452" i="5"/>
  <c r="R428" i="5"/>
  <c r="R488" i="5"/>
  <c r="R464" i="5"/>
  <c r="R481" i="5"/>
  <c r="R469" i="5"/>
  <c r="R474" i="5"/>
  <c r="R462" i="5"/>
  <c r="R440" i="5"/>
  <c r="R476" i="5"/>
  <c r="R448" i="5"/>
  <c r="R436" i="5"/>
  <c r="R424" i="5"/>
  <c r="R484" i="5"/>
  <c r="R472" i="5"/>
  <c r="R446" i="5"/>
  <c r="R434" i="5"/>
  <c r="R422" i="5"/>
  <c r="R482" i="5"/>
  <c r="R470" i="5"/>
  <c r="R458" i="5"/>
  <c r="R427" i="5"/>
  <c r="R463" i="5"/>
  <c r="R444" i="5"/>
  <c r="R432" i="5"/>
  <c r="R420" i="5"/>
  <c r="R480" i="5"/>
  <c r="R468" i="5"/>
  <c r="R456" i="5"/>
  <c r="R439" i="5"/>
  <c r="R487" i="5"/>
  <c r="R460" i="5"/>
  <c r="R451" i="5"/>
  <c r="R433" i="5"/>
  <c r="R475" i="5"/>
  <c r="R418" i="5"/>
  <c r="R442" i="5"/>
  <c r="R430" i="5"/>
  <c r="R454" i="5"/>
  <c r="R478" i="5"/>
  <c r="R466" i="5"/>
  <c r="R445" i="5"/>
  <c r="R421" i="5"/>
  <c r="R14" i="10"/>
  <c r="R16" i="10"/>
  <c r="R19" i="10"/>
  <c r="R3" i="10"/>
  <c r="R393" i="5"/>
  <c r="R387" i="5"/>
  <c r="R381" i="5"/>
  <c r="R319" i="5"/>
  <c r="R347" i="5"/>
  <c r="R359" i="5"/>
  <c r="R353" i="5"/>
  <c r="R375" i="5"/>
  <c r="R374" i="5"/>
  <c r="R396" i="5"/>
  <c r="R386" i="5"/>
  <c r="R380" i="5"/>
  <c r="R392" i="5"/>
  <c r="R368" i="5"/>
  <c r="R369" i="5"/>
  <c r="R379" i="5"/>
  <c r="R408" i="5"/>
  <c r="R407" i="5"/>
  <c r="R363" i="5"/>
  <c r="R357" i="5"/>
  <c r="R351" i="5"/>
  <c r="R362" i="5"/>
  <c r="R367" i="5"/>
  <c r="R364" i="5"/>
  <c r="R358" i="5"/>
  <c r="R352" i="5"/>
  <c r="R405" i="5"/>
  <c r="R365" i="5"/>
  <c r="R384" i="5"/>
  <c r="R372" i="5"/>
  <c r="R406" i="5"/>
  <c r="R356" i="5"/>
  <c r="R350" i="5"/>
  <c r="R394" i="5"/>
  <c r="R382" i="5"/>
  <c r="R400" i="5"/>
  <c r="R412" i="5"/>
  <c r="R361" i="5"/>
  <c r="R355" i="5"/>
  <c r="R349" i="5"/>
  <c r="R398" i="5"/>
  <c r="R366" i="5"/>
  <c r="R416" i="5"/>
  <c r="R404" i="5"/>
  <c r="R354" i="5"/>
  <c r="R415" i="5"/>
  <c r="R414" i="5"/>
  <c r="R402" i="5"/>
  <c r="R397" i="5"/>
  <c r="R413" i="5"/>
  <c r="R401" i="5"/>
  <c r="R360" i="5"/>
  <c r="R348" i="5"/>
  <c r="R403" i="5"/>
  <c r="R391" i="5"/>
  <c r="R385" i="5"/>
  <c r="R373" i="5"/>
  <c r="R410" i="5"/>
  <c r="R409" i="5"/>
  <c r="R411" i="5"/>
  <c r="R399" i="5"/>
  <c r="R388" i="5"/>
  <c r="R376" i="5"/>
  <c r="R370" i="5"/>
  <c r="R389" i="5"/>
  <c r="R377" i="5"/>
  <c r="R383" i="5"/>
  <c r="R395" i="5"/>
  <c r="R390" i="5"/>
  <c r="R378" i="5"/>
  <c r="R371" i="5"/>
  <c r="R313" i="5"/>
  <c r="R345" i="5"/>
  <c r="R339" i="5"/>
  <c r="R331" i="5"/>
  <c r="R344" i="5"/>
  <c r="R338" i="5"/>
  <c r="R291" i="5"/>
  <c r="R273" i="5"/>
  <c r="R303" i="5"/>
  <c r="R318" i="5"/>
  <c r="R281" i="5"/>
  <c r="R300" i="5"/>
  <c r="R346" i="5"/>
  <c r="R297" i="5"/>
  <c r="R267" i="5"/>
  <c r="R248" i="5"/>
  <c r="R236" i="5"/>
  <c r="R309" i="5"/>
  <c r="R322" i="5"/>
  <c r="R287" i="5"/>
  <c r="R334" i="5"/>
  <c r="R316" i="5"/>
  <c r="R278" i="5"/>
  <c r="R304" i="5"/>
  <c r="R292" i="5"/>
  <c r="R325" i="5"/>
  <c r="R328" i="5"/>
  <c r="R327" i="5"/>
  <c r="R315" i="5"/>
  <c r="R333" i="5"/>
  <c r="R321" i="5"/>
  <c r="R305" i="5"/>
  <c r="R293" i="5"/>
  <c r="R332" i="5"/>
  <c r="R326" i="5"/>
  <c r="R320" i="5"/>
  <c r="R314" i="5"/>
  <c r="R258" i="5"/>
  <c r="R252" i="5"/>
  <c r="R246" i="5"/>
  <c r="R240" i="5"/>
  <c r="R330" i="5"/>
  <c r="R289" i="5"/>
  <c r="R283" i="5"/>
  <c r="R308" i="5"/>
  <c r="R302" i="5"/>
  <c r="R296" i="5"/>
  <c r="R290" i="5"/>
  <c r="R329" i="5"/>
  <c r="R317" i="5"/>
  <c r="R288" i="5"/>
  <c r="R306" i="5"/>
  <c r="R294" i="5"/>
  <c r="R312" i="5"/>
  <c r="R324" i="5"/>
  <c r="R343" i="5"/>
  <c r="R234" i="5"/>
  <c r="R337" i="5"/>
  <c r="R341" i="5"/>
  <c r="R279" i="5"/>
  <c r="R253" i="5"/>
  <c r="R280" i="5"/>
  <c r="R299" i="5"/>
  <c r="R323" i="5"/>
  <c r="R336" i="5"/>
  <c r="R310" i="5"/>
  <c r="R286" i="5"/>
  <c r="R335" i="5"/>
  <c r="R298" i="5"/>
  <c r="R307" i="5"/>
  <c r="R301" i="5"/>
  <c r="R295" i="5"/>
  <c r="R311" i="5"/>
  <c r="R282" i="5"/>
  <c r="R342" i="5"/>
  <c r="R272" i="5"/>
  <c r="R340" i="5"/>
  <c r="R217" i="5"/>
  <c r="R261" i="5"/>
  <c r="R255" i="5"/>
  <c r="R249" i="5"/>
  <c r="R285" i="5"/>
  <c r="R284" i="5"/>
  <c r="R264" i="5"/>
  <c r="R270" i="5"/>
  <c r="R208" i="5"/>
  <c r="R226" i="5"/>
  <c r="R197" i="5"/>
  <c r="R260" i="5"/>
  <c r="R190" i="5"/>
  <c r="R196" i="5"/>
  <c r="R271" i="5"/>
  <c r="R259" i="5"/>
  <c r="R277" i="5"/>
  <c r="R265" i="5"/>
  <c r="R247" i="5"/>
  <c r="R235" i="5"/>
  <c r="R209" i="5"/>
  <c r="R275" i="5"/>
  <c r="R269" i="5"/>
  <c r="R263" i="5"/>
  <c r="R257" i="5"/>
  <c r="R251" i="5"/>
  <c r="R245" i="5"/>
  <c r="R239" i="5"/>
  <c r="R233" i="5"/>
  <c r="R192" i="5"/>
  <c r="R274" i="5"/>
  <c r="R268" i="5"/>
  <c r="R262" i="5"/>
  <c r="R256" i="5"/>
  <c r="R250" i="5"/>
  <c r="R244" i="5"/>
  <c r="R238" i="5"/>
  <c r="R232" i="5"/>
  <c r="R199" i="5"/>
  <c r="R193" i="5"/>
  <c r="R187" i="5"/>
  <c r="R220" i="5"/>
  <c r="R276" i="5"/>
  <c r="R237" i="5"/>
  <c r="R191" i="5"/>
  <c r="R243" i="5"/>
  <c r="R213" i="5"/>
  <c r="R212" i="5"/>
  <c r="R206" i="5"/>
  <c r="R225" i="5"/>
  <c r="R200" i="5"/>
  <c r="R223" i="5"/>
  <c r="R224" i="5"/>
  <c r="R205" i="5"/>
  <c r="R266" i="5"/>
  <c r="R254" i="5"/>
  <c r="R242" i="5"/>
  <c r="R188" i="5"/>
  <c r="R198" i="5"/>
  <c r="R186" i="5"/>
  <c r="R216" i="5"/>
  <c r="R204" i="5"/>
  <c r="R229" i="5"/>
  <c r="R241" i="5"/>
  <c r="R228" i="5"/>
  <c r="R194" i="5"/>
  <c r="R184" i="5"/>
  <c r="R222" i="5"/>
  <c r="R185" i="5"/>
  <c r="R201" i="5"/>
  <c r="R195" i="5"/>
  <c r="R189" i="5"/>
  <c r="R221" i="5"/>
  <c r="R210" i="5"/>
  <c r="R230" i="5"/>
  <c r="R215" i="5"/>
  <c r="R203" i="5"/>
  <c r="R227" i="5"/>
  <c r="R231" i="5"/>
  <c r="R214" i="5"/>
  <c r="R202" i="5"/>
  <c r="R219" i="5"/>
  <c r="R207" i="5"/>
  <c r="R218" i="5"/>
  <c r="R211" i="5"/>
  <c r="D164" i="5"/>
  <c r="E164" i="5"/>
  <c r="D165" i="5"/>
  <c r="E165" i="5"/>
  <c r="D166" i="5"/>
  <c r="E166" i="5"/>
  <c r="D167" i="5"/>
  <c r="E167" i="5"/>
  <c r="D168" i="5"/>
  <c r="E168" i="5"/>
  <c r="D169" i="5"/>
  <c r="E169" i="5"/>
  <c r="D170" i="5"/>
  <c r="E170" i="5"/>
  <c r="D171" i="5"/>
  <c r="E171" i="5"/>
  <c r="D172" i="5"/>
  <c r="E172" i="5"/>
  <c r="D173" i="5"/>
  <c r="E173" i="5"/>
  <c r="D174" i="5"/>
  <c r="E174" i="5"/>
  <c r="D175" i="5"/>
  <c r="E175" i="5"/>
  <c r="D176" i="5"/>
  <c r="E176" i="5"/>
  <c r="D177" i="5"/>
  <c r="E177" i="5"/>
  <c r="D178" i="5"/>
  <c r="E178" i="5"/>
  <c r="D179" i="5"/>
  <c r="E179" i="5"/>
  <c r="D180" i="5"/>
  <c r="E180" i="5"/>
  <c r="D181" i="5"/>
  <c r="E181" i="5"/>
  <c r="D182" i="5"/>
  <c r="E182" i="5"/>
  <c r="D183" i="5"/>
  <c r="E183" i="5"/>
  <c r="D163" i="5"/>
  <c r="E163" i="5"/>
  <c r="D162" i="5"/>
  <c r="E162" i="5"/>
  <c r="D161" i="5"/>
  <c r="E161" i="5"/>
  <c r="D160" i="5"/>
  <c r="E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60" i="5"/>
  <c r="O151" i="5"/>
  <c r="P151" i="5"/>
  <c r="O152" i="5"/>
  <c r="P152" i="5"/>
  <c r="O153" i="5"/>
  <c r="P153" i="5"/>
  <c r="O154" i="5"/>
  <c r="P154" i="5"/>
  <c r="O155" i="5"/>
  <c r="P155" i="5"/>
  <c r="O156" i="5"/>
  <c r="P156" i="5"/>
  <c r="O157" i="5"/>
  <c r="P157" i="5"/>
  <c r="O158" i="5"/>
  <c r="P158" i="5"/>
  <c r="O159" i="5"/>
  <c r="P159" i="5"/>
  <c r="E152" i="5"/>
  <c r="E153" i="5"/>
  <c r="E154" i="5"/>
  <c r="E155" i="5"/>
  <c r="E156" i="5"/>
  <c r="E157" i="5"/>
  <c r="E158" i="5"/>
  <c r="E159" i="5"/>
  <c r="D152" i="5"/>
  <c r="D153" i="5"/>
  <c r="D154" i="5"/>
  <c r="D155" i="5"/>
  <c r="D156" i="5"/>
  <c r="D157" i="5"/>
  <c r="D158" i="5"/>
  <c r="D159" i="5"/>
  <c r="D146" i="5"/>
  <c r="E146" i="5"/>
  <c r="D147" i="5"/>
  <c r="E147" i="5"/>
  <c r="D148" i="5"/>
  <c r="E148" i="5"/>
  <c r="D149" i="5"/>
  <c r="E149" i="5"/>
  <c r="D150" i="5"/>
  <c r="E150" i="5"/>
  <c r="D151" i="5"/>
  <c r="E151" i="5"/>
  <c r="D145" i="5"/>
  <c r="E145" i="5"/>
  <c r="D144" i="5"/>
  <c r="E144" i="5"/>
  <c r="O144" i="5"/>
  <c r="P144" i="5"/>
  <c r="O145" i="5"/>
  <c r="P145" i="5"/>
  <c r="O146" i="5"/>
  <c r="P146" i="5"/>
  <c r="O147" i="5"/>
  <c r="P147" i="5"/>
  <c r="O148" i="5"/>
  <c r="P148" i="5"/>
  <c r="O149" i="5"/>
  <c r="P149" i="5"/>
  <c r="O150" i="5"/>
  <c r="P150" i="5"/>
  <c r="R179" i="5" l="1"/>
  <c r="R175" i="5"/>
  <c r="R166" i="5"/>
  <c r="R171" i="5"/>
  <c r="R167" i="5"/>
  <c r="R163" i="5"/>
  <c r="R174" i="5"/>
  <c r="R168" i="5"/>
  <c r="R182" i="5"/>
  <c r="R176" i="5"/>
  <c r="R181" i="5"/>
  <c r="R169" i="5"/>
  <c r="R180" i="5"/>
  <c r="R162" i="5"/>
  <c r="R173" i="5"/>
  <c r="R161" i="5"/>
  <c r="R178" i="5"/>
  <c r="R172" i="5"/>
  <c r="R177" i="5"/>
  <c r="R165" i="5"/>
  <c r="R170" i="5"/>
  <c r="R164" i="5"/>
  <c r="R166" i="10"/>
  <c r="R165" i="10"/>
  <c r="R164" i="10"/>
  <c r="R163" i="10"/>
  <c r="R162" i="10"/>
  <c r="R161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R38" i="10"/>
  <c r="R37" i="10"/>
  <c r="R36" i="10"/>
  <c r="R35" i="10"/>
  <c r="R34" i="10"/>
  <c r="R33" i="10"/>
  <c r="R32" i="10"/>
  <c r="R31" i="10"/>
  <c r="R30" i="10"/>
  <c r="R29" i="10"/>
  <c r="R28" i="10"/>
  <c r="R27" i="10"/>
  <c r="R26" i="10"/>
  <c r="R25" i="10"/>
  <c r="R24" i="10"/>
  <c r="R23" i="10"/>
  <c r="R22" i="10"/>
  <c r="R21" i="10"/>
  <c r="R20" i="10"/>
  <c r="P3" i="10"/>
  <c r="O3" i="10"/>
  <c r="R35" i="8"/>
  <c r="R33" i="8"/>
  <c r="R34" i="8"/>
  <c r="R32" i="8"/>
  <c r="R31" i="8"/>
  <c r="R30" i="8"/>
  <c r="R29" i="8"/>
  <c r="R28" i="8"/>
  <c r="R27" i="8"/>
  <c r="R26" i="8"/>
  <c r="R25" i="8"/>
  <c r="R24" i="8"/>
  <c r="R23" i="8"/>
  <c r="R22" i="8"/>
  <c r="R21" i="8"/>
  <c r="R20" i="8"/>
  <c r="R19" i="8"/>
  <c r="R18" i="8"/>
  <c r="R17" i="8"/>
  <c r="R16" i="8"/>
  <c r="R15" i="8"/>
  <c r="R14" i="8"/>
  <c r="R13" i="8"/>
  <c r="R12" i="8"/>
  <c r="R10" i="8"/>
  <c r="R8" i="8"/>
  <c r="R6" i="8"/>
  <c r="R4" i="8"/>
  <c r="R11" i="8"/>
  <c r="R9" i="8"/>
  <c r="R7" i="8"/>
  <c r="R5" i="8"/>
  <c r="R3" i="8"/>
  <c r="R71" i="8"/>
  <c r="R70" i="8"/>
  <c r="R69" i="8"/>
  <c r="R68" i="8"/>
  <c r="R67" i="8"/>
  <c r="R60" i="8"/>
  <c r="R59" i="8"/>
  <c r="R58" i="8"/>
  <c r="R57" i="8"/>
  <c r="R56" i="8"/>
  <c r="R121" i="8"/>
  <c r="R117" i="8"/>
  <c r="R113" i="8"/>
  <c r="R109" i="8"/>
  <c r="R105" i="8"/>
  <c r="R101" i="8"/>
  <c r="R120" i="8"/>
  <c r="R116" i="8"/>
  <c r="R112" i="8"/>
  <c r="R108" i="8"/>
  <c r="R104" i="8"/>
  <c r="R100" i="8"/>
  <c r="R129" i="8"/>
  <c r="R127" i="8"/>
  <c r="R125" i="8"/>
  <c r="R123" i="8"/>
  <c r="R119" i="8"/>
  <c r="R115" i="8"/>
  <c r="R111" i="8"/>
  <c r="R107" i="8"/>
  <c r="R103" i="8"/>
  <c r="R99" i="8"/>
  <c r="R128" i="8"/>
  <c r="R126" i="8"/>
  <c r="R124" i="8"/>
  <c r="R122" i="8"/>
  <c r="R118" i="8"/>
  <c r="R114" i="8"/>
  <c r="R110" i="8"/>
  <c r="R106" i="8"/>
  <c r="R102" i="8"/>
  <c r="R98" i="8"/>
  <c r="R92" i="8"/>
  <c r="R89" i="8"/>
  <c r="R86" i="8"/>
  <c r="R91" i="8"/>
  <c r="R88" i="8"/>
  <c r="R85" i="8"/>
  <c r="R90" i="8"/>
  <c r="R87" i="8"/>
  <c r="R84" i="8"/>
  <c r="R62" i="8"/>
  <c r="R66" i="8"/>
  <c r="R65" i="8"/>
  <c r="R64" i="8"/>
  <c r="R63" i="8"/>
  <c r="R61" i="8"/>
  <c r="R94" i="8"/>
  <c r="R97" i="8"/>
  <c r="R96" i="8"/>
  <c r="R95" i="8"/>
  <c r="R93" i="8"/>
  <c r="R83" i="8"/>
  <c r="R82" i="8"/>
  <c r="R81" i="8"/>
  <c r="R80" i="8"/>
  <c r="R79" i="8"/>
  <c r="R78" i="8"/>
  <c r="R77" i="8"/>
  <c r="P77" i="8"/>
  <c r="O77" i="8"/>
  <c r="O132" i="5"/>
  <c r="P132" i="5"/>
  <c r="O133" i="5"/>
  <c r="P133" i="5"/>
  <c r="O134" i="5"/>
  <c r="P134" i="5"/>
  <c r="O135" i="5"/>
  <c r="P135" i="5"/>
  <c r="O136" i="5"/>
  <c r="P136" i="5"/>
  <c r="O137" i="5"/>
  <c r="P137" i="5"/>
  <c r="O138" i="5"/>
  <c r="P138" i="5"/>
  <c r="O139" i="5"/>
  <c r="P139" i="5"/>
  <c r="O140" i="5"/>
  <c r="P140" i="5"/>
  <c r="O141" i="5"/>
  <c r="P141" i="5"/>
  <c r="O142" i="5"/>
  <c r="P142" i="5"/>
  <c r="O143" i="5"/>
  <c r="P143" i="5"/>
  <c r="D143" i="5"/>
  <c r="E143" i="5"/>
  <c r="D142" i="5"/>
  <c r="E142" i="5"/>
  <c r="D134" i="5"/>
  <c r="E134" i="5"/>
  <c r="D135" i="5"/>
  <c r="E135" i="5"/>
  <c r="D136" i="5"/>
  <c r="E136" i="5"/>
  <c r="D137" i="5"/>
  <c r="E137" i="5"/>
  <c r="D138" i="5"/>
  <c r="E138" i="5"/>
  <c r="D139" i="5"/>
  <c r="E139" i="5"/>
  <c r="D140" i="5"/>
  <c r="E140" i="5"/>
  <c r="D141" i="5"/>
  <c r="E141" i="5"/>
  <c r="D133" i="5"/>
  <c r="E133" i="5"/>
  <c r="D132" i="5"/>
  <c r="E132" i="5"/>
  <c r="O128" i="5"/>
  <c r="P128" i="5"/>
  <c r="O129" i="5"/>
  <c r="P129" i="5"/>
  <c r="O130" i="5"/>
  <c r="P130" i="5"/>
  <c r="O131" i="5"/>
  <c r="P131" i="5"/>
  <c r="D131" i="5"/>
  <c r="E131" i="5"/>
  <c r="D130" i="5"/>
  <c r="E130" i="5"/>
  <c r="D129" i="5"/>
  <c r="E129" i="5"/>
  <c r="D128" i="5"/>
  <c r="E128" i="5"/>
  <c r="O121" i="5"/>
  <c r="P121" i="5"/>
  <c r="O122" i="5"/>
  <c r="P122" i="5"/>
  <c r="O123" i="5"/>
  <c r="P123" i="5"/>
  <c r="O124" i="5"/>
  <c r="P124" i="5"/>
  <c r="O125" i="5"/>
  <c r="P125" i="5"/>
  <c r="O126" i="5"/>
  <c r="P126" i="5"/>
  <c r="O127" i="5"/>
  <c r="P127" i="5"/>
  <c r="D122" i="5"/>
  <c r="E122" i="5"/>
  <c r="D123" i="5"/>
  <c r="E123" i="5"/>
  <c r="D124" i="5"/>
  <c r="E124" i="5"/>
  <c r="D125" i="5"/>
  <c r="E125" i="5"/>
  <c r="D126" i="5"/>
  <c r="E126" i="5"/>
  <c r="D127" i="5"/>
  <c r="E127" i="5"/>
  <c r="D121" i="5"/>
  <c r="E121" i="5"/>
  <c r="O114" i="5"/>
  <c r="P114" i="5"/>
  <c r="O115" i="5"/>
  <c r="P115" i="5"/>
  <c r="O116" i="5"/>
  <c r="P116" i="5"/>
  <c r="O117" i="5"/>
  <c r="P117" i="5"/>
  <c r="O118" i="5"/>
  <c r="P118" i="5"/>
  <c r="O119" i="5"/>
  <c r="P119" i="5"/>
  <c r="O120" i="5"/>
  <c r="P120" i="5"/>
  <c r="D114" i="5"/>
  <c r="E114" i="5"/>
  <c r="D115" i="5"/>
  <c r="E115" i="5"/>
  <c r="D116" i="5"/>
  <c r="E116" i="5"/>
  <c r="D117" i="5"/>
  <c r="E117" i="5"/>
  <c r="D118" i="5"/>
  <c r="E118" i="5"/>
  <c r="D119" i="5"/>
  <c r="E119" i="5"/>
  <c r="D120" i="5"/>
  <c r="E120" i="5"/>
  <c r="O97" i="5"/>
  <c r="P97" i="5"/>
  <c r="O98" i="5"/>
  <c r="P98" i="5"/>
  <c r="O99" i="5"/>
  <c r="P99" i="5"/>
  <c r="O100" i="5"/>
  <c r="P100" i="5"/>
  <c r="O101" i="5"/>
  <c r="P101" i="5"/>
  <c r="O102" i="5"/>
  <c r="P102" i="5"/>
  <c r="O103" i="5"/>
  <c r="P103" i="5"/>
  <c r="O104" i="5"/>
  <c r="P104" i="5"/>
  <c r="O105" i="5"/>
  <c r="P105" i="5"/>
  <c r="O106" i="5"/>
  <c r="P106" i="5"/>
  <c r="O107" i="5"/>
  <c r="P107" i="5"/>
  <c r="O108" i="5"/>
  <c r="P108" i="5"/>
  <c r="O109" i="5"/>
  <c r="P109" i="5"/>
  <c r="O110" i="5"/>
  <c r="P110" i="5"/>
  <c r="O111" i="5"/>
  <c r="P111" i="5"/>
  <c r="O112" i="5"/>
  <c r="P112" i="5"/>
  <c r="O113" i="5"/>
  <c r="P113" i="5"/>
  <c r="D92" i="5"/>
  <c r="E92" i="5"/>
  <c r="D93" i="5"/>
  <c r="E93" i="5"/>
  <c r="D94" i="5"/>
  <c r="E94" i="5"/>
  <c r="D95" i="5"/>
  <c r="E95" i="5"/>
  <c r="D96" i="5"/>
  <c r="E96" i="5"/>
  <c r="D97" i="5"/>
  <c r="E97" i="5"/>
  <c r="D98" i="5"/>
  <c r="E98" i="5"/>
  <c r="D99" i="5"/>
  <c r="E99" i="5"/>
  <c r="D100" i="5"/>
  <c r="E100" i="5"/>
  <c r="D101" i="5"/>
  <c r="E101" i="5"/>
  <c r="D102" i="5"/>
  <c r="E102" i="5"/>
  <c r="D103" i="5"/>
  <c r="E103" i="5"/>
  <c r="D104" i="5"/>
  <c r="E104" i="5"/>
  <c r="D105" i="5"/>
  <c r="E105" i="5"/>
  <c r="D106" i="5"/>
  <c r="E106" i="5"/>
  <c r="D107" i="5"/>
  <c r="E107" i="5"/>
  <c r="D108" i="5"/>
  <c r="E108" i="5"/>
  <c r="D109" i="5"/>
  <c r="E109" i="5"/>
  <c r="D110" i="5"/>
  <c r="E110" i="5"/>
  <c r="D111" i="5"/>
  <c r="E111" i="5"/>
  <c r="D112" i="5"/>
  <c r="E112" i="5"/>
  <c r="D113" i="5"/>
  <c r="E113" i="5"/>
  <c r="O77" i="5"/>
  <c r="P77" i="5"/>
  <c r="O78" i="5"/>
  <c r="P78" i="5"/>
  <c r="O79" i="5"/>
  <c r="P79" i="5"/>
  <c r="O80" i="5"/>
  <c r="P80" i="5"/>
  <c r="O81" i="5"/>
  <c r="P81" i="5"/>
  <c r="O82" i="5"/>
  <c r="P82" i="5"/>
  <c r="O83" i="5"/>
  <c r="P83" i="5"/>
  <c r="O84" i="5"/>
  <c r="P84" i="5"/>
  <c r="O85" i="5"/>
  <c r="P85" i="5"/>
  <c r="O86" i="5"/>
  <c r="P86" i="5"/>
  <c r="O87" i="5"/>
  <c r="P87" i="5"/>
  <c r="O88" i="5"/>
  <c r="P88" i="5"/>
  <c r="O89" i="5"/>
  <c r="P89" i="5"/>
  <c r="O90" i="5"/>
  <c r="P90" i="5"/>
  <c r="O91" i="5"/>
  <c r="P91" i="5"/>
  <c r="O92" i="5"/>
  <c r="P92" i="5"/>
  <c r="O93" i="5"/>
  <c r="P93" i="5"/>
  <c r="O94" i="5"/>
  <c r="P94" i="5"/>
  <c r="O95" i="5"/>
  <c r="P95" i="5"/>
  <c r="O96" i="5"/>
  <c r="P96" i="5"/>
  <c r="D83" i="5"/>
  <c r="E83" i="5"/>
  <c r="D84" i="5"/>
  <c r="E84" i="5"/>
  <c r="D85" i="5"/>
  <c r="E85" i="5"/>
  <c r="D86" i="5"/>
  <c r="E86" i="5"/>
  <c r="D87" i="5"/>
  <c r="E87" i="5"/>
  <c r="D88" i="5"/>
  <c r="E88" i="5"/>
  <c r="D89" i="5"/>
  <c r="E89" i="5"/>
  <c r="D90" i="5"/>
  <c r="E90" i="5"/>
  <c r="D91" i="5"/>
  <c r="E91" i="5"/>
  <c r="D78" i="5"/>
  <c r="E78" i="5"/>
  <c r="D79" i="5"/>
  <c r="E79" i="5"/>
  <c r="D81" i="5"/>
  <c r="E81" i="5"/>
  <c r="D80" i="5"/>
  <c r="E80" i="5"/>
  <c r="D82" i="5"/>
  <c r="E82" i="5"/>
  <c r="D77" i="5"/>
  <c r="E77" i="5"/>
  <c r="O71" i="5"/>
  <c r="P71" i="5"/>
  <c r="O72" i="5"/>
  <c r="P72" i="5"/>
  <c r="O73" i="5"/>
  <c r="P73" i="5"/>
  <c r="O74" i="5"/>
  <c r="P74" i="5"/>
  <c r="O75" i="5"/>
  <c r="P75" i="5"/>
  <c r="O76" i="5"/>
  <c r="P76" i="5"/>
  <c r="D72" i="5"/>
  <c r="E72" i="5"/>
  <c r="D73" i="5"/>
  <c r="E73" i="5"/>
  <c r="D74" i="5"/>
  <c r="E74" i="5"/>
  <c r="D75" i="5"/>
  <c r="E75" i="5"/>
  <c r="D76" i="5"/>
  <c r="E76" i="5"/>
  <c r="D71" i="5"/>
  <c r="E71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83" i="5"/>
  <c r="O68" i="5"/>
  <c r="P68" i="5"/>
  <c r="D68" i="5"/>
  <c r="E68" i="5"/>
  <c r="D65" i="5"/>
  <c r="E65" i="5"/>
  <c r="O65" i="5"/>
  <c r="P65" i="5"/>
  <c r="O59" i="5"/>
  <c r="P59" i="5"/>
  <c r="O60" i="5"/>
  <c r="P60" i="5"/>
  <c r="E59" i="5"/>
  <c r="E60" i="5"/>
  <c r="D59" i="5"/>
  <c r="D60" i="5"/>
  <c r="D50" i="5"/>
  <c r="E50" i="5"/>
  <c r="D51" i="5"/>
  <c r="E51" i="5"/>
  <c r="D52" i="5"/>
  <c r="E52" i="5"/>
  <c r="D53" i="5"/>
  <c r="E53" i="5"/>
  <c r="D54" i="5"/>
  <c r="E54" i="5"/>
  <c r="D55" i="5"/>
  <c r="E55" i="5"/>
  <c r="D56" i="5"/>
  <c r="E56" i="5"/>
  <c r="D57" i="5"/>
  <c r="E57" i="5"/>
  <c r="D58" i="5"/>
  <c r="E58" i="5"/>
  <c r="D61" i="5"/>
  <c r="E61" i="5"/>
  <c r="D62" i="5"/>
  <c r="E62" i="5"/>
  <c r="D63" i="5"/>
  <c r="E63" i="5"/>
  <c r="D64" i="5"/>
  <c r="E64" i="5"/>
  <c r="D66" i="5"/>
  <c r="E66" i="5"/>
  <c r="D67" i="5"/>
  <c r="E67" i="5"/>
  <c r="D69" i="5"/>
  <c r="E69" i="5"/>
  <c r="D70" i="5"/>
  <c r="E70" i="5"/>
  <c r="O49" i="5"/>
  <c r="P49" i="5"/>
  <c r="O50" i="5"/>
  <c r="P50" i="5"/>
  <c r="O51" i="5"/>
  <c r="P51" i="5"/>
  <c r="O52" i="5"/>
  <c r="P52" i="5"/>
  <c r="O53" i="5"/>
  <c r="P53" i="5"/>
  <c r="O54" i="5"/>
  <c r="P54" i="5"/>
  <c r="O55" i="5"/>
  <c r="P55" i="5"/>
  <c r="O56" i="5"/>
  <c r="P56" i="5"/>
  <c r="O57" i="5"/>
  <c r="P57" i="5"/>
  <c r="O58" i="5"/>
  <c r="P58" i="5"/>
  <c r="O61" i="5"/>
  <c r="P61" i="5"/>
  <c r="O62" i="5"/>
  <c r="P62" i="5"/>
  <c r="O63" i="5"/>
  <c r="P63" i="5"/>
  <c r="O64" i="5"/>
  <c r="P64" i="5"/>
  <c r="O66" i="5"/>
  <c r="P66" i="5"/>
  <c r="O67" i="5"/>
  <c r="P67" i="5"/>
  <c r="O69" i="5"/>
  <c r="P69" i="5"/>
  <c r="O70" i="5"/>
  <c r="P70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3" i="5"/>
  <c r="D49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3" i="5"/>
  <c r="O24" i="5"/>
  <c r="P24" i="5"/>
  <c r="O25" i="5"/>
  <c r="P25" i="5"/>
  <c r="O26" i="5"/>
  <c r="P26" i="5"/>
  <c r="O27" i="5"/>
  <c r="P27" i="5"/>
  <c r="O28" i="5"/>
  <c r="P28" i="5"/>
  <c r="O29" i="5"/>
  <c r="P29" i="5"/>
  <c r="O30" i="5"/>
  <c r="P30" i="5"/>
  <c r="O31" i="5"/>
  <c r="P31" i="5"/>
  <c r="O32" i="5"/>
  <c r="P32" i="5"/>
  <c r="O33" i="5"/>
  <c r="P33" i="5"/>
  <c r="O34" i="5"/>
  <c r="P34" i="5"/>
  <c r="O35" i="5"/>
  <c r="P35" i="5"/>
  <c r="O36" i="5"/>
  <c r="P36" i="5"/>
  <c r="O37" i="5"/>
  <c r="P37" i="5"/>
  <c r="O38" i="5"/>
  <c r="P38" i="5"/>
  <c r="O39" i="5"/>
  <c r="P39" i="5"/>
  <c r="O40" i="5"/>
  <c r="P40" i="5"/>
  <c r="O41" i="5"/>
  <c r="P41" i="5"/>
  <c r="O42" i="5"/>
  <c r="P42" i="5"/>
  <c r="O43" i="5"/>
  <c r="P43" i="5"/>
  <c r="O44" i="5"/>
  <c r="P44" i="5"/>
  <c r="O45" i="5"/>
  <c r="P45" i="5"/>
  <c r="O46" i="5"/>
  <c r="P46" i="5"/>
  <c r="O47" i="5"/>
  <c r="P47" i="5"/>
  <c r="O48" i="5"/>
  <c r="P48" i="5"/>
  <c r="O4" i="5"/>
  <c r="P4" i="5"/>
  <c r="O5" i="5"/>
  <c r="P5" i="5"/>
  <c r="O6" i="5"/>
  <c r="P6" i="5"/>
  <c r="O7" i="5"/>
  <c r="P7" i="5"/>
  <c r="O8" i="5"/>
  <c r="P8" i="5"/>
  <c r="O9" i="5"/>
  <c r="P9" i="5"/>
  <c r="O10" i="5"/>
  <c r="P10" i="5"/>
  <c r="O11" i="5"/>
  <c r="P11" i="5"/>
  <c r="O12" i="5"/>
  <c r="P12" i="5"/>
  <c r="O13" i="5"/>
  <c r="P13" i="5"/>
  <c r="O14" i="5"/>
  <c r="P14" i="5"/>
  <c r="O15" i="5"/>
  <c r="P15" i="5"/>
  <c r="O16" i="5"/>
  <c r="P16" i="5"/>
  <c r="O17" i="5"/>
  <c r="P17" i="5"/>
  <c r="O18" i="5"/>
  <c r="P18" i="5"/>
  <c r="O19" i="5"/>
  <c r="P19" i="5"/>
  <c r="O20" i="5"/>
  <c r="P20" i="5"/>
  <c r="O21" i="5"/>
  <c r="P21" i="5"/>
  <c r="O22" i="5"/>
  <c r="P22" i="5"/>
  <c r="O23" i="5"/>
  <c r="P23" i="5"/>
  <c r="P3" i="5"/>
  <c r="O3" i="5"/>
  <c r="R15" i="5" l="1"/>
  <c r="R78" i="5"/>
  <c r="R86" i="5"/>
  <c r="R134" i="5"/>
  <c r="R116" i="5"/>
  <c r="R126" i="5"/>
  <c r="R142" i="5"/>
  <c r="R120" i="5"/>
  <c r="R111" i="5"/>
  <c r="R140" i="5"/>
  <c r="R131" i="5"/>
  <c r="R107" i="5"/>
  <c r="R101" i="5"/>
  <c r="R110" i="5"/>
  <c r="R104" i="5"/>
  <c r="R98" i="5"/>
  <c r="R92" i="5"/>
  <c r="R113" i="5"/>
  <c r="R117" i="5"/>
  <c r="R108" i="5"/>
  <c r="R102" i="5"/>
  <c r="R112" i="5"/>
  <c r="R106" i="5"/>
  <c r="R100" i="5"/>
  <c r="R79" i="5"/>
  <c r="R82" i="5"/>
  <c r="R90" i="5"/>
  <c r="R84" i="5"/>
  <c r="R105" i="5"/>
  <c r="R99" i="5"/>
  <c r="R115" i="5"/>
  <c r="R125" i="5"/>
  <c r="R80" i="5"/>
  <c r="R89" i="5"/>
  <c r="R83" i="5"/>
  <c r="R114" i="5"/>
  <c r="R124" i="5"/>
  <c r="R87" i="5"/>
  <c r="R88" i="5"/>
  <c r="R123" i="5"/>
  <c r="R133" i="5"/>
  <c r="R136" i="5"/>
  <c r="R130" i="5"/>
  <c r="R137" i="5"/>
  <c r="R109" i="5"/>
  <c r="R132" i="5"/>
  <c r="R103" i="5"/>
  <c r="R97" i="5"/>
  <c r="R77" i="5"/>
  <c r="R91" i="5"/>
  <c r="R85" i="5"/>
  <c r="R122" i="5"/>
  <c r="R141" i="5"/>
  <c r="R135" i="5"/>
  <c r="R127" i="5"/>
  <c r="R81" i="5"/>
  <c r="R138" i="5"/>
  <c r="R73" i="5"/>
  <c r="R128" i="5"/>
  <c r="R139" i="5"/>
  <c r="R129" i="5"/>
  <c r="R119" i="5"/>
  <c r="R118" i="5"/>
  <c r="R121" i="5"/>
  <c r="R93" i="5"/>
  <c r="R143" i="5"/>
  <c r="R95" i="5"/>
  <c r="R94" i="5"/>
  <c r="R96" i="5"/>
  <c r="R76" i="5"/>
  <c r="R67" i="5"/>
  <c r="R74" i="5"/>
  <c r="R75" i="5"/>
  <c r="R70" i="5"/>
  <c r="R62" i="5"/>
  <c r="R72" i="5"/>
  <c r="R69" i="5"/>
  <c r="R71" i="5"/>
  <c r="R60" i="5"/>
  <c r="R68" i="5"/>
  <c r="R63" i="5"/>
  <c r="R65" i="5"/>
  <c r="R61" i="5"/>
  <c r="R64" i="5"/>
  <c r="R66" i="5"/>
  <c r="R59" i="5"/>
  <c r="R829" i="5"/>
  <c r="R828" i="5"/>
  <c r="R827" i="5"/>
  <c r="R58" i="5"/>
  <c r="R57" i="5"/>
  <c r="R56" i="5"/>
  <c r="R55" i="5"/>
  <c r="R54" i="5"/>
  <c r="R53" i="5"/>
  <c r="R52" i="5"/>
  <c r="R51" i="5"/>
  <c r="R50" i="5"/>
  <c r="R49" i="5"/>
  <c r="R48" i="5"/>
  <c r="R47" i="5"/>
  <c r="R46" i="5"/>
  <c r="R45" i="5"/>
  <c r="R44" i="5"/>
  <c r="R43" i="5"/>
  <c r="R42" i="5"/>
  <c r="R41" i="5"/>
  <c r="R40" i="5"/>
  <c r="R3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4" i="5"/>
  <c r="R13" i="5"/>
  <c r="R12" i="5"/>
  <c r="R11" i="5"/>
  <c r="R10" i="5"/>
  <c r="R9" i="5"/>
  <c r="R8" i="5"/>
  <c r="R7" i="5"/>
  <c r="R6" i="5"/>
  <c r="R5" i="5"/>
  <c r="R4" i="5"/>
  <c r="R3" i="5"/>
  <c r="AG22" i="3" l="1"/>
  <c r="AG23" i="3"/>
  <c r="AG24" i="3"/>
  <c r="AG239" i="3" l="1"/>
  <c r="AG232" i="3"/>
  <c r="AG228" i="3"/>
  <c r="AG226" i="3"/>
  <c r="AG220" i="3"/>
  <c r="AG215" i="3"/>
  <c r="AG208" i="3"/>
  <c r="AG200" i="3"/>
  <c r="AG193" i="3"/>
  <c r="AG192" i="3"/>
  <c r="AG181" i="3"/>
  <c r="AG170" i="3"/>
  <c r="AG169" i="3"/>
  <c r="AG167" i="3"/>
  <c r="AG161" i="3"/>
  <c r="AG159" i="3"/>
  <c r="AG151" i="3"/>
  <c r="AG145" i="3"/>
  <c r="AG139" i="3"/>
  <c r="AG138" i="3"/>
  <c r="AG131" i="3"/>
  <c r="AG130" i="3"/>
  <c r="AG129" i="3"/>
  <c r="AG123" i="3"/>
  <c r="AG121" i="3"/>
  <c r="AG115" i="3"/>
  <c r="AG106" i="3"/>
  <c r="AG105" i="3"/>
  <c r="AG100" i="3"/>
  <c r="AG96" i="3"/>
  <c r="AG93" i="3"/>
  <c r="AG91" i="3"/>
  <c r="AG83" i="3"/>
  <c r="AG80" i="3"/>
  <c r="AG77" i="3"/>
  <c r="AG73" i="3"/>
  <c r="AG69" i="3"/>
  <c r="AG65" i="3"/>
  <c r="AG61" i="3"/>
  <c r="AG60" i="3"/>
  <c r="AG59" i="3"/>
  <c r="AG57" i="3"/>
  <c r="AG55" i="3"/>
  <c r="AG53" i="3"/>
  <c r="AG51" i="3"/>
  <c r="AG50" i="3"/>
  <c r="AG47" i="3"/>
  <c r="AG39" i="3"/>
  <c r="AG30" i="3"/>
  <c r="AG29" i="3"/>
  <c r="AG25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9" i="3"/>
  <c r="AG8" i="3"/>
  <c r="AG7" i="3"/>
  <c r="AG6" i="3"/>
  <c r="AG5" i="3"/>
  <c r="AG4" i="3"/>
  <c r="AG3" i="3"/>
  <c r="AG59" i="2"/>
  <c r="AG58" i="2"/>
  <c r="AG57" i="2"/>
  <c r="AG56" i="2"/>
  <c r="AG55" i="2"/>
  <c r="AG54" i="2"/>
  <c r="AG53" i="2"/>
  <c r="AG52" i="2"/>
  <c r="AG51" i="2"/>
  <c r="AG50" i="2"/>
  <c r="AG49" i="2"/>
  <c r="AG48" i="2"/>
  <c r="AG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G33" i="2"/>
  <c r="AG32" i="2"/>
  <c r="AG31" i="2"/>
  <c r="AG30" i="2"/>
  <c r="AG29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G9" i="2"/>
  <c r="AG8" i="2"/>
  <c r="AG7" i="2"/>
  <c r="AG6" i="2"/>
  <c r="AG5" i="2"/>
  <c r="AG4" i="2"/>
  <c r="AG3" i="2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5" i="1"/>
  <c r="I53" i="1"/>
  <c r="I51" i="1"/>
  <c r="I49" i="1"/>
  <c r="I47" i="1"/>
  <c r="I45" i="1"/>
  <c r="I43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6" i="1"/>
  <c r="I25" i="1"/>
  <c r="I24" i="1"/>
  <c r="I23" i="1"/>
  <c r="I22" i="1"/>
  <c r="I21" i="1"/>
  <c r="I20" i="1"/>
  <c r="I19" i="1"/>
  <c r="I17" i="1"/>
  <c r="I16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<sst xmlns="http://schemas.openxmlformats.org/spreadsheetml/2006/main" count="21208" uniqueCount="3740">
  <si>
    <t>Id</t>
  </si>
  <si>
    <t>Code</t>
  </si>
  <si>
    <t>Name</t>
  </si>
  <si>
    <t>Installing</t>
  </si>
  <si>
    <t>Commissioning</t>
  </si>
  <si>
    <t>Decommissioning</t>
  </si>
  <si>
    <t>Status</t>
  </si>
  <si>
    <t>Structure</t>
  </si>
  <si>
    <t>SQL Insert Request</t>
  </si>
  <si>
    <t>F_00</t>
  </si>
  <si>
    <t>F_01</t>
  </si>
  <si>
    <t>F_02</t>
  </si>
  <si>
    <t>F_03</t>
  </si>
  <si>
    <t>F_04</t>
  </si>
  <si>
    <t>F_05</t>
  </si>
  <si>
    <t>F_06</t>
  </si>
  <si>
    <t>F_07</t>
  </si>
  <si>
    <t>INSERT INTO T_02_03_01 (F_00, F_01, F_02, F_03, F_04, F_05, F_06, F_07) VALUES</t>
  </si>
  <si>
    <t>ONET-DD</t>
  </si>
  <si>
    <t>Terminal d\'Exportation Terrestre Deb Deb</t>
  </si>
  <si>
    <t>NULL</t>
  </si>
  <si>
    <t>ONET-OSS</t>
  </si>
  <si>
    <t>Terminal d\'Exportation Terrestre Oued Saf Saf</t>
  </si>
  <si>
    <t>ONET-BS</t>
  </si>
  <si>
    <t>Terminal d\'Exportation Terrestre Beni Saf</t>
  </si>
  <si>
    <t>ONET-KL</t>
  </si>
  <si>
    <t>Terminal d\'Exportation Terrestre El Kala</t>
  </si>
  <si>
    <t>DZAZW</t>
  </si>
  <si>
    <t>DZSKI</t>
  </si>
  <si>
    <t>DZBJA</t>
  </si>
  <si>
    <t>CDHL</t>
  </si>
  <si>
    <t>Terminal de Distribution CDHL</t>
  </si>
  <si>
    <t>CNDG</t>
  </si>
  <si>
    <t>Terminal de Distribution CNDG</t>
  </si>
  <si>
    <t>DT-MED</t>
  </si>
  <si>
    <t>Terminal de Distribution Medjedel</t>
  </si>
  <si>
    <t>DT-MSL</t>
  </si>
  <si>
    <t>Terminal de Distribution M\'Sila</t>
  </si>
  <si>
    <t>DT-DJM</t>
  </si>
  <si>
    <t>Terminal de Distribution SP1 Bis Djamaa</t>
  </si>
  <si>
    <t>DT-MDZ</t>
  </si>
  <si>
    <t>Terminal de Distribution Mocta Douz</t>
  </si>
  <si>
    <t>TT-ARH</t>
  </si>
  <si>
    <t>Terminal de Transfert Al Aricha</t>
  </si>
  <si>
    <t>TT-BNM</t>
  </si>
  <si>
    <t>Terminal de Transfert Beni Mensour</t>
  </si>
  <si>
    <t>TT-HMD</t>
  </si>
  <si>
    <t>Terminal de Transfert Hassi Messaoud</t>
  </si>
  <si>
    <t>TT-MSD</t>
  </si>
  <si>
    <t>Terminal de Transfert Mesdar</t>
  </si>
  <si>
    <t>TT-OHT</t>
  </si>
  <si>
    <t>Terminal de Transfert Ohanet</t>
  </si>
  <si>
    <t>TT-137</t>
  </si>
  <si>
    <t>Terminal de Transfert PC1/PK137</t>
  </si>
  <si>
    <t>TT-RDN</t>
  </si>
  <si>
    <t>Terminal de Transfert Rhoude Nouss</t>
  </si>
  <si>
    <t>PT-ALG</t>
  </si>
  <si>
    <t>Terminal de Pipeline Alger</t>
  </si>
  <si>
    <t>PT-ALR</t>
  </si>
  <si>
    <t>Terminal de Pipeline Alrar</t>
  </si>
  <si>
    <t>PR-ARZ</t>
  </si>
  <si>
    <t>Terminal de Pipeline Arzew</t>
  </si>
  <si>
    <t>PT-BJA</t>
  </si>
  <si>
    <t>Terminal de Pipeline Bejaia</t>
  </si>
  <si>
    <t>PT-BRN</t>
  </si>
  <si>
    <t>Terminal de Pipeline Bir Rebaa North</t>
  </si>
  <si>
    <t>PT-BMN</t>
  </si>
  <si>
    <t>PT-BRM</t>
  </si>
  <si>
    <t>Terminal de Pipeline El Borma</t>
  </si>
  <si>
    <t>PT-GST</t>
  </si>
  <si>
    <t>Terminal de Pipeline Gassi Touil</t>
  </si>
  <si>
    <t>PT-HBK</t>
  </si>
  <si>
    <t>Terminal de Pipeline Hassi Berkine</t>
  </si>
  <si>
    <t>PT-HTJ</t>
  </si>
  <si>
    <t>Terminal de Pipeline Hassi tedjirane</t>
  </si>
  <si>
    <t>PT-NMS</t>
  </si>
  <si>
    <t>Terminal de Pipeline In Amenas</t>
  </si>
  <si>
    <t>PT-NSL</t>
  </si>
  <si>
    <t>Terminal de Pipeline In Salah</t>
  </si>
  <si>
    <t>PT-ISR</t>
  </si>
  <si>
    <t>Terminal de Pipeline Isser</t>
  </si>
  <si>
    <t>PT-RGN</t>
  </si>
  <si>
    <t>Terminal de Pipeline Reggane</t>
  </si>
  <si>
    <t>PT-RBL</t>
  </si>
  <si>
    <t>Terminal de Pipeline Rhoude El Baguel</t>
  </si>
  <si>
    <t>PT-SKD</t>
  </si>
  <si>
    <t>Terminal de Pipeline Skikda</t>
  </si>
  <si>
    <t>SP1-OZ2</t>
  </si>
  <si>
    <t>SP2-OZ2</t>
  </si>
  <si>
    <t>SP3-OZ2</t>
  </si>
  <si>
    <t>SP4-OZ2</t>
  </si>
  <si>
    <t>SP5-OZ2</t>
  </si>
  <si>
    <t>SP6-OZ2</t>
  </si>
  <si>
    <t>SP1-OK1</t>
  </si>
  <si>
    <t>Station de Pompage SP1-OK1</t>
  </si>
  <si>
    <t>SP2-OK1</t>
  </si>
  <si>
    <t>Station de Pompage SP2-OK1</t>
  </si>
  <si>
    <t>SP3-OK1</t>
  </si>
  <si>
    <t>Station de Pompage SP3-OK1</t>
  </si>
  <si>
    <t>SP3-OK1-BIS</t>
  </si>
  <si>
    <t>Station de Pompage SP3-OK1-BIS</t>
  </si>
  <si>
    <t>SP4-OK1</t>
  </si>
  <si>
    <t>Station de Pompage SP4-OK1</t>
  </si>
  <si>
    <t>SP1-OB1</t>
  </si>
  <si>
    <t>Station de Pompage SP1-OB1</t>
  </si>
  <si>
    <t>SP1-BIS-OB1</t>
  </si>
  <si>
    <t>Station de Pompage SP1-BIS-OB1</t>
  </si>
  <si>
    <t>SP2-OB1</t>
  </si>
  <si>
    <t>Station de Pompage SP2-OB1</t>
  </si>
  <si>
    <t>SP3-OB1</t>
  </si>
  <si>
    <t>Station de Pompage SP3-OB1</t>
  </si>
  <si>
    <t>SP1-BIS-OG1</t>
  </si>
  <si>
    <t>Station de Pompage SP1-BIS-OG1</t>
  </si>
  <si>
    <t>SP1-OT1</t>
  </si>
  <si>
    <t>Station de Pompage SP1-OT1</t>
  </si>
  <si>
    <t>SP2-OT1</t>
  </si>
  <si>
    <t>Station de Pompage SP2-OT1</t>
  </si>
  <si>
    <t>SP1-OH1</t>
  </si>
  <si>
    <t>Station de Pompage SP1-OH1</t>
  </si>
  <si>
    <t>SP2-OH1</t>
  </si>
  <si>
    <t>Station de Pompage SP2-OH1</t>
  </si>
  <si>
    <t>SP3-OH1</t>
  </si>
  <si>
    <t>Station de Pompage SP3-OH1</t>
  </si>
  <si>
    <t>SP4-OH1</t>
  </si>
  <si>
    <t>Station de Pompage SP4-OH1</t>
  </si>
  <si>
    <t>SP1-OD1</t>
  </si>
  <si>
    <t>Station de Pompage SP1-OD1</t>
  </si>
  <si>
    <t>SP1-OH2</t>
  </si>
  <si>
    <t>Station de Pompage SP1-OH2</t>
  </si>
  <si>
    <t>SP1-OH3/OH4</t>
  </si>
  <si>
    <t>Station de Pompage SP1-OH3/OH4</t>
  </si>
  <si>
    <t>SP2-OH3/OH4</t>
  </si>
  <si>
    <t>Station de Pompage SP2-OH3/OH4</t>
  </si>
  <si>
    <t>SP4-NZ1</t>
  </si>
  <si>
    <t>Station de Pompage SP4-NZ1</t>
  </si>
  <si>
    <t>SP5-NZ1</t>
  </si>
  <si>
    <t>Station de Pompage SP5-NZ1</t>
  </si>
  <si>
    <t>SP6-NZ1</t>
  </si>
  <si>
    <t>Station de Pompage SP6-NZ1</t>
  </si>
  <si>
    <t>PRS-NZ1</t>
  </si>
  <si>
    <t>Station de Régulation PRS-NZ1</t>
  </si>
  <si>
    <t>SP1-NK1</t>
  </si>
  <si>
    <t>Station de Pompage SP1-NK1</t>
  </si>
  <si>
    <t>SP3-NK1</t>
  </si>
  <si>
    <t>Station de Pompage SP3-NK1</t>
  </si>
  <si>
    <t>SP4-LNZ1</t>
  </si>
  <si>
    <t>Station de Pompage SP4-LNZ1</t>
  </si>
  <si>
    <t>SP5-LNZ1</t>
  </si>
  <si>
    <t>Station de Pompage SP5-LNZ1</t>
  </si>
  <si>
    <t>SP6-LNZ1</t>
  </si>
  <si>
    <t>Station de Pompage SP6-LNZ1</t>
  </si>
  <si>
    <t>SP0-LZ1</t>
  </si>
  <si>
    <t>Station de Pompage SP0-LZ1</t>
  </si>
  <si>
    <t>SP1-LZ1</t>
  </si>
  <si>
    <t>Station de Pompage SP1-LZ1</t>
  </si>
  <si>
    <t>SP1-LZ2</t>
  </si>
  <si>
    <t>Station de Pompage SP1-LZ2</t>
  </si>
  <si>
    <t>PRS-LZ1/LZ2</t>
  </si>
  <si>
    <t>Station de Régulation PRS-LZ1/LZ2</t>
  </si>
  <si>
    <t>SPRN-LR1</t>
  </si>
  <si>
    <t>Station de Pompage SPRN-LR1</t>
  </si>
  <si>
    <t>SP0-LR1</t>
  </si>
  <si>
    <t>Station de Pompage SP1-LR1</t>
  </si>
  <si>
    <t>SP1-LR1</t>
  </si>
  <si>
    <t>SP2-LR1</t>
  </si>
  <si>
    <t>Station de Pompage SP2-LR1</t>
  </si>
  <si>
    <t>SP1-LNZ1</t>
  </si>
  <si>
    <t>Station de Pompage SP1-LNZ1</t>
  </si>
  <si>
    <t>SP3-LNZ1</t>
  </si>
  <si>
    <t>Station de Pompage SP3-LNZ1</t>
  </si>
  <si>
    <t>SC1-GZ0</t>
  </si>
  <si>
    <t>Station de Compression SC1-GZ0</t>
  </si>
  <si>
    <t>SC2-GZ0</t>
  </si>
  <si>
    <t>Station de Compression SC2-GZ0</t>
  </si>
  <si>
    <t>SC3-GZ0</t>
  </si>
  <si>
    <t>Station de Compression SC3-GZ0</t>
  </si>
  <si>
    <t>SC4-GZ0</t>
  </si>
  <si>
    <t>Station de Compression SC4-GZ0</t>
  </si>
  <si>
    <t>SC1-GZ1</t>
  </si>
  <si>
    <t>Station de Compression SC1-GZ1</t>
  </si>
  <si>
    <t>SC1-GZ2</t>
  </si>
  <si>
    <t>Station de Compression SC1-GZ2</t>
  </si>
  <si>
    <t>SC1-GZ3</t>
  </si>
  <si>
    <t>Station de Compression SC1-GZ3</t>
  </si>
  <si>
    <t>SC2-GZ1</t>
  </si>
  <si>
    <t>Station de Compression SC2-GZ1</t>
  </si>
  <si>
    <t>SC2-GZ2</t>
  </si>
  <si>
    <t>Station de Compression SC2-GZ2</t>
  </si>
  <si>
    <t>SC2-GZ3</t>
  </si>
  <si>
    <t>Station de Compression SC2-GZ3</t>
  </si>
  <si>
    <t>SC3-GZ1</t>
  </si>
  <si>
    <t>Station de Compression SC3-GZ1</t>
  </si>
  <si>
    <t>SC3-GZ2</t>
  </si>
  <si>
    <t>Station de Compression SC3-GZ2</t>
  </si>
  <si>
    <t>SC3-GZ3</t>
  </si>
  <si>
    <t>Station de Compression SC3-GZ3</t>
  </si>
  <si>
    <t>SC4-GZ1</t>
  </si>
  <si>
    <t>Station de Compression SC4-GZ1</t>
  </si>
  <si>
    <t>SC4-GZ2</t>
  </si>
  <si>
    <t>Station de Compression SC4-GZ2</t>
  </si>
  <si>
    <t>SC4-GZ3</t>
  </si>
  <si>
    <t>Station de Compression SC4-GZ3</t>
  </si>
  <si>
    <t>SC5-GZ1</t>
  </si>
  <si>
    <t>Station de Compression SC5-GZ1</t>
  </si>
  <si>
    <t>SC5-GZ2</t>
  </si>
  <si>
    <t>Station de Compression SC5-GZ2</t>
  </si>
  <si>
    <t>SC5-GZ3</t>
  </si>
  <si>
    <t>Station de Compression SC5-GZ3</t>
  </si>
  <si>
    <t>SC3-GPDF</t>
  </si>
  <si>
    <t>Station de Compression SC3-GPDF</t>
  </si>
  <si>
    <t>SC1-GK1</t>
  </si>
  <si>
    <t>Station de Compression SC1-GK1</t>
  </si>
  <si>
    <t>SC2-GK1</t>
  </si>
  <si>
    <t>Station de Compression SC2-GK1</t>
  </si>
  <si>
    <t>SC3-GK1</t>
  </si>
  <si>
    <t>Station de Compression SC3-GK1</t>
  </si>
  <si>
    <t>SC4-GK1</t>
  </si>
  <si>
    <t>Station de Compression SC4-GK1</t>
  </si>
  <si>
    <t>SC5-GK1</t>
  </si>
  <si>
    <t>Station de Compression SC5-GK1</t>
  </si>
  <si>
    <t>Station de Compression S01-GR5</t>
  </si>
  <si>
    <t>Station de Compression S01-GR7</t>
  </si>
  <si>
    <t>SC-TFT</t>
  </si>
  <si>
    <t>Station de Compression SC-TFT</t>
  </si>
  <si>
    <t>SC1-GR2</t>
  </si>
  <si>
    <t>Station de Compression SC1-GR2</t>
  </si>
  <si>
    <t>SC2-GR2</t>
  </si>
  <si>
    <t>Station de Compression SC2-GR2</t>
  </si>
  <si>
    <t>SC3-GR2</t>
  </si>
  <si>
    <t>Station de Compression SC3-GR2</t>
  </si>
  <si>
    <t>SC4-GR2</t>
  </si>
  <si>
    <t>Station de Compression SC4-GR2</t>
  </si>
  <si>
    <t>GL1Z</t>
  </si>
  <si>
    <t>Complexe GNL GL1Z</t>
  </si>
  <si>
    <t>GL2Z</t>
  </si>
  <si>
    <t>Complexe GNL GL2Z</t>
  </si>
  <si>
    <t>GL3Z</t>
  </si>
  <si>
    <t>Complexe GNL GL3Z</t>
  </si>
  <si>
    <t>GL1K</t>
  </si>
  <si>
    <t>Complexe GNL GL1K</t>
  </si>
  <si>
    <t>GP1Z</t>
  </si>
  <si>
    <t>Usine GPL GP1Z</t>
  </si>
  <si>
    <t>GP2Z</t>
  </si>
  <si>
    <t>Usine GPL GP2Z</t>
  </si>
  <si>
    <t>RA1G</t>
  </si>
  <si>
    <t>Raffinerie RA1G</t>
  </si>
  <si>
    <t>RA1Z</t>
  </si>
  <si>
    <t>Raffinerie RA1Z</t>
  </si>
  <si>
    <t>RHM2</t>
  </si>
  <si>
    <t>Raffinerie RHM2</t>
  </si>
  <si>
    <t>RA1K</t>
  </si>
  <si>
    <t>Raffinerie RA1K</t>
  </si>
  <si>
    <t>RA2K</t>
  </si>
  <si>
    <t>Raffinerie RA2K</t>
  </si>
  <si>
    <t>RA1D</t>
  </si>
  <si>
    <t>Raffinerie RA1D</t>
  </si>
  <si>
    <t>CP1Z</t>
  </si>
  <si>
    <t>Usine de Condensats CP1Z</t>
  </si>
  <si>
    <t>CP2K</t>
  </si>
  <si>
    <t>Usine de Condensats CP2K</t>
  </si>
  <si>
    <t>SORFERT</t>
  </si>
  <si>
    <t>Complexe Pétrochimique SORFERT</t>
  </si>
  <si>
    <t>AOA</t>
  </si>
  <si>
    <t>Complexe Pétrochimique AOA</t>
  </si>
  <si>
    <t>CPF-OHD</t>
  </si>
  <si>
    <t>Usine d\'Ourhoud</t>
  </si>
  <si>
    <t>CPF-MNS</t>
  </si>
  <si>
    <t>Unité de Traitement Central d\'In Amenas</t>
  </si>
  <si>
    <t>CPF-BBK</t>
  </si>
  <si>
    <t>Unité de Traitement Central de Berkine (El Merk)</t>
  </si>
  <si>
    <t>GPC-HRM</t>
  </si>
  <si>
    <t>Station Centrale de Hassi R\'Mel</t>
  </si>
  <si>
    <t>GPC-OHT</t>
  </si>
  <si>
    <t>Unité de Traitement Central d\'Ohanet - Train de Gaz</t>
  </si>
  <si>
    <t>GPC-TFT</t>
  </si>
  <si>
    <t>Unité de Traitement Central de Tin-Fouyé-Tabenkort</t>
  </si>
  <si>
    <t>GPC-TSL</t>
  </si>
  <si>
    <t>Complexe Gazier d\'Ain Tsila</t>
  </si>
  <si>
    <t>GPC-RGN</t>
  </si>
  <si>
    <t>Traitement du Gaz du Bassin de Reggane</t>
  </si>
  <si>
    <t>CRP-OHT</t>
  </si>
  <si>
    <t>Unité de Condensats d\'Ohanet</t>
  </si>
  <si>
    <t>CRP-TFT</t>
  </si>
  <si>
    <t>Unité de Condensats de Tin-Fouyé</t>
  </si>
  <si>
    <t>CRP-TSL</t>
  </si>
  <si>
    <t>Usine de récupération des Condensats d\'Ain Tsila</t>
  </si>
  <si>
    <t>CRP-MRK</t>
  </si>
  <si>
    <t>Unité de Condensats d\'El Merk</t>
  </si>
  <si>
    <t>CRP-MNS</t>
  </si>
  <si>
    <t>Usine de récupération des Condensats d\'In Amenas</t>
  </si>
  <si>
    <t>LPG1-HRM</t>
  </si>
  <si>
    <t>Unités GPL/Condensats de Hassi R\'Mel</t>
  </si>
  <si>
    <t>LPG2-HRM</t>
  </si>
  <si>
    <t>Complexe de récupération Centrale GPL de Hassi R\'Mel</t>
  </si>
  <si>
    <t>LPGE-HRM</t>
  </si>
  <si>
    <t>Complexe de récupération d\'Éthane de Hassi R\'Mel</t>
  </si>
  <si>
    <t>LPG-TFT</t>
  </si>
  <si>
    <t>Complexe de récupération GPL de Tin-Fouyé</t>
  </si>
  <si>
    <t>LPG-TSL</t>
  </si>
  <si>
    <t>Complexe de récupération GPL d\'Ain Tsila</t>
  </si>
  <si>
    <t>OZ1</t>
  </si>
  <si>
    <t>Pipeline OZ1</t>
  </si>
  <si>
    <t>OZ2</t>
  </si>
  <si>
    <t>Pipeline OZ2</t>
  </si>
  <si>
    <t>2003-08-18</t>
  </si>
  <si>
    <t>OK1</t>
  </si>
  <si>
    <t>Pipeline OK1</t>
  </si>
  <si>
    <t>1972-01-01</t>
  </si>
  <si>
    <t>OB1</t>
  </si>
  <si>
    <t>Pipeline OB1</t>
  </si>
  <si>
    <t>ROB1-01</t>
  </si>
  <si>
    <t>Pipeline ROB1-01</t>
  </si>
  <si>
    <t>ROB1-02</t>
  </si>
  <si>
    <t>Pipeline ROB1-02</t>
  </si>
  <si>
    <t>OG1</t>
  </si>
  <si>
    <t>Pipeline OG1</t>
  </si>
  <si>
    <t>2005-07-04</t>
  </si>
  <si>
    <t>OT1</t>
  </si>
  <si>
    <t>Pipeline OT1</t>
  </si>
  <si>
    <t>OH1</t>
  </si>
  <si>
    <t>Pipeline OH1</t>
  </si>
  <si>
    <t>1982-01-01</t>
  </si>
  <si>
    <t>ROH1</t>
  </si>
  <si>
    <t>Pipeline ROH1</t>
  </si>
  <si>
    <t>OH2</t>
  </si>
  <si>
    <t>Pipeline OH2</t>
  </si>
  <si>
    <t>1972-04-10</t>
  </si>
  <si>
    <t>OH3</t>
  </si>
  <si>
    <t>Pipeline OH3</t>
  </si>
  <si>
    <t>OH4</t>
  </si>
  <si>
    <t>Pipeline OH4</t>
  </si>
  <si>
    <t>2006-01-01</t>
  </si>
  <si>
    <t>OD1</t>
  </si>
  <si>
    <t>Pipeline OD1</t>
  </si>
  <si>
    <t>1977-03-23</t>
  </si>
  <si>
    <t>ROD1</t>
  </si>
  <si>
    <t>Pipeline ROD1</t>
  </si>
  <si>
    <t>OD2</t>
  </si>
  <si>
    <t>Pipeline OD2</t>
  </si>
  <si>
    <t>OD3</t>
  </si>
  <si>
    <t>Pipeline OD3</t>
  </si>
  <si>
    <t>NZ1</t>
  </si>
  <si>
    <t>Pipeline NZ1</t>
  </si>
  <si>
    <t>1978-11-01</t>
  </si>
  <si>
    <t>NK1</t>
  </si>
  <si>
    <t>Pipeline NK1</t>
  </si>
  <si>
    <t>2009-08-04</t>
  </si>
  <si>
    <t>NH2</t>
  </si>
  <si>
    <t>Pipeline NH2</t>
  </si>
  <si>
    <t>1960-01-01</t>
  </si>
  <si>
    <t>LNZ1</t>
  </si>
  <si>
    <t>Pipeline LNZ1</t>
  </si>
  <si>
    <t>LZ1</t>
  </si>
  <si>
    <t>Pipeline LZ1</t>
  </si>
  <si>
    <t>1984-02-08</t>
  </si>
  <si>
    <t>LZ2</t>
  </si>
  <si>
    <t>Pipeline LZ2</t>
  </si>
  <si>
    <t>2010-11-01</t>
  </si>
  <si>
    <t>LR1</t>
  </si>
  <si>
    <t>Pipeline LR1</t>
  </si>
  <si>
    <t>1996-01-01</t>
  </si>
  <si>
    <t>DLR1</t>
  </si>
  <si>
    <t>Pipeline DLR1</t>
  </si>
  <si>
    <t>2004-10-04</t>
  </si>
  <si>
    <t>ELR1</t>
  </si>
  <si>
    <t>Pipeline ELR1</t>
  </si>
  <si>
    <t>2014-01-01</t>
  </si>
  <si>
    <t>GZ0</t>
  </si>
  <si>
    <t>Pipeline GZ0</t>
  </si>
  <si>
    <t>GZ0 Bis</t>
  </si>
  <si>
    <t>Pipeline GZ0 Bis</t>
  </si>
  <si>
    <t>2022-09-01</t>
  </si>
  <si>
    <t>GZ1</t>
  </si>
  <si>
    <t>Pipeline GZ1</t>
  </si>
  <si>
    <t>1976-01-01</t>
  </si>
  <si>
    <t>GZ2</t>
  </si>
  <si>
    <t>Pipeline GZ2</t>
  </si>
  <si>
    <t>RGZ2</t>
  </si>
  <si>
    <t>Pipeline RGZ2</t>
  </si>
  <si>
    <t>GZ3</t>
  </si>
  <si>
    <t>Pipeline GZ3</t>
  </si>
  <si>
    <t>1989-01-01</t>
  </si>
  <si>
    <t>RGZ3-01</t>
  </si>
  <si>
    <t>Pipeline RGZ3-01</t>
  </si>
  <si>
    <t>2018-01-01</t>
  </si>
  <si>
    <t>RGZ3-02</t>
  </si>
  <si>
    <t>Pipeline RGZ3-02</t>
  </si>
  <si>
    <t>GZ4-01</t>
  </si>
  <si>
    <t>Pipeline GZ4-01</t>
  </si>
  <si>
    <t>2010-04-16</t>
  </si>
  <si>
    <t>GZ4-02</t>
  </si>
  <si>
    <t>Pipeline GZ4-02</t>
  </si>
  <si>
    <t>GZ4-03</t>
  </si>
  <si>
    <t>Pipeline GZ4-03</t>
  </si>
  <si>
    <t>GK1</t>
  </si>
  <si>
    <t>Pipeline GK1</t>
  </si>
  <si>
    <t>1971-01-01</t>
  </si>
  <si>
    <t>1978-01-01</t>
  </si>
  <si>
    <t>GK2</t>
  </si>
  <si>
    <t>Pipeline GK2</t>
  </si>
  <si>
    <t>1998-01-01</t>
  </si>
  <si>
    <t>2001-01-01</t>
  </si>
  <si>
    <t>GK3-01</t>
  </si>
  <si>
    <t>Pipeline GK3-01</t>
  </si>
  <si>
    <t>2012-01-01</t>
  </si>
  <si>
    <t>GK3-02</t>
  </si>
  <si>
    <t>Pipeline GK3-02</t>
  </si>
  <si>
    <t>GG1</t>
  </si>
  <si>
    <t>Pipeline GG1</t>
  </si>
  <si>
    <t>1981-01-01</t>
  </si>
  <si>
    <t>RGG1</t>
  </si>
  <si>
    <t>Pipeline RGG1</t>
  </si>
  <si>
    <t>2019-01-01</t>
  </si>
  <si>
    <t>GM1</t>
  </si>
  <si>
    <t>Pipeline GM1</t>
  </si>
  <si>
    <t>GR1</t>
  </si>
  <si>
    <t>Pipeline GR1</t>
  </si>
  <si>
    <t>1986-01-01</t>
  </si>
  <si>
    <t>GR2</t>
  </si>
  <si>
    <t>Pipeline GR2</t>
  </si>
  <si>
    <t>1999-01-01</t>
  </si>
  <si>
    <t>GR3</t>
  </si>
  <si>
    <t>Pipeline GR3</t>
  </si>
  <si>
    <t>GR4</t>
  </si>
  <si>
    <t>Pipeline GR4</t>
  </si>
  <si>
    <t>GR5</t>
  </si>
  <si>
    <t>Pipeline GR5</t>
  </si>
  <si>
    <t>2017-06-01</t>
  </si>
  <si>
    <t>GR6</t>
  </si>
  <si>
    <t>Pipeline GR6</t>
  </si>
  <si>
    <t>2017-01-01</t>
  </si>
  <si>
    <t>GR7</t>
  </si>
  <si>
    <t>Pipeline GR7</t>
  </si>
  <si>
    <t>2019-12-01</t>
  </si>
  <si>
    <t>GPDF</t>
  </si>
  <si>
    <t>Pipeline GPDF</t>
  </si>
  <si>
    <t>EGPDF</t>
  </si>
  <si>
    <t>Pipeline EGPDF</t>
  </si>
  <si>
    <t>2021-01-01</t>
  </si>
  <si>
    <t>GO1</t>
  </si>
  <si>
    <t>Pipeline GO1</t>
  </si>
  <si>
    <t>GO2</t>
  </si>
  <si>
    <t>Pipeline GO2</t>
  </si>
  <si>
    <t>1987-01-01</t>
  </si>
  <si>
    <t>GO3</t>
  </si>
  <si>
    <t>Pipeline GO3</t>
  </si>
  <si>
    <t>2008-01-01</t>
  </si>
  <si>
    <t>2010-01-01</t>
  </si>
  <si>
    <t>S01-OZ1</t>
  </si>
  <si>
    <t>Segment 01-OZ1</t>
  </si>
  <si>
    <t>S02-OZ1</t>
  </si>
  <si>
    <t>Segment 02-OZ1</t>
  </si>
  <si>
    <t>S03-OZ1</t>
  </si>
  <si>
    <t>Segment 03-OZ1</t>
  </si>
  <si>
    <t>S04-OZ1</t>
  </si>
  <si>
    <t>Segment 04-OZ1</t>
  </si>
  <si>
    <t>S05-OZ1</t>
  </si>
  <si>
    <t>Segment 05-OZ1</t>
  </si>
  <si>
    <t>S06-OZ1</t>
  </si>
  <si>
    <t>Segment 06-OZ1</t>
  </si>
  <si>
    <t>S07-OZ1</t>
  </si>
  <si>
    <t>Segment 07-OZ1</t>
  </si>
  <si>
    <t>S01-OZ2</t>
  </si>
  <si>
    <t>Segment 01-OZ2</t>
  </si>
  <si>
    <t>S02-OZ2</t>
  </si>
  <si>
    <t>Segment 02-OZ2</t>
  </si>
  <si>
    <t>S03-OZ2</t>
  </si>
  <si>
    <t>Segment 03-OZ2</t>
  </si>
  <si>
    <t>S04-OZ2</t>
  </si>
  <si>
    <t>Segment 04-OZ2</t>
  </si>
  <si>
    <t>S05-OZ2</t>
  </si>
  <si>
    <t>Segment 05-OZ2</t>
  </si>
  <si>
    <t>S06-OZ2</t>
  </si>
  <si>
    <t>Segment 06-OZ2</t>
  </si>
  <si>
    <t>S07-OZ2</t>
  </si>
  <si>
    <t>Segment 07-OZ2</t>
  </si>
  <si>
    <t>Date</t>
  </si>
  <si>
    <t>Owner</t>
  </si>
  <si>
    <t>OwnerId</t>
  </si>
  <si>
    <t>ManagerId</t>
  </si>
  <si>
    <t>Diameter</t>
  </si>
  <si>
    <t>Length</t>
  </si>
  <si>
    <t>Thickness</t>
  </si>
  <si>
    <t>Roughness</t>
  </si>
  <si>
    <t>DMaxSP</t>
  </si>
  <si>
    <t>OMaxSP</t>
  </si>
  <si>
    <t>DMinSP</t>
  </si>
  <si>
    <t>OMinSP</t>
  </si>
  <si>
    <t>DCapacity</t>
  </si>
  <si>
    <t>OCapacity</t>
  </si>
  <si>
    <t>Material</t>
  </si>
  <si>
    <t>MaterialId</t>
  </si>
  <si>
    <t>ECoating</t>
  </si>
  <si>
    <t>ECoatingId</t>
  </si>
  <si>
    <t>ICoating</t>
  </si>
  <si>
    <t>ICoatingId</t>
  </si>
  <si>
    <t>System</t>
  </si>
  <si>
    <t>SystemId</t>
  </si>
  <si>
    <t>Departure</t>
  </si>
  <si>
    <t>DepartureId</t>
  </si>
  <si>
    <t>Arrival</t>
  </si>
  <si>
    <t>ArrivalId</t>
  </si>
  <si>
    <t>Manager</t>
  </si>
  <si>
    <t>Vendor</t>
  </si>
  <si>
    <t>VendorId</t>
  </si>
  <si>
    <t>F_24</t>
  </si>
  <si>
    <t>F_08</t>
  </si>
  <si>
    <t>F_09</t>
  </si>
  <si>
    <t>F_10</t>
  </si>
  <si>
    <t>F_11</t>
  </si>
  <si>
    <t>F_12</t>
  </si>
  <si>
    <t>F_13</t>
  </si>
  <si>
    <t>F_14</t>
  </si>
  <si>
    <t>F_15</t>
  </si>
  <si>
    <t>F_16</t>
  </si>
  <si>
    <t>F_17</t>
  </si>
  <si>
    <t>F_18</t>
  </si>
  <si>
    <t>F_19</t>
  </si>
  <si>
    <t>F_20</t>
  </si>
  <si>
    <t>F_21</t>
  </si>
  <si>
    <t>F_22</t>
  </si>
  <si>
    <t>F_23</t>
  </si>
  <si>
    <t>x</t>
  </si>
  <si>
    <t>INSERT INTO T_02_03_08 (F_00, F_08, F_09, F_10, F_11, F_12, F_13, F_14, F_15, F_16, F_17, F_18, F_19, F_20, F_21, F_22, F_23, F_24) VALUES</t>
  </si>
  <si>
    <t>RTO</t>
  </si>
  <si>
    <t>801.478</t>
  </si>
  <si>
    <t>6.35 / 7.14 / 7.92 / 8.74 / 9.52 /  11.91 / 12.70</t>
  </si>
  <si>
    <t>X52</t>
  </si>
  <si>
    <t>Brai de huile</t>
  </si>
  <si>
    <t>OZ1/OZ2</t>
  </si>
  <si>
    <t>Arzew</t>
  </si>
  <si>
    <t>CJB / BECHTEL</t>
  </si>
  <si>
    <t>7.92 - 17.48</t>
  </si>
  <si>
    <t>X60</t>
  </si>
  <si>
    <t>Polyéthylène</t>
  </si>
  <si>
    <t>Stroystransgas
Cosider
Saipem/Spie-Capag</t>
  </si>
  <si>
    <t>RTE</t>
  </si>
  <si>
    <t>7,92 / 8,74 / 9,52 / 10,31 / 11,13 / 11,91 / 12,70 / 14,27 / 15,88 / 17,48 / 22,22</t>
  </si>
  <si>
    <t>X52 / X60</t>
  </si>
  <si>
    <t>Brai de houille et 
Polyéthylène</t>
  </si>
  <si>
    <t>Skikda</t>
  </si>
  <si>
    <t>SOCEA-GRESS</t>
  </si>
  <si>
    <t>RTC</t>
  </si>
  <si>
    <t>24 / 22</t>
  </si>
  <si>
    <t>2,7 / 9,52 / 9,0 / 8,73 / 7,92 / 7,13 / 6,35</t>
  </si>
  <si>
    <t>11.4</t>
  </si>
  <si>
    <t>X42 et X52</t>
  </si>
  <si>
    <t>Brai de houille et Polyéthylène</t>
  </si>
  <si>
    <t>OB1/OG1</t>
  </si>
  <si>
    <t>Bejaia</t>
  </si>
  <si>
    <t>TRAPIL</t>
  </si>
  <si>
    <t>8,74 / 9,53 / 11,3 / 12,7</t>
  </si>
  <si>
    <t>’ ROB1-RE-L-SG-DET-000002</t>
  </si>
  <si>
    <t>M'Sila</t>
  </si>
  <si>
    <t>12,7 / 11,13 / 9,53 / 7,9</t>
  </si>
  <si>
    <t>PEHD Tri couche</t>
  </si>
  <si>
    <t>Djamaa</t>
  </si>
  <si>
    <t>144.74</t>
  </si>
  <si>
    <t>8,74 / 10,31</t>
  </si>
  <si>
    <t>Beni Mansour</t>
  </si>
  <si>
    <t>Sidi Arcine</t>
  </si>
  <si>
    <t>BRC / GTP</t>
  </si>
  <si>
    <t>RTI</t>
  </si>
  <si>
    <t>7,94 / 8,74 / 10,31</t>
  </si>
  <si>
    <t>13.9</t>
  </si>
  <si>
    <t>7.8</t>
  </si>
  <si>
    <t>brai de houille</t>
  </si>
  <si>
    <t>Résine Epoxyde</t>
  </si>
  <si>
    <t>In Amenas</t>
  </si>
  <si>
    <t>DEB DEB</t>
  </si>
  <si>
    <t>BECHETEL</t>
  </si>
  <si>
    <t>7,14 / 7,92</t>
  </si>
  <si>
    <t>1.4</t>
  </si>
  <si>
    <t>8.9</t>
  </si>
  <si>
    <t>Brai de houille</t>
  </si>
  <si>
    <t>SAIPEM / MANNESSMAN</t>
  </si>
  <si>
    <t>44.5</t>
  </si>
  <si>
    <t>10.31</t>
  </si>
  <si>
    <t>Polyéthylène tri couches</t>
  </si>
  <si>
    <t>TFT</t>
  </si>
  <si>
    <t>Nezla</t>
  </si>
  <si>
    <t>RTH</t>
  </si>
  <si>
    <t>7,14 / 8,74</t>
  </si>
  <si>
    <t xml:space="preserve"> OD1/OD3/OH2</t>
  </si>
  <si>
    <t>Mesdar</t>
  </si>
  <si>
    <t>SOCEA GRESS</t>
  </si>
  <si>
    <t>10,31 - 12,7</t>
  </si>
  <si>
    <t>Polyethylene</t>
  </si>
  <si>
    <t>OH3/OH4</t>
  </si>
  <si>
    <t>Hassi Berkine</t>
  </si>
  <si>
    <t>ENAC / KANAGAZ</t>
  </si>
  <si>
    <t>6,35 - 8,74</t>
  </si>
  <si>
    <t>EL BORMA</t>
  </si>
  <si>
    <t>MESDAR</t>
  </si>
  <si>
    <t>CJB / SH-DTC / GT</t>
  </si>
  <si>
    <t>EP</t>
  </si>
  <si>
    <t>7,14 - 8,74</t>
  </si>
  <si>
    <t>Rhourde El Baguel</t>
  </si>
  <si>
    <t>KANAGHAZ</t>
  </si>
  <si>
    <t>6,35 / 7,14 / 7,22 / 8,74 / 9,25 / 12,7 / 14,27</t>
  </si>
  <si>
    <t>AIPEM / SNAMPROGETTI</t>
  </si>
  <si>
    <t>7,92/ 8,74/ 9,53/ 10,31/ 11,91/ 14,27</t>
  </si>
  <si>
    <t>Petro jet</t>
  </si>
  <si>
    <t>24/30</t>
  </si>
  <si>
    <t>In Aménas</t>
  </si>
  <si>
    <t>GREP / SOCOMAN</t>
  </si>
  <si>
    <t>LNZ1-16</t>
  </si>
  <si>
    <t>LZ1/LZ2</t>
  </si>
  <si>
    <t xml:space="preserve">9,52 / 11,91 </t>
  </si>
  <si>
    <t>BECHTEL</t>
  </si>
  <si>
    <t>8,74 / 9,52 / 10,31 / 12,70 / 14,27 / 15,88 / 19,05 / 17,5</t>
  </si>
  <si>
    <t>X60 / X70</t>
  </si>
  <si>
    <t>SAIPEM</t>
  </si>
  <si>
    <t>10 / 12 / 14 / 16 / 20 / 24</t>
  </si>
  <si>
    <t>LR1/DLR1</t>
  </si>
  <si>
    <t>Alrar</t>
  </si>
  <si>
    <t>:GTP/KANAGAZ/GCB/COSIDER</t>
  </si>
  <si>
    <t>LNZ1-12</t>
  </si>
  <si>
    <t>11,91 / 12,7 / 14,25 / 19,05</t>
  </si>
  <si>
    <t>7,92 / 11,13</t>
  </si>
  <si>
    <t>Ohanet</t>
  </si>
  <si>
    <t>Gassi Touil</t>
  </si>
  <si>
    <t>TMCA</t>
  </si>
  <si>
    <t>14,3 / 9,52 / 11,13 / 15,88 / 10,31</t>
  </si>
  <si>
    <t>Hassi Messaoud</t>
  </si>
  <si>
    <t>COSIDER/ENAC</t>
  </si>
  <si>
    <t>20 / 24</t>
  </si>
  <si>
    <t>8,74 - 12,7 - 10,31 - 15,9</t>
  </si>
  <si>
    <t>Brai de Houille</t>
  </si>
  <si>
    <t>Epoxy</t>
  </si>
  <si>
    <t>SOCOMAN-GREP</t>
  </si>
  <si>
    <t>GZ1/GZ2/GZ3</t>
  </si>
  <si>
    <t>Ain El Bya</t>
  </si>
  <si>
    <t>11,13 - 12,7 - 19,05</t>
  </si>
  <si>
    <t>SAIPEM / GE</t>
  </si>
  <si>
    <t>NACAP / SADELMI</t>
  </si>
  <si>
    <t xml:space="preserve">11,13 / 12,7 / 14,3 / 0,6 </t>
  </si>
  <si>
    <t xml:space="preserve">X52/X60/X70 </t>
  </si>
  <si>
    <t>Brai de Houille / PE</t>
  </si>
  <si>
    <t xml:space="preserve">NACAP / ENAC-SADELMI </t>
  </si>
  <si>
    <t>11,91 - 22,22</t>
  </si>
  <si>
    <t xml:space="preserve">X70 </t>
  </si>
  <si>
    <t>GZ4</t>
  </si>
  <si>
    <t>COSIDER / MASA</t>
  </si>
  <si>
    <t>Mactaa Douz</t>
  </si>
  <si>
    <t>Beni Saf</t>
  </si>
  <si>
    <t>COSIDER</t>
  </si>
  <si>
    <t xml:space="preserve">12,7 / 15,88 / 19,43 / 19,05 </t>
  </si>
  <si>
    <t>X52/X60/X70</t>
  </si>
  <si>
    <t>Brai de houille + Polyéthylène</t>
  </si>
  <si>
    <t>GK1/GK2</t>
  </si>
  <si>
    <t>SAIPEM / CJB/WILLBROS</t>
  </si>
  <si>
    <t>X60/X60A</t>
  </si>
  <si>
    <t>ENAC</t>
  </si>
  <si>
    <t>14,3 / 22,22</t>
  </si>
  <si>
    <t>GK3</t>
  </si>
  <si>
    <t>EL Kala</t>
  </si>
  <si>
    <t>X70</t>
  </si>
  <si>
    <t>11,91 / 12,7 / 19,05</t>
  </si>
  <si>
    <t>Bordj Menail</t>
  </si>
  <si>
    <t>DTC-GIP</t>
  </si>
  <si>
    <t>20,62 / 14,27</t>
  </si>
  <si>
    <t>Mejedel</t>
  </si>
  <si>
    <t>HEH</t>
  </si>
  <si>
    <t>GR1/GR2/GR4/GR6</t>
  </si>
  <si>
    <t>42 / 48</t>
  </si>
  <si>
    <t>11,92 / 12,7 / 13,35 / 14,27 / 15,88 / 22,22</t>
  </si>
  <si>
    <t>X70 / X60</t>
  </si>
  <si>
    <t>JGC / TMPE</t>
  </si>
  <si>
    <t>11,91 / 12,7 / 14,27 / 19,05 / 22,22</t>
  </si>
  <si>
    <t>BECHTEL / COSIDER</t>
  </si>
  <si>
    <t>12,7 / 14,27 / 22,22</t>
  </si>
  <si>
    <t>Rhoud Nouss</t>
  </si>
  <si>
    <t>HRM</t>
  </si>
  <si>
    <t>12,48 / 13,61 / 20,79 / 24,26</t>
  </si>
  <si>
    <t>GR5/GR7</t>
  </si>
  <si>
    <t>Reggane</t>
  </si>
  <si>
    <t>Cosider/ENAC</t>
  </si>
  <si>
    <t>12,95 / 14,27 / 22,23</t>
  </si>
  <si>
    <t>Hassi El Gara</t>
  </si>
  <si>
    <t>Extrudé tri couche</t>
  </si>
  <si>
    <t>GPDF/EGPDF</t>
  </si>
  <si>
    <t>AL Aricha</t>
  </si>
  <si>
    <t>13,61/  14,27 / 20,79 / 22,23</t>
  </si>
  <si>
    <t>GEM</t>
  </si>
  <si>
    <t>GO1/GO2/GO3</t>
  </si>
  <si>
    <t>Oued Saf Saf</t>
  </si>
  <si>
    <t>SADELMI</t>
  </si>
  <si>
    <t>polyethylene</t>
  </si>
  <si>
    <t>BRC / COSIDER</t>
  </si>
  <si>
    <t>Start</t>
  </si>
  <si>
    <t>End</t>
  </si>
  <si>
    <t>Pipeline</t>
  </si>
  <si>
    <t>PipelineId</t>
  </si>
  <si>
    <t>INSERT INTO T_02_03_09 (F_00, F_08, F_09, F_10, F_11, F_12, F_13, F_14, F_15, F_16, F_17, F_18, F_19) VALUES</t>
  </si>
  <si>
    <t>S01-OK1</t>
  </si>
  <si>
    <t>Segment 01-OK1</t>
  </si>
  <si>
    <t>S02-OK1</t>
  </si>
  <si>
    <t>Segment 02-OK1</t>
  </si>
  <si>
    <t>S03-OK1</t>
  </si>
  <si>
    <t>Segment 03-OK1</t>
  </si>
  <si>
    <t>S04-OK1</t>
  </si>
  <si>
    <t>Segment 04-OK1</t>
  </si>
  <si>
    <t>Segment 01-OB1</t>
  </si>
  <si>
    <t>Segment 02-OB1</t>
  </si>
  <si>
    <t>Segment 03-OB1</t>
  </si>
  <si>
    <t>Segment 04-OB1</t>
  </si>
  <si>
    <t>S01-OB1</t>
  </si>
  <si>
    <t>S02-OB1</t>
  </si>
  <si>
    <t>S03-OB1</t>
  </si>
  <si>
    <t>S04-OB1</t>
  </si>
  <si>
    <t>S01-ROB1</t>
  </si>
  <si>
    <t>S02-ROB1</t>
  </si>
  <si>
    <t>S03-ROB1</t>
  </si>
  <si>
    <t>S04-ROB1</t>
  </si>
  <si>
    <t>Segment 01-ROB1</t>
  </si>
  <si>
    <t>Segment 02-ROB1</t>
  </si>
  <si>
    <t>Segment 03-ROB1</t>
  </si>
  <si>
    <t>Segment 04-ROB1</t>
  </si>
  <si>
    <t>Mainline Block Valve Station (MLBV Station)</t>
  </si>
  <si>
    <t>0+000 / 150</t>
  </si>
  <si>
    <t>44+200 / 150</t>
  </si>
  <si>
    <t>72+000/ 210</t>
  </si>
  <si>
    <t>145+473 / 295</t>
  </si>
  <si>
    <t>184+200 / 365</t>
  </si>
  <si>
    <t>236+475 / 562</t>
  </si>
  <si>
    <t>256+000 / 631</t>
  </si>
  <si>
    <t>328+047 / 762</t>
  </si>
  <si>
    <t>466+900 / 1275</t>
  </si>
  <si>
    <t>489+915 / 1083</t>
  </si>
  <si>
    <t>533+940 / 970</t>
  </si>
  <si>
    <t>534+060 /970</t>
  </si>
  <si>
    <t>552+122 /1100</t>
  </si>
  <si>
    <t>611+375 / 1100</t>
  </si>
  <si>
    <t>648+000 / 758</t>
  </si>
  <si>
    <t>669+302 / 620</t>
  </si>
  <si>
    <t>701+544 / 270</t>
  </si>
  <si>
    <t>715+885 / 87</t>
  </si>
  <si>
    <t>758+279 / 25</t>
  </si>
  <si>
    <t>781+594 / 08</t>
  </si>
  <si>
    <t>781+720 / 08</t>
  </si>
  <si>
    <t>HMD / OUARGLA</t>
  </si>
  <si>
    <t>Ain Beida / OUARGLA</t>
  </si>
  <si>
    <t>OUARGLA</t>
  </si>
  <si>
    <t>Ouargla / OUARGLA</t>
  </si>
  <si>
    <t>Zelfana / GHARDAIA</t>
  </si>
  <si>
    <t>Ghardaia / GHARDAIA</t>
  </si>
  <si>
    <t>Daia Ben Dahoua / GHARDAIA</t>
  </si>
  <si>
    <t>Hassi / R'mel / LAGHOUAT</t>
  </si>
  <si>
    <t>Ain Hamra / LAGHOUAT</t>
  </si>
  <si>
    <t>Djelfa / DJELFA</t>
  </si>
  <si>
    <t>Faidja / TIARET</t>
  </si>
  <si>
    <t>Ain Dheb / TIARET</t>
  </si>
  <si>
    <t>Sougueur / TIARET</t>
  </si>
  <si>
    <t>Guertoufa / TIARET</t>
  </si>
  <si>
    <t>Rahouia / TIARET</t>
  </si>
  <si>
    <t>Zemmoura / RELIZANE</t>
  </si>
  <si>
    <t>Bormadia / RELIZANE</t>
  </si>
  <si>
    <t>El Hassiane / MOSTAGANEM</t>
  </si>
  <si>
    <t>Marsa el hadjej / ORAN</t>
  </si>
  <si>
    <t>22+000 / 142</t>
  </si>
  <si>
    <t>43+900 / 149</t>
  </si>
  <si>
    <t>73+000 / 186</t>
  </si>
  <si>
    <t>102+000 / 223</t>
  </si>
  <si>
    <t>150+000 / 300</t>
  </si>
  <si>
    <t>180+000 / 350</t>
  </si>
  <si>
    <t>210+000 / 467</t>
  </si>
  <si>
    <t>236+500 / 566</t>
  </si>
  <si>
    <t>265+750 / 688</t>
  </si>
  <si>
    <t>295+500 / 756</t>
  </si>
  <si>
    <t>330+000 / 766</t>
  </si>
  <si>
    <t>360+000 / 848</t>
  </si>
  <si>
    <t>390+000 / 790</t>
  </si>
  <si>
    <t>445+000 / 1050</t>
  </si>
  <si>
    <t>475+000 / 1215</t>
  </si>
  <si>
    <t>505+000 / 986</t>
  </si>
  <si>
    <t>564+500 / 1132</t>
  </si>
  <si>
    <t>594+000 / 1225</t>
  </si>
  <si>
    <t>624+000 / 997</t>
  </si>
  <si>
    <t>654+000 / 599</t>
  </si>
  <si>
    <t>684+000 / 553</t>
  </si>
  <si>
    <t>714+000 / 146</t>
  </si>
  <si>
    <t>744+000 / 150</t>
  </si>
  <si>
    <t>774+000 / 26</t>
  </si>
  <si>
    <t>804+000 / 196</t>
  </si>
  <si>
    <t>Hassi Ben Abdellah /OUARGLA</t>
  </si>
  <si>
    <t>Ain Beida /OUARGLA</t>
  </si>
  <si>
    <t>Zelfana /GHARDAIA</t>
  </si>
  <si>
    <t>Al Atteuf / GHARDAIA</t>
  </si>
  <si>
    <t>Ben Dhaou / GHARDAIA</t>
  </si>
  <si>
    <t>Hassi R’mel / LAGHOUAT</t>
  </si>
  <si>
    <t>Bennaceur Benchohra / LAGHOUAT</t>
  </si>
  <si>
    <t>Laghouat / LAGHOUAT</t>
  </si>
  <si>
    <t>LAGHOUAT</t>
  </si>
  <si>
    <t>Aflou / LAGHOUAT</t>
  </si>
  <si>
    <t>O.Touil / DJELFA</t>
  </si>
  <si>
    <t>Nador / TIARET</t>
  </si>
  <si>
    <t>Tiaret / TIARET</t>
  </si>
  <si>
    <t>Temda / TIARET</t>
  </si>
  <si>
    <t>Kenenda / RELIZANE</t>
  </si>
  <si>
    <t>Yellel / RELIZANE</t>
  </si>
  <si>
    <t>Granine / ORAN</t>
  </si>
  <si>
    <t>00+000 / 159</t>
  </si>
  <si>
    <t>32+000 / 160</t>
  </si>
  <si>
    <t>63+114 / 150</t>
  </si>
  <si>
    <t>126+057 / 110</t>
  </si>
  <si>
    <t>190+560 / 80</t>
  </si>
  <si>
    <t>233+401 / 80</t>
  </si>
  <si>
    <t>265+084 / 100</t>
  </si>
  <si>
    <t>338+643 / 190</t>
  </si>
  <si>
    <t>366+870 / 310</t>
  </si>
  <si>
    <t>396+854 / 280</t>
  </si>
  <si>
    <t>431+427 / 640</t>
  </si>
  <si>
    <t>463+121 / 930</t>
  </si>
  <si>
    <t>494+386 / 950</t>
  </si>
  <si>
    <t>516+946 / 830</t>
  </si>
  <si>
    <t>547+427 / 670</t>
  </si>
  <si>
    <t>576+285 / 600</t>
  </si>
  <si>
    <t>596+137 / 460</t>
  </si>
  <si>
    <t>615+012 / 12</t>
  </si>
  <si>
    <t>646+747 / 12</t>
  </si>
  <si>
    <t>Hassi Messaoud / Hassi Messaoud / OUARGLA</t>
  </si>
  <si>
    <t>Hassi Ben Abdellah / Sidi Khouiled / OUARGLA</t>
  </si>
  <si>
    <t>Hassi Ben Abdellah /Sidi Khouiled/OUARGLA</t>
  </si>
  <si>
    <t>El Allia /El Hadjira / TOUGGOURT</t>
  </si>
  <si>
    <t>El M’rara / Djamaa / EL MEGHAÏER</t>
  </si>
  <si>
    <t>El Meghaïer /El Meghaïer / EL MEGHAÏER</t>
  </si>
  <si>
    <t>Oum Touyour /El-Meghaïer / EL MEGHAÏER</t>
  </si>
  <si>
    <t>Tolga / Tolga / BISKRA</t>
  </si>
  <si>
    <t>Bitam / Barika / BATNA</t>
  </si>
  <si>
    <t>Boumagueur / N'gaous / BATNA</t>
  </si>
  <si>
    <t>Lemsane / Ouled Si Slimane / BATNA</t>
  </si>
  <si>
    <t>Ain Djasser / Ain Djasser / BATNA</t>
  </si>
  <si>
    <t>M'chira / Teleghma / MILA</t>
  </si>
  <si>
    <t>Oued Seguen / Teleghma / MILA</t>
  </si>
  <si>
    <t>Constantine / Constantine / CONSTANTINE</t>
  </si>
  <si>
    <t>Zighoud Youcef / Zighoud Youcef / CONSTANTINE</t>
  </si>
  <si>
    <t>El Harrouch / El Harrouch / SKIKDA</t>
  </si>
  <si>
    <t>Hammadi Krouma / Skikda / SKIKDA</t>
  </si>
  <si>
    <t>10Bis</t>
  </si>
  <si>
    <t>10Ter</t>
  </si>
  <si>
    <t>14Bis</t>
  </si>
  <si>
    <t>16Bis</t>
  </si>
  <si>
    <t>04Bis</t>
  </si>
  <si>
    <t>64+448 / 119,90</t>
  </si>
  <si>
    <t>134+960 / 89,50</t>
  </si>
  <si>
    <t>265+030 / 82,82</t>
  </si>
  <si>
    <t>313+540 / 46,960</t>
  </si>
  <si>
    <t>373+431 / 294,277</t>
  </si>
  <si>
    <t>449+600 / 419,750</t>
  </si>
  <si>
    <t>Square Bresson / Hassi Ben Abdellah / OUARGLA</t>
  </si>
  <si>
    <t>Touggourt / TOUGGOURT</t>
  </si>
  <si>
    <t>Stile / EL MEGHAIER</t>
  </si>
  <si>
    <t>Oumache / BISKRA</t>
  </si>
  <si>
    <t>Fontaine des Gazelles / Kantara / BISKRA</t>
  </si>
  <si>
    <t>Oued Enfida / Ain Khadra / M’SILA</t>
  </si>
  <si>
    <t>ROB1</t>
  </si>
  <si>
    <t>S01</t>
  </si>
  <si>
    <t>N01</t>
  </si>
  <si>
    <t>N02</t>
  </si>
  <si>
    <t>N03</t>
  </si>
  <si>
    <t>N04</t>
  </si>
  <si>
    <t>N05</t>
  </si>
  <si>
    <t>N03Bis</t>
  </si>
  <si>
    <t>N06</t>
  </si>
  <si>
    <t>N07</t>
  </si>
  <si>
    <t>N08</t>
  </si>
  <si>
    <t>N09</t>
  </si>
  <si>
    <t>N10</t>
  </si>
  <si>
    <t>N11</t>
  </si>
  <si>
    <t>N12</t>
  </si>
  <si>
    <t>N13</t>
  </si>
  <si>
    <t>N06Bis</t>
  </si>
  <si>
    <t>010+201 / 527</t>
  </si>
  <si>
    <t>023+334 / 669,4</t>
  </si>
  <si>
    <t>035+040 / 828,3</t>
  </si>
  <si>
    <t>045+691 / 1032,25</t>
  </si>
  <si>
    <t>055+241 / 645,59</t>
  </si>
  <si>
    <t>066+157 / 499,52</t>
  </si>
  <si>
    <t>080+110 / 383,8</t>
  </si>
  <si>
    <t>087+917 / 348,31</t>
  </si>
  <si>
    <t>099+330 / 228,55</t>
  </si>
  <si>
    <t>111+463 / 183,24</t>
  </si>
  <si>
    <t>122+130 / 138,97</t>
  </si>
  <si>
    <t>133+070 / 97,74</t>
  </si>
  <si>
    <t>145+178 / 64,07</t>
  </si>
  <si>
    <t>155+577 / 33,68</t>
  </si>
  <si>
    <t>166+181 / 13,17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</si>
  <si>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</si>
  <si>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</si>
  <si>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</si>
  <si>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</si>
  <si>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</si>
  <si>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</si>
  <si>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</si>
  <si>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</si>
  <si>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</si>
  <si>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</si>
  <si>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</si>
  <si>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</si>
  <si>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</si>
  <si>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</si>
  <si>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</si>
  <si>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</si>
  <si>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</si>
  <si>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</si>
  <si>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</si>
  <si>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</si>
  <si>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</si>
  <si>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19 / 163</t>
  </si>
  <si>
    <t>38 / 140</t>
  </si>
  <si>
    <t>60 / 130</t>
  </si>
  <si>
    <t>77 / 123</t>
  </si>
  <si>
    <t>97 / 106</t>
  </si>
  <si>
    <t>117 / 98</t>
  </si>
  <si>
    <t>135 / 86</t>
  </si>
  <si>
    <t>154 / 69</t>
  </si>
  <si>
    <t>174 / 71</t>
  </si>
  <si>
    <t>211 / 106</t>
  </si>
  <si>
    <t>231 / 63</t>
  </si>
  <si>
    <t>251 / 79</t>
  </si>
  <si>
    <t>271 / 81</t>
  </si>
  <si>
    <t>291 / 80</t>
  </si>
  <si>
    <t>311 / 70</t>
  </si>
  <si>
    <t>331 / 215</t>
  </si>
  <si>
    <t>370 / 324</t>
  </si>
  <si>
    <t>389 / 437</t>
  </si>
  <si>
    <t>408 / 461</t>
  </si>
  <si>
    <t>430 / 417</t>
  </si>
  <si>
    <t>450 / 422</t>
  </si>
  <si>
    <t>477 / 420</t>
  </si>
  <si>
    <t>Hassi Ben Abdallah / OUARGLA</t>
  </si>
  <si>
    <t>Elhadjira / OUARGLA</t>
  </si>
  <si>
    <t>Temacine / OUARGLA</t>
  </si>
  <si>
    <t>Megharine / OUARGLA</t>
  </si>
  <si>
    <t>Sidi Amrane / EL MEGHAIER</t>
  </si>
  <si>
    <t>Sidi Khelil / EL MEGHAIER</t>
  </si>
  <si>
    <t>EL MGHAIR / EL MEGHAIER</t>
  </si>
  <si>
    <t>Oum Touyour / EL MEGHAIER</t>
  </si>
  <si>
    <t>Still / EL MEGHAIER</t>
  </si>
  <si>
    <t>Mlili / BISKRA</t>
  </si>
  <si>
    <t>Tolga / BISKRA</t>
  </si>
  <si>
    <t>Bitam / BISKRA</t>
  </si>
  <si>
    <t>Barika / BATNA</t>
  </si>
  <si>
    <t>Azil Abd El Kader / BATNA</t>
  </si>
  <si>
    <t>Souamaa / BATNA</t>
  </si>
  <si>
    <t>El Adjiba / BOUIRA</t>
  </si>
  <si>
    <t>Oued El Berdj / BOUIRA</t>
  </si>
  <si>
    <t>Ain Alloui / BOUIRA</t>
  </si>
  <si>
    <t>Kherbouzia / BOUIRA</t>
  </si>
  <si>
    <t>Mezeghna / MEDEA</t>
  </si>
  <si>
    <t>Souhane / BLIDA</t>
  </si>
  <si>
    <t>Larbaa / BLIDA</t>
  </si>
  <si>
    <t>18+920 / 429</t>
  </si>
  <si>
    <t>37+940 / 594</t>
  </si>
  <si>
    <t>60+200 / 733</t>
  </si>
  <si>
    <t>78+840 / 726</t>
  </si>
  <si>
    <t>99+500 / 451</t>
  </si>
  <si>
    <t>123+820 / 772</t>
  </si>
  <si>
    <t>132+450 / 84</t>
  </si>
  <si>
    <t>Ouled Mansour / H. Delaa / M’SILA</t>
  </si>
  <si>
    <t>H. Delaa / M’SILA</t>
  </si>
  <si>
    <t>El M’hir / M’SILA</t>
  </si>
  <si>
    <t>Boudjelil / BÉJAÏA</t>
  </si>
  <si>
    <t>Ait Mansour / BÉJAÏA</t>
  </si>
  <si>
    <t>AIT R'ZINE/ BÉJAÏA</t>
  </si>
  <si>
    <t>Akbou / BÉJAÏA</t>
  </si>
  <si>
    <t>Ouzellaguene / BÉJAÏA</t>
  </si>
  <si>
    <t>El Felay / BÉJAÏA</t>
  </si>
  <si>
    <t>Timezrit / BÉJAÏA</t>
  </si>
  <si>
    <t>Amizour / BÉJAÏA</t>
  </si>
  <si>
    <t>Oued Ghir / BÉJAÏA</t>
  </si>
  <si>
    <t>54+100 / 544</t>
  </si>
  <si>
    <t>83+900 / 662</t>
  </si>
  <si>
    <t>123+100 / 600</t>
  </si>
  <si>
    <t>151+000 / 525</t>
  </si>
  <si>
    <t>210+100 / 400</t>
  </si>
  <si>
    <t>240+700 / 315</t>
  </si>
  <si>
    <t>263+900 / 280</t>
  </si>
  <si>
    <t>In Aménas / ILLIZI</t>
  </si>
  <si>
    <t>Deb Deb / ILLIZI</t>
  </si>
  <si>
    <t>32+400 / 224</t>
  </si>
  <si>
    <t>74+800 / 195</t>
  </si>
  <si>
    <t>144+800 / 162</t>
  </si>
  <si>
    <t>239+200 / 162</t>
  </si>
  <si>
    <t>El Borma / OUARGLA</t>
  </si>
  <si>
    <t>25+238 / 211</t>
  </si>
  <si>
    <t>50+672 / 197</t>
  </si>
  <si>
    <t>74+969 / 200</t>
  </si>
  <si>
    <t>102+209 / 166</t>
  </si>
  <si>
    <t>119+709 / 162</t>
  </si>
  <si>
    <t>159+513 / 155</t>
  </si>
  <si>
    <t>182+024 / 169</t>
  </si>
  <si>
    <t>204+429 / 151</t>
  </si>
  <si>
    <t>227+002 / 154</t>
  </si>
  <si>
    <t>248+065 / 155</t>
  </si>
  <si>
    <t>19+700 / 155</t>
  </si>
  <si>
    <t>62+000 / 145</t>
  </si>
  <si>
    <t>Hassi Messaoud / OUARGLA</t>
  </si>
  <si>
    <t>RGZ1</t>
  </si>
  <si>
    <t>RGZ3</t>
  </si>
  <si>
    <t>GZ4 Bis</t>
  </si>
  <si>
    <t>GK3 Bis</t>
  </si>
  <si>
    <t>CJB</t>
  </si>
  <si>
    <t>Stroystransgas</t>
  </si>
  <si>
    <t>X</t>
  </si>
  <si>
    <t>SOCEA</t>
  </si>
  <si>
    <t>GRESS</t>
  </si>
  <si>
    <t>BRC</t>
  </si>
  <si>
    <t>GTP</t>
  </si>
  <si>
    <t>MANNESSMAN</t>
  </si>
  <si>
    <t>SH-DTC</t>
  </si>
  <si>
    <t>SNAMPROGETTI</t>
  </si>
  <si>
    <t>SPIE</t>
  </si>
  <si>
    <t>CAPAG</t>
  </si>
  <si>
    <t>ABB</t>
  </si>
  <si>
    <t>GREP</t>
  </si>
  <si>
    <t>SOCOMAN</t>
  </si>
  <si>
    <t>GCB</t>
  </si>
  <si>
    <t xml:space="preserve">Sofregaz </t>
  </si>
  <si>
    <t>Entrepose</t>
  </si>
  <si>
    <t>SARPI</t>
  </si>
  <si>
    <t>GE</t>
  </si>
  <si>
    <t>NACAP</t>
  </si>
  <si>
    <t>MASA</t>
  </si>
  <si>
    <t>ZAKHEM</t>
  </si>
  <si>
    <t>WILLBROS</t>
  </si>
  <si>
    <t xml:space="preserve">PETROJET </t>
  </si>
  <si>
    <t>DTC</t>
  </si>
  <si>
    <t>GIP</t>
  </si>
  <si>
    <t>JGC</t>
  </si>
  <si>
    <t>TMPE</t>
  </si>
  <si>
    <t>31+400 / 196</t>
  </si>
  <si>
    <t>63+500 / 185</t>
  </si>
  <si>
    <t>93+400 / 187</t>
  </si>
  <si>
    <t>123+400 / 190</t>
  </si>
  <si>
    <t>173+300 / 184</t>
  </si>
  <si>
    <t>204+000 / 165</t>
  </si>
  <si>
    <t>233+000 / 156,79</t>
  </si>
  <si>
    <t>262+000 / 169,65</t>
  </si>
  <si>
    <t>El-Borma / OUARGLA</t>
  </si>
  <si>
    <t>93+500 / 187</t>
  </si>
  <si>
    <t>173+245 / 184</t>
  </si>
  <si>
    <t>204+010 / 165</t>
  </si>
  <si>
    <t>233+041 / 156,79</t>
  </si>
  <si>
    <t>263+000 / 169,65</t>
  </si>
  <si>
    <t>0+446</t>
  </si>
  <si>
    <t>7+000</t>
  </si>
  <si>
    <t>22+960</t>
  </si>
  <si>
    <t>77+000</t>
  </si>
  <si>
    <t>95+000</t>
  </si>
  <si>
    <t>109+274</t>
  </si>
  <si>
    <t>139+086</t>
  </si>
  <si>
    <t>194+551</t>
  </si>
  <si>
    <t>230+022</t>
  </si>
  <si>
    <t>247+400</t>
  </si>
  <si>
    <t>262+000</t>
  </si>
  <si>
    <t>306+786</t>
  </si>
  <si>
    <t>317+500</t>
  </si>
  <si>
    <t>337+300</t>
  </si>
  <si>
    <t>364+367</t>
  </si>
  <si>
    <t>397+328</t>
  </si>
  <si>
    <t>411+438</t>
  </si>
  <si>
    <t>424+000</t>
  </si>
  <si>
    <t>463+666</t>
  </si>
  <si>
    <t>477+000</t>
  </si>
  <si>
    <t>488+000</t>
  </si>
  <si>
    <t>490+605</t>
  </si>
  <si>
    <t>Hassi R’mel</t>
  </si>
  <si>
    <t>Tadjemout</t>
  </si>
  <si>
    <t>Guertoufa</t>
  </si>
  <si>
    <t>Rahouia</t>
  </si>
  <si>
    <t>Zemmoura</t>
  </si>
  <si>
    <t>Hassi R’mel/LAGHOUAT</t>
  </si>
  <si>
    <t>Benaceur Benchahra/LAGHOUAT</t>
  </si>
  <si>
    <t>Elkheneg/LAGHOUAT</t>
  </si>
  <si>
    <t>Tadjemout/LAGHOUAT</t>
  </si>
  <si>
    <t>Faidja/TIARET</t>
  </si>
  <si>
    <t>Sougueur/TIARET</t>
  </si>
  <si>
    <t>Guertoufa/TIARET</t>
  </si>
  <si>
    <t>Rahouia/TIARET</t>
  </si>
  <si>
    <t>Zemmoura/RELIZANE</t>
  </si>
  <si>
    <t>Barmadia/RELIZANE</t>
  </si>
  <si>
    <t>Matmar/RELIZANE</t>
  </si>
  <si>
    <t>Mohamadia/MASCARA</t>
  </si>
  <si>
    <t>Mocta douz/MASCARA</t>
  </si>
  <si>
    <t>Granine/MASCARA</t>
  </si>
  <si>
    <t>El Baida/LAGHOUAT</t>
  </si>
  <si>
    <t>DP Hassi R’mel</t>
  </si>
  <si>
    <t>Touat Gaz</t>
  </si>
  <si>
    <t>HAOUD BERKAOUI</t>
  </si>
  <si>
    <t>GUELLALA</t>
  </si>
  <si>
    <t>OUED NOUMER</t>
  </si>
  <si>
    <t>HASSI R’ MEL</t>
  </si>
  <si>
    <t>74+700 / 210</t>
  </si>
  <si>
    <t>77+300 / 201</t>
  </si>
  <si>
    <t>206+100 / 440</t>
  </si>
  <si>
    <t>296+400 / 756</t>
  </si>
  <si>
    <t>74+500 / 210</t>
  </si>
  <si>
    <t>77+200 / 201</t>
  </si>
  <si>
    <t>207+100 / 440</t>
  </si>
  <si>
    <t>297+000 / 756</t>
  </si>
  <si>
    <t>Djebel Onk</t>
  </si>
  <si>
    <t>Ras Toumb</t>
  </si>
  <si>
    <t>Guetirini</t>
  </si>
  <si>
    <t>350+830 / 217,1</t>
  </si>
  <si>
    <t>495+009 / 455,7</t>
  </si>
  <si>
    <t>Mereksen</t>
  </si>
  <si>
    <t>Stah</t>
  </si>
  <si>
    <t>66 / 700</t>
  </si>
  <si>
    <t>125 / 590</t>
  </si>
  <si>
    <t>0 / 545</t>
  </si>
  <si>
    <t>Zarzaitine</t>
  </si>
  <si>
    <t>Tifernine</t>
  </si>
  <si>
    <t>Edjeleh</t>
  </si>
  <si>
    <t>Tiguentourine</t>
  </si>
  <si>
    <t>Acheb</t>
  </si>
  <si>
    <t>DP/Stah</t>
  </si>
  <si>
    <t>Tamadanet (à l’arrêt)</t>
  </si>
  <si>
    <t>DP/ Ohanet</t>
  </si>
  <si>
    <t>DP / TFT (avec Tifernine)</t>
  </si>
  <si>
    <t>DP / Rhourd Nouss</t>
  </si>
  <si>
    <t>DP / Gassi Touil</t>
  </si>
  <si>
    <t>Nezla (à l’arrêt)</t>
  </si>
  <si>
    <t>80 / 672</t>
  </si>
  <si>
    <t>112+500 / 567</t>
  </si>
  <si>
    <t>270+500 / 302</t>
  </si>
  <si>
    <t>376 / 258</t>
  </si>
  <si>
    <t>452 / 208</t>
  </si>
  <si>
    <t>545+500 / 159</t>
  </si>
  <si>
    <t>BIR EL MSANA (BMS) (AST)</t>
  </si>
  <si>
    <t>BIR R’BAA NORD (BRN) (AST)</t>
  </si>
  <si>
    <t>RHOURDE EL BAGUEL</t>
  </si>
  <si>
    <t>HASSI BIR REKAIZ (HBR) (AST)</t>
  </si>
  <si>
    <t>0 / 246</t>
  </si>
  <si>
    <t xml:space="preserve">76+700/195 </t>
  </si>
  <si>
    <t>74+700 / 181,5</t>
  </si>
  <si>
    <t xml:space="preserve">0 / 172 </t>
  </si>
  <si>
    <t>0 / 157</t>
  </si>
  <si>
    <t>Ourhoud</t>
  </si>
  <si>
    <t>HBNS (Pôle Hassi Berkine)</t>
  </si>
  <si>
    <t>Bir Berkine Nord (BBK)</t>
  </si>
  <si>
    <t>EL MERK</t>
  </si>
  <si>
    <t>Rhourd El Khrouf (RKF)</t>
  </si>
  <si>
    <t>MENZEL LEDJMET EAST(MLE)</t>
  </si>
  <si>
    <t>CAFC</t>
  </si>
  <si>
    <t>0 / 185</t>
  </si>
  <si>
    <t>Menzel Ledjmet Nord (MLN)</t>
  </si>
  <si>
    <t>31+582 / 196</t>
  </si>
  <si>
    <t>0 / 780</t>
  </si>
  <si>
    <t>DP Hassi Messaoud</t>
  </si>
  <si>
    <t>Arrivée STC NH2</t>
  </si>
  <si>
    <t>0 / 172</t>
  </si>
  <si>
    <t>Tinhert *</t>
  </si>
  <si>
    <t>DP Ohanet</t>
  </si>
  <si>
    <t>In Aménas (SH/ENI/EQUINOR)</t>
  </si>
  <si>
    <t>DP TFT</t>
  </si>
  <si>
    <t>Isaréne</t>
  </si>
  <si>
    <t>Hamra</t>
  </si>
  <si>
    <t>Rhourde Nouss</t>
  </si>
  <si>
    <t>CPF MLE</t>
  </si>
  <si>
    <t>263+600</t>
  </si>
  <si>
    <t>339+500</t>
  </si>
  <si>
    <t>Arrivée STC LR1/DLR1/ELR1 et LNZ1 12’’</t>
  </si>
  <si>
    <t>0 / 777</t>
  </si>
  <si>
    <t>- Alrar</t>
  </si>
  <si>
    <t>- In Amenas (injection à l’arrêt)</t>
  </si>
  <si>
    <t>- DP Ohanet</t>
  </si>
  <si>
    <t>- BP Tiguentourine</t>
  </si>
  <si>
    <t>- Groupement TFT</t>
  </si>
  <si>
    <t>- Groupement Isarene / Ain Tsila</t>
  </si>
  <si>
    <t>- Hamra</t>
  </si>
  <si>
    <t>- Rhourd Nouss</t>
  </si>
  <si>
    <t>- MLE+CAFC</t>
  </si>
  <si>
    <t>- EL MERK</t>
  </si>
  <si>
    <t>- Gassi Touil</t>
  </si>
  <si>
    <t>- Bir Rbaa Nord</t>
  </si>
  <si>
    <t>- Berkin Nord et Sud</t>
  </si>
  <si>
    <t>- Hassi Messaoud Sud 2</t>
  </si>
  <si>
    <t>- Hassi Messaoud Sud 1</t>
  </si>
  <si>
    <t>- Z-CINA</t>
  </si>
  <si>
    <t>- Guellala</t>
  </si>
  <si>
    <t>- Oued Noumer</t>
  </si>
  <si>
    <t>0 / 702</t>
  </si>
  <si>
    <t>40 / 694</t>
  </si>
  <si>
    <t>100+085 / 555</t>
  </si>
  <si>
    <t>232+300 / 469</t>
  </si>
  <si>
    <t>395+700 / 274</t>
  </si>
  <si>
    <t>430+700 / 252</t>
  </si>
  <si>
    <t>503+500 / 208</t>
  </si>
  <si>
    <t>653+500 / 167</t>
  </si>
  <si>
    <t>681+500 / 151</t>
  </si>
  <si>
    <t>756+000 / 160</t>
  </si>
  <si>
    <t>892+000 / 496</t>
  </si>
  <si>
    <t>0 / 151</t>
  </si>
  <si>
    <t>33 / 151</t>
  </si>
  <si>
    <t>CP4 HASSI R'MEL</t>
  </si>
  <si>
    <t>Benchohra</t>
  </si>
  <si>
    <t>Laghouat</t>
  </si>
  <si>
    <t>CP5 LAGHOUAT</t>
  </si>
  <si>
    <t>Tajmout</t>
  </si>
  <si>
    <t>Aflou</t>
  </si>
  <si>
    <t>Ain Chouhada</t>
  </si>
  <si>
    <t>Sidi Bouzid&amp;Idrissia</t>
  </si>
  <si>
    <t>El Beida</t>
  </si>
  <si>
    <t>Zemalet Amir Aek</t>
  </si>
  <si>
    <t>CP6 TIARET</t>
  </si>
  <si>
    <t>Ain D’heb</t>
  </si>
  <si>
    <t>Naima II</t>
  </si>
  <si>
    <t>Sougueur 1</t>
  </si>
  <si>
    <t>Mellakou</t>
  </si>
  <si>
    <t>Centrale Tiaret</t>
  </si>
  <si>
    <t>ENTPL Tiaret</t>
  </si>
  <si>
    <t>DP Tiaret</t>
  </si>
  <si>
    <t>Relizane 1</t>
  </si>
  <si>
    <t>Relizane 2</t>
  </si>
  <si>
    <t>10+500</t>
  </si>
  <si>
    <t>91+600</t>
  </si>
  <si>
    <t>101+100</t>
  </si>
  <si>
    <t>119+600</t>
  </si>
  <si>
    <t>131+000</t>
  </si>
  <si>
    <t>160+800</t>
  </si>
  <si>
    <t>162+300</t>
  </si>
  <si>
    <t>188+100</t>
  </si>
  <si>
    <t>196+000</t>
  </si>
  <si>
    <t>238+000</t>
  </si>
  <si>
    <t>239+000</t>
  </si>
  <si>
    <t>274+800</t>
  </si>
  <si>
    <t>302+200</t>
  </si>
  <si>
    <t>312+800</t>
  </si>
  <si>
    <t>327+000</t>
  </si>
  <si>
    <t>332+500</t>
  </si>
  <si>
    <t>332+700</t>
  </si>
  <si>
    <t>333+600</t>
  </si>
  <si>
    <t>369+800</t>
  </si>
  <si>
    <t>421+300</t>
  </si>
  <si>
    <t>Ain Nouissy</t>
  </si>
  <si>
    <t>Beni Yahi</t>
  </si>
  <si>
    <t>Fornaka</t>
  </si>
  <si>
    <t>Fornaka 2</t>
  </si>
  <si>
    <t>M.E.Hadjadj</t>
  </si>
  <si>
    <t>Bethouia</t>
  </si>
  <si>
    <t>IAP Arzew II</t>
  </si>
  <si>
    <t>DP Arzew I</t>
  </si>
  <si>
    <t>466+600</t>
  </si>
  <si>
    <t>471+000</t>
  </si>
  <si>
    <t>475+600</t>
  </si>
  <si>
    <t>476+800</t>
  </si>
  <si>
    <t>492+500</t>
  </si>
  <si>
    <t>501+000</t>
  </si>
  <si>
    <t>505+000</t>
  </si>
  <si>
    <t>505+800</t>
  </si>
  <si>
    <t>507+000</t>
  </si>
  <si>
    <t>508+000</t>
  </si>
  <si>
    <t>508+100</t>
  </si>
  <si>
    <t>CP4 Hassi R'mel</t>
  </si>
  <si>
    <t>Ben Chohra</t>
  </si>
  <si>
    <t>CP5 Laghouat</t>
  </si>
  <si>
    <t>El Idrissia &amp; Sidi Bouzid</t>
  </si>
  <si>
    <t>CP6 Tiaret</t>
  </si>
  <si>
    <t>Sougueur / PC4</t>
  </si>
  <si>
    <t>160+900</t>
  </si>
  <si>
    <t>202+700</t>
  </si>
  <si>
    <t>237+972</t>
  </si>
  <si>
    <t>239+217</t>
  </si>
  <si>
    <t>295+872</t>
  </si>
  <si>
    <t>Sougueur II</t>
  </si>
  <si>
    <t>Naima</t>
  </si>
  <si>
    <t>Sougueur I</t>
  </si>
  <si>
    <t>PRS</t>
  </si>
  <si>
    <t>Melakou</t>
  </si>
  <si>
    <t>Tiaret II (C.E Tiaret)</t>
  </si>
  <si>
    <t>ENTPL Tiaret (SOTREFIT)</t>
  </si>
  <si>
    <t>Tiaret I</t>
  </si>
  <si>
    <t>Lala Abdia (DP Tiaret III)</t>
  </si>
  <si>
    <t>Oued Lili</t>
  </si>
  <si>
    <t>Mechraa Sfa</t>
  </si>
  <si>
    <t>Oued Essalem</t>
  </si>
  <si>
    <t>Mendes</t>
  </si>
  <si>
    <t>Relizane I (Chlef)</t>
  </si>
  <si>
    <t>Relizane II (Maghnia)</t>
  </si>
  <si>
    <t>Relizane III (Centrale)</t>
  </si>
  <si>
    <t>Bouguirat</t>
  </si>
  <si>
    <t>299+200</t>
  </si>
  <si>
    <t>318+242</t>
  </si>
  <si>
    <t>327+428</t>
  </si>
  <si>
    <t>339+000</t>
  </si>
  <si>
    <t>344+000</t>
  </si>
  <si>
    <t>351+400</t>
  </si>
  <si>
    <t>357+000</t>
  </si>
  <si>
    <t>380+000</t>
  </si>
  <si>
    <t>393+000</t>
  </si>
  <si>
    <t>398+500</t>
  </si>
  <si>
    <t>407+400</t>
  </si>
  <si>
    <t>429+700</t>
  </si>
  <si>
    <t>453+200</t>
  </si>
  <si>
    <t>Centrale Electrique Mostaganem</t>
  </si>
  <si>
    <t>Sirat</t>
  </si>
  <si>
    <t>Renforcement amont Mostaganem</t>
  </si>
  <si>
    <t>El Bordjia</t>
  </si>
  <si>
    <t>El Hassiane (Beni Yahi)</t>
  </si>
  <si>
    <t>Fornaka II</t>
  </si>
  <si>
    <t>Fornaka III</t>
  </si>
  <si>
    <t>Fornaka I</t>
  </si>
  <si>
    <t>M.E.Hadjadj II</t>
  </si>
  <si>
    <t>FERTIAL</t>
  </si>
  <si>
    <t>SORFET ALGERIE</t>
  </si>
  <si>
    <t>Araba,Houaoua,Gr anine</t>
  </si>
  <si>
    <t>459+200</t>
  </si>
  <si>
    <t>478+100</t>
  </si>
  <si>
    <t>458+800</t>
  </si>
  <si>
    <t>473+000</t>
  </si>
  <si>
    <t>476+400</t>
  </si>
  <si>
    <t>478+800</t>
  </si>
  <si>
    <t>506+700</t>
  </si>
  <si>
    <t>507+280</t>
  </si>
  <si>
    <t>TOSYIALI</t>
  </si>
  <si>
    <t>CE M.E.Hadjadj I</t>
  </si>
  <si>
    <t>CE Kahrama</t>
  </si>
  <si>
    <t>IAP Arzew</t>
  </si>
  <si>
    <t>508+140</t>
  </si>
  <si>
    <t xml:space="preserve">511+000 </t>
  </si>
  <si>
    <t xml:space="preserve">517+000 </t>
  </si>
  <si>
    <t>00+800</t>
  </si>
  <si>
    <t>01+900</t>
  </si>
  <si>
    <t>03+539</t>
  </si>
  <si>
    <t>SOUGUEUR / PC4</t>
  </si>
  <si>
    <t>OUED SABBAH (VANNE DE RACCORDEMENT)</t>
  </si>
  <si>
    <t>TERGA</t>
  </si>
  <si>
    <t>297+202</t>
  </si>
  <si>
    <t>74+250</t>
  </si>
  <si>
    <t>113+700</t>
  </si>
  <si>
    <t>Hassi Dalaa</t>
  </si>
  <si>
    <t>Oum Laadham</t>
  </si>
  <si>
    <t>Ras El Miaad</t>
  </si>
  <si>
    <t>Chegga</t>
  </si>
  <si>
    <t>Biskra (Chaiba)</t>
  </si>
  <si>
    <t>M’doukel</t>
  </si>
  <si>
    <t>Barika I</t>
  </si>
  <si>
    <t>Bitam II</t>
  </si>
  <si>
    <t>Bitam</t>
  </si>
  <si>
    <t>Barika II</t>
  </si>
  <si>
    <t>Barika IV</t>
  </si>
  <si>
    <t>Barika III</t>
  </si>
  <si>
    <t>Batna II (SEFIANE)</t>
  </si>
  <si>
    <t>Boumagueur</t>
  </si>
  <si>
    <t>N’gaous</t>
  </si>
  <si>
    <t>Ouled Si Slimane</t>
  </si>
  <si>
    <t>Ras Layoun</t>
  </si>
  <si>
    <t>Talkhamt</t>
  </si>
  <si>
    <t>Merouana</t>
  </si>
  <si>
    <t>Karyat Kherba</t>
  </si>
  <si>
    <t>Ouled Sellam</t>
  </si>
  <si>
    <t>Batna I Ain Djasser</t>
  </si>
  <si>
    <t>C.E Ain Djasser</t>
  </si>
  <si>
    <t>Ain Arnat</t>
  </si>
  <si>
    <t>M’chira</t>
  </si>
  <si>
    <t>Teleghma I/II</t>
  </si>
  <si>
    <t>Teleghma III</t>
  </si>
  <si>
    <t>Ouled Smail</t>
  </si>
  <si>
    <t>Mila</t>
  </si>
  <si>
    <t>Ali Mendjeli</t>
  </si>
  <si>
    <t>Ain S’mara</t>
  </si>
  <si>
    <t>Constantine I/II (El Djebasse)</t>
  </si>
  <si>
    <t>Ibn Ziad</t>
  </si>
  <si>
    <t>Messaod Boudjeriou</t>
  </si>
  <si>
    <t>Hamma Bouziane / Didouche Mourad</t>
  </si>
  <si>
    <t>Hamma Bouziane Bellara</t>
  </si>
  <si>
    <t>Zighoud Youcef (Doghra)</t>
  </si>
  <si>
    <t>El-Harrouch</t>
  </si>
  <si>
    <t>Ain Bouziane</t>
  </si>
  <si>
    <t>Ramdane Djamel I/II</t>
  </si>
  <si>
    <t>Bouchettata</t>
  </si>
  <si>
    <t>El-Haddaiek</t>
  </si>
  <si>
    <t>Hamadi Krouma</t>
  </si>
  <si>
    <t>Filfila</t>
  </si>
  <si>
    <t>Skikda I</t>
  </si>
  <si>
    <t>Skikda II SKS</t>
  </si>
  <si>
    <t>Raffinerie RA2K (Topping Condensat)</t>
  </si>
  <si>
    <t>Complexe Pétrolier (CP1K)</t>
  </si>
  <si>
    <t>27+748</t>
  </si>
  <si>
    <t>64+900</t>
  </si>
  <si>
    <t>-</t>
  </si>
  <si>
    <t>133+753</t>
  </si>
  <si>
    <t>176+600</t>
  </si>
  <si>
    <t>233+954</t>
  </si>
  <si>
    <t>270+785</t>
  </si>
  <si>
    <t>270+512</t>
  </si>
  <si>
    <t>310+600</t>
  </si>
  <si>
    <t>338+000</t>
  </si>
  <si>
    <t>338+479</t>
  </si>
  <si>
    <t>339+067</t>
  </si>
  <si>
    <t>342+686</t>
  </si>
  <si>
    <t>342+333</t>
  </si>
  <si>
    <t>350+613</t>
  </si>
  <si>
    <t>350+818</t>
  </si>
  <si>
    <t>353+600</t>
  </si>
  <si>
    <t>354+800</t>
  </si>
  <si>
    <t>363+300</t>
  </si>
  <si>
    <t>375+000</t>
  </si>
  <si>
    <t>373+779</t>
  </si>
  <si>
    <t>380+800</t>
  </si>
  <si>
    <t>388+270</t>
  </si>
  <si>
    <t>395+054</t>
  </si>
  <si>
    <t>395+922</t>
  </si>
  <si>
    <t>399+712</t>
  </si>
  <si>
    <t>399+504</t>
  </si>
  <si>
    <t>407+955</t>
  </si>
  <si>
    <t>415+079</t>
  </si>
  <si>
    <t>430+120</t>
  </si>
  <si>
    <t>429+826</t>
  </si>
  <si>
    <t>430+160</t>
  </si>
  <si>
    <t>438+372</t>
  </si>
  <si>
    <t>439+522</t>
  </si>
  <si>
    <t>451+061</t>
  </si>
  <si>
    <t>458+520</t>
  </si>
  <si>
    <t>458+654</t>
  </si>
  <si>
    <t>464+245</t>
  </si>
  <si>
    <t>462+944</t>
  </si>
  <si>
    <t>468+700</t>
  </si>
  <si>
    <t>475+605</t>
  </si>
  <si>
    <t>474+323</t>
  </si>
  <si>
    <t>492+099</t>
  </si>
  <si>
    <t>492+836</t>
  </si>
  <si>
    <t>498+399</t>
  </si>
  <si>
    <t>497+400</t>
  </si>
  <si>
    <t>504+806</t>
  </si>
  <si>
    <t>503+102</t>
  </si>
  <si>
    <t>507+764</t>
  </si>
  <si>
    <t>514+548</t>
  </si>
  <si>
    <t>513+560</t>
  </si>
  <si>
    <t>514+528</t>
  </si>
  <si>
    <t>515+070</t>
  </si>
  <si>
    <t>527+460</t>
  </si>
  <si>
    <t>529+396</t>
  </si>
  <si>
    <t>547+462</t>
  </si>
  <si>
    <t>544+230</t>
  </si>
  <si>
    <t>545+690</t>
  </si>
  <si>
    <t>554+981</t>
  </si>
  <si>
    <t>555+094</t>
  </si>
  <si>
    <t>563+562</t>
  </si>
  <si>
    <t>566+940</t>
  </si>
  <si>
    <t>566+700</t>
  </si>
  <si>
    <t>571+700</t>
  </si>
  <si>
    <t>Ain Djasser</t>
  </si>
  <si>
    <t>Ouled Hamla</t>
  </si>
  <si>
    <t>Khazara</t>
  </si>
  <si>
    <t>Chihani</t>
  </si>
  <si>
    <t>Chafia</t>
  </si>
  <si>
    <t>Attente</t>
  </si>
  <si>
    <t>Bouteldja</t>
  </si>
  <si>
    <t>BERIHANE</t>
  </si>
  <si>
    <t>C.E. K.Eddraouche</t>
  </si>
  <si>
    <t>433+483</t>
  </si>
  <si>
    <t>50+301</t>
  </si>
  <si>
    <t>148+816</t>
  </si>
  <si>
    <t>201+646</t>
  </si>
  <si>
    <t>222+765</t>
  </si>
  <si>
    <t>234+704</t>
  </si>
  <si>
    <t>241+926</t>
  </si>
  <si>
    <t>256+182</t>
  </si>
  <si>
    <t>267+300</t>
  </si>
  <si>
    <t>Ras layoun</t>
  </si>
  <si>
    <t>Bouhamdene et Ouled H’Ababa</t>
  </si>
  <si>
    <t>10+164</t>
  </si>
  <si>
    <t>30+777</t>
  </si>
  <si>
    <t>TILGHEMT</t>
  </si>
  <si>
    <t>OULED BELLIL</t>
  </si>
  <si>
    <t>KSAR EL HIRANE</t>
  </si>
  <si>
    <t>SED RAHAL</t>
  </si>
  <si>
    <t>MESSAAD</t>
  </si>
  <si>
    <t>MOUDJEBARA</t>
  </si>
  <si>
    <t>DJELFA</t>
  </si>
  <si>
    <t>MOUILAH</t>
  </si>
  <si>
    <t>DAR CHIOUKH</t>
  </si>
  <si>
    <t>SLIM</t>
  </si>
  <si>
    <t>20+800</t>
  </si>
  <si>
    <t>31+000</t>
  </si>
  <si>
    <t>94+500</t>
  </si>
  <si>
    <t>109+660</t>
  </si>
  <si>
    <t>138+700</t>
  </si>
  <si>
    <t>175+500</t>
  </si>
  <si>
    <t>192+000</t>
  </si>
  <si>
    <t>200+420</t>
  </si>
  <si>
    <t>216+410</t>
  </si>
  <si>
    <t>223+000</t>
  </si>
  <si>
    <t>BOUSSAADA</t>
  </si>
  <si>
    <t>HAD S’HARI</t>
  </si>
  <si>
    <t>OULED ALI</t>
  </si>
  <si>
    <t>AIN LAHDJEL (MSILA)</t>
  </si>
  <si>
    <t>253+500</t>
  </si>
  <si>
    <t>286+600</t>
  </si>
  <si>
    <t>301+321</t>
  </si>
  <si>
    <t>312+000</t>
  </si>
  <si>
    <t>SIDI AISSA II</t>
  </si>
  <si>
    <t>SIDI AISSA I</t>
  </si>
  <si>
    <t>325+000</t>
  </si>
  <si>
    <t>336+000</t>
  </si>
  <si>
    <t>DIRAH</t>
  </si>
  <si>
    <t>DIRAH II</t>
  </si>
  <si>
    <t>EL HAKIMIA</t>
  </si>
  <si>
    <t>SOUR EL GHOZLANE</t>
  </si>
  <si>
    <t>AIN BESSAM</t>
  </si>
  <si>
    <t>BOUIRA II (BEJAIA)</t>
  </si>
  <si>
    <t>AIN EL HADJAR</t>
  </si>
  <si>
    <t>BOUIRA I</t>
  </si>
  <si>
    <t>AIN EL TURK (HAIZER)</t>
  </si>
  <si>
    <t>LAKHDARIA</t>
  </si>
  <si>
    <t>DRAA EL MIZAN</t>
  </si>
  <si>
    <t>M’KIRA</t>
  </si>
  <si>
    <t>CHAABET EL AMEUR</t>
  </si>
  <si>
    <t>BORDJ MENAIL (ALGER)</t>
  </si>
  <si>
    <t>349+000</t>
  </si>
  <si>
    <t>349+250</t>
  </si>
  <si>
    <t>360+920</t>
  </si>
  <si>
    <t>366+600</t>
  </si>
  <si>
    <t>386+000</t>
  </si>
  <si>
    <t>390+000</t>
  </si>
  <si>
    <t>390+600</t>
  </si>
  <si>
    <t>396+150</t>
  </si>
  <si>
    <t>405+900</t>
  </si>
  <si>
    <t>409+700</t>
  </si>
  <si>
    <t>418+000</t>
  </si>
  <si>
    <t>423+000</t>
  </si>
  <si>
    <t>431+400</t>
  </si>
  <si>
    <t>437+000</t>
  </si>
  <si>
    <t>DJABAHIA &amp; EL MADJENE</t>
  </si>
  <si>
    <t>CE BREZINA</t>
  </si>
  <si>
    <t>BREZINA</t>
  </si>
  <si>
    <t>ARBAOUAT</t>
  </si>
  <si>
    <t>EL BAYADH</t>
  </si>
  <si>
    <t>M’HARA</t>
  </si>
  <si>
    <t>Ben Hadjame</t>
  </si>
  <si>
    <t>TOUADJER</t>
  </si>
  <si>
    <t>CE NAAMA (MECHRIA/ BOUGTOB)</t>
  </si>
  <si>
    <t>CC NAAMA II</t>
  </si>
  <si>
    <t>MEKMEN BEN AMAR</t>
  </si>
  <si>
    <t>ABDEL MOULA</t>
  </si>
  <si>
    <t>Aricha (kasdir)</t>
  </si>
  <si>
    <t>382+900</t>
  </si>
  <si>
    <t>194+606</t>
  </si>
  <si>
    <t>213+045</t>
  </si>
  <si>
    <t>267+599</t>
  </si>
  <si>
    <t>281+900</t>
  </si>
  <si>
    <t>293+901</t>
  </si>
  <si>
    <t>314+533</t>
  </si>
  <si>
    <t>326+217</t>
  </si>
  <si>
    <t>361+740</t>
  </si>
  <si>
    <t>381+459</t>
  </si>
  <si>
    <t>421+190</t>
  </si>
  <si>
    <t>460+999</t>
  </si>
  <si>
    <t>LABIODH SIDI CHEIKH &amp; Bechar</t>
  </si>
  <si>
    <t>500+697</t>
  </si>
  <si>
    <t>Besbes</t>
  </si>
  <si>
    <t>Ouled Djelal</t>
  </si>
  <si>
    <t>Bouclage de la ville de Biskra (Lioua)</t>
  </si>
  <si>
    <t>SP3 SELGA RTE NK1</t>
  </si>
  <si>
    <t>Sidi Okba, M’ghair</t>
  </si>
  <si>
    <t>SP1 bis OB1</t>
  </si>
  <si>
    <t>Ain Naga</t>
  </si>
  <si>
    <t>Zeribet El Oued</t>
  </si>
  <si>
    <t>R’ouidjel Harzelli,El Feidh</t>
  </si>
  <si>
    <t>C.E Labrag</t>
  </si>
  <si>
    <t>Ferkane - Negrine</t>
  </si>
  <si>
    <t>Bir El Ater (Tebessa)</t>
  </si>
  <si>
    <t>235+850</t>
  </si>
  <si>
    <t>246+550</t>
  </si>
  <si>
    <t>283+965</t>
  </si>
  <si>
    <t>284+125</t>
  </si>
  <si>
    <t>319+205</t>
  </si>
  <si>
    <t>319+228</t>
  </si>
  <si>
    <t>375+600</t>
  </si>
  <si>
    <t>382+128</t>
  </si>
  <si>
    <t>432+950</t>
  </si>
  <si>
    <t>433+080</t>
  </si>
  <si>
    <t>433+000</t>
  </si>
  <si>
    <t>460+550</t>
  </si>
  <si>
    <t>531+074</t>
  </si>
  <si>
    <t>20+244</t>
  </si>
  <si>
    <t>53+141</t>
  </si>
  <si>
    <t>68+019</t>
  </si>
  <si>
    <t>78+495</t>
  </si>
  <si>
    <t>97+567</t>
  </si>
  <si>
    <t>102+614</t>
  </si>
  <si>
    <t>116+648</t>
  </si>
  <si>
    <t>116+649</t>
  </si>
  <si>
    <t>129+753</t>
  </si>
  <si>
    <t>136+083</t>
  </si>
  <si>
    <t>147+411</t>
  </si>
  <si>
    <t>156+511</t>
  </si>
  <si>
    <t>160+000</t>
  </si>
  <si>
    <t>160+457</t>
  </si>
  <si>
    <t>168+146</t>
  </si>
  <si>
    <t>176+202</t>
  </si>
  <si>
    <t>180+235</t>
  </si>
  <si>
    <t>196+297</t>
  </si>
  <si>
    <t>196+298</t>
  </si>
  <si>
    <t>198+978</t>
  </si>
  <si>
    <t>Groupement TFT</t>
  </si>
  <si>
    <t>Isarène</t>
  </si>
  <si>
    <t>URGA Gassi Touil</t>
  </si>
  <si>
    <t>CIS HMD</t>
  </si>
  <si>
    <t>Guellala</t>
  </si>
  <si>
    <t>Oued Noumer</t>
  </si>
  <si>
    <t>PC Leima</t>
  </si>
  <si>
    <t>Mesdar / SH/DP</t>
  </si>
  <si>
    <t>R. El Baguel / Association</t>
  </si>
  <si>
    <t>H. Messaoud / SH/DP CIS Sud</t>
  </si>
  <si>
    <t>Sonelgaz / HMD CINA</t>
  </si>
  <si>
    <t>Sonahess</t>
  </si>
  <si>
    <t>HMD Ouest (nouvelle)</t>
  </si>
  <si>
    <t>HMD El Oued</t>
  </si>
  <si>
    <t>Hassi Ben Abdellah</t>
  </si>
  <si>
    <t>Sidi Khouiled</t>
  </si>
  <si>
    <t>Ouargla</t>
  </si>
  <si>
    <t>Bamendil</t>
  </si>
  <si>
    <t>Ouargla II (TG Mobile Ouargla)</t>
  </si>
  <si>
    <t>SP2 Oléoduc OZ1/2 SH/TRC</t>
  </si>
  <si>
    <t>Zelfana</t>
  </si>
  <si>
    <t>Ghardaïa II (Vallée du M’Zab)</t>
  </si>
  <si>
    <t>SP3 Oléoduc OZ1/2 /SH/TRC</t>
  </si>
  <si>
    <t>Berriane</t>
  </si>
  <si>
    <t>40+130</t>
  </si>
  <si>
    <t>298+370</t>
  </si>
  <si>
    <t>588+400</t>
  </si>
  <si>
    <t>655+600</t>
  </si>
  <si>
    <t>675+300</t>
  </si>
  <si>
    <t>241+238</t>
  </si>
  <si>
    <t>694+000</t>
  </si>
  <si>
    <t>262+250</t>
  </si>
  <si>
    <t>714+230</t>
  </si>
  <si>
    <t>725+600</t>
  </si>
  <si>
    <t>733+100</t>
  </si>
  <si>
    <t>741+500</t>
  </si>
  <si>
    <t>742+661</t>
  </si>
  <si>
    <t>799+100</t>
  </si>
  <si>
    <t>850+700</t>
  </si>
  <si>
    <t>890+990</t>
  </si>
  <si>
    <t>892+200</t>
  </si>
  <si>
    <t>910+900</t>
  </si>
  <si>
    <t>Reggane Nord</t>
  </si>
  <si>
    <t>Touat</t>
  </si>
  <si>
    <t>Timimoun</t>
  </si>
  <si>
    <t>Tinrkouk (Hassi Mouina Sud)</t>
  </si>
  <si>
    <t>Reg Mouaed (Hassi Ba Hamo)</t>
  </si>
  <si>
    <t>Hassi Tidjerane (Hassi Mouina Nord)</t>
  </si>
  <si>
    <t>AOULEF</t>
  </si>
  <si>
    <t>El GOLEA</t>
  </si>
  <si>
    <t>19+142 / 173</t>
  </si>
  <si>
    <t>39+030 / 170</t>
  </si>
  <si>
    <t>58+423 / 127</t>
  </si>
  <si>
    <t>78+000 / 119</t>
  </si>
  <si>
    <t>97+503 / 112</t>
  </si>
  <si>
    <t>117+112 / 98</t>
  </si>
  <si>
    <t>136+698 / 88</t>
  </si>
  <si>
    <t>156+448 / 71</t>
  </si>
  <si>
    <t>175+500 / 77</t>
  </si>
  <si>
    <t>209+315 / 110</t>
  </si>
  <si>
    <t>228+535 / 78</t>
  </si>
  <si>
    <t>248+003 / 42</t>
  </si>
  <si>
    <t>267+651 / 93</t>
  </si>
  <si>
    <t>287+163 / 85</t>
  </si>
  <si>
    <t>306+745 / 78</t>
  </si>
  <si>
    <t>326+507 / 150</t>
  </si>
  <si>
    <t>357+114 / 241</t>
  </si>
  <si>
    <t>375+164 / 403</t>
  </si>
  <si>
    <t>Hassi Ben Abdallah / Sidi khouiled / OUARGLA</t>
  </si>
  <si>
    <t>Elhadjira / Elhadjira / OUARGLA</t>
  </si>
  <si>
    <t>Temacine / Temacine / OUARGLA</t>
  </si>
  <si>
    <t>Megharine / Megharine / OUARGLA</t>
  </si>
  <si>
    <t>Sidi Amrane / Djamâa / M’GHAIER</t>
  </si>
  <si>
    <t>Djamâa / Djamâa / M’GHAIER</t>
  </si>
  <si>
    <t>Sidi Khelil / M'ghaier / M’GHAIER</t>
  </si>
  <si>
    <t>M’ghaier / M'ghaier / M’GHAIER</t>
  </si>
  <si>
    <t>Oum Touyour / M'ghaier / M’GHAIER</t>
  </si>
  <si>
    <t>Still / M'ghaier / M’GHAIER</t>
  </si>
  <si>
    <t>Mlili / Ouarlal / BISKRA</t>
  </si>
  <si>
    <t>El hadjeb / Tolga / BISKRA</t>
  </si>
  <si>
    <t>El outaya / El outaya / BISKRA</t>
  </si>
  <si>
    <t>N’gaous / N’gaous / BATNA</t>
  </si>
  <si>
    <t>Lemcen / Ouled Si Slimane / BATNA</t>
  </si>
  <si>
    <t>Talkhemt / Ras El Aioun / BATNA</t>
  </si>
  <si>
    <t>Aindjasser / Ain djasser / MILA</t>
  </si>
  <si>
    <t>Ouled khlouf / Tadjenent / MILA</t>
  </si>
  <si>
    <t>M’chira / Teleghma / MILA</t>
  </si>
  <si>
    <t>Teleghma / Teleghma / MILA</t>
  </si>
  <si>
    <t>Oued Sguine / Teleghma / MILA</t>
  </si>
  <si>
    <t>Ain Smara / Khroub / CONSTANTINE</t>
  </si>
  <si>
    <t>Didouche Mourad / Didouche Mourad / CONSTANTINE</t>
  </si>
  <si>
    <t>Zighout youcef / Zighout youcef / CONSTANTINE</t>
  </si>
  <si>
    <t>El Harouche / El Harouche / SKIKDA</t>
  </si>
  <si>
    <t>Salah bouchaour / El Harouche / SKIKDA</t>
  </si>
  <si>
    <t>Ramdane Djamel / Ramdane Djamel / SKIKDA</t>
  </si>
  <si>
    <t>394+301 / 538</t>
  </si>
  <si>
    <t>411+129 / 474</t>
  </si>
  <si>
    <t>446+337 / 705</t>
  </si>
  <si>
    <t>461+375 / 854</t>
  </si>
  <si>
    <t>478+150 / 934</t>
  </si>
  <si>
    <t>496+241 / 874</t>
  </si>
  <si>
    <t>508+364 / 957</t>
  </si>
  <si>
    <t>525+239 / 833</t>
  </si>
  <si>
    <t>540+753 / 780</t>
  </si>
  <si>
    <t>554+193 / 660</t>
  </si>
  <si>
    <t>568+761 / 770</t>
  </si>
  <si>
    <t>576+080 / 432</t>
  </si>
  <si>
    <t>588+960 / 594</t>
  </si>
  <si>
    <t>599+888 / 568</t>
  </si>
  <si>
    <t>614+435 / 172</t>
  </si>
  <si>
    <t>623+417 / 149</t>
  </si>
  <si>
    <t>633+085 / 60</t>
  </si>
  <si>
    <t>641+444 / 30</t>
  </si>
  <si>
    <t>27 / 637</t>
  </si>
  <si>
    <t>40 / 515</t>
  </si>
  <si>
    <t>78 / 438</t>
  </si>
  <si>
    <t>117+300 / 373</t>
  </si>
  <si>
    <t>201+600 / 273</t>
  </si>
  <si>
    <t>255+300 / 242</t>
  </si>
  <si>
    <t>293+600 / 226</t>
  </si>
  <si>
    <t>386 / 183</t>
  </si>
  <si>
    <t>435+100 / 159</t>
  </si>
  <si>
    <t>475+100 / 145</t>
  </si>
  <si>
    <t>Ohanet / ILLIZI</t>
  </si>
  <si>
    <t>Bordj Omar Driss / ILLIZI</t>
  </si>
  <si>
    <t>33+400 / 800</t>
  </si>
  <si>
    <t>66+800 / 920</t>
  </si>
  <si>
    <t>91+300 / 820</t>
  </si>
  <si>
    <t>153+500 / 1250</t>
  </si>
  <si>
    <t>189 / 1000</t>
  </si>
  <si>
    <t>219 / 920</t>
  </si>
  <si>
    <t>249 / 1100</t>
  </si>
  <si>
    <t>281 / 1250</t>
  </si>
  <si>
    <t>329 / 1000</t>
  </si>
  <si>
    <t>349+400 /480</t>
  </si>
  <si>
    <t>372+800 /550</t>
  </si>
  <si>
    <t>388 /510</t>
  </si>
  <si>
    <t>412+200 /180</t>
  </si>
  <si>
    <t>436+300 /110</t>
  </si>
  <si>
    <t>451+400 /107</t>
  </si>
  <si>
    <t>474+300 /30</t>
  </si>
  <si>
    <t>492+700 /160</t>
  </si>
  <si>
    <t>El Kheneg / LAGHOUAT</t>
  </si>
  <si>
    <t>Tadjmout / LAGHOUAT</t>
  </si>
  <si>
    <t>Sidi Bouzid / LAGHOUAT</t>
  </si>
  <si>
    <t>Naima / TIARET</t>
  </si>
  <si>
    <t>Mellakou / TIARET</t>
  </si>
  <si>
    <t>Sidi Lazreg / RELIZANE</t>
  </si>
  <si>
    <t>Bendaoud / RELIZANE</t>
  </si>
  <si>
    <t>Sedjarara / MASCARA</t>
  </si>
  <si>
    <t>El Ghomri / MASCARA</t>
  </si>
  <si>
    <t>Ras Ain Amirouche / MASCARA</t>
  </si>
  <si>
    <t>Mers El Hadjadj / ORAN</t>
  </si>
  <si>
    <t>20+983 / 760</t>
  </si>
  <si>
    <t>41+247 / 824</t>
  </si>
  <si>
    <t>60+604 / 875</t>
  </si>
  <si>
    <t>80+141 / 800</t>
  </si>
  <si>
    <t>97+958 / 795</t>
  </si>
  <si>
    <t>119+566 / 953</t>
  </si>
  <si>
    <t>140+999 / 1069</t>
  </si>
  <si>
    <t>160+134 / 1237</t>
  </si>
  <si>
    <t>182+012 / 1136</t>
  </si>
  <si>
    <t>199+477 / 971</t>
  </si>
  <si>
    <t>219+487 / 978</t>
  </si>
  <si>
    <t>241+804 / 1056</t>
  </si>
  <si>
    <t>261+913 / 1147</t>
  </si>
  <si>
    <t>282+038 / 1266</t>
  </si>
  <si>
    <t>301+416 / 1173</t>
  </si>
  <si>
    <t>325+534 / 995</t>
  </si>
  <si>
    <t>336+228 / 1015</t>
  </si>
  <si>
    <t>346+717 / 786</t>
  </si>
  <si>
    <t>358+621 / 673</t>
  </si>
  <si>
    <t>369+781 / 636</t>
  </si>
  <si>
    <t>382+146 / 538</t>
  </si>
  <si>
    <t>393+132 / 269</t>
  </si>
  <si>
    <t>404+398 / 116</t>
  </si>
  <si>
    <t>412+418 / 120</t>
  </si>
  <si>
    <t>425+319 / 311</t>
  </si>
  <si>
    <t>433+722 / 314</t>
  </si>
  <si>
    <t>447+168 / 75</t>
  </si>
  <si>
    <t>457+033 / 24</t>
  </si>
  <si>
    <t>467+132 /15</t>
  </si>
  <si>
    <t>477+352 / 8</t>
  </si>
  <si>
    <t>486+013 /16</t>
  </si>
  <si>
    <t>Hassi r’mel / LAGHOUAT</t>
  </si>
  <si>
    <t>Beidha / LAGHOUAT</t>
  </si>
  <si>
    <t>Tousnina / TIARET</t>
  </si>
  <si>
    <t>Sidi Mhamed Benaouda / RELIZANE</t>
  </si>
  <si>
    <t>Ain Rahma / RELIZANE</t>
  </si>
  <si>
    <t>Sedjrara / RELIZANE</t>
  </si>
  <si>
    <t>Sidi Abdelmoumene / MASCARA</t>
  </si>
  <si>
    <t>Mactaa Douz / MASCARA</t>
  </si>
  <si>
    <t>Ras el Ain Amirouche / MASCARA</t>
  </si>
  <si>
    <t>15 A</t>
  </si>
  <si>
    <t>15 B</t>
  </si>
  <si>
    <t>20+000 / 709</t>
  </si>
  <si>
    <t>40+000 / 694</t>
  </si>
  <si>
    <t>60+000 / 662</t>
  </si>
  <si>
    <t>118+000 / 558</t>
  </si>
  <si>
    <t>156+000 / 570</t>
  </si>
  <si>
    <t>195+600 / 540</t>
  </si>
  <si>
    <t>263+400 / 423</t>
  </si>
  <si>
    <t>298+000 / 348</t>
  </si>
  <si>
    <t>316+800 / 318</t>
  </si>
  <si>
    <t>357+800 / 300</t>
  </si>
  <si>
    <t>448+800 / 240</t>
  </si>
  <si>
    <t>Bordj Omar Idriss / ILLIZI</t>
  </si>
  <si>
    <t>20 Bis</t>
  </si>
  <si>
    <t>484+800 / 220</t>
  </si>
  <si>
    <t>524+300 / 198</t>
  </si>
  <si>
    <t>544+900 / 186</t>
  </si>
  <si>
    <t>565+600 / 178</t>
  </si>
  <si>
    <t>586+400 / 167</t>
  </si>
  <si>
    <t>604+300 / 160</t>
  </si>
  <si>
    <t>623+300 / 151</t>
  </si>
  <si>
    <t>672+500 / 167</t>
  </si>
  <si>
    <t>694+500 / 177</t>
  </si>
  <si>
    <t>715+500 / 148</t>
  </si>
  <si>
    <t>741+600 / 136</t>
  </si>
  <si>
    <t>769+500 / 160</t>
  </si>
  <si>
    <t>837+600 / 318</t>
  </si>
  <si>
    <t>857+500 / 352</t>
  </si>
  <si>
    <t>878+500 / 412</t>
  </si>
  <si>
    <t>900+700 / 496</t>
  </si>
  <si>
    <t>918+300 / 558</t>
  </si>
  <si>
    <t>936+600 / 626</t>
  </si>
  <si>
    <t>954+300 / 708</t>
  </si>
  <si>
    <t>971+300 /770</t>
  </si>
  <si>
    <t>Rouissat / OUARGLA</t>
  </si>
  <si>
    <t>Bounoura / GHARDAIA</t>
  </si>
  <si>
    <t>Ghardaïa / GHARDAIA</t>
  </si>
  <si>
    <t>Ben Dhaou / LAGHOUAT</t>
  </si>
  <si>
    <t>Hassi R'mel / LAGHOUAT</t>
  </si>
  <si>
    <t>18 / 558</t>
  </si>
  <si>
    <t>54 / 570</t>
  </si>
  <si>
    <t>93 / 540</t>
  </si>
  <si>
    <t>161 / 423</t>
  </si>
  <si>
    <t>196 / 348</t>
  </si>
  <si>
    <t>214 / 318</t>
  </si>
  <si>
    <t>255 / 300</t>
  </si>
  <si>
    <t>294 / 274</t>
  </si>
  <si>
    <t>346 / 240</t>
  </si>
  <si>
    <t>382 / 220</t>
  </si>
  <si>
    <t>19+000 / 163</t>
  </si>
  <si>
    <t>41+000 / 177</t>
  </si>
  <si>
    <t>63+000 / 147</t>
  </si>
  <si>
    <t>84+017 / 140</t>
  </si>
  <si>
    <t>101+802 / 220</t>
  </si>
  <si>
    <t>121+500 / 230</t>
  </si>
  <si>
    <t>142+000 / 250</t>
  </si>
  <si>
    <t>171+000 / 310</t>
  </si>
  <si>
    <t>191+278 / 380</t>
  </si>
  <si>
    <t>212+000 / 440</t>
  </si>
  <si>
    <t>233+240 / 470</t>
  </si>
  <si>
    <t>271+322 / 580</t>
  </si>
  <si>
    <t>291+500 / 640</t>
  </si>
  <si>
    <t>305+618 / 690</t>
  </si>
  <si>
    <t>324+000 / 750</t>
  </si>
  <si>
    <t>Hassi Ben Abdellah / OUARGLA</t>
  </si>
  <si>
    <t>El Atteuf / GHARDAIA</t>
  </si>
  <si>
    <t>Guardaia / GHARDAIA</t>
  </si>
  <si>
    <t>168+131 / 1238</t>
  </si>
  <si>
    <t>275+084 / 1175</t>
  </si>
  <si>
    <t>304+867 / 1193</t>
  </si>
  <si>
    <t>397+798 / 520</t>
  </si>
  <si>
    <t>442+062 / 127</t>
  </si>
  <si>
    <t>470+449 / 13</t>
  </si>
  <si>
    <t>486+214 / 24</t>
  </si>
  <si>
    <t>504+500 / 53</t>
  </si>
  <si>
    <t>Sidi Touati / TIARET</t>
  </si>
  <si>
    <t>El Matmar / RELIZANE</t>
  </si>
  <si>
    <t>Sept Marabouts - Ain Nouissy / MOSTAGANEM</t>
  </si>
  <si>
    <t>Mactaa Sud - Ain Nouissy / MOSTAGANEM</t>
  </si>
  <si>
    <t>Mactaa Nord Ain Nouissy / MOSTAGANEM</t>
  </si>
  <si>
    <t>Ain El Bya / ORAN</t>
  </si>
  <si>
    <t>17+100 / 732</t>
  </si>
  <si>
    <t>37+400 / 790</t>
  </si>
  <si>
    <t>55+800 / 810</t>
  </si>
  <si>
    <t>91+700 / 790</t>
  </si>
  <si>
    <t>108+400 / 801</t>
  </si>
  <si>
    <t>127+100 / 921</t>
  </si>
  <si>
    <t>156+500 / 1172</t>
  </si>
  <si>
    <t>186+300 / 1010</t>
  </si>
  <si>
    <t>204+600 / 990</t>
  </si>
  <si>
    <t>275+049 / 1162</t>
  </si>
  <si>
    <t>325+273 / 984</t>
  </si>
  <si>
    <t>351+200 / 630</t>
  </si>
  <si>
    <t>371+128 / 670</t>
  </si>
  <si>
    <t>421+375 / 73</t>
  </si>
  <si>
    <t>442+515 / 70</t>
  </si>
  <si>
    <t>470+266 / 13</t>
  </si>
  <si>
    <t>486+450 / 24</t>
  </si>
  <si>
    <t>487+720 /436</t>
  </si>
  <si>
    <t>486+964 / 4,36</t>
  </si>
  <si>
    <t>350+830 / 647,65</t>
  </si>
  <si>
    <t>56+306 / 829,20</t>
  </si>
  <si>
    <t>57+294 / 836</t>
  </si>
  <si>
    <t>113+494 / 820</t>
  </si>
  <si>
    <t>167+279 / 1237</t>
  </si>
  <si>
    <t>275+327 / 1162</t>
  </si>
  <si>
    <t>325+846 / 984</t>
  </si>
  <si>
    <t>351+449 / 630</t>
  </si>
  <si>
    <t>371+791 / 670</t>
  </si>
  <si>
    <t>423+300 / 73</t>
  </si>
  <si>
    <t>444+060 / 181</t>
  </si>
  <si>
    <t>470+716 / 65</t>
  </si>
  <si>
    <t>501+850 / 95</t>
  </si>
  <si>
    <t>13+600 / 1211</t>
  </si>
  <si>
    <t>24+900 / 1059</t>
  </si>
  <si>
    <t>35+000 / 953</t>
  </si>
  <si>
    <t>43+000 / 910</t>
  </si>
  <si>
    <t>55+000 / 722</t>
  </si>
  <si>
    <t>65+000 / 589</t>
  </si>
  <si>
    <t>74+000 / 679</t>
  </si>
  <si>
    <t>86+000 / 556</t>
  </si>
  <si>
    <t>96+000 / 489</t>
  </si>
  <si>
    <t>115+000 / 198</t>
  </si>
  <si>
    <t>126+000 / 136</t>
  </si>
  <si>
    <t>135+000 / 119</t>
  </si>
  <si>
    <t>145+000 / 334</t>
  </si>
  <si>
    <t>156+000 / 114</t>
  </si>
  <si>
    <t>166+000 / 40</t>
  </si>
  <si>
    <t>176+000 / 23</t>
  </si>
  <si>
    <t>185+000 / 05</t>
  </si>
  <si>
    <t>195+000 / 04</t>
  </si>
  <si>
    <t>208+000 / 59</t>
  </si>
  <si>
    <t>Ain Dhab / TIARET</t>
  </si>
  <si>
    <t>Tiaret/ TIARET</t>
  </si>
  <si>
    <t>Guertoufa/ TIARET</t>
  </si>
  <si>
    <t>Tamda / TIARET</t>
  </si>
  <si>
    <t>Ouad El Salam / TIARET</t>
  </si>
  <si>
    <t>Sidi Lazrag / RELIZANE</t>
  </si>
  <si>
    <t>Mohamed Ben Aouda / RELIZANE</t>
  </si>
  <si>
    <t>Kelaa / RELIZANE</t>
  </si>
  <si>
    <t>Sedjrara / MASCARA</t>
  </si>
  <si>
    <t>Mohamadia / MASCARA</t>
  </si>
  <si>
    <t>Moctaa Douze / MASCARA</t>
  </si>
  <si>
    <t>Alaymia / MASCARA</t>
  </si>
  <si>
    <t>Béthioua / ORAN</t>
  </si>
  <si>
    <t>Tadjmount / LAGHOUAT</t>
  </si>
  <si>
    <t>Ain Guesma / TIARET</t>
  </si>
  <si>
    <t>Bermadia / RELIZANE</t>
  </si>
  <si>
    <t>Yellal / RELIZANE</t>
  </si>
  <si>
    <t>Béthioua (Granine) / ORAN</t>
  </si>
  <si>
    <t>Nacer benchohra / LAGHOUAT</t>
  </si>
  <si>
    <t>El Khneig / LAGHOUAT</t>
  </si>
  <si>
    <t>El beida / LAGHOUAT</t>
  </si>
  <si>
    <t>Hassaine - Ain Nouissy / MOSTAGANEM</t>
  </si>
  <si>
    <t>Ouled Senouci - Ain Nouissy / MOSTAGANEM</t>
  </si>
  <si>
    <t>Mersat El Hadjadj / ORAN</t>
  </si>
  <si>
    <t>025+145 / 740</t>
  </si>
  <si>
    <t>050+150 /844</t>
  </si>
  <si>
    <t>098+286 / 770</t>
  </si>
  <si>
    <t>122+431 / 914</t>
  </si>
  <si>
    <t>172+242 / 1243</t>
  </si>
  <si>
    <t>199+018 / 1040</t>
  </si>
  <si>
    <t>248+634 / 996</t>
  </si>
  <si>
    <t>272+092 / 1162</t>
  </si>
  <si>
    <t>318+740 / 1060</t>
  </si>
  <si>
    <t>337+788 / 907</t>
  </si>
  <si>
    <t>358+855 / 597</t>
  </si>
  <si>
    <t>379+648 / 528</t>
  </si>
  <si>
    <t>409+610 / 305,44</t>
  </si>
  <si>
    <t>420+065 / 158,79</t>
  </si>
  <si>
    <t>429+551 / 130,43</t>
  </si>
  <si>
    <t>439+008 / 279,93</t>
  </si>
  <si>
    <t>450+401 / 341,69</t>
  </si>
  <si>
    <t>460+599 / 111,08</t>
  </si>
  <si>
    <t>470+311 / 56,30</t>
  </si>
  <si>
    <t>478+997 / 34,56</t>
  </si>
  <si>
    <t>489+594 / 16,74</t>
  </si>
  <si>
    <t>502+152 / 11,13</t>
  </si>
  <si>
    <t>Sidi Bouzid / DJELFA</t>
  </si>
  <si>
    <t>Faija / TIARET</t>
  </si>
  <si>
    <t>Sougueur / Sougueur / TIARET</t>
  </si>
  <si>
    <t>Tagdempt / Tiaret / TIARET</t>
  </si>
  <si>
    <t>Guertoufa/ Rahouia / TIARET</t>
  </si>
  <si>
    <t>Ouad El Salam /Mendes / TIARET</t>
  </si>
  <si>
    <t>Bendaouad / RELIZANE</t>
  </si>
  <si>
    <t>Sidi Abdelmoumen / MASCARA</t>
  </si>
  <si>
    <t>Alaimia/ MASCARA</t>
  </si>
  <si>
    <t>17+306 / 748</t>
  </si>
  <si>
    <t>37+234 / 780</t>
  </si>
  <si>
    <t>55+675 / 820</t>
  </si>
  <si>
    <t>91+728 / 772</t>
  </si>
  <si>
    <t>108+506 / 850</t>
  </si>
  <si>
    <t>127+193 / 1000</t>
  </si>
  <si>
    <t>164+972 / 1268</t>
  </si>
  <si>
    <t>184+936 / 1120</t>
  </si>
  <si>
    <t>204+699 / 990</t>
  </si>
  <si>
    <t>243+281 / 990</t>
  </si>
  <si>
    <t>260+571 / 1025</t>
  </si>
  <si>
    <t>277+849 / 1029</t>
  </si>
  <si>
    <t>309+881 / 990</t>
  </si>
  <si>
    <t>320+282 / 1000</t>
  </si>
  <si>
    <t>329+403 / 996</t>
  </si>
  <si>
    <t>337+407 / 997</t>
  </si>
  <si>
    <t>351+582 / 1000</t>
  </si>
  <si>
    <t>360+368 / 1200</t>
  </si>
  <si>
    <t>369+498 / 1129</t>
  </si>
  <si>
    <t>381+109 / 1000</t>
  </si>
  <si>
    <t>391+812 / 880</t>
  </si>
  <si>
    <t>410+698 / 700</t>
  </si>
  <si>
    <t>421+295 / 570</t>
  </si>
  <si>
    <t>432+740 / 505</t>
  </si>
  <si>
    <t>440+709 / 522</t>
  </si>
  <si>
    <t>450+805 / 544</t>
  </si>
  <si>
    <t>460+973 / 550</t>
  </si>
  <si>
    <t>470,841 / 555</t>
  </si>
  <si>
    <t>479+399 / 560</t>
  </si>
  <si>
    <t>491+275 / 577</t>
  </si>
  <si>
    <t>501+851 / 592</t>
  </si>
  <si>
    <t>Oggaz / MASCARA</t>
  </si>
  <si>
    <t>Zahana / MASCARA</t>
  </si>
  <si>
    <t>Tafraoui / ORAN</t>
  </si>
  <si>
    <t>Oued Sebah / AIN TEMOUCHENT</t>
  </si>
  <si>
    <t>Bouhdjar / AIN TEMOUCHENT</t>
  </si>
  <si>
    <t>Cheibat el lahm / AIN TEMOUCHENT</t>
  </si>
  <si>
    <t>Hassi/R’mel / LAGHOUAT</t>
  </si>
  <si>
    <t>Sidi bouzid / DJELFA</t>
  </si>
  <si>
    <t>17+280 / 48,76</t>
  </si>
  <si>
    <t>35+600 / 164,84</t>
  </si>
  <si>
    <t>54+660 / 110,38</t>
  </si>
  <si>
    <t>74+250 / 142,69</t>
  </si>
  <si>
    <t>85+580 / 205,11</t>
  </si>
  <si>
    <t>105+790 / 184,73</t>
  </si>
  <si>
    <t>TIARET</t>
  </si>
  <si>
    <t>Oued Slem / RELIZANE</t>
  </si>
  <si>
    <t>Mendes / RELIZANE</t>
  </si>
  <si>
    <t>Dar benadbellah / RELIZANE</t>
  </si>
  <si>
    <t>Matmar / RELIZANE</t>
  </si>
  <si>
    <t>MOSTAGANEM</t>
  </si>
  <si>
    <t>Sidi abdelmoumene / MASCARA</t>
  </si>
  <si>
    <t>Mocta Douz / MASCARA</t>
  </si>
  <si>
    <t>41+554 / 695</t>
  </si>
  <si>
    <t>133+820 / 630</t>
  </si>
  <si>
    <t>224+084 / 327</t>
  </si>
  <si>
    <t>296+901 / 438</t>
  </si>
  <si>
    <t>328+215 / 431</t>
  </si>
  <si>
    <t>380+713 / 754</t>
  </si>
  <si>
    <t>405+118 / 932</t>
  </si>
  <si>
    <t>458+520 / 793</t>
  </si>
  <si>
    <t>476+403 / 678</t>
  </si>
  <si>
    <t>498+209 / 700</t>
  </si>
  <si>
    <t>514+528 / 461</t>
  </si>
  <si>
    <t>526+344 / 600</t>
  </si>
  <si>
    <t>545+515 / 135</t>
  </si>
  <si>
    <t>554+981 / 149</t>
  </si>
  <si>
    <t>565+000 / 196</t>
  </si>
  <si>
    <t>27+838 / 780</t>
  </si>
  <si>
    <t>55+947 / 767</t>
  </si>
  <si>
    <t>115+636 / 712</t>
  </si>
  <si>
    <t>148+867 / 544</t>
  </si>
  <si>
    <t>208+938 / 287</t>
  </si>
  <si>
    <t>239+132 / 300</t>
  </si>
  <si>
    <t>296+788 / 421</t>
  </si>
  <si>
    <t>327+612 / 424</t>
  </si>
  <si>
    <t>375+017 / 697</t>
  </si>
  <si>
    <t>405+393 / 936</t>
  </si>
  <si>
    <t>445+486 / 948</t>
  </si>
  <si>
    <t>458+654 / 814</t>
  </si>
  <si>
    <t>476+409 / 697</t>
  </si>
  <si>
    <t>498+919 / 720</t>
  </si>
  <si>
    <t>515+070 / 720</t>
  </si>
  <si>
    <t>527+143 / 589</t>
  </si>
  <si>
    <t>537+665 / 565</t>
  </si>
  <si>
    <t>545+454 / 161</t>
  </si>
  <si>
    <t>556+620 / 60</t>
  </si>
  <si>
    <t>565+781 / 231</t>
  </si>
  <si>
    <t>10B</t>
  </si>
  <si>
    <t>10A</t>
  </si>
  <si>
    <t>11A</t>
  </si>
  <si>
    <t>Hassi Delaa / LAGHOUAT</t>
  </si>
  <si>
    <t>Chaiba / OULED DJELLAL</t>
  </si>
  <si>
    <t>M’doukel / BATNA</t>
  </si>
  <si>
    <t>Sefiane / BATNA</t>
  </si>
  <si>
    <t>Laksar / BATNA</t>
  </si>
  <si>
    <t>M’chira / MILA</t>
  </si>
  <si>
    <t>Télaghma / MILA</t>
  </si>
  <si>
    <t>Boussouf / CONSTANTINE</t>
  </si>
  <si>
    <t>Hamma Bouziane / CONSTANTINE</t>
  </si>
  <si>
    <t>Zighoud Youcef / CONSTANTINE</t>
  </si>
  <si>
    <t>El Harrouch / SKIKDA</t>
  </si>
  <si>
    <t>Salah Bouchaour / SKIKDA</t>
  </si>
  <si>
    <t>Ramdane Djamel / SKIKDA</t>
  </si>
  <si>
    <t>Es Sed / DJELFA</t>
  </si>
  <si>
    <t>Besbes / OULED DJELLAL</t>
  </si>
  <si>
    <t>Ouled Slimane / BATNA</t>
  </si>
  <si>
    <t>Telkhmet / BATNA</t>
  </si>
  <si>
    <t>Ouled Khlouf / MILA</t>
  </si>
  <si>
    <t>Oued Seguin / MILA</t>
  </si>
  <si>
    <t>Didouche Mourad / CONSTANTINE</t>
  </si>
  <si>
    <t>Ain Bouziane / SKIKDA</t>
  </si>
  <si>
    <t>45+564 / 690</t>
  </si>
  <si>
    <t>249+256 / 264</t>
  </si>
  <si>
    <t>282+487 / 330</t>
  </si>
  <si>
    <t>299+088 / 328</t>
  </si>
  <si>
    <t>422+669 / 863</t>
  </si>
  <si>
    <t>523+454 / 485</t>
  </si>
  <si>
    <t>556+950 / 50</t>
  </si>
  <si>
    <t>561+964 / 52</t>
  </si>
  <si>
    <t>Ain Djasser / MILA</t>
  </si>
  <si>
    <t>45+478 / 697</t>
  </si>
  <si>
    <t>249+294 / 244</t>
  </si>
  <si>
    <t>282+487 / 288</t>
  </si>
  <si>
    <t>299+188 / 316</t>
  </si>
  <si>
    <t>422+976 / 872</t>
  </si>
  <si>
    <t>485+040 / 663</t>
  </si>
  <si>
    <t>523+927 / 422</t>
  </si>
  <si>
    <t>558+254 / 50</t>
  </si>
  <si>
    <t>562+914 / 72</t>
  </si>
  <si>
    <t>Ain Smara / CONSTANTINE</t>
  </si>
  <si>
    <t>11+370 / 749,01</t>
  </si>
  <si>
    <t>23+373 / 785,20</t>
  </si>
  <si>
    <t>44+050 / 698,20</t>
  </si>
  <si>
    <t>63+196 / 729,30</t>
  </si>
  <si>
    <t>97+795 / 712,10</t>
  </si>
  <si>
    <t>114+900 / 714,01</t>
  </si>
  <si>
    <t>133+076 / 644,73</t>
  </si>
  <si>
    <t>148+421 / 547,62</t>
  </si>
  <si>
    <t>166+578 / 452,57</t>
  </si>
  <si>
    <t>195+506 / 321,83</t>
  </si>
  <si>
    <t>211+700 / 279,07</t>
  </si>
  <si>
    <t>231+306 / 274,75</t>
  </si>
  <si>
    <t>250+726 / 272,11</t>
  </si>
  <si>
    <t>284+160 / 325,40</t>
  </si>
  <si>
    <t>303+270 / 384,04</t>
  </si>
  <si>
    <t>325+270 / 433,66</t>
  </si>
  <si>
    <t>342+953 / 502,56</t>
  </si>
  <si>
    <t>362+882 / 644,85</t>
  </si>
  <si>
    <t>374+376 / 704,92</t>
  </si>
  <si>
    <t>382+354 / 768,92</t>
  </si>
  <si>
    <t>393+333 / 882,50</t>
  </si>
  <si>
    <t>401+942 / 938,05</t>
  </si>
  <si>
    <t>411+936 / 892,53</t>
  </si>
  <si>
    <t>425+489 / 875,71</t>
  </si>
  <si>
    <t>10+591 / 992,54</t>
  </si>
  <si>
    <t>20+409 / 875,25</t>
  </si>
  <si>
    <t>30+302 / 851,93</t>
  </si>
  <si>
    <t>40+990 / 832,07</t>
  </si>
  <si>
    <t>50+301 / 900,97</t>
  </si>
  <si>
    <t>59+216 / 903,18</t>
  </si>
  <si>
    <t>71+392 / 731,37</t>
  </si>
  <si>
    <t>81+591 / 896,12</t>
  </si>
  <si>
    <t>91+983 / 964,08</t>
  </si>
  <si>
    <t>112+404 / 832,90</t>
  </si>
  <si>
    <t>123+092 / 793,85</t>
  </si>
  <si>
    <t>130+829 / 779,45</t>
  </si>
  <si>
    <t>142+753 / 896,85</t>
  </si>
  <si>
    <t>148+816 / 732,26</t>
  </si>
  <si>
    <t>159+435 / 424,24</t>
  </si>
  <si>
    <t>172+646 / 277,63</t>
  </si>
  <si>
    <t>191+336 / 257,16</t>
  </si>
  <si>
    <t>201+646 / 187,60</t>
  </si>
  <si>
    <t>212+331 / 66,90</t>
  </si>
  <si>
    <t>222+765 / 255,05</t>
  </si>
  <si>
    <t>234+704 / 93,18</t>
  </si>
  <si>
    <t>241+926 / 97,09</t>
  </si>
  <si>
    <t>256+182 / 83,32</t>
  </si>
  <si>
    <t>10+164 / 896,837</t>
  </si>
  <si>
    <t>19+711 / 892,964</t>
  </si>
  <si>
    <t>30+777 / 780,556</t>
  </si>
  <si>
    <t>39+355 / 740,244</t>
  </si>
  <si>
    <t>49+635 / 513,167</t>
  </si>
  <si>
    <t>60+990 / 229,823</t>
  </si>
  <si>
    <t>72+910 / 215,353</t>
  </si>
  <si>
    <t>80+890 / 177,88</t>
  </si>
  <si>
    <t>Hassi R’mel/ LAGHOUAT</t>
  </si>
  <si>
    <t>Guettara / DJELFA</t>
  </si>
  <si>
    <t>Oum Laâdham / DJELFA</t>
  </si>
  <si>
    <t>Ras El miad / OULED DJELLAL</t>
  </si>
  <si>
    <t>Besbes  / OULED DJELLAL</t>
  </si>
  <si>
    <t>Bitam / BATNA</t>
  </si>
  <si>
    <t>Seggana / BATNA</t>
  </si>
  <si>
    <t>Boumaguer / BATNA</t>
  </si>
  <si>
    <t>N’Gaous / BATNA</t>
  </si>
  <si>
    <t>Ouled Sidi Slimane / BATNA</t>
  </si>
  <si>
    <t>Talkhemt / BATNA</t>
  </si>
  <si>
    <t>Kesarbelazma / BATNA</t>
  </si>
  <si>
    <t>Ain Djesser / BATNA</t>
  </si>
  <si>
    <t>Tadjenanet / MILA</t>
  </si>
  <si>
    <t>Ouled Khelouf / MILA</t>
  </si>
  <si>
    <t>El M’Chira / MILA</t>
  </si>
  <si>
    <t>Teleghma / MILA</t>
  </si>
  <si>
    <t>Ouled Hamla / Ain Mlila / OUM EL BOUAGHI</t>
  </si>
  <si>
    <t>Ouled Rahmoune / CONSTANTINE</t>
  </si>
  <si>
    <t>Bou nouara / CONSTANTINE</t>
  </si>
  <si>
    <t>Ain Abid / CONSTANTINE</t>
  </si>
  <si>
    <t>Tamlouka / GUELMA</t>
  </si>
  <si>
    <t>Ain Makhlouf / GUELMA</t>
  </si>
  <si>
    <t>Ain Larbi / GUELMA</t>
  </si>
  <si>
    <t>El Khazara / GUELMA</t>
  </si>
  <si>
    <t>Beni Mezline / GUELMA</t>
  </si>
  <si>
    <t>Boukamouza / GUELMA</t>
  </si>
  <si>
    <t>Chihani / EL TARF</t>
  </si>
  <si>
    <t>Asfour / EL TARF</t>
  </si>
  <si>
    <t>Chafia / EL TARF</t>
  </si>
  <si>
    <t>Boutelja / EL TARF</t>
  </si>
  <si>
    <t>Berihane / EL TARF</t>
  </si>
  <si>
    <t>Bordj Sabbat / GUELMA</t>
  </si>
  <si>
    <t>Ouled Hababa / SKIKDA</t>
  </si>
  <si>
    <t>Es sebt / SKIKDA</t>
  </si>
  <si>
    <t>Azzaba / SKIKDA</t>
  </si>
  <si>
    <t>Ben Bachir / SKIKDA</t>
  </si>
  <si>
    <t>81+800 / 744,70</t>
  </si>
  <si>
    <t>178+318 / 398,32</t>
  </si>
  <si>
    <t>269+444 / 358,13</t>
  </si>
  <si>
    <t>354+552 / 599,75</t>
  </si>
  <si>
    <t>431+719 / 934,86</t>
  </si>
  <si>
    <t>102+274 / 1007,13</t>
  </si>
  <si>
    <t>181+594 / 136,01</t>
  </si>
  <si>
    <t>Ras El Miaâd / OULED DJELLAL</t>
  </si>
  <si>
    <t>Seffiane / BATNA</t>
  </si>
  <si>
    <t>Mechtatine / Ouled Khalouf / MILA</t>
  </si>
  <si>
    <t>Bouchegouf / GUELMA</t>
  </si>
  <si>
    <t>248+441 / 246,64</t>
  </si>
  <si>
    <t>281+464 / 297,69</t>
  </si>
  <si>
    <t>298+725 / 343,77</t>
  </si>
  <si>
    <t>421+100 / 888,60</t>
  </si>
  <si>
    <t>71+432 / 731,37</t>
  </si>
  <si>
    <t>135+893 / 768,74</t>
  </si>
  <si>
    <t>189+976 / 104,98</t>
  </si>
  <si>
    <t>212+371 / 67,16</t>
  </si>
  <si>
    <t>236+551 / 75,00</t>
  </si>
  <si>
    <t>264+738 / 77,29</t>
  </si>
  <si>
    <t>31+845 / 738,893</t>
  </si>
  <si>
    <t>42+594 / 667,296</t>
  </si>
  <si>
    <t>68+312 / 170,948</t>
  </si>
  <si>
    <t>85+970 / 58,326</t>
  </si>
  <si>
    <t>GK3 Ter</t>
  </si>
  <si>
    <t>Hammadi Krouma / SKIKDA</t>
  </si>
  <si>
    <t>59+500 / 820</t>
  </si>
  <si>
    <t>126+700 / 860</t>
  </si>
  <si>
    <t>253+100 / 833</t>
  </si>
  <si>
    <t>325+900 / 591</t>
  </si>
  <si>
    <t>MESSAAD / DJELFA</t>
  </si>
  <si>
    <t>MEDJEDEL / M’SILA</t>
  </si>
  <si>
    <t>SIDI AISSA / M’SILA</t>
  </si>
  <si>
    <t>92+978 / 584</t>
  </si>
  <si>
    <t>94+500 / 680</t>
  </si>
  <si>
    <t>217 / 1114</t>
  </si>
  <si>
    <t>296 / 665</t>
  </si>
  <si>
    <t>349+250 / 800</t>
  </si>
  <si>
    <t>375 / 717</t>
  </si>
  <si>
    <t>401 / 592</t>
  </si>
  <si>
    <t>437 / 115</t>
  </si>
  <si>
    <t>20+244 / 820</t>
  </si>
  <si>
    <t>42+180/ 791</t>
  </si>
  <si>
    <t>63+331/ 663</t>
  </si>
  <si>
    <t>78+871/ 606</t>
  </si>
  <si>
    <t>102+614/ 711</t>
  </si>
  <si>
    <t>116+648/ 824</t>
  </si>
  <si>
    <t>129+753/ 1084</t>
  </si>
  <si>
    <t>140+044/ 873</t>
  </si>
  <si>
    <t>151+754/ 658</t>
  </si>
  <si>
    <t>160+000/ 573</t>
  </si>
  <si>
    <t>167+440/ 566</t>
  </si>
  <si>
    <t>176+202/ 454</t>
  </si>
  <si>
    <t>184+215/ 442</t>
  </si>
  <si>
    <t>196+297/ 165</t>
  </si>
  <si>
    <t>KSAR EL HIRANE / LAGHOUAT</t>
  </si>
  <si>
    <t>DAR CHIOUKH / DJELFA</t>
  </si>
  <si>
    <t>AIN HADJEL / M’SILA</t>
  </si>
  <si>
    <t>DIRAH / BOUIRA</t>
  </si>
  <si>
    <t>EL HACHIMIA / BOUIRA</t>
  </si>
  <si>
    <t>AIN CHRIKI / DJEBAHIA / BOUIRA</t>
  </si>
  <si>
    <t>BORDJ MENAIL/ ISSER / BOUMERDES</t>
  </si>
  <si>
    <t>Menaâ / M’SILA</t>
  </si>
  <si>
    <t>SIDI AMEUR / M’SILA</t>
  </si>
  <si>
    <t>AIN EL HADJEL/ M’SILA</t>
  </si>
  <si>
    <t>BOUTI SAYAH/ M’SILA</t>
  </si>
  <si>
    <t>EL HAKIMIA / BOUIRA</t>
  </si>
  <si>
    <t>EL HACHIMIA/ BOUIRA</t>
  </si>
  <si>
    <t>AIN LAHDJAR / BOUIRA</t>
  </si>
  <si>
    <t>AIN EL TURK / BOUIRA</t>
  </si>
  <si>
    <t>DJEBAHIA / BOUIRA</t>
  </si>
  <si>
    <t>KADIRIA/ BOUIRA</t>
  </si>
  <si>
    <t>CHAABET EL AMEUR/ BOUMERDES</t>
  </si>
  <si>
    <t>102+050 / 665</t>
  </si>
  <si>
    <t>319+050 / 374</t>
  </si>
  <si>
    <t>387+500 / 558</t>
  </si>
  <si>
    <t>87+320 / 577</t>
  </si>
  <si>
    <t>135+412 / 800</t>
  </si>
  <si>
    <t>172+255 / 394</t>
  </si>
  <si>
    <t>181+667 / 260</t>
  </si>
  <si>
    <t>206+720 / 89</t>
  </si>
  <si>
    <t>OUED DJEDI / OUED M’ZI / LAGHOUAT</t>
  </si>
  <si>
    <t>ELHACHIMIA / BOUIRA</t>
  </si>
  <si>
    <t>AOMAR / BOUIRA</t>
  </si>
  <si>
    <t>BORDJ MENAIL / ISSER / BOUMERDES</t>
  </si>
  <si>
    <t>SC3-GG1</t>
  </si>
  <si>
    <t>Station de Compression SC3-GG1</t>
  </si>
  <si>
    <t>ModelNumber</t>
  </si>
  <si>
    <t>SerialNumber</t>
  </si>
  <si>
    <t>TITAN 130</t>
  </si>
  <si>
    <t>Manufacturing</t>
  </si>
  <si>
    <t>Maintenance</t>
  </si>
  <si>
    <t>Type</t>
  </si>
  <si>
    <t>Facility</t>
  </si>
  <si>
    <t>Manufacturer</t>
  </si>
  <si>
    <t>--</t>
  </si>
  <si>
    <t>Turbine</t>
  </si>
  <si>
    <t>SOLAR</t>
  </si>
  <si>
    <t>C 453</t>
  </si>
  <si>
    <t>COMPRESSOR</t>
  </si>
  <si>
    <t>TURBO-ALT</t>
  </si>
  <si>
    <t>GELEC</t>
  </si>
  <si>
    <t>CENTAUR 40</t>
  </si>
  <si>
    <t>SDME</t>
  </si>
  <si>
    <t>19+006 / 743,68</t>
  </si>
  <si>
    <t>36+006 / 740,20</t>
  </si>
  <si>
    <t>54+006 / 743,94</t>
  </si>
  <si>
    <t>71+006 / 766,80</t>
  </si>
  <si>
    <t>106+844 / 775</t>
  </si>
  <si>
    <t>125+600 / 812</t>
  </si>
  <si>
    <t>143+020 / 760,1</t>
  </si>
  <si>
    <t>160+440 / 818</t>
  </si>
  <si>
    <t>194+606 / 778</t>
  </si>
  <si>
    <t>213+045 / 840,5</t>
  </si>
  <si>
    <t>232+345 / 900</t>
  </si>
  <si>
    <t>249+972 / 956</t>
  </si>
  <si>
    <t>293+901 / 1082</t>
  </si>
  <si>
    <t>314+533 / 1241</t>
  </si>
  <si>
    <t>326+217 / 1253,5</t>
  </si>
  <si>
    <t>361+740 / 1165,59</t>
  </si>
  <si>
    <t>381+459 / 1126,59</t>
  </si>
  <si>
    <t>401+379 / 1092,59</t>
  </si>
  <si>
    <t>421+190 / 1084,12</t>
  </si>
  <si>
    <t>460+999 / 1090,8</t>
  </si>
  <si>
    <t>480+984 / 1133,1</t>
  </si>
  <si>
    <t>500+697 / 1159,27</t>
  </si>
  <si>
    <t>Ain Madhi / LAGHOUAT</t>
  </si>
  <si>
    <t>Brezina / EL BAYADH</t>
  </si>
  <si>
    <t>Labiodh Sidi Echeikh / EL BAYADH</t>
  </si>
  <si>
    <t>Arbaouat / EL BAYADH</t>
  </si>
  <si>
    <t>Mehara / EL BAYADH</t>
  </si>
  <si>
    <t>Naâma / NAAMA</t>
  </si>
  <si>
    <t>Mekmen Ben Amar / NAAMA</t>
  </si>
  <si>
    <t>Kasdir / NAAMA</t>
  </si>
  <si>
    <t>19+745</t>
  </si>
  <si>
    <t>40+497</t>
  </si>
  <si>
    <t>61+808</t>
  </si>
  <si>
    <t>81+702</t>
  </si>
  <si>
    <t>123+543</t>
  </si>
  <si>
    <t>142+556</t>
  </si>
  <si>
    <t>162+513</t>
  </si>
  <si>
    <t>173+440</t>
  </si>
  <si>
    <t>186+155</t>
  </si>
  <si>
    <t>KASDIR/ NAAMA</t>
  </si>
  <si>
    <t>AL ARICHA/ TLEMCEN</t>
  </si>
  <si>
    <t>OULED MIMOUN/ TLEMCEN</t>
  </si>
  <si>
    <t>BEN BADIS / SIDI BEL ABBES</t>
  </si>
  <si>
    <t>AOUBELLIL / AIN TEMOUCHENT</t>
  </si>
  <si>
    <t>AGHLAL/ AIN TEMOUCHENT</t>
  </si>
  <si>
    <t>AIN TEMOUCHENT/ AIN TEMOUCHENT</t>
  </si>
  <si>
    <t>87+964 / 787,79</t>
  </si>
  <si>
    <t>175+978 / 807</t>
  </si>
  <si>
    <t>267+599 / 965,96</t>
  </si>
  <si>
    <t>341+917 / 1225,6</t>
  </si>
  <si>
    <t>441+016 / 1077,31</t>
  </si>
  <si>
    <t>Brézina / EL BAYADH</t>
  </si>
  <si>
    <t>103+121 / 1 121</t>
  </si>
  <si>
    <t>Beni Smiel / TLEMCEN</t>
  </si>
  <si>
    <t>518+555 / 1165</t>
  </si>
  <si>
    <t>93+737 / 1246</t>
  </si>
  <si>
    <t>133+147 / 782</t>
  </si>
  <si>
    <t>178+592 / 390</t>
  </si>
  <si>
    <t>BENI SMIEL/ TLEMCEN</t>
  </si>
  <si>
    <t>TA-GPDF-01</t>
  </si>
  <si>
    <t>NUOVO PIGNONE</t>
  </si>
  <si>
    <t>C-GPDF-01</t>
  </si>
  <si>
    <t>C-GPDF-02</t>
  </si>
  <si>
    <t>PCL 802-1/36’’</t>
  </si>
  <si>
    <t>BF6M1015C</t>
  </si>
  <si>
    <t>TA-GPDF-02</t>
  </si>
  <si>
    <t>GE-GPDF-01</t>
  </si>
  <si>
    <t>DEUTZ</t>
  </si>
  <si>
    <t>168+299 / 449,5</t>
  </si>
  <si>
    <t>348+381 / -1,6</t>
  </si>
  <si>
    <t>461+032 / 305</t>
  </si>
  <si>
    <t>168+491 / 449,5</t>
  </si>
  <si>
    <t>348+189/ -1,6</t>
  </si>
  <si>
    <t>460+872 / 305</t>
  </si>
  <si>
    <t>168+731 / 449,5</t>
  </si>
  <si>
    <t>348+560 / -1,6</t>
  </si>
  <si>
    <t>460+680 / 305</t>
  </si>
  <si>
    <t>Ras El Miaad/ Ouled Djellal</t>
  </si>
  <si>
    <t>Ain Naga / Biskra</t>
  </si>
  <si>
    <t>Ferkane / Tébessa</t>
  </si>
  <si>
    <t>40+037 / 714,55</t>
  </si>
  <si>
    <t>75+982 / 740,74</t>
  </si>
  <si>
    <t>112+200 / 742,12</t>
  </si>
  <si>
    <t>146+942 / 566,24</t>
  </si>
  <si>
    <t>208+330 / 351,21</t>
  </si>
  <si>
    <t>246+458 / 225,5</t>
  </si>
  <si>
    <t>283+965 / 101,16</t>
  </si>
  <si>
    <t>319+205 / 19,03</t>
  </si>
  <si>
    <t>375+601 / 35,29</t>
  </si>
  <si>
    <t>403+909 / 59,32</t>
  </si>
  <si>
    <t>432+950 / 135,97</t>
  </si>
  <si>
    <t>489+825 / 425,85</t>
  </si>
  <si>
    <t>519+673 / 704,82</t>
  </si>
  <si>
    <t>20+369 / 786,68</t>
  </si>
  <si>
    <t>39+887 / 719,48</t>
  </si>
  <si>
    <t>75+832 / 738,9</t>
  </si>
  <si>
    <t>112+350 / 741,89</t>
  </si>
  <si>
    <t>147+092 / 564,31</t>
  </si>
  <si>
    <t>246+608 / 224,98</t>
  </si>
  <si>
    <t>284+115 / 101,45</t>
  </si>
  <si>
    <t>319+255 / 19,03</t>
  </si>
  <si>
    <t>375+451 / 35,29</t>
  </si>
  <si>
    <t>403+759 / 58,44</t>
  </si>
  <si>
    <t>433+080 / 136,15</t>
  </si>
  <si>
    <t>489+936 / 427,56</t>
  </si>
  <si>
    <t>519+573 / 700</t>
  </si>
  <si>
    <t>20+356 / 786,68</t>
  </si>
  <si>
    <t>39+938 / 718,03</t>
  </si>
  <si>
    <t>61+075 / 742,66</t>
  </si>
  <si>
    <t>83+200 / 742,85</t>
  </si>
  <si>
    <t>103+000 / 726,85</t>
  </si>
  <si>
    <t>124+630 / 672,96</t>
  </si>
  <si>
    <t>147+024 / 566,24</t>
  </si>
  <si>
    <t>208+350 / 351,21</t>
  </si>
  <si>
    <t>246+508 / 224,98</t>
  </si>
  <si>
    <t>283+052 / 108,52</t>
  </si>
  <si>
    <t>319+228 / 18,59</t>
  </si>
  <si>
    <t>375+520 / 35,29</t>
  </si>
  <si>
    <t>403+850 / 58,44</t>
  </si>
  <si>
    <t>433+000 / 134,48</t>
  </si>
  <si>
    <t>482+120 / 353,39</t>
  </si>
  <si>
    <t>501+203 / 489,04</t>
  </si>
  <si>
    <t>520+000 / 706,45</t>
  </si>
  <si>
    <t>532+150 / 793,99</t>
  </si>
  <si>
    <t>Oum Laadam / OULED DJELLAL</t>
  </si>
  <si>
    <t>Ourllal / BISKRA</t>
  </si>
  <si>
    <t>Zribet El Oued / BISKRA</t>
  </si>
  <si>
    <t>Babar / KHENCHELA</t>
  </si>
  <si>
    <t>Thelidjane / TEBESSA</t>
  </si>
  <si>
    <t>Bir El Ater / TEBESSA</t>
  </si>
  <si>
    <t>Babar / KHENCHELLA</t>
  </si>
  <si>
    <t>Safsaf EL Ouessra / TEBESSA</t>
  </si>
  <si>
    <t>166+931 / 450,92</t>
  </si>
  <si>
    <t>168+780 / 448,13</t>
  </si>
  <si>
    <t>342+370 / -10,33</t>
  </si>
  <si>
    <t>349+020 / -0,28</t>
  </si>
  <si>
    <t>453+675 / 8,71</t>
  </si>
  <si>
    <t>362+717 / 26,69</t>
  </si>
  <si>
    <t>546+903 / 669,2</t>
  </si>
  <si>
    <t>166+966 / 451,9</t>
  </si>
  <si>
    <t>168+810 / 448,13</t>
  </si>
  <si>
    <t>342+305 / -10,33</t>
  </si>
  <si>
    <t>349+085 / -0,28</t>
  </si>
  <si>
    <t>453+725 / 8,71</t>
  </si>
  <si>
    <t>462+820 / 26,69</t>
  </si>
  <si>
    <t>546+952 / 669,2</t>
  </si>
  <si>
    <t>167+420 / 452,34</t>
  </si>
  <si>
    <t>342+860 / -10,57</t>
  </si>
  <si>
    <t>349+120 / -0,28</t>
  </si>
  <si>
    <t>461+750 / 24,37</t>
  </si>
  <si>
    <t>546+880 / 675,86</t>
  </si>
  <si>
    <t>SC2-GO2</t>
  </si>
  <si>
    <t>Station de Compression SC2-GO2</t>
  </si>
  <si>
    <t>LM2500 / PGT25</t>
  </si>
  <si>
    <t>T-GO2-01</t>
  </si>
  <si>
    <t>T-GO2-02</t>
  </si>
  <si>
    <t>T-GO2-03</t>
  </si>
  <si>
    <t>T-GO2-04</t>
  </si>
  <si>
    <t>PCL 603/2</t>
  </si>
  <si>
    <t>C-GO2-01</t>
  </si>
  <si>
    <t>TA-GO2-02</t>
  </si>
  <si>
    <t>TA-GO2-01</t>
  </si>
  <si>
    <t>Genset</t>
  </si>
  <si>
    <t>EGT/Alstom</t>
  </si>
  <si>
    <t>TB 5000</t>
  </si>
  <si>
    <t>GE-GO2-01</t>
  </si>
  <si>
    <t>IVECO/Stamford</t>
  </si>
  <si>
    <t>101+010 / 555</t>
  </si>
  <si>
    <t>232+380 / 470</t>
  </si>
  <si>
    <t>298+375 / 348</t>
  </si>
  <si>
    <t>432+720 / 252</t>
  </si>
  <si>
    <t>505+540 / 208</t>
  </si>
  <si>
    <t>588+350 / 166</t>
  </si>
  <si>
    <t>655+660 / 169</t>
  </si>
  <si>
    <t>766+611 / 226</t>
  </si>
  <si>
    <t>867+890 / 400</t>
  </si>
  <si>
    <t>961+470 / 779</t>
  </si>
  <si>
    <t>Ohanet/Bordj Omar Idriss / ILLIZI</t>
  </si>
  <si>
    <t>TFT/Bordj Omar Idriss / ILLIZI</t>
  </si>
  <si>
    <t>Leima/Bordj Omar Idriss / ILLIZI</t>
  </si>
  <si>
    <t>Rhourde Nouss/Bordj Omar Idriss / ILLIZI</t>
  </si>
  <si>
    <t>Gassi Touil/Hassi Messaoud / OUARGLA</t>
  </si>
  <si>
    <t>Zina/Hassi Messaoud / OUARGLA</t>
  </si>
  <si>
    <t>Hassi R’mel / GHARDAIA</t>
  </si>
  <si>
    <t>Ouargla/ OUARGLA</t>
  </si>
  <si>
    <t>Hassi Messaoud/OUARGLA</t>
  </si>
  <si>
    <t>73+000 / 208</t>
  </si>
  <si>
    <t>154+650 / 166</t>
  </si>
  <si>
    <t>222+926 / 169</t>
  </si>
  <si>
    <t>336+627 / 226</t>
  </si>
  <si>
    <t>437+654 / 400</t>
  </si>
  <si>
    <t>530+500 / 779</t>
  </si>
  <si>
    <t>71+303</t>
  </si>
  <si>
    <t>153+892</t>
  </si>
  <si>
    <t>221+606</t>
  </si>
  <si>
    <t>332+800</t>
  </si>
  <si>
    <t>433+755</t>
  </si>
  <si>
    <t>522+980</t>
  </si>
  <si>
    <t>19+960</t>
  </si>
  <si>
    <t>60+330</t>
  </si>
  <si>
    <t>80+230</t>
  </si>
  <si>
    <t>118+160</t>
  </si>
  <si>
    <t>136+450</t>
  </si>
  <si>
    <t>156+340</t>
  </si>
  <si>
    <t>176+170</t>
  </si>
  <si>
    <t>195+770</t>
  </si>
  <si>
    <t>214+140</t>
  </si>
  <si>
    <t>248+470</t>
  </si>
  <si>
    <t>263+670</t>
  </si>
  <si>
    <t>281+570</t>
  </si>
  <si>
    <t>317+100</t>
  </si>
  <si>
    <t>336+050</t>
  </si>
  <si>
    <t>357+030</t>
  </si>
  <si>
    <t>377+920</t>
  </si>
  <si>
    <t>397+620</t>
  </si>
  <si>
    <t>413+720</t>
  </si>
  <si>
    <t>450+810</t>
  </si>
  <si>
    <t>468+810</t>
  </si>
  <si>
    <t>486+810</t>
  </si>
  <si>
    <t>526+340</t>
  </si>
  <si>
    <t>546+940</t>
  </si>
  <si>
    <t>567+640</t>
  </si>
  <si>
    <t>606+900</t>
  </si>
  <si>
    <t>625+700</t>
  </si>
  <si>
    <t>640+860</t>
  </si>
  <si>
    <t>675+330</t>
  </si>
  <si>
    <t>695+330</t>
  </si>
  <si>
    <t>714+830</t>
  </si>
  <si>
    <t>733+140</t>
  </si>
  <si>
    <t>749+460</t>
  </si>
  <si>
    <t>789+910</t>
  </si>
  <si>
    <t>810+400</t>
  </si>
  <si>
    <t>830+000</t>
  </si>
  <si>
    <t>850+760</t>
  </si>
  <si>
    <t>910+930</t>
  </si>
  <si>
    <t>928+860</t>
  </si>
  <si>
    <t>946+610</t>
  </si>
  <si>
    <t>Ain El Beida / OUARGLA</t>
  </si>
  <si>
    <t>Rouisset / OUARGLA</t>
  </si>
  <si>
    <t>Dhayet Ben Dahoua / GHARDAIA</t>
  </si>
  <si>
    <t>547+100</t>
  </si>
  <si>
    <t>567+800</t>
  </si>
  <si>
    <t>607+000</t>
  </si>
  <si>
    <t>625+800</t>
  </si>
  <si>
    <t>640+900</t>
  </si>
  <si>
    <t>675+819</t>
  </si>
  <si>
    <t>695+599</t>
  </si>
  <si>
    <t>714+961</t>
  </si>
  <si>
    <t>733+509</t>
  </si>
  <si>
    <t>749+386</t>
  </si>
  <si>
    <t>789+986</t>
  </si>
  <si>
    <t>810+498</t>
  </si>
  <si>
    <t>829+988</t>
  </si>
  <si>
    <t>850+622</t>
  </si>
  <si>
    <t>891+089</t>
  </si>
  <si>
    <t>911+186</t>
  </si>
  <si>
    <t>928+964</t>
  </si>
  <si>
    <t>946+722</t>
  </si>
  <si>
    <t>19+900</t>
  </si>
  <si>
    <t>40+900</t>
  </si>
  <si>
    <t>60+300</t>
  </si>
  <si>
    <t>80+200</t>
  </si>
  <si>
    <t>118+100</t>
  </si>
  <si>
    <t>136+400</t>
  </si>
  <si>
    <t>156+300</t>
  </si>
  <si>
    <t>176+000</t>
  </si>
  <si>
    <t>195+500</t>
  </si>
  <si>
    <t>214+100</t>
  </si>
  <si>
    <t>248+800</t>
  </si>
  <si>
    <t>264+100</t>
  </si>
  <si>
    <t>317+300</t>
  </si>
  <si>
    <t>336+300</t>
  </si>
  <si>
    <t>357+100</t>
  </si>
  <si>
    <t>378+100</t>
  </si>
  <si>
    <t>397+800</t>
  </si>
  <si>
    <t>413+900</t>
  </si>
  <si>
    <t>451+000</t>
  </si>
  <si>
    <t>469+000</t>
  </si>
  <si>
    <t>487+000</t>
  </si>
  <si>
    <t>526+400</t>
  </si>
  <si>
    <t>18+400</t>
  </si>
  <si>
    <t>36+400</t>
  </si>
  <si>
    <t>54+400</t>
  </si>
  <si>
    <t>93+890</t>
  </si>
  <si>
    <t>114+550</t>
  </si>
  <si>
    <t>135+200</t>
  </si>
  <si>
    <t>174+500</t>
  </si>
  <si>
    <t>195+164</t>
  </si>
  <si>
    <t>208+300</t>
  </si>
  <si>
    <t>242+238</t>
  </si>
  <si>
    <t>262+271</t>
  </si>
  <si>
    <t>281+827</t>
  </si>
  <si>
    <t>300+325</t>
  </si>
  <si>
    <t>316+566</t>
  </si>
  <si>
    <t>356+199</t>
  </si>
  <si>
    <t>376+910</t>
  </si>
  <si>
    <t>396+651</t>
  </si>
  <si>
    <t>417+526</t>
  </si>
  <si>
    <t>458+007</t>
  </si>
  <si>
    <t>477+743</t>
  </si>
  <si>
    <t>494+212</t>
  </si>
  <si>
    <t>510+044</t>
  </si>
  <si>
    <t>16+800</t>
  </si>
  <si>
    <t>34+801</t>
  </si>
  <si>
    <t>52+466</t>
  </si>
  <si>
    <t>92+289</t>
  </si>
  <si>
    <t>112+923</t>
  </si>
  <si>
    <t>133+629</t>
  </si>
  <si>
    <t>173+071</t>
  </si>
  <si>
    <t>191+870</t>
  </si>
  <si>
    <t>206+785</t>
  </si>
  <si>
    <t>239+813</t>
  </si>
  <si>
    <t>258+663</t>
  </si>
  <si>
    <t>277+178</t>
  </si>
  <si>
    <t>295+888</t>
  </si>
  <si>
    <t>314+834</t>
  </si>
  <si>
    <t>351+360</t>
  </si>
  <si>
    <t>371+903</t>
  </si>
  <si>
    <t>391+692</t>
  </si>
  <si>
    <t>412+704</t>
  </si>
  <si>
    <t>454+632</t>
  </si>
  <si>
    <t>474+783</t>
  </si>
  <si>
    <t>490+992</t>
  </si>
  <si>
    <t>506+928</t>
  </si>
  <si>
    <t>93+790 / 570</t>
  </si>
  <si>
    <t>200+270 / 450</t>
  </si>
  <si>
    <t>251+990 / 380</t>
  </si>
  <si>
    <t>281+270 / 360</t>
  </si>
  <si>
    <t>309+100 / 330</t>
  </si>
  <si>
    <t>330+920 / 310</t>
  </si>
  <si>
    <t>502+810 / 206</t>
  </si>
  <si>
    <t>586+690 / 189</t>
  </si>
  <si>
    <t>631+980 / 175</t>
  </si>
  <si>
    <t>653+700 / 168</t>
  </si>
  <si>
    <t>693+730 / 160</t>
  </si>
  <si>
    <t>741+660 / 220</t>
  </si>
  <si>
    <t>800+400 / 150</t>
  </si>
  <si>
    <t>862+000 / 455</t>
  </si>
  <si>
    <t>922+000 / 685</t>
  </si>
  <si>
    <t>961+550 / 778</t>
  </si>
  <si>
    <t>329+396</t>
  </si>
  <si>
    <t>417+366</t>
  </si>
  <si>
    <t>515+486</t>
  </si>
  <si>
    <t>126+138</t>
  </si>
  <si>
    <t>212+788</t>
  </si>
  <si>
    <t>329+000</t>
  </si>
  <si>
    <t>491+500</t>
  </si>
  <si>
    <t>517+000</t>
  </si>
  <si>
    <t>T-SC3-GG1-01</t>
  </si>
  <si>
    <t>T-SC3-GG1-02</t>
  </si>
  <si>
    <t>T-SC3-GG1-03</t>
  </si>
  <si>
    <t>C-SC3-GG1-01</t>
  </si>
  <si>
    <t>C-SC3-GG1-02</t>
  </si>
  <si>
    <t>C-SC3-GG1-03</t>
  </si>
  <si>
    <t>TA-SC3-GG1-01</t>
  </si>
  <si>
    <t>TA-SC3-GG1-02</t>
  </si>
  <si>
    <t>TA-SC3-GG1-03</t>
  </si>
  <si>
    <t>GE-SC3-GG1-01</t>
  </si>
  <si>
    <t>T-SC3-GPDF-01</t>
  </si>
  <si>
    <t>T-SC3-GPDF-02</t>
  </si>
  <si>
    <t>T-SC-TFT-GR2-01</t>
  </si>
  <si>
    <t>T-SC-TFT-GR2-03</t>
  </si>
  <si>
    <t>T-SC-TFT-GR2-02</t>
  </si>
  <si>
    <t>T-SC1-GR2-01</t>
  </si>
  <si>
    <t>T-SC1-GR2-02</t>
  </si>
  <si>
    <t>T-SC1-GR2-03</t>
  </si>
  <si>
    <t>T-SC1-GR2-04</t>
  </si>
  <si>
    <t>T-SC2-GR2-01</t>
  </si>
  <si>
    <t>T-SC2-GR2-02</t>
  </si>
  <si>
    <t>T-SC2-GR2-03</t>
  </si>
  <si>
    <t>T-SC2-GR2-04</t>
  </si>
  <si>
    <t>T-SC3-GR2-01</t>
  </si>
  <si>
    <t>T-SC3-GR2-02</t>
  </si>
  <si>
    <t>T-SC3-GR2-03</t>
  </si>
  <si>
    <t>T-SC3-GR2-04</t>
  </si>
  <si>
    <t>T-SC4-GR2-01</t>
  </si>
  <si>
    <t>T-SC4-GR2-02</t>
  </si>
  <si>
    <t>T-SC4-GR2-03</t>
  </si>
  <si>
    <t>T-SC4-GR2-04</t>
  </si>
  <si>
    <t>SC-HR-GR4</t>
  </si>
  <si>
    <t>T-SC-HR-GR4-01</t>
  </si>
  <si>
    <t>T-SC-HR-GR4-02</t>
  </si>
  <si>
    <t>T-SC-HR-GR4-03</t>
  </si>
  <si>
    <t>T-SC-HR-GR4-04</t>
  </si>
  <si>
    <t>C-GO2-02</t>
  </si>
  <si>
    <t>C-GO2-03</t>
  </si>
  <si>
    <t>C-GO2-04</t>
  </si>
  <si>
    <t>PCL 801</t>
  </si>
  <si>
    <t>C-SC-TFT-GR2-01</t>
  </si>
  <si>
    <t>C-SC-TFT-GR2-02</t>
  </si>
  <si>
    <t>C-SC-TFT-GR2-03</t>
  </si>
  <si>
    <t>TA-SC-TFT-GR2-01</t>
  </si>
  <si>
    <t>TA-SC-TFT-GR2-02</t>
  </si>
  <si>
    <t>GE-SC-TFT-GR2-01</t>
  </si>
  <si>
    <t>GE-SC-TFT-GR2-02</t>
  </si>
  <si>
    <t>Technica Motori</t>
  </si>
  <si>
    <t>C-SC1-GR2-01</t>
  </si>
  <si>
    <t>C-SC1-GR2-02</t>
  </si>
  <si>
    <t>C-SC1-GR2-03</t>
  </si>
  <si>
    <t>C-SC1-GR2-04</t>
  </si>
  <si>
    <t>PCL 802</t>
  </si>
  <si>
    <t>CTM</t>
  </si>
  <si>
    <t>Stewart. Stevensen</t>
  </si>
  <si>
    <t>C-SC2-GR2-01</t>
  </si>
  <si>
    <t>PCL 603</t>
  </si>
  <si>
    <t>C-SC2-GR2-02</t>
  </si>
  <si>
    <t>C-SC2-GR2-03</t>
  </si>
  <si>
    <t>C-SC2-GR2-04</t>
  </si>
  <si>
    <t>C-SC3-GR2-01</t>
  </si>
  <si>
    <t>C-SC3-GR2-02</t>
  </si>
  <si>
    <t>C-SC3-GR2-03</t>
  </si>
  <si>
    <t>C-SC3-GR2-04</t>
  </si>
  <si>
    <t>PCL 602</t>
  </si>
  <si>
    <t>C-SC4-GR2-01</t>
  </si>
  <si>
    <t>C-SC4-GR2-02</t>
  </si>
  <si>
    <t>C-SC4-GR2-03</t>
  </si>
  <si>
    <t>C-SC4-GR2-04</t>
  </si>
  <si>
    <t>C-SC-HR-GR4-01</t>
  </si>
  <si>
    <t>C-SC-HR-GR4-02</t>
  </si>
  <si>
    <t>C-SC-HR-GR4-03</t>
  </si>
  <si>
    <t>C-SC-HR-GR4-04</t>
  </si>
  <si>
    <t>SC-HR-GR5</t>
  </si>
  <si>
    <t>TA-SC-HR-GR4-04</t>
  </si>
  <si>
    <t>TA-SC2-GR2-01</t>
  </si>
  <si>
    <t>TA-SC2-GR2-02</t>
  </si>
  <si>
    <t>TA-SC2-GR2-03</t>
  </si>
  <si>
    <t>GE-SC2-GR2-01</t>
  </si>
  <si>
    <t>GE-SC2-GR2-02</t>
  </si>
  <si>
    <t>ALSTOM A.G.T</t>
  </si>
  <si>
    <t>ONIS</t>
  </si>
  <si>
    <t>TA-SC3-GR2-01</t>
  </si>
  <si>
    <t>TA-SC3-GR2-02</t>
  </si>
  <si>
    <t>GE-SC3-GR2-01</t>
  </si>
  <si>
    <t>GE-SC3-GR2-02</t>
  </si>
  <si>
    <t>TA-SC4-GR2-01</t>
  </si>
  <si>
    <t>GE-SC4-GR2-01</t>
  </si>
  <si>
    <t>GE-SC4-GR2-02</t>
  </si>
  <si>
    <t>75 / 406</t>
  </si>
  <si>
    <t>195/ 410,5</t>
  </si>
  <si>
    <t>309 / 429</t>
  </si>
  <si>
    <t>418 / 425</t>
  </si>
  <si>
    <t>533 / 458</t>
  </si>
  <si>
    <t>649+559 / 538</t>
  </si>
  <si>
    <t>762+590 / 763</t>
  </si>
  <si>
    <t>Tamentit</t>
  </si>
  <si>
    <t>Aougrout</t>
  </si>
  <si>
    <t>El Ménéa</t>
  </si>
  <si>
    <t>115 / 458</t>
  </si>
  <si>
    <t>231 / 536</t>
  </si>
  <si>
    <t>Mansourah</t>
  </si>
  <si>
    <t>El Golea/EL MENEA</t>
  </si>
  <si>
    <t>Mansourah/GHARDAIA</t>
  </si>
  <si>
    <t>Hassi R’mel/GHARDAIA</t>
  </si>
  <si>
    <t>Hassi Lefhal/EL MENEA</t>
  </si>
  <si>
    <t>El Ménéa/EL MENEA</t>
  </si>
  <si>
    <t>Hassi El Gara/EL MENEA</t>
  </si>
  <si>
    <t>Tamentit/ADRAR</t>
  </si>
  <si>
    <t>Aougrout/ADRAR</t>
  </si>
  <si>
    <t>556+610</t>
  </si>
  <si>
    <t>578+479</t>
  </si>
  <si>
    <t>602+675</t>
  </si>
  <si>
    <t>626+261</t>
  </si>
  <si>
    <t>672+215</t>
  </si>
  <si>
    <t>695+274</t>
  </si>
  <si>
    <t>718+184</t>
  </si>
  <si>
    <t>741+230</t>
  </si>
  <si>
    <t>Timokten</t>
  </si>
  <si>
    <t>SebSeb</t>
  </si>
  <si>
    <t>Metlili</t>
  </si>
  <si>
    <t>Dhayet Bendahoua</t>
  </si>
  <si>
    <t>Hassi El Gara / EL MENEA</t>
  </si>
  <si>
    <t>El Golea / EL MENEA</t>
  </si>
  <si>
    <t>Mansourah / GHARDAIA</t>
  </si>
  <si>
    <t>Sebseb / GHARDAIA</t>
  </si>
  <si>
    <t>Metlili / GHARDAIA</t>
  </si>
  <si>
    <t>Dayat Bendaoua / GHARDAIA</t>
  </si>
  <si>
    <t>167+800</t>
  </si>
  <si>
    <t>253+800</t>
  </si>
  <si>
    <t>Aougrout/Adrar</t>
  </si>
  <si>
    <t>SIEMENS</t>
  </si>
  <si>
    <t>SGT600</t>
  </si>
  <si>
    <t>TA-SC-HR-GR5-01</t>
  </si>
  <si>
    <t>T-SC-HR-GR5-01</t>
  </si>
  <si>
    <t>T-SC-HR-GR5-02</t>
  </si>
  <si>
    <t>T-SC-HR-GR5-03</t>
  </si>
  <si>
    <t>C-SC-HR-GR5-03</t>
  </si>
  <si>
    <t>STC-SV</t>
  </si>
  <si>
    <t>C-SC-HR-GR5-01</t>
  </si>
  <si>
    <t>C-SC-HR-GR5-02</t>
  </si>
  <si>
    <t>C-SC-HR-GR5-04</t>
  </si>
  <si>
    <t>144+147 / 1047</t>
  </si>
  <si>
    <t>156+403 / 1180</t>
  </si>
  <si>
    <t>168+164 / 1238</t>
  </si>
  <si>
    <t>187+983 / 1098</t>
  </si>
  <si>
    <t>217+520 / 938</t>
  </si>
  <si>
    <t>235+936 / 954</t>
  </si>
  <si>
    <t>294+361 / 1154</t>
  </si>
  <si>
    <t>335+620 / 944</t>
  </si>
  <si>
    <t>358+887 / 575</t>
  </si>
  <si>
    <t>393+214 / 558</t>
  </si>
  <si>
    <t>398+616 / 520</t>
  </si>
  <si>
    <t>429+001 / 69</t>
  </si>
  <si>
    <t>495+104 / 99</t>
  </si>
  <si>
    <t>19+256 /732,65</t>
  </si>
  <si>
    <t>99+925 /770,80</t>
  </si>
  <si>
    <t>126+151 /926,70</t>
  </si>
  <si>
    <t>327+787 / 934,82</t>
  </si>
  <si>
    <t>477+039 / 68,2</t>
  </si>
  <si>
    <t>Guertofa / TIARET</t>
  </si>
  <si>
    <t>Mendas / RELIZANE</t>
  </si>
  <si>
    <t>RELIZANE</t>
  </si>
  <si>
    <t>Fornaka / MOSTAGANEM</t>
  </si>
  <si>
    <t>Bethioua / ORAN</t>
  </si>
  <si>
    <t>114+159 / 820,4</t>
  </si>
  <si>
    <t>226+497 / 970,8</t>
  </si>
  <si>
    <t>333+919 / 1032,2</t>
  </si>
  <si>
    <t>421+307 / 80,9</t>
  </si>
  <si>
    <t>Milok / Laghouat / LAGHOUAT</t>
  </si>
  <si>
    <t>Medarreg / Faïdja / TIARET</t>
  </si>
  <si>
    <t>Zaaroura / Tiaret / TIARET</t>
  </si>
  <si>
    <t>Bourmadia / Relizane / RELIZANE</t>
  </si>
  <si>
    <t>T-SC1-GZ0-01</t>
  </si>
  <si>
    <t>HISPANO SUISA</t>
  </si>
  <si>
    <t>THM 1202</t>
  </si>
  <si>
    <t>T-SC1-GZ0-02</t>
  </si>
  <si>
    <t>T-SC1-GZ0-03</t>
  </si>
  <si>
    <t>DELAVAL</t>
  </si>
  <si>
    <t>PV 24/24</t>
  </si>
  <si>
    <t>C-SC1-GZ0-01</t>
  </si>
  <si>
    <t>C-SC1-GZ0-02</t>
  </si>
  <si>
    <t>C-SC1-GZ0-03</t>
  </si>
  <si>
    <t>PENVEN (GN)</t>
  </si>
  <si>
    <t>GE-SC1-GZ0-01</t>
  </si>
  <si>
    <t>T-SC3-GZ0-01</t>
  </si>
  <si>
    <t>C-SC3-GZ0-01</t>
  </si>
  <si>
    <t>C-SC3-GZ0-02</t>
  </si>
  <si>
    <t>C-SC3-GZ0-03</t>
  </si>
  <si>
    <t>T-SC3-GZ0-02</t>
  </si>
  <si>
    <t>T-SC3-GZ0-03</t>
  </si>
  <si>
    <t>AMAN CATERPILAR</t>
  </si>
  <si>
    <t>T-SC2-GZ0-01</t>
  </si>
  <si>
    <t>T-SC2-GZ0-02</t>
  </si>
  <si>
    <t>C-SC2-GZ0-01</t>
  </si>
  <si>
    <t>C-SC2-GZ0-02</t>
  </si>
  <si>
    <t>GE-SC2-GZ0-01</t>
  </si>
  <si>
    <t>GE-SC2-GZ0-02</t>
  </si>
  <si>
    <t>GE-SC1-GZ0-02</t>
  </si>
  <si>
    <t>SULZER</t>
  </si>
  <si>
    <t>NS 63 II</t>
  </si>
  <si>
    <t>T-SC4-GZ0-01</t>
  </si>
  <si>
    <t>C-SC4-GZ0-01</t>
  </si>
  <si>
    <t>GE-SC4-GZ0-01</t>
  </si>
  <si>
    <t>74+350 / 840</t>
  </si>
  <si>
    <t>144+500 / 1045</t>
  </si>
  <si>
    <t>226+400 / 970</t>
  </si>
  <si>
    <t>236+127 / 954</t>
  </si>
  <si>
    <t>294+506 / 1254</t>
  </si>
  <si>
    <t>328+245 / 990</t>
  </si>
  <si>
    <t>335+867 / 961</t>
  </si>
  <si>
    <t>358+996 / 575</t>
  </si>
  <si>
    <t>370+986 / 670</t>
  </si>
  <si>
    <t>391+340 / 504</t>
  </si>
  <si>
    <t>421+500 / 73</t>
  </si>
  <si>
    <t>487+500 / 5</t>
  </si>
  <si>
    <t>440+100 / 0</t>
  </si>
  <si>
    <t>20+192 / 747</t>
  </si>
  <si>
    <t>99+333 / 771</t>
  </si>
  <si>
    <t>125+946 / 904</t>
  </si>
  <si>
    <t>143+589 / 1032</t>
  </si>
  <si>
    <t>155+896 / 1172</t>
  </si>
  <si>
    <t>168+394 / 1238</t>
  </si>
  <si>
    <t>187+530 / 1096</t>
  </si>
  <si>
    <t>217+086 / 938</t>
  </si>
  <si>
    <t>235+813 / 956</t>
  </si>
  <si>
    <t>294+732 / 1154</t>
  </si>
  <si>
    <t>328+837 / 990</t>
  </si>
  <si>
    <t>336+371 / 946</t>
  </si>
  <si>
    <t>359+635 / 572</t>
  </si>
  <si>
    <t>371+605 / 670</t>
  </si>
  <si>
    <t>394+030 / 558</t>
  </si>
  <si>
    <t>400+120 / 561</t>
  </si>
  <si>
    <t>431+592 / 124</t>
  </si>
  <si>
    <t>459+688 / 71</t>
  </si>
  <si>
    <t>500+635 / 94</t>
  </si>
  <si>
    <t>20+295 / 747</t>
  </si>
  <si>
    <t>99+695 / 771</t>
  </si>
  <si>
    <t>125+840 / 921</t>
  </si>
  <si>
    <t>143+887 / 1048</t>
  </si>
  <si>
    <t>156+268 / 1192</t>
  </si>
  <si>
    <t>168+698 / 1238</t>
  </si>
  <si>
    <t>216+712 / 930</t>
  </si>
  <si>
    <t>236+230 / 954</t>
  </si>
  <si>
    <t>294+377 / 1154</t>
  </si>
  <si>
    <t>329+610 / 918</t>
  </si>
  <si>
    <t>350+083/ 676</t>
  </si>
  <si>
    <t>357+434 / 569</t>
  </si>
  <si>
    <t>371+956 / 650</t>
  </si>
  <si>
    <t>393+395 / 499</t>
  </si>
  <si>
    <t>423+987 / 114,22</t>
  </si>
  <si>
    <t>454+246 / 234,60</t>
  </si>
  <si>
    <t>460+542 / 113,54</t>
  </si>
  <si>
    <t>504+188 / 13,66</t>
  </si>
  <si>
    <t>187+764 / 1096</t>
  </si>
  <si>
    <t>SC1-GR7</t>
  </si>
  <si>
    <t>074+867 / 840</t>
  </si>
  <si>
    <t>144+718 / 1045</t>
  </si>
  <si>
    <t>226+644 / 970</t>
  </si>
  <si>
    <t>295+440 / 1235</t>
  </si>
  <si>
    <t>397+765 / 525</t>
  </si>
  <si>
    <t>Timzhert / Bennaceur Benchohra/ LAGHOUAT</t>
  </si>
  <si>
    <t>M’seka / Tadjmount / LAGHOUAT</t>
  </si>
  <si>
    <t>Nador / Naïma / TIARET</t>
  </si>
  <si>
    <t>Kenenda / Zemmora / RELIZANE</t>
  </si>
  <si>
    <t>T-SC1-GZ1-01</t>
  </si>
  <si>
    <t>MS 3002</t>
  </si>
  <si>
    <t>T-SC1-GZ1-02</t>
  </si>
  <si>
    <t>T-SC1-GZ1-03</t>
  </si>
  <si>
    <t>T-SC1-GZ1-04</t>
  </si>
  <si>
    <t>Ingersol Rand</t>
  </si>
  <si>
    <t>CDP 224</t>
  </si>
  <si>
    <t>C-SC1-GZ1-01</t>
  </si>
  <si>
    <t>C-SC1-GZ1-02</t>
  </si>
  <si>
    <t>C-SC1-GZ1-03</t>
  </si>
  <si>
    <t>C-SC1-GZ1-04</t>
  </si>
  <si>
    <t>GSC 1200</t>
  </si>
  <si>
    <t>TA-SC1-GZ1-01</t>
  </si>
  <si>
    <t>TA-SC1-GZ1-02</t>
  </si>
  <si>
    <t>T-SC2-GZ1-01</t>
  </si>
  <si>
    <t>T-SC2-GZ1-02</t>
  </si>
  <si>
    <t>T-SC2-GZ1-03</t>
  </si>
  <si>
    <t>T-SC2-GZ1-04</t>
  </si>
  <si>
    <t>C-SC2-GZ1-01</t>
  </si>
  <si>
    <t>C-SC2-GZ1-02</t>
  </si>
  <si>
    <t>C-SC2-GZ1-03</t>
  </si>
  <si>
    <t>C-SC2-GZ1-04</t>
  </si>
  <si>
    <t>TA-SC2-GZ1-01</t>
  </si>
  <si>
    <t>TA-SC2-GZ1-02</t>
  </si>
  <si>
    <t>T-SC3-GZ1-01</t>
  </si>
  <si>
    <t>T-SC3-GZ1-02</t>
  </si>
  <si>
    <t>T-SC3-GZ1-03</t>
  </si>
  <si>
    <t>T-SC3-GZ1-04</t>
  </si>
  <si>
    <t>C-SC3-GZ1-01</t>
  </si>
  <si>
    <t>C-SC3-GZ1-02</t>
  </si>
  <si>
    <t>C-SC3-GZ1-03</t>
  </si>
  <si>
    <t>C-SC3-GZ1-04</t>
  </si>
  <si>
    <t>TA-SC3-GZ1-01</t>
  </si>
  <si>
    <t>TA-SC3-GZ1-02</t>
  </si>
  <si>
    <t>T-SC4-GZ1-01</t>
  </si>
  <si>
    <t>T-SC4-GZ1-02</t>
  </si>
  <si>
    <t>T-SC4-GZ1-03</t>
  </si>
  <si>
    <t>T-SC4-GZ1-04</t>
  </si>
  <si>
    <t>C-SC4-GZ1-01</t>
  </si>
  <si>
    <t>C-SC4-GZ1-02</t>
  </si>
  <si>
    <t>C-SC4-GZ1-03</t>
  </si>
  <si>
    <t>C-SC4-GZ1-04</t>
  </si>
  <si>
    <t>TA-SC4-GZ1-01</t>
  </si>
  <si>
    <t>TA-SC4-GZ1-02</t>
  </si>
  <si>
    <t>T-SC5-GZ1-01</t>
  </si>
  <si>
    <t>T-SC5-GZ1-02</t>
  </si>
  <si>
    <t>T-SC5-GZ1-03</t>
  </si>
  <si>
    <t>T-SC5-GZ1-04</t>
  </si>
  <si>
    <t>C-SC5-GZ1-01</t>
  </si>
  <si>
    <t>C-SC5-GZ1-02</t>
  </si>
  <si>
    <t>C-SC5-GZ1-03</t>
  </si>
  <si>
    <t>C-SC5-GZ1-04</t>
  </si>
  <si>
    <t>TA-SC5-GZ1-01</t>
  </si>
  <si>
    <t>TA-SC5-GZ1-02</t>
  </si>
  <si>
    <t>74+232 / 840</t>
  </si>
  <si>
    <t>145+015 / 1045</t>
  </si>
  <si>
    <t>225+510 / 970</t>
  </si>
  <si>
    <t>297+202 / 1235</t>
  </si>
  <si>
    <t>399+896 / 506</t>
  </si>
  <si>
    <t>Timzhert / Bennaceur Benchohra / LAGHOUAT</t>
  </si>
  <si>
    <t>224+900 / 969</t>
  </si>
  <si>
    <t>297+000 / 1287</t>
  </si>
  <si>
    <t>503+578 / 61</t>
  </si>
  <si>
    <t>Faidja / Tiaret</t>
  </si>
  <si>
    <t>Dar Bebadellah / RELIZANE</t>
  </si>
  <si>
    <t>El Araba / ORAN</t>
  </si>
  <si>
    <t>Tafraoui / Oran</t>
  </si>
  <si>
    <t>399+683 / 498,4</t>
  </si>
  <si>
    <t>55+400 / 114,54</t>
  </si>
  <si>
    <t>143+700 / 1047,6</t>
  </si>
  <si>
    <t>74 / 851,7</t>
  </si>
  <si>
    <t>Guertoufa / Temda / TIARET</t>
  </si>
  <si>
    <t>Sidi Lazrag/ Kenenda / RELIZANE</t>
  </si>
  <si>
    <t>Yellel / RELIZANE (Supprimé)</t>
  </si>
  <si>
    <t>Mars El Hadjadj / ORAN</t>
  </si>
  <si>
    <t>Faïdja / TIARET (hors service)</t>
  </si>
  <si>
    <t>Faïdja / TIARET</t>
  </si>
  <si>
    <t>Sidi Lazrag Kenenda / RELIZANE</t>
  </si>
  <si>
    <t>Dar Ben Abdellah / RELIZANE</t>
  </si>
  <si>
    <t>Bethioua / Granine / ORAN</t>
  </si>
  <si>
    <t>El baida / TIARET</t>
  </si>
  <si>
    <t>Guertoufa / Tamda / TIARET</t>
  </si>
  <si>
    <t>Sidi Lazrag / Kenenda / RELIZANE</t>
  </si>
  <si>
    <t>Sejrara / MASCARA</t>
  </si>
  <si>
    <t>Marselhajaj / ORAN</t>
  </si>
  <si>
    <t>83+215 / 715,5</t>
  </si>
  <si>
    <t>179+373 / 397</t>
  </si>
  <si>
    <t>270+785 / 389</t>
  </si>
  <si>
    <t>354+890 / 575</t>
  </si>
  <si>
    <t>430+790 / 926</t>
  </si>
  <si>
    <t>Ouled Djellal / OULED DJELLAL</t>
  </si>
  <si>
    <t>Mechtatine / Tadjnanet / MILA</t>
  </si>
  <si>
    <t>SCA-GZ1</t>
  </si>
  <si>
    <t>T-SCA-GZ1-01</t>
  </si>
  <si>
    <t>T-SCA-GZ1-02</t>
  </si>
  <si>
    <t>T-SCA-GZ1-03</t>
  </si>
  <si>
    <t>T-SCA-GZ1-04</t>
  </si>
  <si>
    <t>C-SCA-GZ1-01</t>
  </si>
  <si>
    <t>C-SCA-GZ1-02</t>
  </si>
  <si>
    <t>C-SCA-GZ1-03</t>
  </si>
  <si>
    <t>C-SCA-GZ1-04</t>
  </si>
  <si>
    <t>TA-SCA-GZ1-01</t>
  </si>
  <si>
    <t>TA-SCA-GZ1-02</t>
  </si>
  <si>
    <t>TA-SCA-GZ1-03</t>
  </si>
  <si>
    <t>RUSTON</t>
  </si>
  <si>
    <t>TA1750</t>
  </si>
  <si>
    <t>COOPER BESMER</t>
  </si>
  <si>
    <t>RF2/BB-30</t>
  </si>
  <si>
    <t>SCB-GZ1</t>
  </si>
  <si>
    <t>T-SCB-GZ1-01</t>
  </si>
  <si>
    <t>T-SCB-GZ1-02</t>
  </si>
  <si>
    <t>T-SCB-GZ1-03</t>
  </si>
  <si>
    <t>T-SCB-GZ1-04</t>
  </si>
  <si>
    <t>C-SCB-GZ1-01</t>
  </si>
  <si>
    <t>C-SCB-GZ1-02</t>
  </si>
  <si>
    <t>C-SCB-GZ1-03</t>
  </si>
  <si>
    <t>C-SCB-GZ1-04</t>
  </si>
  <si>
    <t>TA-SCB-GZ1-01</t>
  </si>
  <si>
    <t>TA-SCB-GZ1-02</t>
  </si>
  <si>
    <t>TA-SCB-GZ1-03</t>
  </si>
  <si>
    <t>SCC-GZ1</t>
  </si>
  <si>
    <t>T-SCC-GZ1-01</t>
  </si>
  <si>
    <t>T-SCC-GZ1-02</t>
  </si>
  <si>
    <t>T-SCC-GZ1-03</t>
  </si>
  <si>
    <t>T-SCC-GZ1-04</t>
  </si>
  <si>
    <t>C-SCC-GZ1-01</t>
  </si>
  <si>
    <t>C-SCC-GZ1-02</t>
  </si>
  <si>
    <t>C-SCC-GZ1-03</t>
  </si>
  <si>
    <t>C-SCC-GZ1-04</t>
  </si>
  <si>
    <t>TA-SCC-GZ1-01</t>
  </si>
  <si>
    <t>TA-SCC-GZ1-02</t>
  </si>
  <si>
    <t>TA-SCC-GZ1-03</t>
  </si>
  <si>
    <t>T-SCD-GZ1-01</t>
  </si>
  <si>
    <t>T-SCD-GZ1-02</t>
  </si>
  <si>
    <t>T-SCD-GZ1-03</t>
  </si>
  <si>
    <t>T-SCD-GZ1-04</t>
  </si>
  <si>
    <t>C-SCD-GZ1-01</t>
  </si>
  <si>
    <t>C-SCD-GZ1-02</t>
  </si>
  <si>
    <t>C-SCD-GZ1-03</t>
  </si>
  <si>
    <t>C-SCD-GZ1-04</t>
  </si>
  <si>
    <t>TA-SCD-GZ1-01</t>
  </si>
  <si>
    <t>TA-SCD-GZ1-02</t>
  </si>
  <si>
    <t>TA-SCD-GZ1-03</t>
  </si>
  <si>
    <t>SCD-GZ1</t>
  </si>
  <si>
    <t>SCE-GZ1</t>
  </si>
  <si>
    <t>T-SCE-GZ1-01</t>
  </si>
  <si>
    <t>T-SCE-GZ1-02</t>
  </si>
  <si>
    <t>T-SCE-GZ1-03</t>
  </si>
  <si>
    <t>T-SCE-GZ1-04</t>
  </si>
  <si>
    <t>C-SCE-GZ1-01</t>
  </si>
  <si>
    <t>C-SCE-GZ1-02</t>
  </si>
  <si>
    <t>C-SCE-GZ1-03</t>
  </si>
  <si>
    <t>C-SCE-GZ1-04</t>
  </si>
  <si>
    <t>TA-SCE-GZ1-01</t>
  </si>
  <si>
    <t>TA-SCE-GZ1-02</t>
  </si>
  <si>
    <t>TA-SCE-GZ1-03</t>
  </si>
  <si>
    <t>SP1-OZ1</t>
  </si>
  <si>
    <t>Station de Pompage SP1-OZ1</t>
  </si>
  <si>
    <t>SP2-OZ1</t>
  </si>
  <si>
    <t>Station de Pompage SP2-OZ1</t>
  </si>
  <si>
    <t>SP3-OZ1</t>
  </si>
  <si>
    <t>SP4-OZ1</t>
  </si>
  <si>
    <t>SP5-OZ1</t>
  </si>
  <si>
    <t>SP6-OZ1</t>
  </si>
  <si>
    <t>PRS-OZ1</t>
  </si>
  <si>
    <t>Station de Régulation PRS-OZ1/OZ2</t>
  </si>
  <si>
    <t>ALSTOM</t>
  </si>
  <si>
    <t>TORNADO</t>
  </si>
  <si>
    <t>GUINARD</t>
  </si>
  <si>
    <t>DVDS 12x14x14.1/2 R/H</t>
  </si>
  <si>
    <t xml:space="preserve">VLBXO 1150x25 A/B </t>
  </si>
  <si>
    <t>TURBINE</t>
  </si>
  <si>
    <t>PUMP</t>
  </si>
  <si>
    <t>ELECT-ENGIN</t>
  </si>
  <si>
    <t>BOOSTER-PUMP</t>
  </si>
  <si>
    <t>TURBOMECA</t>
  </si>
  <si>
    <t>0 / 156</t>
  </si>
  <si>
    <t>124+800 / 256</t>
  </si>
  <si>
    <t>218+075 / 495</t>
  </si>
  <si>
    <t>306+000 / 777</t>
  </si>
  <si>
    <t>415+100 / 885</t>
  </si>
  <si>
    <t>534+900 / 973</t>
  </si>
  <si>
    <t>Hassi R’Mel / LAGHOUAT</t>
  </si>
  <si>
    <t>Milok / Tadjemout / LAGHOUAT</t>
  </si>
  <si>
    <t>Djebil / Faidja / TIARET</t>
  </si>
  <si>
    <t>0 / 169</t>
  </si>
  <si>
    <t>127+600 / 245</t>
  </si>
  <si>
    <t>220+800 / 497</t>
  </si>
  <si>
    <t>307+900 / 778</t>
  </si>
  <si>
    <t>417+200 / 890</t>
  </si>
  <si>
    <t>538+200 / 1015</t>
  </si>
  <si>
    <t>T-SP1-OZ1-01</t>
  </si>
  <si>
    <t>T-SP1-OZ1-02</t>
  </si>
  <si>
    <t>T-SP1-OZ1-03</t>
  </si>
  <si>
    <t>T-SP1-OZ1-04</t>
  </si>
  <si>
    <t>P-SP1-OZ1-01</t>
  </si>
  <si>
    <t>P-SP1-OZ1-02</t>
  </si>
  <si>
    <t>P-SP1-OZ1-03</t>
  </si>
  <si>
    <t>P-SP1-OZ1-04</t>
  </si>
  <si>
    <t>T-SP2-OZ1-01</t>
  </si>
  <si>
    <t>T-SP2-OZ1-02</t>
  </si>
  <si>
    <t>T-SP2-OZ1-03</t>
  </si>
  <si>
    <t>T-SP2-OZ1-04</t>
  </si>
  <si>
    <t>P-SP2-OZ1-01</t>
  </si>
  <si>
    <t>P-SP2-OZ1-02</t>
  </si>
  <si>
    <t>P-SP2-OZ1-03</t>
  </si>
  <si>
    <t>P-SP2-OZ1-04</t>
  </si>
  <si>
    <t>T-SP3-OZ1-01</t>
  </si>
  <si>
    <t>T-SP3-OZ1-02</t>
  </si>
  <si>
    <t>T-SP3-OZ1-03</t>
  </si>
  <si>
    <t>T-SP3-OZ1-04</t>
  </si>
  <si>
    <t>P-SP3-OZ1-01</t>
  </si>
  <si>
    <t>P-SP3-OZ1-02</t>
  </si>
  <si>
    <t>P-SP3-OZ1-03</t>
  </si>
  <si>
    <t>P-SP3-OZ1-04</t>
  </si>
  <si>
    <t>T-SP4-OZ1-01</t>
  </si>
  <si>
    <t>T-SP4-OZ1-02</t>
  </si>
  <si>
    <t>T-SP4-OZ1-03</t>
  </si>
  <si>
    <t>T-SP4-OZ1-04</t>
  </si>
  <si>
    <t>P-SP4-OZ1-01</t>
  </si>
  <si>
    <t>P-SP4-OZ1-02</t>
  </si>
  <si>
    <t>P-SP4-OZ1-03</t>
  </si>
  <si>
    <t>P-SP4-OZ1-04</t>
  </si>
  <si>
    <t>T-SP5-OZ1-01</t>
  </si>
  <si>
    <t>T-SP5-OZ1-02</t>
  </si>
  <si>
    <t>T-SP5-OZ1-03</t>
  </si>
  <si>
    <t>T-SP5-OZ1-04</t>
  </si>
  <si>
    <t>P-SP5-OZ1-01</t>
  </si>
  <si>
    <t>P-SP5-OZ1-02</t>
  </si>
  <si>
    <t>P-SP5-OZ1-03</t>
  </si>
  <si>
    <t>P-SP5-OZ1-04</t>
  </si>
  <si>
    <t>T-SP6-OZ1-01</t>
  </si>
  <si>
    <t>T-SP6-OZ1-02</t>
  </si>
  <si>
    <t>T-SP6-OZ1-03</t>
  </si>
  <si>
    <t>T-SP6-OZ1-04</t>
  </si>
  <si>
    <t>P-SP6-OZ1-01</t>
  </si>
  <si>
    <t>P-SP6-OZ1-02</t>
  </si>
  <si>
    <t>P-SP6-OZ1-03</t>
  </si>
  <si>
    <t>P-SP6-OZ1-04</t>
  </si>
  <si>
    <t>TA-SP6-OZ1-01</t>
  </si>
  <si>
    <t>THM1102</t>
  </si>
  <si>
    <t>NS5311</t>
  </si>
  <si>
    <t>T-SP1-OZ2-01</t>
  </si>
  <si>
    <t>T-SP1-OZ2-02</t>
  </si>
  <si>
    <t>T-SP1-OZ2-03</t>
  </si>
  <si>
    <t>T-SP1-OZ2-04</t>
  </si>
  <si>
    <t>T-SP1-OZ2-05</t>
  </si>
  <si>
    <t>T-SP1-OZ2-06</t>
  </si>
  <si>
    <t>P-SP1-OZ2-01</t>
  </si>
  <si>
    <t>P-SP1-OZ2-02</t>
  </si>
  <si>
    <t>P-SP1-OZ2-03</t>
  </si>
  <si>
    <t>P-SP1-OZ2-04</t>
  </si>
  <si>
    <t>P-SP1-OZ2-05</t>
  </si>
  <si>
    <t>P-SP1-OZ2-06</t>
  </si>
  <si>
    <t>ME-SP1-OZ2-01</t>
  </si>
  <si>
    <t>ME-SP1-OZ2-02</t>
  </si>
  <si>
    <t>ME-SP1-OZ2-03</t>
  </si>
  <si>
    <t>ME-SP1-OZ2-04</t>
  </si>
  <si>
    <t>ME-SP1-OZ2-05</t>
  </si>
  <si>
    <t>ME-SP1-OZ2-06</t>
  </si>
  <si>
    <t>PB-SP1-OZ2-01</t>
  </si>
  <si>
    <t>PB-SP1-OZ2-02</t>
  </si>
  <si>
    <t>PB-SP1-OZ2-03</t>
  </si>
  <si>
    <t>PB-SP1-OZ2-04</t>
  </si>
  <si>
    <t>PB-SP1-OZ2-05</t>
  </si>
  <si>
    <t>PB-SP1-OZ2-06</t>
  </si>
  <si>
    <t>T-SP2-OZ2-01</t>
  </si>
  <si>
    <t>T-SP2-OZ2-02</t>
  </si>
  <si>
    <t>T-SP2-OZ2-03</t>
  </si>
  <si>
    <t>T-SP2-OZ2-04</t>
  </si>
  <si>
    <t>P-SP2-OZ2-01</t>
  </si>
  <si>
    <t>P-SP2-OZ2-02</t>
  </si>
  <si>
    <t>P-SP2-OZ2-03</t>
  </si>
  <si>
    <t>P-SP2-OZ2-04</t>
  </si>
  <si>
    <t>T-SP3-OZ2-01</t>
  </si>
  <si>
    <t>T-SP3-OZ2-02</t>
  </si>
  <si>
    <t>T-SP3-OZ2-03</t>
  </si>
  <si>
    <t>T-SP3-OZ2-04</t>
  </si>
  <si>
    <t>T-SP3-OZ2-05</t>
  </si>
  <si>
    <t>T-SP3-OZ2-06</t>
  </si>
  <si>
    <t>P-SP3-OZ2-01</t>
  </si>
  <si>
    <t>P-SP3-OZ2-02</t>
  </si>
  <si>
    <t>P-SP3-OZ2-03</t>
  </si>
  <si>
    <t>P-SP3-OZ2-04</t>
  </si>
  <si>
    <t>P-SP3-OZ2-05</t>
  </si>
  <si>
    <t>P-SP3-OZ2-06</t>
  </si>
  <si>
    <t>T-SP4-OZ2-01</t>
  </si>
  <si>
    <t>T-SP4-OZ2-02</t>
  </si>
  <si>
    <t>T-SP4-OZ2-03</t>
  </si>
  <si>
    <t>T-SP4-OZ2-04</t>
  </si>
  <si>
    <t>P-SP4-OZ2-01</t>
  </si>
  <si>
    <t>P-SP4-OZ2-02</t>
  </si>
  <si>
    <t>P-SP4-OZ2-03</t>
  </si>
  <si>
    <t>P-SP4-OZ2-04</t>
  </si>
  <si>
    <t>GE-SP4-OZ2-01</t>
  </si>
  <si>
    <t>T-SP5-OZ2-01</t>
  </si>
  <si>
    <t>T-SP5-OZ2-02</t>
  </si>
  <si>
    <t>T-SP5-OZ2-03</t>
  </si>
  <si>
    <t>T-SP5-OZ2-04</t>
  </si>
  <si>
    <t>T-SP5-OZ2-05</t>
  </si>
  <si>
    <t>T-SP5-OZ2-06</t>
  </si>
  <si>
    <t>P-SP5-OZ2-01</t>
  </si>
  <si>
    <t>P-SP5-OZ2-02</t>
  </si>
  <si>
    <t>P-SP5-OZ2-03</t>
  </si>
  <si>
    <t>P-SP5-OZ2-04</t>
  </si>
  <si>
    <t>P-SP5-OZ2-05</t>
  </si>
  <si>
    <t>P-SP5-OZ2-06</t>
  </si>
  <si>
    <t>GE-SP5-OZ2-01</t>
  </si>
  <si>
    <t>T-SP6-OZ2-01</t>
  </si>
  <si>
    <t>T-SP6-OZ2-02</t>
  </si>
  <si>
    <t>T-SP6-OZ2-03</t>
  </si>
  <si>
    <t>T-SP6-OZ2-04</t>
  </si>
  <si>
    <t>P-SP6-OZ2-01</t>
  </si>
  <si>
    <t>P-SP6-OZ2-02</t>
  </si>
  <si>
    <t>P-SP6-OZ2-03</t>
  </si>
  <si>
    <t>P-SP6-OZ2-04</t>
  </si>
  <si>
    <t>TA-SP6-OZ2-01</t>
  </si>
  <si>
    <t>TA-SP6-OZ2-02</t>
  </si>
  <si>
    <t>GE-SP6-OZ2-01</t>
  </si>
  <si>
    <t>B. JACKSON</t>
  </si>
  <si>
    <t>DVDS8x10x12</t>
  </si>
  <si>
    <t>L.SCOTT</t>
  </si>
  <si>
    <t>EN-SP1-OZ1-01</t>
  </si>
  <si>
    <t>EN-SP1-OZ1-02</t>
  </si>
  <si>
    <t>EN-SP1-OZ1-03</t>
  </si>
  <si>
    <t>EN-SP1-OZ1-04</t>
  </si>
  <si>
    <t>SIGMUND</t>
  </si>
  <si>
    <t>BP-SP1-OZ1-01</t>
  </si>
  <si>
    <t>BP-SP1-OZ1-02</t>
  </si>
  <si>
    <t>BP-SP1-OZ1-03</t>
  </si>
  <si>
    <t>BP-SP1-OZ1-04</t>
  </si>
  <si>
    <t>TA-SP2-OZ1-01</t>
  </si>
  <si>
    <t>TA-SP2-OZ1-02</t>
  </si>
  <si>
    <t>TA-SP3-OZ1-01</t>
  </si>
  <si>
    <t>TA-SP4-OZ1-01</t>
  </si>
  <si>
    <t>TA-SP5-OZ1-01</t>
  </si>
  <si>
    <t>338+643 / 185</t>
  </si>
  <si>
    <t>431+427 / 630</t>
  </si>
  <si>
    <t>Selga Bouchegroune / Tolga / BISKRA</t>
  </si>
  <si>
    <t>Boumagueur / N’gaous / BATNA</t>
  </si>
  <si>
    <t>T-SP1-OK1-01</t>
  </si>
  <si>
    <t>T-SP1-OK1-02</t>
  </si>
  <si>
    <t>T-SP1-OK1-03</t>
  </si>
  <si>
    <t>MS 3132</t>
  </si>
  <si>
    <t>PGT 10</t>
  </si>
  <si>
    <t>Byron Jackson</t>
  </si>
  <si>
    <t>P-SP1-OK1-01</t>
  </si>
  <si>
    <t>P-SP1-OK1-02</t>
  </si>
  <si>
    <t>P-SP1-OK1-03</t>
  </si>
  <si>
    <t>DVDS 20x20x28</t>
  </si>
  <si>
    <t xml:space="preserve">P.PEEBLEES </t>
  </si>
  <si>
    <t>BP-SP1-OK1-01</t>
  </si>
  <si>
    <t>BP-SP1-OK1-02</t>
  </si>
  <si>
    <t>BP-SP1-OK1-03</t>
  </si>
  <si>
    <t>BP-SP1-OK1-04</t>
  </si>
  <si>
    <t>BP-SP1-OK1-05</t>
  </si>
  <si>
    <t>BS 187 110</t>
  </si>
  <si>
    <t>AMD500LTVABM</t>
  </si>
  <si>
    <t xml:space="preserve">B.J </t>
  </si>
  <si>
    <t>Flow Serve</t>
  </si>
  <si>
    <t>EE-SP1-OK1-01</t>
  </si>
  <si>
    <t>EE-SP1-OK1-02</t>
  </si>
  <si>
    <t>EE-SP1-OK1-03</t>
  </si>
  <si>
    <t>EE-SP1-OK1-04</t>
  </si>
  <si>
    <t>EE-SP1-OK1-05</t>
  </si>
  <si>
    <t>20x20x38KXHOH-25</t>
  </si>
  <si>
    <t>18QLC25</t>
  </si>
  <si>
    <t xml:space="preserve">HISPANO SUIZA </t>
  </si>
  <si>
    <t>TA-SP1-OK1-01</t>
  </si>
  <si>
    <t>TA-SP1-OK1-02</t>
  </si>
  <si>
    <t>TA-SP1-OK1-03</t>
  </si>
  <si>
    <t>GE-SP1-OK1-01</t>
  </si>
  <si>
    <t>152+500 / 515</t>
  </si>
  <si>
    <t>190+400 / 438</t>
  </si>
  <si>
    <t>230+400 / 373</t>
  </si>
  <si>
    <t>314+100 / 263</t>
  </si>
  <si>
    <t>406+500 / 226</t>
  </si>
  <si>
    <t>498+500 / 183</t>
  </si>
  <si>
    <t>587+900 / 145</t>
  </si>
  <si>
    <t>In Amenas / ILLIZI</t>
  </si>
  <si>
    <t>359+500 / 258</t>
  </si>
  <si>
    <t>Mederba / Bordj Omar Idriss / ILLIZI</t>
  </si>
  <si>
    <t>R-Nouss / Bordj Omar Idriss / ILLIZI</t>
  </si>
  <si>
    <t>Gassi Touil / Hassi Messaoud / OUARGLA</t>
  </si>
  <si>
    <t>Nezla / Hassi Messaoud / OUARGLA</t>
  </si>
  <si>
    <t>137 / 169</t>
  </si>
  <si>
    <t>158 / 182</t>
  </si>
  <si>
    <t>Nezla / OUARGLA</t>
  </si>
  <si>
    <t>109+020</t>
  </si>
  <si>
    <t>230+060</t>
  </si>
  <si>
    <t>Milok/LAGHOUAT</t>
  </si>
  <si>
    <t>Medareg/TIARET</t>
  </si>
  <si>
    <t>188+332 / 73</t>
  </si>
  <si>
    <t>337+792 / 185</t>
  </si>
  <si>
    <t>430+789 / 620</t>
  </si>
  <si>
    <t>M’rara / Djamâa / M’GHAIER</t>
  </si>
  <si>
    <t>Selga : El Outaya / El Outaya / BISKRA</t>
  </si>
  <si>
    <t>47 / 567</t>
  </si>
  <si>
    <t>158 / 302</t>
  </si>
  <si>
    <t>339+500 / 208</t>
  </si>
  <si>
    <t>Mederba / Bordj Omar Driss / ILLIZI</t>
  </si>
  <si>
    <t>110+729 / 885</t>
  </si>
  <si>
    <t>307+020 / 1080</t>
  </si>
  <si>
    <t>110+627 / 885</t>
  </si>
  <si>
    <t>100+850 / 555</t>
  </si>
  <si>
    <t>805+700 / 260</t>
  </si>
  <si>
    <t>133 / 469</t>
  </si>
  <si>
    <t>329 / 252</t>
  </si>
  <si>
    <t>153+118 / 260</t>
  </si>
  <si>
    <t>252+092 / 530</t>
  </si>
  <si>
    <t>Bennouara / GHARDAIA</t>
  </si>
  <si>
    <t>Station de Pompage SP1-OZ1/OZ2</t>
  </si>
  <si>
    <t>Station de Pompage SP2-OZ1/OZ2</t>
  </si>
  <si>
    <t>SP6-OZ1/OZ2</t>
  </si>
  <si>
    <t>PRS-OZ1/OZ2</t>
  </si>
  <si>
    <t>SP5-OZ1/OZ2</t>
  </si>
  <si>
    <t>SP4-OZ1/OZ2</t>
  </si>
  <si>
    <t>SP3-OZ1/OZ2</t>
  </si>
  <si>
    <t>SP2-OZ1/OZ2</t>
  </si>
  <si>
    <t>SP1-OZ1/OZ2</t>
  </si>
  <si>
    <t>Station de Régulation PRS-OZ1</t>
  </si>
  <si>
    <t>AMD630L2TBSBM</t>
  </si>
  <si>
    <t>NSP1-OB1</t>
  </si>
  <si>
    <t>T-NSP1-OB1-01</t>
  </si>
  <si>
    <t>T-NSP1-OB1-02</t>
  </si>
  <si>
    <t>T-NSP1-OB1-03</t>
  </si>
  <si>
    <t>T-NSP1-OB1-04</t>
  </si>
  <si>
    <t>T-NSP1-OB1-05</t>
  </si>
  <si>
    <t>12/16LPLD19</t>
  </si>
  <si>
    <t>Flowserve</t>
  </si>
  <si>
    <t>P-NSP1-OK1-01</t>
  </si>
  <si>
    <t>P-NSP1-OK1-02</t>
  </si>
  <si>
    <t>P-NSP1-OK1-03</t>
  </si>
  <si>
    <t>P-NSP1-OK1-04</t>
  </si>
  <si>
    <t>P-NSP1-OK1-05</t>
  </si>
  <si>
    <t>AMD 355L4RVAB</t>
  </si>
  <si>
    <t>EE-NSP1-OB1-01</t>
  </si>
  <si>
    <t>EE-NSP1-OB1-02</t>
  </si>
  <si>
    <t>EE-NSP1-OB1-03</t>
  </si>
  <si>
    <t>EE-NSP1-OB1-04</t>
  </si>
  <si>
    <t>BP-NSP1-OK1-01</t>
  </si>
  <si>
    <t>SC</t>
  </si>
  <si>
    <t>Working</t>
  </si>
  <si>
    <t>Stoped</t>
  </si>
  <si>
    <t>Decomissioned</t>
  </si>
  <si>
    <t>GZ1/2/3</t>
  </si>
  <si>
    <t>GK1/2</t>
  </si>
  <si>
    <t>GR1/2/4/6</t>
  </si>
  <si>
    <t>GR5/7</t>
  </si>
  <si>
    <t>GO1/2/3</t>
  </si>
  <si>
    <t>OZ1/2</t>
  </si>
  <si>
    <t>OD1/3/OH2</t>
  </si>
  <si>
    <t>LR1/DLR1/ELR1</t>
  </si>
  <si>
    <t>SP</t>
  </si>
  <si>
    <t>name</t>
  </si>
  <si>
    <t>shortName</t>
  </si>
  <si>
    <t>vendorType</t>
  </si>
  <si>
    <t>country</t>
  </si>
  <si>
    <t>ABB Ltd.</t>
  </si>
  <si>
    <t>Industrial Automation &amp; Power Technology Supplier</t>
  </si>
  <si>
    <t>Switzerland</t>
  </si>
  <si>
    <t>Bechtel Corporation</t>
  </si>
  <si>
    <t>EPC Contractor (Engineering, Procurement, Construction)</t>
  </si>
  <si>
    <t>United States</t>
  </si>
  <si>
    <t>Brown &amp; Root Condor</t>
  </si>
  <si>
    <t>EPC Contractor</t>
  </si>
  <si>
    <t>Capag</t>
  </si>
  <si>
    <t>Pipeline Construction Contractor</t>
  </si>
  <si>
    <t>France</t>
  </si>
  <si>
    <t>China Jiangsu International Group / CJB</t>
  </si>
  <si>
    <t>Construction / EPC Contractor</t>
  </si>
  <si>
    <t>China</t>
  </si>
  <si>
    <t>Cosider Construction</t>
  </si>
  <si>
    <t>Construction &amp; Infrastructure Contractor</t>
  </si>
  <si>
    <t>Algeria</t>
  </si>
  <si>
    <t>Dodsal Trading &amp; Contracting</t>
  </si>
  <si>
    <t>United Arab Emirates</t>
  </si>
  <si>
    <t>Entreprise Nationale de Canalisations</t>
  </si>
  <si>
    <t>Entrepose Contracting</t>
  </si>
  <si>
    <t>Pipeline Engineering &amp; Construction</t>
  </si>
  <si>
    <t>Groupement Cosider Canalisations</t>
  </si>
  <si>
    <t>General Electric</t>
  </si>
  <si>
    <t>Energy Technology &amp; Equipment Supplier</t>
  </si>
  <si>
    <t>Groupement Infrastructures Pétrolières</t>
  </si>
  <si>
    <t>Oil &amp; Gas Infrastructure Contractor</t>
  </si>
  <si>
    <t>Groupement Réalisation Engineering Pipeline</t>
  </si>
  <si>
    <t>Pipeline Engineering Contractor</t>
  </si>
  <si>
    <t>GRESS Engineering</t>
  </si>
  <si>
    <t>Engineering &amp; Pipeline Services</t>
  </si>
  <si>
    <t>Groupement Travaux Pétroliers</t>
  </si>
  <si>
    <t>Oil &amp; Gas Construction Contractor</t>
  </si>
  <si>
    <t>JGC Corporation</t>
  </si>
  <si>
    <t>Japan</t>
  </si>
  <si>
    <t>Entreprise Nationale de Réalisation de Canalisations « Kanaghaz »</t>
  </si>
  <si>
    <t>Oil &amp; Gas Pipeline Contractor</t>
  </si>
  <si>
    <t>Mannesmann Anlagenbau</t>
  </si>
  <si>
    <t>Germany</t>
  </si>
  <si>
    <t>MASA Global</t>
  </si>
  <si>
    <t>Oil &amp; Gas Engineering Contractor</t>
  </si>
  <si>
    <t>National Pipeline Company (Nacap)</t>
  </si>
  <si>
    <t>Netherlands</t>
  </si>
  <si>
    <t>Petrojet</t>
  </si>
  <si>
    <t>PETROJET</t>
  </si>
  <si>
    <t>EPC Contractor (Oil &amp; Gas)</t>
  </si>
  <si>
    <t>Egypt</t>
  </si>
  <si>
    <t>Sadelmi S.p.A.</t>
  </si>
  <si>
    <t>Industrial EPC Contractor</t>
  </si>
  <si>
    <t>Italy</t>
  </si>
  <si>
    <t>Saipem S.p.A.</t>
  </si>
  <si>
    <t>EPC Contractor (Oil &amp; Gas &amp; Offshore)</t>
  </si>
  <si>
    <t>Sonatrach / Dodsal JV</t>
  </si>
  <si>
    <t>Oil &amp; Gas EPC Joint Venture</t>
  </si>
  <si>
    <t>Algeria / UAE</t>
  </si>
  <si>
    <t>Snamprogetti</t>
  </si>
  <si>
    <t>Oil &amp; Gas EPC Contractor</t>
  </si>
  <si>
    <t>Construction &amp; Civil Engineering</t>
  </si>
  <si>
    <t>Socoman</t>
  </si>
  <si>
    <t>Sofregaz</t>
  </si>
  <si>
    <t>Oil &amp; Gas Engineering Consultant</t>
  </si>
  <si>
    <t>SPIE Oil &amp; Gas Services</t>
  </si>
  <si>
    <t>Energy Services &amp; Engineering</t>
  </si>
  <si>
    <t>Stroytransgaz</t>
  </si>
  <si>
    <t>Russia</t>
  </si>
  <si>
    <t>Trapil</t>
  </si>
  <si>
    <t>Pipeline Transport Operator</t>
  </si>
  <si>
    <t>Willbros Group</t>
  </si>
  <si>
    <t>Zakhem International</t>
  </si>
  <si>
    <t>Lebanon</t>
  </si>
  <si>
    <t>PT-SC4SGR</t>
  </si>
  <si>
    <t>Terminal de Pipeline Sougueur</t>
  </si>
  <si>
    <t>Terminal d\'Exportation Maritime Arzew</t>
  </si>
  <si>
    <t>Terminal d\'Exportation Maritime Skikda</t>
  </si>
  <si>
    <t>Terminal d\'Exportation Maritime Bejaia</t>
  </si>
  <si>
    <t>Terminal de Pipeline Bordj Menaiel</t>
  </si>
  <si>
    <t>Terminal de Pipeline Hassi Tedjirane</t>
  </si>
  <si>
    <t>Deb Deb</t>
  </si>
  <si>
    <t>El Kala</t>
  </si>
  <si>
    <t>M\'Sila</t>
  </si>
  <si>
    <t>Mocta Douz</t>
  </si>
  <si>
    <t>Beni Mensour</t>
  </si>
  <si>
    <t>Rhoude Nouss</t>
  </si>
  <si>
    <t>Bordj Menaiel</t>
  </si>
  <si>
    <t>El Borma</t>
  </si>
  <si>
    <t>Hassi Tedjirane</t>
  </si>
  <si>
    <t>In Salah</t>
  </si>
  <si>
    <t>Medjedel</t>
  </si>
  <si>
    <t>Alger</t>
  </si>
  <si>
    <t>Haoud El Hamra</t>
  </si>
  <si>
    <t>Hassi R'Mel</t>
  </si>
  <si>
    <t>El Aricha</t>
  </si>
  <si>
    <t>Terminal de Transfert El Aricha</t>
  </si>
  <si>
    <t>Bir Rebaa North</t>
  </si>
  <si>
    <t>Isser</t>
  </si>
  <si>
    <t>Rhoude El Baguel</t>
  </si>
  <si>
    <t>Sougueur</t>
  </si>
  <si>
    <t>Terminal de Pipeline Krechba</t>
  </si>
  <si>
    <t>Krechba</t>
  </si>
  <si>
    <t>Kennanda</t>
  </si>
  <si>
    <t>Terminal de Pipeline Kennanda</t>
  </si>
  <si>
    <t>PT-KR</t>
  </si>
  <si>
    <t>TT-PK137</t>
  </si>
  <si>
    <t>Terminal de Pipeline PC4 GR5</t>
  </si>
  <si>
    <t>PC4 GR5</t>
  </si>
  <si>
    <t>PC1 OD1</t>
  </si>
  <si>
    <t>PT-PC4GR5</t>
  </si>
  <si>
    <t>PT-KN</t>
  </si>
  <si>
    <t>R-SP1-OK1</t>
  </si>
  <si>
    <t>Station de Pompage RSP1-OK1</t>
  </si>
  <si>
    <t>Changement de machines</t>
  </si>
  <si>
    <t>SP1-OG1</t>
  </si>
  <si>
    <t>Station de Pompage SP1-OG1</t>
  </si>
  <si>
    <t>SP1-OB1-D</t>
  </si>
  <si>
    <t>SP1-BIS-OB1-D</t>
  </si>
  <si>
    <t>SP2-OB1-D</t>
  </si>
  <si>
    <t>SP3-OB1-D</t>
  </si>
  <si>
    <t>SP1-OZ1-D</t>
  </si>
  <si>
    <t>SP2-OZ1-D</t>
  </si>
  <si>
    <t>SP3-OZ1-D</t>
  </si>
  <si>
    <t>SP4-OZ1-D</t>
  </si>
  <si>
    <t>SP5-OZ1-D</t>
  </si>
  <si>
    <t>SP6-OZ1-D</t>
  </si>
  <si>
    <t>PRS-OZ1-D</t>
  </si>
  <si>
    <t>Station de Pompage SP1-OZ1-D</t>
  </si>
  <si>
    <t>Station de Pompage SP2-OZ1-D</t>
  </si>
  <si>
    <t>Station de Régulation PRS-OZ1-D</t>
  </si>
  <si>
    <t>SPA-OB1-D</t>
  </si>
  <si>
    <t>SPB-OB1-D</t>
  </si>
  <si>
    <t>SPC-OB1-D</t>
  </si>
  <si>
    <t>SPD-OB1-D</t>
  </si>
  <si>
    <t>SP-OG1-D</t>
  </si>
  <si>
    <t>OPS1-OH1</t>
  </si>
  <si>
    <t>OPS2-OH1</t>
  </si>
  <si>
    <t>OPS4-OH1</t>
  </si>
  <si>
    <t>SP2-LZ1</t>
  </si>
  <si>
    <t>PRS-LZ1</t>
  </si>
  <si>
    <t>PRS-LZ2</t>
  </si>
  <si>
    <t>PRS-LNZ1</t>
  </si>
  <si>
    <t>SP1New-LR1</t>
  </si>
  <si>
    <t>SCA-GK1</t>
  </si>
  <si>
    <t>SCB-GK1</t>
  </si>
  <si>
    <t>SCC-GK1</t>
  </si>
  <si>
    <t>SCD-GK1</t>
  </si>
  <si>
    <t>SCE-GK1</t>
  </si>
  <si>
    <t>SCTFT-GR2</t>
  </si>
  <si>
    <t>SCHR-GR4</t>
  </si>
  <si>
    <t>SC1-GR1</t>
  </si>
  <si>
    <t>Product</t>
  </si>
  <si>
    <t>INSERT INTO T_02_03_07 (F_00, F_01, F_02, F_03, F_04, F_05) VALUES</t>
  </si>
  <si>
    <t>STC OZ1/OZ2</t>
  </si>
  <si>
    <t>STC OK1</t>
  </si>
  <si>
    <t>STC OB1/OG1</t>
  </si>
  <si>
    <t>STC OT1</t>
  </si>
  <si>
    <t>STC OH1</t>
  </si>
  <si>
    <t>OD1/OD3/OH2</t>
  </si>
  <si>
    <t>STC OD1/OD3/OH2</t>
  </si>
  <si>
    <t>STC OH3/OH4</t>
  </si>
  <si>
    <t>STC NZ1</t>
  </si>
  <si>
    <t>STC NK1</t>
  </si>
  <si>
    <t>STC NH2</t>
  </si>
  <si>
    <t>STC LZ1/LZ2</t>
  </si>
  <si>
    <t>STC LR1/DLR1/ELR1</t>
  </si>
  <si>
    <t>STC GZ0</t>
  </si>
  <si>
    <t>STC GZ1/GZ2/GZ3</t>
  </si>
  <si>
    <t>STC GZ4</t>
  </si>
  <si>
    <t>STC GPDF</t>
  </si>
  <si>
    <t>STC GK1/GK2</t>
  </si>
  <si>
    <t>STC GK3</t>
  </si>
  <si>
    <t>STC GO1/GO2/GO3</t>
  </si>
  <si>
    <t>STC GG1</t>
  </si>
  <si>
    <t>STC GR1/GR2/GR4/GR6</t>
  </si>
  <si>
    <t>STC GR5/GR7</t>
  </si>
  <si>
    <t>StationType</t>
  </si>
  <si>
    <t>Pumping Station</t>
  </si>
  <si>
    <t>Regulator Station</t>
  </si>
  <si>
    <t>Compression Station</t>
  </si>
  <si>
    <t>StTypeId</t>
  </si>
  <si>
    <t>Block Valve Station</t>
  </si>
  <si>
    <t>Sectionalizing Station</t>
  </si>
  <si>
    <t>Purge Station</t>
  </si>
  <si>
    <t>Coordinate</t>
  </si>
  <si>
    <t>Elevation</t>
  </si>
  <si>
    <t>Distance</t>
  </si>
  <si>
    <t>Locality</t>
  </si>
  <si>
    <t>705+573 / 498</t>
  </si>
  <si>
    <t xml:space="preserve">Kenanda / Relizane </t>
  </si>
  <si>
    <t>0 / 159</t>
  </si>
  <si>
    <t>109+020 / 880</t>
  </si>
  <si>
    <t>230+060 / 973</t>
  </si>
  <si>
    <t>Medareg / TIARET</t>
  </si>
  <si>
    <t xml:space="preserve">Milok / LAGHOUAT </t>
  </si>
  <si>
    <t>Haoud El Hamra / Haoud El Hamra / OUARGLA</t>
  </si>
  <si>
    <t>310+150 / 1048</t>
  </si>
  <si>
    <t>311+124 / 1059</t>
  </si>
  <si>
    <t>0 / 775</t>
  </si>
  <si>
    <t>FAÏDJA / TIARET</t>
  </si>
  <si>
    <t>229 / 960</t>
  </si>
  <si>
    <t>Sougueur / Tiaret</t>
  </si>
  <si>
    <t>144+689 / 1045</t>
  </si>
  <si>
    <t>226+064 / 970</t>
  </si>
  <si>
    <t>295+862 / 1235</t>
  </si>
  <si>
    <t>398+506 / 525</t>
  </si>
  <si>
    <t>075+008 / 853</t>
  </si>
  <si>
    <t>144+478 / 1034</t>
  </si>
  <si>
    <t>225+869 / 963</t>
  </si>
  <si>
    <t>295+872 / 1226</t>
  </si>
  <si>
    <t>399+461 / 506</t>
  </si>
  <si>
    <t>181+300 / 1100</t>
  </si>
  <si>
    <t>MOUDJEBARA/ DJELFA</t>
  </si>
  <si>
    <t>Zina /Hassi Messaoud / OUARGLA</t>
  </si>
  <si>
    <t>Ouargla /Ouargla / OUARGLA</t>
  </si>
  <si>
    <t>Hassi R’mel / Hassi R’mel / LAGHOUAT</t>
  </si>
  <si>
    <t>Rhourde Nouss / Bordj Omar Idriss / ILLIZI</t>
  </si>
  <si>
    <t>TFT / Bordj Omar Idriss / ILLIZI</t>
  </si>
  <si>
    <t>961 /778</t>
  </si>
  <si>
    <t>0 / 150,34</t>
  </si>
  <si>
    <t>189+810 / 83</t>
  </si>
  <si>
    <t>HEH/ Hassi Messaoud / OUARGLA</t>
  </si>
  <si>
    <t>Djamaa / EL MEGHAIER</t>
  </si>
  <si>
    <t>Ferme Amor Driss- El Outaya / El Outaya / BISKRA</t>
  </si>
  <si>
    <t>M’sila / M’SILA</t>
  </si>
  <si>
    <t>0 / 358,32</t>
  </si>
  <si>
    <t>Béni Mansour / BOUIRA</t>
  </si>
  <si>
    <t>0 / 150</t>
  </si>
  <si>
    <t>190/ 83</t>
  </si>
  <si>
    <t>350 / 217</t>
  </si>
  <si>
    <t>495 / 455</t>
  </si>
  <si>
    <t>Ain Khadra / M'Sila</t>
  </si>
  <si>
    <t>Ath. Mansour / Bouira</t>
  </si>
  <si>
    <t>0 / 358</t>
  </si>
  <si>
    <t>573 / 500</t>
  </si>
  <si>
    <t>443 /405</t>
  </si>
  <si>
    <t>319 / 19</t>
  </si>
  <si>
    <t>135 / 90</t>
  </si>
  <si>
    <t>183+3 / 473</t>
  </si>
  <si>
    <t>DEB DEB / ILLIZI</t>
  </si>
  <si>
    <t>Mesdar/ El Borma / OUARGLA</t>
  </si>
  <si>
    <t>Hassi Berkine / El Borma / OUARGLA</t>
  </si>
  <si>
    <t>GID</t>
  </si>
  <si>
    <t>0 / 135</t>
  </si>
  <si>
    <t>219 / 485</t>
  </si>
  <si>
    <t>395 / 440</t>
  </si>
  <si>
    <t>PS-01-OT1</t>
  </si>
  <si>
    <t>PS-02-OT1</t>
  </si>
  <si>
    <t>PS-03-OT1</t>
  </si>
  <si>
    <t>PS-04-OT1</t>
  </si>
  <si>
    <t>PS-05-OT1</t>
  </si>
  <si>
    <t>PS-06-OT1</t>
  </si>
  <si>
    <t>PS-07-OT1</t>
  </si>
  <si>
    <t>PT-ARZ</t>
  </si>
  <si>
    <t>01Bis</t>
  </si>
  <si>
    <t>PS-01-OH1</t>
  </si>
  <si>
    <t>PS-05-OH1</t>
  </si>
  <si>
    <t>PC-03-OH1</t>
  </si>
  <si>
    <t>PC-05-OH1</t>
  </si>
  <si>
    <t>PC-01-OD1</t>
  </si>
  <si>
    <t>PT-MSD</t>
  </si>
  <si>
    <t>PC-01-NK1</t>
  </si>
  <si>
    <t>PC-03-NK1</t>
  </si>
  <si>
    <t>PC-01-NH2</t>
  </si>
  <si>
    <t>PC-02-NH2</t>
  </si>
  <si>
    <t>PC-03-NH2</t>
  </si>
  <si>
    <t>PT-BTA</t>
  </si>
  <si>
    <t>Terminal de Pipeline Bethioua</t>
  </si>
  <si>
    <t>109 / 850</t>
  </si>
  <si>
    <t>PC-01-LZ2</t>
  </si>
  <si>
    <t>PC-01-LR1</t>
  </si>
  <si>
    <t>PS-20-LR1</t>
  </si>
  <si>
    <t>PC-04-LR1</t>
  </si>
  <si>
    <t>PC-02-LR1</t>
  </si>
  <si>
    <t>TT-HRM</t>
  </si>
  <si>
    <t>Terminal de Transfert Hassi R'Mel</t>
  </si>
  <si>
    <t>PC-01-DLR1</t>
  </si>
  <si>
    <t>PC-02-DLR1</t>
  </si>
  <si>
    <t>PC-03-ELR1</t>
  </si>
  <si>
    <t>PC-02-ELR1</t>
  </si>
  <si>
    <t>SP1New-ELR1</t>
  </si>
  <si>
    <t xml:space="preserve">33 / 151 </t>
  </si>
  <si>
    <t>Terminal de Pipeline Ain El Bya</t>
  </si>
  <si>
    <t>PT-AEB</t>
  </si>
  <si>
    <t>PC-01-GZ4</t>
  </si>
  <si>
    <t>PC-02-GZ4</t>
  </si>
  <si>
    <t>PC-03-GZ4</t>
  </si>
  <si>
    <t>PC-04-GZ4</t>
  </si>
  <si>
    <t>PC-05-GZ4</t>
  </si>
  <si>
    <t>PS-29-GZ4</t>
  </si>
  <si>
    <t>PC-01-GK2</t>
  </si>
  <si>
    <t>PC-02-GK2</t>
  </si>
  <si>
    <t>PC-03-GK2</t>
  </si>
  <si>
    <t>PC-04-GK2</t>
  </si>
  <si>
    <t>PC-05-GK2</t>
  </si>
  <si>
    <t>PC-01-GK3</t>
  </si>
  <si>
    <t>PC-02-GK3</t>
  </si>
  <si>
    <t>PC-03-GK3</t>
  </si>
  <si>
    <t>PC-04-GK3</t>
  </si>
  <si>
    <t>PC-05-GK3</t>
  </si>
  <si>
    <t>PC-06-GK3</t>
  </si>
  <si>
    <t>PC-07-GK3</t>
  </si>
  <si>
    <t>PC-01-GG1</t>
  </si>
  <si>
    <t>PC-02-GG1</t>
  </si>
  <si>
    <t>PC-04-GG1</t>
  </si>
  <si>
    <t>PC-05-GG1</t>
  </si>
  <si>
    <t>PC-01-RGG1</t>
  </si>
  <si>
    <t>PC-01-GR1</t>
  </si>
  <si>
    <t>PC-02-GR1</t>
  </si>
  <si>
    <t>PC-03-GR1</t>
  </si>
  <si>
    <t>PC-04-GR1</t>
  </si>
  <si>
    <t>PC-05-GR1</t>
  </si>
  <si>
    <t>PC-06-GR1</t>
  </si>
  <si>
    <t>PC-07-GR1</t>
  </si>
  <si>
    <t>PC-08-GR1</t>
  </si>
  <si>
    <t>PC-09-GR1</t>
  </si>
  <si>
    <t>PC-10-GR1</t>
  </si>
  <si>
    <t>PC-01-GR2</t>
  </si>
  <si>
    <t>PC-03-GR2</t>
  </si>
  <si>
    <t>PC-05-GR2</t>
  </si>
  <si>
    <t>PC-07-GR2</t>
  </si>
  <si>
    <t>PC-09-GR2</t>
  </si>
  <si>
    <t>PC-01-GR4</t>
  </si>
  <si>
    <t>PC-02-GR4</t>
  </si>
  <si>
    <t>PC-03-GR4</t>
  </si>
  <si>
    <t>PC-04-GR4</t>
  </si>
  <si>
    <t>PC-05-GR4</t>
  </si>
  <si>
    <t>PC-01-GR5</t>
  </si>
  <si>
    <t>PC-02-GR5</t>
  </si>
  <si>
    <t>PC-03-GR5</t>
  </si>
  <si>
    <t>PC-04-GR5</t>
  </si>
  <si>
    <t>PC-05-GR5</t>
  </si>
  <si>
    <t>PC-06-GR5</t>
  </si>
  <si>
    <t>PC-01-GR6</t>
  </si>
  <si>
    <t>PC-02-GR6</t>
  </si>
  <si>
    <t>PC-03-GR6</t>
  </si>
  <si>
    <t>PC-04-GR6</t>
  </si>
  <si>
    <t>PC-05-GR6</t>
  </si>
  <si>
    <t>PC-06-GR6</t>
  </si>
  <si>
    <t>PC-01-GPDF</t>
  </si>
  <si>
    <t>PC-02-GPDF</t>
  </si>
  <si>
    <t>PC-04-GPDF</t>
  </si>
  <si>
    <t>PC-05-GPDF</t>
  </si>
  <si>
    <t>PC-01-EGPDF</t>
  </si>
  <si>
    <t>PC-01-GO1</t>
  </si>
  <si>
    <t>PC-02-GO1</t>
  </si>
  <si>
    <t>PC-03-GO1</t>
  </si>
  <si>
    <t>PC-01-GO2</t>
  </si>
  <si>
    <t>PC-03-GO2</t>
  </si>
  <si>
    <t>PC-01-GO3</t>
  </si>
  <si>
    <t>PC-02-GO3</t>
  </si>
  <si>
    <t>PC-03-GO3</t>
  </si>
  <si>
    <t>Installation</t>
  </si>
  <si>
    <t>commiss</t>
  </si>
  <si>
    <t>decommiss</t>
  </si>
  <si>
    <t>Station</t>
  </si>
  <si>
    <t>PC</t>
  </si>
  <si>
    <t>PS</t>
  </si>
  <si>
    <t>owner</t>
  </si>
  <si>
    <t>manager</t>
  </si>
  <si>
    <t xml:space="preserve">X60 </t>
  </si>
  <si>
    <t>GRE</t>
  </si>
  <si>
    <t>brais de houille</t>
  </si>
  <si>
    <t>polyéthylène extrudé, Tri
couche</t>
  </si>
  <si>
    <t>Résine Epoxyde à durcissement par
polyamide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</si>
</sst>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00"/>
    <numFmt numFmtId="165" formatCode="0000"/>
    <numFmt numFmtId="166" formatCode="yyyy\-mm\-dd;@"/>
    <numFmt numFmtId="167" formatCode="0.000"/>
    <numFmt numFmtId="168" formatCode="[$-12C0C]dd/mm/yyyy;@"/>
    <numFmt numFmtId="169" formatCode="_(* #,##0.000_);_(* \(#,##0.000\);_(* &quot;-&quot;??_);_(@_)"/>
  </numFmts>
  <fonts count="11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Arial Narrow"/>
      <family val="2"/>
    </font>
    <font>
      <b/>
      <sz val="14"/>
      <color theme="1"/>
      <name val="Arial Narrow"/>
      <family val="2"/>
    </font>
    <font>
      <sz val="14"/>
      <name val="Arial Narrow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0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16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166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6" fontId="2" fillId="0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165" fontId="2" fillId="5" borderId="1" xfId="0" applyNumberFormat="1" applyFont="1" applyFill="1" applyBorder="1" applyAlignment="1">
      <alignment horizontal="left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8" fontId="2" fillId="0" borderId="1" xfId="0" applyNumberFormat="1" applyFont="1" applyFill="1" applyBorder="1" applyAlignment="1">
      <alignment horizontal="left" vertical="center"/>
    </xf>
    <xf numFmtId="14" fontId="2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165" fontId="2" fillId="5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168" fontId="2" fillId="4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left" vertical="center"/>
    </xf>
    <xf numFmtId="1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7" fontId="2" fillId="0" borderId="1" xfId="0" applyNumberFormat="1" applyFont="1" applyFill="1" applyBorder="1" applyAlignment="1">
      <alignment horizontal="center" vertical="center"/>
    </xf>
    <xf numFmtId="167" fontId="2" fillId="0" borderId="1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 wrapText="1"/>
    </xf>
    <xf numFmtId="165" fontId="2" fillId="0" borderId="1" xfId="0" applyNumberFormat="1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169" fontId="2" fillId="0" borderId="1" xfId="1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69" fontId="2" fillId="3" borderId="1" xfId="1" applyNumberFormat="1" applyFont="1" applyFill="1" applyBorder="1" applyAlignment="1">
      <alignment horizontal="center" vertical="center"/>
    </xf>
    <xf numFmtId="167" fontId="2" fillId="3" borderId="1" xfId="0" applyNumberFormat="1" applyFont="1" applyFill="1" applyBorder="1" applyAlignment="1">
      <alignment horizontal="right" vertical="center"/>
    </xf>
    <xf numFmtId="169" fontId="2" fillId="0" borderId="1" xfId="1" applyNumberFormat="1" applyFont="1" applyFill="1" applyBorder="1" applyAlignment="1">
      <alignment horizontal="right" vertical="center"/>
    </xf>
    <xf numFmtId="0" fontId="2" fillId="0" borderId="2" xfId="0" applyFont="1" applyFill="1" applyBorder="1" applyAlignment="1">
      <alignment horizontal="center" vertical="center"/>
    </xf>
    <xf numFmtId="165" fontId="2" fillId="0" borderId="4" xfId="0" applyNumberFormat="1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67" fontId="2" fillId="0" borderId="1" xfId="1" applyNumberFormat="1" applyFont="1" applyFill="1" applyBorder="1" applyAlignment="1">
      <alignment horizontal="right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5" fillId="0" borderId="0" xfId="0" applyFont="1"/>
    <xf numFmtId="0" fontId="5" fillId="0" borderId="1" xfId="0" applyFont="1" applyBorder="1"/>
    <xf numFmtId="164" fontId="5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164" fontId="6" fillId="0" borderId="6" xfId="0" applyNumberFormat="1" applyFont="1" applyBorder="1" applyAlignment="1">
      <alignment horizontal="center" vertical="center"/>
    </xf>
    <xf numFmtId="164" fontId="6" fillId="0" borderId="0" xfId="0" applyNumberFormat="1" applyFont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16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7" fillId="9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vertical="center"/>
    </xf>
    <xf numFmtId="0" fontId="8" fillId="10" borderId="7" xfId="0" applyFont="1" applyFill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0" xfId="0" applyAlignment="1"/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 wrapText="1"/>
    </xf>
    <xf numFmtId="43" fontId="2" fillId="0" borderId="1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/>
    <xf numFmtId="0" fontId="5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236"/>
  <sheetViews>
    <sheetView zoomScale="90" zoomScaleNormal="90" workbookViewId="0">
      <pane ySplit="2" topLeftCell="A3" activePane="bottomLeft" state="frozen"/>
      <selection pane="bottomLeft" activeCell="B4" sqref="B4"/>
    </sheetView>
  </sheetViews>
  <sheetFormatPr baseColWidth="10" defaultColWidth="10.85546875" defaultRowHeight="15.75" x14ac:dyDescent="0.25"/>
  <cols>
    <col min="1" max="1" width="5.5703125" style="2" customWidth="1"/>
    <col min="2" max="2" width="13.140625" style="2" bestFit="1" customWidth="1"/>
    <col min="3" max="3" width="75.7109375" style="2" customWidth="1"/>
    <col min="4" max="5" width="15.5703125" style="2" customWidth="1"/>
    <col min="6" max="6" width="17.28515625" style="2" bestFit="1" customWidth="1"/>
    <col min="7" max="8" width="15.5703125" style="2" customWidth="1"/>
    <col min="9" max="9" width="89.5703125" style="2" bestFit="1" customWidth="1"/>
    <col min="10" max="16384" width="10.85546875" style="2"/>
  </cols>
  <sheetData>
    <row r="1" spans="1:9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0.100000000000001" customHeight="1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ht="20.100000000000001" customHeight="1" x14ac:dyDescent="0.25">
      <c r="A3" s="3">
        <v>1</v>
      </c>
      <c r="B3" s="4" t="s">
        <v>18</v>
      </c>
      <c r="C3" s="5" t="s">
        <v>19</v>
      </c>
      <c r="D3" s="6">
        <v>38426</v>
      </c>
      <c r="E3" s="6">
        <v>39406</v>
      </c>
      <c r="F3" s="7" t="s">
        <v>20</v>
      </c>
      <c r="G3" s="7">
        <v>1</v>
      </c>
      <c r="H3" s="7">
        <v>10</v>
      </c>
      <c r="I3" s="5" t="str">
        <f t="shared" ref="I3:I15" si="0">CONCATENATE("(",A3,",'",B3,"','",C3,"','",TEXT(D3,"aaaa-mm-jj"),"','",TEXT(E3,"aaaa-mm-jj"),"',",F3,",",G3,",",H3,"),")</f>
        <v>(1,'ONET-DD','Terminal d\'Exportation Terrestre Deb Deb','2005-03-15','2007-11-20',NULL,1,10),</v>
      </c>
    </row>
    <row r="4" spans="1:9" ht="20.100000000000001" customHeight="1" x14ac:dyDescent="0.25">
      <c r="A4" s="3">
        <v>2</v>
      </c>
      <c r="B4" s="8" t="s">
        <v>21</v>
      </c>
      <c r="C4" s="5" t="s">
        <v>22</v>
      </c>
      <c r="D4" s="6">
        <v>39609</v>
      </c>
      <c r="E4" s="6">
        <v>40436</v>
      </c>
      <c r="F4" s="7" t="s">
        <v>20</v>
      </c>
      <c r="G4" s="7">
        <v>1</v>
      </c>
      <c r="H4" s="7">
        <v>10</v>
      </c>
      <c r="I4" s="5" t="str">
        <f t="shared" si="0"/>
        <v>(2,'ONET-OSS','Terminal d\'Exportation Terrestre Oued Saf Saf','Tuesday-06-jj','Wednesday-09-jj',NULL,1,10),</v>
      </c>
    </row>
    <row r="5" spans="1:9" ht="20.100000000000001" customHeight="1" x14ac:dyDescent="0.25">
      <c r="A5" s="3">
        <v>3</v>
      </c>
      <c r="B5" s="8" t="s">
        <v>23</v>
      </c>
      <c r="C5" s="5" t="s">
        <v>24</v>
      </c>
      <c r="D5" s="6">
        <v>38827</v>
      </c>
      <c r="E5" s="6">
        <v>39792</v>
      </c>
      <c r="F5" s="7" t="s">
        <v>20</v>
      </c>
      <c r="G5" s="7">
        <v>1</v>
      </c>
      <c r="H5" s="7">
        <v>10</v>
      </c>
      <c r="I5" s="5" t="str">
        <f t="shared" si="0"/>
        <v>(3,'ONET-BS','Terminal d\'Exportation Terrestre Beni Saf','Thursday-04-jj','Wednesday-12-jj',NULL,1,10),</v>
      </c>
    </row>
    <row r="6" spans="1:9" ht="20.100000000000001" customHeight="1" x14ac:dyDescent="0.25">
      <c r="A6" s="3">
        <v>4</v>
      </c>
      <c r="B6" s="8" t="s">
        <v>25</v>
      </c>
      <c r="C6" s="48" t="s">
        <v>26</v>
      </c>
      <c r="D6" s="6">
        <v>40909</v>
      </c>
      <c r="E6" s="6">
        <v>40909</v>
      </c>
      <c r="F6" s="7" t="s">
        <v>20</v>
      </c>
      <c r="G6" s="7">
        <v>1</v>
      </c>
      <c r="H6" s="7">
        <v>10</v>
      </c>
      <c r="I6" s="5" t="str">
        <f t="shared" si="0"/>
        <v>(4,'ONET-KL','Terminal d\'Exportation Terrestre El Kala','Sunday-01-jj','Sunday-01-jj',NULL,1,10),</v>
      </c>
    </row>
    <row r="7" spans="1:9" ht="20.100000000000001" customHeight="1" x14ac:dyDescent="0.25">
      <c r="A7" s="3">
        <v>5</v>
      </c>
      <c r="B7" s="8" t="s">
        <v>27</v>
      </c>
      <c r="C7" s="5" t="s">
        <v>3450</v>
      </c>
      <c r="D7" s="6">
        <v>28505</v>
      </c>
      <c r="E7" s="6">
        <v>29757</v>
      </c>
      <c r="F7" s="7" t="s">
        <v>20</v>
      </c>
      <c r="G7" s="7">
        <v>1</v>
      </c>
      <c r="H7" s="7">
        <v>10</v>
      </c>
      <c r="I7" s="5" t="str">
        <f t="shared" si="0"/>
        <v>(5,'DZAZW','Terminal d\'Exportation Maritime Arzew','1978-01-15','1981-06-20',NULL,1,10),</v>
      </c>
    </row>
    <row r="8" spans="1:9" ht="20.100000000000001" customHeight="1" x14ac:dyDescent="0.25">
      <c r="A8" s="3">
        <v>6</v>
      </c>
      <c r="B8" s="8" t="s">
        <v>28</v>
      </c>
      <c r="C8" s="5" t="s">
        <v>3451</v>
      </c>
      <c r="D8" s="6">
        <v>26368</v>
      </c>
      <c r="E8" s="6">
        <v>27662</v>
      </c>
      <c r="F8" s="7" t="s">
        <v>20</v>
      </c>
      <c r="G8" s="7">
        <v>1</v>
      </c>
      <c r="H8" s="7">
        <v>10</v>
      </c>
      <c r="I8" s="5" t="str">
        <f t="shared" si="0"/>
        <v>(6,'DZSKI','Terminal d\'Exportation Maritime Skikda','1972-03-10','1975-09-25',NULL,1,10),</v>
      </c>
    </row>
    <row r="9" spans="1:9" ht="20.100000000000001" customHeight="1" x14ac:dyDescent="0.25">
      <c r="A9" s="3">
        <v>7</v>
      </c>
      <c r="B9" s="8" t="s">
        <v>29</v>
      </c>
      <c r="C9" s="5" t="s">
        <v>3452</v>
      </c>
      <c r="D9" s="6">
        <v>35927</v>
      </c>
      <c r="E9" s="6">
        <v>36968</v>
      </c>
      <c r="F9" s="7" t="s">
        <v>20</v>
      </c>
      <c r="G9" s="7">
        <v>1</v>
      </c>
      <c r="H9" s="7">
        <v>10</v>
      </c>
      <c r="I9" s="5" t="str">
        <f t="shared" si="0"/>
        <v>(7,'DZBJA','Terminal d\'Exportation Maritime Bejaia','1998-05-12','2001-03-18',NULL,1,10),</v>
      </c>
    </row>
    <row r="10" spans="1:9" ht="20.100000000000001" customHeight="1" x14ac:dyDescent="0.25">
      <c r="A10" s="3">
        <v>8</v>
      </c>
      <c r="B10" s="8" t="s">
        <v>30</v>
      </c>
      <c r="C10" s="5" t="s">
        <v>31</v>
      </c>
      <c r="D10" s="6">
        <v>37660</v>
      </c>
      <c r="E10" s="6">
        <v>38640</v>
      </c>
      <c r="F10" s="7" t="s">
        <v>20</v>
      </c>
      <c r="G10" s="7">
        <v>1</v>
      </c>
      <c r="H10" s="7">
        <v>10</v>
      </c>
      <c r="I10" s="5" t="str">
        <f t="shared" si="0"/>
        <v>(8,'CDHL','Terminal de Distribution CDHL','2003-02-08','2005-10-15',NULL,1,10),</v>
      </c>
    </row>
    <row r="11" spans="1:9" ht="20.100000000000001" customHeight="1" x14ac:dyDescent="0.25">
      <c r="A11" s="3">
        <v>9</v>
      </c>
      <c r="B11" s="8" t="s">
        <v>32</v>
      </c>
      <c r="C11" s="5" t="s">
        <v>33</v>
      </c>
      <c r="D11" s="6">
        <v>38188</v>
      </c>
      <c r="E11" s="6">
        <v>39051</v>
      </c>
      <c r="F11" s="7" t="s">
        <v>20</v>
      </c>
      <c r="G11" s="7">
        <v>1</v>
      </c>
      <c r="H11" s="7">
        <v>10</v>
      </c>
      <c r="I11" s="5" t="str">
        <f t="shared" si="0"/>
        <v>(9,'CNDG','Terminal de Distribution CNDG','2004-07-20','2006-11-30',NULL,1,10),</v>
      </c>
    </row>
    <row r="12" spans="1:9" ht="20.100000000000001" customHeight="1" x14ac:dyDescent="0.25">
      <c r="A12" s="3">
        <v>10</v>
      </c>
      <c r="B12" s="8" t="s">
        <v>34</v>
      </c>
      <c r="C12" s="5" t="s">
        <v>35</v>
      </c>
      <c r="D12" s="6">
        <v>39340</v>
      </c>
      <c r="E12" s="6">
        <v>40047</v>
      </c>
      <c r="F12" s="7" t="s">
        <v>20</v>
      </c>
      <c r="G12" s="7">
        <v>1</v>
      </c>
      <c r="H12" s="7">
        <v>10</v>
      </c>
      <c r="I12" s="5" t="str">
        <f t="shared" si="0"/>
        <v>(10,'DT-MED','Terminal de Distribution Medjedel','Saturday-09-jj','Saturday-08-jj',NULL,1,10),</v>
      </c>
    </row>
    <row r="13" spans="1:9" ht="20.100000000000001" customHeight="1" x14ac:dyDescent="0.25">
      <c r="A13" s="3">
        <v>11</v>
      </c>
      <c r="B13" s="8" t="s">
        <v>36</v>
      </c>
      <c r="C13" s="5" t="s">
        <v>37</v>
      </c>
      <c r="D13" s="6">
        <v>39556</v>
      </c>
      <c r="E13" s="6">
        <v>40371</v>
      </c>
      <c r="F13" s="7" t="s">
        <v>20</v>
      </c>
      <c r="G13" s="7">
        <v>1</v>
      </c>
      <c r="H13" s="7">
        <v>10</v>
      </c>
      <c r="I13" s="5" t="str">
        <f t="shared" si="0"/>
        <v>(11,'DT-MSL','Terminal de Distribution M\'Sila','2008-04-18','2010-07-12',NULL,1,10),</v>
      </c>
    </row>
    <row r="14" spans="1:9" ht="20.100000000000001" customHeight="1" x14ac:dyDescent="0.25">
      <c r="A14" s="3">
        <v>12</v>
      </c>
      <c r="B14" s="8" t="s">
        <v>38</v>
      </c>
      <c r="C14" s="5" t="s">
        <v>39</v>
      </c>
      <c r="D14" s="6">
        <v>40122</v>
      </c>
      <c r="E14" s="6">
        <v>40719</v>
      </c>
      <c r="F14" s="7" t="s">
        <v>20</v>
      </c>
      <c r="G14" s="7">
        <v>1</v>
      </c>
      <c r="H14" s="7">
        <v>10</v>
      </c>
      <c r="I14" s="5" t="str">
        <f t="shared" si="0"/>
        <v>(12,'DT-DJM','Terminal de Distribution SP1 Bis Djamaa','2009-11-05','2011-06-25',NULL,1,10),</v>
      </c>
    </row>
    <row r="15" spans="1:9" ht="20.100000000000001" customHeight="1" x14ac:dyDescent="0.25">
      <c r="A15" s="3">
        <v>13</v>
      </c>
      <c r="B15" s="8" t="s">
        <v>40</v>
      </c>
      <c r="C15" s="5" t="s">
        <v>41</v>
      </c>
      <c r="D15" s="6">
        <v>40179</v>
      </c>
      <c r="E15" s="6">
        <v>40179</v>
      </c>
      <c r="F15" s="7" t="s">
        <v>20</v>
      </c>
      <c r="G15" s="7">
        <v>1</v>
      </c>
      <c r="H15" s="7">
        <v>10</v>
      </c>
      <c r="I15" s="5" t="str">
        <f t="shared" si="0"/>
        <v>(13,'DT-MDZ','Terminal de Distribution Mocta Douz','2010-01-01','2010-01-01',NULL,1,10),</v>
      </c>
    </row>
    <row r="16" spans="1:9" ht="20.100000000000001" customHeight="1" x14ac:dyDescent="0.25">
      <c r="A16" s="3">
        <v>14</v>
      </c>
      <c r="B16" s="8" t="s">
        <v>42</v>
      </c>
      <c r="C16" s="5" t="s">
        <v>43</v>
      </c>
      <c r="D16" s="6">
        <v>40249</v>
      </c>
      <c r="E16" s="6">
        <v>41160</v>
      </c>
      <c r="F16" s="7" t="s">
        <v>20</v>
      </c>
      <c r="G16" s="7">
        <v>1</v>
      </c>
      <c r="H16" s="7">
        <v>10</v>
      </c>
      <c r="I16" s="5" t="str">
        <f t="shared" ref="I16:I83" si="1">CONCATENATE("(",A16,",'",B16,"','",C16,"','",TEXT(D16,"aaaa-mm-jj"),"','",TEXT(E16,"aaaa-mm-jj"),"',",F16,",",G16,",",H16,"),")</f>
        <v>(14,'TT-ARH','Terminal de Transfert Al Aricha','Friday-03-jj','Saturday-09-jj',NULL,1,10),</v>
      </c>
    </row>
    <row r="17" spans="1:9" ht="20.100000000000001" customHeight="1" x14ac:dyDescent="0.25">
      <c r="A17" s="3">
        <v>15</v>
      </c>
      <c r="B17" s="8" t="s">
        <v>44</v>
      </c>
      <c r="C17" s="5" t="s">
        <v>45</v>
      </c>
      <c r="D17" s="6">
        <v>40683</v>
      </c>
      <c r="E17" s="6">
        <v>41593</v>
      </c>
      <c r="F17" s="7" t="s">
        <v>20</v>
      </c>
      <c r="G17" s="7">
        <v>1</v>
      </c>
      <c r="H17" s="7">
        <v>10</v>
      </c>
      <c r="I17" s="5" t="str">
        <f t="shared" si="1"/>
        <v>(15,'TT-BNM','Terminal de Transfert Beni Mensour','2011-05-20','2013-11-15',NULL,1,10),</v>
      </c>
    </row>
    <row r="18" spans="1:9" ht="20.100000000000001" customHeight="1" x14ac:dyDescent="0.25">
      <c r="A18" s="3"/>
      <c r="B18" s="8" t="s">
        <v>3649</v>
      </c>
      <c r="C18" s="5" t="s">
        <v>3650</v>
      </c>
      <c r="D18" s="6"/>
      <c r="E18" s="6"/>
      <c r="F18" s="7"/>
      <c r="G18" s="7"/>
      <c r="H18" s="7"/>
      <c r="I18" s="5"/>
    </row>
    <row r="19" spans="1:9" ht="20.100000000000001" customHeight="1" x14ac:dyDescent="0.25">
      <c r="A19" s="3">
        <v>16</v>
      </c>
      <c r="B19" s="8" t="s">
        <v>46</v>
      </c>
      <c r="C19" s="5" t="s">
        <v>47</v>
      </c>
      <c r="D19" s="6">
        <v>37478</v>
      </c>
      <c r="E19" s="6">
        <v>38341</v>
      </c>
      <c r="F19" s="7" t="s">
        <v>20</v>
      </c>
      <c r="G19" s="7">
        <v>1</v>
      </c>
      <c r="H19" s="7">
        <v>10</v>
      </c>
      <c r="I19" s="5" t="str">
        <f t="shared" si="1"/>
        <v>(16,'TT-HMD','Terminal de Transfert Hassi Messaoud','Saturday-08-jj','Monday-12-jj',NULL,1,10),</v>
      </c>
    </row>
    <row r="20" spans="1:9" ht="20.100000000000001" customHeight="1" x14ac:dyDescent="0.25">
      <c r="A20" s="3">
        <v>17</v>
      </c>
      <c r="B20" s="8" t="s">
        <v>3635</v>
      </c>
      <c r="C20" s="5" t="s">
        <v>49</v>
      </c>
      <c r="D20" s="6">
        <v>38518</v>
      </c>
      <c r="E20" s="6">
        <v>39385</v>
      </c>
      <c r="F20" s="7" t="s">
        <v>20</v>
      </c>
      <c r="G20" s="7">
        <v>1</v>
      </c>
      <c r="H20" s="7">
        <v>10</v>
      </c>
      <c r="I20" s="5" t="str">
        <f t="shared" si="1"/>
        <v>(17,'PT-MSD','Terminal de Transfert Mesdar','Wednesday-06-jj','Tuesday-10-jj',NULL,1,10),</v>
      </c>
    </row>
    <row r="21" spans="1:9" ht="20.100000000000001" customHeight="1" x14ac:dyDescent="0.25">
      <c r="A21" s="3">
        <v>18</v>
      </c>
      <c r="B21" s="8" t="s">
        <v>50</v>
      </c>
      <c r="C21" s="5" t="s">
        <v>51</v>
      </c>
      <c r="D21" s="6">
        <v>38982</v>
      </c>
      <c r="E21" s="6">
        <v>39678</v>
      </c>
      <c r="F21" s="7" t="s">
        <v>20</v>
      </c>
      <c r="G21" s="7">
        <v>1</v>
      </c>
      <c r="H21" s="7">
        <v>10</v>
      </c>
      <c r="I21" s="5" t="str">
        <f t="shared" si="1"/>
        <v>(18,'TT-OHT','Terminal de Transfert Ohanet','Friday-09-jj','Monday-08-jj',NULL,1,10),</v>
      </c>
    </row>
    <row r="22" spans="1:9" ht="20.100000000000001" customHeight="1" x14ac:dyDescent="0.25">
      <c r="A22" s="3">
        <v>19</v>
      </c>
      <c r="B22" s="8" t="s">
        <v>52</v>
      </c>
      <c r="C22" s="5" t="s">
        <v>53</v>
      </c>
      <c r="D22" s="6">
        <v>39421</v>
      </c>
      <c r="E22" s="6">
        <v>40014</v>
      </c>
      <c r="F22" s="7" t="s">
        <v>20</v>
      </c>
      <c r="G22" s="7">
        <v>1</v>
      </c>
      <c r="H22" s="7">
        <v>10</v>
      </c>
      <c r="I22" s="5" t="str">
        <f t="shared" si="1"/>
        <v>(19,'TT-137','Terminal de Transfert PC1/PK137','2007-12-05','2009-07-20',NULL,1,10),</v>
      </c>
    </row>
    <row r="23" spans="1:9" ht="20.100000000000001" customHeight="1" x14ac:dyDescent="0.25">
      <c r="A23" s="3">
        <v>20</v>
      </c>
      <c r="B23" s="8" t="s">
        <v>54</v>
      </c>
      <c r="C23" s="5" t="s">
        <v>55</v>
      </c>
      <c r="D23" s="6">
        <v>39525</v>
      </c>
      <c r="E23" s="6">
        <v>40323</v>
      </c>
      <c r="F23" s="7" t="s">
        <v>20</v>
      </c>
      <c r="G23" s="7">
        <v>1</v>
      </c>
      <c r="H23" s="7">
        <v>10</v>
      </c>
      <c r="I23" s="5" t="str">
        <f t="shared" si="1"/>
        <v>(20,'TT-RDN','Terminal de Transfert Rhoude Nouss','Tuesday-03-jj','Tuesday-05-jj',NULL,1,10),</v>
      </c>
    </row>
    <row r="24" spans="1:9" ht="20.100000000000001" customHeight="1" x14ac:dyDescent="0.25">
      <c r="A24" s="3">
        <v>21</v>
      </c>
      <c r="B24" s="8" t="s">
        <v>56</v>
      </c>
      <c r="C24" s="5" t="s">
        <v>57</v>
      </c>
      <c r="D24" s="6">
        <v>34709</v>
      </c>
      <c r="E24" s="6">
        <v>35688</v>
      </c>
      <c r="F24" s="7" t="s">
        <v>20</v>
      </c>
      <c r="G24" s="7">
        <v>1</v>
      </c>
      <c r="H24" s="7">
        <v>10</v>
      </c>
      <c r="I24" s="5" t="str">
        <f t="shared" si="1"/>
        <v>(21,'PT-ALG','Terminal de Pipeline Alger','1995-01-10','1997-09-15',NULL,1,10),</v>
      </c>
    </row>
    <row r="25" spans="1:9" ht="20.100000000000001" customHeight="1" x14ac:dyDescent="0.25">
      <c r="A25" s="3">
        <v>22</v>
      </c>
      <c r="B25" s="8" t="s">
        <v>58</v>
      </c>
      <c r="C25" s="5" t="s">
        <v>59</v>
      </c>
      <c r="D25" s="6">
        <v>35907</v>
      </c>
      <c r="E25" s="6">
        <v>36860</v>
      </c>
      <c r="F25" s="7" t="s">
        <v>20</v>
      </c>
      <c r="G25" s="7">
        <v>1</v>
      </c>
      <c r="H25" s="7">
        <v>10</v>
      </c>
      <c r="I25" s="5" t="str">
        <f t="shared" si="1"/>
        <v>(22,'PT-ALR','Terminal de Pipeline Alrar','Wednesday-04-jj','Thursday-11-jj',NULL,1,10),</v>
      </c>
    </row>
    <row r="26" spans="1:9" ht="20.100000000000001" customHeight="1" x14ac:dyDescent="0.25">
      <c r="A26" s="3">
        <v>23</v>
      </c>
      <c r="B26" s="8" t="s">
        <v>3628</v>
      </c>
      <c r="C26" s="5" t="s">
        <v>61</v>
      </c>
      <c r="D26" s="6">
        <v>29387</v>
      </c>
      <c r="E26" s="6">
        <v>30375</v>
      </c>
      <c r="F26" s="7" t="s">
        <v>20</v>
      </c>
      <c r="G26" s="7">
        <v>1</v>
      </c>
      <c r="H26" s="7">
        <v>10</v>
      </c>
      <c r="I26" s="5" t="str">
        <f t="shared" si="1"/>
        <v>(23,'PT-ARZ','Terminal de Pipeline Arzew','Sunday-06-jj','Monday-02-jj',NULL,1,10),</v>
      </c>
    </row>
    <row r="27" spans="1:9" ht="20.100000000000001" customHeight="1" x14ac:dyDescent="0.25">
      <c r="A27" s="3"/>
      <c r="B27" s="8" t="s">
        <v>3658</v>
      </c>
      <c r="C27" s="5" t="s">
        <v>3657</v>
      </c>
      <c r="D27" s="6"/>
      <c r="E27" s="6"/>
      <c r="F27" s="7"/>
      <c r="G27" s="7"/>
      <c r="H27" s="7"/>
      <c r="I27" s="5"/>
    </row>
    <row r="28" spans="1:9" ht="20.100000000000001" customHeight="1" x14ac:dyDescent="0.25">
      <c r="A28" s="3"/>
      <c r="B28" s="8" t="s">
        <v>3641</v>
      </c>
      <c r="C28" s="5" t="s">
        <v>3642</v>
      </c>
      <c r="D28" s="6"/>
      <c r="E28" s="6"/>
      <c r="F28" s="7"/>
      <c r="G28" s="7"/>
      <c r="H28" s="7"/>
      <c r="I28" s="5"/>
    </row>
    <row r="29" spans="1:9" ht="20.100000000000001" customHeight="1" x14ac:dyDescent="0.25">
      <c r="A29" s="3">
        <v>24</v>
      </c>
      <c r="B29" s="8" t="s">
        <v>62</v>
      </c>
      <c r="C29" s="5" t="s">
        <v>63</v>
      </c>
      <c r="D29" s="6">
        <v>35662</v>
      </c>
      <c r="E29" s="6">
        <v>36504</v>
      </c>
      <c r="F29" s="7" t="s">
        <v>20</v>
      </c>
      <c r="G29" s="7">
        <v>1</v>
      </c>
      <c r="H29" s="7">
        <v>10</v>
      </c>
      <c r="I29" s="5" t="str">
        <f t="shared" si="1"/>
        <v>(24,'PT-BJA','Terminal de Pipeline Bejaia','Wednesday-08-jj','Friday-12-jj',NULL,1,10),</v>
      </c>
    </row>
    <row r="30" spans="1:9" ht="20.100000000000001" customHeight="1" x14ac:dyDescent="0.25">
      <c r="A30" s="3">
        <v>25</v>
      </c>
      <c r="B30" s="8" t="s">
        <v>64</v>
      </c>
      <c r="C30" s="5" t="s">
        <v>65</v>
      </c>
      <c r="D30" s="6">
        <v>36965</v>
      </c>
      <c r="E30" s="6">
        <v>37827</v>
      </c>
      <c r="F30" s="7" t="s">
        <v>20</v>
      </c>
      <c r="G30" s="7">
        <v>1</v>
      </c>
      <c r="H30" s="7">
        <v>10</v>
      </c>
      <c r="I30" s="5" t="str">
        <f t="shared" si="1"/>
        <v>(25,'PT-BRN','Terminal de Pipeline Bir Rebaa North','2001-03-15','2003-07-25',NULL,1,10),</v>
      </c>
    </row>
    <row r="31" spans="1:9" ht="20.100000000000001" customHeight="1" x14ac:dyDescent="0.25">
      <c r="A31" s="3">
        <v>26</v>
      </c>
      <c r="B31" s="8" t="s">
        <v>66</v>
      </c>
      <c r="C31" s="5" t="s">
        <v>3453</v>
      </c>
      <c r="D31" s="6">
        <v>35377</v>
      </c>
      <c r="E31" s="6">
        <v>36029</v>
      </c>
      <c r="F31" s="7" t="s">
        <v>20</v>
      </c>
      <c r="G31" s="7">
        <v>1</v>
      </c>
      <c r="H31" s="7">
        <v>10</v>
      </c>
      <c r="I31" s="5" t="str">
        <f t="shared" si="1"/>
        <v>(26,'PT-BMN','Terminal de Pipeline Bordj Menaiel','Friday-11-jj','Saturday-08-jj',NULL,1,10),</v>
      </c>
    </row>
    <row r="32" spans="1:9" ht="20.100000000000001" customHeight="1" x14ac:dyDescent="0.25">
      <c r="A32" s="3">
        <v>27</v>
      </c>
      <c r="B32" s="8" t="s">
        <v>67</v>
      </c>
      <c r="C32" s="5" t="s">
        <v>68</v>
      </c>
      <c r="D32" s="6">
        <v>36658</v>
      </c>
      <c r="E32" s="6">
        <v>37547</v>
      </c>
      <c r="F32" s="7" t="s">
        <v>20</v>
      </c>
      <c r="G32" s="7">
        <v>1</v>
      </c>
      <c r="H32" s="7">
        <v>10</v>
      </c>
      <c r="I32" s="5" t="str">
        <f t="shared" si="1"/>
        <v>(27,'PT-BRM','Terminal de Pipeline El Borma','Friday-05-jj','Friday-10-jj',NULL,1,10),</v>
      </c>
    </row>
    <row r="33" spans="1:9" ht="20.100000000000001" customHeight="1" x14ac:dyDescent="0.25">
      <c r="A33" s="3">
        <v>28</v>
      </c>
      <c r="B33" s="8" t="s">
        <v>69</v>
      </c>
      <c r="C33" s="5" t="s">
        <v>70</v>
      </c>
      <c r="D33" s="6">
        <v>37869</v>
      </c>
      <c r="E33" s="6">
        <v>38523</v>
      </c>
      <c r="F33" s="7" t="s">
        <v>20</v>
      </c>
      <c r="G33" s="7">
        <v>1</v>
      </c>
      <c r="H33" s="7">
        <v>10</v>
      </c>
      <c r="I33" s="5" t="str">
        <f t="shared" si="1"/>
        <v>(28,'PT-GST','Terminal de Pipeline Gassi Touil','Friday-09-jj','Monday-06-jj',NULL,1,10),</v>
      </c>
    </row>
    <row r="34" spans="1:9" ht="20.100000000000001" customHeight="1" x14ac:dyDescent="0.25">
      <c r="A34" s="3">
        <v>29</v>
      </c>
      <c r="B34" s="8" t="s">
        <v>71</v>
      </c>
      <c r="C34" s="5" t="s">
        <v>72</v>
      </c>
      <c r="D34" s="6">
        <v>38035</v>
      </c>
      <c r="E34" s="6">
        <v>38837</v>
      </c>
      <c r="F34" s="7" t="s">
        <v>20</v>
      </c>
      <c r="G34" s="7">
        <v>1</v>
      </c>
      <c r="H34" s="7">
        <v>10</v>
      </c>
      <c r="I34" s="5" t="str">
        <f t="shared" si="1"/>
        <v>(29,'PT-HBK','Terminal de Pipeline Hassi Berkine','Wednesday-02-jj','Sunday-04-jj',NULL,1,10),</v>
      </c>
    </row>
    <row r="35" spans="1:9" ht="20.100000000000001" customHeight="1" x14ac:dyDescent="0.25">
      <c r="A35" s="3">
        <v>30</v>
      </c>
      <c r="B35" s="8" t="s">
        <v>73</v>
      </c>
      <c r="C35" s="5" t="s">
        <v>74</v>
      </c>
      <c r="D35" s="6">
        <v>38555</v>
      </c>
      <c r="E35" s="6">
        <v>39340</v>
      </c>
      <c r="F35" s="7" t="s">
        <v>20</v>
      </c>
      <c r="G35" s="7">
        <v>1</v>
      </c>
      <c r="H35" s="7">
        <v>10</v>
      </c>
      <c r="I35" s="5" t="str">
        <f t="shared" si="1"/>
        <v>(30,'PT-HTJ','Terminal de Pipeline Hassi tedjirane','2005-07-22','2007-09-15',NULL,1,10),</v>
      </c>
    </row>
    <row r="36" spans="1:9" ht="20.100000000000001" customHeight="1" x14ac:dyDescent="0.25">
      <c r="A36" s="3">
        <v>31</v>
      </c>
      <c r="B36" s="8" t="s">
        <v>75</v>
      </c>
      <c r="C36" s="5" t="s">
        <v>76</v>
      </c>
      <c r="D36" s="6">
        <v>37537</v>
      </c>
      <c r="E36" s="6">
        <v>38224</v>
      </c>
      <c r="F36" s="7" t="s">
        <v>20</v>
      </c>
      <c r="G36" s="7">
        <v>1</v>
      </c>
      <c r="H36" s="7">
        <v>10</v>
      </c>
      <c r="I36" s="5" t="str">
        <f t="shared" si="1"/>
        <v>(31,'PT-NMS','Terminal de Pipeline In Amenas','Tuesday-10-jj','Wednesday-08-jj',NULL,1,10),</v>
      </c>
    </row>
    <row r="37" spans="1:9" ht="20.100000000000001" customHeight="1" x14ac:dyDescent="0.25">
      <c r="A37" s="3">
        <v>32</v>
      </c>
      <c r="B37" s="8" t="s">
        <v>77</v>
      </c>
      <c r="C37" s="5" t="s">
        <v>78</v>
      </c>
      <c r="D37" s="6">
        <v>39066</v>
      </c>
      <c r="E37" s="6">
        <v>39772</v>
      </c>
      <c r="F37" s="7" t="s">
        <v>20</v>
      </c>
      <c r="G37" s="7">
        <v>1</v>
      </c>
      <c r="H37" s="7">
        <v>10</v>
      </c>
      <c r="I37" s="5" t="str">
        <f t="shared" si="1"/>
        <v>(32,'PT-NSL','Terminal de Pipeline In Salah','2006-12-15','2008-11-20',NULL,1,10),</v>
      </c>
    </row>
    <row r="38" spans="1:9" ht="20.100000000000001" customHeight="1" x14ac:dyDescent="0.25">
      <c r="A38" s="3">
        <v>33</v>
      </c>
      <c r="B38" s="8" t="s">
        <v>79</v>
      </c>
      <c r="C38" s="5" t="s">
        <v>80</v>
      </c>
      <c r="D38" s="6">
        <v>35509</v>
      </c>
      <c r="E38" s="6">
        <v>36290</v>
      </c>
      <c r="F38" s="7" t="s">
        <v>20</v>
      </c>
      <c r="G38" s="7">
        <v>1</v>
      </c>
      <c r="H38" s="7">
        <v>10</v>
      </c>
      <c r="I38" s="5" t="str">
        <f t="shared" si="1"/>
        <v>(33,'PT-ISR','Terminal de Pipeline Isser','1997-03-20','1999-05-10',NULL,1,10),</v>
      </c>
    </row>
    <row r="39" spans="1:9" ht="20.100000000000001" customHeight="1" x14ac:dyDescent="0.25">
      <c r="A39" s="3">
        <v>34</v>
      </c>
      <c r="B39" s="8" t="s">
        <v>81</v>
      </c>
      <c r="C39" s="5" t="s">
        <v>82</v>
      </c>
      <c r="D39" s="6">
        <v>40341</v>
      </c>
      <c r="E39" s="6">
        <v>41212</v>
      </c>
      <c r="F39" s="7" t="s">
        <v>20</v>
      </c>
      <c r="G39" s="7">
        <v>1</v>
      </c>
      <c r="H39" s="7">
        <v>10</v>
      </c>
      <c r="I39" s="5" t="str">
        <f t="shared" si="1"/>
        <v>(34,'PT-RGN','Terminal de Pipeline Reggane','Saturday-06-jj','Tuesday-10-jj',NULL,1,10),</v>
      </c>
    </row>
    <row r="40" spans="1:9" ht="20.100000000000001" customHeight="1" x14ac:dyDescent="0.25">
      <c r="A40" s="3">
        <v>35</v>
      </c>
      <c r="B40" s="8" t="s">
        <v>83</v>
      </c>
      <c r="C40" s="5" t="s">
        <v>84</v>
      </c>
      <c r="D40" s="6">
        <v>37152</v>
      </c>
      <c r="E40" s="6">
        <v>37977</v>
      </c>
      <c r="F40" s="7" t="s">
        <v>20</v>
      </c>
      <c r="G40" s="7">
        <v>1</v>
      </c>
      <c r="H40" s="7">
        <v>10</v>
      </c>
      <c r="I40" s="5" t="str">
        <f t="shared" si="1"/>
        <v>(35,'PT-RBL','Terminal de Pipeline Rhoude El Baguel','Tuesday-09-jj','Monday-12-jj',NULL,1,10),</v>
      </c>
    </row>
    <row r="41" spans="1:9" ht="20.100000000000001" customHeight="1" x14ac:dyDescent="0.25">
      <c r="A41" s="3">
        <v>36</v>
      </c>
      <c r="B41" s="8" t="s">
        <v>85</v>
      </c>
      <c r="C41" s="5" t="s">
        <v>86</v>
      </c>
      <c r="D41" s="6">
        <v>27494</v>
      </c>
      <c r="E41" s="6">
        <v>28505</v>
      </c>
      <c r="F41" s="7" t="s">
        <v>20</v>
      </c>
      <c r="G41" s="7">
        <v>1</v>
      </c>
      <c r="H41" s="7">
        <v>10</v>
      </c>
      <c r="I41" s="5" t="str">
        <f t="shared" si="1"/>
        <v>(36,'PT-SKD','Terminal de Pipeline Skikda','Thursday-04-jj','Sunday-01-jj',NULL,1,10),</v>
      </c>
    </row>
    <row r="42" spans="1:9" ht="20.100000000000001" customHeight="1" x14ac:dyDescent="0.25">
      <c r="A42" s="3"/>
      <c r="B42" s="8" t="s">
        <v>3448</v>
      </c>
      <c r="C42" s="5" t="s">
        <v>3449</v>
      </c>
      <c r="D42" s="6">
        <v>43101</v>
      </c>
      <c r="E42" s="6">
        <v>43101</v>
      </c>
      <c r="F42" s="7" t="s">
        <v>20</v>
      </c>
      <c r="G42" s="7">
        <v>1</v>
      </c>
      <c r="H42" s="7">
        <v>10</v>
      </c>
      <c r="I42" s="5" t="str">
        <f t="shared" si="1"/>
        <v>(,'PT-SC4SGR','Terminal de Pipeline Sougueur','2018-01-01','2018-01-01',NULL,1,10),</v>
      </c>
    </row>
    <row r="43" spans="1:9" ht="20.100000000000001" customHeight="1" x14ac:dyDescent="0.25">
      <c r="A43" s="3">
        <v>37</v>
      </c>
      <c r="B43" s="8" t="s">
        <v>3339</v>
      </c>
      <c r="C43" s="5" t="s">
        <v>3331</v>
      </c>
      <c r="D43" s="6">
        <v>36540</v>
      </c>
      <c r="E43" s="6">
        <v>37154</v>
      </c>
      <c r="F43" s="7" t="s">
        <v>20</v>
      </c>
      <c r="G43" s="7">
        <v>1</v>
      </c>
      <c r="H43" s="7">
        <v>10</v>
      </c>
      <c r="I43" s="5" t="str">
        <f t="shared" si="1"/>
        <v>(37,'SP1-OZ1/OZ2','Station de Pompage SP1-OZ1/OZ2','2000-01-15','2001-09-20',NULL,1,10),</v>
      </c>
    </row>
    <row r="44" spans="1:9" ht="20.100000000000001" customHeight="1" x14ac:dyDescent="0.25">
      <c r="A44" s="10">
        <v>38</v>
      </c>
      <c r="B44" s="11" t="s">
        <v>3076</v>
      </c>
      <c r="C44" s="9" t="s">
        <v>3077</v>
      </c>
      <c r="D44" s="12">
        <v>36540</v>
      </c>
      <c r="E44" s="12">
        <v>37154</v>
      </c>
      <c r="F44" s="13" t="s">
        <v>20</v>
      </c>
      <c r="G44" s="13">
        <v>0</v>
      </c>
      <c r="H44" s="13">
        <v>10</v>
      </c>
      <c r="I44" s="9" t="str">
        <f t="shared" si="1"/>
        <v>(38,'SP1-OZ1','Station de Pompage SP1-OZ1','2000-01-15','2001-09-20',NULL,0,10),</v>
      </c>
    </row>
    <row r="45" spans="1:9" ht="20.100000000000001" customHeight="1" x14ac:dyDescent="0.25">
      <c r="A45" s="3">
        <v>39</v>
      </c>
      <c r="B45" s="8" t="s">
        <v>3338</v>
      </c>
      <c r="C45" s="5" t="s">
        <v>3332</v>
      </c>
      <c r="D45" s="6">
        <v>36960</v>
      </c>
      <c r="E45" s="6">
        <v>37575</v>
      </c>
      <c r="F45" s="7" t="s">
        <v>20</v>
      </c>
      <c r="G45" s="7">
        <v>1</v>
      </c>
      <c r="H45" s="7">
        <v>10</v>
      </c>
      <c r="I45" s="5" t="str">
        <f t="shared" si="1"/>
        <v>(39,'SP2-OZ1/OZ2','Station de Pompage SP2-OZ1/OZ2','2001-03-10','2002-11-15',NULL,1,10),</v>
      </c>
    </row>
    <row r="46" spans="1:9" ht="20.100000000000001" customHeight="1" x14ac:dyDescent="0.25">
      <c r="A46" s="10">
        <v>40</v>
      </c>
      <c r="B46" s="11" t="s">
        <v>3078</v>
      </c>
      <c r="C46" s="9" t="s">
        <v>3079</v>
      </c>
      <c r="D46" s="12">
        <v>36960</v>
      </c>
      <c r="E46" s="12">
        <v>37575</v>
      </c>
      <c r="F46" s="13" t="s">
        <v>20</v>
      </c>
      <c r="G46" s="13">
        <v>0</v>
      </c>
      <c r="H46" s="13">
        <v>10</v>
      </c>
      <c r="I46" s="9" t="str">
        <f t="shared" si="1"/>
        <v>(40,'SP2-OZ1','Station de Pompage SP2-OZ1','2001-03-10','2002-11-15',NULL,0,10),</v>
      </c>
    </row>
    <row r="47" spans="1:9" ht="20.100000000000001" customHeight="1" x14ac:dyDescent="0.25">
      <c r="A47" s="3">
        <v>41</v>
      </c>
      <c r="B47" s="8" t="s">
        <v>3337</v>
      </c>
      <c r="C47" s="5" t="s">
        <v>3332</v>
      </c>
      <c r="D47" s="6">
        <v>37396</v>
      </c>
      <c r="E47" s="6">
        <v>37985</v>
      </c>
      <c r="F47" s="7" t="s">
        <v>20</v>
      </c>
      <c r="G47" s="7">
        <v>1</v>
      </c>
      <c r="H47" s="7">
        <v>10</v>
      </c>
      <c r="I47" s="5" t="str">
        <f t="shared" si="1"/>
        <v>(41,'SP3-OZ1/OZ2','Station de Pompage SP2-OZ1/OZ2','2002-05-20','2003-12-30',NULL,1,10),</v>
      </c>
    </row>
    <row r="48" spans="1:9" ht="20.100000000000001" customHeight="1" x14ac:dyDescent="0.25">
      <c r="A48" s="10">
        <v>42</v>
      </c>
      <c r="B48" s="11" t="s">
        <v>3080</v>
      </c>
      <c r="C48" s="9" t="s">
        <v>3079</v>
      </c>
      <c r="D48" s="12">
        <v>37396</v>
      </c>
      <c r="E48" s="12">
        <v>37985</v>
      </c>
      <c r="F48" s="13" t="s">
        <v>20</v>
      </c>
      <c r="G48" s="13">
        <v>0</v>
      </c>
      <c r="H48" s="13">
        <v>10</v>
      </c>
      <c r="I48" s="9" t="str">
        <f t="shared" si="1"/>
        <v>(42,'SP3-OZ1','Station de Pompage SP2-OZ1','2002-05-20','2003-12-30',NULL,0,10),</v>
      </c>
    </row>
    <row r="49" spans="1:10" ht="20.100000000000001" customHeight="1" x14ac:dyDescent="0.25">
      <c r="A49" s="3">
        <v>43</v>
      </c>
      <c r="B49" s="8" t="s">
        <v>3336</v>
      </c>
      <c r="C49" s="5" t="s">
        <v>3332</v>
      </c>
      <c r="D49" s="6">
        <v>37848</v>
      </c>
      <c r="E49" s="6">
        <v>38433</v>
      </c>
      <c r="F49" s="7" t="s">
        <v>20</v>
      </c>
      <c r="G49" s="7">
        <v>1</v>
      </c>
      <c r="H49" s="7">
        <v>10</v>
      </c>
      <c r="I49" s="5" t="str">
        <f t="shared" si="1"/>
        <v>(43,'SP4-OZ1/OZ2','Station de Pompage SP2-OZ1/OZ2','2003-08-15','2005-03-22',NULL,1,10),</v>
      </c>
    </row>
    <row r="50" spans="1:10" ht="20.100000000000001" customHeight="1" x14ac:dyDescent="0.25">
      <c r="A50" s="10">
        <v>44</v>
      </c>
      <c r="B50" s="11" t="s">
        <v>3081</v>
      </c>
      <c r="C50" s="9" t="s">
        <v>3079</v>
      </c>
      <c r="D50" s="12">
        <v>37848</v>
      </c>
      <c r="E50" s="12">
        <v>38433</v>
      </c>
      <c r="F50" s="13" t="s">
        <v>20</v>
      </c>
      <c r="G50" s="13">
        <v>0</v>
      </c>
      <c r="H50" s="13">
        <v>10</v>
      </c>
      <c r="I50" s="9" t="str">
        <f t="shared" si="1"/>
        <v>(44,'SP4-OZ1','Station de Pompage SP2-OZ1','2003-08-15','2005-03-22',NULL,0,10),</v>
      </c>
    </row>
    <row r="51" spans="1:10" ht="20.100000000000001" customHeight="1" x14ac:dyDescent="0.25">
      <c r="A51" s="3">
        <v>45</v>
      </c>
      <c r="B51" s="8" t="s">
        <v>3335</v>
      </c>
      <c r="C51" s="5" t="s">
        <v>3332</v>
      </c>
      <c r="D51" s="6">
        <v>38265</v>
      </c>
      <c r="E51" s="6">
        <v>38886</v>
      </c>
      <c r="F51" s="7" t="s">
        <v>20</v>
      </c>
      <c r="G51" s="7">
        <v>1</v>
      </c>
      <c r="H51" s="7">
        <v>10</v>
      </c>
      <c r="I51" s="5" t="str">
        <f t="shared" si="1"/>
        <v>(45,'SP5-OZ1/OZ2','Station de Pompage SP2-OZ1/OZ2','2004-10-05','2006-06-18',NULL,1,10),</v>
      </c>
    </row>
    <row r="52" spans="1:10" ht="20.100000000000001" customHeight="1" x14ac:dyDescent="0.25">
      <c r="A52" s="10">
        <v>46</v>
      </c>
      <c r="B52" s="11" t="s">
        <v>3082</v>
      </c>
      <c r="C52" s="9" t="s">
        <v>3079</v>
      </c>
      <c r="D52" s="12">
        <v>38265</v>
      </c>
      <c r="E52" s="12">
        <v>38886</v>
      </c>
      <c r="F52" s="13" t="s">
        <v>20</v>
      </c>
      <c r="G52" s="13">
        <v>0</v>
      </c>
      <c r="H52" s="13">
        <v>10</v>
      </c>
      <c r="I52" s="9" t="str">
        <f t="shared" si="1"/>
        <v>(46,'SP5-OZ1','Station de Pompage SP2-OZ1','2004-10-05','2006-06-18',NULL,0,10),</v>
      </c>
    </row>
    <row r="53" spans="1:10" ht="20.100000000000001" customHeight="1" x14ac:dyDescent="0.25">
      <c r="A53" s="3">
        <v>47</v>
      </c>
      <c r="B53" s="8" t="s">
        <v>3333</v>
      </c>
      <c r="C53" s="5" t="s">
        <v>3332</v>
      </c>
      <c r="D53" s="6">
        <v>38698</v>
      </c>
      <c r="E53" s="6">
        <v>39319</v>
      </c>
      <c r="F53" s="7" t="s">
        <v>20</v>
      </c>
      <c r="G53" s="7">
        <v>1</v>
      </c>
      <c r="H53" s="7">
        <v>10</v>
      </c>
      <c r="I53" s="5" t="str">
        <f t="shared" si="1"/>
        <v>(47,'SP6-OZ1/OZ2','Station de Pompage SP2-OZ1/OZ2','2005-12-12','2007-08-25',NULL,1,10),</v>
      </c>
    </row>
    <row r="54" spans="1:10" ht="20.100000000000001" customHeight="1" x14ac:dyDescent="0.25">
      <c r="A54" s="10">
        <v>48</v>
      </c>
      <c r="B54" s="11" t="s">
        <v>3083</v>
      </c>
      <c r="C54" s="9" t="s">
        <v>3079</v>
      </c>
      <c r="D54" s="12">
        <v>38698</v>
      </c>
      <c r="E54" s="12">
        <v>39319</v>
      </c>
      <c r="F54" s="13" t="s">
        <v>20</v>
      </c>
      <c r="G54" s="13">
        <v>0</v>
      </c>
      <c r="H54" s="13">
        <v>10</v>
      </c>
      <c r="I54" s="9" t="str">
        <f t="shared" si="1"/>
        <v>(48,'SP6-OZ1','Station de Pompage SP2-OZ1','2005-12-12','2007-08-25',NULL,0,10),</v>
      </c>
    </row>
    <row r="55" spans="1:10" ht="20.100000000000001" customHeight="1" x14ac:dyDescent="0.25">
      <c r="A55" s="3">
        <v>49</v>
      </c>
      <c r="B55" s="8" t="s">
        <v>3334</v>
      </c>
      <c r="C55" s="5" t="s">
        <v>3085</v>
      </c>
      <c r="D55" s="6">
        <v>38796</v>
      </c>
      <c r="E55" s="6">
        <v>39396</v>
      </c>
      <c r="F55" s="7" t="s">
        <v>20</v>
      </c>
      <c r="G55" s="7">
        <v>1</v>
      </c>
      <c r="H55" s="7">
        <v>10</v>
      </c>
      <c r="I55" s="5" t="str">
        <f t="shared" si="1"/>
        <v>(49,'PRS-OZ1/OZ2','Station de Régulation PRS-OZ1/OZ2','2006-03-20','2007-11-10',NULL,1,10),</v>
      </c>
    </row>
    <row r="56" spans="1:10" ht="20.100000000000001" customHeight="1" x14ac:dyDescent="0.25">
      <c r="A56" s="10">
        <v>50</v>
      </c>
      <c r="B56" s="11" t="s">
        <v>3084</v>
      </c>
      <c r="C56" s="9" t="s">
        <v>3340</v>
      </c>
      <c r="D56" s="12">
        <v>38796</v>
      </c>
      <c r="E56" s="12">
        <v>39396</v>
      </c>
      <c r="F56" s="13" t="s">
        <v>20</v>
      </c>
      <c r="G56" s="13">
        <v>0</v>
      </c>
      <c r="H56" s="13">
        <v>10</v>
      </c>
      <c r="I56" s="9" t="str">
        <f t="shared" si="1"/>
        <v>(50,'PRS-OZ1','Station de Régulation PRS-OZ1','2006-03-20','2007-11-10',NULL,0,10),</v>
      </c>
    </row>
    <row r="57" spans="1:10" ht="20.100000000000001" customHeight="1" x14ac:dyDescent="0.25">
      <c r="A57" s="3">
        <v>51</v>
      </c>
      <c r="B57" s="8" t="s">
        <v>93</v>
      </c>
      <c r="C57" s="5" t="s">
        <v>94</v>
      </c>
      <c r="D57" s="6">
        <v>37057</v>
      </c>
      <c r="E57" s="6">
        <v>37672</v>
      </c>
      <c r="F57" s="7" t="s">
        <v>20</v>
      </c>
      <c r="G57" s="7">
        <v>1</v>
      </c>
      <c r="H57" s="7">
        <v>10</v>
      </c>
      <c r="I57" s="5" t="str">
        <f t="shared" si="1"/>
        <v>(51,'SP1-OK1','Station de Pompage SP1-OK1','2001-06-15','2003-02-20',NULL,1,10),</v>
      </c>
    </row>
    <row r="58" spans="1:10" ht="20.100000000000001" customHeight="1" x14ac:dyDescent="0.25">
      <c r="A58" s="3">
        <v>52</v>
      </c>
      <c r="B58" s="8" t="s">
        <v>3486</v>
      </c>
      <c r="C58" s="5" t="s">
        <v>3487</v>
      </c>
      <c r="D58" s="6">
        <v>40278</v>
      </c>
      <c r="E58" s="6">
        <v>40923</v>
      </c>
      <c r="F58" s="7" t="s">
        <v>20</v>
      </c>
      <c r="G58" s="7">
        <v>1</v>
      </c>
      <c r="H58" s="7">
        <v>10</v>
      </c>
      <c r="I58" s="5" t="str">
        <f t="shared" si="1"/>
        <v>(52,'R-SP1-OK1','Station de Pompage RSP1-OK1','2010-04-10','2012-01-15',NULL,1,10),</v>
      </c>
    </row>
    <row r="59" spans="1:10" ht="20.100000000000001" customHeight="1" x14ac:dyDescent="0.25">
      <c r="A59" s="3">
        <v>53</v>
      </c>
      <c r="B59" s="8" t="s">
        <v>95</v>
      </c>
      <c r="C59" s="5" t="s">
        <v>96</v>
      </c>
      <c r="D59" s="6">
        <v>37490</v>
      </c>
      <c r="E59" s="6">
        <v>38137</v>
      </c>
      <c r="F59" s="7" t="s">
        <v>20</v>
      </c>
      <c r="G59" s="7">
        <v>1</v>
      </c>
      <c r="H59" s="7">
        <v>10</v>
      </c>
      <c r="I59" s="5" t="str">
        <f t="shared" si="1"/>
        <v>(53,'SP2-OK1','Station de Pompage SP2-OK1','2002-08-22','2004-05-30',NULL,1,10),</v>
      </c>
    </row>
    <row r="60" spans="1:10" ht="20.100000000000001" customHeight="1" x14ac:dyDescent="0.25">
      <c r="A60" s="3">
        <v>54</v>
      </c>
      <c r="B60" s="8" t="s">
        <v>97</v>
      </c>
      <c r="C60" s="5" t="s">
        <v>98</v>
      </c>
      <c r="D60" s="6">
        <v>37930</v>
      </c>
      <c r="E60" s="6">
        <v>38551</v>
      </c>
      <c r="F60" s="7" t="s">
        <v>20</v>
      </c>
      <c r="G60" s="7">
        <v>1</v>
      </c>
      <c r="H60" s="7">
        <v>10</v>
      </c>
      <c r="I60" s="5" t="str">
        <f t="shared" si="1"/>
        <v>(54,'SP3-OK1','Station de Pompage SP3-OK1','2003-11-05','2005-07-18',NULL,1,10),</v>
      </c>
    </row>
    <row r="61" spans="1:10" ht="20.100000000000001" customHeight="1" x14ac:dyDescent="0.25">
      <c r="A61" s="81">
        <v>55</v>
      </c>
      <c r="B61" s="77" t="s">
        <v>99</v>
      </c>
      <c r="C61" s="78" t="s">
        <v>100</v>
      </c>
      <c r="D61" s="79">
        <v>39859</v>
      </c>
      <c r="E61" s="79">
        <v>40479</v>
      </c>
      <c r="F61" s="80" t="s">
        <v>20</v>
      </c>
      <c r="G61" s="80">
        <v>1</v>
      </c>
      <c r="H61" s="80">
        <v>10</v>
      </c>
      <c r="I61" s="78" t="str">
        <f t="shared" si="1"/>
        <v>(55,'SP3-OK1-BIS','Station de Pompage SP3-OK1-BIS','2009-02-15','2010-10-28',NULL,1,10),</v>
      </c>
      <c r="J61" s="2" t="s">
        <v>3488</v>
      </c>
    </row>
    <row r="62" spans="1:10" ht="20.100000000000001" customHeight="1" x14ac:dyDescent="0.25">
      <c r="A62" s="3">
        <v>56</v>
      </c>
      <c r="B62" s="8" t="s">
        <v>101</v>
      </c>
      <c r="C62" s="5" t="s">
        <v>102</v>
      </c>
      <c r="D62" s="6">
        <v>38125</v>
      </c>
      <c r="E62" s="6">
        <v>38739</v>
      </c>
      <c r="F62" s="7" t="s">
        <v>20</v>
      </c>
      <c r="G62" s="7">
        <v>1</v>
      </c>
      <c r="H62" s="7">
        <v>10</v>
      </c>
      <c r="I62" s="5" t="str">
        <f t="shared" si="1"/>
        <v>(56,'SP4-OK1','Station de Pompage SP4-OK1','2004-05-18','2006-01-22',NULL,1,10),</v>
      </c>
    </row>
    <row r="63" spans="1:10" ht="20.100000000000001" customHeight="1" x14ac:dyDescent="0.25">
      <c r="A63" s="3">
        <v>57</v>
      </c>
      <c r="B63" s="8" t="s">
        <v>103</v>
      </c>
      <c r="C63" s="5" t="s">
        <v>104</v>
      </c>
      <c r="D63" s="6">
        <v>37327</v>
      </c>
      <c r="E63" s="6">
        <v>37950</v>
      </c>
      <c r="F63" s="7" t="s">
        <v>20</v>
      </c>
      <c r="G63" s="7">
        <v>1</v>
      </c>
      <c r="H63" s="7">
        <v>10</v>
      </c>
      <c r="I63" s="5" t="str">
        <f t="shared" si="1"/>
        <v>(57,'SP1-OB1','Station de Pompage SP1-OB1','2002-03-12','2003-11-25',NULL,1,10),</v>
      </c>
    </row>
    <row r="64" spans="1:10" ht="20.100000000000001" customHeight="1" x14ac:dyDescent="0.25">
      <c r="A64" s="3">
        <v>58</v>
      </c>
      <c r="B64" s="8" t="s">
        <v>105</v>
      </c>
      <c r="C64" s="5" t="s">
        <v>106</v>
      </c>
      <c r="D64" s="6">
        <v>39649</v>
      </c>
      <c r="E64" s="6">
        <v>40283</v>
      </c>
      <c r="F64" s="7" t="s">
        <v>20</v>
      </c>
      <c r="G64" s="7">
        <v>1</v>
      </c>
      <c r="H64" s="7">
        <v>10</v>
      </c>
      <c r="I64" s="5" t="str">
        <f t="shared" si="1"/>
        <v>(58,'SP1-BIS-OB1','Station de Pompage SP1-BIS-OB1','2008-07-20','2010-04-15',NULL,1,10),</v>
      </c>
    </row>
    <row r="65" spans="1:9" ht="20.100000000000001" customHeight="1" x14ac:dyDescent="0.25">
      <c r="A65" s="3">
        <v>59</v>
      </c>
      <c r="B65" s="8" t="s">
        <v>107</v>
      </c>
      <c r="C65" s="5" t="s">
        <v>108</v>
      </c>
      <c r="D65" s="6">
        <v>37874</v>
      </c>
      <c r="E65" s="6">
        <v>38521</v>
      </c>
      <c r="F65" s="7" t="s">
        <v>20</v>
      </c>
      <c r="G65" s="7">
        <v>1</v>
      </c>
      <c r="H65" s="7">
        <v>10</v>
      </c>
      <c r="I65" s="5" t="str">
        <f t="shared" si="1"/>
        <v>(59,'SP2-OB1','Station de Pompage SP2-OB1','2003-09-10','2005-06-18',NULL,1,10),</v>
      </c>
    </row>
    <row r="66" spans="1:9" ht="20.100000000000001" customHeight="1" x14ac:dyDescent="0.25">
      <c r="A66" s="3">
        <v>60</v>
      </c>
      <c r="B66" s="8" t="s">
        <v>109</v>
      </c>
      <c r="C66" s="5" t="s">
        <v>110</v>
      </c>
      <c r="D66" s="6">
        <v>38326</v>
      </c>
      <c r="E66" s="6">
        <v>38951</v>
      </c>
      <c r="F66" s="7" t="s">
        <v>20</v>
      </c>
      <c r="G66" s="7">
        <v>1</v>
      </c>
      <c r="H66" s="7">
        <v>10</v>
      </c>
      <c r="I66" s="5" t="str">
        <f t="shared" si="1"/>
        <v>(60,'SP3-OB1','Station de Pompage SP3-OB1','2004-12-05','2006-08-22',NULL,1,10),</v>
      </c>
    </row>
    <row r="67" spans="1:9" ht="20.100000000000001" customHeight="1" x14ac:dyDescent="0.25">
      <c r="A67" s="3">
        <v>61</v>
      </c>
      <c r="B67" s="8" t="s">
        <v>111</v>
      </c>
      <c r="C67" s="5" t="s">
        <v>112</v>
      </c>
      <c r="D67" s="6">
        <v>39190</v>
      </c>
      <c r="E67" s="6">
        <v>39843</v>
      </c>
      <c r="F67" s="7" t="s">
        <v>20</v>
      </c>
      <c r="G67" s="7">
        <v>1</v>
      </c>
      <c r="H67" s="7">
        <v>10</v>
      </c>
      <c r="I67" s="5" t="str">
        <f t="shared" si="1"/>
        <v>(61,'SP1-BIS-OG1','Station de Pompage SP1-BIS-OG1','2007-04-18','2009-01-30',NULL,1,10),</v>
      </c>
    </row>
    <row r="68" spans="1:9" ht="20.100000000000001" customHeight="1" x14ac:dyDescent="0.25">
      <c r="A68" s="3">
        <v>62</v>
      </c>
      <c r="B68" s="8" t="s">
        <v>113</v>
      </c>
      <c r="C68" s="5" t="s">
        <v>114</v>
      </c>
      <c r="D68" s="6">
        <v>38405</v>
      </c>
      <c r="E68" s="6">
        <v>39005</v>
      </c>
      <c r="F68" s="7" t="s">
        <v>20</v>
      </c>
      <c r="G68" s="7">
        <v>1</v>
      </c>
      <c r="H68" s="7">
        <v>10</v>
      </c>
      <c r="I68" s="5" t="str">
        <f t="shared" si="1"/>
        <v>(62,'SP1-OT1','Station de Pompage SP1-OT1','2005-02-22','2006-10-15',NULL,1,10),</v>
      </c>
    </row>
    <row r="69" spans="1:9" ht="20.100000000000001" customHeight="1" x14ac:dyDescent="0.25">
      <c r="A69" s="3">
        <v>63</v>
      </c>
      <c r="B69" s="8" t="s">
        <v>115</v>
      </c>
      <c r="C69" s="5" t="s">
        <v>116</v>
      </c>
      <c r="D69" s="6">
        <v>38405</v>
      </c>
      <c r="E69" s="6">
        <v>39005</v>
      </c>
      <c r="F69" s="7" t="s">
        <v>20</v>
      </c>
      <c r="G69" s="7">
        <v>1</v>
      </c>
      <c r="H69" s="7">
        <v>10</v>
      </c>
      <c r="I69" s="5" t="str">
        <f t="shared" si="1"/>
        <v>(63,'SP2-OT1','Station de Pompage SP2-OT1','2005-02-22','2006-10-15',NULL,1,10),</v>
      </c>
    </row>
    <row r="70" spans="1:9" ht="20.100000000000001" customHeight="1" x14ac:dyDescent="0.25">
      <c r="A70" s="3">
        <v>64</v>
      </c>
      <c r="B70" s="8" t="s">
        <v>117</v>
      </c>
      <c r="C70" s="5" t="s">
        <v>118</v>
      </c>
      <c r="D70" s="6">
        <v>38852</v>
      </c>
      <c r="E70" s="6">
        <v>39467</v>
      </c>
      <c r="F70" s="7" t="s">
        <v>20</v>
      </c>
      <c r="G70" s="7">
        <v>1</v>
      </c>
      <c r="H70" s="7">
        <v>10</v>
      </c>
      <c r="I70" s="5" t="str">
        <f t="shared" si="1"/>
        <v>(64,'SP1-OH1','Station de Pompage SP1-OH1','2006-05-15','2008-01-20',NULL,1,10),</v>
      </c>
    </row>
    <row r="71" spans="1:9" ht="20.100000000000001" customHeight="1" x14ac:dyDescent="0.25">
      <c r="A71" s="3">
        <v>65</v>
      </c>
      <c r="B71" s="8" t="s">
        <v>119</v>
      </c>
      <c r="C71" s="5" t="s">
        <v>120</v>
      </c>
      <c r="D71" s="6">
        <v>38852</v>
      </c>
      <c r="E71" s="6">
        <v>39467</v>
      </c>
      <c r="F71" s="7" t="s">
        <v>20</v>
      </c>
      <c r="G71" s="7">
        <v>1</v>
      </c>
      <c r="H71" s="7">
        <v>10</v>
      </c>
      <c r="I71" s="5" t="str">
        <f t="shared" si="1"/>
        <v>(65,'SP2-OH1','Station de Pompage SP2-OH1','2006-05-15','2008-01-20',NULL,1,10),</v>
      </c>
    </row>
    <row r="72" spans="1:9" ht="20.100000000000001" customHeight="1" x14ac:dyDescent="0.25">
      <c r="A72" s="3">
        <v>66</v>
      </c>
      <c r="B72" s="8" t="s">
        <v>121</v>
      </c>
      <c r="C72" s="5" t="s">
        <v>122</v>
      </c>
      <c r="D72" s="6">
        <v>38852</v>
      </c>
      <c r="E72" s="6">
        <v>39467</v>
      </c>
      <c r="F72" s="7" t="s">
        <v>20</v>
      </c>
      <c r="G72" s="7">
        <v>1</v>
      </c>
      <c r="H72" s="7">
        <v>10</v>
      </c>
      <c r="I72" s="5" t="str">
        <f t="shared" si="1"/>
        <v>(66,'SP3-OH1','Station de Pompage SP3-OH1','2006-05-15','2008-01-20',NULL,1,10),</v>
      </c>
    </row>
    <row r="73" spans="1:9" ht="20.100000000000001" customHeight="1" x14ac:dyDescent="0.25">
      <c r="A73" s="14">
        <v>66</v>
      </c>
      <c r="B73" s="15" t="s">
        <v>123</v>
      </c>
      <c r="C73" s="16" t="s">
        <v>124</v>
      </c>
      <c r="D73" s="17">
        <v>38852</v>
      </c>
      <c r="E73" s="17">
        <v>39467</v>
      </c>
      <c r="F73" s="18" t="s">
        <v>20</v>
      </c>
      <c r="G73" s="18">
        <v>1</v>
      </c>
      <c r="H73" s="18">
        <v>10</v>
      </c>
      <c r="I73" s="16" t="str">
        <f t="shared" si="1"/>
        <v>(66,'SP4-OH1','Station de Pompage SP4-OH1','2006-05-15','2008-01-20',NULL,1,10),</v>
      </c>
    </row>
    <row r="74" spans="1:9" ht="20.100000000000001" customHeight="1" x14ac:dyDescent="0.25">
      <c r="A74" s="3">
        <v>67</v>
      </c>
      <c r="B74" s="8" t="s">
        <v>125</v>
      </c>
      <c r="C74" s="5" t="s">
        <v>126</v>
      </c>
      <c r="D74" s="6">
        <v>39304</v>
      </c>
      <c r="E74" s="6">
        <v>39928</v>
      </c>
      <c r="F74" s="7" t="s">
        <v>20</v>
      </c>
      <c r="G74" s="7">
        <v>1</v>
      </c>
      <c r="H74" s="7">
        <v>10</v>
      </c>
      <c r="I74" s="5" t="str">
        <f t="shared" si="1"/>
        <v>(67,'SP1-OD1','Station de Pompage SP1-OD1','2007-08-10','2009-04-25',NULL,1,10),</v>
      </c>
    </row>
    <row r="75" spans="1:9" ht="20.100000000000001" customHeight="1" x14ac:dyDescent="0.25">
      <c r="A75" s="3">
        <v>68</v>
      </c>
      <c r="B75" s="8" t="s">
        <v>127</v>
      </c>
      <c r="C75" s="5" t="s">
        <v>128</v>
      </c>
      <c r="D75" s="6">
        <v>39767</v>
      </c>
      <c r="E75" s="6">
        <v>40389</v>
      </c>
      <c r="F75" s="7" t="s">
        <v>20</v>
      </c>
      <c r="G75" s="7">
        <v>1</v>
      </c>
      <c r="H75" s="7">
        <v>10</v>
      </c>
      <c r="I75" s="5" t="str">
        <f t="shared" si="1"/>
        <v>(68,'SP1-OH2','Station de Pompage SP1-OH2','2008-11-15','2010-07-30',NULL,1,10),</v>
      </c>
    </row>
    <row r="76" spans="1:9" ht="20.100000000000001" customHeight="1" x14ac:dyDescent="0.25">
      <c r="A76" s="3">
        <v>69</v>
      </c>
      <c r="B76" s="8" t="s">
        <v>129</v>
      </c>
      <c r="C76" s="5" t="s">
        <v>130</v>
      </c>
      <c r="D76" s="6">
        <v>39892</v>
      </c>
      <c r="E76" s="6">
        <v>40558</v>
      </c>
      <c r="F76" s="7" t="s">
        <v>20</v>
      </c>
      <c r="G76" s="7">
        <v>1</v>
      </c>
      <c r="H76" s="7">
        <v>10</v>
      </c>
      <c r="I76" s="5" t="str">
        <f t="shared" si="1"/>
        <v>(69,'SP1-OH3/OH4','Station de Pompage SP1-OH3/OH4','2009-03-20','2011-01-15',NULL,1,10),</v>
      </c>
    </row>
    <row r="77" spans="1:9" ht="20.100000000000001" customHeight="1" x14ac:dyDescent="0.25">
      <c r="A77" s="3">
        <v>70</v>
      </c>
      <c r="B77" s="8" t="s">
        <v>131</v>
      </c>
      <c r="C77" s="5" t="s">
        <v>132</v>
      </c>
      <c r="D77" s="6">
        <v>39892</v>
      </c>
      <c r="E77" s="6">
        <v>40558</v>
      </c>
      <c r="F77" s="7" t="s">
        <v>20</v>
      </c>
      <c r="G77" s="7">
        <v>1</v>
      </c>
      <c r="H77" s="7">
        <v>10</v>
      </c>
      <c r="I77" s="5" t="str">
        <f t="shared" si="1"/>
        <v>(70,'SP2-OH3/OH4','Station de Pompage SP2-OH3/OH4','2009-03-20','2011-01-15',NULL,1,10),</v>
      </c>
    </row>
    <row r="78" spans="1:9" ht="20.100000000000001" customHeight="1" x14ac:dyDescent="0.25">
      <c r="A78" s="3">
        <v>71</v>
      </c>
      <c r="B78" s="8" t="s">
        <v>133</v>
      </c>
      <c r="C78" s="5" t="s">
        <v>134</v>
      </c>
      <c r="D78" s="6">
        <v>40337</v>
      </c>
      <c r="E78" s="6">
        <v>40990</v>
      </c>
      <c r="F78" s="7" t="s">
        <v>20</v>
      </c>
      <c r="G78" s="7">
        <v>1</v>
      </c>
      <c r="H78" s="7">
        <v>10</v>
      </c>
      <c r="I78" s="5" t="str">
        <f t="shared" si="1"/>
        <v>(71,'SP4-NZ1','Station de Pompage SP4-NZ1','2010-06-08','2012-03-22',NULL,1,10),</v>
      </c>
    </row>
    <row r="79" spans="1:9" ht="20.100000000000001" customHeight="1" x14ac:dyDescent="0.25">
      <c r="A79" s="3">
        <v>72</v>
      </c>
      <c r="B79" s="8" t="s">
        <v>135</v>
      </c>
      <c r="C79" s="5" t="s">
        <v>136</v>
      </c>
      <c r="D79" s="6">
        <v>40337</v>
      </c>
      <c r="E79" s="6">
        <v>40990</v>
      </c>
      <c r="F79" s="7" t="s">
        <v>20</v>
      </c>
      <c r="G79" s="7">
        <v>1</v>
      </c>
      <c r="H79" s="7">
        <v>10</v>
      </c>
      <c r="I79" s="5" t="str">
        <f t="shared" si="1"/>
        <v>(72,'SP5-NZ1','Station de Pompage SP5-NZ1','2010-06-08','2012-03-22',NULL,1,10),</v>
      </c>
    </row>
    <row r="80" spans="1:9" ht="20.100000000000001" customHeight="1" x14ac:dyDescent="0.25">
      <c r="A80" s="3">
        <v>73</v>
      </c>
      <c r="B80" s="8" t="s">
        <v>137</v>
      </c>
      <c r="C80" s="5" t="s">
        <v>138</v>
      </c>
      <c r="D80" s="6">
        <v>40337</v>
      </c>
      <c r="E80" s="6">
        <v>40990</v>
      </c>
      <c r="F80" s="7" t="s">
        <v>20</v>
      </c>
      <c r="G80" s="7">
        <v>1</v>
      </c>
      <c r="H80" s="7">
        <v>10</v>
      </c>
      <c r="I80" s="5" t="str">
        <f t="shared" si="1"/>
        <v>(73,'SP6-NZ1','Station de Pompage SP6-NZ1','2010-06-08','2012-03-22',NULL,1,10),</v>
      </c>
    </row>
    <row r="81" spans="1:9" ht="20.100000000000001" customHeight="1" x14ac:dyDescent="0.25">
      <c r="A81" s="3">
        <v>74</v>
      </c>
      <c r="B81" s="8" t="s">
        <v>139</v>
      </c>
      <c r="C81" s="5" t="s">
        <v>140</v>
      </c>
      <c r="D81" s="6">
        <v>40337</v>
      </c>
      <c r="E81" s="6">
        <v>40990</v>
      </c>
      <c r="F81" s="7" t="s">
        <v>20</v>
      </c>
      <c r="G81" s="7">
        <v>1</v>
      </c>
      <c r="H81" s="7">
        <v>10</v>
      </c>
      <c r="I81" s="5" t="str">
        <f t="shared" si="1"/>
        <v>(74,'PRS-NZ1','Station de Régulation PRS-NZ1','2010-06-08','2012-03-22',NULL,1,10),</v>
      </c>
    </row>
    <row r="82" spans="1:9" ht="20.100000000000001" customHeight="1" x14ac:dyDescent="0.25">
      <c r="A82" s="3">
        <v>75</v>
      </c>
      <c r="B82" s="8" t="s">
        <v>141</v>
      </c>
      <c r="C82" s="5" t="s">
        <v>142</v>
      </c>
      <c r="D82" s="6">
        <v>40798</v>
      </c>
      <c r="E82" s="6">
        <v>41443</v>
      </c>
      <c r="F82" s="7" t="s">
        <v>20</v>
      </c>
      <c r="G82" s="7">
        <v>1</v>
      </c>
      <c r="H82" s="7">
        <v>10</v>
      </c>
      <c r="I82" s="5" t="str">
        <f t="shared" si="1"/>
        <v>(75,'SP1-NK1','Station de Pompage SP1-NK1','2011-09-12','2013-06-18',NULL,1,10),</v>
      </c>
    </row>
    <row r="83" spans="1:9" ht="20.100000000000001" customHeight="1" x14ac:dyDescent="0.25">
      <c r="A83" s="3">
        <v>76</v>
      </c>
      <c r="B83" s="8" t="s">
        <v>143</v>
      </c>
      <c r="C83" s="5" t="s">
        <v>144</v>
      </c>
      <c r="D83" s="6">
        <v>40798</v>
      </c>
      <c r="E83" s="6">
        <v>41443</v>
      </c>
      <c r="F83" s="7" t="s">
        <v>20</v>
      </c>
      <c r="G83" s="7">
        <v>1</v>
      </c>
      <c r="H83" s="7">
        <v>10</v>
      </c>
      <c r="I83" s="5" t="str">
        <f t="shared" si="1"/>
        <v>(76,'SP3-NK1','Station de Pompage SP3-NK1','2011-09-12','2013-06-18',NULL,1,10),</v>
      </c>
    </row>
    <row r="84" spans="1:9" ht="20.100000000000001" customHeight="1" x14ac:dyDescent="0.25">
      <c r="A84" s="3">
        <v>77</v>
      </c>
      <c r="B84" s="8" t="s">
        <v>145</v>
      </c>
      <c r="C84" s="5" t="s">
        <v>146</v>
      </c>
      <c r="D84" s="6">
        <v>40954</v>
      </c>
      <c r="E84" s="6">
        <v>41598</v>
      </c>
      <c r="F84" s="7" t="s">
        <v>20</v>
      </c>
      <c r="G84" s="7">
        <v>1</v>
      </c>
      <c r="H84" s="7">
        <v>10</v>
      </c>
      <c r="I84" s="5" t="str">
        <f t="shared" ref="I84:I147" si="2">CONCATENATE("(",A84,",'",B84,"','",C84,"','",TEXT(D84,"aaaa-mm-jj"),"','",TEXT(E84,"aaaa-mm-jj"),"',",F84,",",G84,",",H84,"),")</f>
        <v>(77,'SP4-LNZ1','Station de Pompage SP4-LNZ1','2012-02-15','2013-11-20',NULL,1,10),</v>
      </c>
    </row>
    <row r="85" spans="1:9" ht="20.100000000000001" customHeight="1" x14ac:dyDescent="0.25">
      <c r="A85" s="3">
        <v>78</v>
      </c>
      <c r="B85" s="8" t="s">
        <v>147</v>
      </c>
      <c r="C85" s="5" t="s">
        <v>148</v>
      </c>
      <c r="D85" s="6">
        <v>40954</v>
      </c>
      <c r="E85" s="6">
        <v>41598</v>
      </c>
      <c r="F85" s="7" t="s">
        <v>20</v>
      </c>
      <c r="G85" s="7">
        <v>1</v>
      </c>
      <c r="H85" s="7">
        <v>10</v>
      </c>
      <c r="I85" s="5" t="str">
        <f t="shared" si="2"/>
        <v>(78,'SP5-LNZ1','Station de Pompage SP5-LNZ1','2012-02-15','2013-11-20',NULL,1,10),</v>
      </c>
    </row>
    <row r="86" spans="1:9" ht="20.100000000000001" customHeight="1" x14ac:dyDescent="0.25">
      <c r="A86" s="3">
        <v>79</v>
      </c>
      <c r="B86" s="8" t="s">
        <v>149</v>
      </c>
      <c r="C86" s="5" t="s">
        <v>150</v>
      </c>
      <c r="D86" s="6">
        <v>40954</v>
      </c>
      <c r="E86" s="6">
        <v>41598</v>
      </c>
      <c r="F86" s="7" t="s">
        <v>20</v>
      </c>
      <c r="G86" s="7">
        <v>1</v>
      </c>
      <c r="H86" s="7">
        <v>10</v>
      </c>
      <c r="I86" s="5" t="str">
        <f t="shared" si="2"/>
        <v>(79,'SP6-LNZ1','Station de Pompage SP6-LNZ1','2012-02-15','2013-11-20',NULL,1,10),</v>
      </c>
    </row>
    <row r="87" spans="1:9" ht="20.100000000000001" customHeight="1" x14ac:dyDescent="0.25">
      <c r="A87" s="3">
        <v>80</v>
      </c>
      <c r="B87" s="8" t="s">
        <v>151</v>
      </c>
      <c r="C87" s="5" t="s">
        <v>152</v>
      </c>
      <c r="D87" s="6">
        <v>41374</v>
      </c>
      <c r="E87" s="6">
        <v>42029</v>
      </c>
      <c r="F87" s="7" t="s">
        <v>20</v>
      </c>
      <c r="G87" s="7">
        <v>1</v>
      </c>
      <c r="H87" s="7">
        <v>10</v>
      </c>
      <c r="I87" s="5" t="str">
        <f t="shared" si="2"/>
        <v>(80,'SP0-LZ1','Station de Pompage SP0-LZ1','2013-04-10','2015-01-25',NULL,1,10),</v>
      </c>
    </row>
    <row r="88" spans="1:9" ht="20.100000000000001" customHeight="1" x14ac:dyDescent="0.25">
      <c r="A88" s="3">
        <v>81</v>
      </c>
      <c r="B88" s="8" t="s">
        <v>153</v>
      </c>
      <c r="C88" s="5" t="s">
        <v>154</v>
      </c>
      <c r="D88" s="6">
        <v>41374</v>
      </c>
      <c r="E88" s="6">
        <v>42029</v>
      </c>
      <c r="F88" s="7" t="s">
        <v>20</v>
      </c>
      <c r="G88" s="7">
        <v>1</v>
      </c>
      <c r="H88" s="7">
        <v>10</v>
      </c>
      <c r="I88" s="5" t="str">
        <f t="shared" si="2"/>
        <v>(81,'SP1-LZ1','Station de Pompage SP1-LZ1','2013-04-10','2015-01-25',NULL,1,10),</v>
      </c>
    </row>
    <row r="89" spans="1:9" ht="20.100000000000001" customHeight="1" x14ac:dyDescent="0.25">
      <c r="A89" s="3">
        <v>82</v>
      </c>
      <c r="B89" s="8" t="s">
        <v>155</v>
      </c>
      <c r="C89" s="5" t="s">
        <v>156</v>
      </c>
      <c r="D89" s="6">
        <v>41374</v>
      </c>
      <c r="E89" s="6">
        <v>42029</v>
      </c>
      <c r="F89" s="7" t="s">
        <v>20</v>
      </c>
      <c r="G89" s="7">
        <v>1</v>
      </c>
      <c r="H89" s="7">
        <v>10</v>
      </c>
      <c r="I89" s="5" t="str">
        <f t="shared" si="2"/>
        <v>(82,'SP1-LZ2','Station de Pompage SP1-LZ2','2013-04-10','2015-01-25',NULL,1,10),</v>
      </c>
    </row>
    <row r="90" spans="1:9" ht="20.100000000000001" customHeight="1" x14ac:dyDescent="0.25">
      <c r="A90" s="3">
        <v>83</v>
      </c>
      <c r="B90" s="8" t="s">
        <v>157</v>
      </c>
      <c r="C90" s="5" t="s">
        <v>158</v>
      </c>
      <c r="D90" s="6">
        <v>41374</v>
      </c>
      <c r="E90" s="6">
        <v>42029</v>
      </c>
      <c r="F90" s="7" t="s">
        <v>20</v>
      </c>
      <c r="G90" s="7">
        <v>1</v>
      </c>
      <c r="H90" s="7">
        <v>10</v>
      </c>
      <c r="I90" s="5" t="str">
        <f t="shared" si="2"/>
        <v>(83,'PRS-LZ1/LZ2','Station de Régulation PRS-LZ1/LZ2','2013-04-10','2015-01-25',NULL,1,10),</v>
      </c>
    </row>
    <row r="91" spans="1:9" ht="20.100000000000001" customHeight="1" x14ac:dyDescent="0.25">
      <c r="A91" s="3">
        <v>84</v>
      </c>
      <c r="B91" s="8" t="s">
        <v>159</v>
      </c>
      <c r="C91" s="5" t="s">
        <v>160</v>
      </c>
      <c r="D91" s="6">
        <v>41838</v>
      </c>
      <c r="E91" s="6">
        <v>42490</v>
      </c>
      <c r="F91" s="7" t="s">
        <v>20</v>
      </c>
      <c r="G91" s="7">
        <v>1</v>
      </c>
      <c r="H91" s="7">
        <v>10</v>
      </c>
      <c r="I91" s="5" t="str">
        <f t="shared" si="2"/>
        <v>(84,'SPRN-LR1','Station de Pompage SPRN-LR1','2014-07-18','2016-04-30',NULL,1,10),</v>
      </c>
    </row>
    <row r="92" spans="1:9" ht="20.100000000000001" customHeight="1" x14ac:dyDescent="0.25">
      <c r="A92" s="3">
        <v>85</v>
      </c>
      <c r="B92" s="8" t="s">
        <v>161</v>
      </c>
      <c r="C92" s="5" t="s">
        <v>162</v>
      </c>
      <c r="D92" s="6">
        <v>41838</v>
      </c>
      <c r="E92" s="6">
        <v>42490</v>
      </c>
      <c r="F92" s="7" t="s">
        <v>20</v>
      </c>
      <c r="G92" s="7">
        <v>1</v>
      </c>
      <c r="H92" s="7">
        <v>10</v>
      </c>
      <c r="I92" s="5" t="str">
        <f t="shared" si="2"/>
        <v>(85,'SP0-LR1','Station de Pompage SP1-LR1','2014-07-18','2016-04-30',NULL,1,10),</v>
      </c>
    </row>
    <row r="93" spans="1:9" ht="20.100000000000001" customHeight="1" x14ac:dyDescent="0.25">
      <c r="A93" s="3">
        <v>86</v>
      </c>
      <c r="B93" s="8" t="s">
        <v>163</v>
      </c>
      <c r="C93" s="5" t="s">
        <v>162</v>
      </c>
      <c r="D93" s="6">
        <v>41838</v>
      </c>
      <c r="E93" s="6">
        <v>42490</v>
      </c>
      <c r="F93" s="7" t="s">
        <v>20</v>
      </c>
      <c r="G93" s="7">
        <v>1</v>
      </c>
      <c r="H93" s="7">
        <v>10</v>
      </c>
      <c r="I93" s="5" t="str">
        <f t="shared" si="2"/>
        <v>(86,'SP1-LR1','Station de Pompage SP1-LR1','2014-07-18','2016-04-30',NULL,1,10),</v>
      </c>
    </row>
    <row r="94" spans="1:9" ht="20.100000000000001" customHeight="1" x14ac:dyDescent="0.25">
      <c r="A94" s="3">
        <v>87</v>
      </c>
      <c r="B94" s="8" t="s">
        <v>164</v>
      </c>
      <c r="C94" s="5" t="s">
        <v>165</v>
      </c>
      <c r="D94" s="6">
        <v>41838</v>
      </c>
      <c r="E94" s="6">
        <v>42490</v>
      </c>
      <c r="F94" s="7" t="s">
        <v>20</v>
      </c>
      <c r="G94" s="7">
        <v>1</v>
      </c>
      <c r="H94" s="7">
        <v>10</v>
      </c>
      <c r="I94" s="5" t="str">
        <f t="shared" si="2"/>
        <v>(87,'SP2-LR1','Station de Pompage SP2-LR1','2014-07-18','2016-04-30',NULL,1,10),</v>
      </c>
    </row>
    <row r="95" spans="1:9" ht="20.100000000000001" customHeight="1" x14ac:dyDescent="0.25">
      <c r="A95" s="3">
        <v>88</v>
      </c>
      <c r="B95" s="8" t="s">
        <v>166</v>
      </c>
      <c r="C95" s="5" t="s">
        <v>167</v>
      </c>
      <c r="D95" s="6">
        <v>42299</v>
      </c>
      <c r="E95" s="6">
        <v>42962</v>
      </c>
      <c r="F95" s="7" t="s">
        <v>20</v>
      </c>
      <c r="G95" s="7">
        <v>1</v>
      </c>
      <c r="H95" s="7">
        <v>10</v>
      </c>
      <c r="I95" s="5" t="str">
        <f t="shared" si="2"/>
        <v>(88,'SP1-LNZ1','Station de Pompage SP1-LNZ1','2015-10-22','2017-08-15',NULL,1,10),</v>
      </c>
    </row>
    <row r="96" spans="1:9" ht="20.100000000000001" customHeight="1" x14ac:dyDescent="0.25">
      <c r="A96" s="3">
        <v>89</v>
      </c>
      <c r="B96" s="8" t="s">
        <v>168</v>
      </c>
      <c r="C96" s="5" t="s">
        <v>169</v>
      </c>
      <c r="D96" s="6">
        <v>42299</v>
      </c>
      <c r="E96" s="6">
        <v>42962</v>
      </c>
      <c r="F96" s="7" t="s">
        <v>20</v>
      </c>
      <c r="G96" s="7">
        <v>1</v>
      </c>
      <c r="H96" s="7">
        <v>10</v>
      </c>
      <c r="I96" s="5" t="str">
        <f t="shared" si="2"/>
        <v>(89,'SP3-LNZ1','Station de Pompage SP3-LNZ1','2015-10-22','2017-08-15',NULL,1,10),</v>
      </c>
    </row>
    <row r="97" spans="1:9" ht="20.100000000000001" customHeight="1" x14ac:dyDescent="0.25">
      <c r="A97" s="3">
        <v>90</v>
      </c>
      <c r="B97" s="8" t="s">
        <v>170</v>
      </c>
      <c r="C97" s="5" t="s">
        <v>171</v>
      </c>
      <c r="D97" s="6">
        <v>23743</v>
      </c>
      <c r="E97" s="6">
        <v>23743</v>
      </c>
      <c r="F97" s="19">
        <v>44838</v>
      </c>
      <c r="G97" s="7">
        <v>0</v>
      </c>
      <c r="H97" s="7">
        <v>10</v>
      </c>
      <c r="I97" s="5" t="str">
        <f t="shared" si="2"/>
        <v>(90,'SC1-GZ0','Station de Compression SC1-GZ0','1965-01-01','1965-01-01',44838,0,10),</v>
      </c>
    </row>
    <row r="98" spans="1:9" ht="20.100000000000001" customHeight="1" x14ac:dyDescent="0.25">
      <c r="A98" s="3">
        <v>91</v>
      </c>
      <c r="B98" s="8" t="s">
        <v>172</v>
      </c>
      <c r="C98" s="5" t="s">
        <v>173</v>
      </c>
      <c r="D98" s="6">
        <v>26299</v>
      </c>
      <c r="E98" s="6">
        <v>26299</v>
      </c>
      <c r="F98" s="19">
        <v>44838</v>
      </c>
      <c r="G98" s="7">
        <v>0</v>
      </c>
      <c r="H98" s="7">
        <v>10</v>
      </c>
      <c r="I98" s="5" t="str">
        <f t="shared" si="2"/>
        <v>(91,'SC2-GZ0','Station de Compression SC2-GZ0','1972-01-01','1972-01-01',44838,0,10),</v>
      </c>
    </row>
    <row r="99" spans="1:9" ht="20.100000000000001" customHeight="1" x14ac:dyDescent="0.25">
      <c r="A99" s="3">
        <v>92</v>
      </c>
      <c r="B99" s="8" t="s">
        <v>174</v>
      </c>
      <c r="C99" s="5" t="s">
        <v>175</v>
      </c>
      <c r="D99" s="6">
        <v>23743</v>
      </c>
      <c r="E99" s="6">
        <v>23743</v>
      </c>
      <c r="F99" s="19">
        <v>44838</v>
      </c>
      <c r="G99" s="7">
        <v>0</v>
      </c>
      <c r="H99" s="7">
        <v>10</v>
      </c>
      <c r="I99" s="5" t="str">
        <f t="shared" si="2"/>
        <v>(92,'SC3-GZ0','Station de Compression SC3-GZ0','1965-01-01','1965-01-01',44838,0,10),</v>
      </c>
    </row>
    <row r="100" spans="1:9" ht="20.100000000000001" customHeight="1" x14ac:dyDescent="0.25">
      <c r="A100" s="3">
        <v>93</v>
      </c>
      <c r="B100" s="8" t="s">
        <v>176</v>
      </c>
      <c r="C100" s="5" t="s">
        <v>177</v>
      </c>
      <c r="D100" s="6">
        <v>26299</v>
      </c>
      <c r="E100" s="6">
        <v>26299</v>
      </c>
      <c r="F100" s="19">
        <v>44838</v>
      </c>
      <c r="G100" s="7">
        <v>0</v>
      </c>
      <c r="H100" s="7">
        <v>10</v>
      </c>
      <c r="I100" s="5" t="str">
        <f t="shared" si="2"/>
        <v>(93,'SC4-GZ0','Station de Compression SC4-GZ0','1972-01-01','1972-01-01',44838,0,10),</v>
      </c>
    </row>
    <row r="101" spans="1:9" ht="20.100000000000001" customHeight="1" x14ac:dyDescent="0.25">
      <c r="A101" s="14">
        <v>94</v>
      </c>
      <c r="B101" s="15" t="s">
        <v>178</v>
      </c>
      <c r="C101" s="16" t="s">
        <v>179</v>
      </c>
      <c r="D101" s="17">
        <v>37756</v>
      </c>
      <c r="E101" s="17">
        <v>38462</v>
      </c>
      <c r="F101" s="18" t="s">
        <v>20</v>
      </c>
      <c r="G101" s="18">
        <v>1</v>
      </c>
      <c r="H101" s="18">
        <v>10</v>
      </c>
      <c r="I101" s="16" t="str">
        <f t="shared" si="2"/>
        <v>(94,'SC1-GZ1','Station de Compression SC1-GZ1','2003-05-15','2005-04-20',NULL,1,10),</v>
      </c>
    </row>
    <row r="102" spans="1:9" ht="20.100000000000001" customHeight="1" x14ac:dyDescent="0.25">
      <c r="A102" s="10">
        <v>95</v>
      </c>
      <c r="B102" s="11" t="s">
        <v>180</v>
      </c>
      <c r="C102" s="9" t="s">
        <v>181</v>
      </c>
      <c r="D102" s="12">
        <v>37756</v>
      </c>
      <c r="E102" s="12">
        <v>38462</v>
      </c>
      <c r="F102" s="13" t="s">
        <v>20</v>
      </c>
      <c r="G102" s="13">
        <v>1</v>
      </c>
      <c r="H102" s="13">
        <v>10</v>
      </c>
      <c r="I102" s="9" t="str">
        <f t="shared" si="2"/>
        <v>(95,'SC1-GZ2','Station de Compression SC1-GZ2','2003-05-15','2005-04-20',NULL,1,10),</v>
      </c>
    </row>
    <row r="103" spans="1:9" ht="20.100000000000001" customHeight="1" x14ac:dyDescent="0.25">
      <c r="A103" s="10">
        <v>96</v>
      </c>
      <c r="B103" s="11" t="s">
        <v>182</v>
      </c>
      <c r="C103" s="9" t="s">
        <v>183</v>
      </c>
      <c r="D103" s="12">
        <v>37756</v>
      </c>
      <c r="E103" s="12">
        <v>38462</v>
      </c>
      <c r="F103" s="13" t="s">
        <v>20</v>
      </c>
      <c r="G103" s="13">
        <v>1</v>
      </c>
      <c r="H103" s="13">
        <v>10</v>
      </c>
      <c r="I103" s="9" t="str">
        <f t="shared" si="2"/>
        <v>(96,'SC1-GZ3','Station de Compression SC1-GZ3','2003-05-15','2005-04-20',NULL,1,10),</v>
      </c>
    </row>
    <row r="104" spans="1:9" ht="20.100000000000001" customHeight="1" x14ac:dyDescent="0.25">
      <c r="A104" s="14">
        <v>97</v>
      </c>
      <c r="B104" s="15" t="s">
        <v>184</v>
      </c>
      <c r="C104" s="16" t="s">
        <v>185</v>
      </c>
      <c r="D104" s="17">
        <v>38219</v>
      </c>
      <c r="E104" s="17">
        <v>38923</v>
      </c>
      <c r="F104" s="18" t="s">
        <v>20</v>
      </c>
      <c r="G104" s="18">
        <v>1</v>
      </c>
      <c r="H104" s="18">
        <v>10</v>
      </c>
      <c r="I104" s="16" t="str">
        <f t="shared" si="2"/>
        <v>(97,'SC2-GZ1','Station de Compression SC2-GZ1','2004-08-20','2006-07-25',NULL,1,10),</v>
      </c>
    </row>
    <row r="105" spans="1:9" ht="20.100000000000001" customHeight="1" x14ac:dyDescent="0.25">
      <c r="A105" s="10">
        <v>98</v>
      </c>
      <c r="B105" s="11" t="s">
        <v>186</v>
      </c>
      <c r="C105" s="9" t="s">
        <v>187</v>
      </c>
      <c r="D105" s="12">
        <v>38219</v>
      </c>
      <c r="E105" s="12">
        <v>38923</v>
      </c>
      <c r="F105" s="13" t="s">
        <v>20</v>
      </c>
      <c r="G105" s="13">
        <v>1</v>
      </c>
      <c r="H105" s="13">
        <v>10</v>
      </c>
      <c r="I105" s="9" t="str">
        <f t="shared" si="2"/>
        <v>(98,'SC2-GZ2','Station de Compression SC2-GZ2','2004-08-20','2006-07-25',NULL,1,10),</v>
      </c>
    </row>
    <row r="106" spans="1:9" ht="20.100000000000001" customHeight="1" x14ac:dyDescent="0.25">
      <c r="A106" s="10">
        <v>99</v>
      </c>
      <c r="B106" s="11" t="s">
        <v>188</v>
      </c>
      <c r="C106" s="9" t="s">
        <v>189</v>
      </c>
      <c r="D106" s="12">
        <v>38219</v>
      </c>
      <c r="E106" s="12">
        <v>38923</v>
      </c>
      <c r="F106" s="13" t="s">
        <v>20</v>
      </c>
      <c r="G106" s="13">
        <v>1</v>
      </c>
      <c r="H106" s="13">
        <v>10</v>
      </c>
      <c r="I106" s="9" t="str">
        <f t="shared" si="2"/>
        <v>(99,'SC2-GZ3','Station de Compression SC2-GZ3','2004-08-20','2006-07-25',NULL,1,10),</v>
      </c>
    </row>
    <row r="107" spans="1:9" ht="20.100000000000001" customHeight="1" x14ac:dyDescent="0.25">
      <c r="A107" s="14">
        <v>100</v>
      </c>
      <c r="B107" s="15" t="s">
        <v>190</v>
      </c>
      <c r="C107" s="16" t="s">
        <v>191</v>
      </c>
      <c r="D107" s="17">
        <v>38666</v>
      </c>
      <c r="E107" s="17">
        <v>39370</v>
      </c>
      <c r="F107" s="18" t="s">
        <v>20</v>
      </c>
      <c r="G107" s="18">
        <v>1</v>
      </c>
      <c r="H107" s="18">
        <v>10</v>
      </c>
      <c r="I107" s="16" t="str">
        <f t="shared" si="2"/>
        <v>(100,'SC3-GZ1','Station de Compression SC3-GZ1','2005-11-10','2007-10-15',NULL,1,10),</v>
      </c>
    </row>
    <row r="108" spans="1:9" ht="20.100000000000001" customHeight="1" x14ac:dyDescent="0.25">
      <c r="A108" s="10">
        <v>101</v>
      </c>
      <c r="B108" s="11" t="s">
        <v>192</v>
      </c>
      <c r="C108" s="9" t="s">
        <v>193</v>
      </c>
      <c r="D108" s="12">
        <v>38666</v>
      </c>
      <c r="E108" s="12">
        <v>39370</v>
      </c>
      <c r="F108" s="13" t="s">
        <v>20</v>
      </c>
      <c r="G108" s="13">
        <v>1</v>
      </c>
      <c r="H108" s="13">
        <v>10</v>
      </c>
      <c r="I108" s="9" t="str">
        <f t="shared" si="2"/>
        <v>(101,'SC3-GZ2','Station de Compression SC3-GZ2','2005-11-10','2007-10-15',NULL,1,10),</v>
      </c>
    </row>
    <row r="109" spans="1:9" ht="20.100000000000001" customHeight="1" x14ac:dyDescent="0.25">
      <c r="A109" s="10">
        <v>102</v>
      </c>
      <c r="B109" s="11" t="s">
        <v>194</v>
      </c>
      <c r="C109" s="9" t="s">
        <v>195</v>
      </c>
      <c r="D109" s="12">
        <v>38666</v>
      </c>
      <c r="E109" s="12">
        <v>39370</v>
      </c>
      <c r="F109" s="13" t="s">
        <v>20</v>
      </c>
      <c r="G109" s="13">
        <v>1</v>
      </c>
      <c r="H109" s="13">
        <v>10</v>
      </c>
      <c r="I109" s="9" t="str">
        <f t="shared" si="2"/>
        <v>(102,'SC3-GZ3','Station de Compression SC3-GZ3','2005-11-10','2007-10-15',NULL,1,10),</v>
      </c>
    </row>
    <row r="110" spans="1:9" ht="20.100000000000001" customHeight="1" x14ac:dyDescent="0.25">
      <c r="A110" s="14">
        <v>103</v>
      </c>
      <c r="B110" s="15" t="s">
        <v>196</v>
      </c>
      <c r="C110" s="16" t="s">
        <v>197</v>
      </c>
      <c r="D110" s="17">
        <v>38791</v>
      </c>
      <c r="E110" s="17">
        <v>39498</v>
      </c>
      <c r="F110" s="18" t="s">
        <v>20</v>
      </c>
      <c r="G110" s="18">
        <v>1</v>
      </c>
      <c r="H110" s="18">
        <v>10</v>
      </c>
      <c r="I110" s="16" t="str">
        <f t="shared" si="2"/>
        <v>(103,'SC4-GZ1','Station de Compression SC4-GZ1','2006-03-15','2008-02-20',NULL,1,10),</v>
      </c>
    </row>
    <row r="111" spans="1:9" ht="20.100000000000001" customHeight="1" x14ac:dyDescent="0.25">
      <c r="A111" s="10">
        <v>104</v>
      </c>
      <c r="B111" s="11" t="s">
        <v>198</v>
      </c>
      <c r="C111" s="9" t="s">
        <v>199</v>
      </c>
      <c r="D111" s="12">
        <v>38791</v>
      </c>
      <c r="E111" s="12">
        <v>39498</v>
      </c>
      <c r="F111" s="13" t="s">
        <v>20</v>
      </c>
      <c r="G111" s="13">
        <v>1</v>
      </c>
      <c r="H111" s="13">
        <v>10</v>
      </c>
      <c r="I111" s="9" t="str">
        <f t="shared" si="2"/>
        <v>(104,'SC4-GZ2','Station de Compression SC4-GZ2','2006-03-15','2008-02-20',NULL,1,10),</v>
      </c>
    </row>
    <row r="112" spans="1:9" ht="20.100000000000001" customHeight="1" x14ac:dyDescent="0.25">
      <c r="A112" s="10">
        <v>105</v>
      </c>
      <c r="B112" s="11" t="s">
        <v>200</v>
      </c>
      <c r="C112" s="9" t="s">
        <v>201</v>
      </c>
      <c r="D112" s="12">
        <v>38791</v>
      </c>
      <c r="E112" s="12">
        <v>39498</v>
      </c>
      <c r="F112" s="13" t="s">
        <v>20</v>
      </c>
      <c r="G112" s="13">
        <v>1</v>
      </c>
      <c r="H112" s="13">
        <v>10</v>
      </c>
      <c r="I112" s="9" t="str">
        <f t="shared" si="2"/>
        <v>(105,'SC4-GZ3','Station de Compression SC4-GZ3','2006-03-15','2008-02-20',NULL,1,10),</v>
      </c>
    </row>
    <row r="113" spans="1:9" ht="20.100000000000001" customHeight="1" x14ac:dyDescent="0.25">
      <c r="A113" s="14">
        <v>106</v>
      </c>
      <c r="B113" s="15" t="s">
        <v>202</v>
      </c>
      <c r="C113" s="16" t="s">
        <v>203</v>
      </c>
      <c r="D113" s="17">
        <v>39253</v>
      </c>
      <c r="E113" s="17">
        <v>39958</v>
      </c>
      <c r="F113" s="18" t="s">
        <v>20</v>
      </c>
      <c r="G113" s="18">
        <v>1</v>
      </c>
      <c r="H113" s="18">
        <v>10</v>
      </c>
      <c r="I113" s="16" t="str">
        <f t="shared" si="2"/>
        <v>(106,'SC5-GZ1','Station de Compression SC5-GZ1','2007-06-20','2009-05-25',NULL,1,10),</v>
      </c>
    </row>
    <row r="114" spans="1:9" ht="20.100000000000001" customHeight="1" x14ac:dyDescent="0.25">
      <c r="A114" s="10">
        <v>107</v>
      </c>
      <c r="B114" s="11" t="s">
        <v>204</v>
      </c>
      <c r="C114" s="9" t="s">
        <v>205</v>
      </c>
      <c r="D114" s="12">
        <v>39253</v>
      </c>
      <c r="E114" s="12">
        <v>39958</v>
      </c>
      <c r="F114" s="13" t="s">
        <v>20</v>
      </c>
      <c r="G114" s="13">
        <v>1</v>
      </c>
      <c r="H114" s="13">
        <v>10</v>
      </c>
      <c r="I114" s="9" t="str">
        <f t="shared" si="2"/>
        <v>(107,'SC5-GZ2','Station de Compression SC5-GZ2','2007-06-20','2009-05-25',NULL,1,10),</v>
      </c>
    </row>
    <row r="115" spans="1:9" ht="20.100000000000001" customHeight="1" x14ac:dyDescent="0.25">
      <c r="A115" s="10">
        <v>108</v>
      </c>
      <c r="B115" s="11" t="s">
        <v>206</v>
      </c>
      <c r="C115" s="9" t="s">
        <v>207</v>
      </c>
      <c r="D115" s="12">
        <v>39253</v>
      </c>
      <c r="E115" s="12">
        <v>39958</v>
      </c>
      <c r="F115" s="13" t="s">
        <v>20</v>
      </c>
      <c r="G115" s="13">
        <v>1</v>
      </c>
      <c r="H115" s="13">
        <v>10</v>
      </c>
      <c r="I115" s="9" t="str">
        <f t="shared" si="2"/>
        <v>(108,'SC5-GZ3','Station de Compression SC5-GZ3','2007-06-20','2009-05-25',NULL,1,10),</v>
      </c>
    </row>
    <row r="116" spans="1:9" ht="20.100000000000001" customHeight="1" x14ac:dyDescent="0.25">
      <c r="A116" s="3">
        <v>109</v>
      </c>
      <c r="B116" s="8" t="s">
        <v>208</v>
      </c>
      <c r="C116" s="5" t="s">
        <v>209</v>
      </c>
      <c r="D116" s="6">
        <v>38031</v>
      </c>
      <c r="E116" s="6">
        <v>38031</v>
      </c>
      <c r="F116" s="7" t="s">
        <v>20</v>
      </c>
      <c r="G116" s="7">
        <v>1</v>
      </c>
      <c r="H116" s="7">
        <v>10</v>
      </c>
      <c r="I116" s="5" t="str">
        <f t="shared" si="2"/>
        <v>(109,'SC3-GPDF','Station de Compression SC3-GPDF','2004-02-14','2004-02-14',NULL,1,10),</v>
      </c>
    </row>
    <row r="117" spans="1:9" ht="20.100000000000001" customHeight="1" x14ac:dyDescent="0.25">
      <c r="A117" s="3">
        <v>110</v>
      </c>
      <c r="B117" s="8" t="s">
        <v>210</v>
      </c>
      <c r="C117" s="5" t="s">
        <v>211</v>
      </c>
      <c r="D117" s="6">
        <v>40152</v>
      </c>
      <c r="E117" s="6">
        <v>40857</v>
      </c>
      <c r="F117" s="7" t="s">
        <v>20</v>
      </c>
      <c r="G117" s="7">
        <v>1</v>
      </c>
      <c r="H117" s="7">
        <v>10</v>
      </c>
      <c r="I117" s="5" t="str">
        <f t="shared" si="2"/>
        <v>(110,'SC1-GK1','Station de Compression SC1-GK1','2009-12-05','2011-11-10',NULL,1,10),</v>
      </c>
    </row>
    <row r="118" spans="1:9" ht="20.100000000000001" customHeight="1" x14ac:dyDescent="0.25">
      <c r="A118" s="3">
        <v>111</v>
      </c>
      <c r="B118" s="8" t="s">
        <v>212</v>
      </c>
      <c r="C118" s="5" t="s">
        <v>213</v>
      </c>
      <c r="D118" s="6">
        <v>40152</v>
      </c>
      <c r="E118" s="6">
        <v>40857</v>
      </c>
      <c r="F118" s="7" t="s">
        <v>20</v>
      </c>
      <c r="G118" s="7">
        <v>1</v>
      </c>
      <c r="H118" s="7">
        <v>10</v>
      </c>
      <c r="I118" s="5" t="str">
        <f t="shared" si="2"/>
        <v>(111,'SC2-GK1','Station de Compression SC2-GK1','2009-12-05','2011-11-10',NULL,1,10),</v>
      </c>
    </row>
    <row r="119" spans="1:9" ht="20.100000000000001" customHeight="1" x14ac:dyDescent="0.25">
      <c r="A119" s="3">
        <v>112</v>
      </c>
      <c r="B119" s="8" t="s">
        <v>214</v>
      </c>
      <c r="C119" s="5" t="s">
        <v>215</v>
      </c>
      <c r="D119" s="6">
        <v>40152</v>
      </c>
      <c r="E119" s="6">
        <v>40857</v>
      </c>
      <c r="F119" s="7" t="s">
        <v>20</v>
      </c>
      <c r="G119" s="7">
        <v>1</v>
      </c>
      <c r="H119" s="7">
        <v>10</v>
      </c>
      <c r="I119" s="5" t="str">
        <f t="shared" si="2"/>
        <v>(112,'SC3-GK1','Station de Compression SC3-GK1','2009-12-05','2011-11-10',NULL,1,10),</v>
      </c>
    </row>
    <row r="120" spans="1:9" ht="20.100000000000001" customHeight="1" x14ac:dyDescent="0.25">
      <c r="A120" s="3">
        <v>113</v>
      </c>
      <c r="B120" s="8" t="s">
        <v>216</v>
      </c>
      <c r="C120" s="5" t="s">
        <v>217</v>
      </c>
      <c r="D120" s="6">
        <v>40152</v>
      </c>
      <c r="E120" s="6">
        <v>40857</v>
      </c>
      <c r="F120" s="7" t="s">
        <v>20</v>
      </c>
      <c r="G120" s="7">
        <v>1</v>
      </c>
      <c r="H120" s="7">
        <v>10</v>
      </c>
      <c r="I120" s="5" t="str">
        <f t="shared" si="2"/>
        <v>(113,'SC4-GK1','Station de Compression SC4-GK1','2009-12-05','2011-11-10',NULL,1,10),</v>
      </c>
    </row>
    <row r="121" spans="1:9" ht="20.100000000000001" customHeight="1" x14ac:dyDescent="0.25">
      <c r="A121" s="3">
        <v>114</v>
      </c>
      <c r="B121" s="8" t="s">
        <v>218</v>
      </c>
      <c r="C121" s="5" t="s">
        <v>219</v>
      </c>
      <c r="D121" s="6">
        <v>40152</v>
      </c>
      <c r="E121" s="6">
        <v>40857</v>
      </c>
      <c r="F121" s="7" t="s">
        <v>20</v>
      </c>
      <c r="G121" s="7">
        <v>1</v>
      </c>
      <c r="H121" s="7">
        <v>10</v>
      </c>
      <c r="I121" s="5" t="str">
        <f t="shared" si="2"/>
        <v>(114,'SC5-GK1','Station de Compression SC5-GK1','2009-12-05','2011-11-10',NULL,1,10),</v>
      </c>
    </row>
    <row r="122" spans="1:9" ht="20.100000000000001" customHeight="1" x14ac:dyDescent="0.25">
      <c r="A122" s="14">
        <v>115</v>
      </c>
      <c r="B122" s="15" t="s">
        <v>2458</v>
      </c>
      <c r="C122" s="16" t="s">
        <v>2459</v>
      </c>
      <c r="D122" s="17">
        <v>35065</v>
      </c>
      <c r="E122" s="17">
        <v>40988</v>
      </c>
      <c r="F122" s="18" t="s">
        <v>20</v>
      </c>
      <c r="G122" s="18">
        <v>1</v>
      </c>
      <c r="H122" s="18">
        <v>10</v>
      </c>
      <c r="I122" s="16" t="str">
        <f t="shared" si="2"/>
        <v>(115,'SC2-GO2','Station de Compression SC2-GO2','1996-01-01','2012-03-20',NULL,1,10),</v>
      </c>
    </row>
    <row r="123" spans="1:9" ht="20.100000000000001" customHeight="1" x14ac:dyDescent="0.25">
      <c r="A123" s="3">
        <v>116</v>
      </c>
      <c r="B123" s="8" t="s">
        <v>2288</v>
      </c>
      <c r="C123" s="5" t="s">
        <v>2289</v>
      </c>
      <c r="D123" s="6">
        <v>38961</v>
      </c>
      <c r="E123" s="6">
        <v>38961</v>
      </c>
      <c r="F123" s="7" t="s">
        <v>20</v>
      </c>
      <c r="G123" s="7">
        <v>1</v>
      </c>
      <c r="H123" s="7">
        <v>10</v>
      </c>
      <c r="I123" s="5" t="str">
        <f t="shared" si="2"/>
        <v>(116,'SC3-GG1','Station de Compression SC3-GG1','2006-09-01','2006-09-01',NULL,1,10),</v>
      </c>
    </row>
    <row r="124" spans="1:9" ht="20.100000000000001" customHeight="1" x14ac:dyDescent="0.25">
      <c r="A124" s="3">
        <v>117</v>
      </c>
      <c r="B124" s="8" t="s">
        <v>2728</v>
      </c>
      <c r="C124" s="5" t="s">
        <v>220</v>
      </c>
      <c r="D124" s="6">
        <v>41192</v>
      </c>
      <c r="E124" s="6">
        <v>41897</v>
      </c>
      <c r="F124" s="7" t="s">
        <v>20</v>
      </c>
      <c r="G124" s="7">
        <v>1</v>
      </c>
      <c r="H124" s="7">
        <v>10</v>
      </c>
      <c r="I124" s="5" t="str">
        <f t="shared" si="2"/>
        <v>(117,'SC-HR-GR5','Station de Compression S01-GR5','2012-10-10','2014-09-15',NULL,1,10),</v>
      </c>
    </row>
    <row r="125" spans="1:9" ht="20.100000000000001" customHeight="1" x14ac:dyDescent="0.25">
      <c r="A125" s="10">
        <v>118</v>
      </c>
      <c r="B125" s="11" t="s">
        <v>2910</v>
      </c>
      <c r="C125" s="9" t="s">
        <v>221</v>
      </c>
      <c r="D125" s="12">
        <v>41323</v>
      </c>
      <c r="E125" s="12">
        <v>42026</v>
      </c>
      <c r="F125" s="13" t="s">
        <v>20</v>
      </c>
      <c r="G125" s="13">
        <v>1</v>
      </c>
      <c r="H125" s="13">
        <v>10</v>
      </c>
      <c r="I125" s="9" t="str">
        <f t="shared" si="2"/>
        <v>(118,'SC1-GR7','Station de Compression S01-GR7','2013-02-18','2015-01-22',NULL,1,10),</v>
      </c>
    </row>
    <row r="126" spans="1:9" ht="20.100000000000001" customHeight="1" x14ac:dyDescent="0.25">
      <c r="A126" s="38">
        <v>119</v>
      </c>
      <c r="B126" s="39" t="s">
        <v>222</v>
      </c>
      <c r="C126" s="48" t="s">
        <v>223</v>
      </c>
      <c r="D126" s="19">
        <v>41781</v>
      </c>
      <c r="E126" s="19">
        <v>42488</v>
      </c>
      <c r="F126" s="41" t="s">
        <v>20</v>
      </c>
      <c r="G126" s="41">
        <v>1</v>
      </c>
      <c r="H126" s="41">
        <v>10</v>
      </c>
      <c r="I126" s="48" t="str">
        <f t="shared" si="2"/>
        <v>(119,'SC-TFT','Station de Compression SC-TFT','2014-05-22','2016-04-28',NULL,1,10),</v>
      </c>
    </row>
    <row r="127" spans="1:9" ht="20.100000000000001" customHeight="1" x14ac:dyDescent="0.25">
      <c r="A127" s="38">
        <v>120</v>
      </c>
      <c r="B127" s="39" t="s">
        <v>224</v>
      </c>
      <c r="C127" s="48" t="s">
        <v>225</v>
      </c>
      <c r="D127" s="19">
        <v>42228</v>
      </c>
      <c r="E127" s="19">
        <v>42934</v>
      </c>
      <c r="F127" s="41" t="s">
        <v>20</v>
      </c>
      <c r="G127" s="41">
        <v>1</v>
      </c>
      <c r="H127" s="41">
        <v>10</v>
      </c>
      <c r="I127" s="48" t="str">
        <f t="shared" si="2"/>
        <v>(120,'SC1-GR2','Station de Compression SC1-GR2','2015-08-12','2017-07-18',NULL,1,10),</v>
      </c>
    </row>
    <row r="128" spans="1:9" ht="20.100000000000001" customHeight="1" x14ac:dyDescent="0.25">
      <c r="A128" s="38">
        <v>121</v>
      </c>
      <c r="B128" s="39" t="s">
        <v>226</v>
      </c>
      <c r="C128" s="48" t="s">
        <v>227</v>
      </c>
      <c r="D128" s="19">
        <v>42228</v>
      </c>
      <c r="E128" s="19">
        <v>42934</v>
      </c>
      <c r="F128" s="41" t="s">
        <v>20</v>
      </c>
      <c r="G128" s="41">
        <v>1</v>
      </c>
      <c r="H128" s="41">
        <v>10</v>
      </c>
      <c r="I128" s="48" t="str">
        <f t="shared" si="2"/>
        <v>(121,'SC2-GR2','Station de Compression SC2-GR2','2015-08-12','2017-07-18',NULL,1,10),</v>
      </c>
    </row>
    <row r="129" spans="1:9" ht="20.100000000000001" customHeight="1" x14ac:dyDescent="0.25">
      <c r="A129" s="38">
        <v>122</v>
      </c>
      <c r="B129" s="39" t="s">
        <v>228</v>
      </c>
      <c r="C129" s="48" t="s">
        <v>229</v>
      </c>
      <c r="D129" s="19">
        <v>42228</v>
      </c>
      <c r="E129" s="19">
        <v>42934</v>
      </c>
      <c r="F129" s="41" t="s">
        <v>20</v>
      </c>
      <c r="G129" s="41">
        <v>1</v>
      </c>
      <c r="H129" s="41">
        <v>10</v>
      </c>
      <c r="I129" s="48" t="str">
        <f t="shared" si="2"/>
        <v>(122,'SC3-GR2','Station de Compression SC3-GR2','2015-08-12','2017-07-18',NULL,1,10),</v>
      </c>
    </row>
    <row r="130" spans="1:9" ht="20.100000000000001" customHeight="1" x14ac:dyDescent="0.25">
      <c r="A130" s="38">
        <v>123</v>
      </c>
      <c r="B130" s="39" t="s">
        <v>230</v>
      </c>
      <c r="C130" s="48" t="s">
        <v>231</v>
      </c>
      <c r="D130" s="19">
        <v>42228</v>
      </c>
      <c r="E130" s="19">
        <v>42934</v>
      </c>
      <c r="F130" s="41" t="s">
        <v>20</v>
      </c>
      <c r="G130" s="41">
        <v>1</v>
      </c>
      <c r="H130" s="41">
        <v>10</v>
      </c>
      <c r="I130" s="48" t="str">
        <f t="shared" si="2"/>
        <v>(123,'SC4-GR2','Station de Compression SC4-GR2','2015-08-12','2017-07-18',NULL,1,10),</v>
      </c>
    </row>
    <row r="131" spans="1:9" ht="20.100000000000001" customHeight="1" x14ac:dyDescent="0.25">
      <c r="A131" s="3">
        <v>124</v>
      </c>
      <c r="B131" s="8" t="s">
        <v>232</v>
      </c>
      <c r="C131" s="5" t="s">
        <v>233</v>
      </c>
      <c r="D131" s="6">
        <v>22903</v>
      </c>
      <c r="E131" s="6">
        <v>23652</v>
      </c>
      <c r="F131" s="7" t="s">
        <v>20</v>
      </c>
      <c r="G131" s="7">
        <v>1</v>
      </c>
      <c r="H131" s="7">
        <v>4</v>
      </c>
      <c r="I131" s="5" t="str">
        <f t="shared" si="2"/>
        <v>(124,'GL1Z','Complexe GNL GL1Z','1962-09-14','1964-10-02',NULL,1,4),</v>
      </c>
    </row>
    <row r="132" spans="1:9" ht="20.100000000000001" customHeight="1" x14ac:dyDescent="0.25">
      <c r="A132" s="3">
        <v>125</v>
      </c>
      <c r="B132" s="8" t="s">
        <v>234</v>
      </c>
      <c r="C132" s="5" t="s">
        <v>235</v>
      </c>
      <c r="D132" s="6">
        <v>28564</v>
      </c>
      <c r="E132" s="6">
        <v>29849</v>
      </c>
      <c r="F132" s="7" t="s">
        <v>20</v>
      </c>
      <c r="G132" s="7">
        <v>1</v>
      </c>
      <c r="H132" s="7">
        <v>4</v>
      </c>
      <c r="I132" s="5" t="str">
        <f t="shared" si="2"/>
        <v>(125,'GL2Z','Complexe GNL GL2Z','1978-03-15','1981-09-20',NULL,1,4),</v>
      </c>
    </row>
    <row r="133" spans="1:9" ht="20.100000000000001" customHeight="1" x14ac:dyDescent="0.25">
      <c r="A133" s="3">
        <v>126</v>
      </c>
      <c r="B133" s="8" t="s">
        <v>236</v>
      </c>
      <c r="C133" s="5" t="s">
        <v>237</v>
      </c>
      <c r="D133" s="6">
        <v>40318</v>
      </c>
      <c r="E133" s="6">
        <v>41618</v>
      </c>
      <c r="F133" s="7" t="s">
        <v>20</v>
      </c>
      <c r="G133" s="7">
        <v>1</v>
      </c>
      <c r="H133" s="7">
        <v>4</v>
      </c>
      <c r="I133" s="5" t="str">
        <f t="shared" si="2"/>
        <v>(126,'GL3Z','Complexe GNL GL3Z','2010-05-20','2013-12-10',NULL,1,4),</v>
      </c>
    </row>
    <row r="134" spans="1:9" ht="20.100000000000001" customHeight="1" x14ac:dyDescent="0.25">
      <c r="A134" s="3">
        <v>127</v>
      </c>
      <c r="B134" s="8" t="s">
        <v>238</v>
      </c>
      <c r="C134" s="5" t="s">
        <v>239</v>
      </c>
      <c r="D134" s="6">
        <v>24473</v>
      </c>
      <c r="E134" s="6">
        <v>26495</v>
      </c>
      <c r="F134" s="7" t="s">
        <v>20</v>
      </c>
      <c r="G134" s="7">
        <v>1</v>
      </c>
      <c r="H134" s="7">
        <v>4</v>
      </c>
      <c r="I134" s="5" t="str">
        <f t="shared" si="2"/>
        <v>(127,'GL1K','Complexe GNL GL1K','Sunday-01-jj','Saturday-07-jj',NULL,1,4),</v>
      </c>
    </row>
    <row r="135" spans="1:9" ht="20.100000000000001" customHeight="1" x14ac:dyDescent="0.25">
      <c r="A135" s="3">
        <v>128</v>
      </c>
      <c r="B135" s="8" t="s">
        <v>240</v>
      </c>
      <c r="C135" s="5" t="s">
        <v>241</v>
      </c>
      <c r="D135" s="6">
        <v>25617</v>
      </c>
      <c r="E135" s="6">
        <v>27240</v>
      </c>
      <c r="F135" s="7" t="s">
        <v>20</v>
      </c>
      <c r="G135" s="7">
        <v>1</v>
      </c>
      <c r="H135" s="7">
        <v>4</v>
      </c>
      <c r="I135" s="5" t="str">
        <f t="shared" si="2"/>
        <v>(128,'GP1Z','Usine GPL GP1Z','1970-02-18','1974-07-30',NULL,1,4),</v>
      </c>
    </row>
    <row r="136" spans="1:9" ht="20.100000000000001" customHeight="1" x14ac:dyDescent="0.25">
      <c r="A136" s="3">
        <v>129</v>
      </c>
      <c r="B136" s="8" t="s">
        <v>242</v>
      </c>
      <c r="C136" s="5" t="s">
        <v>243</v>
      </c>
      <c r="D136" s="6">
        <v>27872</v>
      </c>
      <c r="E136" s="6">
        <v>29509</v>
      </c>
      <c r="F136" s="7" t="s">
        <v>20</v>
      </c>
      <c r="G136" s="7">
        <v>1</v>
      </c>
      <c r="H136" s="7">
        <v>4</v>
      </c>
      <c r="I136" s="5" t="str">
        <f t="shared" si="2"/>
        <v>(129,'GP2Z','Usine GPL GP2Z','1976-04-22','1980-10-15',NULL,1,4),</v>
      </c>
    </row>
    <row r="137" spans="1:9" ht="20.100000000000001" customHeight="1" x14ac:dyDescent="0.25">
      <c r="A137" s="3">
        <v>130</v>
      </c>
      <c r="B137" s="8" t="s">
        <v>244</v>
      </c>
      <c r="C137" s="5" t="s">
        <v>245</v>
      </c>
      <c r="D137" s="6">
        <v>22442</v>
      </c>
      <c r="E137" s="6">
        <v>23456</v>
      </c>
      <c r="F137" s="7" t="s">
        <v>20</v>
      </c>
      <c r="G137" s="7">
        <v>1</v>
      </c>
      <c r="H137" s="7">
        <v>5</v>
      </c>
      <c r="I137" s="5" t="str">
        <f t="shared" si="2"/>
        <v>(130,'RA1G','Raffinerie RA1G','1961-06-10','1964-03-20',NULL,1,5),</v>
      </c>
    </row>
    <row r="138" spans="1:9" ht="20.100000000000001" customHeight="1" x14ac:dyDescent="0.25">
      <c r="A138" s="3">
        <v>131</v>
      </c>
      <c r="B138" s="8" t="s">
        <v>246</v>
      </c>
      <c r="C138" s="5" t="s">
        <v>247</v>
      </c>
      <c r="D138" s="6">
        <v>26191</v>
      </c>
      <c r="E138" s="6">
        <v>27539</v>
      </c>
      <c r="F138" s="7" t="s">
        <v>20</v>
      </c>
      <c r="G138" s="7">
        <v>1</v>
      </c>
      <c r="H138" s="7">
        <v>5</v>
      </c>
      <c r="I138" s="5" t="str">
        <f t="shared" si="2"/>
        <v>(131,'RA1Z','Raffinerie RA1Z','1971-09-15','1975-05-25',NULL,1,5),</v>
      </c>
    </row>
    <row r="139" spans="1:9" ht="20.100000000000001" customHeight="1" x14ac:dyDescent="0.25">
      <c r="A139" s="3">
        <v>132</v>
      </c>
      <c r="B139" s="8" t="s">
        <v>248</v>
      </c>
      <c r="C139" s="5" t="s">
        <v>249</v>
      </c>
      <c r="D139" s="6">
        <v>35023</v>
      </c>
      <c r="E139" s="6">
        <v>36037</v>
      </c>
      <c r="F139" s="7" t="s">
        <v>20</v>
      </c>
      <c r="G139" s="7">
        <v>1</v>
      </c>
      <c r="H139" s="7">
        <v>5</v>
      </c>
      <c r="I139" s="5" t="str">
        <f t="shared" si="2"/>
        <v>(132,'RHM2','Raffinerie RHM2','1995-11-20','1998-08-30',NULL,1,5),</v>
      </c>
    </row>
    <row r="140" spans="1:9" ht="20.100000000000001" customHeight="1" x14ac:dyDescent="0.25">
      <c r="A140" s="3">
        <v>133</v>
      </c>
      <c r="B140" s="8" t="s">
        <v>250</v>
      </c>
      <c r="C140" s="5" t="s">
        <v>251</v>
      </c>
      <c r="D140" s="6">
        <v>28196</v>
      </c>
      <c r="E140" s="6">
        <v>29573</v>
      </c>
      <c r="F140" s="7" t="s">
        <v>20</v>
      </c>
      <c r="G140" s="7">
        <v>1</v>
      </c>
      <c r="H140" s="7">
        <v>5</v>
      </c>
      <c r="I140" s="5" t="str">
        <f t="shared" si="2"/>
        <v>(133,'RA1K','Raffinerie RA1K','1977-03-12','1980-12-18',NULL,1,5),</v>
      </c>
    </row>
    <row r="141" spans="1:9" ht="20.100000000000001" customHeight="1" x14ac:dyDescent="0.25">
      <c r="A141" s="3">
        <v>134</v>
      </c>
      <c r="B141" s="8" t="s">
        <v>252</v>
      </c>
      <c r="C141" s="5" t="s">
        <v>253</v>
      </c>
      <c r="D141" s="6">
        <v>28196</v>
      </c>
      <c r="E141" s="6">
        <v>29573</v>
      </c>
      <c r="F141" s="7" t="s">
        <v>20</v>
      </c>
      <c r="G141" s="7">
        <v>1</v>
      </c>
      <c r="H141" s="7">
        <v>5</v>
      </c>
      <c r="I141" s="5" t="str">
        <f t="shared" si="2"/>
        <v>(134,'RA2K','Raffinerie RA2K','1977-03-12','1980-12-18',NULL,1,5),</v>
      </c>
    </row>
    <row r="142" spans="1:9" ht="20.100000000000001" customHeight="1" x14ac:dyDescent="0.25">
      <c r="A142" s="3">
        <v>135</v>
      </c>
      <c r="B142" s="8" t="s">
        <v>254</v>
      </c>
      <c r="C142" s="5" t="s">
        <v>255</v>
      </c>
      <c r="D142" s="6">
        <v>24966</v>
      </c>
      <c r="E142" s="6">
        <v>26710</v>
      </c>
      <c r="F142" s="7" t="s">
        <v>20</v>
      </c>
      <c r="G142" s="7">
        <v>1</v>
      </c>
      <c r="H142" s="7">
        <v>5</v>
      </c>
      <c r="I142" s="5" t="str">
        <f t="shared" si="2"/>
        <v>(135,'RA1D','Raffinerie RA1D','1968-05-08','1973-02-15',NULL,1,5),</v>
      </c>
    </row>
    <row r="143" spans="1:9" ht="20.100000000000001" customHeight="1" x14ac:dyDescent="0.25">
      <c r="A143" s="3">
        <v>136</v>
      </c>
      <c r="B143" s="8" t="s">
        <v>256</v>
      </c>
      <c r="C143" s="5" t="s">
        <v>257</v>
      </c>
      <c r="D143" s="6">
        <v>29054</v>
      </c>
      <c r="E143" s="6">
        <v>30277</v>
      </c>
      <c r="F143" s="7" t="s">
        <v>20</v>
      </c>
      <c r="G143" s="7">
        <v>1</v>
      </c>
      <c r="H143" s="7">
        <v>4</v>
      </c>
      <c r="I143" s="5" t="str">
        <f t="shared" si="2"/>
        <v>(136,'CP1Z','Usine de Condensats CP1Z','1979-07-18','1982-11-22',NULL,1,4),</v>
      </c>
    </row>
    <row r="144" spans="1:9" ht="20.100000000000001" customHeight="1" x14ac:dyDescent="0.25">
      <c r="A144" s="3">
        <v>137</v>
      </c>
      <c r="B144" s="8" t="s">
        <v>258</v>
      </c>
      <c r="C144" s="5" t="s">
        <v>259</v>
      </c>
      <c r="D144" s="6">
        <v>29519</v>
      </c>
      <c r="E144" s="6">
        <v>30863</v>
      </c>
      <c r="F144" s="7" t="s">
        <v>20</v>
      </c>
      <c r="G144" s="7">
        <v>1</v>
      </c>
      <c r="H144" s="7">
        <v>4</v>
      </c>
      <c r="I144" s="5" t="str">
        <f t="shared" si="2"/>
        <v>(137,'CP2K','Usine de Condensats CP2K','1980-10-25','1984-06-30',NULL,1,4),</v>
      </c>
    </row>
    <row r="145" spans="1:9" ht="20.100000000000001" customHeight="1" x14ac:dyDescent="0.25">
      <c r="A145" s="3">
        <v>138</v>
      </c>
      <c r="B145" s="8" t="s">
        <v>260</v>
      </c>
      <c r="C145" s="5" t="s">
        <v>261</v>
      </c>
      <c r="D145" s="6">
        <v>25583</v>
      </c>
      <c r="E145" s="6">
        <v>27657</v>
      </c>
      <c r="F145" s="7" t="s">
        <v>20</v>
      </c>
      <c r="G145" s="7">
        <v>1</v>
      </c>
      <c r="H145" s="7">
        <v>5</v>
      </c>
      <c r="I145" s="5" t="str">
        <f t="shared" si="2"/>
        <v>(138,'SORFERT','Complexe Pétrochimique SORFERT','1970-01-15','1975-09-20',NULL,1,5),</v>
      </c>
    </row>
    <row r="146" spans="1:9" ht="20.100000000000001" customHeight="1" x14ac:dyDescent="0.25">
      <c r="A146" s="3">
        <v>139</v>
      </c>
      <c r="B146" s="8" t="s">
        <v>262</v>
      </c>
      <c r="C146" s="5" t="s">
        <v>263</v>
      </c>
      <c r="D146" s="6">
        <v>37721</v>
      </c>
      <c r="E146" s="6">
        <v>39767</v>
      </c>
      <c r="F146" s="7" t="s">
        <v>20</v>
      </c>
      <c r="G146" s="7">
        <v>1</v>
      </c>
      <c r="H146" s="7">
        <v>5</v>
      </c>
      <c r="I146" s="5" t="str">
        <f t="shared" si="2"/>
        <v>(139,'AOA','Complexe Pétrochimique AOA','2003-04-10','2008-11-15',NULL,1,5),</v>
      </c>
    </row>
    <row r="147" spans="1:9" ht="20.100000000000001" customHeight="1" x14ac:dyDescent="0.25">
      <c r="A147" s="3">
        <v>140</v>
      </c>
      <c r="B147" s="8" t="s">
        <v>264</v>
      </c>
      <c r="C147" s="5" t="s">
        <v>265</v>
      </c>
      <c r="D147" s="6">
        <v>35966</v>
      </c>
      <c r="E147" s="6">
        <v>37253</v>
      </c>
      <c r="F147" s="7" t="s">
        <v>20</v>
      </c>
      <c r="G147" s="7">
        <v>1</v>
      </c>
      <c r="H147" s="7">
        <v>2</v>
      </c>
      <c r="I147" s="5" t="str">
        <f t="shared" si="2"/>
        <v>(140,'CPF-OHD','Usine d\'Ourhoud','1998-06-20','2001-12-28',NULL,1,2),</v>
      </c>
    </row>
    <row r="148" spans="1:9" ht="20.100000000000001" customHeight="1" x14ac:dyDescent="0.25">
      <c r="A148" s="3">
        <v>141</v>
      </c>
      <c r="B148" s="8" t="s">
        <v>266</v>
      </c>
      <c r="C148" s="5" t="s">
        <v>267</v>
      </c>
      <c r="D148" s="6">
        <v>36784</v>
      </c>
      <c r="E148" s="6">
        <v>37863</v>
      </c>
      <c r="F148" s="7" t="s">
        <v>20</v>
      </c>
      <c r="G148" s="7">
        <v>1</v>
      </c>
      <c r="H148" s="7">
        <v>2</v>
      </c>
      <c r="I148" s="5" t="str">
        <f t="shared" ref="I148:I211" si="3">CONCATENATE("(",A148,",'",B148,"','",C148,"','",TEXT(D148,"aaaa-mm-jj"),"','",TEXT(E148,"aaaa-mm-jj"),"',",F148,",",G148,",",H148,"),")</f>
        <v>(141,'CPF-MNS','Unité de Traitement Central d\'In Amenas','2000-09-15','2003-08-30',NULL,1,2),</v>
      </c>
    </row>
    <row r="149" spans="1:9" ht="20.100000000000001" customHeight="1" x14ac:dyDescent="0.25">
      <c r="A149" s="3">
        <v>142</v>
      </c>
      <c r="B149" s="8" t="s">
        <v>268</v>
      </c>
      <c r="C149" s="5" t="s">
        <v>269</v>
      </c>
      <c r="D149" s="6">
        <v>37215</v>
      </c>
      <c r="E149" s="6">
        <v>38285</v>
      </c>
      <c r="F149" s="7" t="s">
        <v>20</v>
      </c>
      <c r="G149" s="7">
        <v>1</v>
      </c>
      <c r="H149" s="7">
        <v>2</v>
      </c>
      <c r="I149" s="5" t="str">
        <f t="shared" si="3"/>
        <v>(142,'CPF-BBK','Unité de Traitement Central de Berkine (El Merk)','2001-11-20','2004-10-25',NULL,1,2),</v>
      </c>
    </row>
    <row r="150" spans="1:9" ht="20.100000000000001" customHeight="1" x14ac:dyDescent="0.25">
      <c r="A150" s="3">
        <v>143</v>
      </c>
      <c r="B150" s="8" t="s">
        <v>270</v>
      </c>
      <c r="C150" s="5" t="s">
        <v>271</v>
      </c>
      <c r="D150" s="6">
        <v>28559</v>
      </c>
      <c r="E150" s="6">
        <v>30147</v>
      </c>
      <c r="F150" s="7" t="s">
        <v>20</v>
      </c>
      <c r="G150" s="7">
        <v>1</v>
      </c>
      <c r="H150" s="7">
        <v>2</v>
      </c>
      <c r="I150" s="5" t="str">
        <f t="shared" si="3"/>
        <v>(143,'GPC-HRM','Station Centrale de Hassi R\'Mel','1978-03-10','1982-07-15',NULL,1,2),</v>
      </c>
    </row>
    <row r="151" spans="1:9" ht="20.100000000000001" customHeight="1" x14ac:dyDescent="0.25">
      <c r="A151" s="3">
        <v>144</v>
      </c>
      <c r="B151" s="8" t="s">
        <v>272</v>
      </c>
      <c r="C151" s="5" t="s">
        <v>273</v>
      </c>
      <c r="D151" s="6">
        <v>36658</v>
      </c>
      <c r="E151" s="6">
        <v>37945</v>
      </c>
      <c r="F151" s="7" t="s">
        <v>20</v>
      </c>
      <c r="G151" s="7">
        <v>1</v>
      </c>
      <c r="H151" s="7">
        <v>2</v>
      </c>
      <c r="I151" s="5" t="str">
        <f t="shared" si="3"/>
        <v>(144,'GPC-OHT','Unité de Traitement Central d\'Ohanet - Train de Gaz','2000-05-12','2003-11-20',NULL,1,2),</v>
      </c>
    </row>
    <row r="152" spans="1:9" ht="20.100000000000001" customHeight="1" x14ac:dyDescent="0.25">
      <c r="A152" s="3">
        <v>145</v>
      </c>
      <c r="B152" s="8" t="s">
        <v>274</v>
      </c>
      <c r="C152" s="5" t="s">
        <v>275</v>
      </c>
      <c r="D152" s="6">
        <v>38217</v>
      </c>
      <c r="E152" s="6">
        <v>39258</v>
      </c>
      <c r="F152" s="7" t="s">
        <v>20</v>
      </c>
      <c r="G152" s="7">
        <v>1</v>
      </c>
      <c r="H152" s="7">
        <v>2</v>
      </c>
      <c r="I152" s="5" t="str">
        <f t="shared" si="3"/>
        <v>(145,'GPC-TFT','Unité de Traitement Central de Tin-Fouyé-Tabenkort','2004-08-18','2007-06-25',NULL,1,2),</v>
      </c>
    </row>
    <row r="153" spans="1:9" ht="20.100000000000001" customHeight="1" x14ac:dyDescent="0.25">
      <c r="A153" s="3">
        <v>146</v>
      </c>
      <c r="B153" s="8" t="s">
        <v>276</v>
      </c>
      <c r="C153" s="5" t="s">
        <v>277</v>
      </c>
      <c r="D153" s="6">
        <v>44635</v>
      </c>
      <c r="E153" s="6">
        <v>45889</v>
      </c>
      <c r="F153" s="7" t="s">
        <v>20</v>
      </c>
      <c r="G153" s="7">
        <v>1</v>
      </c>
      <c r="H153" s="7">
        <v>2</v>
      </c>
      <c r="I153" s="5" t="str">
        <f t="shared" si="3"/>
        <v>(146,'GPC-TSL','Complexe Gazier d\'Ain Tsila','2022-03-15','2025-08-20',NULL,1,2),</v>
      </c>
    </row>
    <row r="154" spans="1:9" ht="20.100000000000001" customHeight="1" x14ac:dyDescent="0.25">
      <c r="A154" s="3">
        <v>147</v>
      </c>
      <c r="B154" s="8" t="s">
        <v>278</v>
      </c>
      <c r="C154" s="5" t="s">
        <v>279</v>
      </c>
      <c r="D154" s="6">
        <v>40473</v>
      </c>
      <c r="E154" s="6">
        <v>41759</v>
      </c>
      <c r="F154" s="7" t="s">
        <v>20</v>
      </c>
      <c r="G154" s="7">
        <v>1</v>
      </c>
      <c r="H154" s="7">
        <v>2</v>
      </c>
      <c r="I154" s="5" t="str">
        <f t="shared" si="3"/>
        <v>(147,'GPC-RGN','Traitement du Gaz du Bassin de Reggane','2010-10-22','2014-04-30',NULL,1,2),</v>
      </c>
    </row>
    <row r="155" spans="1:9" ht="20.100000000000001" customHeight="1" x14ac:dyDescent="0.25">
      <c r="A155" s="3">
        <v>148</v>
      </c>
      <c r="B155" s="8" t="s">
        <v>280</v>
      </c>
      <c r="C155" s="5" t="s">
        <v>281</v>
      </c>
      <c r="D155" s="6">
        <v>37087</v>
      </c>
      <c r="E155" s="6">
        <v>38066</v>
      </c>
      <c r="F155" s="7" t="s">
        <v>20</v>
      </c>
      <c r="G155" s="7">
        <v>1</v>
      </c>
      <c r="H155" s="7">
        <v>2</v>
      </c>
      <c r="I155" s="5" t="str">
        <f t="shared" si="3"/>
        <v>(148,'CRP-OHT','Unité de Condensats d\'Ohanet','2001-07-15','2004-03-20',NULL,1,2),</v>
      </c>
    </row>
    <row r="156" spans="1:9" ht="20.100000000000001" customHeight="1" x14ac:dyDescent="0.25">
      <c r="A156" s="3">
        <v>149</v>
      </c>
      <c r="B156" s="8" t="s">
        <v>282</v>
      </c>
      <c r="C156" s="5" t="s">
        <v>283</v>
      </c>
      <c r="D156" s="6">
        <v>38615</v>
      </c>
      <c r="E156" s="6">
        <v>39596</v>
      </c>
      <c r="F156" s="7" t="s">
        <v>20</v>
      </c>
      <c r="G156" s="7">
        <v>1</v>
      </c>
      <c r="H156" s="7">
        <v>2</v>
      </c>
      <c r="I156" s="5" t="str">
        <f t="shared" si="3"/>
        <v>(149,'CRP-TFT','Unité de Condensats de Tin-Fouyé','2005-09-20','2008-05-28',NULL,1,2),</v>
      </c>
    </row>
    <row r="157" spans="1:9" ht="20.100000000000001" customHeight="1" x14ac:dyDescent="0.25">
      <c r="A157" s="3">
        <v>150</v>
      </c>
      <c r="B157" s="8" t="s">
        <v>284</v>
      </c>
      <c r="C157" s="5" t="s">
        <v>285</v>
      </c>
      <c r="D157" s="6">
        <v>44936</v>
      </c>
      <c r="E157" s="6">
        <v>45945</v>
      </c>
      <c r="F157" s="7" t="s">
        <v>20</v>
      </c>
      <c r="G157" s="7">
        <v>1</v>
      </c>
      <c r="H157" s="7">
        <v>2</v>
      </c>
      <c r="I157" s="5" t="str">
        <f t="shared" si="3"/>
        <v>(150,'CRP-TSL','Usine de récupération des Condensats d\'Ain Tsila','2023-01-10','2025-10-15',NULL,1,2),</v>
      </c>
    </row>
    <row r="158" spans="1:9" ht="20.100000000000001" customHeight="1" x14ac:dyDescent="0.25">
      <c r="A158" s="3">
        <v>151</v>
      </c>
      <c r="B158" s="8" t="s">
        <v>286</v>
      </c>
      <c r="C158" s="5" t="s">
        <v>287</v>
      </c>
      <c r="D158" s="6">
        <v>37565</v>
      </c>
      <c r="E158" s="6">
        <v>38545</v>
      </c>
      <c r="F158" s="7" t="s">
        <v>20</v>
      </c>
      <c r="G158" s="7">
        <v>1</v>
      </c>
      <c r="H158" s="7">
        <v>2</v>
      </c>
      <c r="I158" s="5" t="str">
        <f t="shared" si="3"/>
        <v>(151,'CRP-MRK','Unité de Condensats d\'El Merk','2002-11-05','2005-07-12',NULL,1,2),</v>
      </c>
    </row>
    <row r="159" spans="1:9" ht="20.100000000000001" customHeight="1" x14ac:dyDescent="0.25">
      <c r="A159" s="3">
        <v>152</v>
      </c>
      <c r="B159" s="8" t="s">
        <v>288</v>
      </c>
      <c r="C159" s="5" t="s">
        <v>289</v>
      </c>
      <c r="D159" s="6">
        <v>37060</v>
      </c>
      <c r="E159" s="6">
        <v>38042</v>
      </c>
      <c r="F159" s="7" t="s">
        <v>20</v>
      </c>
      <c r="G159" s="7">
        <v>1</v>
      </c>
      <c r="H159" s="7">
        <v>2</v>
      </c>
      <c r="I159" s="5" t="str">
        <f t="shared" si="3"/>
        <v>(152,'CRP-MNS','Usine de récupération des Condensats d\'In Amenas','2001-06-18','2004-02-25',NULL,1,2),</v>
      </c>
    </row>
    <row r="160" spans="1:9" ht="20.100000000000001" customHeight="1" x14ac:dyDescent="0.25">
      <c r="A160" s="3">
        <v>153</v>
      </c>
      <c r="B160" s="8" t="s">
        <v>290</v>
      </c>
      <c r="C160" s="5" t="s">
        <v>291</v>
      </c>
      <c r="D160" s="6">
        <v>30061</v>
      </c>
      <c r="E160" s="6">
        <v>31396</v>
      </c>
      <c r="F160" s="7" t="s">
        <v>20</v>
      </c>
      <c r="G160" s="7">
        <v>1</v>
      </c>
      <c r="H160" s="7">
        <v>2</v>
      </c>
      <c r="I160" s="5" t="str">
        <f t="shared" si="3"/>
        <v>(153,'LPG1-HRM','Unités GPL/Condensats de Hassi R\'Mel','1982-04-20','1985-12-15',NULL,1,2),</v>
      </c>
    </row>
    <row r="161" spans="1:9" ht="20.100000000000001" customHeight="1" x14ac:dyDescent="0.25">
      <c r="A161" s="3">
        <v>154</v>
      </c>
      <c r="B161" s="8" t="s">
        <v>292</v>
      </c>
      <c r="C161" s="5" t="s">
        <v>293</v>
      </c>
      <c r="D161" s="6">
        <v>33095</v>
      </c>
      <c r="E161" s="6">
        <v>34140</v>
      </c>
      <c r="F161" s="7" t="s">
        <v>20</v>
      </c>
      <c r="G161" s="7">
        <v>1</v>
      </c>
      <c r="H161" s="7">
        <v>2</v>
      </c>
      <c r="I161" s="5" t="str">
        <f t="shared" si="3"/>
        <v>(154,'LPG2-HRM','Complexe de récupération Centrale GPL de Hassi R\'Mel','1990-08-10','1993-06-20',NULL,1,2),</v>
      </c>
    </row>
    <row r="162" spans="1:9" ht="20.100000000000001" customHeight="1" x14ac:dyDescent="0.25">
      <c r="A162" s="3">
        <v>155</v>
      </c>
      <c r="B162" s="8" t="s">
        <v>294</v>
      </c>
      <c r="C162" s="5" t="s">
        <v>295</v>
      </c>
      <c r="D162" s="6">
        <v>35018</v>
      </c>
      <c r="E162" s="6">
        <v>36060</v>
      </c>
      <c r="F162" s="7" t="s">
        <v>20</v>
      </c>
      <c r="G162" s="7">
        <v>1</v>
      </c>
      <c r="H162" s="7">
        <v>2</v>
      </c>
      <c r="I162" s="5" t="str">
        <f t="shared" si="3"/>
        <v>(155,'LPGE-HRM','Complexe de récupération d\'Éthane de Hassi R\'Mel','1995-11-15','1998-09-22',NULL,1,2),</v>
      </c>
    </row>
    <row r="163" spans="1:9" ht="20.100000000000001" customHeight="1" x14ac:dyDescent="0.25">
      <c r="A163" s="3">
        <v>156</v>
      </c>
      <c r="B163" s="8" t="s">
        <v>296</v>
      </c>
      <c r="C163" s="5" t="s">
        <v>297</v>
      </c>
      <c r="D163" s="6">
        <v>38801</v>
      </c>
      <c r="E163" s="6">
        <v>39843</v>
      </c>
      <c r="F163" s="7" t="s">
        <v>20</v>
      </c>
      <c r="G163" s="7">
        <v>1</v>
      </c>
      <c r="H163" s="7">
        <v>2</v>
      </c>
      <c r="I163" s="5" t="str">
        <f t="shared" si="3"/>
        <v>(156,'LPG-TFT','Complexe de récupération GPL de Tin-Fouyé','2006-03-25','2009-01-30',NULL,1,2),</v>
      </c>
    </row>
    <row r="164" spans="1:9" ht="20.100000000000001" customHeight="1" x14ac:dyDescent="0.25">
      <c r="A164" s="3">
        <v>157</v>
      </c>
      <c r="B164" s="8" t="s">
        <v>298</v>
      </c>
      <c r="C164" s="5" t="s">
        <v>299</v>
      </c>
      <c r="D164" s="6">
        <v>45089</v>
      </c>
      <c r="E164" s="6">
        <v>46009</v>
      </c>
      <c r="F164" s="7" t="s">
        <v>20</v>
      </c>
      <c r="G164" s="7">
        <v>1</v>
      </c>
      <c r="H164" s="7">
        <v>2</v>
      </c>
      <c r="I164" s="5" t="str">
        <f t="shared" si="3"/>
        <v>(157,'LPG-TSL','Complexe de récupération GPL d\'Ain Tsila','2023-06-12','2025-12-18',NULL,1,2),</v>
      </c>
    </row>
    <row r="165" spans="1:9" ht="20.100000000000001" customHeight="1" x14ac:dyDescent="0.25">
      <c r="A165" s="3">
        <v>158</v>
      </c>
      <c r="B165" s="8" t="s">
        <v>300</v>
      </c>
      <c r="C165" s="5" t="s">
        <v>301</v>
      </c>
      <c r="D165" s="6">
        <v>23788</v>
      </c>
      <c r="E165" s="6">
        <v>24775</v>
      </c>
      <c r="F165" s="7" t="s">
        <v>20</v>
      </c>
      <c r="G165" s="7">
        <v>1</v>
      </c>
      <c r="H165" s="7">
        <v>10</v>
      </c>
      <c r="I165" s="5" t="str">
        <f t="shared" si="3"/>
        <v>(158,'OZ1','Pipeline OZ1','1965-02-15','1967-10-30',NULL,1,10),</v>
      </c>
    </row>
    <row r="166" spans="1:9" ht="20.100000000000001" customHeight="1" x14ac:dyDescent="0.25">
      <c r="A166" s="3">
        <v>159</v>
      </c>
      <c r="B166" s="8" t="s">
        <v>302</v>
      </c>
      <c r="C166" s="5" t="s">
        <v>303</v>
      </c>
      <c r="D166" s="7" t="s">
        <v>304</v>
      </c>
      <c r="E166" s="7" t="s">
        <v>304</v>
      </c>
      <c r="F166" s="7" t="s">
        <v>20</v>
      </c>
      <c r="G166" s="7">
        <v>1</v>
      </c>
      <c r="H166" s="7">
        <v>10</v>
      </c>
      <c r="I166" s="5" t="str">
        <f t="shared" si="3"/>
        <v>(159,'OZ2','Pipeline OZ2','2003-08-18','2003-08-18',NULL,1,10),</v>
      </c>
    </row>
    <row r="167" spans="1:9" ht="20.100000000000001" customHeight="1" x14ac:dyDescent="0.25">
      <c r="A167" s="3">
        <v>160</v>
      </c>
      <c r="B167" s="8" t="s">
        <v>305</v>
      </c>
      <c r="C167" s="5" t="s">
        <v>306</v>
      </c>
      <c r="D167" s="7" t="s">
        <v>307</v>
      </c>
      <c r="E167" s="7" t="s">
        <v>307</v>
      </c>
      <c r="F167" s="7" t="s">
        <v>20</v>
      </c>
      <c r="G167" s="7">
        <v>1</v>
      </c>
      <c r="H167" s="7">
        <v>10</v>
      </c>
      <c r="I167" s="5" t="str">
        <f t="shared" si="3"/>
        <v>(160,'OK1','Pipeline OK1','1972-01-01','1972-01-01',NULL,1,10),</v>
      </c>
    </row>
    <row r="168" spans="1:9" ht="20.100000000000001" customHeight="1" x14ac:dyDescent="0.25">
      <c r="A168" s="3">
        <v>161</v>
      </c>
      <c r="B168" s="8" t="s">
        <v>308</v>
      </c>
      <c r="C168" s="5" t="s">
        <v>309</v>
      </c>
      <c r="D168" s="6">
        <v>21064</v>
      </c>
      <c r="E168" s="6">
        <v>21889</v>
      </c>
      <c r="F168" s="7" t="s">
        <v>20</v>
      </c>
      <c r="G168" s="7">
        <v>1</v>
      </c>
      <c r="H168" s="7">
        <v>10</v>
      </c>
      <c r="I168" s="5" t="str">
        <f t="shared" si="3"/>
        <v>(161,'OB1','Pipeline OB1','1957-09-01','1959-12-05',NULL,1,10),</v>
      </c>
    </row>
    <row r="169" spans="1:9" ht="20.100000000000001" customHeight="1" x14ac:dyDescent="0.25">
      <c r="A169" s="3">
        <v>162</v>
      </c>
      <c r="B169" s="8" t="s">
        <v>310</v>
      </c>
      <c r="C169" s="5" t="s">
        <v>311</v>
      </c>
      <c r="D169" s="6">
        <v>35236</v>
      </c>
      <c r="E169" s="6">
        <v>36479</v>
      </c>
      <c r="F169" s="7" t="s">
        <v>20</v>
      </c>
      <c r="G169" s="7">
        <v>1</v>
      </c>
      <c r="H169" s="7">
        <v>10</v>
      </c>
      <c r="I169" s="5" t="str">
        <f t="shared" si="3"/>
        <v>(162,'ROB1-01','Pipeline ROB1-01','1996-06-20','1999-11-15',NULL,1,10),</v>
      </c>
    </row>
    <row r="170" spans="1:9" ht="20.100000000000001" customHeight="1" x14ac:dyDescent="0.25">
      <c r="A170" s="3">
        <v>163</v>
      </c>
      <c r="B170" s="8" t="s">
        <v>312</v>
      </c>
      <c r="C170" s="5" t="s">
        <v>313</v>
      </c>
      <c r="D170" s="6">
        <v>36595</v>
      </c>
      <c r="E170" s="6">
        <v>37855</v>
      </c>
      <c r="F170" s="7" t="s">
        <v>20</v>
      </c>
      <c r="G170" s="7">
        <v>1</v>
      </c>
      <c r="H170" s="7">
        <v>10</v>
      </c>
      <c r="I170" s="5" t="str">
        <f t="shared" si="3"/>
        <v>(163,'ROB1-02','Pipeline ROB1-02','2000-03-10','2003-08-22',NULL,1,10),</v>
      </c>
    </row>
    <row r="171" spans="1:9" ht="20.100000000000001" customHeight="1" x14ac:dyDescent="0.25">
      <c r="A171" s="3">
        <v>164</v>
      </c>
      <c r="B171" s="8" t="s">
        <v>314</v>
      </c>
      <c r="C171" s="5" t="s">
        <v>315</v>
      </c>
      <c r="D171" s="7" t="s">
        <v>316</v>
      </c>
      <c r="E171" s="7" t="s">
        <v>316</v>
      </c>
      <c r="F171" s="7" t="s">
        <v>20</v>
      </c>
      <c r="G171" s="7">
        <v>1</v>
      </c>
      <c r="H171" s="7">
        <v>10</v>
      </c>
      <c r="I171" s="5" t="str">
        <f t="shared" si="3"/>
        <v>(164,'OG1','Pipeline OG1','2005-07-04','2005-07-04',NULL,1,10),</v>
      </c>
    </row>
    <row r="172" spans="1:9" ht="20.100000000000001" customHeight="1" x14ac:dyDescent="0.25">
      <c r="A172" s="3">
        <v>165</v>
      </c>
      <c r="B172" s="8" t="s">
        <v>317</v>
      </c>
      <c r="C172" s="5" t="s">
        <v>318</v>
      </c>
      <c r="D172" s="6">
        <v>21337</v>
      </c>
      <c r="E172" s="6">
        <v>21930</v>
      </c>
      <c r="F172" s="7" t="s">
        <v>20</v>
      </c>
      <c r="G172" s="7">
        <v>1</v>
      </c>
      <c r="H172" s="7">
        <v>10</v>
      </c>
      <c r="I172" s="5" t="str">
        <f t="shared" si="3"/>
        <v>(165,'OT1','Pipeline OT1','1958-06-01','1960-01-15',NULL,1,10),</v>
      </c>
    </row>
    <row r="173" spans="1:9" ht="20.100000000000001" customHeight="1" x14ac:dyDescent="0.25">
      <c r="A173" s="3">
        <v>166</v>
      </c>
      <c r="B173" s="8" t="s">
        <v>319</v>
      </c>
      <c r="C173" s="5" t="s">
        <v>320</v>
      </c>
      <c r="D173" s="6" t="s">
        <v>321</v>
      </c>
      <c r="E173" s="6" t="s">
        <v>321</v>
      </c>
      <c r="F173" s="7" t="s">
        <v>20</v>
      </c>
      <c r="G173" s="7">
        <v>1</v>
      </c>
      <c r="H173" s="7">
        <v>10</v>
      </c>
      <c r="I173" s="5" t="str">
        <f t="shared" si="3"/>
        <v>(166,'OH1','Pipeline OH1','1982-01-01','1982-01-01',NULL,1,10),</v>
      </c>
    </row>
    <row r="174" spans="1:9" ht="20.100000000000001" customHeight="1" x14ac:dyDescent="0.25">
      <c r="A174" s="3">
        <v>167</v>
      </c>
      <c r="B174" s="4" t="s">
        <v>322</v>
      </c>
      <c r="C174" s="5" t="s">
        <v>323</v>
      </c>
      <c r="D174" s="6">
        <v>38582</v>
      </c>
      <c r="E174" s="6">
        <v>39624</v>
      </c>
      <c r="F174" s="7" t="s">
        <v>20</v>
      </c>
      <c r="G174" s="7">
        <v>1</v>
      </c>
      <c r="H174" s="7">
        <v>10</v>
      </c>
      <c r="I174" s="5" t="str">
        <f t="shared" si="3"/>
        <v>(167,'ROH1','Pipeline ROH1','2005-08-18','2008-06-25',NULL,1,10),</v>
      </c>
    </row>
    <row r="175" spans="1:9" ht="20.100000000000001" customHeight="1" x14ac:dyDescent="0.25">
      <c r="A175" s="3">
        <v>168</v>
      </c>
      <c r="B175" s="8" t="s">
        <v>324</v>
      </c>
      <c r="C175" s="5" t="s">
        <v>325</v>
      </c>
      <c r="D175" s="6" t="s">
        <v>326</v>
      </c>
      <c r="E175" s="6" t="s">
        <v>326</v>
      </c>
      <c r="F175" s="7" t="s">
        <v>20</v>
      </c>
      <c r="G175" s="7">
        <v>1</v>
      </c>
      <c r="H175" s="7">
        <v>10</v>
      </c>
      <c r="I175" s="5" t="str">
        <f t="shared" si="3"/>
        <v>(168,'OH2','Pipeline OH2','1972-04-10','1972-04-10',NULL,1,10),</v>
      </c>
    </row>
    <row r="176" spans="1:9" ht="20.100000000000001" customHeight="1" x14ac:dyDescent="0.25">
      <c r="A176" s="3">
        <v>169</v>
      </c>
      <c r="B176" s="8" t="s">
        <v>327</v>
      </c>
      <c r="C176" s="5" t="s">
        <v>328</v>
      </c>
      <c r="D176" s="6">
        <v>35476</v>
      </c>
      <c r="E176" s="6">
        <v>37026</v>
      </c>
      <c r="F176" s="7" t="s">
        <v>20</v>
      </c>
      <c r="G176" s="7">
        <v>1</v>
      </c>
      <c r="H176" s="7">
        <v>10</v>
      </c>
      <c r="I176" s="5" t="str">
        <f t="shared" si="3"/>
        <v>(169,'OH3','Pipeline OH3','1997-02-15','2001-05-15',NULL,1,10),</v>
      </c>
    </row>
    <row r="177" spans="1:9" ht="20.100000000000001" customHeight="1" x14ac:dyDescent="0.25">
      <c r="A177" s="3">
        <v>170</v>
      </c>
      <c r="B177" s="8" t="s">
        <v>329</v>
      </c>
      <c r="C177" s="5" t="s">
        <v>330</v>
      </c>
      <c r="D177" s="6" t="s">
        <v>331</v>
      </c>
      <c r="E177" s="6" t="s">
        <v>331</v>
      </c>
      <c r="F177" s="7" t="s">
        <v>20</v>
      </c>
      <c r="G177" s="7">
        <v>1</v>
      </c>
      <c r="H177" s="7">
        <v>10</v>
      </c>
      <c r="I177" s="5" t="str">
        <f t="shared" si="3"/>
        <v>(170,'OH4','Pipeline OH4','2006-01-01','2006-01-01',NULL,1,10),</v>
      </c>
    </row>
    <row r="178" spans="1:9" ht="20.100000000000001" customHeight="1" x14ac:dyDescent="0.25">
      <c r="A178" s="3">
        <v>171</v>
      </c>
      <c r="B178" s="8" t="s">
        <v>332</v>
      </c>
      <c r="C178" s="5" t="s">
        <v>333</v>
      </c>
      <c r="D178" s="6" t="s">
        <v>334</v>
      </c>
      <c r="E178" s="6" t="s">
        <v>334</v>
      </c>
      <c r="F178" s="7" t="s">
        <v>20</v>
      </c>
      <c r="G178" s="7">
        <v>1</v>
      </c>
      <c r="H178" s="7">
        <v>10</v>
      </c>
      <c r="I178" s="5" t="str">
        <f t="shared" si="3"/>
        <v>(171,'OD1','Pipeline OD1','1977-03-23','1977-03-23',NULL,1,10),</v>
      </c>
    </row>
    <row r="179" spans="1:9" ht="20.100000000000001" customHeight="1" x14ac:dyDescent="0.25">
      <c r="A179" s="3">
        <v>172</v>
      </c>
      <c r="B179" s="8" t="s">
        <v>335</v>
      </c>
      <c r="C179" s="5" t="s">
        <v>336</v>
      </c>
      <c r="D179" s="6">
        <v>38457</v>
      </c>
      <c r="E179" s="6">
        <v>39721</v>
      </c>
      <c r="F179" s="7" t="s">
        <v>20</v>
      </c>
      <c r="G179" s="7">
        <v>1</v>
      </c>
      <c r="H179" s="7">
        <v>10</v>
      </c>
      <c r="I179" s="5" t="str">
        <f t="shared" si="3"/>
        <v>(172,'ROD1','Pipeline ROD1','2005-04-15','2008-09-30',NULL,1,10),</v>
      </c>
    </row>
    <row r="180" spans="1:9" ht="20.100000000000001" customHeight="1" x14ac:dyDescent="0.25">
      <c r="A180" s="3">
        <v>173</v>
      </c>
      <c r="B180" s="8" t="s">
        <v>337</v>
      </c>
      <c r="C180" s="5" t="s">
        <v>338</v>
      </c>
      <c r="D180" s="6">
        <v>38970</v>
      </c>
      <c r="E180" s="6">
        <v>39921</v>
      </c>
      <c r="F180" s="7" t="s">
        <v>20</v>
      </c>
      <c r="G180" s="7">
        <v>1</v>
      </c>
      <c r="H180" s="7">
        <v>10</v>
      </c>
      <c r="I180" s="5" t="str">
        <f t="shared" si="3"/>
        <v>(173,'OD2','Pipeline OD2','2006-09-10','2009-04-18',NULL,1,10),</v>
      </c>
    </row>
    <row r="181" spans="1:9" ht="20.100000000000001" customHeight="1" x14ac:dyDescent="0.25">
      <c r="A181" s="3">
        <v>174</v>
      </c>
      <c r="B181" s="8" t="s">
        <v>339</v>
      </c>
      <c r="C181" s="5" t="s">
        <v>340</v>
      </c>
      <c r="D181" s="6">
        <v>39380</v>
      </c>
      <c r="E181" s="6">
        <v>40410</v>
      </c>
      <c r="F181" s="7" t="s">
        <v>20</v>
      </c>
      <c r="G181" s="7">
        <v>1</v>
      </c>
      <c r="H181" s="7">
        <v>10</v>
      </c>
      <c r="I181" s="5" t="str">
        <f t="shared" si="3"/>
        <v>(174,'OD3','Pipeline OD3','2007-10-25','2010-08-20',NULL,1,10),</v>
      </c>
    </row>
    <row r="182" spans="1:9" ht="20.100000000000001" customHeight="1" x14ac:dyDescent="0.25">
      <c r="A182" s="3">
        <v>175</v>
      </c>
      <c r="B182" s="8" t="s">
        <v>341</v>
      </c>
      <c r="C182" s="5" t="s">
        <v>342</v>
      </c>
      <c r="D182" s="6" t="s">
        <v>343</v>
      </c>
      <c r="E182" s="6" t="s">
        <v>343</v>
      </c>
      <c r="F182" s="7" t="s">
        <v>20</v>
      </c>
      <c r="G182" s="7">
        <v>1</v>
      </c>
      <c r="H182" s="7">
        <v>10</v>
      </c>
      <c r="I182" s="5" t="str">
        <f t="shared" si="3"/>
        <v>(175,'NZ1','Pipeline NZ1','1978-11-01','1978-11-01',NULL,1,10),</v>
      </c>
    </row>
    <row r="183" spans="1:9" ht="20.100000000000001" customHeight="1" x14ac:dyDescent="0.25">
      <c r="A183" s="3">
        <v>176</v>
      </c>
      <c r="B183" s="8" t="s">
        <v>344</v>
      </c>
      <c r="C183" s="5" t="s">
        <v>345</v>
      </c>
      <c r="D183" s="6" t="s">
        <v>346</v>
      </c>
      <c r="E183" s="6" t="s">
        <v>346</v>
      </c>
      <c r="F183" s="7" t="s">
        <v>20</v>
      </c>
      <c r="G183" s="7">
        <v>1</v>
      </c>
      <c r="H183" s="7">
        <v>10</v>
      </c>
      <c r="I183" s="5" t="str">
        <f t="shared" si="3"/>
        <v>(176,'NK1','Pipeline NK1','2009-08-04','2009-08-04',NULL,1,10),</v>
      </c>
    </row>
    <row r="184" spans="1:9" ht="20.100000000000001" customHeight="1" x14ac:dyDescent="0.25">
      <c r="A184" s="3">
        <v>177</v>
      </c>
      <c r="B184" s="8" t="s">
        <v>347</v>
      </c>
      <c r="C184" s="5" t="s">
        <v>348</v>
      </c>
      <c r="D184" s="6" t="s">
        <v>349</v>
      </c>
      <c r="E184" s="6" t="s">
        <v>349</v>
      </c>
      <c r="F184" s="7" t="s">
        <v>20</v>
      </c>
      <c r="G184" s="7">
        <v>1</v>
      </c>
      <c r="H184" s="7">
        <v>10</v>
      </c>
      <c r="I184" s="5" t="str">
        <f t="shared" si="3"/>
        <v>(177,'NH2','Pipeline NH2','1960-01-01','1960-01-01',NULL,1,10),</v>
      </c>
    </row>
    <row r="185" spans="1:9" ht="20.100000000000001" customHeight="1" x14ac:dyDescent="0.25">
      <c r="A185" s="3">
        <v>178</v>
      </c>
      <c r="B185" s="8" t="s">
        <v>350</v>
      </c>
      <c r="C185" s="5" t="s">
        <v>351</v>
      </c>
      <c r="D185" s="19">
        <v>37639</v>
      </c>
      <c r="E185" s="19">
        <v>38647</v>
      </c>
      <c r="F185" s="7" t="s">
        <v>20</v>
      </c>
      <c r="G185" s="7">
        <v>1</v>
      </c>
      <c r="H185" s="7">
        <v>10</v>
      </c>
      <c r="I185" s="5" t="str">
        <f t="shared" si="3"/>
        <v>(178,'LNZ1','Pipeline LNZ1','2003-01-18','2005-10-22',NULL,1,10),</v>
      </c>
    </row>
    <row r="186" spans="1:9" ht="20.100000000000001" customHeight="1" x14ac:dyDescent="0.25">
      <c r="A186" s="3">
        <v>179</v>
      </c>
      <c r="B186" s="8" t="s">
        <v>352</v>
      </c>
      <c r="C186" s="5" t="s">
        <v>353</v>
      </c>
      <c r="D186" s="6" t="s">
        <v>354</v>
      </c>
      <c r="E186" s="6" t="s">
        <v>354</v>
      </c>
      <c r="F186" s="7" t="s">
        <v>20</v>
      </c>
      <c r="G186" s="7">
        <v>1</v>
      </c>
      <c r="H186" s="7">
        <v>10</v>
      </c>
      <c r="I186" s="5" t="str">
        <f t="shared" si="3"/>
        <v>(179,'LZ1','Pipeline LZ1','1984-02-08','1984-02-08',NULL,1,10),</v>
      </c>
    </row>
    <row r="187" spans="1:9" ht="20.100000000000001" customHeight="1" x14ac:dyDescent="0.25">
      <c r="A187" s="3">
        <v>180</v>
      </c>
      <c r="B187" s="8" t="s">
        <v>355</v>
      </c>
      <c r="C187" s="5" t="s">
        <v>356</v>
      </c>
      <c r="D187" s="6" t="s">
        <v>357</v>
      </c>
      <c r="E187" s="6" t="s">
        <v>357</v>
      </c>
      <c r="F187" s="7" t="s">
        <v>20</v>
      </c>
      <c r="G187" s="7">
        <v>1</v>
      </c>
      <c r="H187" s="7">
        <v>10</v>
      </c>
      <c r="I187" s="5" t="str">
        <f t="shared" si="3"/>
        <v>(180,'LZ2','Pipeline LZ2','2010-11-01','2010-11-01',NULL,1,10),</v>
      </c>
    </row>
    <row r="188" spans="1:9" ht="20.100000000000001" customHeight="1" x14ac:dyDescent="0.25">
      <c r="A188" s="3">
        <v>181</v>
      </c>
      <c r="B188" s="8" t="s">
        <v>358</v>
      </c>
      <c r="C188" s="5" t="s">
        <v>359</v>
      </c>
      <c r="D188" s="6" t="s">
        <v>360</v>
      </c>
      <c r="E188" s="6" t="s">
        <v>360</v>
      </c>
      <c r="F188" s="7" t="s">
        <v>20</v>
      </c>
      <c r="G188" s="7">
        <v>1</v>
      </c>
      <c r="H188" s="7">
        <v>10</v>
      </c>
      <c r="I188" s="5" t="str">
        <f t="shared" si="3"/>
        <v>(181,'LR1','Pipeline LR1','1996-01-01','1996-01-01',NULL,1,10),</v>
      </c>
    </row>
    <row r="189" spans="1:9" ht="20.100000000000001" customHeight="1" x14ac:dyDescent="0.25">
      <c r="A189" s="3">
        <v>182</v>
      </c>
      <c r="B189" s="8" t="s">
        <v>361</v>
      </c>
      <c r="C189" s="5" t="s">
        <v>362</v>
      </c>
      <c r="D189" s="6" t="s">
        <v>363</v>
      </c>
      <c r="E189" s="7" t="s">
        <v>363</v>
      </c>
      <c r="F189" s="7" t="s">
        <v>20</v>
      </c>
      <c r="G189" s="7">
        <v>1</v>
      </c>
      <c r="H189" s="7">
        <v>10</v>
      </c>
      <c r="I189" s="5" t="str">
        <f t="shared" si="3"/>
        <v>(182,'DLR1','Pipeline DLR1','2004-10-04','2004-10-04',NULL,1,10),</v>
      </c>
    </row>
    <row r="190" spans="1:9" ht="20.100000000000001" customHeight="1" x14ac:dyDescent="0.25">
      <c r="A190" s="3">
        <v>183</v>
      </c>
      <c r="B190" s="8" t="s">
        <v>364</v>
      </c>
      <c r="C190" s="5" t="s">
        <v>365</v>
      </c>
      <c r="D190" s="6" t="s">
        <v>366</v>
      </c>
      <c r="E190" s="7" t="s">
        <v>366</v>
      </c>
      <c r="F190" s="7" t="s">
        <v>20</v>
      </c>
      <c r="G190" s="7">
        <v>1</v>
      </c>
      <c r="H190" s="7">
        <v>10</v>
      </c>
      <c r="I190" s="5" t="str">
        <f t="shared" si="3"/>
        <v>(183,'ELR1','Pipeline ELR1','2014-01-01','2014-01-01',NULL,1,10),</v>
      </c>
    </row>
    <row r="191" spans="1:9" ht="20.100000000000001" customHeight="1" x14ac:dyDescent="0.25">
      <c r="A191" s="3">
        <v>184</v>
      </c>
      <c r="B191" s="8" t="s">
        <v>367</v>
      </c>
      <c r="C191" s="5" t="s">
        <v>368</v>
      </c>
      <c r="D191" s="6">
        <v>21976</v>
      </c>
      <c r="E191" s="6">
        <v>22372</v>
      </c>
      <c r="F191" s="7" t="s">
        <v>20</v>
      </c>
      <c r="G191" s="7">
        <v>1</v>
      </c>
      <c r="H191" s="7">
        <v>10</v>
      </c>
      <c r="I191" s="5" t="str">
        <f t="shared" si="3"/>
        <v>(184,'GZ0','Pipeline GZ0','1960-03-01','1961-04-01',NULL,1,10),</v>
      </c>
    </row>
    <row r="192" spans="1:9" ht="20.100000000000001" customHeight="1" x14ac:dyDescent="0.25">
      <c r="A192" s="3">
        <v>185</v>
      </c>
      <c r="B192" s="8" t="s">
        <v>369</v>
      </c>
      <c r="C192" s="5" t="s">
        <v>370</v>
      </c>
      <c r="D192" s="6" t="s">
        <v>371</v>
      </c>
      <c r="E192" s="7" t="s">
        <v>371</v>
      </c>
      <c r="F192" s="7" t="s">
        <v>20</v>
      </c>
      <c r="G192" s="7">
        <v>1</v>
      </c>
      <c r="H192" s="7">
        <v>10</v>
      </c>
      <c r="I192" s="5" t="str">
        <f t="shared" si="3"/>
        <v>(185,'GZ0 Bis','Pipeline GZ0 Bis','2022-09-01','2022-09-01',NULL,1,10),</v>
      </c>
    </row>
    <row r="193" spans="1:9" ht="20.100000000000001" customHeight="1" x14ac:dyDescent="0.25">
      <c r="A193" s="3">
        <v>186</v>
      </c>
      <c r="B193" s="8" t="s">
        <v>372</v>
      </c>
      <c r="C193" s="5" t="s">
        <v>373</v>
      </c>
      <c r="D193" s="6" t="s">
        <v>374</v>
      </c>
      <c r="E193" s="7" t="s">
        <v>374</v>
      </c>
      <c r="F193" s="7" t="s">
        <v>20</v>
      </c>
      <c r="G193" s="7">
        <v>1</v>
      </c>
      <c r="H193" s="7">
        <v>10</v>
      </c>
      <c r="I193" s="5" t="str">
        <f t="shared" si="3"/>
        <v>(186,'GZ1','Pipeline GZ1','1976-01-01','1976-01-01',NULL,1,10),</v>
      </c>
    </row>
    <row r="194" spans="1:9" ht="20.100000000000001" customHeight="1" x14ac:dyDescent="0.25">
      <c r="A194" s="3">
        <v>187</v>
      </c>
      <c r="B194" s="8" t="s">
        <v>375</v>
      </c>
      <c r="C194" s="5" t="s">
        <v>376</v>
      </c>
      <c r="D194" s="6" t="s">
        <v>321</v>
      </c>
      <c r="E194" s="7" t="s">
        <v>321</v>
      </c>
      <c r="F194" s="7" t="s">
        <v>20</v>
      </c>
      <c r="G194" s="7">
        <v>1</v>
      </c>
      <c r="H194" s="7">
        <v>10</v>
      </c>
      <c r="I194" s="5" t="str">
        <f t="shared" si="3"/>
        <v>(187,'GZ2','Pipeline GZ2','1982-01-01','1982-01-01',NULL,1,10),</v>
      </c>
    </row>
    <row r="195" spans="1:9" ht="20.100000000000001" customHeight="1" x14ac:dyDescent="0.25">
      <c r="A195" s="3">
        <v>188</v>
      </c>
      <c r="B195" s="8" t="s">
        <v>377</v>
      </c>
      <c r="C195" s="5" t="s">
        <v>378</v>
      </c>
      <c r="D195" s="6">
        <v>37333</v>
      </c>
      <c r="E195" s="6">
        <v>38405</v>
      </c>
      <c r="F195" s="7" t="s">
        <v>20</v>
      </c>
      <c r="G195" s="7">
        <v>1</v>
      </c>
      <c r="H195" s="7">
        <v>10</v>
      </c>
      <c r="I195" s="5" t="str">
        <f t="shared" si="3"/>
        <v>(188,'RGZ2','Pipeline RGZ2','2002-03-18','2005-02-22',NULL,1,10),</v>
      </c>
    </row>
    <row r="196" spans="1:9" ht="20.100000000000001" customHeight="1" x14ac:dyDescent="0.25">
      <c r="A196" s="3">
        <v>189</v>
      </c>
      <c r="B196" s="8" t="s">
        <v>379</v>
      </c>
      <c r="C196" s="5" t="s">
        <v>380</v>
      </c>
      <c r="D196" s="6" t="s">
        <v>381</v>
      </c>
      <c r="E196" s="7" t="s">
        <v>381</v>
      </c>
      <c r="F196" s="7" t="s">
        <v>20</v>
      </c>
      <c r="G196" s="7">
        <v>1</v>
      </c>
      <c r="H196" s="7">
        <v>10</v>
      </c>
      <c r="I196" s="5" t="str">
        <f t="shared" si="3"/>
        <v>(189,'GZ3','Pipeline GZ3','1989-01-01','1989-01-01',NULL,1,10),</v>
      </c>
    </row>
    <row r="197" spans="1:9" ht="20.100000000000001" customHeight="1" x14ac:dyDescent="0.25">
      <c r="A197" s="3">
        <v>190</v>
      </c>
      <c r="B197" s="8" t="s">
        <v>382</v>
      </c>
      <c r="C197" s="5" t="s">
        <v>383</v>
      </c>
      <c r="D197" s="6" t="s">
        <v>384</v>
      </c>
      <c r="E197" s="7" t="s">
        <v>384</v>
      </c>
      <c r="F197" s="7" t="s">
        <v>20</v>
      </c>
      <c r="G197" s="7">
        <v>1</v>
      </c>
      <c r="H197" s="7">
        <v>10</v>
      </c>
      <c r="I197" s="5" t="str">
        <f t="shared" si="3"/>
        <v>(190,'RGZ3-01','Pipeline RGZ3-01','2018-01-01','2018-01-01',NULL,1,10),</v>
      </c>
    </row>
    <row r="198" spans="1:9" ht="20.100000000000001" customHeight="1" x14ac:dyDescent="0.25">
      <c r="A198" s="3">
        <v>191</v>
      </c>
      <c r="B198" s="8" t="s">
        <v>385</v>
      </c>
      <c r="C198" s="5" t="s">
        <v>386</v>
      </c>
      <c r="D198" s="6">
        <v>37753</v>
      </c>
      <c r="E198" s="6">
        <v>38949</v>
      </c>
      <c r="F198" s="7" t="s">
        <v>20</v>
      </c>
      <c r="G198" s="7">
        <v>1</v>
      </c>
      <c r="H198" s="7">
        <v>10</v>
      </c>
      <c r="I198" s="5" t="str">
        <f t="shared" si="3"/>
        <v>(191,'RGZ3-02','Pipeline RGZ3-02','2003-05-12','2006-08-20',NULL,1,10),</v>
      </c>
    </row>
    <row r="199" spans="1:9" ht="20.100000000000001" customHeight="1" x14ac:dyDescent="0.25">
      <c r="A199" s="3">
        <v>192</v>
      </c>
      <c r="B199" s="8" t="s">
        <v>387</v>
      </c>
      <c r="C199" s="5" t="s">
        <v>388</v>
      </c>
      <c r="D199" s="6" t="s">
        <v>389</v>
      </c>
      <c r="E199" s="6" t="s">
        <v>389</v>
      </c>
      <c r="F199" s="7" t="s">
        <v>20</v>
      </c>
      <c r="G199" s="7">
        <v>1</v>
      </c>
      <c r="H199" s="7">
        <v>10</v>
      </c>
      <c r="I199" s="5" t="str">
        <f t="shared" si="3"/>
        <v>(192,'GZ4-01','Pipeline GZ4-01','2010-04-16','2010-04-16',NULL,1,10),</v>
      </c>
    </row>
    <row r="200" spans="1:9" ht="20.100000000000001" customHeight="1" x14ac:dyDescent="0.25">
      <c r="A200" s="3">
        <v>193</v>
      </c>
      <c r="B200" s="8" t="s">
        <v>390</v>
      </c>
      <c r="C200" s="5" t="s">
        <v>391</v>
      </c>
      <c r="D200" s="6">
        <v>38006</v>
      </c>
      <c r="E200" s="6">
        <v>39018</v>
      </c>
      <c r="F200" s="7" t="s">
        <v>20</v>
      </c>
      <c r="G200" s="7">
        <v>1</v>
      </c>
      <c r="H200" s="7">
        <v>10</v>
      </c>
      <c r="I200" s="5" t="str">
        <f t="shared" si="3"/>
        <v>(193,'GZ4-02','Pipeline GZ4-02','2004-01-20','2006-10-28',NULL,1,10),</v>
      </c>
    </row>
    <row r="201" spans="1:9" ht="20.100000000000001" customHeight="1" x14ac:dyDescent="0.25">
      <c r="A201" s="3">
        <v>194</v>
      </c>
      <c r="B201" s="8" t="s">
        <v>392</v>
      </c>
      <c r="C201" s="5" t="s">
        <v>393</v>
      </c>
      <c r="D201" s="6">
        <v>38398</v>
      </c>
      <c r="E201" s="6">
        <v>39416</v>
      </c>
      <c r="F201" s="7" t="s">
        <v>20</v>
      </c>
      <c r="G201" s="7">
        <v>1</v>
      </c>
      <c r="H201" s="7">
        <v>10</v>
      </c>
      <c r="I201" s="5" t="str">
        <f t="shared" si="3"/>
        <v>(194,'GZ4-03','Pipeline GZ4-03','2005-02-15','2007-11-30',NULL,1,10),</v>
      </c>
    </row>
    <row r="202" spans="1:9" ht="20.100000000000001" customHeight="1" x14ac:dyDescent="0.25">
      <c r="A202" s="3">
        <v>195</v>
      </c>
      <c r="B202" s="8" t="s">
        <v>394</v>
      </c>
      <c r="C202" s="5" t="s">
        <v>395</v>
      </c>
      <c r="D202" s="6" t="s">
        <v>396</v>
      </c>
      <c r="E202" s="6" t="s">
        <v>397</v>
      </c>
      <c r="F202" s="7" t="s">
        <v>20</v>
      </c>
      <c r="G202" s="7">
        <v>1</v>
      </c>
      <c r="H202" s="7">
        <v>10</v>
      </c>
      <c r="I202" s="5" t="str">
        <f t="shared" si="3"/>
        <v>(195,'GK1','Pipeline GK1','1971-01-01','1978-01-01',NULL,1,10),</v>
      </c>
    </row>
    <row r="203" spans="1:9" ht="20.100000000000001" customHeight="1" x14ac:dyDescent="0.25">
      <c r="A203" s="3">
        <v>196</v>
      </c>
      <c r="B203" s="8" t="s">
        <v>398</v>
      </c>
      <c r="C203" s="5" t="s">
        <v>399</v>
      </c>
      <c r="D203" s="6" t="s">
        <v>400</v>
      </c>
      <c r="E203" s="6" t="s">
        <v>401</v>
      </c>
      <c r="F203" s="7" t="s">
        <v>20</v>
      </c>
      <c r="G203" s="7">
        <v>1</v>
      </c>
      <c r="H203" s="7">
        <v>10</v>
      </c>
      <c r="I203" s="5" t="str">
        <f t="shared" si="3"/>
        <v>(196,'GK2','Pipeline GK2','1998-01-01','2001-01-01',NULL,1,10),</v>
      </c>
    </row>
    <row r="204" spans="1:9" ht="20.100000000000001" customHeight="1" x14ac:dyDescent="0.25">
      <c r="A204" s="3">
        <v>197</v>
      </c>
      <c r="B204" s="8" t="s">
        <v>402</v>
      </c>
      <c r="C204" s="5" t="s">
        <v>403</v>
      </c>
      <c r="D204" s="6" t="s">
        <v>404</v>
      </c>
      <c r="E204" s="6" t="s">
        <v>404</v>
      </c>
      <c r="F204" s="7" t="s">
        <v>20</v>
      </c>
      <c r="G204" s="7">
        <v>1</v>
      </c>
      <c r="H204" s="7">
        <v>10</v>
      </c>
      <c r="I204" s="5" t="str">
        <f t="shared" si="3"/>
        <v>(197,'GK3-01','Pipeline GK3-01','2012-01-01','2012-01-01',NULL,1,10),</v>
      </c>
    </row>
    <row r="205" spans="1:9" ht="20.100000000000001" customHeight="1" x14ac:dyDescent="0.25">
      <c r="A205" s="3">
        <v>198</v>
      </c>
      <c r="B205" s="8" t="s">
        <v>405</v>
      </c>
      <c r="C205" s="5" t="s">
        <v>406</v>
      </c>
      <c r="D205" s="6">
        <v>37700</v>
      </c>
      <c r="E205" s="6">
        <v>38640</v>
      </c>
      <c r="F205" s="7" t="s">
        <v>20</v>
      </c>
      <c r="G205" s="7">
        <v>1</v>
      </c>
      <c r="H205" s="7">
        <v>10</v>
      </c>
      <c r="I205" s="5" t="str">
        <f t="shared" si="3"/>
        <v>(198,'GK3-02','Pipeline GK3-02','2003-03-20','2005-10-15',NULL,1,10),</v>
      </c>
    </row>
    <row r="206" spans="1:9" ht="20.100000000000001" customHeight="1" x14ac:dyDescent="0.25">
      <c r="A206" s="3">
        <v>199</v>
      </c>
      <c r="B206" s="8" t="s">
        <v>407</v>
      </c>
      <c r="C206" s="5" t="s">
        <v>408</v>
      </c>
      <c r="D206" s="6" t="s">
        <v>409</v>
      </c>
      <c r="E206" s="6" t="s">
        <v>409</v>
      </c>
      <c r="F206" s="7" t="s">
        <v>20</v>
      </c>
      <c r="G206" s="7">
        <v>1</v>
      </c>
      <c r="H206" s="7">
        <v>10</v>
      </c>
      <c r="I206" s="5" t="str">
        <f t="shared" si="3"/>
        <v>(199,'GG1','Pipeline GG1','1981-01-01','1981-01-01',NULL,1,10),</v>
      </c>
    </row>
    <row r="207" spans="1:9" ht="20.100000000000001" customHeight="1" x14ac:dyDescent="0.25">
      <c r="A207" s="3">
        <v>200</v>
      </c>
      <c r="B207" s="8" t="s">
        <v>410</v>
      </c>
      <c r="C207" s="5" t="s">
        <v>411</v>
      </c>
      <c r="D207" s="6" t="s">
        <v>412</v>
      </c>
      <c r="E207" s="6" t="s">
        <v>412</v>
      </c>
      <c r="F207" s="7" t="s">
        <v>20</v>
      </c>
      <c r="G207" s="7">
        <v>1</v>
      </c>
      <c r="H207" s="7">
        <v>10</v>
      </c>
      <c r="I207" s="5" t="str">
        <f t="shared" si="3"/>
        <v>(200,'RGG1','Pipeline RGG1','2019-01-01','2019-01-01',NULL,1,10),</v>
      </c>
    </row>
    <row r="208" spans="1:9" ht="20.100000000000001" customHeight="1" x14ac:dyDescent="0.25">
      <c r="A208" s="3">
        <v>201</v>
      </c>
      <c r="B208" s="8" t="s">
        <v>413</v>
      </c>
      <c r="C208" s="5" t="s">
        <v>414</v>
      </c>
      <c r="D208" s="6">
        <v>34222</v>
      </c>
      <c r="E208" s="6">
        <v>35389</v>
      </c>
      <c r="F208" s="7" t="s">
        <v>20</v>
      </c>
      <c r="G208" s="7">
        <v>1</v>
      </c>
      <c r="H208" s="7">
        <v>10</v>
      </c>
      <c r="I208" s="5" t="str">
        <f t="shared" si="3"/>
        <v>(201,'GM1','Pipeline GM1','1993-09-10','1996-11-20',NULL,1,10),</v>
      </c>
    </row>
    <row r="209" spans="1:9" ht="20.100000000000001" customHeight="1" x14ac:dyDescent="0.25">
      <c r="A209" s="3">
        <v>202</v>
      </c>
      <c r="B209" s="8" t="s">
        <v>415</v>
      </c>
      <c r="C209" s="5" t="s">
        <v>416</v>
      </c>
      <c r="D209" s="6" t="s">
        <v>417</v>
      </c>
      <c r="E209" s="6" t="s">
        <v>417</v>
      </c>
      <c r="F209" s="7" t="s">
        <v>20</v>
      </c>
      <c r="G209" s="7">
        <v>1</v>
      </c>
      <c r="H209" s="7">
        <v>10</v>
      </c>
      <c r="I209" s="5" t="str">
        <f t="shared" si="3"/>
        <v>(202,'GR1','Pipeline GR1','1986-01-01','1986-01-01',NULL,1,10),</v>
      </c>
    </row>
    <row r="210" spans="1:9" ht="20.100000000000001" customHeight="1" x14ac:dyDescent="0.25">
      <c r="A210" s="3">
        <v>203</v>
      </c>
      <c r="B210" s="8" t="s">
        <v>418</v>
      </c>
      <c r="C210" s="5" t="s">
        <v>419</v>
      </c>
      <c r="D210" s="6" t="s">
        <v>420</v>
      </c>
      <c r="E210" s="6" t="s">
        <v>420</v>
      </c>
      <c r="F210" s="7" t="s">
        <v>20</v>
      </c>
      <c r="G210" s="7">
        <v>1</v>
      </c>
      <c r="H210" s="7">
        <v>10</v>
      </c>
      <c r="I210" s="5" t="str">
        <f t="shared" si="3"/>
        <v>(203,'GR2','Pipeline GR2','1999-01-01','1999-01-01',NULL,1,10),</v>
      </c>
    </row>
    <row r="211" spans="1:9" ht="20.100000000000001" customHeight="1" x14ac:dyDescent="0.25">
      <c r="A211" s="3">
        <v>204</v>
      </c>
      <c r="B211" s="8" t="s">
        <v>421</v>
      </c>
      <c r="C211" s="5" t="s">
        <v>422</v>
      </c>
      <c r="D211" s="6">
        <v>38064</v>
      </c>
      <c r="E211" s="6">
        <v>39285</v>
      </c>
      <c r="F211" s="7" t="s">
        <v>20</v>
      </c>
      <c r="G211" s="7">
        <v>1</v>
      </c>
      <c r="H211" s="7">
        <v>10</v>
      </c>
      <c r="I211" s="5" t="str">
        <f t="shared" si="3"/>
        <v>(204,'GR3','Pipeline GR3','2004-03-18','2007-07-22',NULL,1,10),</v>
      </c>
    </row>
    <row r="212" spans="1:9" ht="20.100000000000001" customHeight="1" x14ac:dyDescent="0.25">
      <c r="A212" s="3">
        <v>205</v>
      </c>
      <c r="B212" s="8" t="s">
        <v>423</v>
      </c>
      <c r="C212" s="5" t="s">
        <v>424</v>
      </c>
      <c r="D212" s="6" t="s">
        <v>366</v>
      </c>
      <c r="E212" s="6" t="s">
        <v>366</v>
      </c>
      <c r="F212" s="7" t="s">
        <v>20</v>
      </c>
      <c r="G212" s="7">
        <v>1</v>
      </c>
      <c r="H212" s="7">
        <v>10</v>
      </c>
      <c r="I212" s="5" t="str">
        <f t="shared" ref="I212:I236" si="4">CONCATENATE("(",A212,",'",B212,"','",C212,"','",TEXT(D212,"aaaa-mm-jj"),"','",TEXT(E212,"aaaa-mm-jj"),"',",F212,",",G212,",",H212,"),")</f>
        <v>(205,'GR4','Pipeline GR4','2014-01-01','2014-01-01',NULL,1,10),</v>
      </c>
    </row>
    <row r="213" spans="1:9" ht="20.100000000000001" customHeight="1" x14ac:dyDescent="0.25">
      <c r="A213" s="3">
        <v>206</v>
      </c>
      <c r="B213" s="8" t="s">
        <v>425</v>
      </c>
      <c r="C213" s="5" t="s">
        <v>426</v>
      </c>
      <c r="D213" s="6" t="s">
        <v>427</v>
      </c>
      <c r="E213" s="6" t="s">
        <v>427</v>
      </c>
      <c r="F213" s="7" t="s">
        <v>20</v>
      </c>
      <c r="G213" s="7">
        <v>1</v>
      </c>
      <c r="H213" s="7">
        <v>10</v>
      </c>
      <c r="I213" s="5" t="str">
        <f t="shared" si="4"/>
        <v>(206,'GR5','Pipeline GR5','2017-06-01','2017-06-01',NULL,1,10),</v>
      </c>
    </row>
    <row r="214" spans="1:9" ht="20.100000000000001" customHeight="1" x14ac:dyDescent="0.25">
      <c r="A214" s="3">
        <v>207</v>
      </c>
      <c r="B214" s="8" t="s">
        <v>428</v>
      </c>
      <c r="C214" s="5" t="s">
        <v>429</v>
      </c>
      <c r="D214" s="6" t="s">
        <v>430</v>
      </c>
      <c r="E214" s="6" t="s">
        <v>430</v>
      </c>
      <c r="F214" s="7" t="s">
        <v>20</v>
      </c>
      <c r="G214" s="7">
        <v>1</v>
      </c>
      <c r="H214" s="7">
        <v>10</v>
      </c>
      <c r="I214" s="5" t="str">
        <f t="shared" si="4"/>
        <v>(207,'GR6','Pipeline GR6','2017-01-01','2017-01-01',NULL,1,10),</v>
      </c>
    </row>
    <row r="215" spans="1:9" ht="20.100000000000001" customHeight="1" x14ac:dyDescent="0.25">
      <c r="A215" s="3">
        <v>208</v>
      </c>
      <c r="B215" s="8" t="s">
        <v>431</v>
      </c>
      <c r="C215" s="5" t="s">
        <v>432</v>
      </c>
      <c r="D215" s="6" t="s">
        <v>433</v>
      </c>
      <c r="E215" s="6" t="s">
        <v>433</v>
      </c>
      <c r="F215" s="7" t="s">
        <v>20</v>
      </c>
      <c r="G215" s="7">
        <v>1</v>
      </c>
      <c r="H215" s="7">
        <v>10</v>
      </c>
      <c r="I215" s="5" t="str">
        <f t="shared" si="4"/>
        <v>(208,'GR7','Pipeline GR7','2019-12-01','2019-12-01',NULL,1,10),</v>
      </c>
    </row>
    <row r="216" spans="1:9" ht="20.100000000000001" customHeight="1" x14ac:dyDescent="0.25">
      <c r="A216" s="3">
        <v>209</v>
      </c>
      <c r="B216" s="8" t="s">
        <v>434</v>
      </c>
      <c r="C216" s="5" t="s">
        <v>435</v>
      </c>
      <c r="D216" s="6" t="s">
        <v>360</v>
      </c>
      <c r="E216" s="6" t="s">
        <v>360</v>
      </c>
      <c r="F216" s="7" t="s">
        <v>20</v>
      </c>
      <c r="G216" s="7">
        <v>1</v>
      </c>
      <c r="H216" s="7">
        <v>10</v>
      </c>
      <c r="I216" s="5" t="str">
        <f t="shared" si="4"/>
        <v>(209,'GPDF','Pipeline GPDF','1996-01-01','1996-01-01',NULL,1,10),</v>
      </c>
    </row>
    <row r="217" spans="1:9" ht="20.100000000000001" customHeight="1" x14ac:dyDescent="0.25">
      <c r="A217" s="3">
        <v>210</v>
      </c>
      <c r="B217" s="8" t="s">
        <v>436</v>
      </c>
      <c r="C217" s="5" t="s">
        <v>437</v>
      </c>
      <c r="D217" s="6" t="s">
        <v>438</v>
      </c>
      <c r="E217" s="6" t="s">
        <v>438</v>
      </c>
      <c r="F217" s="7" t="s">
        <v>20</v>
      </c>
      <c r="G217" s="7">
        <v>1</v>
      </c>
      <c r="H217" s="7">
        <v>10</v>
      </c>
      <c r="I217" s="5" t="str">
        <f t="shared" si="4"/>
        <v>(210,'EGPDF','Pipeline EGPDF','2021-01-01','2021-01-01',NULL,1,10),</v>
      </c>
    </row>
    <row r="218" spans="1:9" ht="20.100000000000001" customHeight="1" x14ac:dyDescent="0.25">
      <c r="A218" s="3">
        <v>211</v>
      </c>
      <c r="B218" s="8" t="s">
        <v>439</v>
      </c>
      <c r="C218" s="5" t="s">
        <v>440</v>
      </c>
      <c r="D218" s="6" t="s">
        <v>321</v>
      </c>
      <c r="E218" s="6" t="s">
        <v>321</v>
      </c>
      <c r="F218" s="7" t="s">
        <v>20</v>
      </c>
      <c r="G218" s="7">
        <v>1</v>
      </c>
      <c r="H218" s="7">
        <v>10</v>
      </c>
      <c r="I218" s="5" t="str">
        <f t="shared" si="4"/>
        <v>(211,'GO1','Pipeline GO1','1982-01-01','1982-01-01',NULL,1,10),</v>
      </c>
    </row>
    <row r="219" spans="1:9" ht="20.100000000000001" customHeight="1" x14ac:dyDescent="0.25">
      <c r="A219" s="3">
        <v>212</v>
      </c>
      <c r="B219" s="8" t="s">
        <v>441</v>
      </c>
      <c r="C219" s="5" t="s">
        <v>442</v>
      </c>
      <c r="D219" s="6" t="s">
        <v>443</v>
      </c>
      <c r="E219" s="7" t="s">
        <v>443</v>
      </c>
      <c r="F219" s="7" t="s">
        <v>20</v>
      </c>
      <c r="G219" s="7">
        <v>1</v>
      </c>
      <c r="H219" s="7">
        <v>10</v>
      </c>
      <c r="I219" s="5" t="str">
        <f t="shared" si="4"/>
        <v>(212,'GO2','Pipeline GO2','1987-01-01','1987-01-01',NULL,1,10),</v>
      </c>
    </row>
    <row r="220" spans="1:9" ht="20.100000000000001" customHeight="1" x14ac:dyDescent="0.25">
      <c r="A220" s="3">
        <v>213</v>
      </c>
      <c r="B220" s="8" t="s">
        <v>444</v>
      </c>
      <c r="C220" s="5" t="s">
        <v>445</v>
      </c>
      <c r="D220" s="6" t="s">
        <v>446</v>
      </c>
      <c r="E220" s="7" t="s">
        <v>447</v>
      </c>
      <c r="F220" s="7" t="s">
        <v>20</v>
      </c>
      <c r="G220" s="7">
        <v>1</v>
      </c>
      <c r="H220" s="7">
        <v>10</v>
      </c>
      <c r="I220" s="5" t="str">
        <f t="shared" si="4"/>
        <v>(213,'GO3','Pipeline GO3','2008-01-01','2010-01-01',NULL,1,10),</v>
      </c>
    </row>
    <row r="221" spans="1:9" ht="20.100000000000001" customHeight="1" x14ac:dyDescent="0.25">
      <c r="A221" s="3">
        <v>214</v>
      </c>
      <c r="B221" s="8" t="s">
        <v>448</v>
      </c>
      <c r="C221" s="5" t="s">
        <v>449</v>
      </c>
      <c r="D221" s="6">
        <v>24053</v>
      </c>
      <c r="E221" s="7" t="s">
        <v>20</v>
      </c>
      <c r="F221" s="7" t="s">
        <v>20</v>
      </c>
      <c r="G221" s="7">
        <v>1</v>
      </c>
      <c r="H221" s="7">
        <v>10</v>
      </c>
      <c r="I221" s="5" t="str">
        <f t="shared" si="4"/>
        <v>(214,'S01-OZ1','Segment 01-OZ1','1965-11-07','NULL',NULL,1,10),</v>
      </c>
    </row>
    <row r="222" spans="1:9" ht="20.100000000000001" customHeight="1" x14ac:dyDescent="0.25">
      <c r="A222" s="3">
        <v>215</v>
      </c>
      <c r="B222" s="8" t="s">
        <v>450</v>
      </c>
      <c r="C222" s="5" t="s">
        <v>451</v>
      </c>
      <c r="D222" s="6">
        <v>24053</v>
      </c>
      <c r="E222" s="7" t="s">
        <v>20</v>
      </c>
      <c r="F222" s="7" t="s">
        <v>20</v>
      </c>
      <c r="G222" s="7">
        <v>1</v>
      </c>
      <c r="H222" s="7">
        <v>10</v>
      </c>
      <c r="I222" s="5" t="str">
        <f t="shared" si="4"/>
        <v>(215,'S02-OZ1','Segment 02-OZ1','1965-11-07','NULL',NULL,1,10),</v>
      </c>
    </row>
    <row r="223" spans="1:9" ht="20.100000000000001" customHeight="1" x14ac:dyDescent="0.25">
      <c r="A223" s="3">
        <v>216</v>
      </c>
      <c r="B223" s="8" t="s">
        <v>452</v>
      </c>
      <c r="C223" s="5" t="s">
        <v>453</v>
      </c>
      <c r="D223" s="6">
        <v>24053</v>
      </c>
      <c r="E223" s="7" t="s">
        <v>20</v>
      </c>
      <c r="F223" s="7" t="s">
        <v>20</v>
      </c>
      <c r="G223" s="7">
        <v>1</v>
      </c>
      <c r="H223" s="7">
        <v>10</v>
      </c>
      <c r="I223" s="5" t="str">
        <f t="shared" si="4"/>
        <v>(216,'S03-OZ1','Segment 03-OZ1','1965-11-07','NULL',NULL,1,10),</v>
      </c>
    </row>
    <row r="224" spans="1:9" ht="20.100000000000001" customHeight="1" x14ac:dyDescent="0.25">
      <c r="A224" s="3">
        <v>217</v>
      </c>
      <c r="B224" s="8" t="s">
        <v>454</v>
      </c>
      <c r="C224" s="5" t="s">
        <v>455</v>
      </c>
      <c r="D224" s="6">
        <v>24053</v>
      </c>
      <c r="E224" s="7" t="s">
        <v>20</v>
      </c>
      <c r="F224" s="7" t="s">
        <v>20</v>
      </c>
      <c r="G224" s="7">
        <v>1</v>
      </c>
      <c r="H224" s="7">
        <v>10</v>
      </c>
      <c r="I224" s="5" t="str">
        <f t="shared" si="4"/>
        <v>(217,'S04-OZ1','Segment 04-OZ1','1965-11-07','NULL',NULL,1,10),</v>
      </c>
    </row>
    <row r="225" spans="1:9" ht="20.100000000000001" customHeight="1" x14ac:dyDescent="0.25">
      <c r="A225" s="3">
        <v>218</v>
      </c>
      <c r="B225" s="8" t="s">
        <v>456</v>
      </c>
      <c r="C225" s="5" t="s">
        <v>457</v>
      </c>
      <c r="D225" s="6">
        <v>24053</v>
      </c>
      <c r="E225" s="7" t="s">
        <v>20</v>
      </c>
      <c r="F225" s="7" t="s">
        <v>20</v>
      </c>
      <c r="G225" s="7">
        <v>1</v>
      </c>
      <c r="H225" s="7">
        <v>10</v>
      </c>
      <c r="I225" s="5" t="str">
        <f t="shared" si="4"/>
        <v>(218,'S05-OZ1','Segment 05-OZ1','1965-11-07','NULL',NULL,1,10),</v>
      </c>
    </row>
    <row r="226" spans="1:9" ht="20.100000000000001" customHeight="1" x14ac:dyDescent="0.25">
      <c r="A226" s="3">
        <v>219</v>
      </c>
      <c r="B226" s="8" t="s">
        <v>458</v>
      </c>
      <c r="C226" s="5" t="s">
        <v>459</v>
      </c>
      <c r="D226" s="6">
        <v>24053</v>
      </c>
      <c r="E226" s="7" t="s">
        <v>20</v>
      </c>
      <c r="F226" s="7" t="s">
        <v>20</v>
      </c>
      <c r="G226" s="7">
        <v>1</v>
      </c>
      <c r="H226" s="7">
        <v>10</v>
      </c>
      <c r="I226" s="5" t="str">
        <f t="shared" si="4"/>
        <v>(219,'S06-OZ1','Segment 06-OZ1','1965-11-07','NULL',NULL,1,10),</v>
      </c>
    </row>
    <row r="227" spans="1:9" ht="20.100000000000001" customHeight="1" x14ac:dyDescent="0.25">
      <c r="A227" s="3">
        <v>220</v>
      </c>
      <c r="B227" s="8" t="s">
        <v>460</v>
      </c>
      <c r="C227" s="5" t="s">
        <v>461</v>
      </c>
      <c r="D227" s="6">
        <v>24053</v>
      </c>
      <c r="E227" s="7" t="s">
        <v>20</v>
      </c>
      <c r="F227" s="7" t="s">
        <v>20</v>
      </c>
      <c r="G227" s="7">
        <v>1</v>
      </c>
      <c r="H227" s="7">
        <v>10</v>
      </c>
      <c r="I227" s="5" t="str">
        <f t="shared" si="4"/>
        <v>(220,'S07-OZ1','Segment 07-OZ1','1965-11-07','NULL',NULL,1,10),</v>
      </c>
    </row>
    <row r="228" spans="1:9" ht="20.100000000000001" customHeight="1" x14ac:dyDescent="0.25">
      <c r="A228" s="3">
        <v>221</v>
      </c>
      <c r="B228" s="8" t="s">
        <v>462</v>
      </c>
      <c r="C228" s="5" t="s">
        <v>463</v>
      </c>
      <c r="D228" s="6">
        <v>37851</v>
      </c>
      <c r="E228" s="7" t="s">
        <v>20</v>
      </c>
      <c r="F228" s="7" t="s">
        <v>20</v>
      </c>
      <c r="G228" s="7">
        <v>1</v>
      </c>
      <c r="H228" s="7">
        <v>10</v>
      </c>
      <c r="I228" s="5" t="str">
        <f t="shared" si="4"/>
        <v>(221,'S01-OZ2','Segment 01-OZ2','2003-08-18','NULL',NULL,1,10),</v>
      </c>
    </row>
    <row r="229" spans="1:9" ht="20.100000000000001" customHeight="1" x14ac:dyDescent="0.25">
      <c r="A229" s="3">
        <v>222</v>
      </c>
      <c r="B229" s="8" t="s">
        <v>464</v>
      </c>
      <c r="C229" s="5" t="s">
        <v>465</v>
      </c>
      <c r="D229" s="6">
        <v>37851</v>
      </c>
      <c r="E229" s="7" t="s">
        <v>20</v>
      </c>
      <c r="F229" s="7" t="s">
        <v>20</v>
      </c>
      <c r="G229" s="7">
        <v>1</v>
      </c>
      <c r="H229" s="7">
        <v>10</v>
      </c>
      <c r="I229" s="5" t="str">
        <f t="shared" si="4"/>
        <v>(222,'S02-OZ2','Segment 02-OZ2','2003-08-18','NULL',NULL,1,10),</v>
      </c>
    </row>
    <row r="230" spans="1:9" ht="20.100000000000001" customHeight="1" x14ac:dyDescent="0.25">
      <c r="A230" s="3">
        <v>223</v>
      </c>
      <c r="B230" s="8" t="s">
        <v>466</v>
      </c>
      <c r="C230" s="5" t="s">
        <v>467</v>
      </c>
      <c r="D230" s="6">
        <v>37851</v>
      </c>
      <c r="E230" s="7" t="s">
        <v>20</v>
      </c>
      <c r="F230" s="7" t="s">
        <v>20</v>
      </c>
      <c r="G230" s="7">
        <v>1</v>
      </c>
      <c r="H230" s="7">
        <v>10</v>
      </c>
      <c r="I230" s="5" t="str">
        <f t="shared" si="4"/>
        <v>(223,'S03-OZ2','Segment 03-OZ2','2003-08-18','NULL',NULL,1,10),</v>
      </c>
    </row>
    <row r="231" spans="1:9" ht="20.100000000000001" customHeight="1" x14ac:dyDescent="0.25">
      <c r="A231" s="3">
        <v>224</v>
      </c>
      <c r="B231" s="8" t="s">
        <v>468</v>
      </c>
      <c r="C231" s="5" t="s">
        <v>469</v>
      </c>
      <c r="D231" s="6">
        <v>37851</v>
      </c>
      <c r="E231" s="7" t="s">
        <v>20</v>
      </c>
      <c r="F231" s="7" t="s">
        <v>20</v>
      </c>
      <c r="G231" s="7">
        <v>1</v>
      </c>
      <c r="H231" s="7">
        <v>10</v>
      </c>
      <c r="I231" s="5" t="str">
        <f t="shared" si="4"/>
        <v>(224,'S04-OZ2','Segment 04-OZ2','2003-08-18','NULL',NULL,1,10),</v>
      </c>
    </row>
    <row r="232" spans="1:9" ht="20.100000000000001" customHeight="1" x14ac:dyDescent="0.25">
      <c r="A232" s="3">
        <v>225</v>
      </c>
      <c r="B232" s="8" t="s">
        <v>470</v>
      </c>
      <c r="C232" s="5" t="s">
        <v>471</v>
      </c>
      <c r="D232" s="6">
        <v>37851</v>
      </c>
      <c r="E232" s="7" t="s">
        <v>20</v>
      </c>
      <c r="F232" s="7" t="s">
        <v>20</v>
      </c>
      <c r="G232" s="7">
        <v>1</v>
      </c>
      <c r="H232" s="7">
        <v>10</v>
      </c>
      <c r="I232" s="5" t="str">
        <f t="shared" si="4"/>
        <v>(225,'S05-OZ2','Segment 05-OZ2','2003-08-18','NULL',NULL,1,10),</v>
      </c>
    </row>
    <row r="233" spans="1:9" ht="20.100000000000001" customHeight="1" x14ac:dyDescent="0.25">
      <c r="A233" s="3">
        <v>226</v>
      </c>
      <c r="B233" s="8" t="s">
        <v>472</v>
      </c>
      <c r="C233" s="5" t="s">
        <v>473</v>
      </c>
      <c r="D233" s="6">
        <v>37851</v>
      </c>
      <c r="E233" s="7" t="s">
        <v>20</v>
      </c>
      <c r="F233" s="7" t="s">
        <v>20</v>
      </c>
      <c r="G233" s="7">
        <v>1</v>
      </c>
      <c r="H233" s="7">
        <v>10</v>
      </c>
      <c r="I233" s="5" t="str">
        <f t="shared" si="4"/>
        <v>(226,'S06-OZ2','Segment 06-OZ2','2003-08-18','NULL',NULL,1,10),</v>
      </c>
    </row>
    <row r="234" spans="1:9" ht="20.100000000000001" customHeight="1" x14ac:dyDescent="0.25">
      <c r="A234" s="3">
        <v>227</v>
      </c>
      <c r="B234" s="8" t="s">
        <v>474</v>
      </c>
      <c r="C234" s="5" t="s">
        <v>475</v>
      </c>
      <c r="D234" s="6">
        <v>37851</v>
      </c>
      <c r="E234" s="7" t="s">
        <v>20</v>
      </c>
      <c r="F234" s="7" t="s">
        <v>20</v>
      </c>
      <c r="G234" s="7">
        <v>1</v>
      </c>
      <c r="H234" s="7">
        <v>10</v>
      </c>
      <c r="I234" s="5" t="str">
        <f t="shared" si="4"/>
        <v>(227,'S07-OZ2','Segment 07-OZ2','2003-08-18','NULL',NULL,1,10),</v>
      </c>
    </row>
    <row r="235" spans="1:9" ht="20.100000000000001" customHeight="1" x14ac:dyDescent="0.25">
      <c r="A235" s="3"/>
      <c r="B235" s="8"/>
      <c r="C235" s="5"/>
      <c r="D235" s="6"/>
      <c r="E235" s="7" t="s">
        <v>20</v>
      </c>
      <c r="F235" s="7" t="s">
        <v>20</v>
      </c>
      <c r="G235" s="7">
        <v>1</v>
      </c>
      <c r="H235" s="7">
        <v>10</v>
      </c>
      <c r="I235" s="5" t="str">
        <f t="shared" si="4"/>
        <v>(,'','','1900-01-00','NULL',NULL,1,10),</v>
      </c>
    </row>
    <row r="236" spans="1:9" ht="20.100000000000001" customHeight="1" x14ac:dyDescent="0.25">
      <c r="A236" s="3"/>
      <c r="B236" s="8"/>
      <c r="C236" s="5"/>
      <c r="D236" s="6"/>
      <c r="E236" s="7" t="s">
        <v>20</v>
      </c>
      <c r="F236" s="7" t="s">
        <v>20</v>
      </c>
      <c r="G236" s="7">
        <v>1</v>
      </c>
      <c r="H236" s="7">
        <v>10</v>
      </c>
      <c r="I236" s="5" t="str">
        <f t="shared" si="4"/>
        <v>(,'','','1900-01-00','NULL',NULL,1,10),</v>
      </c>
    </row>
  </sheetData>
  <autoFilter ref="A2:H18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pane xSplit="1" ySplit="2" topLeftCell="D27" activePane="bottomRight" state="frozen"/>
      <selection pane="topRight" activeCell="B1" sqref="B1"/>
      <selection pane="bottomLeft" activeCell="A3" sqref="A3"/>
      <selection pane="bottomRight" activeCell="J23" sqref="J23"/>
    </sheetView>
  </sheetViews>
  <sheetFormatPr baseColWidth="10" defaultColWidth="11.42578125" defaultRowHeight="18" x14ac:dyDescent="0.25"/>
  <cols>
    <col min="1" max="1" width="18" style="68" bestFit="1" customWidth="1"/>
    <col min="2" max="10" width="18.7109375" style="68" customWidth="1"/>
    <col min="11" max="16384" width="11.42578125" style="68"/>
  </cols>
  <sheetData>
    <row r="1" spans="1:10" ht="24.95" customHeight="1" x14ac:dyDescent="0.25">
      <c r="A1" s="69"/>
      <c r="B1" s="99" t="s">
        <v>3361</v>
      </c>
      <c r="C1" s="99"/>
      <c r="D1" s="99"/>
      <c r="E1" s="99" t="s">
        <v>3373</v>
      </c>
      <c r="F1" s="99"/>
      <c r="G1" s="99"/>
      <c r="H1" s="99" t="s">
        <v>1269</v>
      </c>
      <c r="I1" s="99"/>
      <c r="J1" s="99"/>
    </row>
    <row r="2" spans="1:10" ht="24.95" customHeight="1" x14ac:dyDescent="0.25">
      <c r="A2" s="69"/>
      <c r="B2" s="72" t="s">
        <v>3362</v>
      </c>
      <c r="C2" s="72" t="s">
        <v>3363</v>
      </c>
      <c r="D2" s="72" t="s">
        <v>3364</v>
      </c>
      <c r="E2" s="72" t="s">
        <v>3362</v>
      </c>
      <c r="F2" s="72" t="s">
        <v>3363</v>
      </c>
      <c r="G2" s="72" t="s">
        <v>3364</v>
      </c>
      <c r="H2" s="72" t="s">
        <v>3362</v>
      </c>
      <c r="I2" s="72" t="s">
        <v>3363</v>
      </c>
      <c r="J2" s="72" t="s">
        <v>3364</v>
      </c>
    </row>
    <row r="3" spans="1:10" ht="24.95" customHeight="1" x14ac:dyDescent="0.25">
      <c r="A3" s="73" t="s">
        <v>367</v>
      </c>
      <c r="B3" s="76">
        <v>0</v>
      </c>
      <c r="C3" s="76">
        <v>0</v>
      </c>
      <c r="D3" s="76">
        <v>4</v>
      </c>
      <c r="E3" s="76"/>
      <c r="F3" s="76"/>
      <c r="G3" s="76"/>
      <c r="H3" s="76">
        <v>0</v>
      </c>
      <c r="I3" s="76">
        <v>0</v>
      </c>
      <c r="J3" s="76">
        <v>0</v>
      </c>
    </row>
    <row r="4" spans="1:10" ht="24.95" customHeight="1" x14ac:dyDescent="0.25">
      <c r="A4" s="73" t="s">
        <v>3365</v>
      </c>
      <c r="B4" s="76">
        <v>15</v>
      </c>
      <c r="C4" s="76">
        <v>0</v>
      </c>
      <c r="D4" s="76">
        <v>0</v>
      </c>
      <c r="E4" s="76"/>
      <c r="F4" s="76"/>
      <c r="G4" s="76"/>
      <c r="H4" s="76">
        <v>0</v>
      </c>
      <c r="I4" s="76">
        <v>0</v>
      </c>
      <c r="J4" s="76">
        <v>0</v>
      </c>
    </row>
    <row r="5" spans="1:10" ht="24.95" customHeight="1" x14ac:dyDescent="0.25">
      <c r="A5" s="73" t="s">
        <v>642</v>
      </c>
      <c r="B5" s="76">
        <v>0</v>
      </c>
      <c r="C5" s="76">
        <v>0</v>
      </c>
      <c r="D5" s="76">
        <v>0</v>
      </c>
      <c r="E5" s="76"/>
      <c r="F5" s="76"/>
      <c r="G5" s="76"/>
      <c r="H5" s="76">
        <v>0</v>
      </c>
      <c r="I5" s="76">
        <v>0</v>
      </c>
      <c r="J5" s="76">
        <v>0</v>
      </c>
    </row>
    <row r="6" spans="1:10" ht="24.95" customHeight="1" x14ac:dyDescent="0.25">
      <c r="A6" s="73" t="s">
        <v>3366</v>
      </c>
      <c r="B6" s="76">
        <v>5</v>
      </c>
      <c r="C6" s="76">
        <v>0</v>
      </c>
      <c r="D6" s="76">
        <v>0</v>
      </c>
      <c r="E6" s="76"/>
      <c r="F6" s="76"/>
      <c r="G6" s="76"/>
      <c r="H6" s="76">
        <v>0</v>
      </c>
      <c r="I6" s="76">
        <v>0</v>
      </c>
      <c r="J6" s="76">
        <v>0</v>
      </c>
    </row>
    <row r="7" spans="1:10" ht="24.95" customHeight="1" x14ac:dyDescent="0.25">
      <c r="A7" s="73" t="s">
        <v>655</v>
      </c>
      <c r="B7" s="76">
        <v>0</v>
      </c>
      <c r="C7" s="76">
        <v>0</v>
      </c>
      <c r="D7" s="76">
        <v>0</v>
      </c>
      <c r="E7" s="76"/>
      <c r="F7" s="76"/>
      <c r="G7" s="76"/>
      <c r="H7" s="76">
        <v>0</v>
      </c>
      <c r="I7" s="76">
        <v>0</v>
      </c>
      <c r="J7" s="76">
        <v>0</v>
      </c>
    </row>
    <row r="8" spans="1:10" ht="24.95" customHeight="1" x14ac:dyDescent="0.25">
      <c r="A8" s="73" t="s">
        <v>407</v>
      </c>
      <c r="B8" s="76">
        <v>1</v>
      </c>
      <c r="C8" s="76">
        <v>0</v>
      </c>
      <c r="D8" s="76">
        <v>0</v>
      </c>
      <c r="E8" s="76"/>
      <c r="F8" s="76"/>
      <c r="G8" s="76"/>
      <c r="H8" s="76">
        <v>0</v>
      </c>
      <c r="I8" s="76">
        <v>0</v>
      </c>
      <c r="J8" s="76">
        <v>0</v>
      </c>
    </row>
    <row r="9" spans="1:10" ht="24.95" customHeight="1" x14ac:dyDescent="0.25">
      <c r="A9" s="73" t="s">
        <v>3367</v>
      </c>
      <c r="B9" s="76">
        <v>6</v>
      </c>
      <c r="C9" s="76">
        <v>0</v>
      </c>
      <c r="D9" s="76">
        <v>1</v>
      </c>
      <c r="E9" s="76"/>
      <c r="F9" s="76"/>
      <c r="G9" s="76"/>
      <c r="H9" s="76">
        <v>0</v>
      </c>
      <c r="I9" s="76">
        <v>0</v>
      </c>
      <c r="J9" s="76">
        <v>0</v>
      </c>
    </row>
    <row r="10" spans="1:10" ht="24.95" customHeight="1" x14ac:dyDescent="0.25">
      <c r="A10" s="73" t="s">
        <v>3368</v>
      </c>
      <c r="B10" s="76">
        <v>2</v>
      </c>
      <c r="C10" s="76">
        <v>0</v>
      </c>
      <c r="D10" s="76">
        <v>0</v>
      </c>
      <c r="E10" s="76"/>
      <c r="F10" s="76"/>
      <c r="G10" s="76"/>
      <c r="H10" s="76">
        <v>0</v>
      </c>
      <c r="I10" s="76">
        <v>0</v>
      </c>
      <c r="J10" s="76">
        <v>0</v>
      </c>
    </row>
    <row r="11" spans="1:10" ht="24.95" customHeight="1" x14ac:dyDescent="0.25">
      <c r="A11" s="73" t="s">
        <v>434</v>
      </c>
      <c r="B11" s="76">
        <v>1</v>
      </c>
      <c r="C11" s="76">
        <v>0</v>
      </c>
      <c r="D11" s="76">
        <v>0</v>
      </c>
      <c r="E11" s="76"/>
      <c r="F11" s="76"/>
      <c r="G11" s="76"/>
      <c r="H11" s="76">
        <v>0</v>
      </c>
      <c r="I11" s="76">
        <v>0</v>
      </c>
      <c r="J11" s="76">
        <v>0</v>
      </c>
    </row>
    <row r="12" spans="1:10" ht="24.95" customHeight="1" x14ac:dyDescent="0.25">
      <c r="A12" s="73" t="s">
        <v>3369</v>
      </c>
      <c r="B12" s="76">
        <v>1</v>
      </c>
      <c r="C12" s="76">
        <v>0</v>
      </c>
      <c r="D12" s="76">
        <v>0</v>
      </c>
      <c r="E12" s="76"/>
      <c r="F12" s="76"/>
      <c r="G12" s="76"/>
      <c r="H12" s="76">
        <v>0</v>
      </c>
      <c r="I12" s="76">
        <v>0</v>
      </c>
      <c r="J12" s="76">
        <v>0</v>
      </c>
    </row>
    <row r="13" spans="1:10" ht="24.95" customHeight="1" x14ac:dyDescent="0.25">
      <c r="A13" s="83" t="s">
        <v>3370</v>
      </c>
      <c r="B13" s="70"/>
      <c r="C13" s="70"/>
      <c r="D13" s="70"/>
      <c r="E13" s="76">
        <v>6</v>
      </c>
      <c r="F13" s="76">
        <v>0</v>
      </c>
      <c r="G13" s="76">
        <v>6</v>
      </c>
      <c r="H13" s="76">
        <v>1</v>
      </c>
      <c r="I13" s="76">
        <v>0</v>
      </c>
      <c r="J13" s="76">
        <v>1</v>
      </c>
    </row>
    <row r="14" spans="1:10" ht="24.95" customHeight="1" x14ac:dyDescent="0.25">
      <c r="A14" s="83" t="s">
        <v>305</v>
      </c>
      <c r="B14" s="70"/>
      <c r="C14" s="70"/>
      <c r="D14" s="70"/>
      <c r="E14" s="76">
        <v>5</v>
      </c>
      <c r="F14" s="76">
        <v>0</v>
      </c>
      <c r="G14" s="82">
        <v>0</v>
      </c>
      <c r="H14" s="76">
        <v>0</v>
      </c>
      <c r="I14" s="76">
        <v>0</v>
      </c>
      <c r="J14" s="76">
        <v>0</v>
      </c>
    </row>
    <row r="15" spans="1:10" ht="24.95" customHeight="1" x14ac:dyDescent="0.25">
      <c r="A15" s="73" t="s">
        <v>548</v>
      </c>
      <c r="B15" s="70"/>
      <c r="C15" s="70"/>
      <c r="D15" s="70"/>
      <c r="E15" s="76">
        <v>5</v>
      </c>
      <c r="F15" s="76">
        <v>0</v>
      </c>
      <c r="G15" s="76">
        <v>9</v>
      </c>
      <c r="H15" s="76">
        <v>0</v>
      </c>
      <c r="I15" s="76">
        <v>0</v>
      </c>
      <c r="J15" s="76">
        <v>0</v>
      </c>
    </row>
    <row r="16" spans="1:10" ht="24.95" customHeight="1" x14ac:dyDescent="0.25">
      <c r="A16" s="73" t="s">
        <v>319</v>
      </c>
      <c r="B16" s="70"/>
      <c r="C16" s="70"/>
      <c r="D16" s="70"/>
      <c r="E16" s="76">
        <v>0</v>
      </c>
      <c r="F16" s="76">
        <v>3</v>
      </c>
      <c r="G16" s="76">
        <v>0</v>
      </c>
      <c r="H16" s="76">
        <v>0</v>
      </c>
      <c r="I16" s="76">
        <v>0</v>
      </c>
      <c r="J16" s="76">
        <v>0</v>
      </c>
    </row>
    <row r="17" spans="1:11" ht="24.95" customHeight="1" x14ac:dyDescent="0.25">
      <c r="A17" s="73" t="s">
        <v>3371</v>
      </c>
      <c r="B17" s="70"/>
      <c r="C17" s="70"/>
      <c r="D17" s="70"/>
      <c r="E17" s="76">
        <v>2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</row>
    <row r="18" spans="1:11" ht="24.95" customHeight="1" x14ac:dyDescent="0.25">
      <c r="A18" s="73" t="s">
        <v>588</v>
      </c>
      <c r="B18" s="70"/>
      <c r="C18" s="70"/>
      <c r="D18" s="70"/>
      <c r="E18" s="76">
        <v>1</v>
      </c>
      <c r="F18" s="76">
        <v>1</v>
      </c>
      <c r="G18" s="76">
        <v>0</v>
      </c>
      <c r="H18" s="76">
        <v>0</v>
      </c>
      <c r="I18" s="76">
        <v>0</v>
      </c>
      <c r="J18" s="76">
        <v>0</v>
      </c>
    </row>
    <row r="19" spans="1:11" ht="24.95" customHeight="1" x14ac:dyDescent="0.25">
      <c r="A19" s="73" t="s">
        <v>317</v>
      </c>
      <c r="B19" s="70"/>
      <c r="C19" s="70"/>
      <c r="D19" s="70"/>
      <c r="E19" s="76">
        <v>2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</row>
    <row r="20" spans="1:11" ht="24.95" customHeight="1" x14ac:dyDescent="0.25">
      <c r="A20" s="73" t="s">
        <v>341</v>
      </c>
      <c r="B20" s="70"/>
      <c r="C20" s="70"/>
      <c r="D20" s="70"/>
      <c r="E20" s="76">
        <v>3</v>
      </c>
      <c r="F20" s="76">
        <v>0</v>
      </c>
      <c r="G20" s="76">
        <v>0</v>
      </c>
      <c r="H20" s="76">
        <v>1</v>
      </c>
      <c r="I20" s="76">
        <v>0</v>
      </c>
      <c r="J20" s="76">
        <v>0</v>
      </c>
    </row>
    <row r="21" spans="1:11" ht="24.95" customHeight="1" x14ac:dyDescent="0.25">
      <c r="A21" s="73" t="s">
        <v>344</v>
      </c>
      <c r="B21" s="70"/>
      <c r="C21" s="70"/>
      <c r="D21" s="70"/>
      <c r="E21" s="76">
        <v>2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</row>
    <row r="22" spans="1:11" ht="24.95" customHeight="1" x14ac:dyDescent="0.25">
      <c r="A22" s="73" t="s">
        <v>347</v>
      </c>
      <c r="B22" s="70"/>
      <c r="C22" s="70"/>
      <c r="D22" s="70"/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</row>
    <row r="23" spans="1:11" ht="24.95" customHeight="1" x14ac:dyDescent="0.25">
      <c r="A23" s="73" t="s">
        <v>607</v>
      </c>
      <c r="B23" s="70"/>
      <c r="C23" s="70"/>
      <c r="D23" s="70"/>
      <c r="E23" s="76">
        <v>3</v>
      </c>
      <c r="F23" s="76">
        <v>0</v>
      </c>
      <c r="G23" s="76">
        <v>3</v>
      </c>
      <c r="H23" s="76">
        <v>2</v>
      </c>
      <c r="I23" s="76">
        <v>0</v>
      </c>
      <c r="J23" s="76">
        <v>1</v>
      </c>
    </row>
    <row r="24" spans="1:11" ht="24.95" customHeight="1" x14ac:dyDescent="0.25">
      <c r="A24" s="73" t="s">
        <v>3372</v>
      </c>
      <c r="B24" s="70"/>
      <c r="C24" s="70"/>
      <c r="D24" s="70"/>
      <c r="E24" s="76">
        <v>3</v>
      </c>
      <c r="F24" s="76">
        <v>0</v>
      </c>
      <c r="G24" s="76">
        <v>3</v>
      </c>
      <c r="H24" s="76">
        <v>0</v>
      </c>
      <c r="I24" s="76">
        <v>0</v>
      </c>
      <c r="J24" s="76">
        <v>0</v>
      </c>
    </row>
    <row r="25" spans="1:11" ht="24.95" customHeight="1" x14ac:dyDescent="0.25">
      <c r="B25" s="71">
        <f t="shared" ref="B25:I25" si="0">SUM(B3:B24)</f>
        <v>31</v>
      </c>
      <c r="C25" s="71">
        <f t="shared" si="0"/>
        <v>0</v>
      </c>
      <c r="D25" s="71">
        <f t="shared" si="0"/>
        <v>5</v>
      </c>
      <c r="E25" s="71">
        <f t="shared" si="0"/>
        <v>32</v>
      </c>
      <c r="F25" s="71">
        <f t="shared" si="0"/>
        <v>4</v>
      </c>
      <c r="G25" s="71">
        <f t="shared" si="0"/>
        <v>21</v>
      </c>
      <c r="H25" s="71">
        <f t="shared" si="0"/>
        <v>4</v>
      </c>
      <c r="I25" s="71">
        <f t="shared" si="0"/>
        <v>0</v>
      </c>
      <c r="J25" s="74">
        <f>SUM(J3:J24)</f>
        <v>2</v>
      </c>
      <c r="K25" s="70">
        <f>SUM(B25:J25)</f>
        <v>99</v>
      </c>
    </row>
    <row r="26" spans="1:11" ht="24.95" customHeight="1" x14ac:dyDescent="0.25">
      <c r="B26" s="75"/>
      <c r="C26" s="75"/>
      <c r="D26" s="75"/>
      <c r="E26" s="75"/>
      <c r="F26" s="75"/>
      <c r="G26" s="75"/>
      <c r="H26" s="75"/>
      <c r="I26" s="75"/>
      <c r="J26" s="75"/>
      <c r="K26" s="70">
        <f>B25+C25+E25+F25+H25+I25</f>
        <v>71</v>
      </c>
    </row>
    <row r="27" spans="1:11" ht="24.95" customHeight="1" x14ac:dyDescent="0.25">
      <c r="K27" s="70">
        <f>B25+E25+H25</f>
        <v>67</v>
      </c>
    </row>
  </sheetData>
  <mergeCells count="3">
    <mergeCell ref="B1:D1"/>
    <mergeCell ref="E1:G1"/>
    <mergeCell ref="H1:J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1211"/>
  <sheetViews>
    <sheetView zoomScale="90" zoomScaleNormal="90" workbookViewId="0">
      <pane ySplit="2" topLeftCell="A3" activePane="bottomLeft" state="frozen"/>
      <selection pane="bottomLeft" activeCell="E81" sqref="E81"/>
    </sheetView>
  </sheetViews>
  <sheetFormatPr baseColWidth="10" defaultColWidth="10.85546875" defaultRowHeight="15.75" x14ac:dyDescent="0.25"/>
  <cols>
    <col min="1" max="2" width="5.5703125" style="2" customWidth="1"/>
    <col min="3" max="3" width="17.42578125" style="2" bestFit="1" customWidth="1"/>
    <col min="4" max="4" width="9.85546875" style="2" bestFit="1" customWidth="1"/>
    <col min="5" max="5" width="13.140625" style="2" bestFit="1" customWidth="1"/>
    <col min="6" max="6" width="31.28515625" style="2" bestFit="1" customWidth="1"/>
    <col min="7" max="8" width="15.5703125" style="2" customWidth="1"/>
    <col min="9" max="9" width="17.28515625" style="2" bestFit="1" customWidth="1"/>
    <col min="10" max="10" width="10.140625" style="2" bestFit="1" customWidth="1"/>
    <col min="11" max="11" width="17.85546875" style="2" bestFit="1" customWidth="1"/>
    <col min="12" max="12" width="8.5703125" style="2" bestFit="1" customWidth="1"/>
    <col min="13" max="13" width="10.140625" style="2" bestFit="1" customWidth="1"/>
    <col min="14" max="15" width="10.140625" style="2" customWidth="1"/>
    <col min="16" max="16" width="16.28515625" style="2" bestFit="1" customWidth="1"/>
    <col min="17" max="18" width="10.140625" style="2" customWidth="1"/>
    <col min="19" max="19" width="46.140625" style="2" bestFit="1" customWidth="1"/>
    <col min="20" max="20" width="89.5703125" style="2" bestFit="1" customWidth="1"/>
    <col min="21" max="16384" width="10.85546875" style="2"/>
  </cols>
  <sheetData>
    <row r="1" spans="1:20" ht="20.100000000000001" customHeight="1" x14ac:dyDescent="0.25">
      <c r="A1" s="1" t="s">
        <v>0</v>
      </c>
      <c r="B1" s="1" t="s">
        <v>3617</v>
      </c>
      <c r="C1" s="1" t="s">
        <v>496</v>
      </c>
      <c r="D1" s="1" t="s">
        <v>497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3551</v>
      </c>
      <c r="L1" s="1" t="s">
        <v>3555</v>
      </c>
      <c r="M1" s="1" t="s">
        <v>3733</v>
      </c>
      <c r="N1" s="1" t="s">
        <v>3734</v>
      </c>
      <c r="O1" s="1" t="s">
        <v>692</v>
      </c>
      <c r="P1" s="1" t="s">
        <v>3559</v>
      </c>
      <c r="Q1" s="1" t="s">
        <v>3560</v>
      </c>
      <c r="R1" s="1" t="s">
        <v>3561</v>
      </c>
      <c r="S1" s="1" t="s">
        <v>3562</v>
      </c>
      <c r="T1" s="1" t="s">
        <v>8</v>
      </c>
    </row>
    <row r="2" spans="1:20" ht="20.100000000000001" customHeight="1" x14ac:dyDescent="0.25">
      <c r="A2" s="1" t="s">
        <v>9</v>
      </c>
      <c r="B2" s="1"/>
      <c r="C2" s="1"/>
      <c r="D2" s="1"/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/>
      <c r="L2" s="1"/>
      <c r="M2" s="1" t="s">
        <v>16</v>
      </c>
      <c r="N2" s="1"/>
      <c r="O2" s="1"/>
      <c r="P2" s="1"/>
      <c r="Q2" s="1"/>
      <c r="R2" s="1"/>
      <c r="S2" s="1"/>
      <c r="T2" s="1" t="s">
        <v>17</v>
      </c>
    </row>
    <row r="3" spans="1:20" ht="20.100000000000001" customHeight="1" x14ac:dyDescent="0.25">
      <c r="A3" s="38">
        <v>1</v>
      </c>
      <c r="B3" s="38">
        <v>1</v>
      </c>
      <c r="C3" s="38" t="s">
        <v>529</v>
      </c>
      <c r="D3" s="38">
        <v>1</v>
      </c>
      <c r="E3" s="39" t="str">
        <f>CONCATENATE("PC-",TEXT(A3,"00"),"-",O3)</f>
        <v>PC-01-OZ1</v>
      </c>
      <c r="F3" s="48" t="str">
        <f>CONCATENATE("Poste de Coupure n°",TEXT(A3,"00")," ",O3)</f>
        <v>Poste de Coupure n°01 OZ1</v>
      </c>
      <c r="G3" s="19">
        <v>24053</v>
      </c>
      <c r="H3" s="19">
        <v>24053</v>
      </c>
      <c r="I3" s="41" t="s">
        <v>20</v>
      </c>
      <c r="J3" s="41">
        <v>1</v>
      </c>
      <c r="K3" s="41" t="s">
        <v>3556</v>
      </c>
      <c r="L3" s="41">
        <v>15</v>
      </c>
      <c r="M3" s="41">
        <v>16</v>
      </c>
      <c r="N3" s="41"/>
      <c r="O3" s="41" t="s">
        <v>300</v>
      </c>
      <c r="P3" s="41" t="s">
        <v>3096</v>
      </c>
      <c r="Q3" s="49">
        <f t="shared" ref="Q3:Q66" si="0">VALUE(RIGHT(P3,LEN(P3)-SEARCH("/",P3)))</f>
        <v>156</v>
      </c>
      <c r="R3" s="43">
        <f t="shared" ref="R3:R66" si="1">VALUE(SUBSTITUTE(LEFT(P3,SEARCH("/",P3)-1),"+",","))</f>
        <v>0</v>
      </c>
      <c r="S3" s="41" t="s">
        <v>998</v>
      </c>
      <c r="T3" s="48" t="str">
        <f t="shared" ref="T3:T9" si="2">CONCATENATE("(",A3,",'",E3,"','",F3,"','",TEXT(G3,"aaaa-mm-jj"),"','",TEXT(H3,"aaaa-mm-jj"),"',",I3,",",J3,",",M3,"),")</f>
        <v>(1,'PC-01-OZ1','Poste de Coupure n°01 OZ1','Sunday-11-jj','Sunday-11-jj',NULL,1,16),</v>
      </c>
    </row>
    <row r="4" spans="1:20" ht="20.100000000000001" customHeight="1" x14ac:dyDescent="0.25">
      <c r="A4" s="38">
        <v>1</v>
      </c>
      <c r="B4" s="38">
        <v>2</v>
      </c>
      <c r="C4" s="38" t="s">
        <v>529</v>
      </c>
      <c r="D4" s="38">
        <v>1</v>
      </c>
      <c r="E4" s="45" t="str">
        <f>CONCATENATE("PS-",TEXT(A4,"00"),"-",O4)</f>
        <v>PS-01-OZ1</v>
      </c>
      <c r="F4" s="48" t="str">
        <f>CONCATENATE("Poste de Sectionnement n°",TEXT(A4,"00")," ",O4)</f>
        <v>Poste de Sectionnement n°01 OZ1</v>
      </c>
      <c r="G4" s="19">
        <v>24053</v>
      </c>
      <c r="H4" s="19">
        <v>24053</v>
      </c>
      <c r="I4" s="41" t="s">
        <v>20</v>
      </c>
      <c r="J4" s="41">
        <v>1</v>
      </c>
      <c r="K4" s="41" t="s">
        <v>3557</v>
      </c>
      <c r="L4" s="41">
        <v>16</v>
      </c>
      <c r="M4" s="41">
        <v>16</v>
      </c>
      <c r="N4" s="41"/>
      <c r="O4" s="41" t="s">
        <v>300</v>
      </c>
      <c r="P4" s="41" t="s">
        <v>720</v>
      </c>
      <c r="Q4" s="49">
        <f t="shared" si="0"/>
        <v>150</v>
      </c>
      <c r="R4" s="43">
        <f t="shared" si="1"/>
        <v>0</v>
      </c>
      <c r="S4" s="41" t="s">
        <v>741</v>
      </c>
      <c r="T4" s="48" t="str">
        <f t="shared" si="2"/>
        <v>(1,'PS-01-OZ1','Poste de Sectionnement n°01 OZ1','Sunday-11-jj','Sunday-11-jj',NULL,1,16),</v>
      </c>
    </row>
    <row r="5" spans="1:20" ht="20.100000000000001" customHeight="1" x14ac:dyDescent="0.25">
      <c r="A5" s="38">
        <v>8</v>
      </c>
      <c r="B5" s="38">
        <v>3</v>
      </c>
      <c r="C5" s="38" t="s">
        <v>529</v>
      </c>
      <c r="D5" s="38">
        <v>1</v>
      </c>
      <c r="E5" s="39" t="s">
        <v>3495</v>
      </c>
      <c r="F5" s="48" t="str">
        <f>CONCATENATE("Station de Pompage ",E5)</f>
        <v>Station de Pompage SP1-OZ1-D</v>
      </c>
      <c r="G5" s="19">
        <v>23743</v>
      </c>
      <c r="H5" s="19">
        <v>23743</v>
      </c>
      <c r="I5" s="19">
        <v>37986</v>
      </c>
      <c r="J5" s="41">
        <v>8</v>
      </c>
      <c r="K5" s="41" t="s">
        <v>3552</v>
      </c>
      <c r="L5" s="41">
        <v>7</v>
      </c>
      <c r="M5" s="41">
        <v>16</v>
      </c>
      <c r="N5" s="41"/>
      <c r="O5" s="41" t="s">
        <v>300</v>
      </c>
      <c r="P5" s="41" t="s">
        <v>3096</v>
      </c>
      <c r="Q5" s="49">
        <f t="shared" si="0"/>
        <v>156</v>
      </c>
      <c r="R5" s="43">
        <f t="shared" si="1"/>
        <v>0</v>
      </c>
      <c r="S5" s="41" t="s">
        <v>998</v>
      </c>
      <c r="T5" s="48" t="str">
        <f t="shared" si="2"/>
        <v>(8,'SP1-OZ1-D','Station de Pompage SP1-OZ1-D','Friday-01-jj','Friday-01-jj',37986,8,16),</v>
      </c>
    </row>
    <row r="6" spans="1:20" ht="20.100000000000001" customHeight="1" x14ac:dyDescent="0.25">
      <c r="A6" s="38">
        <v>2</v>
      </c>
      <c r="B6" s="38">
        <v>4</v>
      </c>
      <c r="C6" s="38" t="s">
        <v>529</v>
      </c>
      <c r="D6" s="38">
        <v>1</v>
      </c>
      <c r="E6" s="45" t="str">
        <f>CONCATENATE("PS-",TEXT(A6,"00"),"-",O6)</f>
        <v>PS-02-OZ1</v>
      </c>
      <c r="F6" s="48" t="str">
        <f>CONCATENATE("Poste de Sectionnement n°",TEXT(A6,"00")," ",O6)</f>
        <v>Poste de Sectionnement n°02 OZ1</v>
      </c>
      <c r="G6" s="19">
        <v>24053</v>
      </c>
      <c r="H6" s="19">
        <v>24053</v>
      </c>
      <c r="I6" s="41" t="s">
        <v>20</v>
      </c>
      <c r="J6" s="41">
        <v>1</v>
      </c>
      <c r="K6" s="41" t="s">
        <v>3557</v>
      </c>
      <c r="L6" s="41">
        <v>16</v>
      </c>
      <c r="M6" s="41">
        <v>16</v>
      </c>
      <c r="N6" s="41"/>
      <c r="O6" s="41" t="s">
        <v>300</v>
      </c>
      <c r="P6" s="41" t="s">
        <v>721</v>
      </c>
      <c r="Q6" s="49">
        <f t="shared" si="0"/>
        <v>150</v>
      </c>
      <c r="R6" s="43">
        <f t="shared" si="1"/>
        <v>44.2</v>
      </c>
      <c r="S6" s="41" t="s">
        <v>742</v>
      </c>
      <c r="T6" s="48" t="str">
        <f t="shared" si="2"/>
        <v>(2,'PS-02-OZ1','Poste de Sectionnement n°02 OZ1','Sunday-11-jj','Sunday-11-jj',NULL,1,16),</v>
      </c>
    </row>
    <row r="7" spans="1:20" ht="20.100000000000001" customHeight="1" x14ac:dyDescent="0.25">
      <c r="A7" s="38">
        <v>3</v>
      </c>
      <c r="B7" s="38">
        <v>5</v>
      </c>
      <c r="C7" s="38" t="s">
        <v>529</v>
      </c>
      <c r="D7" s="38">
        <v>1</v>
      </c>
      <c r="E7" s="45" t="str">
        <f>CONCATENATE("PS-",TEXT(A7,"00"),"-",O7)</f>
        <v>PS-03-OZ1</v>
      </c>
      <c r="F7" s="48" t="str">
        <f>CONCATENATE("Poste de Sectionnement n°",TEXT(A7,"00")," ",O7)</f>
        <v>Poste de Sectionnement n°03 OZ1</v>
      </c>
      <c r="G7" s="19">
        <v>24053</v>
      </c>
      <c r="H7" s="19">
        <v>24053</v>
      </c>
      <c r="I7" s="41" t="s">
        <v>20</v>
      </c>
      <c r="J7" s="41">
        <v>1</v>
      </c>
      <c r="K7" s="41" t="s">
        <v>3557</v>
      </c>
      <c r="L7" s="41">
        <v>16</v>
      </c>
      <c r="M7" s="41">
        <v>16</v>
      </c>
      <c r="N7" s="41"/>
      <c r="O7" s="41" t="s">
        <v>300</v>
      </c>
      <c r="P7" s="41" t="s">
        <v>722</v>
      </c>
      <c r="Q7" s="49">
        <f t="shared" si="0"/>
        <v>210</v>
      </c>
      <c r="R7" s="43">
        <f t="shared" si="1"/>
        <v>72</v>
      </c>
      <c r="S7" s="41" t="s">
        <v>743</v>
      </c>
      <c r="T7" s="48" t="str">
        <f t="shared" si="2"/>
        <v>(3,'PS-03-OZ1','Poste de Sectionnement n°03 OZ1','Sunday-11-jj','Sunday-11-jj',NULL,1,16),</v>
      </c>
    </row>
    <row r="8" spans="1:20" ht="20.100000000000001" customHeight="1" x14ac:dyDescent="0.25">
      <c r="A8" s="38">
        <v>2</v>
      </c>
      <c r="B8" s="38">
        <v>6</v>
      </c>
      <c r="C8" s="38" t="s">
        <v>529</v>
      </c>
      <c r="D8" s="38">
        <v>1</v>
      </c>
      <c r="E8" s="39" t="str">
        <f>CONCATENATE("PC-",TEXT(A8,"00"),"-",O8)</f>
        <v>PC-02-OZ1</v>
      </c>
      <c r="F8" s="48" t="str">
        <f>CONCATENATE("Poste de Coupure n°",TEXT(A8,"00")," ",O8)</f>
        <v>Poste de Coupure n°02 OZ1</v>
      </c>
      <c r="G8" s="19">
        <v>24053</v>
      </c>
      <c r="H8" s="19">
        <v>24053</v>
      </c>
      <c r="I8" s="41" t="s">
        <v>20</v>
      </c>
      <c r="J8" s="41">
        <v>1</v>
      </c>
      <c r="K8" s="41" t="s">
        <v>3556</v>
      </c>
      <c r="L8" s="41">
        <v>15</v>
      </c>
      <c r="M8" s="41">
        <v>16</v>
      </c>
      <c r="N8" s="41"/>
      <c r="O8" s="41" t="s">
        <v>300</v>
      </c>
      <c r="P8" s="41" t="s">
        <v>3097</v>
      </c>
      <c r="Q8" s="49">
        <f t="shared" si="0"/>
        <v>256</v>
      </c>
      <c r="R8" s="43">
        <f t="shared" si="1"/>
        <v>124.8</v>
      </c>
      <c r="S8" s="41" t="s">
        <v>744</v>
      </c>
      <c r="T8" s="48" t="str">
        <f t="shared" si="2"/>
        <v>(2,'PC-02-OZ1','Poste de Coupure n°02 OZ1','Sunday-11-jj','Sunday-11-jj',NULL,1,16),</v>
      </c>
    </row>
    <row r="9" spans="1:20" ht="20.100000000000001" customHeight="1" x14ac:dyDescent="0.25">
      <c r="A9" s="38">
        <v>9</v>
      </c>
      <c r="B9" s="38">
        <v>7</v>
      </c>
      <c r="C9" s="38" t="s">
        <v>529</v>
      </c>
      <c r="D9" s="38">
        <v>1</v>
      </c>
      <c r="E9" s="39" t="s">
        <v>3496</v>
      </c>
      <c r="F9" s="48" t="str">
        <f>CONCATENATE("Station de Pompage ",E9)</f>
        <v>Station de Pompage SP2-OZ1-D</v>
      </c>
      <c r="G9" s="19">
        <v>23743</v>
      </c>
      <c r="H9" s="19">
        <v>23743</v>
      </c>
      <c r="I9" s="19">
        <v>37986</v>
      </c>
      <c r="J9" s="41">
        <v>8</v>
      </c>
      <c r="K9" s="41" t="s">
        <v>3552</v>
      </c>
      <c r="L9" s="41">
        <v>7</v>
      </c>
      <c r="M9" s="41">
        <v>16</v>
      </c>
      <c r="N9" s="41"/>
      <c r="O9" s="41" t="s">
        <v>300</v>
      </c>
      <c r="P9" s="41" t="s">
        <v>3097</v>
      </c>
      <c r="Q9" s="49">
        <f t="shared" si="0"/>
        <v>256</v>
      </c>
      <c r="R9" s="43">
        <f t="shared" si="1"/>
        <v>124.8</v>
      </c>
      <c r="S9" s="41" t="s">
        <v>744</v>
      </c>
      <c r="T9" s="48" t="str">
        <f t="shared" si="2"/>
        <v>(9,'SP2-OZ1-D','Station de Pompage SP2-OZ1-D','Friday-01-jj','Friday-01-jj',37986,8,16),</v>
      </c>
    </row>
    <row r="10" spans="1:20" ht="20.100000000000001" customHeight="1" x14ac:dyDescent="0.25">
      <c r="A10" s="38">
        <v>4</v>
      </c>
      <c r="B10" s="38">
        <v>8</v>
      </c>
      <c r="C10" s="38" t="s">
        <v>529</v>
      </c>
      <c r="D10" s="38">
        <v>1</v>
      </c>
      <c r="E10" s="45" t="str">
        <f>CONCATENATE("PS-",TEXT(A10,"00"),"-",O10)</f>
        <v>PS-04-OZ1</v>
      </c>
      <c r="F10" s="48" t="str">
        <f>CONCATENATE("Poste de Sectionnement n°",TEXT(A10,"00")," ",O10)</f>
        <v>Poste de Sectionnement n°04 OZ1</v>
      </c>
      <c r="G10" s="19">
        <v>24053</v>
      </c>
      <c r="H10" s="19">
        <v>24053</v>
      </c>
      <c r="I10" s="41" t="s">
        <v>20</v>
      </c>
      <c r="J10" s="41">
        <v>1</v>
      </c>
      <c r="K10" s="41" t="s">
        <v>3557</v>
      </c>
      <c r="L10" s="41">
        <v>16</v>
      </c>
      <c r="M10" s="41">
        <v>16</v>
      </c>
      <c r="N10" s="41"/>
      <c r="O10" s="41" t="s">
        <v>300</v>
      </c>
      <c r="P10" s="41" t="s">
        <v>723</v>
      </c>
      <c r="Q10" s="49">
        <f t="shared" si="0"/>
        <v>295</v>
      </c>
      <c r="R10" s="43">
        <f t="shared" si="1"/>
        <v>145.47300000000001</v>
      </c>
      <c r="S10" s="41" t="s">
        <v>744</v>
      </c>
      <c r="T10" s="48" t="str">
        <f t="shared" ref="T10:T16" si="3">CONCATENATE("(",A10,",'",E10,"','",F10,"','",TEXT(G10,"aaaa-mm-jj"),"','",TEXT(H10,"aaaa-mm-jj"),"',",TEXT(I10,"aaaa-mm-jj"),",",J10,",",M10,"),")</f>
        <v>(4,'PS-04-OZ1','Poste de Sectionnement n°04 OZ1','Sunday-11-jj','Sunday-11-jj',NULL,1,16),</v>
      </c>
    </row>
    <row r="11" spans="1:20" ht="20.100000000000001" customHeight="1" x14ac:dyDescent="0.25">
      <c r="A11" s="38">
        <v>5</v>
      </c>
      <c r="B11" s="38">
        <v>9</v>
      </c>
      <c r="C11" s="38" t="s">
        <v>529</v>
      </c>
      <c r="D11" s="38">
        <v>1</v>
      </c>
      <c r="E11" s="45" t="str">
        <f>CONCATENATE("PS-",TEXT(A11,"00"),"-",O11)</f>
        <v>PS-05-OZ1</v>
      </c>
      <c r="F11" s="48" t="str">
        <f>CONCATENATE("Poste de Sectionnement n°",TEXT(A11,"00")," ",O11)</f>
        <v>Poste de Sectionnement n°05 OZ1</v>
      </c>
      <c r="G11" s="19">
        <v>24053</v>
      </c>
      <c r="H11" s="19">
        <v>24053</v>
      </c>
      <c r="I11" s="41" t="s">
        <v>20</v>
      </c>
      <c r="J11" s="41">
        <v>1</v>
      </c>
      <c r="K11" s="41" t="s">
        <v>3557</v>
      </c>
      <c r="L11" s="41">
        <v>16</v>
      </c>
      <c r="M11" s="41">
        <v>16</v>
      </c>
      <c r="N11" s="41"/>
      <c r="O11" s="41" t="s">
        <v>300</v>
      </c>
      <c r="P11" s="41" t="s">
        <v>724</v>
      </c>
      <c r="Q11" s="49">
        <f t="shared" si="0"/>
        <v>365</v>
      </c>
      <c r="R11" s="43">
        <f t="shared" si="1"/>
        <v>184.2</v>
      </c>
      <c r="S11" s="41" t="s">
        <v>745</v>
      </c>
      <c r="T11" s="48" t="str">
        <f t="shared" si="3"/>
        <v>(5,'PS-05-OZ1','Poste de Sectionnement n°05 OZ1','Sunday-11-jj','Sunday-11-jj',NULL,1,16),</v>
      </c>
    </row>
    <row r="12" spans="1:20" ht="20.100000000000001" customHeight="1" x14ac:dyDescent="0.25">
      <c r="A12" s="38">
        <v>3</v>
      </c>
      <c r="B12" s="38">
        <v>10</v>
      </c>
      <c r="C12" s="38" t="s">
        <v>529</v>
      </c>
      <c r="D12" s="38">
        <v>1</v>
      </c>
      <c r="E12" s="39" t="str">
        <f>CONCATENATE("PC-",TEXT(A12,"00"),"-",O12)</f>
        <v>PC-03-OZ1</v>
      </c>
      <c r="F12" s="48" t="str">
        <f>CONCATENATE("Poste de Coupure n°",TEXT(A12,"00")," ",O12)</f>
        <v>Poste de Coupure n°03 OZ1</v>
      </c>
      <c r="G12" s="19">
        <v>24053</v>
      </c>
      <c r="H12" s="19">
        <v>24053</v>
      </c>
      <c r="I12" s="41" t="s">
        <v>20</v>
      </c>
      <c r="J12" s="41">
        <v>1</v>
      </c>
      <c r="K12" s="41" t="s">
        <v>3556</v>
      </c>
      <c r="L12" s="41">
        <v>15</v>
      </c>
      <c r="M12" s="41">
        <v>16</v>
      </c>
      <c r="N12" s="41"/>
      <c r="O12" s="41" t="s">
        <v>300</v>
      </c>
      <c r="P12" s="41" t="s">
        <v>3098</v>
      </c>
      <c r="Q12" s="49">
        <f t="shared" si="0"/>
        <v>495</v>
      </c>
      <c r="R12" s="43">
        <f t="shared" si="1"/>
        <v>218.07499999999999</v>
      </c>
      <c r="S12" s="41" t="s">
        <v>788</v>
      </c>
      <c r="T12" s="48" t="str">
        <f t="shared" si="3"/>
        <v>(3,'PC-03-OZ1','Poste de Coupure n°03 OZ1','Sunday-11-jj','Sunday-11-jj',NULL,1,16),</v>
      </c>
    </row>
    <row r="13" spans="1:20" ht="20.100000000000001" customHeight="1" x14ac:dyDescent="0.25">
      <c r="A13" s="38">
        <v>10</v>
      </c>
      <c r="B13" s="38">
        <v>11</v>
      </c>
      <c r="C13" s="38" t="s">
        <v>529</v>
      </c>
      <c r="D13" s="38">
        <v>1</v>
      </c>
      <c r="E13" s="39" t="s">
        <v>3497</v>
      </c>
      <c r="F13" s="48" t="str">
        <f>CONCATENATE("Station de Pompage ",E13)</f>
        <v>Station de Pompage SP3-OZ1-D</v>
      </c>
      <c r="G13" s="19">
        <v>23743</v>
      </c>
      <c r="H13" s="19">
        <v>23743</v>
      </c>
      <c r="I13" s="19">
        <v>37986</v>
      </c>
      <c r="J13" s="41">
        <v>8</v>
      </c>
      <c r="K13" s="41" t="s">
        <v>3552</v>
      </c>
      <c r="L13" s="41">
        <v>7</v>
      </c>
      <c r="M13" s="41">
        <v>16</v>
      </c>
      <c r="N13" s="41"/>
      <c r="O13" s="41" t="s">
        <v>300</v>
      </c>
      <c r="P13" s="41" t="s">
        <v>3098</v>
      </c>
      <c r="Q13" s="49">
        <f t="shared" si="0"/>
        <v>495</v>
      </c>
      <c r="R13" s="43">
        <f t="shared" si="1"/>
        <v>218.07499999999999</v>
      </c>
      <c r="S13" s="41" t="s">
        <v>788</v>
      </c>
      <c r="T13" s="48" t="str">
        <f t="shared" si="3"/>
        <v>(10,'SP3-OZ1-D','Station de Pompage SP3-OZ1-D','Friday-01-jj','Friday-01-jj',Wednesday-12-jj,8,16),</v>
      </c>
    </row>
    <row r="14" spans="1:20" ht="20.100000000000001" customHeight="1" x14ac:dyDescent="0.25">
      <c r="A14" s="38">
        <v>6</v>
      </c>
      <c r="B14" s="38">
        <v>12</v>
      </c>
      <c r="C14" s="38" t="s">
        <v>529</v>
      </c>
      <c r="D14" s="38">
        <v>1</v>
      </c>
      <c r="E14" s="45" t="str">
        <f>CONCATENATE("PS-",TEXT(A14,"00"),"-",O14)</f>
        <v>PS-06-OZ1</v>
      </c>
      <c r="F14" s="48" t="str">
        <f>CONCATENATE("Poste de Sectionnement n°",TEXT(A14,"00")," ",O14)</f>
        <v>Poste de Sectionnement n°06 OZ1</v>
      </c>
      <c r="G14" s="19">
        <v>24053</v>
      </c>
      <c r="H14" s="19">
        <v>24053</v>
      </c>
      <c r="I14" s="41" t="s">
        <v>20</v>
      </c>
      <c r="J14" s="41">
        <v>1</v>
      </c>
      <c r="K14" s="41" t="s">
        <v>3557</v>
      </c>
      <c r="L14" s="41">
        <v>16</v>
      </c>
      <c r="M14" s="41">
        <v>16</v>
      </c>
      <c r="N14" s="41"/>
      <c r="O14" s="41" t="s">
        <v>300</v>
      </c>
      <c r="P14" s="41" t="s">
        <v>725</v>
      </c>
      <c r="Q14" s="49">
        <f t="shared" si="0"/>
        <v>562</v>
      </c>
      <c r="R14" s="43">
        <f t="shared" si="1"/>
        <v>236.47499999999999</v>
      </c>
      <c r="S14" s="41" t="s">
        <v>746</v>
      </c>
      <c r="T14" s="48" t="str">
        <f t="shared" si="3"/>
        <v>(6,'PS-06-OZ1','Poste de Sectionnement n°06 OZ1','Sunday-11-jj','Sunday-11-jj',NULL,1,16),</v>
      </c>
    </row>
    <row r="15" spans="1:20" ht="20.100000000000001" customHeight="1" x14ac:dyDescent="0.25">
      <c r="A15" s="38">
        <v>7</v>
      </c>
      <c r="B15" s="38">
        <v>13</v>
      </c>
      <c r="C15" s="38" t="s">
        <v>529</v>
      </c>
      <c r="D15" s="38">
        <v>1</v>
      </c>
      <c r="E15" s="45" t="str">
        <f>CONCATENATE("PS-",TEXT(A15,"00"),"-",O15)</f>
        <v>PS-07-OZ1</v>
      </c>
      <c r="F15" s="48" t="str">
        <f>CONCATENATE("Poste de Sectionnement n°",TEXT(A15,"00")," ",O15)</f>
        <v>Poste de Sectionnement n°07 OZ1</v>
      </c>
      <c r="G15" s="19">
        <v>24053</v>
      </c>
      <c r="H15" s="19">
        <v>24053</v>
      </c>
      <c r="I15" s="41" t="s">
        <v>20</v>
      </c>
      <c r="J15" s="41">
        <v>1</v>
      </c>
      <c r="K15" s="41" t="s">
        <v>3557</v>
      </c>
      <c r="L15" s="41">
        <v>16</v>
      </c>
      <c r="M15" s="41">
        <v>16</v>
      </c>
      <c r="N15" s="41"/>
      <c r="O15" s="41" t="s">
        <v>300</v>
      </c>
      <c r="P15" s="41" t="s">
        <v>726</v>
      </c>
      <c r="Q15" s="49">
        <f t="shared" si="0"/>
        <v>631</v>
      </c>
      <c r="R15" s="43">
        <f t="shared" si="1"/>
        <v>256</v>
      </c>
      <c r="S15" s="41" t="s">
        <v>747</v>
      </c>
      <c r="T15" s="48" t="str">
        <f t="shared" si="3"/>
        <v>(7,'PS-07-OZ1','Poste de Sectionnement n°07 OZ1','Sunday-11-jj','Sunday-11-jj',NULL,1,16),</v>
      </c>
    </row>
    <row r="16" spans="1:20" ht="20.100000000000001" customHeight="1" x14ac:dyDescent="0.25">
      <c r="A16" s="38">
        <v>4</v>
      </c>
      <c r="B16" s="38">
        <v>14</v>
      </c>
      <c r="C16" s="38" t="s">
        <v>529</v>
      </c>
      <c r="D16" s="38">
        <v>1</v>
      </c>
      <c r="E16" s="39" t="str">
        <f>CONCATENATE("PC-",TEXT(A16,"00"),"-",O16)</f>
        <v>PC-04-OZ1</v>
      </c>
      <c r="F16" s="48" t="str">
        <f>CONCATENATE("Poste de Coupure n°",TEXT(A16,"00")," ",O16)</f>
        <v>Poste de Coupure n°04 OZ1</v>
      </c>
      <c r="G16" s="19">
        <v>24053</v>
      </c>
      <c r="H16" s="19">
        <v>24053</v>
      </c>
      <c r="I16" s="41" t="s">
        <v>20</v>
      </c>
      <c r="J16" s="41">
        <v>1</v>
      </c>
      <c r="K16" s="41" t="s">
        <v>3556</v>
      </c>
      <c r="L16" s="41">
        <v>15</v>
      </c>
      <c r="M16" s="41">
        <v>11</v>
      </c>
      <c r="N16" s="41"/>
      <c r="O16" s="41" t="s">
        <v>300</v>
      </c>
      <c r="P16" s="41" t="s">
        <v>3099</v>
      </c>
      <c r="Q16" s="49">
        <f t="shared" si="0"/>
        <v>777</v>
      </c>
      <c r="R16" s="43">
        <f t="shared" si="1"/>
        <v>306</v>
      </c>
      <c r="S16" s="41" t="s">
        <v>3102</v>
      </c>
      <c r="T16" s="48" t="str">
        <f t="shared" si="3"/>
        <v>(4,'PC-04-OZ1','Poste de Coupure n°04 OZ1','Sunday-11-jj','Sunday-11-jj',NULL,1,11),</v>
      </c>
    </row>
    <row r="17" spans="1:20" ht="20.100000000000001" customHeight="1" x14ac:dyDescent="0.25">
      <c r="A17" s="38">
        <v>11</v>
      </c>
      <c r="B17" s="38">
        <v>15</v>
      </c>
      <c r="C17" s="38" t="s">
        <v>529</v>
      </c>
      <c r="D17" s="38">
        <v>1</v>
      </c>
      <c r="E17" s="39" t="s">
        <v>3498</v>
      </c>
      <c r="F17" s="48" t="str">
        <f>CONCATENATE("Station de Pompage ",E17)</f>
        <v>Station de Pompage SP4-OZ1-D</v>
      </c>
      <c r="G17" s="19">
        <v>23743</v>
      </c>
      <c r="H17" s="19">
        <v>23743</v>
      </c>
      <c r="I17" s="19">
        <v>38352</v>
      </c>
      <c r="J17" s="41">
        <v>8</v>
      </c>
      <c r="K17" s="41" t="s">
        <v>3552</v>
      </c>
      <c r="L17" s="41">
        <v>7</v>
      </c>
      <c r="M17" s="41">
        <v>11</v>
      </c>
      <c r="N17" s="41"/>
      <c r="O17" s="41" t="s">
        <v>300</v>
      </c>
      <c r="P17" s="41" t="s">
        <v>3099</v>
      </c>
      <c r="Q17" s="49">
        <f t="shared" si="0"/>
        <v>777</v>
      </c>
      <c r="R17" s="43">
        <f t="shared" si="1"/>
        <v>306</v>
      </c>
      <c r="S17" s="41" t="s">
        <v>3102</v>
      </c>
      <c r="T17" s="48" t="str">
        <f t="shared" ref="T17:T26" si="4">CONCATENATE("(",A17,",'",E17,"','",F17,"','",TEXT(G17,"aaaa-mm-jj"),"','",TEXT(H17,"aaaa-mm-jj"),"',",I17,",",J17,",",M17,"),")</f>
        <v>(11,'SP4-OZ1-D','Station de Pompage SP4-OZ1-D','Friday-01-jj','Friday-01-jj',38352,8,11),</v>
      </c>
    </row>
    <row r="18" spans="1:20" ht="20.100000000000001" customHeight="1" x14ac:dyDescent="0.25">
      <c r="A18" s="38">
        <v>8</v>
      </c>
      <c r="B18" s="38">
        <v>16</v>
      </c>
      <c r="C18" s="38" t="s">
        <v>529</v>
      </c>
      <c r="D18" s="38">
        <v>1</v>
      </c>
      <c r="E18" s="45" t="str">
        <f>CONCATENATE("PS-",TEXT(A18,"00"),"-",O18)</f>
        <v>PS-08-OZ1</v>
      </c>
      <c r="F18" s="48" t="str">
        <f>CONCATENATE("Poste de Sectionnement n°",TEXT(A18,"00")," ",O18)</f>
        <v>Poste de Sectionnement n°08 OZ1</v>
      </c>
      <c r="G18" s="19">
        <v>24053</v>
      </c>
      <c r="H18" s="19">
        <v>24053</v>
      </c>
      <c r="I18" s="41" t="s">
        <v>20</v>
      </c>
      <c r="J18" s="41">
        <v>1</v>
      </c>
      <c r="K18" s="41" t="s">
        <v>3557</v>
      </c>
      <c r="L18" s="41">
        <v>16</v>
      </c>
      <c r="M18" s="41">
        <v>11</v>
      </c>
      <c r="N18" s="41"/>
      <c r="O18" s="41" t="s">
        <v>300</v>
      </c>
      <c r="P18" s="41" t="s">
        <v>727</v>
      </c>
      <c r="Q18" s="49">
        <f t="shared" si="0"/>
        <v>762</v>
      </c>
      <c r="R18" s="43">
        <f t="shared" si="1"/>
        <v>328.04700000000003</v>
      </c>
      <c r="S18" s="41" t="s">
        <v>748</v>
      </c>
      <c r="T18" s="48" t="str">
        <f t="shared" si="4"/>
        <v>(8,'PS-08-OZ1','Poste de Sectionnement n°08 OZ1','Sunday-11-jj','Sunday-11-jj',NULL,1,11),</v>
      </c>
    </row>
    <row r="19" spans="1:20" ht="20.100000000000001" customHeight="1" x14ac:dyDescent="0.25">
      <c r="A19" s="38">
        <v>5</v>
      </c>
      <c r="B19" s="38">
        <v>17</v>
      </c>
      <c r="C19" s="38" t="s">
        <v>529</v>
      </c>
      <c r="D19" s="38">
        <v>1</v>
      </c>
      <c r="E19" s="39" t="str">
        <f>CONCATENATE("PC-",TEXT(A19,"00"),"-",O19)</f>
        <v>PC-05-OZ1</v>
      </c>
      <c r="F19" s="48" t="str">
        <f>CONCATENATE("Poste de Coupure n°",TEXT(A19,"00")," ",O19)</f>
        <v>Poste de Coupure n°05 OZ1</v>
      </c>
      <c r="G19" s="19">
        <v>24053</v>
      </c>
      <c r="H19" s="19">
        <v>24053</v>
      </c>
      <c r="I19" s="41" t="s">
        <v>20</v>
      </c>
      <c r="J19" s="41">
        <v>1</v>
      </c>
      <c r="K19" s="41" t="s">
        <v>3556</v>
      </c>
      <c r="L19" s="41">
        <v>15</v>
      </c>
      <c r="M19" s="41">
        <v>11</v>
      </c>
      <c r="N19" s="41"/>
      <c r="O19" s="41" t="s">
        <v>300</v>
      </c>
      <c r="P19" s="41" t="s">
        <v>3100</v>
      </c>
      <c r="Q19" s="49">
        <f t="shared" si="0"/>
        <v>885</v>
      </c>
      <c r="R19" s="43">
        <f t="shared" si="1"/>
        <v>415.1</v>
      </c>
      <c r="S19" s="41" t="s">
        <v>3103</v>
      </c>
      <c r="T19" s="48" t="str">
        <f t="shared" si="4"/>
        <v>(5,'PC-05-OZ1','Poste de Coupure n°05 OZ1','Sunday-11-jj','Sunday-11-jj',NULL,1,11),</v>
      </c>
    </row>
    <row r="20" spans="1:20" ht="20.100000000000001" customHeight="1" x14ac:dyDescent="0.25">
      <c r="A20" s="38">
        <v>12</v>
      </c>
      <c r="B20" s="38">
        <v>18</v>
      </c>
      <c r="C20" s="38" t="s">
        <v>529</v>
      </c>
      <c r="D20" s="38">
        <v>1</v>
      </c>
      <c r="E20" s="39" t="s">
        <v>3499</v>
      </c>
      <c r="F20" s="48" t="str">
        <f>CONCATENATE("Station de Pompage ",E20)</f>
        <v>Station de Pompage SP5-OZ1-D</v>
      </c>
      <c r="G20" s="19">
        <v>23743</v>
      </c>
      <c r="H20" s="19">
        <v>23743</v>
      </c>
      <c r="I20" s="19">
        <v>40178</v>
      </c>
      <c r="J20" s="41">
        <v>8</v>
      </c>
      <c r="K20" s="41" t="s">
        <v>3552</v>
      </c>
      <c r="L20" s="41">
        <v>7</v>
      </c>
      <c r="M20" s="41">
        <v>11</v>
      </c>
      <c r="N20" s="41"/>
      <c r="O20" s="41" t="s">
        <v>300</v>
      </c>
      <c r="P20" s="41" t="s">
        <v>3100</v>
      </c>
      <c r="Q20" s="49">
        <f t="shared" si="0"/>
        <v>885</v>
      </c>
      <c r="R20" s="43">
        <f t="shared" si="1"/>
        <v>415.1</v>
      </c>
      <c r="S20" s="41" t="s">
        <v>3103</v>
      </c>
      <c r="T20" s="48" t="str">
        <f t="shared" si="4"/>
        <v>(12,'SP5-OZ1-D','Station de Pompage SP5-OZ1-D','Friday-01-jj','Friday-01-jj',40178,8,11),</v>
      </c>
    </row>
    <row r="21" spans="1:20" ht="20.100000000000001" customHeight="1" x14ac:dyDescent="0.25">
      <c r="A21" s="38">
        <v>9</v>
      </c>
      <c r="B21" s="38">
        <v>19</v>
      </c>
      <c r="C21" s="38" t="s">
        <v>529</v>
      </c>
      <c r="D21" s="38">
        <v>1</v>
      </c>
      <c r="E21" s="45" t="str">
        <f>CONCATENATE("PS-",TEXT(A21,"00"),"-",O21)</f>
        <v>PS-09-OZ1</v>
      </c>
      <c r="F21" s="48" t="str">
        <f>CONCATENATE("Poste de Sectionnement n°",TEXT(A21,"00")," ",O21)</f>
        <v>Poste de Sectionnement n°09 OZ1</v>
      </c>
      <c r="G21" s="19">
        <v>24053</v>
      </c>
      <c r="H21" s="19">
        <v>24053</v>
      </c>
      <c r="I21" s="41" t="s">
        <v>20</v>
      </c>
      <c r="J21" s="41">
        <v>1</v>
      </c>
      <c r="K21" s="41" t="s">
        <v>3557</v>
      </c>
      <c r="L21" s="41">
        <v>16</v>
      </c>
      <c r="M21" s="41">
        <v>11</v>
      </c>
      <c r="N21" s="41"/>
      <c r="O21" s="41" t="s">
        <v>300</v>
      </c>
      <c r="P21" s="41" t="s">
        <v>728</v>
      </c>
      <c r="Q21" s="49">
        <f t="shared" si="0"/>
        <v>1275</v>
      </c>
      <c r="R21" s="43">
        <f t="shared" si="1"/>
        <v>466.9</v>
      </c>
      <c r="S21" s="41" t="s">
        <v>749</v>
      </c>
      <c r="T21" s="48" t="str">
        <f t="shared" si="4"/>
        <v>(9,'PS-09-OZ1','Poste de Sectionnement n°09 OZ1','Sunday-11-jj','Sunday-11-jj',NULL,1,11),</v>
      </c>
    </row>
    <row r="22" spans="1:20" ht="20.100000000000001" customHeight="1" x14ac:dyDescent="0.25">
      <c r="A22" s="38">
        <v>10</v>
      </c>
      <c r="B22" s="38">
        <v>20</v>
      </c>
      <c r="C22" s="38" t="s">
        <v>529</v>
      </c>
      <c r="D22" s="38">
        <v>1</v>
      </c>
      <c r="E22" s="45" t="str">
        <f>CONCATENATE("PS-",TEXT(A22,"00"),"-",O22)</f>
        <v>PS-10-OZ1</v>
      </c>
      <c r="F22" s="48" t="str">
        <f>CONCATENATE("Poste de Sectionnement n°",TEXT(A22,"00")," ",O22)</f>
        <v>Poste de Sectionnement n°10 OZ1</v>
      </c>
      <c r="G22" s="19">
        <v>24053</v>
      </c>
      <c r="H22" s="19">
        <v>24053</v>
      </c>
      <c r="I22" s="41" t="s">
        <v>20</v>
      </c>
      <c r="J22" s="41">
        <v>1</v>
      </c>
      <c r="K22" s="41" t="s">
        <v>3557</v>
      </c>
      <c r="L22" s="41">
        <v>16</v>
      </c>
      <c r="M22" s="41">
        <v>11</v>
      </c>
      <c r="N22" s="41"/>
      <c r="O22" s="41" t="s">
        <v>300</v>
      </c>
      <c r="P22" s="41" t="s">
        <v>729</v>
      </c>
      <c r="Q22" s="49">
        <f t="shared" si="0"/>
        <v>1083</v>
      </c>
      <c r="R22" s="43">
        <f t="shared" si="1"/>
        <v>489.91500000000002</v>
      </c>
      <c r="S22" s="41" t="s">
        <v>750</v>
      </c>
      <c r="T22" s="48" t="str">
        <f t="shared" si="4"/>
        <v>(10,'PS-10-OZ1','Poste de Sectionnement n°10 OZ1','Sunday-11-jj','Sunday-11-jj',NULL,1,11),</v>
      </c>
    </row>
    <row r="23" spans="1:20" ht="20.100000000000001" customHeight="1" x14ac:dyDescent="0.25">
      <c r="A23" s="38">
        <v>11</v>
      </c>
      <c r="B23" s="38">
        <v>21</v>
      </c>
      <c r="C23" s="38" t="s">
        <v>529</v>
      </c>
      <c r="D23" s="38">
        <v>1</v>
      </c>
      <c r="E23" s="45" t="str">
        <f>CONCATENATE("PS-",TEXT(A23,"00"),"-",O23)</f>
        <v>PS-11-OZ1</v>
      </c>
      <c r="F23" s="48" t="str">
        <f>CONCATENATE("Poste de Sectionnement n°",TEXT(A23,"00")," ",O23)</f>
        <v>Poste de Sectionnement n°11 OZ1</v>
      </c>
      <c r="G23" s="19">
        <v>24053</v>
      </c>
      <c r="H23" s="19">
        <v>24053</v>
      </c>
      <c r="I23" s="41" t="s">
        <v>20</v>
      </c>
      <c r="J23" s="41">
        <v>1</v>
      </c>
      <c r="K23" s="41" t="s">
        <v>3557</v>
      </c>
      <c r="L23" s="41">
        <v>16</v>
      </c>
      <c r="M23" s="41">
        <v>11</v>
      </c>
      <c r="N23" s="41"/>
      <c r="O23" s="41" t="s">
        <v>300</v>
      </c>
      <c r="P23" s="41" t="s">
        <v>730</v>
      </c>
      <c r="Q23" s="49">
        <f t="shared" si="0"/>
        <v>970</v>
      </c>
      <c r="R23" s="43">
        <f t="shared" si="1"/>
        <v>533.94000000000005</v>
      </c>
      <c r="S23" s="41" t="s">
        <v>751</v>
      </c>
      <c r="T23" s="48" t="str">
        <f t="shared" si="4"/>
        <v>(11,'PS-11-OZ1','Poste de Sectionnement n°11 OZ1','Sunday-11-jj','Sunday-11-jj',NULL,1,11),</v>
      </c>
    </row>
    <row r="24" spans="1:20" ht="20.100000000000001" customHeight="1" x14ac:dyDescent="0.25">
      <c r="A24" s="38">
        <v>12</v>
      </c>
      <c r="B24" s="38">
        <v>22</v>
      </c>
      <c r="C24" s="38" t="s">
        <v>529</v>
      </c>
      <c r="D24" s="38">
        <v>1</v>
      </c>
      <c r="E24" s="45" t="str">
        <f>CONCATENATE("PS-",TEXT(A24,"00"),"-",O24)</f>
        <v>PS-12-OZ1</v>
      </c>
      <c r="F24" s="48" t="str">
        <f>CONCATENATE("Poste de Sectionnement n°",TEXT(A24,"00")," ",O24)</f>
        <v>Poste de Sectionnement n°12 OZ1</v>
      </c>
      <c r="G24" s="19">
        <v>24053</v>
      </c>
      <c r="H24" s="19">
        <v>24053</v>
      </c>
      <c r="I24" s="41" t="s">
        <v>20</v>
      </c>
      <c r="J24" s="41">
        <v>1</v>
      </c>
      <c r="K24" s="41" t="s">
        <v>3557</v>
      </c>
      <c r="L24" s="41">
        <v>16</v>
      </c>
      <c r="M24" s="41">
        <v>11</v>
      </c>
      <c r="N24" s="41"/>
      <c r="O24" s="41" t="s">
        <v>300</v>
      </c>
      <c r="P24" s="41" t="s">
        <v>731</v>
      </c>
      <c r="Q24" s="49">
        <f t="shared" si="0"/>
        <v>970</v>
      </c>
      <c r="R24" s="43">
        <f t="shared" si="1"/>
        <v>534.05999999999995</v>
      </c>
      <c r="S24" s="41" t="s">
        <v>751</v>
      </c>
      <c r="T24" s="48" t="str">
        <f t="shared" si="4"/>
        <v>(12,'PS-12-OZ1','Poste de Sectionnement n°12 OZ1','Sunday-11-jj','Sunday-11-jj',NULL,1,11),</v>
      </c>
    </row>
    <row r="25" spans="1:20" ht="20.100000000000001" customHeight="1" x14ac:dyDescent="0.25">
      <c r="A25" s="38">
        <v>6</v>
      </c>
      <c r="B25" s="38">
        <v>23</v>
      </c>
      <c r="C25" s="38" t="s">
        <v>529</v>
      </c>
      <c r="D25" s="38">
        <v>1</v>
      </c>
      <c r="E25" s="39" t="str">
        <f>CONCATENATE("PC-",TEXT(A25,"00"),"-",O25)</f>
        <v>PC-06-OZ1</v>
      </c>
      <c r="F25" s="48" t="str">
        <f>CONCATENATE("Poste de Coupure n°",TEXT(A25,"00")," ",O25)</f>
        <v>Poste de Coupure n°06 OZ1</v>
      </c>
      <c r="G25" s="19">
        <v>24053</v>
      </c>
      <c r="H25" s="19">
        <v>24053</v>
      </c>
      <c r="I25" s="41" t="s">
        <v>20</v>
      </c>
      <c r="J25" s="41">
        <v>1</v>
      </c>
      <c r="K25" s="41" t="s">
        <v>3556</v>
      </c>
      <c r="L25" s="41">
        <v>15</v>
      </c>
      <c r="M25" s="41">
        <v>11</v>
      </c>
      <c r="N25" s="41"/>
      <c r="O25" s="41" t="s">
        <v>300</v>
      </c>
      <c r="P25" s="41" t="s">
        <v>3101</v>
      </c>
      <c r="Q25" s="49">
        <f t="shared" si="0"/>
        <v>973</v>
      </c>
      <c r="R25" s="43">
        <f t="shared" si="1"/>
        <v>534.9</v>
      </c>
      <c r="S25" s="41" t="s">
        <v>3104</v>
      </c>
      <c r="T25" s="48" t="str">
        <f t="shared" si="4"/>
        <v>(6,'PC-06-OZ1','Poste de Coupure n°06 OZ1','Sunday-11-jj','Sunday-11-jj',NULL,1,11),</v>
      </c>
    </row>
    <row r="26" spans="1:20" ht="20.100000000000001" customHeight="1" x14ac:dyDescent="0.25">
      <c r="A26" s="38">
        <v>13</v>
      </c>
      <c r="B26" s="38">
        <v>24</v>
      </c>
      <c r="C26" s="38" t="s">
        <v>529</v>
      </c>
      <c r="D26" s="38">
        <v>1</v>
      </c>
      <c r="E26" s="39" t="s">
        <v>3500</v>
      </c>
      <c r="F26" s="48" t="str">
        <f>CONCATENATE("Station de Pompage ",E26)</f>
        <v>Station de Pompage SP6-OZ1-D</v>
      </c>
      <c r="G26" s="19">
        <v>23743</v>
      </c>
      <c r="H26" s="19">
        <v>23743</v>
      </c>
      <c r="I26" s="19">
        <v>38352</v>
      </c>
      <c r="J26" s="41">
        <v>8</v>
      </c>
      <c r="K26" s="41" t="s">
        <v>3552</v>
      </c>
      <c r="L26" s="41">
        <v>7</v>
      </c>
      <c r="M26" s="41">
        <v>11</v>
      </c>
      <c r="N26" s="41"/>
      <c r="O26" s="41" t="s">
        <v>300</v>
      </c>
      <c r="P26" s="41" t="s">
        <v>3101</v>
      </c>
      <c r="Q26" s="49">
        <f t="shared" si="0"/>
        <v>973</v>
      </c>
      <c r="R26" s="43">
        <f t="shared" si="1"/>
        <v>534.9</v>
      </c>
      <c r="S26" s="41" t="s">
        <v>3104</v>
      </c>
      <c r="T26" s="48" t="str">
        <f t="shared" si="4"/>
        <v>(13,'SP6-OZ1-D','Station de Pompage SP6-OZ1-D','Friday-01-jj','Friday-01-jj',38352,8,11),</v>
      </c>
    </row>
    <row r="27" spans="1:20" ht="20.100000000000001" customHeight="1" x14ac:dyDescent="0.25">
      <c r="A27" s="38">
        <v>13</v>
      </c>
      <c r="B27" s="38">
        <v>25</v>
      </c>
      <c r="C27" s="38" t="s">
        <v>529</v>
      </c>
      <c r="D27" s="38">
        <v>1</v>
      </c>
      <c r="E27" s="45" t="str">
        <f>CONCATENATE("PS-",TEXT(A27,"00"),"-",O27)</f>
        <v>PS-13-OZ1</v>
      </c>
      <c r="F27" s="48" t="str">
        <f>CONCATENATE("Poste de Sectionnement n°",TEXT(A27,"00")," ",O27)</f>
        <v>Poste de Sectionnement n°13 OZ1</v>
      </c>
      <c r="G27" s="19">
        <v>24053</v>
      </c>
      <c r="H27" s="19">
        <v>24053</v>
      </c>
      <c r="I27" s="41" t="s">
        <v>20</v>
      </c>
      <c r="J27" s="41">
        <v>1</v>
      </c>
      <c r="K27" s="41" t="s">
        <v>3557</v>
      </c>
      <c r="L27" s="41">
        <v>16</v>
      </c>
      <c r="M27" s="41">
        <v>11</v>
      </c>
      <c r="N27" s="41"/>
      <c r="O27" s="41" t="s">
        <v>300</v>
      </c>
      <c r="P27" s="41" t="s">
        <v>732</v>
      </c>
      <c r="Q27" s="49">
        <f t="shared" si="0"/>
        <v>1100</v>
      </c>
      <c r="R27" s="43">
        <f t="shared" si="1"/>
        <v>552.12199999999996</v>
      </c>
      <c r="S27" s="41" t="s">
        <v>752</v>
      </c>
      <c r="T27" s="48" t="str">
        <f t="shared" ref="T27:T35" si="5">CONCATENATE("(",A27,",'",E27,"','",F27,"','",TEXT(G27,"aaaa-mm-jj"),"','",TEXT(H27,"aaaa-mm-jj"),"',",TEXT(I27,"aaaa-mm-jj"),",",J27,",",M27,"),")</f>
        <v>(13,'PS-13-OZ1','Poste de Sectionnement n°13 OZ1','Sunday-11-jj','Sunday-11-jj',NULL,1,11),</v>
      </c>
    </row>
    <row r="28" spans="1:20" ht="20.100000000000001" customHeight="1" x14ac:dyDescent="0.25">
      <c r="A28" s="38">
        <v>14</v>
      </c>
      <c r="B28" s="38">
        <v>26</v>
      </c>
      <c r="C28" s="38" t="s">
        <v>529</v>
      </c>
      <c r="D28" s="38">
        <v>1</v>
      </c>
      <c r="E28" s="45" t="str">
        <f>CONCATENATE("PS-",TEXT(A28,"00"),"-",O28)</f>
        <v>PS-14-OZ1</v>
      </c>
      <c r="F28" s="48" t="str">
        <f>CONCATENATE("Poste de Sectionnement n°",TEXT(A28,"00")," ",O28)</f>
        <v>Poste de Sectionnement n°14 OZ1</v>
      </c>
      <c r="G28" s="19">
        <v>24053</v>
      </c>
      <c r="H28" s="19">
        <v>24053</v>
      </c>
      <c r="I28" s="41" t="s">
        <v>20</v>
      </c>
      <c r="J28" s="41">
        <v>1</v>
      </c>
      <c r="K28" s="41" t="s">
        <v>3557</v>
      </c>
      <c r="L28" s="41">
        <v>16</v>
      </c>
      <c r="M28" s="41">
        <v>11</v>
      </c>
      <c r="N28" s="41"/>
      <c r="O28" s="41" t="s">
        <v>300</v>
      </c>
      <c r="P28" s="41" t="s">
        <v>733</v>
      </c>
      <c r="Q28" s="49">
        <f t="shared" si="0"/>
        <v>1100</v>
      </c>
      <c r="R28" s="43">
        <f t="shared" si="1"/>
        <v>611.375</v>
      </c>
      <c r="S28" s="41" t="s">
        <v>753</v>
      </c>
      <c r="T28" s="48" t="str">
        <f t="shared" si="5"/>
        <v>(14,'PS-14-OZ1','Poste de Sectionnement n°14 OZ1','Sunday-11-jj','Sunday-11-jj',NULL,1,11),</v>
      </c>
    </row>
    <row r="29" spans="1:20" ht="20.100000000000001" customHeight="1" x14ac:dyDescent="0.25">
      <c r="A29" s="38">
        <v>15</v>
      </c>
      <c r="B29" s="38">
        <v>27</v>
      </c>
      <c r="C29" s="38" t="s">
        <v>529</v>
      </c>
      <c r="D29" s="38">
        <v>1</v>
      </c>
      <c r="E29" s="45" t="str">
        <f>CONCATENATE("PS-",TEXT(A29,"00"),"-",O29)</f>
        <v>PS-15-OZ1</v>
      </c>
      <c r="F29" s="48" t="str">
        <f>CONCATENATE("Poste de Sectionnement n°",TEXT(A29,"00")," ",O29)</f>
        <v>Poste de Sectionnement n°15 OZ1</v>
      </c>
      <c r="G29" s="19">
        <v>24053</v>
      </c>
      <c r="H29" s="19">
        <v>24053</v>
      </c>
      <c r="I29" s="41" t="s">
        <v>20</v>
      </c>
      <c r="J29" s="41">
        <v>1</v>
      </c>
      <c r="K29" s="41" t="s">
        <v>3557</v>
      </c>
      <c r="L29" s="41">
        <v>16</v>
      </c>
      <c r="M29" s="41">
        <v>11</v>
      </c>
      <c r="N29" s="41"/>
      <c r="O29" s="41" t="s">
        <v>300</v>
      </c>
      <c r="P29" s="41" t="s">
        <v>734</v>
      </c>
      <c r="Q29" s="49">
        <f t="shared" si="0"/>
        <v>758</v>
      </c>
      <c r="R29" s="43">
        <f t="shared" si="1"/>
        <v>648</v>
      </c>
      <c r="S29" s="41" t="s">
        <v>754</v>
      </c>
      <c r="T29" s="48" t="str">
        <f t="shared" si="5"/>
        <v>(15,'PS-15-OZ1','Poste de Sectionnement n°15 OZ1','Sunday-11-jj','Sunday-11-jj',NULL,1,11),</v>
      </c>
    </row>
    <row r="30" spans="1:20" ht="20.100000000000001" customHeight="1" x14ac:dyDescent="0.25">
      <c r="A30" s="38">
        <v>16</v>
      </c>
      <c r="B30" s="38">
        <v>28</v>
      </c>
      <c r="C30" s="38" t="s">
        <v>529</v>
      </c>
      <c r="D30" s="38">
        <v>1</v>
      </c>
      <c r="E30" s="45" t="str">
        <f>CONCATENATE("PS-",TEXT(A30,"00"),"-",O30)</f>
        <v>PS-16-OZ1</v>
      </c>
      <c r="F30" s="48" t="str">
        <f>CONCATENATE("Poste de Sectionnement n°",TEXT(A30,"00")," ",O30)</f>
        <v>Poste de Sectionnement n°16 OZ1</v>
      </c>
      <c r="G30" s="19">
        <v>24053</v>
      </c>
      <c r="H30" s="19">
        <v>24053</v>
      </c>
      <c r="I30" s="41" t="s">
        <v>20</v>
      </c>
      <c r="J30" s="41">
        <v>1</v>
      </c>
      <c r="K30" s="41" t="s">
        <v>3557</v>
      </c>
      <c r="L30" s="41">
        <v>16</v>
      </c>
      <c r="M30" s="41">
        <v>11</v>
      </c>
      <c r="N30" s="41"/>
      <c r="O30" s="41" t="s">
        <v>300</v>
      </c>
      <c r="P30" s="41" t="s">
        <v>735</v>
      </c>
      <c r="Q30" s="49">
        <f t="shared" si="0"/>
        <v>620</v>
      </c>
      <c r="R30" s="43">
        <f t="shared" si="1"/>
        <v>669.30200000000002</v>
      </c>
      <c r="S30" s="41" t="s">
        <v>755</v>
      </c>
      <c r="T30" s="48" t="str">
        <f t="shared" si="5"/>
        <v>(16,'PS-16-OZ1','Poste de Sectionnement n°16 OZ1','Sunday-11-jj','Sunday-11-jj',NULL,1,11),</v>
      </c>
    </row>
    <row r="31" spans="1:20" ht="20.100000000000001" customHeight="1" x14ac:dyDescent="0.25">
      <c r="A31" s="38">
        <v>17</v>
      </c>
      <c r="B31" s="38">
        <v>29</v>
      </c>
      <c r="C31" s="38" t="s">
        <v>529</v>
      </c>
      <c r="D31" s="38">
        <v>1</v>
      </c>
      <c r="E31" s="45" t="str">
        <f>CONCATENATE("PS-",TEXT(A31,"00"),"-",O31)</f>
        <v>PS-17-OZ1</v>
      </c>
      <c r="F31" s="48" t="str">
        <f>CONCATENATE("Poste de Sectionnement n°",TEXT(A31,"00")," ",O31)</f>
        <v>Poste de Sectionnement n°17 OZ1</v>
      </c>
      <c r="G31" s="19">
        <v>24053</v>
      </c>
      <c r="H31" s="19">
        <v>24053</v>
      </c>
      <c r="I31" s="41" t="s">
        <v>20</v>
      </c>
      <c r="J31" s="41">
        <v>1</v>
      </c>
      <c r="K31" s="41" t="s">
        <v>3557</v>
      </c>
      <c r="L31" s="41">
        <v>16</v>
      </c>
      <c r="M31" s="41">
        <v>11</v>
      </c>
      <c r="N31" s="41"/>
      <c r="O31" s="41" t="s">
        <v>300</v>
      </c>
      <c r="P31" s="41" t="s">
        <v>736</v>
      </c>
      <c r="Q31" s="49">
        <f t="shared" si="0"/>
        <v>270</v>
      </c>
      <c r="R31" s="43">
        <f t="shared" si="1"/>
        <v>701.54399999999998</v>
      </c>
      <c r="S31" s="41" t="s">
        <v>756</v>
      </c>
      <c r="T31" s="48" t="str">
        <f t="shared" si="5"/>
        <v>(17,'PS-17-OZ1','Poste de Sectionnement n°17 OZ1','Sunday-11-jj','Sunday-11-jj',NULL,1,11),</v>
      </c>
    </row>
    <row r="32" spans="1:20" ht="20.100000000000001" customHeight="1" x14ac:dyDescent="0.25">
      <c r="A32" s="38">
        <v>14</v>
      </c>
      <c r="B32" s="38">
        <v>30</v>
      </c>
      <c r="C32" s="38" t="s">
        <v>529</v>
      </c>
      <c r="D32" s="38">
        <v>1</v>
      </c>
      <c r="E32" s="39" t="s">
        <v>3501</v>
      </c>
      <c r="F32" s="48" t="s">
        <v>3504</v>
      </c>
      <c r="G32" s="19">
        <v>23743</v>
      </c>
      <c r="H32" s="19">
        <v>23743</v>
      </c>
      <c r="I32" s="19">
        <v>43465</v>
      </c>
      <c r="J32" s="41">
        <v>8</v>
      </c>
      <c r="K32" s="41" t="s">
        <v>3553</v>
      </c>
      <c r="L32" s="41">
        <v>9</v>
      </c>
      <c r="M32" s="41">
        <v>11</v>
      </c>
      <c r="N32" s="41"/>
      <c r="O32" s="41" t="s">
        <v>300</v>
      </c>
      <c r="P32" s="41" t="s">
        <v>3563</v>
      </c>
      <c r="Q32" s="49">
        <f t="shared" si="0"/>
        <v>498</v>
      </c>
      <c r="R32" s="43">
        <f t="shared" si="1"/>
        <v>705.57299999999998</v>
      </c>
      <c r="S32" s="41" t="s">
        <v>3564</v>
      </c>
      <c r="T32" s="48" t="str">
        <f t="shared" si="5"/>
        <v>(14,'PRS-OZ1-D','Station de Régulation PRS-OZ1-D','Friday-01-jj','Friday-01-jj',Monday-12-jj,8,11),</v>
      </c>
    </row>
    <row r="33" spans="1:20" ht="20.100000000000001" customHeight="1" x14ac:dyDescent="0.25">
      <c r="A33" s="38">
        <v>18</v>
      </c>
      <c r="B33" s="38">
        <v>31</v>
      </c>
      <c r="C33" s="38" t="s">
        <v>529</v>
      </c>
      <c r="D33" s="38">
        <v>1</v>
      </c>
      <c r="E33" s="45" t="str">
        <f>CONCATENATE("PS-",TEXT(A33,"00"),"-",O33)</f>
        <v>PS-18-OZ1</v>
      </c>
      <c r="F33" s="48" t="str">
        <f>CONCATENATE("Poste de Sectionnement n°",TEXT(A33,"00")," ",O33)</f>
        <v>Poste de Sectionnement n°18 OZ1</v>
      </c>
      <c r="G33" s="19">
        <v>24053</v>
      </c>
      <c r="H33" s="19">
        <v>24053</v>
      </c>
      <c r="I33" s="41" t="s">
        <v>20</v>
      </c>
      <c r="J33" s="41">
        <v>1</v>
      </c>
      <c r="K33" s="41" t="s">
        <v>3557</v>
      </c>
      <c r="L33" s="41">
        <v>16</v>
      </c>
      <c r="M33" s="41">
        <v>11</v>
      </c>
      <c r="N33" s="41"/>
      <c r="O33" s="41" t="s">
        <v>300</v>
      </c>
      <c r="P33" s="41" t="s">
        <v>737</v>
      </c>
      <c r="Q33" s="49">
        <f t="shared" si="0"/>
        <v>87</v>
      </c>
      <c r="R33" s="43">
        <f t="shared" si="1"/>
        <v>715.88499999999999</v>
      </c>
      <c r="S33" s="41" t="s">
        <v>757</v>
      </c>
      <c r="T33" s="48" t="str">
        <f t="shared" si="5"/>
        <v>(18,'PS-18-OZ1','Poste de Sectionnement n°18 OZ1','Sunday-11-jj','Sunday-11-jj',NULL,1,11),</v>
      </c>
    </row>
    <row r="34" spans="1:20" ht="20.100000000000001" customHeight="1" x14ac:dyDescent="0.25">
      <c r="A34" s="38">
        <v>19</v>
      </c>
      <c r="B34" s="38">
        <v>32</v>
      </c>
      <c r="C34" s="38" t="s">
        <v>529</v>
      </c>
      <c r="D34" s="38">
        <v>1</v>
      </c>
      <c r="E34" s="45" t="str">
        <f>CONCATENATE("PS-",TEXT(A34,"00"),"-",O34)</f>
        <v>PS-19-OZ1</v>
      </c>
      <c r="F34" s="48" t="str">
        <f>CONCATENATE("Poste de Sectionnement n°",TEXT(A34,"00")," ",O34)</f>
        <v>Poste de Sectionnement n°19 OZ1</v>
      </c>
      <c r="G34" s="19">
        <v>24053</v>
      </c>
      <c r="H34" s="19">
        <v>24053</v>
      </c>
      <c r="I34" s="41" t="s">
        <v>20</v>
      </c>
      <c r="J34" s="41">
        <v>1</v>
      </c>
      <c r="K34" s="41" t="s">
        <v>3557</v>
      </c>
      <c r="L34" s="41">
        <v>16</v>
      </c>
      <c r="M34" s="41">
        <v>11</v>
      </c>
      <c r="N34" s="41"/>
      <c r="O34" s="41" t="s">
        <v>300</v>
      </c>
      <c r="P34" s="41" t="s">
        <v>738</v>
      </c>
      <c r="Q34" s="49">
        <f t="shared" si="0"/>
        <v>25</v>
      </c>
      <c r="R34" s="43">
        <f t="shared" si="1"/>
        <v>758.279</v>
      </c>
      <c r="S34" s="41" t="s">
        <v>758</v>
      </c>
      <c r="T34" s="48" t="str">
        <f t="shared" si="5"/>
        <v>(19,'PS-19-OZ1','Poste de Sectionnement n°19 OZ1','Sunday-11-jj','Sunday-11-jj',NULL,1,11),</v>
      </c>
    </row>
    <row r="35" spans="1:20" ht="20.100000000000001" customHeight="1" x14ac:dyDescent="0.25">
      <c r="A35" s="38">
        <v>20</v>
      </c>
      <c r="B35" s="38">
        <v>33</v>
      </c>
      <c r="C35" s="38" t="s">
        <v>529</v>
      </c>
      <c r="D35" s="38">
        <v>1</v>
      </c>
      <c r="E35" s="45" t="str">
        <f>CONCATENATE("PS-",TEXT(A35,"00"),"-",O35)</f>
        <v>PS-20-OZ1</v>
      </c>
      <c r="F35" s="48" t="str">
        <f>CONCATENATE("Poste de Sectionnement n°",TEXT(A35,"00")," ",O35)</f>
        <v>Poste de Sectionnement n°20 OZ1</v>
      </c>
      <c r="G35" s="19">
        <v>24053</v>
      </c>
      <c r="H35" s="19">
        <v>24053</v>
      </c>
      <c r="I35" s="41" t="s">
        <v>20</v>
      </c>
      <c r="J35" s="41">
        <v>1</v>
      </c>
      <c r="K35" s="41" t="s">
        <v>3557</v>
      </c>
      <c r="L35" s="41">
        <v>16</v>
      </c>
      <c r="M35" s="41">
        <v>11</v>
      </c>
      <c r="N35" s="41"/>
      <c r="O35" s="41" t="s">
        <v>300</v>
      </c>
      <c r="P35" s="41" t="s">
        <v>739</v>
      </c>
      <c r="Q35" s="49">
        <f t="shared" si="0"/>
        <v>8</v>
      </c>
      <c r="R35" s="43">
        <f t="shared" si="1"/>
        <v>781.59400000000005</v>
      </c>
      <c r="S35" s="41" t="s">
        <v>758</v>
      </c>
      <c r="T35" s="48" t="str">
        <f t="shared" si="5"/>
        <v>(20,'PS-20-OZ1','Poste de Sectionnement n°20 OZ1','Sunday-11-jj','Sunday-11-jj',NULL,1,11),</v>
      </c>
    </row>
    <row r="36" spans="1:20" ht="20.100000000000001" customHeight="1" x14ac:dyDescent="0.25">
      <c r="A36" s="38">
        <v>21</v>
      </c>
      <c r="B36" s="38">
        <v>34</v>
      </c>
      <c r="C36" s="38" t="s">
        <v>529</v>
      </c>
      <c r="D36" s="38">
        <v>1</v>
      </c>
      <c r="E36" s="45" t="str">
        <f>CONCATENATE("PS-",TEXT(A36,"00"),"-",O36)</f>
        <v>PS-21-OZ1</v>
      </c>
      <c r="F36" s="48" t="str">
        <f>CONCATENATE("Poste de Sectionnement n°",TEXT(A36,"00")," ",O36)</f>
        <v>Poste de Sectionnement n°21 OZ1</v>
      </c>
      <c r="G36" s="19">
        <v>24053</v>
      </c>
      <c r="H36" s="19">
        <v>24053</v>
      </c>
      <c r="I36" s="41" t="s">
        <v>20</v>
      </c>
      <c r="J36" s="41">
        <v>1</v>
      </c>
      <c r="K36" s="41" t="s">
        <v>3557</v>
      </c>
      <c r="L36" s="41">
        <v>16</v>
      </c>
      <c r="M36" s="41">
        <v>11</v>
      </c>
      <c r="N36" s="41"/>
      <c r="O36" s="41" t="s">
        <v>300</v>
      </c>
      <c r="P36" s="41" t="s">
        <v>740</v>
      </c>
      <c r="Q36" s="49">
        <f t="shared" si="0"/>
        <v>8</v>
      </c>
      <c r="R36" s="43">
        <f t="shared" si="1"/>
        <v>781.72</v>
      </c>
      <c r="S36" s="41" t="s">
        <v>759</v>
      </c>
      <c r="T36" s="48" t="str">
        <f t="shared" ref="T36:T50" si="6">CONCATENATE("(",A36,",'",E36,"','",F36,"','",TEXT(G36,"aaaa-mm-jj"),"','",TEXT(H36,"aaaa-mm-jj"),"',",I36,",",J36,",",M36,"),")</f>
        <v>(21,'PS-21-OZ1','Poste de Sectionnement n°21 OZ1','Sunday-11-jj','Sunday-11-jj',NULL,1,11),</v>
      </c>
    </row>
    <row r="37" spans="1:20" ht="20.100000000000001" customHeight="1" x14ac:dyDescent="0.25">
      <c r="A37" s="38">
        <v>1</v>
      </c>
      <c r="B37" s="38">
        <v>35</v>
      </c>
      <c r="C37" s="38" t="s">
        <v>529</v>
      </c>
      <c r="D37" s="38">
        <v>1</v>
      </c>
      <c r="E37" s="39" t="str">
        <f>CONCATENATE("PC-",TEXT(A37,"00"),"-",O37)</f>
        <v>PC-01-OZ2</v>
      </c>
      <c r="F37" s="48" t="str">
        <f>CONCATENATE("Poste de Coupure n°",TEXT(A37,"00")," ",O37)</f>
        <v>Poste de Coupure n°01 OZ2</v>
      </c>
      <c r="G37" s="19">
        <v>37851</v>
      </c>
      <c r="H37" s="19">
        <v>37851</v>
      </c>
      <c r="I37" s="41" t="s">
        <v>20</v>
      </c>
      <c r="J37" s="41">
        <v>1</v>
      </c>
      <c r="K37" s="41" t="s">
        <v>3556</v>
      </c>
      <c r="L37" s="41">
        <v>15</v>
      </c>
      <c r="M37" s="41">
        <v>16</v>
      </c>
      <c r="N37" s="41"/>
      <c r="O37" s="41" t="s">
        <v>302</v>
      </c>
      <c r="P37" s="41" t="s">
        <v>3105</v>
      </c>
      <c r="Q37" s="49">
        <f t="shared" si="0"/>
        <v>169</v>
      </c>
      <c r="R37" s="43">
        <f t="shared" si="1"/>
        <v>0</v>
      </c>
      <c r="S37" s="41" t="s">
        <v>998</v>
      </c>
      <c r="T37" s="48" t="str">
        <f t="shared" si="6"/>
        <v>(1,'PC-01-OZ2','Poste de Coupure n°01 OZ2','Monday-08-jj','Monday-08-jj',NULL,1,16),</v>
      </c>
    </row>
    <row r="38" spans="1:20" ht="20.100000000000001" customHeight="1" x14ac:dyDescent="0.25">
      <c r="A38" s="38">
        <v>1</v>
      </c>
      <c r="B38" s="38">
        <v>36</v>
      </c>
      <c r="C38" s="38" t="s">
        <v>529</v>
      </c>
      <c r="D38" s="38">
        <v>1</v>
      </c>
      <c r="E38" s="39" t="s">
        <v>3339</v>
      </c>
      <c r="F38" s="48" t="str">
        <f>CONCATENATE("Station de Pompage ",E38)</f>
        <v>Station de Pompage SP1-OZ1/OZ2</v>
      </c>
      <c r="G38" s="19">
        <v>36540</v>
      </c>
      <c r="H38" s="19">
        <v>37154</v>
      </c>
      <c r="I38" s="41" t="s">
        <v>20</v>
      </c>
      <c r="J38" s="41">
        <v>1</v>
      </c>
      <c r="K38" s="41" t="s">
        <v>3552</v>
      </c>
      <c r="L38" s="41">
        <v>7</v>
      </c>
      <c r="M38" s="41">
        <v>16</v>
      </c>
      <c r="N38" s="41"/>
      <c r="O38" s="41" t="s">
        <v>302</v>
      </c>
      <c r="P38" s="41" t="s">
        <v>3096</v>
      </c>
      <c r="Q38" s="49">
        <f t="shared" si="0"/>
        <v>156</v>
      </c>
      <c r="R38" s="43">
        <f t="shared" si="1"/>
        <v>0</v>
      </c>
      <c r="S38" s="41" t="s">
        <v>998</v>
      </c>
      <c r="T38" s="48" t="str">
        <f t="shared" si="6"/>
        <v>(1,'SP1-OZ1/OZ2','Station de Pompage SP1-OZ1/OZ2','Saturday-01-jj','Thursday-09-jj',NULL,1,16),</v>
      </c>
    </row>
    <row r="39" spans="1:20" ht="20.100000000000001" customHeight="1" x14ac:dyDescent="0.25">
      <c r="A39" s="38">
        <v>1</v>
      </c>
      <c r="B39" s="38">
        <v>37</v>
      </c>
      <c r="C39" s="38" t="s">
        <v>529</v>
      </c>
      <c r="D39" s="38">
        <v>1</v>
      </c>
      <c r="E39" s="45" t="str">
        <f>CONCATENATE("PS-",TEXT(A39,"00"),"-",O39)</f>
        <v>PS-01-OZ2</v>
      </c>
      <c r="F39" s="48" t="str">
        <f>CONCATENATE("Poste de Sectionnement n°",TEXT(A39,"00")," ",O39)</f>
        <v>Poste de Sectionnement n°01 OZ2</v>
      </c>
      <c r="G39" s="19">
        <v>37851</v>
      </c>
      <c r="H39" s="19">
        <v>37851</v>
      </c>
      <c r="I39" s="41" t="s">
        <v>20</v>
      </c>
      <c r="J39" s="41">
        <v>1</v>
      </c>
      <c r="K39" s="41" t="s">
        <v>3557</v>
      </c>
      <c r="L39" s="41">
        <v>16</v>
      </c>
      <c r="M39" s="41">
        <v>16</v>
      </c>
      <c r="N39" s="41"/>
      <c r="O39" s="41" t="s">
        <v>302</v>
      </c>
      <c r="P39" s="41" t="s">
        <v>760</v>
      </c>
      <c r="Q39" s="49">
        <f t="shared" si="0"/>
        <v>142</v>
      </c>
      <c r="R39" s="43">
        <f t="shared" si="1"/>
        <v>22</v>
      </c>
      <c r="S39" s="41" t="s">
        <v>785</v>
      </c>
      <c r="T39" s="48" t="str">
        <f t="shared" si="6"/>
        <v>(1,'PS-01-OZ2','Poste de Sectionnement n°01 OZ2','Monday-08-jj','Monday-08-jj',NULL,1,16),</v>
      </c>
    </row>
    <row r="40" spans="1:20" ht="20.100000000000001" customHeight="1" x14ac:dyDescent="0.25">
      <c r="A40" s="38">
        <v>2</v>
      </c>
      <c r="B40" s="38">
        <v>38</v>
      </c>
      <c r="C40" s="38" t="s">
        <v>529</v>
      </c>
      <c r="D40" s="38">
        <v>1</v>
      </c>
      <c r="E40" s="45" t="str">
        <f>CONCATENATE("PS-",TEXT(A40,"00"),"-",O40)</f>
        <v>PS-02-OZ2</v>
      </c>
      <c r="F40" s="48" t="str">
        <f>CONCATENATE("Poste de Sectionnement n°",TEXT(A40,"00")," ",O40)</f>
        <v>Poste de Sectionnement n°02 OZ2</v>
      </c>
      <c r="G40" s="19">
        <v>37851</v>
      </c>
      <c r="H40" s="19">
        <v>37851</v>
      </c>
      <c r="I40" s="41" t="s">
        <v>20</v>
      </c>
      <c r="J40" s="41">
        <v>1</v>
      </c>
      <c r="K40" s="41" t="s">
        <v>3557</v>
      </c>
      <c r="L40" s="41">
        <v>16</v>
      </c>
      <c r="M40" s="41">
        <v>16</v>
      </c>
      <c r="N40" s="41"/>
      <c r="O40" s="41" t="s">
        <v>302</v>
      </c>
      <c r="P40" s="41" t="s">
        <v>761</v>
      </c>
      <c r="Q40" s="49">
        <f t="shared" si="0"/>
        <v>149</v>
      </c>
      <c r="R40" s="43">
        <f t="shared" si="1"/>
        <v>43.9</v>
      </c>
      <c r="S40" s="41" t="s">
        <v>786</v>
      </c>
      <c r="T40" s="48" t="str">
        <f t="shared" si="6"/>
        <v>(2,'PS-02-OZ2','Poste de Sectionnement n°02 OZ2','Monday-08-jj','Monday-08-jj',NULL,1,16),</v>
      </c>
    </row>
    <row r="41" spans="1:20" ht="20.100000000000001" customHeight="1" x14ac:dyDescent="0.25">
      <c r="A41" s="38">
        <v>3</v>
      </c>
      <c r="B41" s="38">
        <v>39</v>
      </c>
      <c r="C41" s="38" t="s">
        <v>529</v>
      </c>
      <c r="D41" s="38">
        <v>1</v>
      </c>
      <c r="E41" s="45" t="str">
        <f>CONCATENATE("PS-",TEXT(A41,"00"),"-",O41)</f>
        <v>PS-03-OZ2</v>
      </c>
      <c r="F41" s="48" t="str">
        <f>CONCATENATE("Poste de Sectionnement n°",TEXT(A41,"00")," ",O41)</f>
        <v>Poste de Sectionnement n°03 OZ2</v>
      </c>
      <c r="G41" s="19">
        <v>37851</v>
      </c>
      <c r="H41" s="19">
        <v>37851</v>
      </c>
      <c r="I41" s="41" t="s">
        <v>20</v>
      </c>
      <c r="J41" s="41">
        <v>1</v>
      </c>
      <c r="K41" s="41" t="s">
        <v>3557</v>
      </c>
      <c r="L41" s="41">
        <v>16</v>
      </c>
      <c r="M41" s="41">
        <v>16</v>
      </c>
      <c r="N41" s="41"/>
      <c r="O41" s="41" t="s">
        <v>302</v>
      </c>
      <c r="P41" s="41" t="s">
        <v>762</v>
      </c>
      <c r="Q41" s="49">
        <f t="shared" si="0"/>
        <v>186</v>
      </c>
      <c r="R41" s="43">
        <f t="shared" si="1"/>
        <v>73</v>
      </c>
      <c r="S41" s="41" t="s">
        <v>744</v>
      </c>
      <c r="T41" s="48" t="str">
        <f t="shared" si="6"/>
        <v>(3,'PS-03-OZ2','Poste de Sectionnement n°03 OZ2','Monday-08-jj','Monday-08-jj',NULL,1,16),</v>
      </c>
    </row>
    <row r="42" spans="1:20" ht="20.100000000000001" customHeight="1" x14ac:dyDescent="0.25">
      <c r="A42" s="38">
        <v>4</v>
      </c>
      <c r="B42" s="38">
        <v>40</v>
      </c>
      <c r="C42" s="38" t="s">
        <v>529</v>
      </c>
      <c r="D42" s="38">
        <v>1</v>
      </c>
      <c r="E42" s="45" t="str">
        <f>CONCATENATE("PS-",TEXT(A42,"00"),"-",O42)</f>
        <v>PS-04-OZ2</v>
      </c>
      <c r="F42" s="48" t="str">
        <f>CONCATENATE("Poste de Sectionnement n°",TEXT(A42,"00")," ",O42)</f>
        <v>Poste de Sectionnement n°04 OZ2</v>
      </c>
      <c r="G42" s="19">
        <v>37851</v>
      </c>
      <c r="H42" s="19">
        <v>37851</v>
      </c>
      <c r="I42" s="41" t="s">
        <v>20</v>
      </c>
      <c r="J42" s="41">
        <v>1</v>
      </c>
      <c r="K42" s="41" t="s">
        <v>3557</v>
      </c>
      <c r="L42" s="41">
        <v>16</v>
      </c>
      <c r="M42" s="41">
        <v>16</v>
      </c>
      <c r="N42" s="41"/>
      <c r="O42" s="41" t="s">
        <v>302</v>
      </c>
      <c r="P42" s="41" t="s">
        <v>763</v>
      </c>
      <c r="Q42" s="49">
        <f t="shared" si="0"/>
        <v>223</v>
      </c>
      <c r="R42" s="43">
        <f t="shared" si="1"/>
        <v>102</v>
      </c>
      <c r="S42" s="41" t="s">
        <v>744</v>
      </c>
      <c r="T42" s="48" t="str">
        <f t="shared" si="6"/>
        <v>(4,'PS-04-OZ2','Poste de Sectionnement n°04 OZ2','Monday-08-jj','Monday-08-jj',NULL,1,16),</v>
      </c>
    </row>
    <row r="43" spans="1:20" ht="20.100000000000001" customHeight="1" x14ac:dyDescent="0.25">
      <c r="A43" s="38">
        <v>2</v>
      </c>
      <c r="B43" s="38">
        <v>41</v>
      </c>
      <c r="C43" s="38" t="s">
        <v>529</v>
      </c>
      <c r="D43" s="38">
        <v>1</v>
      </c>
      <c r="E43" s="39" t="s">
        <v>3338</v>
      </c>
      <c r="F43" s="48" t="str">
        <f>CONCATENATE("Station de Pompage ",E43)</f>
        <v>Station de Pompage SP2-OZ1/OZ2</v>
      </c>
      <c r="G43" s="19">
        <v>36960</v>
      </c>
      <c r="H43" s="19">
        <v>37575</v>
      </c>
      <c r="I43" s="41" t="s">
        <v>20</v>
      </c>
      <c r="J43" s="41">
        <v>1</v>
      </c>
      <c r="K43" s="41" t="s">
        <v>3552</v>
      </c>
      <c r="L43" s="41">
        <v>7</v>
      </c>
      <c r="M43" s="41">
        <v>16</v>
      </c>
      <c r="N43" s="41"/>
      <c r="O43" s="41" t="s">
        <v>302</v>
      </c>
      <c r="P43" s="41" t="s">
        <v>3097</v>
      </c>
      <c r="Q43" s="49">
        <f t="shared" si="0"/>
        <v>256</v>
      </c>
      <c r="R43" s="43">
        <f t="shared" si="1"/>
        <v>124.8</v>
      </c>
      <c r="S43" s="41" t="s">
        <v>744</v>
      </c>
      <c r="T43" s="48" t="str">
        <f t="shared" si="6"/>
        <v>(2,'SP2-OZ1/OZ2','Station de Pompage SP2-OZ1/OZ2','Saturday-03-jj','Friday-11-jj',NULL,1,16),</v>
      </c>
    </row>
    <row r="44" spans="1:20" ht="20.100000000000001" customHeight="1" x14ac:dyDescent="0.25">
      <c r="A44" s="38">
        <v>2</v>
      </c>
      <c r="B44" s="38">
        <v>42</v>
      </c>
      <c r="C44" s="38" t="s">
        <v>529</v>
      </c>
      <c r="D44" s="38">
        <v>1</v>
      </c>
      <c r="E44" s="39" t="str">
        <f>CONCATENATE("PC-",TEXT(A44,"00"),"-",O44)</f>
        <v>PC-02-OZ2</v>
      </c>
      <c r="F44" s="48" t="str">
        <f>CONCATENATE("Poste de Coupure n°",TEXT(A44,"00")," ",O44)</f>
        <v>Poste de Coupure n°02 OZ2</v>
      </c>
      <c r="G44" s="19">
        <v>37851</v>
      </c>
      <c r="H44" s="19">
        <v>37851</v>
      </c>
      <c r="I44" s="41" t="s">
        <v>20</v>
      </c>
      <c r="J44" s="41">
        <v>1</v>
      </c>
      <c r="K44" s="41" t="s">
        <v>3556</v>
      </c>
      <c r="L44" s="41">
        <v>15</v>
      </c>
      <c r="M44" s="41">
        <v>16</v>
      </c>
      <c r="N44" s="41"/>
      <c r="O44" s="41" t="s">
        <v>302</v>
      </c>
      <c r="P44" s="41" t="s">
        <v>3106</v>
      </c>
      <c r="Q44" s="49">
        <f t="shared" si="0"/>
        <v>245</v>
      </c>
      <c r="R44" s="43">
        <f t="shared" si="1"/>
        <v>127.6</v>
      </c>
      <c r="S44" s="41" t="s">
        <v>744</v>
      </c>
      <c r="T44" s="48" t="str">
        <f t="shared" si="6"/>
        <v>(2,'PC-02-OZ2','Poste de Coupure n°02 OZ2','Monday-08-jj','Monday-08-jj',NULL,1,16),</v>
      </c>
    </row>
    <row r="45" spans="1:20" ht="20.100000000000001" customHeight="1" x14ac:dyDescent="0.25">
      <c r="A45" s="38">
        <v>5</v>
      </c>
      <c r="B45" s="38">
        <v>43</v>
      </c>
      <c r="C45" s="38" t="s">
        <v>529</v>
      </c>
      <c r="D45" s="38">
        <v>1</v>
      </c>
      <c r="E45" s="45" t="str">
        <f>CONCATENATE("PS-",TEXT(A45,"00"),"-",O45)</f>
        <v>PS-05-OZ2</v>
      </c>
      <c r="F45" s="48" t="str">
        <f>CONCATENATE("Poste de Sectionnement n°",TEXT(A45,"00")," ",O45)</f>
        <v>Poste de Sectionnement n°05 OZ2</v>
      </c>
      <c r="G45" s="19">
        <v>37851</v>
      </c>
      <c r="H45" s="19">
        <v>37851</v>
      </c>
      <c r="I45" s="41" t="s">
        <v>20</v>
      </c>
      <c r="J45" s="41">
        <v>1</v>
      </c>
      <c r="K45" s="41" t="s">
        <v>3557</v>
      </c>
      <c r="L45" s="41">
        <v>16</v>
      </c>
      <c r="M45" s="41">
        <v>16</v>
      </c>
      <c r="N45" s="41"/>
      <c r="O45" s="41" t="s">
        <v>302</v>
      </c>
      <c r="P45" s="41" t="s">
        <v>764</v>
      </c>
      <c r="Q45" s="49">
        <f t="shared" si="0"/>
        <v>300</v>
      </c>
      <c r="R45" s="43">
        <f t="shared" si="1"/>
        <v>150</v>
      </c>
      <c r="S45" s="41" t="s">
        <v>744</v>
      </c>
      <c r="T45" s="48" t="str">
        <f t="shared" si="6"/>
        <v>(5,'PS-05-OZ2','Poste de Sectionnement n°05 OZ2','Monday-08-jj','Monday-08-jj',NULL,1,16),</v>
      </c>
    </row>
    <row r="46" spans="1:20" ht="20.100000000000001" customHeight="1" x14ac:dyDescent="0.25">
      <c r="A46" s="38">
        <v>6</v>
      </c>
      <c r="B46" s="38">
        <v>44</v>
      </c>
      <c r="C46" s="38" t="s">
        <v>529</v>
      </c>
      <c r="D46" s="38">
        <v>1</v>
      </c>
      <c r="E46" s="45" t="str">
        <f>CONCATENATE("PS-",TEXT(A46,"00"),"-",O46)</f>
        <v>PS-06-OZ2</v>
      </c>
      <c r="F46" s="48" t="str">
        <f>CONCATENATE("Poste de Sectionnement n°",TEXT(A46,"00")," ",O46)</f>
        <v>Poste de Sectionnement n°06 OZ2</v>
      </c>
      <c r="G46" s="19">
        <v>37851</v>
      </c>
      <c r="H46" s="19">
        <v>37851</v>
      </c>
      <c r="I46" s="41" t="s">
        <v>20</v>
      </c>
      <c r="J46" s="41">
        <v>1</v>
      </c>
      <c r="K46" s="41" t="s">
        <v>3557</v>
      </c>
      <c r="L46" s="41">
        <v>16</v>
      </c>
      <c r="M46" s="41">
        <v>16</v>
      </c>
      <c r="N46" s="41"/>
      <c r="O46" s="41" t="s">
        <v>302</v>
      </c>
      <c r="P46" s="41" t="s">
        <v>765</v>
      </c>
      <c r="Q46" s="49">
        <f t="shared" si="0"/>
        <v>350</v>
      </c>
      <c r="R46" s="43">
        <f t="shared" si="1"/>
        <v>180</v>
      </c>
      <c r="S46" s="41" t="s">
        <v>787</v>
      </c>
      <c r="T46" s="48" t="str">
        <f t="shared" si="6"/>
        <v>(6,'PS-06-OZ2','Poste de Sectionnement n°06 OZ2','Monday-08-jj','Monday-08-jj',NULL,1,16),</v>
      </c>
    </row>
    <row r="47" spans="1:20" ht="20.100000000000001" customHeight="1" x14ac:dyDescent="0.25">
      <c r="A47" s="38">
        <v>7</v>
      </c>
      <c r="B47" s="38">
        <v>45</v>
      </c>
      <c r="C47" s="38" t="s">
        <v>529</v>
      </c>
      <c r="D47" s="38">
        <v>1</v>
      </c>
      <c r="E47" s="45" t="str">
        <f>CONCATENATE("PS-",TEXT(A47,"00"),"-",O47)</f>
        <v>PS-07-OZ2</v>
      </c>
      <c r="F47" s="48" t="str">
        <f>CONCATENATE("Poste de Sectionnement n°",TEXT(A47,"00")," ",O47)</f>
        <v>Poste de Sectionnement n°07 OZ2</v>
      </c>
      <c r="G47" s="19">
        <v>37851</v>
      </c>
      <c r="H47" s="19">
        <v>37851</v>
      </c>
      <c r="I47" s="41" t="s">
        <v>20</v>
      </c>
      <c r="J47" s="41">
        <v>1</v>
      </c>
      <c r="K47" s="41" t="s">
        <v>3557</v>
      </c>
      <c r="L47" s="41">
        <v>16</v>
      </c>
      <c r="M47" s="41">
        <v>16</v>
      </c>
      <c r="N47" s="41"/>
      <c r="O47" s="41" t="s">
        <v>302</v>
      </c>
      <c r="P47" s="41" t="s">
        <v>766</v>
      </c>
      <c r="Q47" s="49">
        <f t="shared" si="0"/>
        <v>467</v>
      </c>
      <c r="R47" s="43">
        <f t="shared" si="1"/>
        <v>210</v>
      </c>
      <c r="S47" s="41" t="s">
        <v>788</v>
      </c>
      <c r="T47" s="48" t="str">
        <f t="shared" si="6"/>
        <v>(7,'PS-07-OZ2','Poste de Sectionnement n°07 OZ2','Monday-08-jj','Monday-08-jj',NULL,1,16),</v>
      </c>
    </row>
    <row r="48" spans="1:20" ht="20.100000000000001" customHeight="1" x14ac:dyDescent="0.25">
      <c r="A48" s="38">
        <v>3</v>
      </c>
      <c r="B48" s="38">
        <v>46</v>
      </c>
      <c r="C48" s="38" t="s">
        <v>529</v>
      </c>
      <c r="D48" s="38">
        <v>1</v>
      </c>
      <c r="E48" s="39" t="s">
        <v>3337</v>
      </c>
      <c r="F48" s="48" t="str">
        <f>CONCATENATE("Station de Pompage ",E48)</f>
        <v>Station de Pompage SP3-OZ1/OZ2</v>
      </c>
      <c r="G48" s="19">
        <v>37396</v>
      </c>
      <c r="H48" s="19">
        <v>37985</v>
      </c>
      <c r="I48" s="41" t="s">
        <v>20</v>
      </c>
      <c r="J48" s="41">
        <v>1</v>
      </c>
      <c r="K48" s="41" t="s">
        <v>3552</v>
      </c>
      <c r="L48" s="41">
        <v>7</v>
      </c>
      <c r="M48" s="41">
        <v>16</v>
      </c>
      <c r="N48" s="41"/>
      <c r="O48" s="41" t="s">
        <v>302</v>
      </c>
      <c r="P48" s="41" t="s">
        <v>3098</v>
      </c>
      <c r="Q48" s="49">
        <f t="shared" si="0"/>
        <v>495</v>
      </c>
      <c r="R48" s="43">
        <f t="shared" si="1"/>
        <v>218.07499999999999</v>
      </c>
      <c r="S48" s="41" t="s">
        <v>788</v>
      </c>
      <c r="T48" s="48" t="str">
        <f t="shared" si="6"/>
        <v>(3,'SP3-OZ1/OZ2','Station de Pompage SP3-OZ1/OZ2','Monday-05-jj','Tuesday-12-jj',NULL,1,16),</v>
      </c>
    </row>
    <row r="49" spans="1:20" ht="20.100000000000001" customHeight="1" x14ac:dyDescent="0.25">
      <c r="A49" s="38">
        <v>3</v>
      </c>
      <c r="B49" s="38">
        <v>47</v>
      </c>
      <c r="C49" s="38" t="s">
        <v>529</v>
      </c>
      <c r="D49" s="38">
        <v>1</v>
      </c>
      <c r="E49" s="39" t="str">
        <f>CONCATENATE("PC-",TEXT(A49,"00"),"-",O49)</f>
        <v>PC-03-OZ2</v>
      </c>
      <c r="F49" s="48" t="str">
        <f>CONCATENATE("Poste de Coupure n°",TEXT(A49,"00")," ",O49)</f>
        <v>Poste de Coupure n°03 OZ2</v>
      </c>
      <c r="G49" s="19">
        <v>37851</v>
      </c>
      <c r="H49" s="19">
        <v>37851</v>
      </c>
      <c r="I49" s="41" t="s">
        <v>20</v>
      </c>
      <c r="J49" s="41">
        <v>1</v>
      </c>
      <c r="K49" s="41" t="s">
        <v>3556</v>
      </c>
      <c r="L49" s="41">
        <v>15</v>
      </c>
      <c r="M49" s="41">
        <v>16</v>
      </c>
      <c r="N49" s="41"/>
      <c r="O49" s="41" t="s">
        <v>302</v>
      </c>
      <c r="P49" s="41" t="s">
        <v>3107</v>
      </c>
      <c r="Q49" s="49">
        <f t="shared" si="0"/>
        <v>497</v>
      </c>
      <c r="R49" s="43">
        <f t="shared" si="1"/>
        <v>220.8</v>
      </c>
      <c r="S49" s="41" t="s">
        <v>788</v>
      </c>
      <c r="T49" s="48" t="str">
        <f t="shared" si="6"/>
        <v>(3,'PC-03-OZ2','Poste de Coupure n°03 OZ2','Monday-08-jj','Monday-08-jj',NULL,1,16),</v>
      </c>
    </row>
    <row r="50" spans="1:20" ht="20.100000000000001" customHeight="1" x14ac:dyDescent="0.25">
      <c r="A50" s="38">
        <v>8</v>
      </c>
      <c r="B50" s="38">
        <v>48</v>
      </c>
      <c r="C50" s="38" t="s">
        <v>529</v>
      </c>
      <c r="D50" s="38">
        <v>1</v>
      </c>
      <c r="E50" s="45" t="str">
        <f>CONCATENATE("PS-",TEXT(A50,"00"),"-",O50)</f>
        <v>PS-08-OZ2</v>
      </c>
      <c r="F50" s="48" t="str">
        <f>CONCATENATE("Poste de Sectionnement n°",TEXT(A50,"00")," ",O50)</f>
        <v>Poste de Sectionnement n°08 OZ2</v>
      </c>
      <c r="G50" s="19">
        <v>37851</v>
      </c>
      <c r="H50" s="19">
        <v>37851</v>
      </c>
      <c r="I50" s="41" t="s">
        <v>20</v>
      </c>
      <c r="J50" s="41">
        <v>1</v>
      </c>
      <c r="K50" s="41" t="s">
        <v>3557</v>
      </c>
      <c r="L50" s="41">
        <v>16</v>
      </c>
      <c r="M50" s="41">
        <v>16</v>
      </c>
      <c r="N50" s="41"/>
      <c r="O50" s="41" t="s">
        <v>302</v>
      </c>
      <c r="P50" s="41" t="s">
        <v>767</v>
      </c>
      <c r="Q50" s="49">
        <f t="shared" si="0"/>
        <v>566</v>
      </c>
      <c r="R50" s="43">
        <f t="shared" si="1"/>
        <v>236.5</v>
      </c>
      <c r="S50" s="41" t="s">
        <v>746</v>
      </c>
      <c r="T50" s="48" t="str">
        <f t="shared" si="6"/>
        <v>(8,'PS-08-OZ2','Poste de Sectionnement n°08 OZ2','Monday-08-jj','Monday-08-jj',NULL,1,16),</v>
      </c>
    </row>
    <row r="51" spans="1:20" ht="20.100000000000001" customHeight="1" x14ac:dyDescent="0.25">
      <c r="A51" s="38">
        <v>9</v>
      </c>
      <c r="B51" s="38">
        <v>49</v>
      </c>
      <c r="C51" s="38" t="s">
        <v>529</v>
      </c>
      <c r="D51" s="38">
        <v>1</v>
      </c>
      <c r="E51" s="45" t="str">
        <f>CONCATENATE("PS-",TEXT(A51,"00"),"-",O51)</f>
        <v>PS-09-OZ2</v>
      </c>
      <c r="F51" s="48" t="str">
        <f>CONCATENATE("Poste de Sectionnement n°",TEXT(A51,"00")," ",O51)</f>
        <v>Poste de Sectionnement n°09 OZ2</v>
      </c>
      <c r="G51" s="19">
        <v>37851</v>
      </c>
      <c r="H51" s="19">
        <v>37851</v>
      </c>
      <c r="I51" s="41" t="s">
        <v>20</v>
      </c>
      <c r="J51" s="41">
        <v>1</v>
      </c>
      <c r="K51" s="41" t="s">
        <v>3557</v>
      </c>
      <c r="L51" s="41">
        <v>16</v>
      </c>
      <c r="M51" s="41">
        <v>16</v>
      </c>
      <c r="N51" s="41"/>
      <c r="O51" s="41" t="s">
        <v>302</v>
      </c>
      <c r="P51" s="41" t="s">
        <v>768</v>
      </c>
      <c r="Q51" s="49">
        <f t="shared" si="0"/>
        <v>688</v>
      </c>
      <c r="R51" s="43">
        <f t="shared" si="1"/>
        <v>265.75</v>
      </c>
      <c r="S51" s="41" t="s">
        <v>789</v>
      </c>
      <c r="T51" s="48" t="str">
        <f>CONCATENATE("(",A51,",'",E51,"','",F51,"','",TEXT(G51,"aaaa-mm-jj"),"','",TEXT(H51,"aaaa-mm-jj"),"',",TEXT(I51,"aaaa-mm-jj"),",",J51,",",M51,"),")</f>
        <v>(9,'PS-09-OZ2','Poste de Sectionnement n°09 OZ2','Monday-08-jj','Monday-08-jj',NULL,1,16),</v>
      </c>
    </row>
    <row r="52" spans="1:20" ht="20.100000000000001" customHeight="1" x14ac:dyDescent="0.25">
      <c r="A52" s="38">
        <v>10</v>
      </c>
      <c r="B52" s="38">
        <v>50</v>
      </c>
      <c r="C52" s="38" t="s">
        <v>529</v>
      </c>
      <c r="D52" s="38">
        <v>1</v>
      </c>
      <c r="E52" s="45" t="str">
        <f>CONCATENATE("PS-",TEXT(A52,"00"),"-",O52)</f>
        <v>PS-10-OZ2</v>
      </c>
      <c r="F52" s="48" t="str">
        <f>CONCATENATE("Poste de Sectionnement n°",TEXT(A52,"00")," ",O52)</f>
        <v>Poste de Sectionnement n°10 OZ2</v>
      </c>
      <c r="G52" s="19">
        <v>37851</v>
      </c>
      <c r="H52" s="19">
        <v>37851</v>
      </c>
      <c r="I52" s="41" t="s">
        <v>20</v>
      </c>
      <c r="J52" s="41">
        <v>1</v>
      </c>
      <c r="K52" s="41" t="s">
        <v>3557</v>
      </c>
      <c r="L52" s="41">
        <v>16</v>
      </c>
      <c r="M52" s="41">
        <v>16</v>
      </c>
      <c r="N52" s="41"/>
      <c r="O52" s="41" t="s">
        <v>302</v>
      </c>
      <c r="P52" s="41" t="s">
        <v>769</v>
      </c>
      <c r="Q52" s="49">
        <f t="shared" si="0"/>
        <v>756</v>
      </c>
      <c r="R52" s="43">
        <f t="shared" si="1"/>
        <v>295.5</v>
      </c>
      <c r="S52" s="41" t="s">
        <v>790</v>
      </c>
      <c r="T52" s="48" t="str">
        <f>CONCATENATE("(",A52,",'",E52,"','",F52,"','",TEXT(G52,"aaaa-mm-jj"),"','",TEXT(H52,"aaaa-mm-jj"),"',",TEXT(I52,"aaaa-mm-jj"),",",J52,",",M52,"),")</f>
        <v>(10,'PS-10-OZ2','Poste de Sectionnement n°10 OZ2','Monday-08-jj','Monday-08-jj',NULL,1,16),</v>
      </c>
    </row>
    <row r="53" spans="1:20" ht="20.100000000000001" customHeight="1" x14ac:dyDescent="0.25">
      <c r="A53" s="38">
        <v>4</v>
      </c>
      <c r="B53" s="38">
        <v>51</v>
      </c>
      <c r="C53" s="38" t="s">
        <v>529</v>
      </c>
      <c r="D53" s="38">
        <v>1</v>
      </c>
      <c r="E53" s="39" t="s">
        <v>3336</v>
      </c>
      <c r="F53" s="48" t="str">
        <f>CONCATENATE("Station de Pompage ",E53)</f>
        <v>Station de Pompage SP4-OZ1/OZ2</v>
      </c>
      <c r="G53" s="19">
        <v>37848</v>
      </c>
      <c r="H53" s="19">
        <v>38433</v>
      </c>
      <c r="I53" s="41" t="s">
        <v>20</v>
      </c>
      <c r="J53" s="41">
        <v>1</v>
      </c>
      <c r="K53" s="41" t="s">
        <v>3552</v>
      </c>
      <c r="L53" s="41">
        <v>7</v>
      </c>
      <c r="M53" s="41">
        <v>11</v>
      </c>
      <c r="N53" s="41"/>
      <c r="O53" s="41" t="s">
        <v>302</v>
      </c>
      <c r="P53" s="41" t="s">
        <v>3099</v>
      </c>
      <c r="Q53" s="49">
        <f t="shared" si="0"/>
        <v>777</v>
      </c>
      <c r="R53" s="43">
        <f t="shared" si="1"/>
        <v>306</v>
      </c>
      <c r="S53" s="41" t="s">
        <v>3102</v>
      </c>
      <c r="T53" s="48" t="str">
        <f>CONCATENATE("(",A53,",'",E53,"','",F53,"','",TEXT(G53,"aaaa-mm-jj"),"','",TEXT(H53,"aaaa-mm-jj"),"',",TEXT(I53,"aaaa-mm-jj"),",",J53,",",M53,"),")</f>
        <v>(4,'SP4-OZ1/OZ2','Station de Pompage SP4-OZ1/OZ2','Friday-08-jj','Tuesday-03-jj',NULL,1,11),</v>
      </c>
    </row>
    <row r="54" spans="1:20" ht="20.100000000000001" customHeight="1" x14ac:dyDescent="0.25">
      <c r="A54" s="38">
        <v>4</v>
      </c>
      <c r="B54" s="38">
        <v>52</v>
      </c>
      <c r="C54" s="38" t="s">
        <v>529</v>
      </c>
      <c r="D54" s="38">
        <v>1</v>
      </c>
      <c r="E54" s="39" t="str">
        <f>CONCATENATE("PC-",TEXT(A54,"00"),"-",O54)</f>
        <v>PC-04-OZ2</v>
      </c>
      <c r="F54" s="48" t="str">
        <f>CONCATENATE("Poste de Coupure n°",TEXT(A54,"00")," ",O54)</f>
        <v>Poste de Coupure n°04 OZ2</v>
      </c>
      <c r="G54" s="19">
        <v>37851</v>
      </c>
      <c r="H54" s="19">
        <v>37851</v>
      </c>
      <c r="I54" s="41" t="s">
        <v>20</v>
      </c>
      <c r="J54" s="41">
        <v>1</v>
      </c>
      <c r="K54" s="41" t="s">
        <v>3556</v>
      </c>
      <c r="L54" s="41">
        <v>15</v>
      </c>
      <c r="M54" s="41">
        <v>11</v>
      </c>
      <c r="N54" s="41"/>
      <c r="O54" s="41" t="s">
        <v>302</v>
      </c>
      <c r="P54" s="41" t="s">
        <v>3108</v>
      </c>
      <c r="Q54" s="49">
        <f t="shared" si="0"/>
        <v>778</v>
      </c>
      <c r="R54" s="43">
        <f t="shared" si="1"/>
        <v>307.89999999999998</v>
      </c>
      <c r="S54" s="41" t="s">
        <v>3102</v>
      </c>
      <c r="T54" s="48" t="str">
        <f>CONCATENATE("(",A54,",'",E54,"','",F54,"','",TEXT(G54,"aaaa-mm-jj"),"','",TEXT(H54,"aaaa-mm-jj"),"',",TEXT(I54,"aaaa-mm-jj"),",",J54,",",M54,"),")</f>
        <v>(4,'PC-04-OZ2','Poste de Coupure n°04 OZ2','Monday-08-jj','Monday-08-jj',NULL,1,11),</v>
      </c>
    </row>
    <row r="55" spans="1:20" ht="20.100000000000001" customHeight="1" x14ac:dyDescent="0.25">
      <c r="A55" s="38">
        <v>11</v>
      </c>
      <c r="B55" s="38">
        <v>53</v>
      </c>
      <c r="C55" s="38" t="s">
        <v>529</v>
      </c>
      <c r="D55" s="38">
        <v>1</v>
      </c>
      <c r="E55" s="45" t="str">
        <f>CONCATENATE("PS-",TEXT(A55,"00"),"-",O55)</f>
        <v>PS-11-OZ2</v>
      </c>
      <c r="F55" s="48" t="str">
        <f>CONCATENATE("Poste de Sectionnement n°",TEXT(A55,"00")," ",O55)</f>
        <v>Poste de Sectionnement n°11 OZ2</v>
      </c>
      <c r="G55" s="19">
        <v>37851</v>
      </c>
      <c r="H55" s="19">
        <v>37851</v>
      </c>
      <c r="I55" s="41" t="s">
        <v>20</v>
      </c>
      <c r="J55" s="41">
        <v>1</v>
      </c>
      <c r="K55" s="41" t="s">
        <v>3557</v>
      </c>
      <c r="L55" s="41">
        <v>16</v>
      </c>
      <c r="M55" s="41">
        <v>11</v>
      </c>
      <c r="N55" s="41"/>
      <c r="O55" s="41" t="s">
        <v>302</v>
      </c>
      <c r="P55" s="41" t="s">
        <v>770</v>
      </c>
      <c r="Q55" s="49">
        <f t="shared" si="0"/>
        <v>766</v>
      </c>
      <c r="R55" s="43">
        <f t="shared" si="1"/>
        <v>330</v>
      </c>
      <c r="S55" s="41" t="s">
        <v>790</v>
      </c>
      <c r="T55" s="48" t="str">
        <f t="shared" ref="T55:T60" si="7">CONCATENATE("(",A55,",'",E55,"','",F55,"','",TEXT(G55,"aaaa-mm-jj"),"','",TEXT(H55,"aaaa-mm-jj"),"',",I55,",",J55,",",M55,"),")</f>
        <v>(11,'PS-11-OZ2','Poste de Sectionnement n°11 OZ2','Monday-08-jj','Monday-08-jj',NULL,1,11),</v>
      </c>
    </row>
    <row r="56" spans="1:20" ht="20.100000000000001" customHeight="1" x14ac:dyDescent="0.25">
      <c r="A56" s="38">
        <v>12</v>
      </c>
      <c r="B56" s="38">
        <v>54</v>
      </c>
      <c r="C56" s="38" t="s">
        <v>529</v>
      </c>
      <c r="D56" s="38">
        <v>1</v>
      </c>
      <c r="E56" s="45" t="str">
        <f>CONCATENATE("PS-",TEXT(A56,"00"),"-",O56)</f>
        <v>PS-12-OZ2</v>
      </c>
      <c r="F56" s="48" t="str">
        <f>CONCATENATE("Poste de Sectionnement n°",TEXT(A56,"00")," ",O56)</f>
        <v>Poste de Sectionnement n°12 OZ2</v>
      </c>
      <c r="G56" s="19">
        <v>37851</v>
      </c>
      <c r="H56" s="19">
        <v>37851</v>
      </c>
      <c r="I56" s="41" t="s">
        <v>20</v>
      </c>
      <c r="J56" s="41">
        <v>1</v>
      </c>
      <c r="K56" s="41" t="s">
        <v>3557</v>
      </c>
      <c r="L56" s="41">
        <v>16</v>
      </c>
      <c r="M56" s="41">
        <v>11</v>
      </c>
      <c r="N56" s="41"/>
      <c r="O56" s="41" t="s">
        <v>302</v>
      </c>
      <c r="P56" s="41" t="s">
        <v>771</v>
      </c>
      <c r="Q56" s="49">
        <f t="shared" si="0"/>
        <v>848</v>
      </c>
      <c r="R56" s="43">
        <f t="shared" si="1"/>
        <v>360</v>
      </c>
      <c r="S56" s="41" t="s">
        <v>791</v>
      </c>
      <c r="T56" s="48" t="str">
        <f t="shared" si="7"/>
        <v>(12,'PS-12-OZ2','Poste de Sectionnement n°12 OZ2','Monday-08-jj','Monday-08-jj',NULL,1,11),</v>
      </c>
    </row>
    <row r="57" spans="1:20" ht="20.100000000000001" customHeight="1" x14ac:dyDescent="0.25">
      <c r="A57" s="38">
        <v>13</v>
      </c>
      <c r="B57" s="38">
        <v>55</v>
      </c>
      <c r="C57" s="38" t="s">
        <v>529</v>
      </c>
      <c r="D57" s="38">
        <v>1</v>
      </c>
      <c r="E57" s="45" t="str">
        <f>CONCATENATE("PS-",TEXT(A57,"00"),"-",O57)</f>
        <v>PS-13-OZ2</v>
      </c>
      <c r="F57" s="48" t="str">
        <f>CONCATENATE("Poste de Sectionnement n°",TEXT(A57,"00")," ",O57)</f>
        <v>Poste de Sectionnement n°13 OZ2</v>
      </c>
      <c r="G57" s="19">
        <v>37851</v>
      </c>
      <c r="H57" s="19">
        <v>37851</v>
      </c>
      <c r="I57" s="41" t="s">
        <v>20</v>
      </c>
      <c r="J57" s="41">
        <v>1</v>
      </c>
      <c r="K57" s="41" t="s">
        <v>3557</v>
      </c>
      <c r="L57" s="41">
        <v>16</v>
      </c>
      <c r="M57" s="41">
        <v>11</v>
      </c>
      <c r="N57" s="41"/>
      <c r="O57" s="41" t="s">
        <v>302</v>
      </c>
      <c r="P57" s="41" t="s">
        <v>772</v>
      </c>
      <c r="Q57" s="49">
        <f t="shared" si="0"/>
        <v>790</v>
      </c>
      <c r="R57" s="43">
        <f t="shared" si="1"/>
        <v>390</v>
      </c>
      <c r="S57" s="41" t="s">
        <v>792</v>
      </c>
      <c r="T57" s="48" t="str">
        <f t="shared" si="7"/>
        <v>(13,'PS-13-OZ2','Poste de Sectionnement n°13 OZ2','Monday-08-jj','Monday-08-jj',NULL,1,11),</v>
      </c>
    </row>
    <row r="58" spans="1:20" ht="20.100000000000001" customHeight="1" x14ac:dyDescent="0.25">
      <c r="A58" s="38">
        <v>5</v>
      </c>
      <c r="B58" s="38">
        <v>56</v>
      </c>
      <c r="C58" s="38" t="s">
        <v>529</v>
      </c>
      <c r="D58" s="38">
        <v>1</v>
      </c>
      <c r="E58" s="39" t="s">
        <v>3335</v>
      </c>
      <c r="F58" s="48" t="str">
        <f>CONCATENATE("Station de Pompage ",E58)</f>
        <v>Station de Pompage SP5-OZ1/OZ2</v>
      </c>
      <c r="G58" s="19">
        <v>38265</v>
      </c>
      <c r="H58" s="19">
        <v>38886</v>
      </c>
      <c r="I58" s="41" t="s">
        <v>20</v>
      </c>
      <c r="J58" s="41">
        <v>1</v>
      </c>
      <c r="K58" s="41" t="s">
        <v>3552</v>
      </c>
      <c r="L58" s="41">
        <v>7</v>
      </c>
      <c r="M58" s="41">
        <v>11</v>
      </c>
      <c r="N58" s="41"/>
      <c r="O58" s="41" t="s">
        <v>302</v>
      </c>
      <c r="P58" s="41" t="s">
        <v>3100</v>
      </c>
      <c r="Q58" s="49">
        <f t="shared" si="0"/>
        <v>885</v>
      </c>
      <c r="R58" s="43">
        <f t="shared" si="1"/>
        <v>415.1</v>
      </c>
      <c r="S58" s="41" t="s">
        <v>3103</v>
      </c>
      <c r="T58" s="48" t="str">
        <f t="shared" si="7"/>
        <v>(5,'SP5-OZ1/OZ2','Station de Pompage SP5-OZ1/OZ2','Tuesday-10-jj','Sunday-06-jj',NULL,1,11),</v>
      </c>
    </row>
    <row r="59" spans="1:20" ht="20.100000000000001" customHeight="1" x14ac:dyDescent="0.25">
      <c r="A59" s="38">
        <v>5</v>
      </c>
      <c r="B59" s="38">
        <v>57</v>
      </c>
      <c r="C59" s="38" t="s">
        <v>529</v>
      </c>
      <c r="D59" s="38">
        <v>1</v>
      </c>
      <c r="E59" s="39" t="str">
        <f>CONCATENATE("PC-",TEXT(A59,"00"),"-",O59)</f>
        <v>PC-05-OZ2</v>
      </c>
      <c r="F59" s="48" t="str">
        <f>CONCATENATE("Poste de Coupure n°",TEXT(A59,"00")," ",O59)</f>
        <v>Poste de Coupure n°05 OZ2</v>
      </c>
      <c r="G59" s="19">
        <v>37851</v>
      </c>
      <c r="H59" s="19">
        <v>37851</v>
      </c>
      <c r="I59" s="41" t="s">
        <v>20</v>
      </c>
      <c r="J59" s="41">
        <v>1</v>
      </c>
      <c r="K59" s="41" t="s">
        <v>3556</v>
      </c>
      <c r="L59" s="41">
        <v>15</v>
      </c>
      <c r="M59" s="41">
        <v>11</v>
      </c>
      <c r="N59" s="41"/>
      <c r="O59" s="41" t="s">
        <v>302</v>
      </c>
      <c r="P59" s="41" t="s">
        <v>3109</v>
      </c>
      <c r="Q59" s="49">
        <f t="shared" si="0"/>
        <v>890</v>
      </c>
      <c r="R59" s="43">
        <f t="shared" si="1"/>
        <v>417.2</v>
      </c>
      <c r="S59" s="41" t="s">
        <v>3103</v>
      </c>
      <c r="T59" s="48" t="str">
        <f t="shared" si="7"/>
        <v>(5,'PC-05-OZ2','Poste de Coupure n°05 OZ2','Monday-08-jj','Monday-08-jj',NULL,1,11),</v>
      </c>
    </row>
    <row r="60" spans="1:20" ht="20.100000000000001" customHeight="1" x14ac:dyDescent="0.25">
      <c r="A60" s="38">
        <v>14</v>
      </c>
      <c r="B60" s="38">
        <v>58</v>
      </c>
      <c r="C60" s="38" t="s">
        <v>529</v>
      </c>
      <c r="D60" s="38">
        <v>1</v>
      </c>
      <c r="E60" s="45" t="str">
        <f>CONCATENATE("PS-",TEXT(A60,"00"),"-",O60)</f>
        <v>PS-14-OZ2</v>
      </c>
      <c r="F60" s="48" t="str">
        <f>CONCATENATE("Poste de Sectionnement n°",TEXT(A60,"00")," ",O60)</f>
        <v>Poste de Sectionnement n°14 OZ2</v>
      </c>
      <c r="G60" s="19">
        <v>37851</v>
      </c>
      <c r="H60" s="19">
        <v>37851</v>
      </c>
      <c r="I60" s="41" t="s">
        <v>20</v>
      </c>
      <c r="J60" s="41">
        <v>1</v>
      </c>
      <c r="K60" s="41" t="s">
        <v>3557</v>
      </c>
      <c r="L60" s="41">
        <v>16</v>
      </c>
      <c r="M60" s="41">
        <v>11</v>
      </c>
      <c r="N60" s="41"/>
      <c r="O60" s="41" t="s">
        <v>302</v>
      </c>
      <c r="P60" s="41" t="s">
        <v>773</v>
      </c>
      <c r="Q60" s="49">
        <f t="shared" si="0"/>
        <v>1050</v>
      </c>
      <c r="R60" s="43">
        <f t="shared" si="1"/>
        <v>445</v>
      </c>
      <c r="S60" s="41" t="s">
        <v>793</v>
      </c>
      <c r="T60" s="48" t="str">
        <f t="shared" si="7"/>
        <v>(14,'PS-14-OZ2','Poste de Sectionnement n°14 OZ2','Monday-08-jj','Monday-08-jj',NULL,1,11),</v>
      </c>
    </row>
    <row r="61" spans="1:20" ht="20.100000000000001" customHeight="1" x14ac:dyDescent="0.25">
      <c r="A61" s="38">
        <v>15</v>
      </c>
      <c r="B61" s="38">
        <v>59</v>
      </c>
      <c r="C61" s="38" t="s">
        <v>529</v>
      </c>
      <c r="D61" s="38">
        <v>1</v>
      </c>
      <c r="E61" s="45" t="str">
        <f>CONCATENATE("PS-",TEXT(A61,"00"),"-",O61)</f>
        <v>PS-15-OZ2</v>
      </c>
      <c r="F61" s="48" t="str">
        <f>CONCATENATE("Poste de Sectionnement n°",TEXT(A61,"00")," ",O61)</f>
        <v>Poste de Sectionnement n°15 OZ2</v>
      </c>
      <c r="G61" s="19">
        <v>37851</v>
      </c>
      <c r="H61" s="19">
        <v>37851</v>
      </c>
      <c r="I61" s="41" t="s">
        <v>20</v>
      </c>
      <c r="J61" s="41">
        <v>1</v>
      </c>
      <c r="K61" s="41" t="s">
        <v>3557</v>
      </c>
      <c r="L61" s="41">
        <v>16</v>
      </c>
      <c r="M61" s="41">
        <v>11</v>
      </c>
      <c r="N61" s="41"/>
      <c r="O61" s="41" t="s">
        <v>302</v>
      </c>
      <c r="P61" s="41" t="s">
        <v>774</v>
      </c>
      <c r="Q61" s="49">
        <f t="shared" si="0"/>
        <v>1215</v>
      </c>
      <c r="R61" s="43">
        <f t="shared" si="1"/>
        <v>475</v>
      </c>
      <c r="S61" s="41" t="s">
        <v>794</v>
      </c>
      <c r="T61" s="48" t="str">
        <f>CONCATENATE("(",A61,",'",E61,"','",F61,"','",TEXT(G61,"aaaa-mm-jj"),"','",TEXT(H61,"aaaa-mm-jj"),"',",TEXT(I61,"aaaa-mm-jj"),",",J61,",",M61,"),")</f>
        <v>(15,'PS-15-OZ2','Poste de Sectionnement n°15 OZ2','Monday-08-jj','Monday-08-jj',NULL,1,11),</v>
      </c>
    </row>
    <row r="62" spans="1:20" ht="20.100000000000001" customHeight="1" x14ac:dyDescent="0.25">
      <c r="A62" s="38">
        <v>16</v>
      </c>
      <c r="B62" s="38">
        <v>60</v>
      </c>
      <c r="C62" s="38" t="s">
        <v>529</v>
      </c>
      <c r="D62" s="38">
        <v>1</v>
      </c>
      <c r="E62" s="45" t="str">
        <f>CONCATENATE("PS-",TEXT(A62,"00"),"-",O62)</f>
        <v>PS-16-OZ2</v>
      </c>
      <c r="F62" s="48" t="str">
        <f>CONCATENATE("Poste de Sectionnement n°",TEXT(A62,"00")," ",O62)</f>
        <v>Poste de Sectionnement n°16 OZ2</v>
      </c>
      <c r="G62" s="19">
        <v>37851</v>
      </c>
      <c r="H62" s="19">
        <v>37851</v>
      </c>
      <c r="I62" s="41" t="s">
        <v>20</v>
      </c>
      <c r="J62" s="41">
        <v>1</v>
      </c>
      <c r="K62" s="41" t="s">
        <v>3557</v>
      </c>
      <c r="L62" s="41">
        <v>16</v>
      </c>
      <c r="M62" s="41">
        <v>11</v>
      </c>
      <c r="N62" s="41"/>
      <c r="O62" s="41" t="s">
        <v>302</v>
      </c>
      <c r="P62" s="41" t="s">
        <v>775</v>
      </c>
      <c r="Q62" s="49">
        <f t="shared" si="0"/>
        <v>986</v>
      </c>
      <c r="R62" s="43">
        <f t="shared" si="1"/>
        <v>505</v>
      </c>
      <c r="S62" s="41" t="s">
        <v>795</v>
      </c>
      <c r="T62" s="48" t="str">
        <f>CONCATENATE("(",A62,",'",E62,"','",F62,"','",TEXT(G62,"aaaa-mm-jj"),"','",TEXT(H62,"aaaa-mm-jj"),"',",I62,",",J62,",",M62,"),")</f>
        <v>(16,'PS-16-OZ2','Poste de Sectionnement n°16 OZ2','Monday-08-jj','Monday-08-jj',NULL,1,11),</v>
      </c>
    </row>
    <row r="63" spans="1:20" ht="20.100000000000001" customHeight="1" x14ac:dyDescent="0.25">
      <c r="A63" s="38">
        <v>6</v>
      </c>
      <c r="B63" s="38">
        <v>61</v>
      </c>
      <c r="C63" s="38" t="s">
        <v>529</v>
      </c>
      <c r="D63" s="38">
        <v>1</v>
      </c>
      <c r="E63" s="39" t="s">
        <v>3333</v>
      </c>
      <c r="F63" s="48" t="str">
        <f>CONCATENATE("Station de Pompage ",E63)</f>
        <v>Station de Pompage SP6-OZ1/OZ2</v>
      </c>
      <c r="G63" s="19">
        <v>38698</v>
      </c>
      <c r="H63" s="19">
        <v>39319</v>
      </c>
      <c r="I63" s="41" t="s">
        <v>20</v>
      </c>
      <c r="J63" s="41">
        <v>1</v>
      </c>
      <c r="K63" s="41" t="s">
        <v>3552</v>
      </c>
      <c r="L63" s="41">
        <v>7</v>
      </c>
      <c r="M63" s="41">
        <v>11</v>
      </c>
      <c r="N63" s="41"/>
      <c r="O63" s="41" t="s">
        <v>302</v>
      </c>
      <c r="P63" s="41" t="s">
        <v>3101</v>
      </c>
      <c r="Q63" s="49">
        <f t="shared" si="0"/>
        <v>973</v>
      </c>
      <c r="R63" s="43">
        <f t="shared" si="1"/>
        <v>534.9</v>
      </c>
      <c r="S63" s="41" t="s">
        <v>3104</v>
      </c>
      <c r="T63" s="48" t="str">
        <f>CONCATENATE("(",A63,",'",E63,"','",F63,"','",TEXT(G63,"aaaa-mm-jj"),"','",TEXT(H63,"aaaa-mm-jj"),"',",I63,",",J63,",",M63,"),")</f>
        <v>(6,'SP6-OZ1/OZ2','Station de Pompage SP6-OZ1/OZ2','Monday-12-jj','Saturday-08-jj',NULL,1,11),</v>
      </c>
    </row>
    <row r="64" spans="1:20" ht="20.100000000000001" customHeight="1" x14ac:dyDescent="0.25">
      <c r="A64" s="38">
        <v>6</v>
      </c>
      <c r="B64" s="38">
        <v>62</v>
      </c>
      <c r="C64" s="38" t="s">
        <v>529</v>
      </c>
      <c r="D64" s="38">
        <v>1</v>
      </c>
      <c r="E64" s="39" t="str">
        <f>CONCATENATE("PC-",TEXT(A64,"00"),"-",O64)</f>
        <v>PC-06-OZ2</v>
      </c>
      <c r="F64" s="48" t="str">
        <f>CONCATENATE("Poste de Coupure n°",TEXT(A64,"00")," ",O64)</f>
        <v>Poste de Coupure n°06 OZ2</v>
      </c>
      <c r="G64" s="19">
        <v>37851</v>
      </c>
      <c r="H64" s="19">
        <v>37851</v>
      </c>
      <c r="I64" s="41" t="s">
        <v>20</v>
      </c>
      <c r="J64" s="41">
        <v>1</v>
      </c>
      <c r="K64" s="41" t="s">
        <v>3556</v>
      </c>
      <c r="L64" s="41">
        <v>15</v>
      </c>
      <c r="M64" s="41">
        <v>11</v>
      </c>
      <c r="N64" s="41"/>
      <c r="O64" s="41" t="s">
        <v>302</v>
      </c>
      <c r="P64" s="41" t="s">
        <v>3110</v>
      </c>
      <c r="Q64" s="49">
        <f t="shared" si="0"/>
        <v>1015</v>
      </c>
      <c r="R64" s="43">
        <f t="shared" si="1"/>
        <v>538.20000000000005</v>
      </c>
      <c r="S64" s="41" t="s">
        <v>3104</v>
      </c>
      <c r="T64" s="48" t="str">
        <f t="shared" ref="T64:T69" si="8">CONCATENATE("(",A64,",'",E64,"','",F64,"','",TEXT(G64,"aaaa-mm-jj"),"','",TEXT(H64,"aaaa-mm-jj"),"',",TEXT(I64,"aaaa-mm-jj"),",",J64,",",M64,"),")</f>
        <v>(6,'PC-06-OZ2','Poste de Coupure n°06 OZ2','Monday-08-jj','Monday-08-jj',NULL,1,11),</v>
      </c>
    </row>
    <row r="65" spans="1:20" ht="20.100000000000001" customHeight="1" x14ac:dyDescent="0.25">
      <c r="A65" s="38">
        <v>17</v>
      </c>
      <c r="B65" s="38">
        <v>63</v>
      </c>
      <c r="C65" s="38" t="s">
        <v>529</v>
      </c>
      <c r="D65" s="38">
        <v>1</v>
      </c>
      <c r="E65" s="45" t="str">
        <f>CONCATENATE("PS-",TEXT(A65,"00"),"-",O65)</f>
        <v>PS-17-OZ2</v>
      </c>
      <c r="F65" s="48" t="str">
        <f>CONCATENATE("Poste de Sectionnement n°",TEXT(A65,"00")," ",O65)</f>
        <v>Poste de Sectionnement n°17 OZ2</v>
      </c>
      <c r="G65" s="19">
        <v>37851</v>
      </c>
      <c r="H65" s="19">
        <v>37851</v>
      </c>
      <c r="I65" s="41" t="s">
        <v>20</v>
      </c>
      <c r="J65" s="41">
        <v>1</v>
      </c>
      <c r="K65" s="41" t="s">
        <v>3557</v>
      </c>
      <c r="L65" s="41">
        <v>16</v>
      </c>
      <c r="M65" s="41">
        <v>11</v>
      </c>
      <c r="N65" s="41"/>
      <c r="O65" s="41" t="s">
        <v>302</v>
      </c>
      <c r="P65" s="41" t="s">
        <v>776</v>
      </c>
      <c r="Q65" s="49">
        <f t="shared" si="0"/>
        <v>1132</v>
      </c>
      <c r="R65" s="43">
        <f t="shared" si="1"/>
        <v>564.5</v>
      </c>
      <c r="S65" s="41" t="s">
        <v>752</v>
      </c>
      <c r="T65" s="48" t="str">
        <f t="shared" si="8"/>
        <v>(17,'PS-17-OZ2','Poste de Sectionnement n°17 OZ2','Monday-08-jj','Monday-08-jj',NULL,1,11),</v>
      </c>
    </row>
    <row r="66" spans="1:20" ht="20.100000000000001" customHeight="1" x14ac:dyDescent="0.25">
      <c r="A66" s="38">
        <v>18</v>
      </c>
      <c r="B66" s="38">
        <v>64</v>
      </c>
      <c r="C66" s="38" t="s">
        <v>529</v>
      </c>
      <c r="D66" s="38">
        <v>1</v>
      </c>
      <c r="E66" s="45" t="str">
        <f>CONCATENATE("PS-",TEXT(A66,"00"),"-",O66)</f>
        <v>PS-18-OZ2</v>
      </c>
      <c r="F66" s="48" t="str">
        <f>CONCATENATE("Poste de Sectionnement n°",TEXT(A66,"00")," ",O66)</f>
        <v>Poste de Sectionnement n°18 OZ2</v>
      </c>
      <c r="G66" s="19">
        <v>37851</v>
      </c>
      <c r="H66" s="19">
        <v>37851</v>
      </c>
      <c r="I66" s="41" t="s">
        <v>20</v>
      </c>
      <c r="J66" s="41">
        <v>1</v>
      </c>
      <c r="K66" s="41" t="s">
        <v>3557</v>
      </c>
      <c r="L66" s="41">
        <v>16</v>
      </c>
      <c r="M66" s="41">
        <v>11</v>
      </c>
      <c r="N66" s="41"/>
      <c r="O66" s="41" t="s">
        <v>302</v>
      </c>
      <c r="P66" s="41" t="s">
        <v>777</v>
      </c>
      <c r="Q66" s="49">
        <f t="shared" si="0"/>
        <v>1225</v>
      </c>
      <c r="R66" s="43">
        <f t="shared" si="1"/>
        <v>594</v>
      </c>
      <c r="S66" s="41" t="s">
        <v>796</v>
      </c>
      <c r="T66" s="48" t="str">
        <f t="shared" si="8"/>
        <v>(18,'PS-18-OZ2','Poste de Sectionnement n°18 OZ2','Monday-08-jj','Monday-08-jj',NULL,1,11),</v>
      </c>
    </row>
    <row r="67" spans="1:20" ht="20.100000000000001" customHeight="1" x14ac:dyDescent="0.25">
      <c r="A67" s="38">
        <v>19</v>
      </c>
      <c r="B67" s="38">
        <v>65</v>
      </c>
      <c r="C67" s="38" t="s">
        <v>529</v>
      </c>
      <c r="D67" s="38">
        <v>1</v>
      </c>
      <c r="E67" s="45" t="str">
        <f>CONCATENATE("PS-",TEXT(A67,"00"),"-",O67)</f>
        <v>PS-19-OZ2</v>
      </c>
      <c r="F67" s="48" t="str">
        <f>CONCATENATE("Poste de Sectionnement n°",TEXT(A67,"00")," ",O67)</f>
        <v>Poste de Sectionnement n°19 OZ2</v>
      </c>
      <c r="G67" s="19">
        <v>37851</v>
      </c>
      <c r="H67" s="19">
        <v>37851</v>
      </c>
      <c r="I67" s="41" t="s">
        <v>20</v>
      </c>
      <c r="J67" s="41">
        <v>1</v>
      </c>
      <c r="K67" s="41" t="s">
        <v>3557</v>
      </c>
      <c r="L67" s="41">
        <v>16</v>
      </c>
      <c r="M67" s="41">
        <v>11</v>
      </c>
      <c r="N67" s="41"/>
      <c r="O67" s="41" t="s">
        <v>302</v>
      </c>
      <c r="P67" s="41" t="s">
        <v>778</v>
      </c>
      <c r="Q67" s="49">
        <f t="shared" ref="Q67:Q130" si="9">VALUE(RIGHT(P67,LEN(P67)-SEARCH("/",P67)))</f>
        <v>997</v>
      </c>
      <c r="R67" s="43">
        <f t="shared" ref="R67:R130" si="10">VALUE(SUBSTITUTE(LEFT(P67,SEARCH("/",P67)-1),"+",","))</f>
        <v>624</v>
      </c>
      <c r="S67" s="41" t="s">
        <v>797</v>
      </c>
      <c r="T67" s="48" t="str">
        <f t="shared" si="8"/>
        <v>(19,'PS-19-OZ2','Poste de Sectionnement n°19 OZ2','Monday-08-jj','Monday-08-jj',NULL,1,11),</v>
      </c>
    </row>
    <row r="68" spans="1:20" ht="20.100000000000001" customHeight="1" x14ac:dyDescent="0.25">
      <c r="A68" s="38">
        <v>20</v>
      </c>
      <c r="B68" s="38">
        <v>66</v>
      </c>
      <c r="C68" s="38" t="s">
        <v>529</v>
      </c>
      <c r="D68" s="38">
        <v>1</v>
      </c>
      <c r="E68" s="45" t="str">
        <f>CONCATENATE("PS-",TEXT(A68,"00"),"-",O68)</f>
        <v>PS-20-OZ2</v>
      </c>
      <c r="F68" s="48" t="str">
        <f>CONCATENATE("Poste de Sectionnement n°",TEXT(A68,"00")," ",O68)</f>
        <v>Poste de Sectionnement n°20 OZ2</v>
      </c>
      <c r="G68" s="19">
        <v>37851</v>
      </c>
      <c r="H68" s="19">
        <v>37851</v>
      </c>
      <c r="I68" s="41" t="s">
        <v>20</v>
      </c>
      <c r="J68" s="41">
        <v>1</v>
      </c>
      <c r="K68" s="41" t="s">
        <v>3557</v>
      </c>
      <c r="L68" s="41">
        <v>16</v>
      </c>
      <c r="M68" s="41">
        <v>11</v>
      </c>
      <c r="N68" s="41"/>
      <c r="O68" s="41" t="s">
        <v>302</v>
      </c>
      <c r="P68" s="41" t="s">
        <v>779</v>
      </c>
      <c r="Q68" s="49">
        <f t="shared" si="9"/>
        <v>599</v>
      </c>
      <c r="R68" s="43">
        <f t="shared" si="10"/>
        <v>654</v>
      </c>
      <c r="S68" s="41" t="s">
        <v>798</v>
      </c>
      <c r="T68" s="48" t="str">
        <f t="shared" si="8"/>
        <v>(20,'PS-20-OZ2','Poste de Sectionnement n°20 OZ2','Monday-08-jj','Monday-08-jj',NULL,1,11),</v>
      </c>
    </row>
    <row r="69" spans="1:20" ht="20.100000000000001" customHeight="1" x14ac:dyDescent="0.25">
      <c r="A69" s="38">
        <v>21</v>
      </c>
      <c r="B69" s="38">
        <v>67</v>
      </c>
      <c r="C69" s="38" t="s">
        <v>529</v>
      </c>
      <c r="D69" s="38">
        <v>1</v>
      </c>
      <c r="E69" s="45" t="str">
        <f>CONCATENATE("PS-",TEXT(A69,"00"),"-",O69)</f>
        <v>PS-21-OZ2</v>
      </c>
      <c r="F69" s="48" t="str">
        <f>CONCATENATE("Poste de Sectionnement n°",TEXT(A69,"00")," ",O69)</f>
        <v>Poste de Sectionnement n°21 OZ2</v>
      </c>
      <c r="G69" s="19">
        <v>37851</v>
      </c>
      <c r="H69" s="19">
        <v>37851</v>
      </c>
      <c r="I69" s="41" t="s">
        <v>20</v>
      </c>
      <c r="J69" s="41">
        <v>1</v>
      </c>
      <c r="K69" s="41" t="s">
        <v>3557</v>
      </c>
      <c r="L69" s="41">
        <v>16</v>
      </c>
      <c r="M69" s="41">
        <v>11</v>
      </c>
      <c r="N69" s="41"/>
      <c r="O69" s="41" t="s">
        <v>302</v>
      </c>
      <c r="P69" s="41" t="s">
        <v>780</v>
      </c>
      <c r="Q69" s="49">
        <f t="shared" si="9"/>
        <v>553</v>
      </c>
      <c r="R69" s="43">
        <f t="shared" si="10"/>
        <v>684</v>
      </c>
      <c r="S69" s="41" t="s">
        <v>799</v>
      </c>
      <c r="T69" s="48" t="str">
        <f t="shared" si="8"/>
        <v>(21,'PS-21-OZ2','Poste de Sectionnement n°21 OZ2','Monday-08-jj','Monday-08-jj',NULL,1,11),</v>
      </c>
    </row>
    <row r="70" spans="1:20" ht="20.100000000000001" customHeight="1" x14ac:dyDescent="0.25">
      <c r="A70" s="38">
        <v>7</v>
      </c>
      <c r="B70" s="38">
        <v>68</v>
      </c>
      <c r="C70" s="38" t="s">
        <v>529</v>
      </c>
      <c r="D70" s="38">
        <v>1</v>
      </c>
      <c r="E70" s="39" t="s">
        <v>3334</v>
      </c>
      <c r="F70" s="48" t="s">
        <v>3085</v>
      </c>
      <c r="G70" s="19">
        <v>38796</v>
      </c>
      <c r="H70" s="19">
        <v>39396</v>
      </c>
      <c r="I70" s="41" t="s">
        <v>20</v>
      </c>
      <c r="J70" s="41">
        <v>1</v>
      </c>
      <c r="K70" s="41" t="s">
        <v>3553</v>
      </c>
      <c r="L70" s="41">
        <v>9</v>
      </c>
      <c r="M70" s="41">
        <v>11</v>
      </c>
      <c r="N70" s="41"/>
      <c r="O70" s="41" t="s">
        <v>302</v>
      </c>
      <c r="P70" s="41" t="s">
        <v>3563</v>
      </c>
      <c r="Q70" s="49">
        <f t="shared" si="9"/>
        <v>498</v>
      </c>
      <c r="R70" s="43">
        <f t="shared" si="10"/>
        <v>705.57299999999998</v>
      </c>
      <c r="S70" s="41" t="s">
        <v>3564</v>
      </c>
      <c r="T70" s="48" t="str">
        <f t="shared" ref="T70:T93" si="11">CONCATENATE("(",A70,",'",E70,"','",F70,"','",TEXT(G70,"aaaa-mm-jj"),"','",TEXT(H70,"aaaa-mm-jj"),"',",I70,",",J70,",",M70,"),")</f>
        <v>(7,'PRS-OZ1/OZ2','Station de Régulation PRS-OZ1/OZ2','Monday-03-jj','Saturday-11-jj',NULL,1,11),</v>
      </c>
    </row>
    <row r="71" spans="1:20" ht="20.100000000000001" customHeight="1" x14ac:dyDescent="0.25">
      <c r="A71" s="38">
        <v>22</v>
      </c>
      <c r="B71" s="38">
        <v>69</v>
      </c>
      <c r="C71" s="38" t="s">
        <v>529</v>
      </c>
      <c r="D71" s="38">
        <v>1</v>
      </c>
      <c r="E71" s="45" t="str">
        <f>CONCATENATE("PS-",TEXT(A71,"00"),"-",O71)</f>
        <v>PS-22-OZ2</v>
      </c>
      <c r="F71" s="48" t="str">
        <f>CONCATENATE("Poste de Sectionnement n°",TEXT(A71,"00")," ",O71)</f>
        <v>Poste de Sectionnement n°22 OZ2</v>
      </c>
      <c r="G71" s="19">
        <v>37851</v>
      </c>
      <c r="H71" s="19">
        <v>37851</v>
      </c>
      <c r="I71" s="41" t="s">
        <v>20</v>
      </c>
      <c r="J71" s="41">
        <v>1</v>
      </c>
      <c r="K71" s="41" t="s">
        <v>3557</v>
      </c>
      <c r="L71" s="41">
        <v>16</v>
      </c>
      <c r="M71" s="41">
        <v>11</v>
      </c>
      <c r="N71" s="41"/>
      <c r="O71" s="41" t="s">
        <v>302</v>
      </c>
      <c r="P71" s="41" t="s">
        <v>781</v>
      </c>
      <c r="Q71" s="49">
        <f t="shared" si="9"/>
        <v>146</v>
      </c>
      <c r="R71" s="43">
        <f t="shared" si="10"/>
        <v>714</v>
      </c>
      <c r="S71" s="41" t="s">
        <v>757</v>
      </c>
      <c r="T71" s="48" t="str">
        <f t="shared" si="11"/>
        <v>(22,'PS-22-OZ2','Poste de Sectionnement n°22 OZ2','Monday-08-jj','Monday-08-jj',NULL,1,11),</v>
      </c>
    </row>
    <row r="72" spans="1:20" ht="20.100000000000001" customHeight="1" x14ac:dyDescent="0.25">
      <c r="A72" s="38">
        <v>23</v>
      </c>
      <c r="B72" s="38">
        <v>70</v>
      </c>
      <c r="C72" s="38" t="s">
        <v>529</v>
      </c>
      <c r="D72" s="38">
        <v>1</v>
      </c>
      <c r="E72" s="45" t="str">
        <f>CONCATENATE("PS-",TEXT(A72,"00"),"-",O72)</f>
        <v>PS-23-OZ2</v>
      </c>
      <c r="F72" s="48" t="str">
        <f>CONCATENATE("Poste de Sectionnement n°",TEXT(A72,"00")," ",O72)</f>
        <v>Poste de Sectionnement n°23 OZ2</v>
      </c>
      <c r="G72" s="19">
        <v>37851</v>
      </c>
      <c r="H72" s="19">
        <v>37851</v>
      </c>
      <c r="I72" s="41" t="s">
        <v>20</v>
      </c>
      <c r="J72" s="41">
        <v>1</v>
      </c>
      <c r="K72" s="41" t="s">
        <v>3557</v>
      </c>
      <c r="L72" s="41">
        <v>16</v>
      </c>
      <c r="M72" s="41">
        <v>11</v>
      </c>
      <c r="N72" s="41"/>
      <c r="O72" s="41" t="s">
        <v>302</v>
      </c>
      <c r="P72" s="41" t="s">
        <v>782</v>
      </c>
      <c r="Q72" s="49">
        <f t="shared" si="9"/>
        <v>150</v>
      </c>
      <c r="R72" s="43">
        <f t="shared" si="10"/>
        <v>744</v>
      </c>
      <c r="S72" s="41" t="s">
        <v>800</v>
      </c>
      <c r="T72" s="48" t="str">
        <f t="shared" si="11"/>
        <v>(23,'PS-23-OZ2','Poste de Sectionnement n°23 OZ2','Monday-08-jj','Monday-08-jj',NULL,1,11),</v>
      </c>
    </row>
    <row r="73" spans="1:20" ht="20.100000000000001" customHeight="1" x14ac:dyDescent="0.25">
      <c r="A73" s="38">
        <v>24</v>
      </c>
      <c r="B73" s="38">
        <v>71</v>
      </c>
      <c r="C73" s="38" t="s">
        <v>529</v>
      </c>
      <c r="D73" s="38">
        <v>1</v>
      </c>
      <c r="E73" s="45" t="str">
        <f>CONCATENATE("PS-",TEXT(A73,"00"),"-",O73)</f>
        <v>PS-24-OZ2</v>
      </c>
      <c r="F73" s="48" t="str">
        <f>CONCATENATE("Poste de Sectionnement n°",TEXT(A73,"00")," ",O73)</f>
        <v>Poste de Sectionnement n°24 OZ2</v>
      </c>
      <c r="G73" s="19">
        <v>37851</v>
      </c>
      <c r="H73" s="19">
        <v>37851</v>
      </c>
      <c r="I73" s="41" t="s">
        <v>20</v>
      </c>
      <c r="J73" s="41">
        <v>1</v>
      </c>
      <c r="K73" s="41" t="s">
        <v>3557</v>
      </c>
      <c r="L73" s="41">
        <v>16</v>
      </c>
      <c r="M73" s="41">
        <v>11</v>
      </c>
      <c r="N73" s="41"/>
      <c r="O73" s="41" t="s">
        <v>302</v>
      </c>
      <c r="P73" s="41" t="s">
        <v>783</v>
      </c>
      <c r="Q73" s="49">
        <f t="shared" si="9"/>
        <v>26</v>
      </c>
      <c r="R73" s="43">
        <f t="shared" si="10"/>
        <v>774</v>
      </c>
      <c r="S73" s="41" t="s">
        <v>758</v>
      </c>
      <c r="T73" s="48" t="str">
        <f t="shared" si="11"/>
        <v>(24,'PS-24-OZ2','Poste de Sectionnement n°24 OZ2','Monday-08-jj','Monday-08-jj',NULL,1,11),</v>
      </c>
    </row>
    <row r="74" spans="1:20" ht="20.100000000000001" customHeight="1" x14ac:dyDescent="0.25">
      <c r="A74" s="38">
        <v>25</v>
      </c>
      <c r="B74" s="38">
        <v>72</v>
      </c>
      <c r="C74" s="38" t="s">
        <v>529</v>
      </c>
      <c r="D74" s="38">
        <v>1</v>
      </c>
      <c r="E74" s="45" t="str">
        <f>CONCATENATE("PS-",TEXT(A74,"00"),"-",O74)</f>
        <v>PS-25-OZ2</v>
      </c>
      <c r="F74" s="48" t="str">
        <f>CONCATENATE("Poste de Sectionnement n°",TEXT(A74,"00")," ",O74)</f>
        <v>Poste de Sectionnement n°25 OZ2</v>
      </c>
      <c r="G74" s="19">
        <v>37851</v>
      </c>
      <c r="H74" s="19">
        <v>37851</v>
      </c>
      <c r="I74" s="41" t="s">
        <v>20</v>
      </c>
      <c r="J74" s="41">
        <v>1</v>
      </c>
      <c r="K74" s="41" t="s">
        <v>3557</v>
      </c>
      <c r="L74" s="41">
        <v>16</v>
      </c>
      <c r="M74" s="41">
        <v>11</v>
      </c>
      <c r="N74" s="41"/>
      <c r="O74" s="41" t="s">
        <v>302</v>
      </c>
      <c r="P74" s="41" t="s">
        <v>784</v>
      </c>
      <c r="Q74" s="49">
        <f t="shared" si="9"/>
        <v>196</v>
      </c>
      <c r="R74" s="43">
        <f t="shared" si="10"/>
        <v>804</v>
      </c>
      <c r="S74" s="41" t="s">
        <v>801</v>
      </c>
      <c r="T74" s="48" t="str">
        <f t="shared" si="11"/>
        <v>(25,'PS-25-OZ2','Poste de Sectionnement n°25 OZ2','Monday-08-jj','Monday-08-jj',NULL,1,11),</v>
      </c>
    </row>
    <row r="75" spans="1:20" ht="20.100000000000001" customHeight="1" x14ac:dyDescent="0.25">
      <c r="A75" s="38">
        <v>1</v>
      </c>
      <c r="B75" s="38">
        <v>73</v>
      </c>
      <c r="C75" s="38" t="s">
        <v>305</v>
      </c>
      <c r="D75" s="38">
        <v>2</v>
      </c>
      <c r="E75" s="45" t="str">
        <f>CONCATENATE("PS-",TEXT(A75,"00"),"-",O75)</f>
        <v>PS-01-OK1</v>
      </c>
      <c r="F75" s="48" t="str">
        <f>CONCATENATE("Poste de Sectionnement n°",TEXT(A75,"00")," ",O75)</f>
        <v>Poste de Sectionnement n°01 OK1</v>
      </c>
      <c r="G75" s="19">
        <v>26299</v>
      </c>
      <c r="H75" s="19">
        <v>26299</v>
      </c>
      <c r="I75" s="41" t="s">
        <v>20</v>
      </c>
      <c r="J75" s="41">
        <v>1</v>
      </c>
      <c r="K75" s="41" t="s">
        <v>3557</v>
      </c>
      <c r="L75" s="41">
        <v>16</v>
      </c>
      <c r="M75" s="41">
        <v>13</v>
      </c>
      <c r="N75" s="41"/>
      <c r="O75" s="41" t="s">
        <v>305</v>
      </c>
      <c r="P75" s="41" t="s">
        <v>802</v>
      </c>
      <c r="Q75" s="49">
        <f t="shared" si="9"/>
        <v>159</v>
      </c>
      <c r="R75" s="43">
        <f t="shared" si="10"/>
        <v>0</v>
      </c>
      <c r="S75" s="41" t="s">
        <v>821</v>
      </c>
      <c r="T75" s="48" t="str">
        <f t="shared" si="11"/>
        <v>(1,'PS-01-OK1','Poste de Sectionnement n°01 OK1','Saturday-01-jj','Saturday-01-jj',NULL,1,13),</v>
      </c>
    </row>
    <row r="76" spans="1:20" ht="20.100000000000001" customHeight="1" x14ac:dyDescent="0.25">
      <c r="A76" s="38">
        <v>2</v>
      </c>
      <c r="B76" s="38">
        <v>74</v>
      </c>
      <c r="C76" s="38" t="s">
        <v>305</v>
      </c>
      <c r="D76" s="38">
        <v>2</v>
      </c>
      <c r="E76" s="39" t="s">
        <v>3486</v>
      </c>
      <c r="F76" s="48" t="s">
        <v>3487</v>
      </c>
      <c r="G76" s="19">
        <v>40278</v>
      </c>
      <c r="H76" s="19">
        <v>40923</v>
      </c>
      <c r="I76" s="41" t="s">
        <v>20</v>
      </c>
      <c r="J76" s="41">
        <v>1</v>
      </c>
      <c r="K76" s="41" t="s">
        <v>3552</v>
      </c>
      <c r="L76" s="41">
        <v>7</v>
      </c>
      <c r="M76" s="41">
        <v>12</v>
      </c>
      <c r="N76" s="41"/>
      <c r="O76" s="41" t="s">
        <v>305</v>
      </c>
      <c r="P76" s="41" t="s">
        <v>3565</v>
      </c>
      <c r="Q76" s="49">
        <f t="shared" si="9"/>
        <v>159</v>
      </c>
      <c r="R76" s="43">
        <f t="shared" si="10"/>
        <v>0</v>
      </c>
      <c r="S76" s="41" t="s">
        <v>821</v>
      </c>
      <c r="T76" s="48" t="str">
        <f t="shared" si="11"/>
        <v>(2,'R-SP1-OK1','Station de Pompage RSP1-OK1','Saturday-04-jj','Sunday-01-jj',NULL,1,12),</v>
      </c>
    </row>
    <row r="77" spans="1:20" ht="20.100000000000001" customHeight="1" x14ac:dyDescent="0.25">
      <c r="A77" s="38">
        <v>1</v>
      </c>
      <c r="B77" s="38">
        <v>75</v>
      </c>
      <c r="C77" s="38" t="s">
        <v>305</v>
      </c>
      <c r="D77" s="38">
        <v>2</v>
      </c>
      <c r="E77" s="39" t="s">
        <v>93</v>
      </c>
      <c r="F77" s="48" t="s">
        <v>94</v>
      </c>
      <c r="G77" s="19">
        <v>37057</v>
      </c>
      <c r="H77" s="19">
        <v>37672</v>
      </c>
      <c r="I77" s="41" t="s">
        <v>20</v>
      </c>
      <c r="J77" s="41">
        <v>1</v>
      </c>
      <c r="K77" s="41" t="s">
        <v>3552</v>
      </c>
      <c r="L77" s="41">
        <v>7</v>
      </c>
      <c r="M77" s="41">
        <v>12</v>
      </c>
      <c r="N77" s="41"/>
      <c r="O77" s="41" t="s">
        <v>305</v>
      </c>
      <c r="P77" s="41" t="s">
        <v>3565</v>
      </c>
      <c r="Q77" s="49">
        <f t="shared" si="9"/>
        <v>159</v>
      </c>
      <c r="R77" s="43">
        <f t="shared" si="10"/>
        <v>0</v>
      </c>
      <c r="S77" s="41" t="s">
        <v>821</v>
      </c>
      <c r="T77" s="48" t="str">
        <f t="shared" si="11"/>
        <v>(1,'SP1-OK1','Station de Pompage SP1-OK1','Friday-06-jj','Thursday-02-jj',NULL,1,12),</v>
      </c>
    </row>
    <row r="78" spans="1:20" ht="20.100000000000001" customHeight="1" x14ac:dyDescent="0.25">
      <c r="A78" s="38">
        <v>2</v>
      </c>
      <c r="B78" s="38">
        <v>76</v>
      </c>
      <c r="C78" s="38" t="s">
        <v>305</v>
      </c>
      <c r="D78" s="38">
        <v>2</v>
      </c>
      <c r="E78" s="45" t="str">
        <f>CONCATENATE("PS-",TEXT(A78,"00"),"-",O78)</f>
        <v>PS-02-OK1</v>
      </c>
      <c r="F78" s="48" t="str">
        <f>CONCATENATE("Poste de Sectionnement n°",TEXT(A78,"00")," ",O78)</f>
        <v>Poste de Sectionnement n°02 OK1</v>
      </c>
      <c r="G78" s="19">
        <v>26299</v>
      </c>
      <c r="H78" s="19">
        <v>26299</v>
      </c>
      <c r="I78" s="41" t="s">
        <v>20</v>
      </c>
      <c r="J78" s="41">
        <v>1</v>
      </c>
      <c r="K78" s="41" t="s">
        <v>3557</v>
      </c>
      <c r="L78" s="41">
        <v>16</v>
      </c>
      <c r="M78" s="41">
        <v>13</v>
      </c>
      <c r="N78" s="41"/>
      <c r="O78" s="41" t="s">
        <v>305</v>
      </c>
      <c r="P78" s="41" t="s">
        <v>803</v>
      </c>
      <c r="Q78" s="49">
        <f t="shared" si="9"/>
        <v>160</v>
      </c>
      <c r="R78" s="43">
        <f t="shared" si="10"/>
        <v>32</v>
      </c>
      <c r="S78" s="41" t="s">
        <v>822</v>
      </c>
      <c r="T78" s="48" t="str">
        <f t="shared" si="11"/>
        <v>(2,'PS-02-OK1','Poste de Sectionnement n°02 OK1','Saturday-01-jj','Saturday-01-jj',NULL,1,13),</v>
      </c>
    </row>
    <row r="79" spans="1:20" ht="20.100000000000001" customHeight="1" x14ac:dyDescent="0.25">
      <c r="A79" s="38">
        <v>3</v>
      </c>
      <c r="B79" s="38">
        <v>77</v>
      </c>
      <c r="C79" s="38" t="s">
        <v>305</v>
      </c>
      <c r="D79" s="38">
        <v>2</v>
      </c>
      <c r="E79" s="45" t="str">
        <f>CONCATENATE("PS-",TEXT(A79,"00"),"-",O79)</f>
        <v>PS-03-OK1</v>
      </c>
      <c r="F79" s="48" t="str">
        <f>CONCATENATE("Poste de Sectionnement n°",TEXT(A79,"00")," ",O79)</f>
        <v>Poste de Sectionnement n°03 OK1</v>
      </c>
      <c r="G79" s="19">
        <v>26299</v>
      </c>
      <c r="H79" s="19">
        <v>26299</v>
      </c>
      <c r="I79" s="41" t="s">
        <v>20</v>
      </c>
      <c r="J79" s="41">
        <v>1</v>
      </c>
      <c r="K79" s="41" t="s">
        <v>3557</v>
      </c>
      <c r="L79" s="41">
        <v>16</v>
      </c>
      <c r="M79" s="41">
        <v>13</v>
      </c>
      <c r="N79" s="41"/>
      <c r="O79" s="41" t="s">
        <v>305</v>
      </c>
      <c r="P79" s="41" t="s">
        <v>804</v>
      </c>
      <c r="Q79" s="49">
        <f t="shared" si="9"/>
        <v>150</v>
      </c>
      <c r="R79" s="43">
        <f t="shared" si="10"/>
        <v>63.113999999999997</v>
      </c>
      <c r="S79" s="41" t="s">
        <v>823</v>
      </c>
      <c r="T79" s="48" t="str">
        <f t="shared" si="11"/>
        <v>(3,'PS-03-OK1','Poste de Sectionnement n°03 OK1','Saturday-01-jj','Saturday-01-jj',NULL,1,13),</v>
      </c>
    </row>
    <row r="80" spans="1:20" ht="20.100000000000001" customHeight="1" x14ac:dyDescent="0.25">
      <c r="A80" s="38">
        <v>4</v>
      </c>
      <c r="B80" s="38">
        <v>78</v>
      </c>
      <c r="C80" s="38" t="s">
        <v>305</v>
      </c>
      <c r="D80" s="38">
        <v>2</v>
      </c>
      <c r="E80" s="45" t="str">
        <f>CONCATENATE("PS-",TEXT(A80,"00"),"-",O80)</f>
        <v>PS-04-OK1</v>
      </c>
      <c r="F80" s="48" t="str">
        <f>CONCATENATE("Poste de Sectionnement n°",TEXT(A80,"00")," ",O80)</f>
        <v>Poste de Sectionnement n°04 OK1</v>
      </c>
      <c r="G80" s="19">
        <v>26299</v>
      </c>
      <c r="H80" s="19">
        <v>26299</v>
      </c>
      <c r="I80" s="41" t="s">
        <v>20</v>
      </c>
      <c r="J80" s="41">
        <v>1</v>
      </c>
      <c r="K80" s="41" t="s">
        <v>3557</v>
      </c>
      <c r="L80" s="41">
        <v>16</v>
      </c>
      <c r="M80" s="41">
        <v>13</v>
      </c>
      <c r="N80" s="41"/>
      <c r="O80" s="41" t="s">
        <v>305</v>
      </c>
      <c r="P80" s="41" t="s">
        <v>805</v>
      </c>
      <c r="Q80" s="49">
        <f t="shared" si="9"/>
        <v>110</v>
      </c>
      <c r="R80" s="43">
        <f t="shared" si="10"/>
        <v>126.057</v>
      </c>
      <c r="S80" s="41" t="s">
        <v>824</v>
      </c>
      <c r="T80" s="48" t="str">
        <f t="shared" si="11"/>
        <v>(4,'PS-04-OK1','Poste de Sectionnement n°04 OK1','Saturday-01-jj','Saturday-01-jj',NULL,1,13),</v>
      </c>
    </row>
    <row r="81" spans="1:20" ht="20.100000000000001" customHeight="1" x14ac:dyDescent="0.25">
      <c r="A81" s="38">
        <v>1</v>
      </c>
      <c r="B81" s="38">
        <v>79</v>
      </c>
      <c r="C81" s="38" t="s">
        <v>305</v>
      </c>
      <c r="D81" s="38">
        <v>2</v>
      </c>
      <c r="E81" s="39" t="str">
        <f>CONCATENATE("PC-",TEXT(A81,"00"),"-",O81)</f>
        <v>PC-01-OK1</v>
      </c>
      <c r="F81" s="48" t="str">
        <f>CONCATENATE("Poste de Coupure n°",TEXT(A81,"00")," ",O81)</f>
        <v>Poste de Coupure n°01 OK1</v>
      </c>
      <c r="G81" s="19">
        <v>26299</v>
      </c>
      <c r="H81" s="19">
        <v>26299</v>
      </c>
      <c r="I81" s="41" t="s">
        <v>20</v>
      </c>
      <c r="J81" s="41">
        <v>1</v>
      </c>
      <c r="K81" s="41" t="s">
        <v>3556</v>
      </c>
      <c r="L81" s="41">
        <v>15</v>
      </c>
      <c r="M81" s="41">
        <v>13</v>
      </c>
      <c r="N81" s="41"/>
      <c r="O81" s="41" t="s">
        <v>305</v>
      </c>
      <c r="P81" s="41" t="s">
        <v>806</v>
      </c>
      <c r="Q81" s="49">
        <f t="shared" si="9"/>
        <v>80</v>
      </c>
      <c r="R81" s="43">
        <f t="shared" si="10"/>
        <v>190.56</v>
      </c>
      <c r="S81" s="41" t="s">
        <v>825</v>
      </c>
      <c r="T81" s="48" t="str">
        <f t="shared" si="11"/>
        <v>(1,'PC-01-OK1','Poste de Coupure n°01 OK1','Saturday-01-jj','Saturday-01-jj',NULL,1,13),</v>
      </c>
    </row>
    <row r="82" spans="1:20" ht="20.100000000000001" customHeight="1" x14ac:dyDescent="0.25">
      <c r="A82" s="38">
        <v>5</v>
      </c>
      <c r="B82" s="38">
        <v>80</v>
      </c>
      <c r="C82" s="38" t="s">
        <v>305</v>
      </c>
      <c r="D82" s="38">
        <v>2</v>
      </c>
      <c r="E82" s="45" t="str">
        <f>CONCATENATE("PS-",TEXT(A82,"00"),"-",O82)</f>
        <v>PS-05-OK1</v>
      </c>
      <c r="F82" s="48" t="str">
        <f>CONCATENATE("Poste de Sectionnement n°",TEXT(A82,"00")," ",O82)</f>
        <v>Poste de Sectionnement n°05 OK1</v>
      </c>
      <c r="G82" s="19">
        <v>26299</v>
      </c>
      <c r="H82" s="19">
        <v>26299</v>
      </c>
      <c r="I82" s="41" t="s">
        <v>20</v>
      </c>
      <c r="J82" s="41">
        <v>1</v>
      </c>
      <c r="K82" s="41" t="s">
        <v>3557</v>
      </c>
      <c r="L82" s="41">
        <v>16</v>
      </c>
      <c r="M82" s="41">
        <v>13</v>
      </c>
      <c r="N82" s="41"/>
      <c r="O82" s="41" t="s">
        <v>305</v>
      </c>
      <c r="P82" s="41" t="s">
        <v>806</v>
      </c>
      <c r="Q82" s="49">
        <f t="shared" si="9"/>
        <v>80</v>
      </c>
      <c r="R82" s="43">
        <f t="shared" si="10"/>
        <v>190.56</v>
      </c>
      <c r="S82" s="41" t="s">
        <v>825</v>
      </c>
      <c r="T82" s="48" t="str">
        <f t="shared" si="11"/>
        <v>(5,'PS-05-OK1','Poste de Sectionnement n°05 OK1','Saturday-01-jj','Saturday-01-jj',NULL,1,13),</v>
      </c>
    </row>
    <row r="83" spans="1:20" ht="20.100000000000001" customHeight="1" x14ac:dyDescent="0.25">
      <c r="A83" s="38">
        <v>6</v>
      </c>
      <c r="B83" s="38">
        <v>81</v>
      </c>
      <c r="C83" s="38" t="s">
        <v>305</v>
      </c>
      <c r="D83" s="38">
        <v>2</v>
      </c>
      <c r="E83" s="45" t="str">
        <f>CONCATENATE("PS-",TEXT(A83,"00"),"-",O83)</f>
        <v>PS-06-OK1</v>
      </c>
      <c r="F83" s="48" t="str">
        <f>CONCATENATE("Poste de Sectionnement n°",TEXT(A83,"00")," ",O83)</f>
        <v>Poste de Sectionnement n°06 OK1</v>
      </c>
      <c r="G83" s="19">
        <v>26299</v>
      </c>
      <c r="H83" s="19">
        <v>26299</v>
      </c>
      <c r="I83" s="41" t="s">
        <v>20</v>
      </c>
      <c r="J83" s="41">
        <v>1</v>
      </c>
      <c r="K83" s="41" t="s">
        <v>3557</v>
      </c>
      <c r="L83" s="41">
        <v>16</v>
      </c>
      <c r="M83" s="41">
        <v>13</v>
      </c>
      <c r="N83" s="41"/>
      <c r="O83" s="41" t="s">
        <v>305</v>
      </c>
      <c r="P83" s="41" t="s">
        <v>806</v>
      </c>
      <c r="Q83" s="49">
        <f t="shared" si="9"/>
        <v>80</v>
      </c>
      <c r="R83" s="43">
        <f t="shared" si="10"/>
        <v>190.56</v>
      </c>
      <c r="S83" s="41" t="s">
        <v>825</v>
      </c>
      <c r="T83" s="48" t="str">
        <f t="shared" si="11"/>
        <v>(6,'PS-06-OK1','Poste de Sectionnement n°06 OK1','Saturday-01-jj','Saturday-01-jj',NULL,1,13),</v>
      </c>
    </row>
    <row r="84" spans="1:20" ht="20.100000000000001" customHeight="1" x14ac:dyDescent="0.25">
      <c r="A84" s="38">
        <v>3</v>
      </c>
      <c r="B84" s="38">
        <v>82</v>
      </c>
      <c r="C84" s="38" t="s">
        <v>305</v>
      </c>
      <c r="D84" s="38">
        <v>2</v>
      </c>
      <c r="E84" s="39" t="s">
        <v>95</v>
      </c>
      <c r="F84" s="48" t="s">
        <v>96</v>
      </c>
      <c r="G84" s="19">
        <v>37490</v>
      </c>
      <c r="H84" s="19">
        <v>38137</v>
      </c>
      <c r="I84" s="41" t="s">
        <v>20</v>
      </c>
      <c r="J84" s="41">
        <v>1</v>
      </c>
      <c r="K84" s="41" t="s">
        <v>3552</v>
      </c>
      <c r="L84" s="41">
        <v>7</v>
      </c>
      <c r="M84" s="41">
        <v>13</v>
      </c>
      <c r="N84" s="41"/>
      <c r="O84" s="41" t="s">
        <v>305</v>
      </c>
      <c r="P84" s="41" t="s">
        <v>806</v>
      </c>
      <c r="Q84" s="49">
        <f t="shared" si="9"/>
        <v>80</v>
      </c>
      <c r="R84" s="43">
        <f t="shared" si="10"/>
        <v>190.56</v>
      </c>
      <c r="S84" s="41" t="s">
        <v>3258</v>
      </c>
      <c r="T84" s="48" t="str">
        <f t="shared" si="11"/>
        <v>(3,'SP2-OK1','Station de Pompage SP2-OK1','Thursday-08-jj','Sunday-05-jj',NULL,1,13),</v>
      </c>
    </row>
    <row r="85" spans="1:20" ht="20.100000000000001" customHeight="1" x14ac:dyDescent="0.25">
      <c r="A85" s="38">
        <v>7</v>
      </c>
      <c r="B85" s="38">
        <v>83</v>
      </c>
      <c r="C85" s="38" t="s">
        <v>305</v>
      </c>
      <c r="D85" s="38">
        <v>2</v>
      </c>
      <c r="E85" s="45" t="str">
        <f>CONCATENATE("PS-",TEXT(A85,"00"),"-",O85)</f>
        <v>PS-07-OK1</v>
      </c>
      <c r="F85" s="48" t="str">
        <f>CONCATENATE("Poste de Sectionnement n°",TEXT(A85,"00")," ",O85)</f>
        <v>Poste de Sectionnement n°07 OK1</v>
      </c>
      <c r="G85" s="19">
        <v>26299</v>
      </c>
      <c r="H85" s="19">
        <v>26299</v>
      </c>
      <c r="I85" s="41" t="s">
        <v>20</v>
      </c>
      <c r="J85" s="41">
        <v>1</v>
      </c>
      <c r="K85" s="41" t="s">
        <v>3557</v>
      </c>
      <c r="L85" s="41">
        <v>16</v>
      </c>
      <c r="M85" s="41">
        <v>13</v>
      </c>
      <c r="N85" s="41"/>
      <c r="O85" s="41" t="s">
        <v>305</v>
      </c>
      <c r="P85" s="41" t="s">
        <v>807</v>
      </c>
      <c r="Q85" s="49">
        <f t="shared" si="9"/>
        <v>80</v>
      </c>
      <c r="R85" s="43">
        <f t="shared" si="10"/>
        <v>233.40100000000001</v>
      </c>
      <c r="S85" s="41" t="s">
        <v>826</v>
      </c>
      <c r="T85" s="48" t="str">
        <f t="shared" si="11"/>
        <v>(7,'PS-07-OK1','Poste de Sectionnement n°07 OK1','Saturday-01-jj','Saturday-01-jj',NULL,1,13),</v>
      </c>
    </row>
    <row r="86" spans="1:20" ht="20.100000000000001" customHeight="1" x14ac:dyDescent="0.25">
      <c r="A86" s="38">
        <v>8</v>
      </c>
      <c r="B86" s="38">
        <v>84</v>
      </c>
      <c r="C86" s="38" t="s">
        <v>305</v>
      </c>
      <c r="D86" s="38">
        <v>2</v>
      </c>
      <c r="E86" s="45" t="str">
        <f>CONCATENATE("PS-",TEXT(A86,"00"),"-",O86)</f>
        <v>PS-08-OK1</v>
      </c>
      <c r="F86" s="48" t="str">
        <f>CONCATENATE("Poste de Sectionnement n°",TEXT(A86,"00")," ",O86)</f>
        <v>Poste de Sectionnement n°08 OK1</v>
      </c>
      <c r="G86" s="19">
        <v>26299</v>
      </c>
      <c r="H86" s="19">
        <v>26299</v>
      </c>
      <c r="I86" s="41" t="s">
        <v>20</v>
      </c>
      <c r="J86" s="41">
        <v>1</v>
      </c>
      <c r="K86" s="41" t="s">
        <v>3557</v>
      </c>
      <c r="L86" s="41">
        <v>16</v>
      </c>
      <c r="M86" s="41">
        <v>13</v>
      </c>
      <c r="N86" s="41"/>
      <c r="O86" s="41" t="s">
        <v>305</v>
      </c>
      <c r="P86" s="41" t="s">
        <v>808</v>
      </c>
      <c r="Q86" s="49">
        <f t="shared" si="9"/>
        <v>100</v>
      </c>
      <c r="R86" s="43">
        <f t="shared" si="10"/>
        <v>265.084</v>
      </c>
      <c r="S86" s="41" t="s">
        <v>827</v>
      </c>
      <c r="T86" s="48" t="str">
        <f t="shared" si="11"/>
        <v>(8,'PS-08-OK1','Poste de Sectionnement n°08 OK1','Saturday-01-jj','Saturday-01-jj',NULL,1,13),</v>
      </c>
    </row>
    <row r="87" spans="1:20" ht="20.100000000000001" customHeight="1" x14ac:dyDescent="0.25">
      <c r="A87" s="38">
        <v>2</v>
      </c>
      <c r="B87" s="38">
        <v>85</v>
      </c>
      <c r="C87" s="38" t="s">
        <v>305</v>
      </c>
      <c r="D87" s="38">
        <v>2</v>
      </c>
      <c r="E87" s="39" t="str">
        <f>CONCATENATE("PC-",TEXT(A87,"00"),"-",O87)</f>
        <v>PC-02-OK1</v>
      </c>
      <c r="F87" s="48" t="str">
        <f>CONCATENATE("Poste de Coupure n°",TEXT(A87,"00")," ",O87)</f>
        <v>Poste de Coupure n°02 OK1</v>
      </c>
      <c r="G87" s="19">
        <v>26299</v>
      </c>
      <c r="H87" s="19">
        <v>26299</v>
      </c>
      <c r="I87" s="41" t="s">
        <v>20</v>
      </c>
      <c r="J87" s="41">
        <v>1</v>
      </c>
      <c r="K87" s="41" t="s">
        <v>3556</v>
      </c>
      <c r="L87" s="41">
        <v>15</v>
      </c>
      <c r="M87" s="41">
        <v>13</v>
      </c>
      <c r="N87" s="41"/>
      <c r="O87" s="41" t="s">
        <v>305</v>
      </c>
      <c r="P87" s="41" t="s">
        <v>3256</v>
      </c>
      <c r="Q87" s="49">
        <f t="shared" si="9"/>
        <v>185</v>
      </c>
      <c r="R87" s="43">
        <f t="shared" si="10"/>
        <v>338.64299999999997</v>
      </c>
      <c r="S87" s="41" t="s">
        <v>3258</v>
      </c>
      <c r="T87" s="48" t="str">
        <f t="shared" si="11"/>
        <v>(2,'PC-02-OK1','Poste de Coupure n°02 OK1','Saturday-01-jj','Saturday-01-jj',NULL,1,13),</v>
      </c>
    </row>
    <row r="88" spans="1:20" ht="20.100000000000001" customHeight="1" x14ac:dyDescent="0.25">
      <c r="A88" s="38">
        <v>9</v>
      </c>
      <c r="B88" s="38">
        <v>86</v>
      </c>
      <c r="C88" s="38" t="s">
        <v>305</v>
      </c>
      <c r="D88" s="38">
        <v>2</v>
      </c>
      <c r="E88" s="45" t="str">
        <f>CONCATENATE("PS-",TEXT(A88,"00"),"-",O88)</f>
        <v>PS-09-OK1</v>
      </c>
      <c r="F88" s="48" t="str">
        <f>CONCATENATE("Poste de Sectionnement n°",TEXT(A88,"00")," ",O88)</f>
        <v>Poste de Sectionnement n°09 OK1</v>
      </c>
      <c r="G88" s="19">
        <v>26299</v>
      </c>
      <c r="H88" s="19">
        <v>26299</v>
      </c>
      <c r="I88" s="41" t="s">
        <v>20</v>
      </c>
      <c r="J88" s="41">
        <v>1</v>
      </c>
      <c r="K88" s="41" t="s">
        <v>3557</v>
      </c>
      <c r="L88" s="41">
        <v>16</v>
      </c>
      <c r="M88" s="41">
        <v>13</v>
      </c>
      <c r="N88" s="41"/>
      <c r="O88" s="41" t="s">
        <v>305</v>
      </c>
      <c r="P88" s="41" t="s">
        <v>809</v>
      </c>
      <c r="Q88" s="49">
        <f t="shared" si="9"/>
        <v>190</v>
      </c>
      <c r="R88" s="43">
        <f t="shared" si="10"/>
        <v>338.64299999999997</v>
      </c>
      <c r="S88" s="41" t="s">
        <v>828</v>
      </c>
      <c r="T88" s="48" t="str">
        <f t="shared" si="11"/>
        <v>(9,'PS-09-OK1','Poste de Sectionnement n°09 OK1','Saturday-01-jj','Saturday-01-jj',NULL,1,13),</v>
      </c>
    </row>
    <row r="89" spans="1:20" ht="20.100000000000001" customHeight="1" x14ac:dyDescent="0.25">
      <c r="A89" s="38">
        <v>10</v>
      </c>
      <c r="B89" s="38">
        <v>87</v>
      </c>
      <c r="C89" s="38" t="s">
        <v>305</v>
      </c>
      <c r="D89" s="38">
        <v>2</v>
      </c>
      <c r="E89" s="45" t="str">
        <f>CONCATENATE("PS-",TEXT(A89,"00"),"-",O89)</f>
        <v>PS-10-OK1</v>
      </c>
      <c r="F89" s="48" t="str">
        <f>CONCATENATE("Poste de Sectionnement n°",TEXT(A89,"00")," ",O89)</f>
        <v>Poste de Sectionnement n°10 OK1</v>
      </c>
      <c r="G89" s="19">
        <v>26299</v>
      </c>
      <c r="H89" s="19">
        <v>26299</v>
      </c>
      <c r="I89" s="41" t="s">
        <v>20</v>
      </c>
      <c r="J89" s="41">
        <v>1</v>
      </c>
      <c r="K89" s="41" t="s">
        <v>3557</v>
      </c>
      <c r="L89" s="41">
        <v>16</v>
      </c>
      <c r="M89" s="41">
        <v>13</v>
      </c>
      <c r="N89" s="41"/>
      <c r="O89" s="41" t="s">
        <v>305</v>
      </c>
      <c r="P89" s="41" t="s">
        <v>809</v>
      </c>
      <c r="Q89" s="49">
        <f t="shared" si="9"/>
        <v>190</v>
      </c>
      <c r="R89" s="43">
        <f t="shared" si="10"/>
        <v>338.64299999999997</v>
      </c>
      <c r="S89" s="41" t="s">
        <v>828</v>
      </c>
      <c r="T89" s="48" t="str">
        <f t="shared" si="11"/>
        <v>(10,'PS-10-OK1','Poste de Sectionnement n°10 OK1','Saturday-01-jj','Saturday-01-jj',NULL,1,13),</v>
      </c>
    </row>
    <row r="90" spans="1:20" ht="20.100000000000001" customHeight="1" x14ac:dyDescent="0.25">
      <c r="A90" s="38">
        <v>4</v>
      </c>
      <c r="B90" s="38">
        <v>88</v>
      </c>
      <c r="C90" s="38" t="s">
        <v>305</v>
      </c>
      <c r="D90" s="38">
        <v>2</v>
      </c>
      <c r="E90" s="39" t="s">
        <v>97</v>
      </c>
      <c r="F90" s="48" t="s">
        <v>98</v>
      </c>
      <c r="G90" s="19">
        <v>37930</v>
      </c>
      <c r="H90" s="19">
        <v>38551</v>
      </c>
      <c r="I90" s="41" t="s">
        <v>20</v>
      </c>
      <c r="J90" s="41">
        <v>1</v>
      </c>
      <c r="K90" s="41" t="s">
        <v>3552</v>
      </c>
      <c r="L90" s="41">
        <v>7</v>
      </c>
      <c r="M90" s="41">
        <v>13</v>
      </c>
      <c r="N90" s="41"/>
      <c r="O90" s="41" t="s">
        <v>305</v>
      </c>
      <c r="P90" s="41" t="s">
        <v>3256</v>
      </c>
      <c r="Q90" s="49">
        <f t="shared" si="9"/>
        <v>185</v>
      </c>
      <c r="R90" s="43">
        <f t="shared" si="10"/>
        <v>338.64299999999997</v>
      </c>
      <c r="S90" s="41" t="s">
        <v>3259</v>
      </c>
      <c r="T90" s="48" t="str">
        <f t="shared" si="11"/>
        <v>(4,'SP3-OK1','Station de Pompage SP3-OK1','Wednesday-11-jj','Monday-07-jj',NULL,1,13),</v>
      </c>
    </row>
    <row r="91" spans="1:20" ht="20.100000000000001" customHeight="1" x14ac:dyDescent="0.25">
      <c r="A91" s="38" t="s">
        <v>839</v>
      </c>
      <c r="B91" s="38">
        <v>89</v>
      </c>
      <c r="C91" s="38" t="s">
        <v>305</v>
      </c>
      <c r="D91" s="38">
        <v>2</v>
      </c>
      <c r="E91" s="45" t="str">
        <f>CONCATENATE("PS-",TEXT(A91,"00"),"-",O91)</f>
        <v>PS-10Bis-OK1</v>
      </c>
      <c r="F91" s="48" t="str">
        <f>CONCATENATE("Poste de Sectionnement n°",TEXT(A91,"00")," ",O91)</f>
        <v>Poste de Sectionnement n°10Bis OK1</v>
      </c>
      <c r="G91" s="19">
        <v>26299</v>
      </c>
      <c r="H91" s="19">
        <v>26299</v>
      </c>
      <c r="I91" s="41" t="s">
        <v>20</v>
      </c>
      <c r="J91" s="41">
        <v>1</v>
      </c>
      <c r="K91" s="41" t="s">
        <v>3557</v>
      </c>
      <c r="L91" s="41">
        <v>16</v>
      </c>
      <c r="M91" s="41">
        <v>13</v>
      </c>
      <c r="N91" s="41"/>
      <c r="O91" s="41" t="s">
        <v>305</v>
      </c>
      <c r="P91" s="41" t="s">
        <v>810</v>
      </c>
      <c r="Q91" s="49">
        <f t="shared" si="9"/>
        <v>310</v>
      </c>
      <c r="R91" s="43">
        <f t="shared" si="10"/>
        <v>366.87</v>
      </c>
      <c r="S91" s="41" t="s">
        <v>829</v>
      </c>
      <c r="T91" s="48" t="str">
        <f t="shared" si="11"/>
        <v>(10Bis,'PS-10Bis-OK1','Poste de Sectionnement n°10Bis OK1','Saturday-01-jj','Saturday-01-jj',NULL,1,13),</v>
      </c>
    </row>
    <row r="92" spans="1:20" ht="20.100000000000001" customHeight="1" x14ac:dyDescent="0.25">
      <c r="A92" s="38" t="s">
        <v>840</v>
      </c>
      <c r="B92" s="38">
        <v>90</v>
      </c>
      <c r="C92" s="38" t="s">
        <v>305</v>
      </c>
      <c r="D92" s="38">
        <v>2</v>
      </c>
      <c r="E92" s="45" t="str">
        <f>CONCATENATE("PS-",TEXT(A92,"00"),"-",O92)</f>
        <v>PS-10Ter-OK1</v>
      </c>
      <c r="F92" s="48" t="str">
        <f>CONCATENATE("Poste de Sectionnement n°",TEXT(A92,"00")," ",O92)</f>
        <v>Poste de Sectionnement n°10Ter OK1</v>
      </c>
      <c r="G92" s="19">
        <v>26299</v>
      </c>
      <c r="H92" s="19">
        <v>26299</v>
      </c>
      <c r="I92" s="41" t="s">
        <v>20</v>
      </c>
      <c r="J92" s="41">
        <v>1</v>
      </c>
      <c r="K92" s="41" t="s">
        <v>3557</v>
      </c>
      <c r="L92" s="41">
        <v>16</v>
      </c>
      <c r="M92" s="41">
        <v>13</v>
      </c>
      <c r="N92" s="41"/>
      <c r="O92" s="41" t="s">
        <v>305</v>
      </c>
      <c r="P92" s="41" t="s">
        <v>811</v>
      </c>
      <c r="Q92" s="49">
        <f t="shared" si="9"/>
        <v>280</v>
      </c>
      <c r="R92" s="43">
        <f t="shared" si="10"/>
        <v>396.85399999999998</v>
      </c>
      <c r="S92" s="41" t="s">
        <v>829</v>
      </c>
      <c r="T92" s="48" t="str">
        <f t="shared" si="11"/>
        <v>(10Ter,'PS-10Ter-OK1','Poste de Sectionnement n°10Ter OK1','Saturday-01-jj','Saturday-01-jj',NULL,1,13),</v>
      </c>
    </row>
    <row r="93" spans="1:20" ht="20.100000000000001" customHeight="1" x14ac:dyDescent="0.25">
      <c r="A93" s="38">
        <v>3</v>
      </c>
      <c r="B93" s="38">
        <v>91</v>
      </c>
      <c r="C93" s="38" t="s">
        <v>305</v>
      </c>
      <c r="D93" s="38">
        <v>2</v>
      </c>
      <c r="E93" s="39" t="str">
        <f>CONCATENATE("PC-",TEXT(A93,"00"),"-",O93)</f>
        <v>PC-03-OK1</v>
      </c>
      <c r="F93" s="48" t="str">
        <f>CONCATENATE("Poste de Coupure n°",TEXT(A93,"00")," ",O93)</f>
        <v>Poste de Coupure n°03 OK1</v>
      </c>
      <c r="G93" s="19">
        <v>26299</v>
      </c>
      <c r="H93" s="19">
        <v>26299</v>
      </c>
      <c r="I93" s="41" t="s">
        <v>20</v>
      </c>
      <c r="J93" s="41">
        <v>1</v>
      </c>
      <c r="K93" s="41" t="s">
        <v>3556</v>
      </c>
      <c r="L93" s="41">
        <v>15</v>
      </c>
      <c r="M93" s="41">
        <v>13</v>
      </c>
      <c r="N93" s="41"/>
      <c r="O93" s="41" t="s">
        <v>305</v>
      </c>
      <c r="P93" s="41" t="s">
        <v>3257</v>
      </c>
      <c r="Q93" s="49">
        <f t="shared" si="9"/>
        <v>630</v>
      </c>
      <c r="R93" s="43">
        <f t="shared" si="10"/>
        <v>431.42700000000002</v>
      </c>
      <c r="S93" s="41" t="s">
        <v>3259</v>
      </c>
      <c r="T93" s="48" t="str">
        <f t="shared" si="11"/>
        <v>(3,'PC-03-OK1','Poste de Coupure n°03 OK1','Saturday-01-jj','Saturday-01-jj',NULL,1,13),</v>
      </c>
    </row>
    <row r="94" spans="1:20" ht="20.100000000000001" customHeight="1" x14ac:dyDescent="0.25">
      <c r="A94" s="38">
        <v>11</v>
      </c>
      <c r="B94" s="38">
        <v>92</v>
      </c>
      <c r="C94" s="38" t="s">
        <v>305</v>
      </c>
      <c r="D94" s="38">
        <v>2</v>
      </c>
      <c r="E94" s="45" t="str">
        <f>CONCATENATE("PS-",TEXT(A94,"00"),"-",O94)</f>
        <v>PS-11-OK1</v>
      </c>
      <c r="F94" s="48" t="str">
        <f>CONCATENATE("Poste de Sectionnement n°",TEXT(A94,"00")," ",O94)</f>
        <v>Poste de Sectionnement n°11 OK1</v>
      </c>
      <c r="G94" s="19">
        <v>26299</v>
      </c>
      <c r="H94" s="19">
        <v>26299</v>
      </c>
      <c r="I94" s="41" t="s">
        <v>20</v>
      </c>
      <c r="J94" s="41">
        <v>1</v>
      </c>
      <c r="K94" s="41" t="s">
        <v>3557</v>
      </c>
      <c r="L94" s="41">
        <v>16</v>
      </c>
      <c r="M94" s="41">
        <v>13</v>
      </c>
      <c r="N94" s="41"/>
      <c r="O94" s="41" t="s">
        <v>305</v>
      </c>
      <c r="P94" s="41" t="s">
        <v>812</v>
      </c>
      <c r="Q94" s="49">
        <f t="shared" si="9"/>
        <v>640</v>
      </c>
      <c r="R94" s="43">
        <f t="shared" si="10"/>
        <v>431.42700000000002</v>
      </c>
      <c r="S94" s="41" t="s">
        <v>830</v>
      </c>
      <c r="T94" s="48" t="str">
        <f>CONCATENATE("(",A94,",'",E94,"','",F94,"','",TEXT(G94,"aaaa-mm-jj"),"','",TEXT(H94,"aaaa-mm-jj"),"',",TEXT(I94,"aaaa-mm-jj"),",",J94,",",M94,"),")</f>
        <v>(11,'PS-11-OK1','Poste de Sectionnement n°11 OK1','Saturday-01-jj','Saturday-01-jj',NULL,1,13),</v>
      </c>
    </row>
    <row r="95" spans="1:20" ht="20.100000000000001" customHeight="1" x14ac:dyDescent="0.25">
      <c r="A95" s="38">
        <v>12</v>
      </c>
      <c r="B95" s="38">
        <v>93</v>
      </c>
      <c r="C95" s="38" t="s">
        <v>305</v>
      </c>
      <c r="D95" s="38">
        <v>2</v>
      </c>
      <c r="E95" s="45" t="str">
        <f>CONCATENATE("PS-",TEXT(A95,"00"),"-",O95)</f>
        <v>PS-12-OK1</v>
      </c>
      <c r="F95" s="48" t="str">
        <f>CONCATENATE("Poste de Sectionnement n°",TEXT(A95,"00")," ",O95)</f>
        <v>Poste de Sectionnement n°12 OK1</v>
      </c>
      <c r="G95" s="19">
        <v>26299</v>
      </c>
      <c r="H95" s="19">
        <v>26299</v>
      </c>
      <c r="I95" s="41" t="s">
        <v>20</v>
      </c>
      <c r="J95" s="41">
        <v>1</v>
      </c>
      <c r="K95" s="41" t="s">
        <v>3557</v>
      </c>
      <c r="L95" s="41">
        <v>16</v>
      </c>
      <c r="M95" s="41">
        <v>13</v>
      </c>
      <c r="N95" s="41"/>
      <c r="O95" s="41" t="s">
        <v>305</v>
      </c>
      <c r="P95" s="41" t="s">
        <v>812</v>
      </c>
      <c r="Q95" s="49">
        <f t="shared" si="9"/>
        <v>640</v>
      </c>
      <c r="R95" s="43">
        <f t="shared" si="10"/>
        <v>431.42700000000002</v>
      </c>
      <c r="S95" s="41" t="s">
        <v>830</v>
      </c>
      <c r="T95" s="48" t="str">
        <f t="shared" ref="T95:T158" si="12">CONCATENATE("(",A95,",'",E95,"','",F95,"','",TEXT(G95,"aaaa-mm-jj"),"','",TEXT(H95,"aaaa-mm-jj"),"',",I95,",",J95,",",M95,"),")</f>
        <v>(12,'PS-12-OK1','Poste de Sectionnement n°12 OK1','Saturday-01-jj','Saturday-01-jj',NULL,1,13),</v>
      </c>
    </row>
    <row r="96" spans="1:20" ht="20.100000000000001" customHeight="1" x14ac:dyDescent="0.25">
      <c r="A96" s="38">
        <v>5</v>
      </c>
      <c r="B96" s="38">
        <v>94</v>
      </c>
      <c r="C96" s="38" t="s">
        <v>305</v>
      </c>
      <c r="D96" s="38">
        <v>2</v>
      </c>
      <c r="E96" s="39" t="s">
        <v>101</v>
      </c>
      <c r="F96" s="48" t="s">
        <v>102</v>
      </c>
      <c r="G96" s="19">
        <v>38125</v>
      </c>
      <c r="H96" s="19">
        <v>38739</v>
      </c>
      <c r="I96" s="41" t="s">
        <v>20</v>
      </c>
      <c r="J96" s="41">
        <v>1</v>
      </c>
      <c r="K96" s="41" t="s">
        <v>3552</v>
      </c>
      <c r="L96" s="41">
        <v>7</v>
      </c>
      <c r="M96" s="41">
        <v>13</v>
      </c>
      <c r="N96" s="41"/>
      <c r="O96" s="41" t="s">
        <v>305</v>
      </c>
      <c r="P96" s="41" t="s">
        <v>3257</v>
      </c>
      <c r="Q96" s="49">
        <f t="shared" si="9"/>
        <v>630</v>
      </c>
      <c r="R96" s="43">
        <f t="shared" si="10"/>
        <v>431.42700000000002</v>
      </c>
      <c r="S96" s="41" t="s">
        <v>838</v>
      </c>
      <c r="T96" s="48" t="str">
        <f t="shared" si="12"/>
        <v>(5,'SP4-OK1','Station de Pompage SP4-OK1','Tuesday-05-jj','Sunday-01-jj',NULL,1,13),</v>
      </c>
    </row>
    <row r="97" spans="1:20" ht="20.100000000000001" customHeight="1" x14ac:dyDescent="0.25">
      <c r="A97" s="38">
        <v>13</v>
      </c>
      <c r="B97" s="38">
        <v>95</v>
      </c>
      <c r="C97" s="38" t="s">
        <v>305</v>
      </c>
      <c r="D97" s="38">
        <v>2</v>
      </c>
      <c r="E97" s="45" t="str">
        <f t="shared" ref="E97:E104" si="13">CONCATENATE("PS-",TEXT(A97,"00"),"-",O97)</f>
        <v>PS-13-OK1</v>
      </c>
      <c r="F97" s="48" t="str">
        <f t="shared" ref="F97:F104" si="14">CONCATENATE("Poste de Sectionnement n°",TEXT(A97,"00")," ",O97)</f>
        <v>Poste de Sectionnement n°13 OK1</v>
      </c>
      <c r="G97" s="19">
        <v>26299</v>
      </c>
      <c r="H97" s="19">
        <v>26299</v>
      </c>
      <c r="I97" s="41" t="s">
        <v>20</v>
      </c>
      <c r="J97" s="41">
        <v>1</v>
      </c>
      <c r="K97" s="41" t="s">
        <v>3557</v>
      </c>
      <c r="L97" s="41">
        <v>16</v>
      </c>
      <c r="M97" s="41">
        <v>13</v>
      </c>
      <c r="N97" s="41"/>
      <c r="O97" s="41" t="s">
        <v>305</v>
      </c>
      <c r="P97" s="41" t="s">
        <v>813</v>
      </c>
      <c r="Q97" s="49">
        <f t="shared" si="9"/>
        <v>930</v>
      </c>
      <c r="R97" s="43">
        <f t="shared" si="10"/>
        <v>463.12099999999998</v>
      </c>
      <c r="S97" s="41" t="s">
        <v>831</v>
      </c>
      <c r="T97" s="48" t="str">
        <f t="shared" si="12"/>
        <v>(13,'PS-13-OK1','Poste de Sectionnement n°13 OK1','Saturday-01-jj','Saturday-01-jj',NULL,1,13),</v>
      </c>
    </row>
    <row r="98" spans="1:20" ht="20.100000000000001" customHeight="1" x14ac:dyDescent="0.25">
      <c r="A98" s="38">
        <v>14</v>
      </c>
      <c r="B98" s="38">
        <v>96</v>
      </c>
      <c r="C98" s="38" t="s">
        <v>305</v>
      </c>
      <c r="D98" s="38">
        <v>2</v>
      </c>
      <c r="E98" s="45" t="str">
        <f t="shared" si="13"/>
        <v>PS-14-OK1</v>
      </c>
      <c r="F98" s="48" t="str">
        <f t="shared" si="14"/>
        <v>Poste de Sectionnement n°14 OK1</v>
      </c>
      <c r="G98" s="19">
        <v>26299</v>
      </c>
      <c r="H98" s="19">
        <v>26299</v>
      </c>
      <c r="I98" s="41" t="s">
        <v>20</v>
      </c>
      <c r="J98" s="41">
        <v>1</v>
      </c>
      <c r="K98" s="41" t="s">
        <v>3557</v>
      </c>
      <c r="L98" s="41">
        <v>16</v>
      </c>
      <c r="M98" s="41">
        <v>13</v>
      </c>
      <c r="N98" s="41"/>
      <c r="O98" s="41" t="s">
        <v>305</v>
      </c>
      <c r="P98" s="41" t="s">
        <v>814</v>
      </c>
      <c r="Q98" s="49">
        <f t="shared" si="9"/>
        <v>950</v>
      </c>
      <c r="R98" s="43">
        <f t="shared" si="10"/>
        <v>494.38600000000002</v>
      </c>
      <c r="S98" s="41" t="s">
        <v>832</v>
      </c>
      <c r="T98" s="48" t="str">
        <f t="shared" si="12"/>
        <v>(14,'PS-14-OK1','Poste de Sectionnement n°14 OK1','Saturday-01-jj','Saturday-01-jj',NULL,1,13),</v>
      </c>
    </row>
    <row r="99" spans="1:20" ht="20.100000000000001" customHeight="1" x14ac:dyDescent="0.25">
      <c r="A99" s="38" t="s">
        <v>841</v>
      </c>
      <c r="B99" s="38">
        <v>97</v>
      </c>
      <c r="C99" s="38" t="s">
        <v>305</v>
      </c>
      <c r="D99" s="38">
        <v>2</v>
      </c>
      <c r="E99" s="45" t="str">
        <f t="shared" si="13"/>
        <v>PS-14Bis-OK1</v>
      </c>
      <c r="F99" s="48" t="str">
        <f t="shared" si="14"/>
        <v>Poste de Sectionnement n°14Bis OK1</v>
      </c>
      <c r="G99" s="19">
        <v>26299</v>
      </c>
      <c r="H99" s="19">
        <v>26299</v>
      </c>
      <c r="I99" s="41" t="s">
        <v>20</v>
      </c>
      <c r="J99" s="41">
        <v>1</v>
      </c>
      <c r="K99" s="41" t="s">
        <v>3557</v>
      </c>
      <c r="L99" s="41">
        <v>16</v>
      </c>
      <c r="M99" s="41">
        <v>13</v>
      </c>
      <c r="N99" s="41"/>
      <c r="O99" s="41" t="s">
        <v>305</v>
      </c>
      <c r="P99" s="41" t="s">
        <v>815</v>
      </c>
      <c r="Q99" s="49">
        <f t="shared" si="9"/>
        <v>830</v>
      </c>
      <c r="R99" s="43">
        <f t="shared" si="10"/>
        <v>516.94600000000003</v>
      </c>
      <c r="S99" s="41" t="s">
        <v>833</v>
      </c>
      <c r="T99" s="48" t="str">
        <f t="shared" si="12"/>
        <v>(14Bis,'PS-14Bis-OK1','Poste de Sectionnement n°14Bis OK1','Saturday-01-jj','Saturday-01-jj',NULL,1,13),</v>
      </c>
    </row>
    <row r="100" spans="1:20" ht="20.100000000000001" customHeight="1" x14ac:dyDescent="0.25">
      <c r="A100" s="38">
        <v>15</v>
      </c>
      <c r="B100" s="38">
        <v>98</v>
      </c>
      <c r="C100" s="38" t="s">
        <v>305</v>
      </c>
      <c r="D100" s="38">
        <v>2</v>
      </c>
      <c r="E100" s="45" t="str">
        <f t="shared" si="13"/>
        <v>PS-15-OK1</v>
      </c>
      <c r="F100" s="48" t="str">
        <f t="shared" si="14"/>
        <v>Poste de Sectionnement n°15 OK1</v>
      </c>
      <c r="G100" s="19">
        <v>26299</v>
      </c>
      <c r="H100" s="19">
        <v>26299</v>
      </c>
      <c r="I100" s="41" t="s">
        <v>20</v>
      </c>
      <c r="J100" s="41">
        <v>1</v>
      </c>
      <c r="K100" s="41" t="s">
        <v>3557</v>
      </c>
      <c r="L100" s="41">
        <v>16</v>
      </c>
      <c r="M100" s="41">
        <v>13</v>
      </c>
      <c r="N100" s="41"/>
      <c r="O100" s="41" t="s">
        <v>305</v>
      </c>
      <c r="P100" s="41" t="s">
        <v>816</v>
      </c>
      <c r="Q100" s="49">
        <f t="shared" si="9"/>
        <v>670</v>
      </c>
      <c r="R100" s="43">
        <f t="shared" si="10"/>
        <v>547.42700000000002</v>
      </c>
      <c r="S100" s="41" t="s">
        <v>834</v>
      </c>
      <c r="T100" s="48" t="str">
        <f t="shared" si="12"/>
        <v>(15,'PS-15-OK1','Poste de Sectionnement n°15 OK1','Saturday-01-jj','Saturday-01-jj',NULL,1,13),</v>
      </c>
    </row>
    <row r="101" spans="1:20" ht="20.100000000000001" customHeight="1" x14ac:dyDescent="0.25">
      <c r="A101" s="38">
        <v>16</v>
      </c>
      <c r="B101" s="38">
        <v>99</v>
      </c>
      <c r="C101" s="38" t="s">
        <v>305</v>
      </c>
      <c r="D101" s="38">
        <v>2</v>
      </c>
      <c r="E101" s="45" t="str">
        <f t="shared" si="13"/>
        <v>PS-16-OK1</v>
      </c>
      <c r="F101" s="48" t="str">
        <f t="shared" si="14"/>
        <v>Poste de Sectionnement n°16 OK1</v>
      </c>
      <c r="G101" s="19">
        <v>26299</v>
      </c>
      <c r="H101" s="19">
        <v>26299</v>
      </c>
      <c r="I101" s="41" t="s">
        <v>20</v>
      </c>
      <c r="J101" s="41">
        <v>1</v>
      </c>
      <c r="K101" s="41" t="s">
        <v>3557</v>
      </c>
      <c r="L101" s="41">
        <v>16</v>
      </c>
      <c r="M101" s="41">
        <v>13</v>
      </c>
      <c r="N101" s="41"/>
      <c r="O101" s="41" t="s">
        <v>305</v>
      </c>
      <c r="P101" s="41" t="s">
        <v>817</v>
      </c>
      <c r="Q101" s="49">
        <f t="shared" si="9"/>
        <v>600</v>
      </c>
      <c r="R101" s="43">
        <f t="shared" si="10"/>
        <v>576.28499999999997</v>
      </c>
      <c r="S101" s="41" t="s">
        <v>835</v>
      </c>
      <c r="T101" s="48" t="str">
        <f t="shared" si="12"/>
        <v>(16,'PS-16-OK1','Poste de Sectionnement n°16 OK1','Saturday-01-jj','Saturday-01-jj',NULL,1,13),</v>
      </c>
    </row>
    <row r="102" spans="1:20" ht="20.100000000000001" customHeight="1" x14ac:dyDescent="0.25">
      <c r="A102" s="38" t="s">
        <v>842</v>
      </c>
      <c r="B102" s="38">
        <v>100</v>
      </c>
      <c r="C102" s="38" t="s">
        <v>305</v>
      </c>
      <c r="D102" s="38">
        <v>2</v>
      </c>
      <c r="E102" s="45" t="str">
        <f t="shared" si="13"/>
        <v>PS-16Bis-OK1</v>
      </c>
      <c r="F102" s="48" t="str">
        <f t="shared" si="14"/>
        <v>Poste de Sectionnement n°16Bis OK1</v>
      </c>
      <c r="G102" s="19">
        <v>26299</v>
      </c>
      <c r="H102" s="19">
        <v>26299</v>
      </c>
      <c r="I102" s="41" t="s">
        <v>20</v>
      </c>
      <c r="J102" s="41">
        <v>1</v>
      </c>
      <c r="K102" s="41" t="s">
        <v>3557</v>
      </c>
      <c r="L102" s="41">
        <v>16</v>
      </c>
      <c r="M102" s="41">
        <v>13</v>
      </c>
      <c r="N102" s="41"/>
      <c r="O102" s="41" t="s">
        <v>305</v>
      </c>
      <c r="P102" s="41" t="s">
        <v>818</v>
      </c>
      <c r="Q102" s="49">
        <f t="shared" si="9"/>
        <v>460</v>
      </c>
      <c r="R102" s="43">
        <f t="shared" si="10"/>
        <v>596.13699999999994</v>
      </c>
      <c r="S102" s="41" t="s">
        <v>836</v>
      </c>
      <c r="T102" s="48" t="str">
        <f t="shared" si="12"/>
        <v>(16Bis,'PS-16Bis-OK1','Poste de Sectionnement n°16Bis OK1','Saturday-01-jj','Saturday-01-jj',NULL,1,13),</v>
      </c>
    </row>
    <row r="103" spans="1:20" ht="20.100000000000001" customHeight="1" x14ac:dyDescent="0.25">
      <c r="A103" s="38">
        <v>17</v>
      </c>
      <c r="B103" s="38">
        <v>101</v>
      </c>
      <c r="C103" s="38" t="s">
        <v>305</v>
      </c>
      <c r="D103" s="38">
        <v>2</v>
      </c>
      <c r="E103" s="45" t="str">
        <f t="shared" si="13"/>
        <v>PS-17-OK1</v>
      </c>
      <c r="F103" s="48" t="str">
        <f t="shared" si="14"/>
        <v>Poste de Sectionnement n°17 OK1</v>
      </c>
      <c r="G103" s="19">
        <v>26299</v>
      </c>
      <c r="H103" s="19">
        <v>26299</v>
      </c>
      <c r="I103" s="41" t="s">
        <v>20</v>
      </c>
      <c r="J103" s="41">
        <v>1</v>
      </c>
      <c r="K103" s="41" t="s">
        <v>3557</v>
      </c>
      <c r="L103" s="41">
        <v>16</v>
      </c>
      <c r="M103" s="41">
        <v>13</v>
      </c>
      <c r="N103" s="41"/>
      <c r="O103" s="41" t="s">
        <v>305</v>
      </c>
      <c r="P103" s="41" t="s">
        <v>819</v>
      </c>
      <c r="Q103" s="49">
        <f t="shared" si="9"/>
        <v>12</v>
      </c>
      <c r="R103" s="43">
        <f t="shared" si="10"/>
        <v>615.01199999999994</v>
      </c>
      <c r="S103" s="41" t="s">
        <v>837</v>
      </c>
      <c r="T103" s="48" t="str">
        <f t="shared" si="12"/>
        <v>(17,'PS-17-OK1','Poste de Sectionnement n°17 OK1','Saturday-01-jj','Saturday-01-jj',NULL,1,13),</v>
      </c>
    </row>
    <row r="104" spans="1:20" ht="20.100000000000001" customHeight="1" x14ac:dyDescent="0.25">
      <c r="A104" s="38">
        <v>18</v>
      </c>
      <c r="B104" s="38">
        <v>102</v>
      </c>
      <c r="C104" s="38" t="s">
        <v>305</v>
      </c>
      <c r="D104" s="38">
        <v>2</v>
      </c>
      <c r="E104" s="45" t="str">
        <f t="shared" si="13"/>
        <v>PS-18-OK1</v>
      </c>
      <c r="F104" s="48" t="str">
        <f t="shared" si="14"/>
        <v>Poste de Sectionnement n°18 OK1</v>
      </c>
      <c r="G104" s="19">
        <v>26299</v>
      </c>
      <c r="H104" s="19">
        <v>26299</v>
      </c>
      <c r="I104" s="41" t="s">
        <v>20</v>
      </c>
      <c r="J104" s="41">
        <v>1</v>
      </c>
      <c r="K104" s="41" t="s">
        <v>3557</v>
      </c>
      <c r="L104" s="41">
        <v>16</v>
      </c>
      <c r="M104" s="41">
        <v>13</v>
      </c>
      <c r="N104" s="41"/>
      <c r="O104" s="41" t="s">
        <v>305</v>
      </c>
      <c r="P104" s="41" t="s">
        <v>820</v>
      </c>
      <c r="Q104" s="49">
        <f t="shared" si="9"/>
        <v>12</v>
      </c>
      <c r="R104" s="43">
        <f t="shared" si="10"/>
        <v>646.74699999999996</v>
      </c>
      <c r="S104" s="41" t="s">
        <v>838</v>
      </c>
      <c r="T104" s="48" t="str">
        <f t="shared" si="12"/>
        <v>(18,'PS-18-OK1','Poste de Sectionnement n°18 OK1','Saturday-01-jj','Saturday-01-jj',NULL,1,13),</v>
      </c>
    </row>
    <row r="105" spans="1:20" ht="20.100000000000001" customHeight="1" x14ac:dyDescent="0.25">
      <c r="A105" s="38">
        <v>1</v>
      </c>
      <c r="B105" s="38">
        <v>103</v>
      </c>
      <c r="C105" s="38" t="s">
        <v>548</v>
      </c>
      <c r="D105" s="38">
        <v>3</v>
      </c>
      <c r="E105" s="39" t="s">
        <v>103</v>
      </c>
      <c r="F105" s="48" t="s">
        <v>104</v>
      </c>
      <c r="G105" s="19">
        <v>37327</v>
      </c>
      <c r="H105" s="19">
        <v>37950</v>
      </c>
      <c r="I105" s="41" t="s">
        <v>20</v>
      </c>
      <c r="J105" s="41">
        <v>1</v>
      </c>
      <c r="K105" s="41" t="s">
        <v>3552</v>
      </c>
      <c r="L105" s="41">
        <v>7</v>
      </c>
      <c r="M105" s="41">
        <v>12</v>
      </c>
      <c r="N105" s="41"/>
      <c r="O105" s="41" t="s">
        <v>308</v>
      </c>
      <c r="P105" s="41" t="s">
        <v>3594</v>
      </c>
      <c r="Q105" s="49">
        <f t="shared" si="9"/>
        <v>150.34</v>
      </c>
      <c r="R105" s="43">
        <f t="shared" si="10"/>
        <v>0</v>
      </c>
      <c r="S105" s="41" t="s">
        <v>3596</v>
      </c>
      <c r="T105" s="48" t="str">
        <f t="shared" si="12"/>
        <v>(1,'SP1-OB1','Station de Pompage SP1-OB1','Tuesday-03-jj','Tuesday-11-jj',NULL,1,12),</v>
      </c>
    </row>
    <row r="106" spans="1:20" ht="20.100000000000001" customHeight="1" x14ac:dyDescent="0.25">
      <c r="A106" s="38">
        <v>6</v>
      </c>
      <c r="B106" s="38">
        <v>104</v>
      </c>
      <c r="C106" s="38" t="s">
        <v>548</v>
      </c>
      <c r="D106" s="38">
        <v>3</v>
      </c>
      <c r="E106" s="39" t="s">
        <v>3491</v>
      </c>
      <c r="F106" s="48" t="str">
        <f>CONCATENATE("Station de Pompage ",E106)</f>
        <v>Station de Pompage SP1-OB1-D</v>
      </c>
      <c r="G106" s="19">
        <v>21916</v>
      </c>
      <c r="H106" s="19">
        <v>21916</v>
      </c>
      <c r="I106" s="19">
        <v>43830</v>
      </c>
      <c r="J106" s="41">
        <v>8</v>
      </c>
      <c r="K106" s="41" t="s">
        <v>3552</v>
      </c>
      <c r="L106" s="41">
        <v>7</v>
      </c>
      <c r="M106" s="41">
        <v>10</v>
      </c>
      <c r="N106" s="41"/>
      <c r="O106" s="41" t="s">
        <v>308</v>
      </c>
      <c r="P106" s="41" t="s">
        <v>3602</v>
      </c>
      <c r="Q106" s="49">
        <f t="shared" si="9"/>
        <v>150</v>
      </c>
      <c r="R106" s="43">
        <f t="shared" si="10"/>
        <v>0</v>
      </c>
      <c r="S106" s="41" t="s">
        <v>3596</v>
      </c>
      <c r="T106" s="48" t="str">
        <f t="shared" si="12"/>
        <v>(6,'SP1-OB1-D','Station de Pompage SP1-OB1-D','Friday-01-jj','Friday-01-jj',43830,8,10),</v>
      </c>
    </row>
    <row r="107" spans="1:20" ht="20.100000000000001" customHeight="1" x14ac:dyDescent="0.25">
      <c r="A107" s="38">
        <v>1</v>
      </c>
      <c r="B107" s="38">
        <v>105</v>
      </c>
      <c r="C107" s="38" t="s">
        <v>548</v>
      </c>
      <c r="D107" s="38">
        <v>3</v>
      </c>
      <c r="E107" s="39" t="str">
        <f>CONCATENATE("PS-",TEXT(A107,"00"),"-",O107)</f>
        <v>PS-01-OB1</v>
      </c>
      <c r="F107" s="48" t="str">
        <f>CONCATENATE("Poste de Sectionnement n°",TEXT(A107,"00")," ",O107)</f>
        <v>Poste de Sectionnement n°01 OB1</v>
      </c>
      <c r="G107" s="19">
        <v>21864</v>
      </c>
      <c r="H107" s="19">
        <v>21864</v>
      </c>
      <c r="I107" s="41" t="s">
        <v>20</v>
      </c>
      <c r="J107" s="41">
        <v>1</v>
      </c>
      <c r="K107" s="41" t="s">
        <v>3557</v>
      </c>
      <c r="L107" s="41">
        <v>16</v>
      </c>
      <c r="M107" s="41">
        <v>15</v>
      </c>
      <c r="N107" s="41"/>
      <c r="O107" s="41" t="s">
        <v>308</v>
      </c>
      <c r="P107" s="41" t="s">
        <v>844</v>
      </c>
      <c r="Q107" s="49">
        <f t="shared" si="9"/>
        <v>119.9</v>
      </c>
      <c r="R107" s="43">
        <f t="shared" si="10"/>
        <v>64.447999999999993</v>
      </c>
      <c r="S107" s="41" t="s">
        <v>850</v>
      </c>
      <c r="T107" s="48" t="str">
        <f t="shared" si="12"/>
        <v>(1,'PS-01-OB1','Poste de Sectionnement n°01 OB1','Tuesday-11-jj','Tuesday-11-jj',NULL,1,15),</v>
      </c>
    </row>
    <row r="108" spans="1:20" ht="20.100000000000001" customHeight="1" x14ac:dyDescent="0.25">
      <c r="A108" s="38">
        <v>2</v>
      </c>
      <c r="B108" s="38">
        <v>106</v>
      </c>
      <c r="C108" s="38" t="s">
        <v>548</v>
      </c>
      <c r="D108" s="38">
        <v>3</v>
      </c>
      <c r="E108" s="39" t="str">
        <f>CONCATENATE("PS-",TEXT(A108,"00"),"-",O108)</f>
        <v>PS-02-OB1</v>
      </c>
      <c r="F108" s="48" t="str">
        <f>CONCATENATE("Poste de Sectionnement n°",TEXT(A108,"00")," ",O108)</f>
        <v>Poste de Sectionnement n°02 OB1</v>
      </c>
      <c r="G108" s="19">
        <v>21864</v>
      </c>
      <c r="H108" s="19">
        <v>21864</v>
      </c>
      <c r="I108" s="41" t="s">
        <v>20</v>
      </c>
      <c r="J108" s="41">
        <v>1</v>
      </c>
      <c r="K108" s="41" t="s">
        <v>3557</v>
      </c>
      <c r="L108" s="41">
        <v>16</v>
      </c>
      <c r="M108" s="41">
        <v>15</v>
      </c>
      <c r="N108" s="41"/>
      <c r="O108" s="41" t="s">
        <v>308</v>
      </c>
      <c r="P108" s="41" t="s">
        <v>845</v>
      </c>
      <c r="Q108" s="49">
        <f t="shared" si="9"/>
        <v>89.5</v>
      </c>
      <c r="R108" s="43">
        <f t="shared" si="10"/>
        <v>134.96</v>
      </c>
      <c r="S108" s="41" t="s">
        <v>851</v>
      </c>
      <c r="T108" s="48" t="str">
        <f t="shared" si="12"/>
        <v>(2,'PS-02-OB1','Poste de Sectionnement n°02 OB1','Tuesday-11-jj','Tuesday-11-jj',NULL,1,15),</v>
      </c>
    </row>
    <row r="109" spans="1:20" ht="20.100000000000001" customHeight="1" x14ac:dyDescent="0.25">
      <c r="A109" s="38">
        <v>10</v>
      </c>
      <c r="B109" s="38">
        <v>107</v>
      </c>
      <c r="C109" s="38" t="s">
        <v>548</v>
      </c>
      <c r="D109" s="38">
        <v>3</v>
      </c>
      <c r="E109" s="39" t="s">
        <v>3505</v>
      </c>
      <c r="F109" s="48" t="str">
        <f>CONCATENATE("Station de Pompage ",E109)</f>
        <v>Station de Pompage SPA-OB1-D</v>
      </c>
      <c r="G109" s="19">
        <v>25569</v>
      </c>
      <c r="H109" s="19">
        <v>25569</v>
      </c>
      <c r="I109" s="19">
        <v>36160</v>
      </c>
      <c r="J109" s="41">
        <v>8</v>
      </c>
      <c r="K109" s="41" t="s">
        <v>3552</v>
      </c>
      <c r="L109" s="41">
        <v>7</v>
      </c>
      <c r="M109" s="41">
        <v>15</v>
      </c>
      <c r="N109" s="41"/>
      <c r="O109" s="41" t="s">
        <v>308</v>
      </c>
      <c r="P109" s="41" t="s">
        <v>3612</v>
      </c>
      <c r="Q109" s="49">
        <f t="shared" si="9"/>
        <v>90</v>
      </c>
      <c r="R109" s="43">
        <f t="shared" si="10"/>
        <v>135</v>
      </c>
      <c r="S109" s="41" t="s">
        <v>851</v>
      </c>
      <c r="T109" s="48" t="str">
        <f t="shared" si="12"/>
        <v>(10,'SPA-OB1-D','Station de Pompage SPA-OB1-D','Thursday-01-jj','Thursday-01-jj',36160,8,15),</v>
      </c>
    </row>
    <row r="110" spans="1:20" ht="20.100000000000001" customHeight="1" x14ac:dyDescent="0.25">
      <c r="A110" s="38">
        <v>7</v>
      </c>
      <c r="B110" s="38">
        <v>108</v>
      </c>
      <c r="C110" s="38" t="s">
        <v>548</v>
      </c>
      <c r="D110" s="38">
        <v>3</v>
      </c>
      <c r="E110" s="39" t="s">
        <v>3492</v>
      </c>
      <c r="F110" s="48" t="str">
        <f>CONCATENATE("Station de Pompage ",E110)</f>
        <v>Station de Pompage SP1-BIS-OB1-D</v>
      </c>
      <c r="G110" s="19">
        <v>21916</v>
      </c>
      <c r="H110" s="19">
        <v>21916</v>
      </c>
      <c r="I110" s="19">
        <v>39447</v>
      </c>
      <c r="J110" s="41">
        <v>8</v>
      </c>
      <c r="K110" s="41" t="s">
        <v>3552</v>
      </c>
      <c r="L110" s="41">
        <v>7</v>
      </c>
      <c r="M110" s="41">
        <v>15</v>
      </c>
      <c r="N110" s="41"/>
      <c r="O110" s="41" t="s">
        <v>308</v>
      </c>
      <c r="P110" s="41" t="s">
        <v>3603</v>
      </c>
      <c r="Q110" s="49">
        <f t="shared" si="9"/>
        <v>83</v>
      </c>
      <c r="R110" s="43">
        <f t="shared" si="10"/>
        <v>190</v>
      </c>
      <c r="S110" s="41" t="s">
        <v>3597</v>
      </c>
      <c r="T110" s="48" t="str">
        <f t="shared" si="12"/>
        <v>(7,'SP1-BIS-OB1-D','Station de Pompage SP1-BIS-OB1-D','Friday-01-jj','Friday-01-jj',39447,8,15),</v>
      </c>
    </row>
    <row r="111" spans="1:20" ht="20.100000000000001" customHeight="1" x14ac:dyDescent="0.25">
      <c r="A111" s="38">
        <v>3</v>
      </c>
      <c r="B111" s="38">
        <v>109</v>
      </c>
      <c r="C111" s="38" t="s">
        <v>548</v>
      </c>
      <c r="D111" s="38">
        <v>3</v>
      </c>
      <c r="E111" s="39" t="str">
        <f>CONCATENATE("PS-",TEXT(A111,"00"),"-",O111)</f>
        <v>PS-03-OB1</v>
      </c>
      <c r="F111" s="48" t="str">
        <f>CONCATENATE("Poste de Sectionnement n°",TEXT(A111,"00")," ",O111)</f>
        <v>Poste de Sectionnement n°03 OB1</v>
      </c>
      <c r="G111" s="19">
        <v>21864</v>
      </c>
      <c r="H111" s="19">
        <v>21864</v>
      </c>
      <c r="I111" s="41" t="s">
        <v>20</v>
      </c>
      <c r="J111" s="41">
        <v>1</v>
      </c>
      <c r="K111" s="41" t="s">
        <v>3557</v>
      </c>
      <c r="L111" s="41">
        <v>16</v>
      </c>
      <c r="M111" s="41">
        <v>15</v>
      </c>
      <c r="N111" s="41"/>
      <c r="O111" s="41" t="s">
        <v>308</v>
      </c>
      <c r="P111" s="41" t="s">
        <v>846</v>
      </c>
      <c r="Q111" s="49">
        <f t="shared" si="9"/>
        <v>82.82</v>
      </c>
      <c r="R111" s="43">
        <f t="shared" si="10"/>
        <v>265.02999999999997</v>
      </c>
      <c r="S111" s="41" t="s">
        <v>852</v>
      </c>
      <c r="T111" s="48" t="str">
        <f t="shared" si="12"/>
        <v>(3,'PS-03-OB1','Poste de Sectionnement n°03 OB1','Tuesday-11-jj','Tuesday-11-jj',NULL,1,15),</v>
      </c>
    </row>
    <row r="112" spans="1:20" ht="20.100000000000001" customHeight="1" x14ac:dyDescent="0.25">
      <c r="A112" s="38">
        <v>4</v>
      </c>
      <c r="B112" s="38">
        <v>110</v>
      </c>
      <c r="C112" s="38" t="s">
        <v>548</v>
      </c>
      <c r="D112" s="38">
        <v>3</v>
      </c>
      <c r="E112" s="39" t="str">
        <f>CONCATENATE("PS-",TEXT(A112,"00"),"-",O112)</f>
        <v>PS-04-OB1</v>
      </c>
      <c r="F112" s="48" t="str">
        <f>CONCATENATE("Poste de Sectionnement n°",TEXT(A112,"00")," ",O112)</f>
        <v>Poste de Sectionnement n°04 OB1</v>
      </c>
      <c r="G112" s="19">
        <v>21864</v>
      </c>
      <c r="H112" s="19">
        <v>21864</v>
      </c>
      <c r="I112" s="41" t="s">
        <v>20</v>
      </c>
      <c r="J112" s="41">
        <v>1</v>
      </c>
      <c r="K112" s="41" t="s">
        <v>3557</v>
      </c>
      <c r="L112" s="41">
        <v>16</v>
      </c>
      <c r="M112" s="41">
        <v>15</v>
      </c>
      <c r="N112" s="41"/>
      <c r="O112" s="41" t="s">
        <v>308</v>
      </c>
      <c r="P112" s="41" t="s">
        <v>847</v>
      </c>
      <c r="Q112" s="49">
        <f t="shared" si="9"/>
        <v>46.96</v>
      </c>
      <c r="R112" s="43">
        <f t="shared" si="10"/>
        <v>313.54000000000002</v>
      </c>
      <c r="S112" s="41" t="s">
        <v>853</v>
      </c>
      <c r="T112" s="48" t="str">
        <f t="shared" si="12"/>
        <v>(4,'PS-04-OB1','Poste de Sectionnement n°04 OB1','Tuesday-11-jj','Tuesday-11-jj',NULL,1,15),</v>
      </c>
    </row>
    <row r="113" spans="1:20" ht="20.100000000000001" customHeight="1" x14ac:dyDescent="0.25">
      <c r="A113" s="38">
        <v>11</v>
      </c>
      <c r="B113" s="38">
        <v>111</v>
      </c>
      <c r="C113" s="38" t="s">
        <v>548</v>
      </c>
      <c r="D113" s="38">
        <v>3</v>
      </c>
      <c r="E113" s="39" t="s">
        <v>3506</v>
      </c>
      <c r="F113" s="48" t="str">
        <f>CONCATENATE("Station de Pompage ",E113)</f>
        <v>Station de Pompage SPB-OB1-D</v>
      </c>
      <c r="G113" s="19">
        <v>25569</v>
      </c>
      <c r="H113" s="19">
        <v>25569</v>
      </c>
      <c r="I113" s="19">
        <v>39447</v>
      </c>
      <c r="J113" s="41">
        <v>8</v>
      </c>
      <c r="K113" s="41" t="s">
        <v>3552</v>
      </c>
      <c r="L113" s="41">
        <v>7</v>
      </c>
      <c r="M113" s="41">
        <v>15</v>
      </c>
      <c r="N113" s="41"/>
      <c r="O113" s="41" t="s">
        <v>308</v>
      </c>
      <c r="P113" s="41" t="s">
        <v>3611</v>
      </c>
      <c r="Q113" s="49">
        <f t="shared" si="9"/>
        <v>19</v>
      </c>
      <c r="R113" s="43">
        <f t="shared" si="10"/>
        <v>319</v>
      </c>
      <c r="S113" s="41" t="s">
        <v>853</v>
      </c>
      <c r="T113" s="48" t="str">
        <f t="shared" si="12"/>
        <v>(11,'SPB-OB1-D','Station de Pompage SPB-OB1-D','Thursday-01-jj','Thursday-01-jj',39447,8,15),</v>
      </c>
    </row>
    <row r="114" spans="1:20" ht="20.100000000000001" customHeight="1" x14ac:dyDescent="0.25">
      <c r="A114" s="38">
        <v>8</v>
      </c>
      <c r="B114" s="38">
        <v>112</v>
      </c>
      <c r="C114" s="38" t="s">
        <v>548</v>
      </c>
      <c r="D114" s="38">
        <v>3</v>
      </c>
      <c r="E114" s="39" t="s">
        <v>3493</v>
      </c>
      <c r="F114" s="48" t="str">
        <f>CONCATENATE("Station de Pompage ",E114)</f>
        <v>Station de Pompage SP2-OB1-D</v>
      </c>
      <c r="G114" s="19">
        <v>21916</v>
      </c>
      <c r="H114" s="19">
        <v>21916</v>
      </c>
      <c r="I114" s="19">
        <v>39813</v>
      </c>
      <c r="J114" s="41">
        <v>8</v>
      </c>
      <c r="K114" s="41" t="s">
        <v>3552</v>
      </c>
      <c r="L114" s="41">
        <v>7</v>
      </c>
      <c r="M114" s="41">
        <v>15</v>
      </c>
      <c r="N114" s="41"/>
      <c r="O114" s="41" t="s">
        <v>308</v>
      </c>
      <c r="P114" s="41" t="s">
        <v>3604</v>
      </c>
      <c r="Q114" s="49">
        <f t="shared" si="9"/>
        <v>217</v>
      </c>
      <c r="R114" s="43">
        <f t="shared" si="10"/>
        <v>350</v>
      </c>
      <c r="S114" s="41" t="s">
        <v>3598</v>
      </c>
      <c r="T114" s="48" t="str">
        <f t="shared" si="12"/>
        <v>(8,'SP2-OB1-D','Station de Pompage SP2-OB1-D','Friday-01-jj','Friday-01-jj',39813,8,15),</v>
      </c>
    </row>
    <row r="115" spans="1:20" ht="20.100000000000001" customHeight="1" x14ac:dyDescent="0.25">
      <c r="A115" s="38">
        <v>3</v>
      </c>
      <c r="B115" s="38">
        <v>113</v>
      </c>
      <c r="C115" s="38" t="s">
        <v>548</v>
      </c>
      <c r="D115" s="38">
        <v>3</v>
      </c>
      <c r="E115" s="39" t="s">
        <v>107</v>
      </c>
      <c r="F115" s="48" t="s">
        <v>108</v>
      </c>
      <c r="G115" s="19">
        <v>37874</v>
      </c>
      <c r="H115" s="19">
        <v>38521</v>
      </c>
      <c r="I115" s="41" t="s">
        <v>20</v>
      </c>
      <c r="J115" s="41">
        <v>1</v>
      </c>
      <c r="K115" s="41" t="s">
        <v>3552</v>
      </c>
      <c r="L115" s="41">
        <v>7</v>
      </c>
      <c r="M115" s="41">
        <v>15</v>
      </c>
      <c r="N115" s="41"/>
      <c r="O115" s="41" t="s">
        <v>308</v>
      </c>
      <c r="P115" s="41" t="s">
        <v>1105</v>
      </c>
      <c r="Q115" s="49">
        <f t="shared" si="9"/>
        <v>217.1</v>
      </c>
      <c r="R115" s="43">
        <f t="shared" si="10"/>
        <v>350.83</v>
      </c>
      <c r="S115" s="41" t="s">
        <v>3598</v>
      </c>
      <c r="T115" s="48" t="str">
        <f t="shared" si="12"/>
        <v>(3,'SP2-OB1','Station de Pompage SP2-OB1','Wednesday-09-jj','Saturday-06-jj',NULL,1,15),</v>
      </c>
    </row>
    <row r="116" spans="1:20" ht="20.100000000000001" customHeight="1" x14ac:dyDescent="0.25">
      <c r="A116" s="38" t="s">
        <v>843</v>
      </c>
      <c r="B116" s="38">
        <v>114</v>
      </c>
      <c r="C116" s="38" t="s">
        <v>548</v>
      </c>
      <c r="D116" s="38">
        <v>3</v>
      </c>
      <c r="E116" s="39" t="str">
        <f>CONCATENATE("PS-",TEXT(A116,"00"),"-",O116)</f>
        <v>PS-04Bis-OB1</v>
      </c>
      <c r="F116" s="48" t="str">
        <f>CONCATENATE("Poste de Sectionnement n°",TEXT(A116,"00")," ",O116)</f>
        <v>Poste de Sectionnement n°04Bis OB1</v>
      </c>
      <c r="G116" s="19">
        <v>21864</v>
      </c>
      <c r="H116" s="19">
        <v>21864</v>
      </c>
      <c r="I116" s="41" t="s">
        <v>20</v>
      </c>
      <c r="J116" s="41">
        <v>1</v>
      </c>
      <c r="K116" s="41" t="s">
        <v>3557</v>
      </c>
      <c r="L116" s="41">
        <v>16</v>
      </c>
      <c r="M116" s="41">
        <v>15</v>
      </c>
      <c r="N116" s="41"/>
      <c r="O116" s="41" t="s">
        <v>308</v>
      </c>
      <c r="P116" s="41" t="s">
        <v>848</v>
      </c>
      <c r="Q116" s="49">
        <f t="shared" si="9"/>
        <v>294.27699999999999</v>
      </c>
      <c r="R116" s="43">
        <f t="shared" si="10"/>
        <v>373.43099999999998</v>
      </c>
      <c r="S116" s="41" t="s">
        <v>854</v>
      </c>
      <c r="T116" s="48" t="str">
        <f t="shared" si="12"/>
        <v>(04Bis,'PS-04Bis-OB1','Poste de Sectionnement n°04Bis OB1','Tuesday-11-jj','Tuesday-11-jj',NULL,1,15),</v>
      </c>
    </row>
    <row r="117" spans="1:20" ht="20.100000000000001" customHeight="1" x14ac:dyDescent="0.25">
      <c r="A117" s="38">
        <v>12</v>
      </c>
      <c r="B117" s="38">
        <v>115</v>
      </c>
      <c r="C117" s="38" t="s">
        <v>548</v>
      </c>
      <c r="D117" s="38">
        <v>3</v>
      </c>
      <c r="E117" s="39" t="s">
        <v>3507</v>
      </c>
      <c r="F117" s="48" t="str">
        <f>CONCATENATE("Station de Pompage ",E117)</f>
        <v>Station de Pompage SPC-OB1-D</v>
      </c>
      <c r="G117" s="19">
        <v>25569</v>
      </c>
      <c r="H117" s="19">
        <v>25569</v>
      </c>
      <c r="I117" s="19">
        <v>37256</v>
      </c>
      <c r="J117" s="41">
        <v>8</v>
      </c>
      <c r="K117" s="41" t="s">
        <v>3552</v>
      </c>
      <c r="L117" s="41">
        <v>7</v>
      </c>
      <c r="M117" s="41">
        <v>15</v>
      </c>
      <c r="N117" s="41"/>
      <c r="O117" s="41" t="s">
        <v>308</v>
      </c>
      <c r="P117" s="41" t="s">
        <v>3610</v>
      </c>
      <c r="Q117" s="49">
        <f t="shared" si="9"/>
        <v>405</v>
      </c>
      <c r="R117" s="43">
        <f t="shared" si="10"/>
        <v>443</v>
      </c>
      <c r="S117" s="41" t="s">
        <v>3606</v>
      </c>
      <c r="T117" s="48" t="str">
        <f t="shared" si="12"/>
        <v>(12,'SPC-OB1-D','Station de Pompage SPC-OB1-D','Thursday-01-jj','Thursday-01-jj',37256,8,15),</v>
      </c>
    </row>
    <row r="118" spans="1:20" ht="20.100000000000001" customHeight="1" x14ac:dyDescent="0.25">
      <c r="A118" s="38">
        <v>5</v>
      </c>
      <c r="B118" s="38">
        <v>116</v>
      </c>
      <c r="C118" s="38" t="s">
        <v>548</v>
      </c>
      <c r="D118" s="38">
        <v>3</v>
      </c>
      <c r="E118" s="39" t="str">
        <f>CONCATENATE("PS-",TEXT(A118,"00"),"-",O118)</f>
        <v>PS-05-OB1</v>
      </c>
      <c r="F118" s="48" t="str">
        <f>CONCATENATE("Poste de Sectionnement n°",TEXT(A118,"00")," ",O118)</f>
        <v>Poste de Sectionnement n°05 OB1</v>
      </c>
      <c r="G118" s="19">
        <v>21864</v>
      </c>
      <c r="H118" s="19">
        <v>21864</v>
      </c>
      <c r="I118" s="41" t="s">
        <v>20</v>
      </c>
      <c r="J118" s="41">
        <v>1</v>
      </c>
      <c r="K118" s="41" t="s">
        <v>3557</v>
      </c>
      <c r="L118" s="41">
        <v>16</v>
      </c>
      <c r="M118" s="41">
        <v>15</v>
      </c>
      <c r="N118" s="41"/>
      <c r="O118" s="41" t="s">
        <v>308</v>
      </c>
      <c r="P118" s="41" t="s">
        <v>849</v>
      </c>
      <c r="Q118" s="49">
        <f t="shared" si="9"/>
        <v>419.75</v>
      </c>
      <c r="R118" s="43">
        <f t="shared" si="10"/>
        <v>449.6</v>
      </c>
      <c r="S118" s="41" t="s">
        <v>855</v>
      </c>
      <c r="T118" s="48" t="str">
        <f t="shared" si="12"/>
        <v>(5,'PS-05-OB1','Poste de Sectionnement n°05 OB1','Tuesday-11-jj','Tuesday-11-jj',NULL,1,15),</v>
      </c>
    </row>
    <row r="119" spans="1:20" ht="20.100000000000001" customHeight="1" x14ac:dyDescent="0.25">
      <c r="A119" s="38">
        <v>9</v>
      </c>
      <c r="B119" s="38">
        <v>117</v>
      </c>
      <c r="C119" s="38" t="s">
        <v>548</v>
      </c>
      <c r="D119" s="38">
        <v>3</v>
      </c>
      <c r="E119" s="39" t="s">
        <v>3494</v>
      </c>
      <c r="F119" s="48" t="str">
        <f>CONCATENATE("Station de Pompage ",E119)</f>
        <v>Station de Pompage SP3-OB1-D</v>
      </c>
      <c r="G119" s="19">
        <v>21551</v>
      </c>
      <c r="H119" s="19">
        <v>21551</v>
      </c>
      <c r="I119" s="19">
        <v>39813</v>
      </c>
      <c r="J119" s="41">
        <v>8</v>
      </c>
      <c r="K119" s="41" t="s">
        <v>3552</v>
      </c>
      <c r="L119" s="41">
        <v>7</v>
      </c>
      <c r="M119" s="41">
        <v>15</v>
      </c>
      <c r="N119" s="41"/>
      <c r="O119" s="41" t="s">
        <v>308</v>
      </c>
      <c r="P119" s="41" t="s">
        <v>3605</v>
      </c>
      <c r="Q119" s="49">
        <f t="shared" si="9"/>
        <v>455</v>
      </c>
      <c r="R119" s="43">
        <f t="shared" si="10"/>
        <v>495</v>
      </c>
      <c r="S119" s="41" t="s">
        <v>3599</v>
      </c>
      <c r="T119" s="48" t="str">
        <f t="shared" si="12"/>
        <v>(9,'SP3-OB1-D','Station de Pompage SP3-OB1-D','Thursday-01-jj','Thursday-01-jj',39813,8,15),</v>
      </c>
    </row>
    <row r="120" spans="1:20" ht="20.100000000000001" customHeight="1" x14ac:dyDescent="0.25">
      <c r="A120" s="38">
        <v>4</v>
      </c>
      <c r="B120" s="38">
        <v>118</v>
      </c>
      <c r="C120" s="38" t="s">
        <v>548</v>
      </c>
      <c r="D120" s="38">
        <v>3</v>
      </c>
      <c r="E120" s="39" t="s">
        <v>109</v>
      </c>
      <c r="F120" s="48" t="s">
        <v>110</v>
      </c>
      <c r="G120" s="19">
        <v>38326</v>
      </c>
      <c r="H120" s="19">
        <v>38951</v>
      </c>
      <c r="I120" s="41" t="s">
        <v>20</v>
      </c>
      <c r="J120" s="41">
        <v>1</v>
      </c>
      <c r="K120" s="41" t="s">
        <v>3552</v>
      </c>
      <c r="L120" s="41">
        <v>7</v>
      </c>
      <c r="M120" s="41">
        <v>15</v>
      </c>
      <c r="N120" s="41"/>
      <c r="O120" s="41" t="s">
        <v>308</v>
      </c>
      <c r="P120" s="41" t="s">
        <v>1106</v>
      </c>
      <c r="Q120" s="49">
        <f t="shared" si="9"/>
        <v>455.7</v>
      </c>
      <c r="R120" s="43">
        <f t="shared" si="10"/>
        <v>495.00900000000001</v>
      </c>
      <c r="S120" s="41" t="s">
        <v>3599</v>
      </c>
      <c r="T120" s="48" t="str">
        <f t="shared" si="12"/>
        <v>(4,'SP3-OB1','Station de Pompage SP3-OB1','Sunday-12-jj','Tuesday-08-jj',NULL,1,15),</v>
      </c>
    </row>
    <row r="121" spans="1:20" ht="20.100000000000001" customHeight="1" x14ac:dyDescent="0.25">
      <c r="A121" s="38">
        <v>13</v>
      </c>
      <c r="B121" s="38">
        <v>119</v>
      </c>
      <c r="C121" s="38" t="s">
        <v>548</v>
      </c>
      <c r="D121" s="38">
        <v>3</v>
      </c>
      <c r="E121" s="39" t="s">
        <v>3508</v>
      </c>
      <c r="F121" s="48" t="str">
        <f>CONCATENATE("Station de Pompage ",E121)</f>
        <v>Station de Pompage SPD-OB1-D</v>
      </c>
      <c r="G121" s="19">
        <v>25569</v>
      </c>
      <c r="H121" s="19">
        <v>25569</v>
      </c>
      <c r="I121" s="19">
        <v>34699</v>
      </c>
      <c r="J121" s="41">
        <v>8</v>
      </c>
      <c r="K121" s="41" t="s">
        <v>3552</v>
      </c>
      <c r="L121" s="41">
        <v>7</v>
      </c>
      <c r="M121" s="41">
        <v>10</v>
      </c>
      <c r="N121" s="41"/>
      <c r="O121" s="41" t="s">
        <v>308</v>
      </c>
      <c r="P121" s="41" t="s">
        <v>3609</v>
      </c>
      <c r="Q121" s="49">
        <f t="shared" si="9"/>
        <v>500</v>
      </c>
      <c r="R121" s="43">
        <f t="shared" si="10"/>
        <v>573</v>
      </c>
      <c r="S121" s="41" t="s">
        <v>3607</v>
      </c>
      <c r="T121" s="48" t="str">
        <f t="shared" si="12"/>
        <v>(13,'SPD-OB1-D','Station de Pompage SPD-OB1-D','Thursday-01-jj','Thursday-01-jj',34699,8,10),</v>
      </c>
    </row>
    <row r="122" spans="1:20" ht="20.100000000000001" customHeight="1" x14ac:dyDescent="0.25">
      <c r="A122" s="38">
        <v>5</v>
      </c>
      <c r="B122" s="38">
        <v>120</v>
      </c>
      <c r="C122" s="38" t="s">
        <v>548</v>
      </c>
      <c r="D122" s="38">
        <v>3</v>
      </c>
      <c r="E122" s="39" t="s">
        <v>3489</v>
      </c>
      <c r="F122" s="48" t="s">
        <v>3490</v>
      </c>
      <c r="G122" s="19">
        <v>39190</v>
      </c>
      <c r="H122" s="19">
        <v>39843</v>
      </c>
      <c r="I122" s="41" t="s">
        <v>20</v>
      </c>
      <c r="J122" s="41">
        <v>1</v>
      </c>
      <c r="K122" s="41" t="s">
        <v>3552</v>
      </c>
      <c r="L122" s="41">
        <v>7</v>
      </c>
      <c r="M122" s="41">
        <v>15</v>
      </c>
      <c r="N122" s="41"/>
      <c r="O122" s="41" t="s">
        <v>314</v>
      </c>
      <c r="P122" s="41" t="s">
        <v>3600</v>
      </c>
      <c r="Q122" s="49">
        <f t="shared" si="9"/>
        <v>358.32</v>
      </c>
      <c r="R122" s="43">
        <f t="shared" si="10"/>
        <v>0</v>
      </c>
      <c r="S122" s="41" t="s">
        <v>3601</v>
      </c>
      <c r="T122" s="48" t="str">
        <f t="shared" si="12"/>
        <v>(5,'SP1-OG1','Station de Pompage SP1-OG1','Wednesday-04-jj','Friday-01-jj',NULL,1,15),</v>
      </c>
    </row>
    <row r="123" spans="1:20" ht="20.100000000000001" customHeight="1" x14ac:dyDescent="0.25">
      <c r="A123" s="38">
        <v>14</v>
      </c>
      <c r="B123" s="38">
        <v>121</v>
      </c>
      <c r="C123" s="38" t="s">
        <v>548</v>
      </c>
      <c r="D123" s="38">
        <v>3</v>
      </c>
      <c r="E123" s="39" t="s">
        <v>3509</v>
      </c>
      <c r="F123" s="48" t="str">
        <f>CONCATENATE("Station de Pompage ",E123)</f>
        <v>Station de Pompage SP-OG1-D</v>
      </c>
      <c r="G123" s="19">
        <v>25934</v>
      </c>
      <c r="H123" s="19">
        <v>25934</v>
      </c>
      <c r="I123" s="19">
        <v>38717</v>
      </c>
      <c r="J123" s="41">
        <v>8</v>
      </c>
      <c r="K123" s="41" t="s">
        <v>3552</v>
      </c>
      <c r="L123" s="41">
        <v>7</v>
      </c>
      <c r="M123" s="41">
        <v>10</v>
      </c>
      <c r="N123" s="41"/>
      <c r="O123" s="41" t="s">
        <v>314</v>
      </c>
      <c r="P123" s="41" t="s">
        <v>3608</v>
      </c>
      <c r="Q123" s="49">
        <f t="shared" si="9"/>
        <v>358</v>
      </c>
      <c r="R123" s="43">
        <f t="shared" si="10"/>
        <v>0</v>
      </c>
      <c r="S123" s="41" t="s">
        <v>3601</v>
      </c>
      <c r="T123" s="48" t="str">
        <f t="shared" si="12"/>
        <v>(14,'SP-OG1-D','Station de Pompage SP-OG1-D','Friday-01-jj','Friday-01-jj',38717,8,10),</v>
      </c>
    </row>
    <row r="124" spans="1:20" ht="20.100000000000001" customHeight="1" x14ac:dyDescent="0.25">
      <c r="A124" s="38">
        <v>1</v>
      </c>
      <c r="B124" s="38">
        <v>122</v>
      </c>
      <c r="C124" s="38" t="s">
        <v>548</v>
      </c>
      <c r="D124" s="38">
        <v>3</v>
      </c>
      <c r="E124" s="39" t="str">
        <f t="shared" ref="E124:E154" si="15">CONCATENATE("PS-",TEXT(A124,"00"),"-",O124)</f>
        <v>PS-01-OG1</v>
      </c>
      <c r="F124" s="48" t="str">
        <f t="shared" ref="F124:F154" si="16">CONCATENATE("Poste de Sectionnement n°",TEXT(A124,"00")," ",O124)</f>
        <v>Poste de Sectionnement n°01 OG1</v>
      </c>
      <c r="G124" s="19">
        <v>38537</v>
      </c>
      <c r="H124" s="19">
        <v>38537</v>
      </c>
      <c r="I124" s="41" t="s">
        <v>20</v>
      </c>
      <c r="J124" s="41">
        <v>1</v>
      </c>
      <c r="K124" s="41" t="s">
        <v>3557</v>
      </c>
      <c r="L124" s="41">
        <v>16</v>
      </c>
      <c r="M124" s="41">
        <v>15</v>
      </c>
      <c r="N124" s="41"/>
      <c r="O124" s="41" t="s">
        <v>314</v>
      </c>
      <c r="P124" s="41" t="s">
        <v>953</v>
      </c>
      <c r="Q124" s="49">
        <f t="shared" si="9"/>
        <v>429</v>
      </c>
      <c r="R124" s="43">
        <f t="shared" si="10"/>
        <v>18.920000000000002</v>
      </c>
      <c r="S124" s="41" t="s">
        <v>946</v>
      </c>
      <c r="T124" s="48" t="str">
        <f t="shared" si="12"/>
        <v>(1,'PS-01-OG1','Poste de Sectionnement n°01 OG1','Monday-07-jj','Monday-07-jj',NULL,1,15),</v>
      </c>
    </row>
    <row r="125" spans="1:20" ht="20.100000000000001" customHeight="1" x14ac:dyDescent="0.25">
      <c r="A125" s="38">
        <v>2</v>
      </c>
      <c r="B125" s="38">
        <v>123</v>
      </c>
      <c r="C125" s="38" t="s">
        <v>548</v>
      </c>
      <c r="D125" s="38">
        <v>3</v>
      </c>
      <c r="E125" s="39" t="str">
        <f t="shared" si="15"/>
        <v>PS-02-OG1</v>
      </c>
      <c r="F125" s="48" t="str">
        <f t="shared" si="16"/>
        <v>Poste de Sectionnement n°02 OG1</v>
      </c>
      <c r="G125" s="19">
        <v>38537</v>
      </c>
      <c r="H125" s="19">
        <v>38537</v>
      </c>
      <c r="I125" s="41" t="s">
        <v>20</v>
      </c>
      <c r="J125" s="41">
        <v>1</v>
      </c>
      <c r="K125" s="41" t="s">
        <v>3557</v>
      </c>
      <c r="L125" s="41">
        <v>16</v>
      </c>
      <c r="M125" s="41">
        <v>15</v>
      </c>
      <c r="N125" s="41"/>
      <c r="O125" s="41" t="s">
        <v>314</v>
      </c>
      <c r="P125" s="41" t="s">
        <v>954</v>
      </c>
      <c r="Q125" s="49">
        <f t="shared" si="9"/>
        <v>594</v>
      </c>
      <c r="R125" s="43">
        <f t="shared" si="10"/>
        <v>37.94</v>
      </c>
      <c r="S125" s="41" t="s">
        <v>947</v>
      </c>
      <c r="T125" s="48" t="str">
        <f t="shared" si="12"/>
        <v>(2,'PS-02-OG1','Poste de Sectionnement n°02 OG1','Monday-07-jj','Monday-07-jj',NULL,1,15),</v>
      </c>
    </row>
    <row r="126" spans="1:20" ht="20.100000000000001" customHeight="1" x14ac:dyDescent="0.25">
      <c r="A126" s="38">
        <v>3</v>
      </c>
      <c r="B126" s="38">
        <v>124</v>
      </c>
      <c r="C126" s="38" t="s">
        <v>548</v>
      </c>
      <c r="D126" s="38">
        <v>3</v>
      </c>
      <c r="E126" s="39" t="str">
        <f t="shared" si="15"/>
        <v>PS-03-OG1</v>
      </c>
      <c r="F126" s="48" t="str">
        <f t="shared" si="16"/>
        <v>Poste de Sectionnement n°03 OG1</v>
      </c>
      <c r="G126" s="19">
        <v>38537</v>
      </c>
      <c r="H126" s="19">
        <v>38537</v>
      </c>
      <c r="I126" s="41" t="s">
        <v>20</v>
      </c>
      <c r="J126" s="41">
        <v>1</v>
      </c>
      <c r="K126" s="41" t="s">
        <v>3557</v>
      </c>
      <c r="L126" s="41">
        <v>16</v>
      </c>
      <c r="M126" s="41">
        <v>15</v>
      </c>
      <c r="N126" s="41"/>
      <c r="O126" s="41" t="s">
        <v>314</v>
      </c>
      <c r="P126" s="41" t="s">
        <v>955</v>
      </c>
      <c r="Q126" s="49">
        <f t="shared" si="9"/>
        <v>733</v>
      </c>
      <c r="R126" s="43">
        <f t="shared" si="10"/>
        <v>60.2</v>
      </c>
      <c r="S126" s="41" t="s">
        <v>948</v>
      </c>
      <c r="T126" s="48" t="str">
        <f t="shared" si="12"/>
        <v>(3,'PS-03-OG1','Poste de Sectionnement n°03 OG1','Monday-07-jj','Monday-07-jj',NULL,1,15),</v>
      </c>
    </row>
    <row r="127" spans="1:20" ht="20.100000000000001" customHeight="1" x14ac:dyDescent="0.25">
      <c r="A127" s="38">
        <v>4</v>
      </c>
      <c r="B127" s="38">
        <v>125</v>
      </c>
      <c r="C127" s="38" t="s">
        <v>548</v>
      </c>
      <c r="D127" s="38">
        <v>3</v>
      </c>
      <c r="E127" s="39" t="str">
        <f t="shared" si="15"/>
        <v>PS-04-OG1</v>
      </c>
      <c r="F127" s="48" t="str">
        <f t="shared" si="16"/>
        <v>Poste de Sectionnement n°04 OG1</v>
      </c>
      <c r="G127" s="19">
        <v>38537</v>
      </c>
      <c r="H127" s="19">
        <v>38537</v>
      </c>
      <c r="I127" s="41" t="s">
        <v>20</v>
      </c>
      <c r="J127" s="41">
        <v>1</v>
      </c>
      <c r="K127" s="41" t="s">
        <v>3557</v>
      </c>
      <c r="L127" s="41">
        <v>16</v>
      </c>
      <c r="M127" s="41">
        <v>15</v>
      </c>
      <c r="N127" s="41"/>
      <c r="O127" s="41" t="s">
        <v>314</v>
      </c>
      <c r="P127" s="41" t="s">
        <v>956</v>
      </c>
      <c r="Q127" s="49">
        <f t="shared" si="9"/>
        <v>726</v>
      </c>
      <c r="R127" s="43">
        <f t="shared" si="10"/>
        <v>78.84</v>
      </c>
      <c r="S127" s="41" t="s">
        <v>949</v>
      </c>
      <c r="T127" s="48" t="str">
        <f t="shared" si="12"/>
        <v>(4,'PS-04-OG1','Poste de Sectionnement n°04 OG1','Monday-07-jj','Monday-07-jj',NULL,1,15),</v>
      </c>
    </row>
    <row r="128" spans="1:20" ht="20.100000000000001" customHeight="1" x14ac:dyDescent="0.25">
      <c r="A128" s="38">
        <v>5</v>
      </c>
      <c r="B128" s="38">
        <v>126</v>
      </c>
      <c r="C128" s="38" t="s">
        <v>548</v>
      </c>
      <c r="D128" s="38">
        <v>3</v>
      </c>
      <c r="E128" s="39" t="str">
        <f t="shared" si="15"/>
        <v>PS-05-OG1</v>
      </c>
      <c r="F128" s="48" t="str">
        <f t="shared" si="16"/>
        <v>Poste de Sectionnement n°05 OG1</v>
      </c>
      <c r="G128" s="19">
        <v>38537</v>
      </c>
      <c r="H128" s="19">
        <v>38537</v>
      </c>
      <c r="I128" s="41" t="s">
        <v>20</v>
      </c>
      <c r="J128" s="41">
        <v>1</v>
      </c>
      <c r="K128" s="41" t="s">
        <v>3557</v>
      </c>
      <c r="L128" s="41">
        <v>16</v>
      </c>
      <c r="M128" s="41">
        <v>15</v>
      </c>
      <c r="N128" s="41"/>
      <c r="O128" s="41" t="s">
        <v>314</v>
      </c>
      <c r="P128" s="41" t="s">
        <v>957</v>
      </c>
      <c r="Q128" s="49">
        <f t="shared" si="9"/>
        <v>451</v>
      </c>
      <c r="R128" s="43">
        <f t="shared" si="10"/>
        <v>99.5</v>
      </c>
      <c r="S128" s="41" t="s">
        <v>950</v>
      </c>
      <c r="T128" s="48" t="str">
        <f t="shared" si="12"/>
        <v>(5,'PS-05-OG1','Poste de Sectionnement n°05 OG1','Monday-07-jj','Monday-07-jj',NULL,1,15),</v>
      </c>
    </row>
    <row r="129" spans="1:20" ht="20.100000000000001" customHeight="1" x14ac:dyDescent="0.25">
      <c r="A129" s="38">
        <v>6</v>
      </c>
      <c r="B129" s="38">
        <v>127</v>
      </c>
      <c r="C129" s="38" t="s">
        <v>548</v>
      </c>
      <c r="D129" s="38">
        <v>3</v>
      </c>
      <c r="E129" s="39" t="str">
        <f t="shared" si="15"/>
        <v>PS-06-OG1</v>
      </c>
      <c r="F129" s="48" t="str">
        <f t="shared" si="16"/>
        <v>Poste de Sectionnement n°06 OG1</v>
      </c>
      <c r="G129" s="19">
        <v>38537</v>
      </c>
      <c r="H129" s="19">
        <v>38537</v>
      </c>
      <c r="I129" s="41" t="s">
        <v>20</v>
      </c>
      <c r="J129" s="41">
        <v>1</v>
      </c>
      <c r="K129" s="41" t="s">
        <v>3557</v>
      </c>
      <c r="L129" s="41">
        <v>16</v>
      </c>
      <c r="M129" s="41">
        <v>15</v>
      </c>
      <c r="N129" s="41"/>
      <c r="O129" s="41" t="s">
        <v>314</v>
      </c>
      <c r="P129" s="41" t="s">
        <v>958</v>
      </c>
      <c r="Q129" s="49">
        <f t="shared" si="9"/>
        <v>772</v>
      </c>
      <c r="R129" s="43">
        <f t="shared" si="10"/>
        <v>123.82</v>
      </c>
      <c r="S129" s="41" t="s">
        <v>951</v>
      </c>
      <c r="T129" s="48" t="str">
        <f t="shared" si="12"/>
        <v>(6,'PS-06-OG1','Poste de Sectionnement n°06 OG1','Monday-07-jj','Monday-07-jj',NULL,1,15),</v>
      </c>
    </row>
    <row r="130" spans="1:20" ht="20.100000000000001" customHeight="1" x14ac:dyDescent="0.25">
      <c r="A130" s="38">
        <v>7</v>
      </c>
      <c r="B130" s="38">
        <v>128</v>
      </c>
      <c r="C130" s="38" t="s">
        <v>548</v>
      </c>
      <c r="D130" s="38">
        <v>3</v>
      </c>
      <c r="E130" s="39" t="str">
        <f t="shared" si="15"/>
        <v>PS-07-OG1</v>
      </c>
      <c r="F130" s="48" t="str">
        <f t="shared" si="16"/>
        <v>Poste de Sectionnement n°07 OG1</v>
      </c>
      <c r="G130" s="19">
        <v>38537</v>
      </c>
      <c r="H130" s="19">
        <v>38537</v>
      </c>
      <c r="I130" s="41" t="s">
        <v>20</v>
      </c>
      <c r="J130" s="41">
        <v>1</v>
      </c>
      <c r="K130" s="41" t="s">
        <v>3557</v>
      </c>
      <c r="L130" s="41">
        <v>16</v>
      </c>
      <c r="M130" s="41">
        <v>15</v>
      </c>
      <c r="N130" s="41"/>
      <c r="O130" s="41" t="s">
        <v>314</v>
      </c>
      <c r="P130" s="41" t="s">
        <v>959</v>
      </c>
      <c r="Q130" s="49">
        <f t="shared" si="9"/>
        <v>84</v>
      </c>
      <c r="R130" s="43">
        <f t="shared" si="10"/>
        <v>132.44999999999999</v>
      </c>
      <c r="S130" s="41" t="s">
        <v>952</v>
      </c>
      <c r="T130" s="48" t="str">
        <f t="shared" si="12"/>
        <v>(7,'PS-07-OG1','Poste de Sectionnement n°07 OG1','Monday-07-jj','Monday-07-jj',NULL,1,15),</v>
      </c>
    </row>
    <row r="131" spans="1:20" ht="20.100000000000001" customHeight="1" x14ac:dyDescent="0.25">
      <c r="A131" s="38" t="s">
        <v>858</v>
      </c>
      <c r="B131" s="38">
        <v>129</v>
      </c>
      <c r="C131" s="38" t="s">
        <v>548</v>
      </c>
      <c r="D131" s="38">
        <v>3</v>
      </c>
      <c r="E131" s="39" t="str">
        <f t="shared" si="15"/>
        <v>PS-N01-ROB1</v>
      </c>
      <c r="F131" s="48" t="str">
        <f t="shared" si="16"/>
        <v>Poste de Sectionnement n°N01 ROB1</v>
      </c>
      <c r="G131" s="19">
        <v>44089</v>
      </c>
      <c r="H131" s="19">
        <v>44089</v>
      </c>
      <c r="I131" s="41" t="s">
        <v>20</v>
      </c>
      <c r="J131" s="41">
        <v>1</v>
      </c>
      <c r="K131" s="41" t="s">
        <v>3557</v>
      </c>
      <c r="L131" s="41">
        <v>16</v>
      </c>
      <c r="M131" s="41"/>
      <c r="N131" s="41"/>
      <c r="O131" s="41" t="s">
        <v>856</v>
      </c>
      <c r="P131" s="41" t="s">
        <v>873</v>
      </c>
      <c r="Q131" s="49">
        <f t="shared" ref="Q131:Q187" si="17">VALUE(RIGHT(P131,LEN(P131)-SEARCH("/",P131)))</f>
        <v>527</v>
      </c>
      <c r="R131" s="43">
        <f t="shared" ref="R131:R187" si="18">VALUE(SUBSTITUTE(LEFT(P131,SEARCH("/",P131)-1),"+",","))</f>
        <v>10.201000000000001</v>
      </c>
      <c r="S131" s="41" t="s">
        <v>960</v>
      </c>
      <c r="T131" s="48" t="str">
        <f t="shared" si="12"/>
        <v>(N01,'PS-N01-ROB1','Poste de Sectionnement n°N01 ROB1','Tuesday-09-jj','Tuesday-09-jj',NULL,1,),</v>
      </c>
    </row>
    <row r="132" spans="1:20" ht="20.100000000000001" customHeight="1" x14ac:dyDescent="0.25">
      <c r="A132" s="38" t="s">
        <v>857</v>
      </c>
      <c r="B132" s="38">
        <v>130</v>
      </c>
      <c r="C132" s="38" t="s">
        <v>548</v>
      </c>
      <c r="D132" s="38">
        <v>3</v>
      </c>
      <c r="E132" s="39" t="str">
        <f t="shared" si="15"/>
        <v>PS-S01-ROB1</v>
      </c>
      <c r="F132" s="48" t="str">
        <f t="shared" si="16"/>
        <v>Poste de Sectionnement n°S01 ROB1</v>
      </c>
      <c r="G132" s="19">
        <v>45231</v>
      </c>
      <c r="H132" s="19">
        <v>45231</v>
      </c>
      <c r="I132" s="41" t="s">
        <v>20</v>
      </c>
      <c r="J132" s="41">
        <v>1</v>
      </c>
      <c r="K132" s="41" t="s">
        <v>3557</v>
      </c>
      <c r="L132" s="41">
        <v>16</v>
      </c>
      <c r="M132" s="41"/>
      <c r="N132" s="41"/>
      <c r="O132" s="41" t="s">
        <v>856</v>
      </c>
      <c r="P132" s="41" t="s">
        <v>909</v>
      </c>
      <c r="Q132" s="49">
        <f t="shared" si="17"/>
        <v>163</v>
      </c>
      <c r="R132" s="43">
        <f t="shared" si="18"/>
        <v>19</v>
      </c>
      <c r="S132" s="41" t="s">
        <v>931</v>
      </c>
      <c r="T132" s="48" t="str">
        <f t="shared" si="12"/>
        <v>(S01,'PS-S01-ROB1','Poste de Sectionnement n°S01 ROB1','Wednesday-11-jj','Wednesday-11-jj',NULL,1,),</v>
      </c>
    </row>
    <row r="133" spans="1:20" ht="20.100000000000001" customHeight="1" x14ac:dyDescent="0.25">
      <c r="A133" s="38" t="s">
        <v>859</v>
      </c>
      <c r="B133" s="38">
        <v>131</v>
      </c>
      <c r="C133" s="38" t="s">
        <v>548</v>
      </c>
      <c r="D133" s="38">
        <v>3</v>
      </c>
      <c r="E133" s="39" t="str">
        <f t="shared" si="15"/>
        <v>PS-N02-ROB1</v>
      </c>
      <c r="F133" s="48" t="str">
        <f t="shared" si="16"/>
        <v>Poste de Sectionnement n°N02 ROB1</v>
      </c>
      <c r="G133" s="19">
        <v>44089</v>
      </c>
      <c r="H133" s="19">
        <v>44089</v>
      </c>
      <c r="I133" s="41" t="s">
        <v>20</v>
      </c>
      <c r="J133" s="41">
        <v>1</v>
      </c>
      <c r="K133" s="41" t="s">
        <v>3557</v>
      </c>
      <c r="L133" s="41">
        <v>16</v>
      </c>
      <c r="M133" s="41"/>
      <c r="N133" s="41"/>
      <c r="O133" s="41" t="s">
        <v>856</v>
      </c>
      <c r="P133" s="41" t="s">
        <v>874</v>
      </c>
      <c r="Q133" s="49">
        <f t="shared" si="17"/>
        <v>669.4</v>
      </c>
      <c r="R133" s="43">
        <f t="shared" si="18"/>
        <v>23.334</v>
      </c>
      <c r="S133" s="41" t="s">
        <v>961</v>
      </c>
      <c r="T133" s="48" t="str">
        <f t="shared" si="12"/>
        <v>(N02,'PS-N02-ROB1','Poste de Sectionnement n°N02 ROB1','Tuesday-09-jj','Tuesday-09-jj',NULL,1,),</v>
      </c>
    </row>
    <row r="134" spans="1:20" ht="20.100000000000001" customHeight="1" x14ac:dyDescent="0.25">
      <c r="A134" s="38" t="s">
        <v>860</v>
      </c>
      <c r="B134" s="38">
        <v>132</v>
      </c>
      <c r="C134" s="38" t="s">
        <v>548</v>
      </c>
      <c r="D134" s="38">
        <v>3</v>
      </c>
      <c r="E134" s="39" t="str">
        <f t="shared" si="15"/>
        <v>PS-N03-ROB1</v>
      </c>
      <c r="F134" s="48" t="str">
        <f t="shared" si="16"/>
        <v>Poste de Sectionnement n°N03 ROB1</v>
      </c>
      <c r="G134" s="19">
        <v>44089</v>
      </c>
      <c r="H134" s="19">
        <v>44089</v>
      </c>
      <c r="I134" s="41" t="s">
        <v>20</v>
      </c>
      <c r="J134" s="41">
        <v>1</v>
      </c>
      <c r="K134" s="41" t="s">
        <v>3557</v>
      </c>
      <c r="L134" s="41">
        <v>16</v>
      </c>
      <c r="M134" s="41"/>
      <c r="N134" s="41"/>
      <c r="O134" s="41" t="s">
        <v>856</v>
      </c>
      <c r="P134" s="41" t="s">
        <v>875</v>
      </c>
      <c r="Q134" s="49">
        <f t="shared" si="17"/>
        <v>828.3</v>
      </c>
      <c r="R134" s="43">
        <f t="shared" si="18"/>
        <v>35.04</v>
      </c>
      <c r="S134" s="41" t="s">
        <v>961</v>
      </c>
      <c r="T134" s="48" t="str">
        <f t="shared" si="12"/>
        <v>(N03,'PS-N03-ROB1','Poste de Sectionnement n°N03 ROB1','Tuesday-09-jj','Tuesday-09-jj',NULL,1,),</v>
      </c>
    </row>
    <row r="135" spans="1:20" ht="20.100000000000001" customHeight="1" x14ac:dyDescent="0.25">
      <c r="A135" s="38" t="s">
        <v>888</v>
      </c>
      <c r="B135" s="38">
        <v>133</v>
      </c>
      <c r="C135" s="38" t="s">
        <v>548</v>
      </c>
      <c r="D135" s="38">
        <v>3</v>
      </c>
      <c r="E135" s="39" t="str">
        <f t="shared" si="15"/>
        <v>PS-S02-ROB1</v>
      </c>
      <c r="F135" s="48" t="str">
        <f t="shared" si="16"/>
        <v>Poste de Sectionnement n°S02 ROB1</v>
      </c>
      <c r="G135" s="19">
        <v>45231</v>
      </c>
      <c r="H135" s="19">
        <v>45231</v>
      </c>
      <c r="I135" s="41" t="s">
        <v>20</v>
      </c>
      <c r="J135" s="41">
        <v>1</v>
      </c>
      <c r="K135" s="41" t="s">
        <v>3557</v>
      </c>
      <c r="L135" s="41">
        <v>16</v>
      </c>
      <c r="M135" s="41"/>
      <c r="N135" s="41"/>
      <c r="O135" s="41" t="s">
        <v>856</v>
      </c>
      <c r="P135" s="41" t="s">
        <v>910</v>
      </c>
      <c r="Q135" s="49">
        <f t="shared" si="17"/>
        <v>140</v>
      </c>
      <c r="R135" s="43">
        <f t="shared" si="18"/>
        <v>38</v>
      </c>
      <c r="S135" s="41" t="s">
        <v>931</v>
      </c>
      <c r="T135" s="48" t="str">
        <f t="shared" si="12"/>
        <v>(S02,'PS-S02-ROB1','Poste de Sectionnement n°S02 ROB1','Wednesday-11-jj','Wednesday-11-jj',NULL,1,),</v>
      </c>
    </row>
    <row r="136" spans="1:20" ht="20.100000000000001" customHeight="1" x14ac:dyDescent="0.25">
      <c r="A136" s="38" t="s">
        <v>863</v>
      </c>
      <c r="B136" s="38">
        <v>134</v>
      </c>
      <c r="C136" s="38" t="s">
        <v>548</v>
      </c>
      <c r="D136" s="38">
        <v>3</v>
      </c>
      <c r="E136" s="39" t="str">
        <f t="shared" si="15"/>
        <v>PS-N03Bis-ROB1</v>
      </c>
      <c r="F136" s="48" t="str">
        <f t="shared" si="16"/>
        <v>Poste de Sectionnement n°N03Bis ROB1</v>
      </c>
      <c r="G136" s="19">
        <v>44089</v>
      </c>
      <c r="H136" s="19">
        <v>44089</v>
      </c>
      <c r="I136" s="41" t="s">
        <v>20</v>
      </c>
      <c r="J136" s="41">
        <v>1</v>
      </c>
      <c r="K136" s="41" t="s">
        <v>3557</v>
      </c>
      <c r="L136" s="41">
        <v>16</v>
      </c>
      <c r="M136" s="41"/>
      <c r="N136" s="41"/>
      <c r="O136" s="41" t="s">
        <v>856</v>
      </c>
      <c r="P136" s="41" t="s">
        <v>876</v>
      </c>
      <c r="Q136" s="49">
        <f t="shared" si="17"/>
        <v>1032.25</v>
      </c>
      <c r="R136" s="43">
        <f t="shared" si="18"/>
        <v>45.691000000000003</v>
      </c>
      <c r="S136" s="41" t="s">
        <v>962</v>
      </c>
      <c r="T136" s="48" t="str">
        <f t="shared" si="12"/>
        <v>(N03Bis,'PS-N03Bis-ROB1','Poste de Sectionnement n°N03Bis ROB1','Tuesday-09-jj','Tuesday-09-jj',NULL,1,),</v>
      </c>
    </row>
    <row r="137" spans="1:20" ht="20.100000000000001" customHeight="1" x14ac:dyDescent="0.25">
      <c r="A137" s="38" t="s">
        <v>861</v>
      </c>
      <c r="B137" s="38">
        <v>135</v>
      </c>
      <c r="C137" s="38" t="s">
        <v>548</v>
      </c>
      <c r="D137" s="38">
        <v>3</v>
      </c>
      <c r="E137" s="39" t="str">
        <f t="shared" si="15"/>
        <v>PS-N04-ROB1</v>
      </c>
      <c r="F137" s="48" t="str">
        <f t="shared" si="16"/>
        <v>Poste de Sectionnement n°N04 ROB1</v>
      </c>
      <c r="G137" s="19">
        <v>44089</v>
      </c>
      <c r="H137" s="19">
        <v>44089</v>
      </c>
      <c r="I137" s="41" t="s">
        <v>20</v>
      </c>
      <c r="J137" s="41">
        <v>1</v>
      </c>
      <c r="K137" s="41" t="s">
        <v>3557</v>
      </c>
      <c r="L137" s="41">
        <v>16</v>
      </c>
      <c r="M137" s="41"/>
      <c r="N137" s="41"/>
      <c r="O137" s="41" t="s">
        <v>856</v>
      </c>
      <c r="P137" s="41" t="s">
        <v>877</v>
      </c>
      <c r="Q137" s="49">
        <f t="shared" si="17"/>
        <v>645.59</v>
      </c>
      <c r="R137" s="43">
        <f t="shared" si="18"/>
        <v>55.241</v>
      </c>
      <c r="S137" s="41" t="s">
        <v>962</v>
      </c>
      <c r="T137" s="48" t="str">
        <f t="shared" si="12"/>
        <v>(N04,'PS-N04-ROB1','Poste de Sectionnement n°N04 ROB1','Tuesday-09-jj','Tuesday-09-jj',NULL,1,),</v>
      </c>
    </row>
    <row r="138" spans="1:20" ht="20.100000000000001" customHeight="1" x14ac:dyDescent="0.25">
      <c r="A138" s="38" t="s">
        <v>889</v>
      </c>
      <c r="B138" s="38">
        <v>136</v>
      </c>
      <c r="C138" s="38" t="s">
        <v>548</v>
      </c>
      <c r="D138" s="38">
        <v>3</v>
      </c>
      <c r="E138" s="39" t="str">
        <f t="shared" si="15"/>
        <v>PS-S03-ROB1</v>
      </c>
      <c r="F138" s="48" t="str">
        <f t="shared" si="16"/>
        <v>Poste de Sectionnement n°S03 ROB1</v>
      </c>
      <c r="G138" s="19">
        <v>45231</v>
      </c>
      <c r="H138" s="19">
        <v>45231</v>
      </c>
      <c r="I138" s="41" t="s">
        <v>20</v>
      </c>
      <c r="J138" s="41">
        <v>1</v>
      </c>
      <c r="K138" s="41" t="s">
        <v>3557</v>
      </c>
      <c r="L138" s="41">
        <v>16</v>
      </c>
      <c r="M138" s="41"/>
      <c r="N138" s="41"/>
      <c r="O138" s="41" t="s">
        <v>856</v>
      </c>
      <c r="P138" s="41" t="s">
        <v>911</v>
      </c>
      <c r="Q138" s="49">
        <f t="shared" si="17"/>
        <v>130</v>
      </c>
      <c r="R138" s="43">
        <f t="shared" si="18"/>
        <v>60</v>
      </c>
      <c r="S138" s="41" t="s">
        <v>932</v>
      </c>
      <c r="T138" s="48" t="str">
        <f t="shared" si="12"/>
        <v>(S03,'PS-S03-ROB1','Poste de Sectionnement n°S03 ROB1','Wednesday-11-jj','Wednesday-11-jj',NULL,1,),</v>
      </c>
    </row>
    <row r="139" spans="1:20" ht="20.100000000000001" customHeight="1" x14ac:dyDescent="0.25">
      <c r="A139" s="38" t="s">
        <v>862</v>
      </c>
      <c r="B139" s="38">
        <v>137</v>
      </c>
      <c r="C139" s="38" t="s">
        <v>548</v>
      </c>
      <c r="D139" s="38">
        <v>3</v>
      </c>
      <c r="E139" s="39" t="str">
        <f t="shared" si="15"/>
        <v>PS-N05-ROB1</v>
      </c>
      <c r="F139" s="48" t="str">
        <f t="shared" si="16"/>
        <v>Poste de Sectionnement n°N05 ROB1</v>
      </c>
      <c r="G139" s="19">
        <v>44089</v>
      </c>
      <c r="H139" s="19">
        <v>44089</v>
      </c>
      <c r="I139" s="41" t="s">
        <v>20</v>
      </c>
      <c r="J139" s="41">
        <v>1</v>
      </c>
      <c r="K139" s="41" t="s">
        <v>3557</v>
      </c>
      <c r="L139" s="41">
        <v>16</v>
      </c>
      <c r="M139" s="41"/>
      <c r="N139" s="41"/>
      <c r="O139" s="41" t="s">
        <v>856</v>
      </c>
      <c r="P139" s="41" t="s">
        <v>878</v>
      </c>
      <c r="Q139" s="49">
        <f t="shared" si="17"/>
        <v>499.52</v>
      </c>
      <c r="R139" s="43">
        <f t="shared" si="18"/>
        <v>66.156999999999996</v>
      </c>
      <c r="S139" s="41" t="s">
        <v>962</v>
      </c>
      <c r="T139" s="48" t="str">
        <f t="shared" si="12"/>
        <v>(N05,'PS-N05-ROB1','Poste de Sectionnement n°N05 ROB1','Tuesday-09-jj','Tuesday-09-jj',NULL,1,),</v>
      </c>
    </row>
    <row r="140" spans="1:20" ht="20.100000000000001" customHeight="1" x14ac:dyDescent="0.25">
      <c r="A140" s="38" t="s">
        <v>890</v>
      </c>
      <c r="B140" s="38">
        <v>138</v>
      </c>
      <c r="C140" s="38" t="s">
        <v>548</v>
      </c>
      <c r="D140" s="38">
        <v>3</v>
      </c>
      <c r="E140" s="39" t="str">
        <f t="shared" si="15"/>
        <v>PS-S04-ROB1</v>
      </c>
      <c r="F140" s="48" t="str">
        <f t="shared" si="16"/>
        <v>Poste de Sectionnement n°S04 ROB1</v>
      </c>
      <c r="G140" s="19">
        <v>45231</v>
      </c>
      <c r="H140" s="19">
        <v>45231</v>
      </c>
      <c r="I140" s="41" t="s">
        <v>20</v>
      </c>
      <c r="J140" s="41">
        <v>1</v>
      </c>
      <c r="K140" s="41" t="s">
        <v>3557</v>
      </c>
      <c r="L140" s="41">
        <v>16</v>
      </c>
      <c r="M140" s="41"/>
      <c r="N140" s="41"/>
      <c r="O140" s="41" t="s">
        <v>856</v>
      </c>
      <c r="P140" s="41" t="s">
        <v>912</v>
      </c>
      <c r="Q140" s="49">
        <f t="shared" si="17"/>
        <v>123</v>
      </c>
      <c r="R140" s="43">
        <f t="shared" si="18"/>
        <v>77</v>
      </c>
      <c r="S140" s="41" t="s">
        <v>932</v>
      </c>
      <c r="T140" s="48" t="str">
        <f t="shared" si="12"/>
        <v>(S04,'PS-S04-ROB1','Poste de Sectionnement n°S04 ROB1','Wednesday-11-jj','Wednesday-11-jj',NULL,1,),</v>
      </c>
    </row>
    <row r="141" spans="1:20" ht="20.100000000000001" customHeight="1" x14ac:dyDescent="0.25">
      <c r="A141" s="38" t="s">
        <v>864</v>
      </c>
      <c r="B141" s="38">
        <v>139</v>
      </c>
      <c r="C141" s="38" t="s">
        <v>548</v>
      </c>
      <c r="D141" s="38">
        <v>3</v>
      </c>
      <c r="E141" s="39" t="str">
        <f t="shared" si="15"/>
        <v>PS-N06-ROB1</v>
      </c>
      <c r="F141" s="48" t="str">
        <f t="shared" si="16"/>
        <v>Poste de Sectionnement n°N06 ROB1</v>
      </c>
      <c r="G141" s="19">
        <v>44089</v>
      </c>
      <c r="H141" s="19">
        <v>44089</v>
      </c>
      <c r="I141" s="41" t="s">
        <v>20</v>
      </c>
      <c r="J141" s="41">
        <v>1</v>
      </c>
      <c r="K141" s="41" t="s">
        <v>3557</v>
      </c>
      <c r="L141" s="41">
        <v>16</v>
      </c>
      <c r="M141" s="41"/>
      <c r="N141" s="41"/>
      <c r="O141" s="41" t="s">
        <v>856</v>
      </c>
      <c r="P141" s="41" t="s">
        <v>879</v>
      </c>
      <c r="Q141" s="49">
        <f t="shared" si="17"/>
        <v>383.8</v>
      </c>
      <c r="R141" s="43">
        <f t="shared" si="18"/>
        <v>80.11</v>
      </c>
      <c r="S141" s="41" t="s">
        <v>963</v>
      </c>
      <c r="T141" s="48" t="str">
        <f t="shared" si="12"/>
        <v>(N06,'PS-N06-ROB1','Poste de Sectionnement n°N06 ROB1','Tuesday-09-jj','Tuesday-09-jj',NULL,1,),</v>
      </c>
    </row>
    <row r="142" spans="1:20" ht="20.100000000000001" customHeight="1" x14ac:dyDescent="0.25">
      <c r="A142" s="38" t="s">
        <v>872</v>
      </c>
      <c r="B142" s="38">
        <v>140</v>
      </c>
      <c r="C142" s="38" t="s">
        <v>548</v>
      </c>
      <c r="D142" s="38">
        <v>3</v>
      </c>
      <c r="E142" s="39" t="str">
        <f t="shared" si="15"/>
        <v>PS-N06Bis-ROB1</v>
      </c>
      <c r="F142" s="48" t="str">
        <f t="shared" si="16"/>
        <v>Poste de Sectionnement n°N06Bis ROB1</v>
      </c>
      <c r="G142" s="19">
        <v>44089</v>
      </c>
      <c r="H142" s="19">
        <v>44089</v>
      </c>
      <c r="I142" s="41" t="s">
        <v>20</v>
      </c>
      <c r="J142" s="41">
        <v>1</v>
      </c>
      <c r="K142" s="41" t="s">
        <v>3557</v>
      </c>
      <c r="L142" s="41">
        <v>16</v>
      </c>
      <c r="M142" s="41"/>
      <c r="N142" s="41"/>
      <c r="O142" s="41" t="s">
        <v>856</v>
      </c>
      <c r="P142" s="41" t="s">
        <v>880</v>
      </c>
      <c r="Q142" s="49">
        <f t="shared" si="17"/>
        <v>348.31</v>
      </c>
      <c r="R142" s="43">
        <f t="shared" si="18"/>
        <v>87.917000000000002</v>
      </c>
      <c r="S142" s="41" t="s">
        <v>964</v>
      </c>
      <c r="T142" s="48" t="str">
        <f t="shared" si="12"/>
        <v>(N06Bis,'PS-N06Bis-ROB1','Poste de Sectionnement n°N06Bis ROB1','Tuesday-09-jj','Tuesday-09-jj',NULL,1,),</v>
      </c>
    </row>
    <row r="143" spans="1:20" ht="20.100000000000001" customHeight="1" x14ac:dyDescent="0.25">
      <c r="A143" s="38" t="s">
        <v>891</v>
      </c>
      <c r="B143" s="38">
        <v>141</v>
      </c>
      <c r="C143" s="38" t="s">
        <v>548</v>
      </c>
      <c r="D143" s="38">
        <v>3</v>
      </c>
      <c r="E143" s="39" t="str">
        <f t="shared" si="15"/>
        <v>PS-S05-ROB1</v>
      </c>
      <c r="F143" s="48" t="str">
        <f t="shared" si="16"/>
        <v>Poste de Sectionnement n°S05 ROB1</v>
      </c>
      <c r="G143" s="19">
        <v>45231</v>
      </c>
      <c r="H143" s="19">
        <v>45231</v>
      </c>
      <c r="I143" s="41" t="s">
        <v>20</v>
      </c>
      <c r="J143" s="41">
        <v>1</v>
      </c>
      <c r="K143" s="41" t="s">
        <v>3557</v>
      </c>
      <c r="L143" s="41">
        <v>16</v>
      </c>
      <c r="M143" s="41"/>
      <c r="N143" s="41"/>
      <c r="O143" s="41" t="s">
        <v>856</v>
      </c>
      <c r="P143" s="41" t="s">
        <v>913</v>
      </c>
      <c r="Q143" s="49">
        <f t="shared" si="17"/>
        <v>106</v>
      </c>
      <c r="R143" s="43">
        <f t="shared" si="18"/>
        <v>97</v>
      </c>
      <c r="S143" s="41" t="s">
        <v>932</v>
      </c>
      <c r="T143" s="48" t="str">
        <f t="shared" si="12"/>
        <v>(S05,'PS-S05-ROB1','Poste de Sectionnement n°S05 ROB1','Wednesday-11-jj','Wednesday-11-jj',NULL,1,),</v>
      </c>
    </row>
    <row r="144" spans="1:20" ht="20.100000000000001" customHeight="1" x14ac:dyDescent="0.25">
      <c r="A144" s="38" t="s">
        <v>865</v>
      </c>
      <c r="B144" s="38">
        <v>142</v>
      </c>
      <c r="C144" s="38" t="s">
        <v>548</v>
      </c>
      <c r="D144" s="38">
        <v>3</v>
      </c>
      <c r="E144" s="39" t="str">
        <f t="shared" si="15"/>
        <v>PS-N07-ROB1</v>
      </c>
      <c r="F144" s="48" t="str">
        <f t="shared" si="16"/>
        <v>Poste de Sectionnement n°N07 ROB1</v>
      </c>
      <c r="G144" s="19">
        <v>44089</v>
      </c>
      <c r="H144" s="19">
        <v>44089</v>
      </c>
      <c r="I144" s="41" t="s">
        <v>20</v>
      </c>
      <c r="J144" s="41">
        <v>1</v>
      </c>
      <c r="K144" s="41" t="s">
        <v>3557</v>
      </c>
      <c r="L144" s="41">
        <v>16</v>
      </c>
      <c r="M144" s="41"/>
      <c r="N144" s="41"/>
      <c r="O144" s="41" t="s">
        <v>856</v>
      </c>
      <c r="P144" s="41" t="s">
        <v>881</v>
      </c>
      <c r="Q144" s="49">
        <f t="shared" si="17"/>
        <v>228.55</v>
      </c>
      <c r="R144" s="43">
        <f t="shared" si="18"/>
        <v>99.33</v>
      </c>
      <c r="S144" s="41" t="s">
        <v>965</v>
      </c>
      <c r="T144" s="48" t="str">
        <f t="shared" si="12"/>
        <v>(N07,'PS-N07-ROB1','Poste de Sectionnement n°N07 ROB1','Tuesday-09-jj','Tuesday-09-jj',NULL,1,),</v>
      </c>
    </row>
    <row r="145" spans="1:20" ht="20.100000000000001" customHeight="1" x14ac:dyDescent="0.25">
      <c r="A145" s="38" t="s">
        <v>866</v>
      </c>
      <c r="B145" s="38">
        <v>143</v>
      </c>
      <c r="C145" s="38" t="s">
        <v>548</v>
      </c>
      <c r="D145" s="38">
        <v>3</v>
      </c>
      <c r="E145" s="39" t="str">
        <f t="shared" si="15"/>
        <v>PS-N08-ROB1</v>
      </c>
      <c r="F145" s="48" t="str">
        <f t="shared" si="16"/>
        <v>Poste de Sectionnement n°N08 ROB1</v>
      </c>
      <c r="G145" s="19">
        <v>44089</v>
      </c>
      <c r="H145" s="19">
        <v>44089</v>
      </c>
      <c r="I145" s="41" t="s">
        <v>20</v>
      </c>
      <c r="J145" s="41">
        <v>1</v>
      </c>
      <c r="K145" s="41" t="s">
        <v>3557</v>
      </c>
      <c r="L145" s="41">
        <v>16</v>
      </c>
      <c r="M145" s="41"/>
      <c r="N145" s="41"/>
      <c r="O145" s="41" t="s">
        <v>856</v>
      </c>
      <c r="P145" s="41" t="s">
        <v>882</v>
      </c>
      <c r="Q145" s="49">
        <f t="shared" si="17"/>
        <v>183.24</v>
      </c>
      <c r="R145" s="43">
        <f t="shared" si="18"/>
        <v>111.46299999999999</v>
      </c>
      <c r="S145" s="41" t="s">
        <v>966</v>
      </c>
      <c r="T145" s="48" t="str">
        <f t="shared" si="12"/>
        <v>(N08,'PS-N08-ROB1','Poste de Sectionnement n°N08 ROB1','Tuesday-09-jj','Tuesday-09-jj',NULL,1,),</v>
      </c>
    </row>
    <row r="146" spans="1:20" ht="20.100000000000001" customHeight="1" x14ac:dyDescent="0.25">
      <c r="A146" s="38" t="s">
        <v>892</v>
      </c>
      <c r="B146" s="38">
        <v>144</v>
      </c>
      <c r="C146" s="38" t="s">
        <v>548</v>
      </c>
      <c r="D146" s="38">
        <v>3</v>
      </c>
      <c r="E146" s="39" t="str">
        <f t="shared" si="15"/>
        <v>PS-S06-ROB1</v>
      </c>
      <c r="F146" s="48" t="str">
        <f t="shared" si="16"/>
        <v>Poste de Sectionnement n°S06 ROB1</v>
      </c>
      <c r="G146" s="19">
        <v>45231</v>
      </c>
      <c r="H146" s="19">
        <v>45231</v>
      </c>
      <c r="I146" s="41" t="s">
        <v>20</v>
      </c>
      <c r="J146" s="41">
        <v>1</v>
      </c>
      <c r="K146" s="41" t="s">
        <v>3557</v>
      </c>
      <c r="L146" s="41">
        <v>16</v>
      </c>
      <c r="M146" s="41"/>
      <c r="N146" s="41"/>
      <c r="O146" s="41" t="s">
        <v>856</v>
      </c>
      <c r="P146" s="41" t="s">
        <v>914</v>
      </c>
      <c r="Q146" s="49">
        <f t="shared" si="17"/>
        <v>98</v>
      </c>
      <c r="R146" s="43">
        <f t="shared" si="18"/>
        <v>117</v>
      </c>
      <c r="S146" s="41" t="s">
        <v>932</v>
      </c>
      <c r="T146" s="48" t="str">
        <f t="shared" si="12"/>
        <v>(S06,'PS-S06-ROB1','Poste de Sectionnement n°S06 ROB1','Wednesday-11-jj','Wednesday-11-jj',NULL,1,),</v>
      </c>
    </row>
    <row r="147" spans="1:20" ht="20.100000000000001" customHeight="1" x14ac:dyDescent="0.25">
      <c r="A147" s="38" t="s">
        <v>867</v>
      </c>
      <c r="B147" s="38">
        <v>145</v>
      </c>
      <c r="C147" s="38" t="s">
        <v>548</v>
      </c>
      <c r="D147" s="38">
        <v>3</v>
      </c>
      <c r="E147" s="39" t="str">
        <f t="shared" si="15"/>
        <v>PS-N09-ROB1</v>
      </c>
      <c r="F147" s="48" t="str">
        <f t="shared" si="16"/>
        <v>Poste de Sectionnement n°N09 ROB1</v>
      </c>
      <c r="G147" s="19">
        <v>44089</v>
      </c>
      <c r="H147" s="19">
        <v>44089</v>
      </c>
      <c r="I147" s="41" t="s">
        <v>20</v>
      </c>
      <c r="J147" s="41">
        <v>1</v>
      </c>
      <c r="K147" s="41" t="s">
        <v>3557</v>
      </c>
      <c r="L147" s="41">
        <v>16</v>
      </c>
      <c r="M147" s="41"/>
      <c r="N147" s="41"/>
      <c r="O147" s="41" t="s">
        <v>856</v>
      </c>
      <c r="P147" s="41" t="s">
        <v>883</v>
      </c>
      <c r="Q147" s="49">
        <f t="shared" si="17"/>
        <v>138.97</v>
      </c>
      <c r="R147" s="43">
        <f t="shared" si="18"/>
        <v>122.13</v>
      </c>
      <c r="S147" s="41" t="s">
        <v>967</v>
      </c>
      <c r="T147" s="48" t="str">
        <f t="shared" si="12"/>
        <v>(N09,'PS-N09-ROB1','Poste de Sectionnement n°N09 ROB1','Tuesday-09-jj','Tuesday-09-jj',NULL,1,),</v>
      </c>
    </row>
    <row r="148" spans="1:20" ht="20.100000000000001" customHeight="1" x14ac:dyDescent="0.25">
      <c r="A148" s="38" t="s">
        <v>868</v>
      </c>
      <c r="B148" s="38">
        <v>146</v>
      </c>
      <c r="C148" s="38" t="s">
        <v>548</v>
      </c>
      <c r="D148" s="38">
        <v>3</v>
      </c>
      <c r="E148" s="39" t="str">
        <f t="shared" si="15"/>
        <v>PS-N10-ROB1</v>
      </c>
      <c r="F148" s="48" t="str">
        <f t="shared" si="16"/>
        <v>Poste de Sectionnement n°N10 ROB1</v>
      </c>
      <c r="G148" s="19">
        <v>44089</v>
      </c>
      <c r="H148" s="19">
        <v>44089</v>
      </c>
      <c r="I148" s="41" t="s">
        <v>20</v>
      </c>
      <c r="J148" s="41">
        <v>1</v>
      </c>
      <c r="K148" s="41" t="s">
        <v>3557</v>
      </c>
      <c r="L148" s="41">
        <v>16</v>
      </c>
      <c r="M148" s="41"/>
      <c r="N148" s="41"/>
      <c r="O148" s="41" t="s">
        <v>856</v>
      </c>
      <c r="P148" s="41" t="s">
        <v>884</v>
      </c>
      <c r="Q148" s="49">
        <f t="shared" si="17"/>
        <v>97.74</v>
      </c>
      <c r="R148" s="43">
        <f t="shared" si="18"/>
        <v>133.07</v>
      </c>
      <c r="S148" s="41" t="s">
        <v>968</v>
      </c>
      <c r="T148" s="48" t="str">
        <f t="shared" si="12"/>
        <v>(N10,'PS-N10-ROB1','Poste de Sectionnement n°N10 ROB1','Tuesday-09-jj','Tuesday-09-jj',NULL,1,),</v>
      </c>
    </row>
    <row r="149" spans="1:20" ht="20.100000000000001" customHeight="1" x14ac:dyDescent="0.25">
      <c r="A149" s="38" t="s">
        <v>893</v>
      </c>
      <c r="B149" s="38">
        <v>147</v>
      </c>
      <c r="C149" s="38" t="s">
        <v>548</v>
      </c>
      <c r="D149" s="38">
        <v>3</v>
      </c>
      <c r="E149" s="39" t="str">
        <f t="shared" si="15"/>
        <v>PS-S07-ROB1</v>
      </c>
      <c r="F149" s="48" t="str">
        <f t="shared" si="16"/>
        <v>Poste de Sectionnement n°S07 ROB1</v>
      </c>
      <c r="G149" s="19">
        <v>45231</v>
      </c>
      <c r="H149" s="19">
        <v>45231</v>
      </c>
      <c r="I149" s="41" t="s">
        <v>20</v>
      </c>
      <c r="J149" s="41">
        <v>1</v>
      </c>
      <c r="K149" s="41" t="s">
        <v>3557</v>
      </c>
      <c r="L149" s="41">
        <v>16</v>
      </c>
      <c r="M149" s="41"/>
      <c r="N149" s="41"/>
      <c r="O149" s="41" t="s">
        <v>856</v>
      </c>
      <c r="P149" s="41" t="s">
        <v>915</v>
      </c>
      <c r="Q149" s="49">
        <f t="shared" si="17"/>
        <v>86</v>
      </c>
      <c r="R149" s="43">
        <f t="shared" si="18"/>
        <v>135</v>
      </c>
      <c r="S149" s="41" t="s">
        <v>933</v>
      </c>
      <c r="T149" s="48" t="str">
        <f t="shared" si="12"/>
        <v>(S07,'PS-S07-ROB1','Poste de Sectionnement n°S07 ROB1','Wednesday-11-jj','Wednesday-11-jj',NULL,1,),</v>
      </c>
    </row>
    <row r="150" spans="1:20" ht="20.100000000000001" customHeight="1" x14ac:dyDescent="0.25">
      <c r="A150" s="38" t="s">
        <v>869</v>
      </c>
      <c r="B150" s="38">
        <v>148</v>
      </c>
      <c r="C150" s="38" t="s">
        <v>548</v>
      </c>
      <c r="D150" s="38">
        <v>3</v>
      </c>
      <c r="E150" s="39" t="str">
        <f t="shared" si="15"/>
        <v>PS-N11-ROB1</v>
      </c>
      <c r="F150" s="48" t="str">
        <f t="shared" si="16"/>
        <v>Poste de Sectionnement n°N11 ROB1</v>
      </c>
      <c r="G150" s="19">
        <v>44089</v>
      </c>
      <c r="H150" s="19">
        <v>44089</v>
      </c>
      <c r="I150" s="41" t="s">
        <v>20</v>
      </c>
      <c r="J150" s="41">
        <v>1</v>
      </c>
      <c r="K150" s="41" t="s">
        <v>3557</v>
      </c>
      <c r="L150" s="41">
        <v>16</v>
      </c>
      <c r="M150" s="41"/>
      <c r="N150" s="41"/>
      <c r="O150" s="41" t="s">
        <v>856</v>
      </c>
      <c r="P150" s="41" t="s">
        <v>885</v>
      </c>
      <c r="Q150" s="49">
        <f t="shared" si="17"/>
        <v>64.069999999999993</v>
      </c>
      <c r="R150" s="43">
        <f t="shared" si="18"/>
        <v>145.178</v>
      </c>
      <c r="S150" s="41" t="s">
        <v>969</v>
      </c>
      <c r="T150" s="48" t="str">
        <f t="shared" si="12"/>
        <v>(N11,'PS-N11-ROB1','Poste de Sectionnement n°N11 ROB1','Tuesday-09-jj','Tuesday-09-jj',NULL,1,),</v>
      </c>
    </row>
    <row r="151" spans="1:20" ht="20.100000000000001" customHeight="1" x14ac:dyDescent="0.25">
      <c r="A151" s="38" t="s">
        <v>894</v>
      </c>
      <c r="B151" s="38">
        <v>149</v>
      </c>
      <c r="C151" s="38" t="s">
        <v>548</v>
      </c>
      <c r="D151" s="38">
        <v>3</v>
      </c>
      <c r="E151" s="39" t="str">
        <f t="shared" si="15"/>
        <v>PS-S08-ROB1</v>
      </c>
      <c r="F151" s="48" t="str">
        <f t="shared" si="16"/>
        <v>Poste de Sectionnement n°S08 ROB1</v>
      </c>
      <c r="G151" s="19">
        <v>45231</v>
      </c>
      <c r="H151" s="19">
        <v>45231</v>
      </c>
      <c r="I151" s="41" t="s">
        <v>20</v>
      </c>
      <c r="J151" s="41">
        <v>1</v>
      </c>
      <c r="K151" s="41" t="s">
        <v>3557</v>
      </c>
      <c r="L151" s="41">
        <v>16</v>
      </c>
      <c r="M151" s="41"/>
      <c r="N151" s="41"/>
      <c r="O151" s="41" t="s">
        <v>856</v>
      </c>
      <c r="P151" s="41" t="s">
        <v>916</v>
      </c>
      <c r="Q151" s="49">
        <f t="shared" si="17"/>
        <v>69</v>
      </c>
      <c r="R151" s="43">
        <f t="shared" si="18"/>
        <v>154</v>
      </c>
      <c r="S151" s="41" t="s">
        <v>934</v>
      </c>
      <c r="T151" s="48" t="str">
        <f t="shared" si="12"/>
        <v>(S08,'PS-S08-ROB1','Poste de Sectionnement n°S08 ROB1','Wednesday-11-jj','Wednesday-11-jj',NULL,1,),</v>
      </c>
    </row>
    <row r="152" spans="1:20" ht="20.100000000000001" customHeight="1" x14ac:dyDescent="0.25">
      <c r="A152" s="38" t="s">
        <v>870</v>
      </c>
      <c r="B152" s="38">
        <v>150</v>
      </c>
      <c r="C152" s="38" t="s">
        <v>548</v>
      </c>
      <c r="D152" s="38">
        <v>3</v>
      </c>
      <c r="E152" s="39" t="str">
        <f t="shared" si="15"/>
        <v>PS-N12-ROB1</v>
      </c>
      <c r="F152" s="48" t="str">
        <f t="shared" si="16"/>
        <v>Poste de Sectionnement n°N12 ROB1</v>
      </c>
      <c r="G152" s="19">
        <v>44089</v>
      </c>
      <c r="H152" s="19">
        <v>44089</v>
      </c>
      <c r="I152" s="41" t="s">
        <v>20</v>
      </c>
      <c r="J152" s="41">
        <v>1</v>
      </c>
      <c r="K152" s="41" t="s">
        <v>3557</v>
      </c>
      <c r="L152" s="41">
        <v>16</v>
      </c>
      <c r="M152" s="41"/>
      <c r="N152" s="41"/>
      <c r="O152" s="41" t="s">
        <v>856</v>
      </c>
      <c r="P152" s="41" t="s">
        <v>886</v>
      </c>
      <c r="Q152" s="49">
        <f t="shared" si="17"/>
        <v>33.68</v>
      </c>
      <c r="R152" s="43">
        <f t="shared" si="18"/>
        <v>155.577</v>
      </c>
      <c r="S152" s="41" t="s">
        <v>970</v>
      </c>
      <c r="T152" s="48" t="str">
        <f t="shared" si="12"/>
        <v>(N12,'PS-N12-ROB1','Poste de Sectionnement n°N12 ROB1','Tuesday-09-jj','Tuesday-09-jj',NULL,1,),</v>
      </c>
    </row>
    <row r="153" spans="1:20" ht="20.100000000000001" customHeight="1" x14ac:dyDescent="0.25">
      <c r="A153" s="38" t="s">
        <v>871</v>
      </c>
      <c r="B153" s="38">
        <v>151</v>
      </c>
      <c r="C153" s="38" t="s">
        <v>548</v>
      </c>
      <c r="D153" s="38">
        <v>3</v>
      </c>
      <c r="E153" s="39" t="str">
        <f t="shared" si="15"/>
        <v>PS-N13-ROB1</v>
      </c>
      <c r="F153" s="48" t="str">
        <f t="shared" si="16"/>
        <v>Poste de Sectionnement n°N13 ROB1</v>
      </c>
      <c r="G153" s="19">
        <v>44089</v>
      </c>
      <c r="H153" s="19">
        <v>44089</v>
      </c>
      <c r="I153" s="41" t="s">
        <v>20</v>
      </c>
      <c r="J153" s="41">
        <v>1</v>
      </c>
      <c r="K153" s="41" t="s">
        <v>3557</v>
      </c>
      <c r="L153" s="41">
        <v>16</v>
      </c>
      <c r="M153" s="41"/>
      <c r="N153" s="41"/>
      <c r="O153" s="41" t="s">
        <v>856</v>
      </c>
      <c r="P153" s="41" t="s">
        <v>887</v>
      </c>
      <c r="Q153" s="49">
        <f t="shared" si="17"/>
        <v>13.17</v>
      </c>
      <c r="R153" s="43">
        <f t="shared" si="18"/>
        <v>166.18100000000001</v>
      </c>
      <c r="S153" s="41" t="s">
        <v>971</v>
      </c>
      <c r="T153" s="48" t="str">
        <f t="shared" si="12"/>
        <v>(N13,'PS-N13-ROB1','Poste de Sectionnement n°N13 ROB1','Tuesday-09-jj','Tuesday-09-jj',NULL,1,),</v>
      </c>
    </row>
    <row r="154" spans="1:20" ht="20.100000000000001" customHeight="1" x14ac:dyDescent="0.25">
      <c r="A154" s="38" t="s">
        <v>895</v>
      </c>
      <c r="B154" s="38">
        <v>152</v>
      </c>
      <c r="C154" s="38" t="s">
        <v>548</v>
      </c>
      <c r="D154" s="38">
        <v>3</v>
      </c>
      <c r="E154" s="39" t="str">
        <f t="shared" si="15"/>
        <v>PS-S09-ROB1</v>
      </c>
      <c r="F154" s="48" t="str">
        <f t="shared" si="16"/>
        <v>Poste de Sectionnement n°S09 ROB1</v>
      </c>
      <c r="G154" s="19">
        <v>45231</v>
      </c>
      <c r="H154" s="19">
        <v>45231</v>
      </c>
      <c r="I154" s="41" t="s">
        <v>20</v>
      </c>
      <c r="J154" s="41">
        <v>1</v>
      </c>
      <c r="K154" s="41" t="s">
        <v>3557</v>
      </c>
      <c r="L154" s="41">
        <v>16</v>
      </c>
      <c r="M154" s="41"/>
      <c r="N154" s="41"/>
      <c r="O154" s="41" t="s">
        <v>856</v>
      </c>
      <c r="P154" s="41" t="s">
        <v>917</v>
      </c>
      <c r="Q154" s="49">
        <f t="shared" si="17"/>
        <v>71</v>
      </c>
      <c r="R154" s="43">
        <f t="shared" si="18"/>
        <v>174</v>
      </c>
      <c r="S154" s="41" t="s">
        <v>935</v>
      </c>
      <c r="T154" s="48" t="str">
        <f t="shared" si="12"/>
        <v>(S09,'PS-S09-ROB1','Poste de Sectionnement n°S09 ROB1','Wednesday-11-jj','Wednesday-11-jj',NULL,1,),</v>
      </c>
    </row>
    <row r="155" spans="1:20" ht="20.100000000000001" customHeight="1" x14ac:dyDescent="0.25">
      <c r="A155" s="38">
        <v>2</v>
      </c>
      <c r="B155" s="38">
        <v>153</v>
      </c>
      <c r="C155" s="38" t="s">
        <v>548</v>
      </c>
      <c r="D155" s="38">
        <v>3</v>
      </c>
      <c r="E155" s="39" t="s">
        <v>105</v>
      </c>
      <c r="F155" s="48" t="s">
        <v>106</v>
      </c>
      <c r="G155" s="19">
        <v>39649</v>
      </c>
      <c r="H155" s="19">
        <v>40283</v>
      </c>
      <c r="I155" s="41" t="s">
        <v>20</v>
      </c>
      <c r="J155" s="41">
        <v>1</v>
      </c>
      <c r="K155" s="41" t="s">
        <v>3552</v>
      </c>
      <c r="L155" s="41">
        <v>7</v>
      </c>
      <c r="M155" s="41">
        <v>15</v>
      </c>
      <c r="N155" s="41"/>
      <c r="O155" s="41" t="s">
        <v>308</v>
      </c>
      <c r="P155" s="41" t="s">
        <v>3595</v>
      </c>
      <c r="Q155" s="49">
        <f t="shared" si="17"/>
        <v>83</v>
      </c>
      <c r="R155" s="43">
        <f t="shared" si="18"/>
        <v>189.81</v>
      </c>
      <c r="S155" s="41" t="s">
        <v>3597</v>
      </c>
      <c r="T155" s="48" t="str">
        <f t="shared" si="12"/>
        <v>(2,'SP1-BIS-OB1','Station de Pompage SP1-BIS-OB1','Sunday-07-jj','Thursday-04-jj',NULL,1,15),</v>
      </c>
    </row>
    <row r="156" spans="1:20" ht="20.100000000000001" customHeight="1" x14ac:dyDescent="0.25">
      <c r="A156" s="38" t="s">
        <v>896</v>
      </c>
      <c r="B156" s="38">
        <v>154</v>
      </c>
      <c r="C156" s="38" t="s">
        <v>548</v>
      </c>
      <c r="D156" s="38">
        <v>3</v>
      </c>
      <c r="E156" s="39" t="str">
        <f t="shared" ref="E156:E168" si="19">CONCATENATE("PS-",TEXT(A156,"00"),"-",O156)</f>
        <v>PS-S10-ROB1</v>
      </c>
      <c r="F156" s="48" t="str">
        <f t="shared" ref="F156:F168" si="20">CONCATENATE("Poste de Sectionnement n°",TEXT(A156,"00")," ",O156)</f>
        <v>Poste de Sectionnement n°S10 ROB1</v>
      </c>
      <c r="G156" s="19">
        <v>46388</v>
      </c>
      <c r="H156" s="19">
        <v>46388</v>
      </c>
      <c r="I156" s="41" t="s">
        <v>20</v>
      </c>
      <c r="J156" s="41">
        <v>1</v>
      </c>
      <c r="K156" s="41" t="s">
        <v>3557</v>
      </c>
      <c r="L156" s="41">
        <v>16</v>
      </c>
      <c r="M156" s="41"/>
      <c r="N156" s="41"/>
      <c r="O156" s="41" t="s">
        <v>856</v>
      </c>
      <c r="P156" s="41" t="s">
        <v>918</v>
      </c>
      <c r="Q156" s="49">
        <f t="shared" si="17"/>
        <v>106</v>
      </c>
      <c r="R156" s="43">
        <f t="shared" si="18"/>
        <v>211</v>
      </c>
      <c r="S156" s="41" t="s">
        <v>936</v>
      </c>
      <c r="T156" s="48" t="str">
        <f t="shared" si="12"/>
        <v>(S10,'PS-S10-ROB1','Poste de Sectionnement n°S10 ROB1','Friday-01-jj','Friday-01-jj',NULL,1,),</v>
      </c>
    </row>
    <row r="157" spans="1:20" ht="20.100000000000001" customHeight="1" x14ac:dyDescent="0.25">
      <c r="A157" s="38" t="s">
        <v>897</v>
      </c>
      <c r="B157" s="38">
        <v>155</v>
      </c>
      <c r="C157" s="38" t="s">
        <v>548</v>
      </c>
      <c r="D157" s="38">
        <v>3</v>
      </c>
      <c r="E157" s="39" t="str">
        <f t="shared" si="19"/>
        <v>PS-S11-ROB1</v>
      </c>
      <c r="F157" s="48" t="str">
        <f t="shared" si="20"/>
        <v>Poste de Sectionnement n°S11 ROB1</v>
      </c>
      <c r="G157" s="19">
        <v>46388</v>
      </c>
      <c r="H157" s="19">
        <v>46388</v>
      </c>
      <c r="I157" s="41" t="s">
        <v>20</v>
      </c>
      <c r="J157" s="41">
        <v>1</v>
      </c>
      <c r="K157" s="41" t="s">
        <v>3557</v>
      </c>
      <c r="L157" s="41">
        <v>16</v>
      </c>
      <c r="M157" s="41"/>
      <c r="N157" s="41"/>
      <c r="O157" s="41" t="s">
        <v>856</v>
      </c>
      <c r="P157" s="41" t="s">
        <v>919</v>
      </c>
      <c r="Q157" s="49">
        <f t="shared" si="17"/>
        <v>63</v>
      </c>
      <c r="R157" s="43">
        <f t="shared" si="18"/>
        <v>231</v>
      </c>
      <c r="S157" s="41" t="s">
        <v>937</v>
      </c>
      <c r="T157" s="48" t="str">
        <f t="shared" si="12"/>
        <v>(S11,'PS-S11-ROB1','Poste de Sectionnement n°S11 ROB1','Friday-01-jj','Friday-01-jj',NULL,1,),</v>
      </c>
    </row>
    <row r="158" spans="1:20" ht="20.100000000000001" customHeight="1" x14ac:dyDescent="0.25">
      <c r="A158" s="38" t="s">
        <v>898</v>
      </c>
      <c r="B158" s="38">
        <v>156</v>
      </c>
      <c r="C158" s="38" t="s">
        <v>548</v>
      </c>
      <c r="D158" s="38">
        <v>3</v>
      </c>
      <c r="E158" s="39" t="str">
        <f t="shared" si="19"/>
        <v>PS-S12-ROB1</v>
      </c>
      <c r="F158" s="48" t="str">
        <f t="shared" si="20"/>
        <v>Poste de Sectionnement n°S12 ROB1</v>
      </c>
      <c r="G158" s="19">
        <v>46388</v>
      </c>
      <c r="H158" s="19">
        <v>46388</v>
      </c>
      <c r="I158" s="41" t="s">
        <v>20</v>
      </c>
      <c r="J158" s="41">
        <v>1</v>
      </c>
      <c r="K158" s="41" t="s">
        <v>3557</v>
      </c>
      <c r="L158" s="41">
        <v>16</v>
      </c>
      <c r="M158" s="41"/>
      <c r="N158" s="41"/>
      <c r="O158" s="41" t="s">
        <v>856</v>
      </c>
      <c r="P158" s="41" t="s">
        <v>920</v>
      </c>
      <c r="Q158" s="49">
        <f t="shared" si="17"/>
        <v>79</v>
      </c>
      <c r="R158" s="43">
        <f t="shared" si="18"/>
        <v>251</v>
      </c>
      <c r="S158" s="41" t="s">
        <v>938</v>
      </c>
      <c r="T158" s="48" t="str">
        <f t="shared" si="12"/>
        <v>(S12,'PS-S12-ROB1','Poste de Sectionnement n°S12 ROB1','Friday-01-jj','Friday-01-jj',NULL,1,),</v>
      </c>
    </row>
    <row r="159" spans="1:20" ht="20.100000000000001" customHeight="1" x14ac:dyDescent="0.25">
      <c r="A159" s="38" t="s">
        <v>899</v>
      </c>
      <c r="B159" s="38">
        <v>157</v>
      </c>
      <c r="C159" s="38" t="s">
        <v>548</v>
      </c>
      <c r="D159" s="38">
        <v>3</v>
      </c>
      <c r="E159" s="39" t="str">
        <f t="shared" si="19"/>
        <v>PS-S13-ROB1</v>
      </c>
      <c r="F159" s="48" t="str">
        <f t="shared" si="20"/>
        <v>Poste de Sectionnement n°S13 ROB1</v>
      </c>
      <c r="G159" s="19">
        <v>46388</v>
      </c>
      <c r="H159" s="19">
        <v>46388</v>
      </c>
      <c r="I159" s="41" t="s">
        <v>20</v>
      </c>
      <c r="J159" s="41">
        <v>1</v>
      </c>
      <c r="K159" s="41" t="s">
        <v>3557</v>
      </c>
      <c r="L159" s="41">
        <v>16</v>
      </c>
      <c r="M159" s="41"/>
      <c r="N159" s="41"/>
      <c r="O159" s="41" t="s">
        <v>856</v>
      </c>
      <c r="P159" s="41" t="s">
        <v>921</v>
      </c>
      <c r="Q159" s="49">
        <f t="shared" si="17"/>
        <v>81</v>
      </c>
      <c r="R159" s="43">
        <f t="shared" si="18"/>
        <v>271</v>
      </c>
      <c r="S159" s="41" t="s">
        <v>939</v>
      </c>
      <c r="T159" s="48" t="str">
        <f t="shared" ref="T159:T215" si="21">CONCATENATE("(",A159,",'",E159,"','",F159,"','",TEXT(G159,"aaaa-mm-jj"),"','",TEXT(H159,"aaaa-mm-jj"),"',",I159,",",J159,",",M159,"),")</f>
        <v>(S13,'PS-S13-ROB1','Poste de Sectionnement n°S13 ROB1','Friday-01-jj','Friday-01-jj',NULL,1,),</v>
      </c>
    </row>
    <row r="160" spans="1:20" ht="20.100000000000001" customHeight="1" x14ac:dyDescent="0.25">
      <c r="A160" s="38" t="s">
        <v>900</v>
      </c>
      <c r="B160" s="38">
        <v>158</v>
      </c>
      <c r="C160" s="38" t="s">
        <v>548</v>
      </c>
      <c r="D160" s="38">
        <v>3</v>
      </c>
      <c r="E160" s="39" t="str">
        <f t="shared" si="19"/>
        <v>PS-S14-ROB1</v>
      </c>
      <c r="F160" s="48" t="str">
        <f t="shared" si="20"/>
        <v>Poste de Sectionnement n°S14 ROB1</v>
      </c>
      <c r="G160" s="19">
        <v>46388</v>
      </c>
      <c r="H160" s="19">
        <v>46388</v>
      </c>
      <c r="I160" s="41" t="s">
        <v>20</v>
      </c>
      <c r="J160" s="41">
        <v>1</v>
      </c>
      <c r="K160" s="41" t="s">
        <v>3557</v>
      </c>
      <c r="L160" s="41">
        <v>16</v>
      </c>
      <c r="M160" s="41"/>
      <c r="N160" s="41"/>
      <c r="O160" s="41" t="s">
        <v>856</v>
      </c>
      <c r="P160" s="41" t="s">
        <v>922</v>
      </c>
      <c r="Q160" s="49">
        <f t="shared" si="17"/>
        <v>80</v>
      </c>
      <c r="R160" s="43">
        <f t="shared" si="18"/>
        <v>291</v>
      </c>
      <c r="S160" s="41" t="s">
        <v>940</v>
      </c>
      <c r="T160" s="48" t="str">
        <f t="shared" si="21"/>
        <v>(S14,'PS-S14-ROB1','Poste de Sectionnement n°S14 ROB1','Friday-01-jj','Friday-01-jj',NULL,1,),</v>
      </c>
    </row>
    <row r="161" spans="1:20" ht="20.100000000000001" customHeight="1" x14ac:dyDescent="0.25">
      <c r="A161" s="38" t="s">
        <v>901</v>
      </c>
      <c r="B161" s="38">
        <v>159</v>
      </c>
      <c r="C161" s="38" t="s">
        <v>548</v>
      </c>
      <c r="D161" s="38">
        <v>3</v>
      </c>
      <c r="E161" s="39" t="str">
        <f t="shared" si="19"/>
        <v>PS-S15-ROB1</v>
      </c>
      <c r="F161" s="48" t="str">
        <f t="shared" si="20"/>
        <v>Poste de Sectionnement n°S15 ROB1</v>
      </c>
      <c r="G161" s="19">
        <v>46388</v>
      </c>
      <c r="H161" s="19">
        <v>46388</v>
      </c>
      <c r="I161" s="41" t="s">
        <v>20</v>
      </c>
      <c r="J161" s="41">
        <v>1</v>
      </c>
      <c r="K161" s="41" t="s">
        <v>3557</v>
      </c>
      <c r="L161" s="41">
        <v>16</v>
      </c>
      <c r="M161" s="41"/>
      <c r="N161" s="41"/>
      <c r="O161" s="41" t="s">
        <v>856</v>
      </c>
      <c r="P161" s="41" t="s">
        <v>923</v>
      </c>
      <c r="Q161" s="49">
        <f t="shared" si="17"/>
        <v>70</v>
      </c>
      <c r="R161" s="43">
        <f t="shared" si="18"/>
        <v>311</v>
      </c>
      <c r="S161" s="41" t="s">
        <v>940</v>
      </c>
      <c r="T161" s="48" t="str">
        <f t="shared" si="21"/>
        <v>(S15,'PS-S15-ROB1','Poste de Sectionnement n°S15 ROB1','Friday-01-jj','Friday-01-jj',NULL,1,),</v>
      </c>
    </row>
    <row r="162" spans="1:20" ht="20.100000000000001" customHeight="1" x14ac:dyDescent="0.25">
      <c r="A162" s="38" t="s">
        <v>902</v>
      </c>
      <c r="B162" s="38">
        <v>160</v>
      </c>
      <c r="C162" s="38" t="s">
        <v>548</v>
      </c>
      <c r="D162" s="38">
        <v>3</v>
      </c>
      <c r="E162" s="39" t="str">
        <f t="shared" si="19"/>
        <v>PS-S16-ROB1</v>
      </c>
      <c r="F162" s="48" t="str">
        <f t="shared" si="20"/>
        <v>Poste de Sectionnement n°S16 ROB1</v>
      </c>
      <c r="G162" s="19">
        <v>46388</v>
      </c>
      <c r="H162" s="19">
        <v>46388</v>
      </c>
      <c r="I162" s="41" t="s">
        <v>20</v>
      </c>
      <c r="J162" s="41">
        <v>1</v>
      </c>
      <c r="K162" s="41" t="s">
        <v>3557</v>
      </c>
      <c r="L162" s="41">
        <v>16</v>
      </c>
      <c r="M162" s="41"/>
      <c r="N162" s="41"/>
      <c r="O162" s="41" t="s">
        <v>856</v>
      </c>
      <c r="P162" s="41" t="s">
        <v>924</v>
      </c>
      <c r="Q162" s="49">
        <f t="shared" si="17"/>
        <v>215</v>
      </c>
      <c r="R162" s="43">
        <f t="shared" si="18"/>
        <v>331</v>
      </c>
      <c r="S162" s="41" t="s">
        <v>941</v>
      </c>
      <c r="T162" s="48" t="str">
        <f t="shared" si="21"/>
        <v>(S16,'PS-S16-ROB1','Poste de Sectionnement n°S16 ROB1','Friday-01-jj','Friday-01-jj',NULL,1,),</v>
      </c>
    </row>
    <row r="163" spans="1:20" ht="20.100000000000001" customHeight="1" x14ac:dyDescent="0.25">
      <c r="A163" s="38" t="s">
        <v>903</v>
      </c>
      <c r="B163" s="38">
        <v>161</v>
      </c>
      <c r="C163" s="38" t="s">
        <v>548</v>
      </c>
      <c r="D163" s="38">
        <v>3</v>
      </c>
      <c r="E163" s="39" t="str">
        <f t="shared" si="19"/>
        <v>PS-S17-ROB1</v>
      </c>
      <c r="F163" s="48" t="str">
        <f t="shared" si="20"/>
        <v>Poste de Sectionnement n°S17 ROB1</v>
      </c>
      <c r="G163" s="19">
        <v>46388</v>
      </c>
      <c r="H163" s="19">
        <v>46388</v>
      </c>
      <c r="I163" s="41" t="s">
        <v>20</v>
      </c>
      <c r="J163" s="41">
        <v>1</v>
      </c>
      <c r="K163" s="41" t="s">
        <v>3557</v>
      </c>
      <c r="L163" s="41">
        <v>16</v>
      </c>
      <c r="M163" s="41"/>
      <c r="N163" s="41"/>
      <c r="O163" s="41" t="s">
        <v>856</v>
      </c>
      <c r="P163" s="41" t="s">
        <v>925</v>
      </c>
      <c r="Q163" s="49">
        <f t="shared" si="17"/>
        <v>324</v>
      </c>
      <c r="R163" s="43">
        <f t="shared" si="18"/>
        <v>370</v>
      </c>
      <c r="S163" s="60" t="s">
        <v>942</v>
      </c>
      <c r="T163" s="48" t="str">
        <f t="shared" si="21"/>
        <v>(S17,'PS-S17-ROB1','Poste de Sectionnement n°S17 ROB1','Friday-01-jj','Friday-01-jj',NULL,1,),</v>
      </c>
    </row>
    <row r="164" spans="1:20" ht="20.100000000000001" customHeight="1" x14ac:dyDescent="0.25">
      <c r="A164" s="38" t="s">
        <v>904</v>
      </c>
      <c r="B164" s="38">
        <v>162</v>
      </c>
      <c r="C164" s="38" t="s">
        <v>548</v>
      </c>
      <c r="D164" s="38">
        <v>3</v>
      </c>
      <c r="E164" s="39" t="str">
        <f t="shared" si="19"/>
        <v>PS-S18-ROB1</v>
      </c>
      <c r="F164" s="48" t="str">
        <f t="shared" si="20"/>
        <v>Poste de Sectionnement n°S18 ROB1</v>
      </c>
      <c r="G164" s="19">
        <v>46388</v>
      </c>
      <c r="H164" s="19">
        <v>46388</v>
      </c>
      <c r="I164" s="41" t="s">
        <v>20</v>
      </c>
      <c r="J164" s="41">
        <v>1</v>
      </c>
      <c r="K164" s="41" t="s">
        <v>3557</v>
      </c>
      <c r="L164" s="41">
        <v>16</v>
      </c>
      <c r="M164" s="41"/>
      <c r="N164" s="41"/>
      <c r="O164" s="41" t="s">
        <v>856</v>
      </c>
      <c r="P164" s="41" t="s">
        <v>926</v>
      </c>
      <c r="Q164" s="49">
        <f t="shared" si="17"/>
        <v>437</v>
      </c>
      <c r="R164" s="43">
        <f t="shared" si="18"/>
        <v>389</v>
      </c>
      <c r="S164" s="60" t="s">
        <v>942</v>
      </c>
      <c r="T164" s="48" t="str">
        <f t="shared" si="21"/>
        <v>(S18,'PS-S18-ROB1','Poste de Sectionnement n°S18 ROB1','Friday-01-jj','Friday-01-jj',NULL,1,),</v>
      </c>
    </row>
    <row r="165" spans="1:20" ht="20.100000000000001" customHeight="1" x14ac:dyDescent="0.25">
      <c r="A165" s="38" t="s">
        <v>905</v>
      </c>
      <c r="B165" s="38">
        <v>163</v>
      </c>
      <c r="C165" s="38" t="s">
        <v>548</v>
      </c>
      <c r="D165" s="38">
        <v>3</v>
      </c>
      <c r="E165" s="39" t="str">
        <f t="shared" si="19"/>
        <v>PS-S19-ROB1</v>
      </c>
      <c r="F165" s="48" t="str">
        <f t="shared" si="20"/>
        <v>Poste de Sectionnement n°S19 ROB1</v>
      </c>
      <c r="G165" s="19">
        <v>46388</v>
      </c>
      <c r="H165" s="19">
        <v>46388</v>
      </c>
      <c r="I165" s="41" t="s">
        <v>20</v>
      </c>
      <c r="J165" s="41">
        <v>1</v>
      </c>
      <c r="K165" s="41" t="s">
        <v>3557</v>
      </c>
      <c r="L165" s="41">
        <v>16</v>
      </c>
      <c r="M165" s="41"/>
      <c r="N165" s="41"/>
      <c r="O165" s="41" t="s">
        <v>856</v>
      </c>
      <c r="P165" s="41" t="s">
        <v>927</v>
      </c>
      <c r="Q165" s="49">
        <f t="shared" si="17"/>
        <v>461</v>
      </c>
      <c r="R165" s="43">
        <f t="shared" si="18"/>
        <v>408</v>
      </c>
      <c r="S165" s="58" t="s">
        <v>942</v>
      </c>
      <c r="T165" s="48" t="str">
        <f t="shared" si="21"/>
        <v>(S19,'PS-S19-ROB1','Poste de Sectionnement n°S19 ROB1','Friday-01-jj','Friday-01-jj',NULL,1,),</v>
      </c>
    </row>
    <row r="166" spans="1:20" ht="20.100000000000001" customHeight="1" x14ac:dyDescent="0.25">
      <c r="A166" s="38" t="s">
        <v>906</v>
      </c>
      <c r="B166" s="38">
        <v>164</v>
      </c>
      <c r="C166" s="38" t="s">
        <v>548</v>
      </c>
      <c r="D166" s="38">
        <v>3</v>
      </c>
      <c r="E166" s="39" t="str">
        <f t="shared" si="19"/>
        <v>PS-S20-ROB1</v>
      </c>
      <c r="F166" s="48" t="str">
        <f t="shared" si="20"/>
        <v>Poste de Sectionnement n°S20 ROB1</v>
      </c>
      <c r="G166" s="19">
        <v>46388</v>
      </c>
      <c r="H166" s="19">
        <v>46388</v>
      </c>
      <c r="I166" s="41" t="s">
        <v>20</v>
      </c>
      <c r="J166" s="41">
        <v>1</v>
      </c>
      <c r="K166" s="41" t="s">
        <v>3557</v>
      </c>
      <c r="L166" s="41">
        <v>16</v>
      </c>
      <c r="M166" s="41"/>
      <c r="N166" s="41"/>
      <c r="O166" s="41" t="s">
        <v>856</v>
      </c>
      <c r="P166" s="41" t="s">
        <v>928</v>
      </c>
      <c r="Q166" s="49">
        <f t="shared" si="17"/>
        <v>417</v>
      </c>
      <c r="R166" s="43">
        <f t="shared" si="18"/>
        <v>430</v>
      </c>
      <c r="S166" s="41" t="s">
        <v>943</v>
      </c>
      <c r="T166" s="48" t="str">
        <f t="shared" si="21"/>
        <v>(S20,'PS-S20-ROB1','Poste de Sectionnement n°S20 ROB1','Friday-01-jj','Friday-01-jj',NULL,1,),</v>
      </c>
    </row>
    <row r="167" spans="1:20" ht="20.100000000000001" customHeight="1" x14ac:dyDescent="0.25">
      <c r="A167" s="38" t="s">
        <v>907</v>
      </c>
      <c r="B167" s="38">
        <v>165</v>
      </c>
      <c r="C167" s="38" t="s">
        <v>548</v>
      </c>
      <c r="D167" s="38">
        <v>3</v>
      </c>
      <c r="E167" s="39" t="str">
        <f t="shared" si="19"/>
        <v>PS-S21-ROB1</v>
      </c>
      <c r="F167" s="48" t="str">
        <f t="shared" si="20"/>
        <v>Poste de Sectionnement n°S21 ROB1</v>
      </c>
      <c r="G167" s="19">
        <v>46388</v>
      </c>
      <c r="H167" s="19">
        <v>46388</v>
      </c>
      <c r="I167" s="41" t="s">
        <v>20</v>
      </c>
      <c r="J167" s="41">
        <v>1</v>
      </c>
      <c r="K167" s="41" t="s">
        <v>3557</v>
      </c>
      <c r="L167" s="41">
        <v>16</v>
      </c>
      <c r="M167" s="41"/>
      <c r="N167" s="41"/>
      <c r="O167" s="41" t="s">
        <v>856</v>
      </c>
      <c r="P167" s="41" t="s">
        <v>929</v>
      </c>
      <c r="Q167" s="49">
        <f t="shared" si="17"/>
        <v>422</v>
      </c>
      <c r="R167" s="43">
        <f t="shared" si="18"/>
        <v>450</v>
      </c>
      <c r="S167" s="58" t="s">
        <v>944</v>
      </c>
      <c r="T167" s="48" t="str">
        <f t="shared" si="21"/>
        <v>(S21,'PS-S21-ROB1','Poste de Sectionnement n°S21 ROB1','Friday-01-jj','Friday-01-jj',NULL,1,),</v>
      </c>
    </row>
    <row r="168" spans="1:20" ht="20.100000000000001" customHeight="1" x14ac:dyDescent="0.25">
      <c r="A168" s="38" t="s">
        <v>908</v>
      </c>
      <c r="B168" s="38">
        <v>166</v>
      </c>
      <c r="C168" s="38" t="s">
        <v>548</v>
      </c>
      <c r="D168" s="38">
        <v>3</v>
      </c>
      <c r="E168" s="39" t="str">
        <f t="shared" si="19"/>
        <v>PS-S22-ROB1</v>
      </c>
      <c r="F168" s="48" t="str">
        <f t="shared" si="20"/>
        <v>Poste de Sectionnement n°S22 ROB1</v>
      </c>
      <c r="G168" s="19">
        <v>46388</v>
      </c>
      <c r="H168" s="19">
        <v>46388</v>
      </c>
      <c r="I168" s="41" t="s">
        <v>20</v>
      </c>
      <c r="J168" s="41">
        <v>1</v>
      </c>
      <c r="K168" s="41" t="s">
        <v>3557</v>
      </c>
      <c r="L168" s="41">
        <v>16</v>
      </c>
      <c r="M168" s="41"/>
      <c r="N168" s="41"/>
      <c r="O168" s="41" t="s">
        <v>856</v>
      </c>
      <c r="P168" s="41" t="s">
        <v>930</v>
      </c>
      <c r="Q168" s="49">
        <f t="shared" si="17"/>
        <v>420</v>
      </c>
      <c r="R168" s="43">
        <f t="shared" si="18"/>
        <v>477</v>
      </c>
      <c r="S168" s="58" t="s">
        <v>945</v>
      </c>
      <c r="T168" s="48" t="str">
        <f t="shared" si="21"/>
        <v>(S22,'PS-S22-ROB1','Poste de Sectionnement n°S22 ROB1','Friday-01-jj','Friday-01-jj',NULL,1,),</v>
      </c>
    </row>
    <row r="169" spans="1:20" ht="20.100000000000001" customHeight="1" x14ac:dyDescent="0.25">
      <c r="A169" s="38">
        <v>1</v>
      </c>
      <c r="B169" s="38">
        <v>167</v>
      </c>
      <c r="C169" s="38" t="s">
        <v>317</v>
      </c>
      <c r="D169" s="38">
        <v>4</v>
      </c>
      <c r="E169" s="39" t="s">
        <v>113</v>
      </c>
      <c r="F169" s="48" t="str">
        <f>CONCATENATE("Station de Pompage ",E169)</f>
        <v>Station de Pompage SP1-OT1</v>
      </c>
      <c r="G169" s="19">
        <v>21916</v>
      </c>
      <c r="H169" s="19">
        <v>21916</v>
      </c>
      <c r="I169" s="41" t="s">
        <v>20</v>
      </c>
      <c r="J169" s="41">
        <v>1</v>
      </c>
      <c r="K169" s="41" t="s">
        <v>3552</v>
      </c>
      <c r="L169" s="41">
        <v>7</v>
      </c>
      <c r="M169" s="41">
        <v>10</v>
      </c>
      <c r="N169" s="41"/>
      <c r="O169" s="41" t="s">
        <v>317</v>
      </c>
      <c r="P169" s="41" t="s">
        <v>1111</v>
      </c>
      <c r="Q169" s="49">
        <f t="shared" si="17"/>
        <v>545</v>
      </c>
      <c r="R169" s="43">
        <f t="shared" si="18"/>
        <v>0</v>
      </c>
      <c r="S169" s="41" t="s">
        <v>3299</v>
      </c>
      <c r="T169" s="48" t="str">
        <f t="shared" si="21"/>
        <v>(1,'SP1-OT1','Station de Pompage SP1-OT1','Friday-01-jj','Friday-01-jj',NULL,1,10),</v>
      </c>
    </row>
    <row r="170" spans="1:20" ht="20.100000000000001" customHeight="1" x14ac:dyDescent="0.25">
      <c r="A170" s="38">
        <v>1</v>
      </c>
      <c r="B170" s="38">
        <v>168</v>
      </c>
      <c r="C170" s="38" t="s">
        <v>317</v>
      </c>
      <c r="D170" s="38">
        <v>4</v>
      </c>
      <c r="E170" s="39" t="str">
        <f t="shared" ref="E170:E173" si="22">CONCATENATE("PS-",TEXT(A170,"00"),"-",O170)</f>
        <v>PS-01-OT1</v>
      </c>
      <c r="F170" s="48" t="str">
        <f t="shared" ref="F170:F173" si="23">CONCATENATE("Poste de Sectionnement n°",TEXT(A170,"00")," ",O170)</f>
        <v>Poste de Sectionnement n°01 OT1</v>
      </c>
      <c r="G170" s="19">
        <v>21916</v>
      </c>
      <c r="H170" s="19">
        <v>21916</v>
      </c>
      <c r="I170" s="41" t="s">
        <v>20</v>
      </c>
      <c r="J170" s="41">
        <v>1</v>
      </c>
      <c r="K170" s="41" t="s">
        <v>3557</v>
      </c>
      <c r="L170" s="41">
        <v>16</v>
      </c>
      <c r="M170" s="41"/>
      <c r="N170" s="41"/>
      <c r="O170" s="41" t="s">
        <v>317</v>
      </c>
      <c r="P170" s="41" t="s">
        <v>972</v>
      </c>
      <c r="Q170" s="49">
        <f t="shared" si="17"/>
        <v>544</v>
      </c>
      <c r="R170" s="43">
        <f t="shared" si="18"/>
        <v>54.1</v>
      </c>
      <c r="S170" s="41" t="s">
        <v>979</v>
      </c>
      <c r="T170" s="48" t="str">
        <f t="shared" si="21"/>
        <v>(1,'PS-01-OT1','Poste de Sectionnement n°01 OT1','Friday-01-jj','Friday-01-jj',NULL,1,),</v>
      </c>
    </row>
    <row r="171" spans="1:20" ht="20.100000000000001" customHeight="1" x14ac:dyDescent="0.25">
      <c r="A171" s="38">
        <v>2</v>
      </c>
      <c r="B171" s="38">
        <v>170</v>
      </c>
      <c r="C171" s="38" t="s">
        <v>317</v>
      </c>
      <c r="D171" s="38">
        <v>4</v>
      </c>
      <c r="E171" s="39" t="str">
        <f t="shared" si="22"/>
        <v>PS-02-OT1</v>
      </c>
      <c r="F171" s="48" t="str">
        <f t="shared" si="23"/>
        <v>Poste de Sectionnement n°02 OT1</v>
      </c>
      <c r="G171" s="19">
        <v>21916</v>
      </c>
      <c r="H171" s="19">
        <v>21916</v>
      </c>
      <c r="I171" s="41" t="s">
        <v>20</v>
      </c>
      <c r="J171" s="41">
        <v>1</v>
      </c>
      <c r="K171" s="41" t="s">
        <v>3557</v>
      </c>
      <c r="L171" s="41">
        <v>16</v>
      </c>
      <c r="M171" s="41"/>
      <c r="N171" s="41"/>
      <c r="O171" s="41" t="s">
        <v>317</v>
      </c>
      <c r="P171" s="41" t="s">
        <v>973</v>
      </c>
      <c r="Q171" s="49">
        <f t="shared" si="17"/>
        <v>662</v>
      </c>
      <c r="R171" s="43">
        <f t="shared" si="18"/>
        <v>83.9</v>
      </c>
      <c r="S171" s="41" t="s">
        <v>979</v>
      </c>
      <c r="T171" s="48" t="str">
        <f t="shared" si="21"/>
        <v>(2,'PS-02-OT1','Poste de Sectionnement n°02 OT1','Friday-01-jj','Friday-01-jj',NULL,1,),</v>
      </c>
    </row>
    <row r="172" spans="1:20" ht="20.100000000000001" customHeight="1" x14ac:dyDescent="0.25">
      <c r="A172" s="38">
        <v>3</v>
      </c>
      <c r="B172" s="38">
        <v>172</v>
      </c>
      <c r="C172" s="38" t="s">
        <v>317</v>
      </c>
      <c r="D172" s="38">
        <v>4</v>
      </c>
      <c r="E172" s="39" t="str">
        <f t="shared" si="22"/>
        <v>PS-03-OT1</v>
      </c>
      <c r="F172" s="48" t="str">
        <f t="shared" si="23"/>
        <v>Poste de Sectionnement n°03 OT1</v>
      </c>
      <c r="G172" s="19">
        <v>21916</v>
      </c>
      <c r="H172" s="19">
        <v>21916</v>
      </c>
      <c r="I172" s="41" t="s">
        <v>20</v>
      </c>
      <c r="J172" s="41">
        <v>1</v>
      </c>
      <c r="K172" s="41" t="s">
        <v>3557</v>
      </c>
      <c r="L172" s="41">
        <v>16</v>
      </c>
      <c r="M172" s="41"/>
      <c r="N172" s="41"/>
      <c r="O172" s="41" t="s">
        <v>317</v>
      </c>
      <c r="P172" s="41" t="s">
        <v>974</v>
      </c>
      <c r="Q172" s="49">
        <f t="shared" si="17"/>
        <v>600</v>
      </c>
      <c r="R172" s="43">
        <f t="shared" si="18"/>
        <v>123.1</v>
      </c>
      <c r="S172" s="41" t="s">
        <v>979</v>
      </c>
      <c r="T172" s="48" t="str">
        <f t="shared" si="21"/>
        <v>(3,'PS-03-OT1','Poste de Sectionnement n°03 OT1','Friday-01-jj','Friday-01-jj',NULL,1,),</v>
      </c>
    </row>
    <row r="173" spans="1:20" ht="20.100000000000001" customHeight="1" x14ac:dyDescent="0.25">
      <c r="A173" s="38">
        <v>4</v>
      </c>
      <c r="B173" s="38">
        <v>174</v>
      </c>
      <c r="C173" s="38" t="s">
        <v>317</v>
      </c>
      <c r="D173" s="38">
        <v>4</v>
      </c>
      <c r="E173" s="39" t="str">
        <f t="shared" si="22"/>
        <v>PS-04-OT1</v>
      </c>
      <c r="F173" s="48" t="str">
        <f t="shared" si="23"/>
        <v>Poste de Sectionnement n°04 OT1</v>
      </c>
      <c r="G173" s="19">
        <v>21916</v>
      </c>
      <c r="H173" s="19">
        <v>21916</v>
      </c>
      <c r="I173" s="41" t="s">
        <v>20</v>
      </c>
      <c r="J173" s="41">
        <v>1</v>
      </c>
      <c r="K173" s="41" t="s">
        <v>3557</v>
      </c>
      <c r="L173" s="41">
        <v>16</v>
      </c>
      <c r="M173" s="41"/>
      <c r="N173" s="41"/>
      <c r="O173" s="41" t="s">
        <v>317</v>
      </c>
      <c r="P173" s="41" t="s">
        <v>975</v>
      </c>
      <c r="Q173" s="49">
        <f t="shared" si="17"/>
        <v>525</v>
      </c>
      <c r="R173" s="43">
        <f t="shared" si="18"/>
        <v>151</v>
      </c>
      <c r="S173" s="41" t="s">
        <v>980</v>
      </c>
      <c r="T173" s="48" t="str">
        <f t="shared" si="21"/>
        <v>(4,'PS-04-OT1','Poste de Sectionnement n°04 OT1','Friday-01-jj','Friday-01-jj',NULL,1,),</v>
      </c>
    </row>
    <row r="174" spans="1:20" ht="20.100000000000001" customHeight="1" x14ac:dyDescent="0.25">
      <c r="A174" s="38">
        <v>2</v>
      </c>
      <c r="B174" s="38">
        <v>176</v>
      </c>
      <c r="C174" s="38" t="s">
        <v>317</v>
      </c>
      <c r="D174" s="38">
        <v>4</v>
      </c>
      <c r="E174" s="39" t="s">
        <v>115</v>
      </c>
      <c r="F174" s="48" t="str">
        <f>CONCATENATE("Station de Pompage ",E174)</f>
        <v>Station de Pompage SP2-OT1</v>
      </c>
      <c r="G174" s="19">
        <v>21916</v>
      </c>
      <c r="H174" s="19">
        <v>21916</v>
      </c>
      <c r="I174" s="41" t="s">
        <v>20</v>
      </c>
      <c r="J174" s="41">
        <v>1</v>
      </c>
      <c r="K174" s="41" t="s">
        <v>3552</v>
      </c>
      <c r="L174" s="41">
        <v>7</v>
      </c>
      <c r="M174" s="41">
        <v>10</v>
      </c>
      <c r="N174" s="41"/>
      <c r="O174" s="41" t="s">
        <v>317</v>
      </c>
      <c r="P174" s="41" t="s">
        <v>3613</v>
      </c>
      <c r="Q174" s="49">
        <f t="shared" si="17"/>
        <v>473</v>
      </c>
      <c r="R174" s="43">
        <f t="shared" si="18"/>
        <v>183.3</v>
      </c>
      <c r="S174" s="41" t="s">
        <v>3614</v>
      </c>
      <c r="T174" s="48" t="str">
        <f t="shared" si="21"/>
        <v>(2,'SP2-OT1','Station de Pompage SP2-OT1','Friday-01-jj','Friday-01-jj',NULL,1,10),</v>
      </c>
    </row>
    <row r="175" spans="1:20" ht="20.100000000000001" customHeight="1" x14ac:dyDescent="0.25">
      <c r="A175" s="38">
        <v>5</v>
      </c>
      <c r="B175" s="38">
        <v>177</v>
      </c>
      <c r="C175" s="38" t="s">
        <v>317</v>
      </c>
      <c r="D175" s="38">
        <v>4</v>
      </c>
      <c r="E175" s="39" t="str">
        <f t="shared" ref="E175:E179" si="24">CONCATENATE("PS-",TEXT(A175,"00"),"-",O175)</f>
        <v>PS-05-OT1</v>
      </c>
      <c r="F175" s="48" t="str">
        <f t="shared" ref="F175:F179" si="25">CONCATENATE("Poste de Sectionnement n°",TEXT(A175,"00")," ",O175)</f>
        <v>Poste de Sectionnement n°05 OT1</v>
      </c>
      <c r="G175" s="19">
        <v>21916</v>
      </c>
      <c r="H175" s="19">
        <v>21916</v>
      </c>
      <c r="I175" s="41" t="s">
        <v>20</v>
      </c>
      <c r="J175" s="41">
        <v>1</v>
      </c>
      <c r="K175" s="41" t="s">
        <v>3557</v>
      </c>
      <c r="L175" s="41">
        <v>16</v>
      </c>
      <c r="M175" s="41"/>
      <c r="N175" s="41"/>
      <c r="O175" s="41" t="s">
        <v>317</v>
      </c>
      <c r="P175" s="41" t="s">
        <v>976</v>
      </c>
      <c r="Q175" s="49">
        <f t="shared" si="17"/>
        <v>400</v>
      </c>
      <c r="R175" s="43">
        <f t="shared" si="18"/>
        <v>210.1</v>
      </c>
      <c r="S175" s="41" t="s">
        <v>980</v>
      </c>
      <c r="T175" s="48" t="str">
        <f t="shared" si="21"/>
        <v>(5,'PS-05-OT1','Poste de Sectionnement n°05 OT1','Friday-01-jj','Friday-01-jj',NULL,1,),</v>
      </c>
    </row>
    <row r="176" spans="1:20" ht="20.100000000000001" customHeight="1" x14ac:dyDescent="0.25">
      <c r="A176" s="38">
        <v>6</v>
      </c>
      <c r="B176" s="38">
        <v>179</v>
      </c>
      <c r="C176" s="38" t="s">
        <v>317</v>
      </c>
      <c r="D176" s="38">
        <v>4</v>
      </c>
      <c r="E176" s="39" t="str">
        <f t="shared" si="24"/>
        <v>PS-06-OT1</v>
      </c>
      <c r="F176" s="48" t="str">
        <f t="shared" si="25"/>
        <v>Poste de Sectionnement n°06 OT1</v>
      </c>
      <c r="G176" s="19">
        <v>21916</v>
      </c>
      <c r="H176" s="19">
        <v>21916</v>
      </c>
      <c r="I176" s="41" t="s">
        <v>20</v>
      </c>
      <c r="J176" s="41">
        <v>1</v>
      </c>
      <c r="K176" s="41" t="s">
        <v>3557</v>
      </c>
      <c r="L176" s="41">
        <v>16</v>
      </c>
      <c r="M176" s="41"/>
      <c r="N176" s="41"/>
      <c r="O176" s="41" t="s">
        <v>317</v>
      </c>
      <c r="P176" s="41" t="s">
        <v>977</v>
      </c>
      <c r="Q176" s="49">
        <f t="shared" si="17"/>
        <v>315</v>
      </c>
      <c r="R176" s="43">
        <f t="shared" si="18"/>
        <v>240.7</v>
      </c>
      <c r="S176" s="41" t="s">
        <v>980</v>
      </c>
      <c r="T176" s="48" t="str">
        <f t="shared" si="21"/>
        <v>(6,'PS-06-OT1','Poste de Sectionnement n°06 OT1','Friday-01-jj','Friday-01-jj',NULL,1,),</v>
      </c>
    </row>
    <row r="177" spans="1:20" ht="20.100000000000001" customHeight="1" x14ac:dyDescent="0.25">
      <c r="A177" s="38">
        <v>7</v>
      </c>
      <c r="B177" s="38">
        <v>181</v>
      </c>
      <c r="C177" s="38" t="s">
        <v>317</v>
      </c>
      <c r="D177" s="38">
        <v>4</v>
      </c>
      <c r="E177" s="39" t="str">
        <f t="shared" si="24"/>
        <v>PS-07-OT1</v>
      </c>
      <c r="F177" s="48" t="str">
        <f t="shared" si="25"/>
        <v>Poste de Sectionnement n°07 OT1</v>
      </c>
      <c r="G177" s="19">
        <v>21916</v>
      </c>
      <c r="H177" s="19">
        <v>21916</v>
      </c>
      <c r="I177" s="41" t="s">
        <v>20</v>
      </c>
      <c r="J177" s="41">
        <v>1</v>
      </c>
      <c r="K177" s="41" t="s">
        <v>3557</v>
      </c>
      <c r="L177" s="41">
        <v>16</v>
      </c>
      <c r="M177" s="41"/>
      <c r="N177" s="41"/>
      <c r="O177" s="41" t="s">
        <v>317</v>
      </c>
      <c r="P177" s="41" t="s">
        <v>978</v>
      </c>
      <c r="Q177" s="49">
        <f t="shared" si="17"/>
        <v>280</v>
      </c>
      <c r="R177" s="43">
        <f t="shared" si="18"/>
        <v>263.89999999999998</v>
      </c>
      <c r="S177" s="41" t="s">
        <v>980</v>
      </c>
      <c r="T177" s="48" t="str">
        <f t="shared" si="21"/>
        <v>(7,'PS-07-OT1','Poste de Sectionnement n°07 OT1','Friday-01-jj','Friday-01-jj',NULL,1,),</v>
      </c>
    </row>
    <row r="178" spans="1:20" ht="20.100000000000001" customHeight="1" x14ac:dyDescent="0.25">
      <c r="A178" s="38">
        <v>1</v>
      </c>
      <c r="B178" s="38">
        <v>183</v>
      </c>
      <c r="C178" s="38" t="s">
        <v>319</v>
      </c>
      <c r="D178" s="38">
        <v>5</v>
      </c>
      <c r="E178" s="39" t="str">
        <f t="shared" si="24"/>
        <v>PS-01-OH1</v>
      </c>
      <c r="F178" s="48" t="str">
        <f t="shared" si="25"/>
        <v>Poste de Sectionnement n°01 OH1</v>
      </c>
      <c r="G178" s="19">
        <v>29952</v>
      </c>
      <c r="H178" s="19">
        <v>29952</v>
      </c>
      <c r="I178" s="41" t="s">
        <v>20</v>
      </c>
      <c r="J178" s="41">
        <v>1</v>
      </c>
      <c r="K178" s="41" t="s">
        <v>3557</v>
      </c>
      <c r="L178" s="41">
        <v>16</v>
      </c>
      <c r="M178" s="41"/>
      <c r="N178" s="41"/>
      <c r="O178" s="41" t="s">
        <v>319</v>
      </c>
      <c r="P178" s="41" t="s">
        <v>972</v>
      </c>
      <c r="Q178" s="43">
        <f t="shared" si="17"/>
        <v>544</v>
      </c>
      <c r="R178" s="43">
        <f t="shared" si="18"/>
        <v>54.1</v>
      </c>
      <c r="S178" s="41" t="s">
        <v>3299</v>
      </c>
      <c r="T178" s="48" t="str">
        <f t="shared" si="21"/>
        <v>(1,'PS-01-OH1','Poste de Sectionnement n°01 OH1','Friday-01-jj','Friday-01-jj',NULL,1,),</v>
      </c>
    </row>
    <row r="179" spans="1:20" ht="20.100000000000001" customHeight="1" x14ac:dyDescent="0.25">
      <c r="A179" s="38" t="s">
        <v>3629</v>
      </c>
      <c r="B179" s="38">
        <v>184</v>
      </c>
      <c r="C179" s="38" t="s">
        <v>319</v>
      </c>
      <c r="D179" s="38">
        <v>5</v>
      </c>
      <c r="E179" s="39" t="str">
        <f t="shared" si="24"/>
        <v>PS-01Bis-OH1</v>
      </c>
      <c r="F179" s="48" t="str">
        <f t="shared" si="25"/>
        <v>Poste de Sectionnement n°01Bis OH1</v>
      </c>
      <c r="G179" s="19">
        <v>29952</v>
      </c>
      <c r="H179" s="19">
        <v>29952</v>
      </c>
      <c r="I179" s="41" t="s">
        <v>20</v>
      </c>
      <c r="J179" s="41">
        <v>1</v>
      </c>
      <c r="K179" s="41" t="s">
        <v>3557</v>
      </c>
      <c r="L179" s="41">
        <v>16</v>
      </c>
      <c r="M179" s="41"/>
      <c r="N179" s="41"/>
      <c r="O179" s="41" t="s">
        <v>319</v>
      </c>
      <c r="P179" s="41" t="s">
        <v>1109</v>
      </c>
      <c r="Q179" s="43">
        <f t="shared" si="17"/>
        <v>700</v>
      </c>
      <c r="R179" s="43">
        <f t="shared" si="18"/>
        <v>66</v>
      </c>
      <c r="S179" s="41" t="s">
        <v>3299</v>
      </c>
      <c r="T179" s="48" t="str">
        <f t="shared" si="21"/>
        <v>(01Bis,'PS-01Bis-OH1','Poste de Sectionnement n°01Bis OH1','Friday-01-jj','Friday-01-jj',NULL,1,),</v>
      </c>
    </row>
    <row r="180" spans="1:20" ht="20.100000000000001" customHeight="1" x14ac:dyDescent="0.25">
      <c r="A180" s="38">
        <v>1</v>
      </c>
      <c r="B180" s="38">
        <v>185</v>
      </c>
      <c r="C180" s="38" t="s">
        <v>319</v>
      </c>
      <c r="D180" s="38">
        <v>5</v>
      </c>
      <c r="E180" s="39" t="s">
        <v>3510</v>
      </c>
      <c r="F180" s="48" t="str">
        <f>CONCATENATE("Station de Pompage ",E180)</f>
        <v>Station de Pompage OPS1-OH1</v>
      </c>
      <c r="G180" s="19">
        <v>27395</v>
      </c>
      <c r="H180" s="19">
        <v>27395</v>
      </c>
      <c r="I180" s="41" t="s">
        <v>20</v>
      </c>
      <c r="J180" s="41">
        <v>1</v>
      </c>
      <c r="K180" s="41" t="s">
        <v>3552</v>
      </c>
      <c r="L180" s="41">
        <v>7</v>
      </c>
      <c r="M180" s="41">
        <v>10</v>
      </c>
      <c r="N180" s="41"/>
      <c r="O180" s="41" t="s">
        <v>319</v>
      </c>
      <c r="P180" s="41" t="s">
        <v>1125</v>
      </c>
      <c r="Q180" s="49">
        <f t="shared" si="17"/>
        <v>567</v>
      </c>
      <c r="R180" s="43">
        <f t="shared" si="18"/>
        <v>112.5</v>
      </c>
      <c r="S180" s="41" t="s">
        <v>1721</v>
      </c>
      <c r="T180" s="48" t="str">
        <f t="shared" si="21"/>
        <v>(1,'OPS1-OH1','Station de Pompage OPS1-OH1','Wednesday-01-jj','Wednesday-01-jj',NULL,1,10),</v>
      </c>
    </row>
    <row r="181" spans="1:20" ht="20.100000000000001" customHeight="1" x14ac:dyDescent="0.25">
      <c r="A181" s="38">
        <v>1</v>
      </c>
      <c r="B181" s="38">
        <v>186</v>
      </c>
      <c r="C181" s="38" t="s">
        <v>319</v>
      </c>
      <c r="D181" s="38">
        <v>5</v>
      </c>
      <c r="E181" s="39" t="str">
        <f>CONCATENATE("PC-",TEXT(A181,"00"),"-",O181)</f>
        <v>PC-01-OH1</v>
      </c>
      <c r="F181" s="48" t="str">
        <f>CONCATENATE("Poste de Coupure n°",TEXT(A181,"00")," ",O181)</f>
        <v>Poste de Coupure n°01 OH1</v>
      </c>
      <c r="G181" s="19">
        <v>29952</v>
      </c>
      <c r="H181" s="19">
        <v>29952</v>
      </c>
      <c r="I181" s="41" t="s">
        <v>20</v>
      </c>
      <c r="J181" s="41">
        <v>1</v>
      </c>
      <c r="K181" s="41" t="s">
        <v>3556</v>
      </c>
      <c r="L181" s="41">
        <v>15</v>
      </c>
      <c r="M181" s="41"/>
      <c r="N181" s="41"/>
      <c r="O181" s="41" t="s">
        <v>319</v>
      </c>
      <c r="P181" s="41" t="s">
        <v>1125</v>
      </c>
      <c r="Q181" s="49">
        <f t="shared" si="17"/>
        <v>567</v>
      </c>
      <c r="R181" s="43">
        <f t="shared" si="18"/>
        <v>112.5</v>
      </c>
      <c r="S181" s="41" t="s">
        <v>1721</v>
      </c>
      <c r="T181" s="48" t="str">
        <f t="shared" si="21"/>
        <v>(1,'PC-01-OH1','Poste de Coupure n°01 OH1','Friday-01-jj','Friday-01-jj',NULL,1,),</v>
      </c>
    </row>
    <row r="182" spans="1:20" ht="20.100000000000001" customHeight="1" x14ac:dyDescent="0.25">
      <c r="A182" s="38">
        <v>2</v>
      </c>
      <c r="B182" s="38">
        <v>187</v>
      </c>
      <c r="C182" s="38" t="s">
        <v>319</v>
      </c>
      <c r="D182" s="38">
        <v>5</v>
      </c>
      <c r="E182" s="39" t="str">
        <f>CONCATENATE("PS-",TEXT(A182,"00"),"-",O182)</f>
        <v>PS-02-OH1</v>
      </c>
      <c r="F182" s="48" t="str">
        <f>CONCATENATE("Poste de Sectionnement n°",TEXT(A182,"00")," ",O182)</f>
        <v>Poste de Sectionnement n°02 OH1</v>
      </c>
      <c r="G182" s="19">
        <v>29952</v>
      </c>
      <c r="H182" s="19">
        <v>29952</v>
      </c>
      <c r="I182" s="41" t="s">
        <v>20</v>
      </c>
      <c r="J182" s="41">
        <v>1</v>
      </c>
      <c r="K182" s="41" t="s">
        <v>3557</v>
      </c>
      <c r="L182" s="41">
        <v>16</v>
      </c>
      <c r="M182" s="41"/>
      <c r="N182" s="41"/>
      <c r="O182" s="41" t="s">
        <v>319</v>
      </c>
      <c r="P182" s="41" t="s">
        <v>3292</v>
      </c>
      <c r="Q182" s="43">
        <f t="shared" si="17"/>
        <v>515</v>
      </c>
      <c r="R182" s="43">
        <f t="shared" si="18"/>
        <v>152.5</v>
      </c>
      <c r="S182" s="41" t="s">
        <v>1721</v>
      </c>
      <c r="T182" s="48" t="str">
        <f t="shared" si="21"/>
        <v>(2,'PS-02-OH1','Poste de Sectionnement n°02 OH1','Friday-01-jj','Friday-01-jj',NULL,1,),</v>
      </c>
    </row>
    <row r="183" spans="1:20" ht="20.100000000000001" customHeight="1" x14ac:dyDescent="0.25">
      <c r="A183" s="38">
        <v>3</v>
      </c>
      <c r="B183" s="38">
        <v>188</v>
      </c>
      <c r="C183" s="38" t="s">
        <v>319</v>
      </c>
      <c r="D183" s="38">
        <v>5</v>
      </c>
      <c r="E183" s="39" t="str">
        <f>CONCATENATE("PS-",TEXT(A183,"00"),"-",O183)</f>
        <v>PS-03-OH1</v>
      </c>
      <c r="F183" s="48" t="str">
        <f>CONCATENATE("Poste de Sectionnement n°",TEXT(A183,"00")," ",O183)</f>
        <v>Poste de Sectionnement n°03 OH1</v>
      </c>
      <c r="G183" s="19">
        <v>29952</v>
      </c>
      <c r="H183" s="19">
        <v>29952</v>
      </c>
      <c r="I183" s="41" t="s">
        <v>20</v>
      </c>
      <c r="J183" s="41">
        <v>1</v>
      </c>
      <c r="K183" s="41" t="s">
        <v>3557</v>
      </c>
      <c r="L183" s="41">
        <v>16</v>
      </c>
      <c r="M183" s="41"/>
      <c r="N183" s="41"/>
      <c r="O183" s="41" t="s">
        <v>319</v>
      </c>
      <c r="P183" s="41" t="s">
        <v>3293</v>
      </c>
      <c r="Q183" s="43">
        <f t="shared" si="17"/>
        <v>438</v>
      </c>
      <c r="R183" s="43">
        <f t="shared" si="18"/>
        <v>190.4</v>
      </c>
      <c r="S183" s="41" t="s">
        <v>1722</v>
      </c>
      <c r="T183" s="48" t="str">
        <f t="shared" si="21"/>
        <v>(3,'PS-03-OH1','Poste de Sectionnement n°03 OH1','Friday-01-jj','Friday-01-jj',NULL,1,),</v>
      </c>
    </row>
    <row r="184" spans="1:20" ht="20.100000000000001" customHeight="1" x14ac:dyDescent="0.25">
      <c r="A184" s="38">
        <v>4</v>
      </c>
      <c r="B184" s="38">
        <v>189</v>
      </c>
      <c r="C184" s="38" t="s">
        <v>319</v>
      </c>
      <c r="D184" s="38">
        <v>5</v>
      </c>
      <c r="E184" s="39" t="str">
        <f>CONCATENATE("PS-",TEXT(A184,"00"),"-",O184)</f>
        <v>PS-04-OH1</v>
      </c>
      <c r="F184" s="48" t="str">
        <f>CONCATENATE("Poste de Sectionnement n°",TEXT(A184,"00")," ",O184)</f>
        <v>Poste de Sectionnement n°04 OH1</v>
      </c>
      <c r="G184" s="19">
        <v>29952</v>
      </c>
      <c r="H184" s="19">
        <v>29952</v>
      </c>
      <c r="I184" s="41" t="s">
        <v>20</v>
      </c>
      <c r="J184" s="41">
        <v>1</v>
      </c>
      <c r="K184" s="41" t="s">
        <v>3557</v>
      </c>
      <c r="L184" s="41">
        <v>16</v>
      </c>
      <c r="M184" s="41"/>
      <c r="N184" s="41"/>
      <c r="O184" s="41" t="s">
        <v>319</v>
      </c>
      <c r="P184" s="41" t="s">
        <v>3294</v>
      </c>
      <c r="Q184" s="43">
        <f t="shared" si="17"/>
        <v>373</v>
      </c>
      <c r="R184" s="43">
        <f t="shared" si="18"/>
        <v>230.4</v>
      </c>
      <c r="S184" s="41" t="s">
        <v>1722</v>
      </c>
      <c r="T184" s="48" t="str">
        <f t="shared" si="21"/>
        <v>(4,'PS-04-OH1','Poste de Sectionnement n°04 OH1','Friday-01-jj','Friday-01-jj',NULL,1,),</v>
      </c>
    </row>
    <row r="185" spans="1:20" ht="20.100000000000001" customHeight="1" x14ac:dyDescent="0.25">
      <c r="A185" s="38">
        <v>2</v>
      </c>
      <c r="B185" s="38">
        <v>190</v>
      </c>
      <c r="C185" s="38" t="s">
        <v>319</v>
      </c>
      <c r="D185" s="38">
        <v>5</v>
      </c>
      <c r="E185" s="39" t="s">
        <v>3511</v>
      </c>
      <c r="F185" s="48" t="str">
        <f>CONCATENATE("Station de Pompage ",E185)</f>
        <v>Station de Pompage OPS2-OH1</v>
      </c>
      <c r="G185" s="19">
        <v>27395</v>
      </c>
      <c r="H185" s="19">
        <v>27395</v>
      </c>
      <c r="I185" s="41" t="s">
        <v>20</v>
      </c>
      <c r="J185" s="41">
        <v>1</v>
      </c>
      <c r="K185" s="41" t="s">
        <v>3552</v>
      </c>
      <c r="L185" s="41">
        <v>7</v>
      </c>
      <c r="M185" s="41">
        <v>10</v>
      </c>
      <c r="N185" s="41"/>
      <c r="O185" s="41" t="s">
        <v>319</v>
      </c>
      <c r="P185" s="41" t="s">
        <v>1126</v>
      </c>
      <c r="Q185" s="49">
        <f t="shared" si="17"/>
        <v>302</v>
      </c>
      <c r="R185" s="43">
        <f t="shared" si="18"/>
        <v>270.5</v>
      </c>
      <c r="S185" s="41" t="s">
        <v>3301</v>
      </c>
      <c r="T185" s="48" t="str">
        <f t="shared" si="21"/>
        <v>(2,'OPS2-OH1','Station de Pompage OPS2-OH1','Wednesday-01-jj','Wednesday-01-jj',NULL,1,10),</v>
      </c>
    </row>
    <row r="186" spans="1:20" ht="20.100000000000001" customHeight="1" x14ac:dyDescent="0.25">
      <c r="A186" s="38">
        <v>2</v>
      </c>
      <c r="B186" s="38">
        <v>191</v>
      </c>
      <c r="C186" s="38" t="s">
        <v>319</v>
      </c>
      <c r="D186" s="38">
        <v>5</v>
      </c>
      <c r="E186" s="39" t="str">
        <f>CONCATENATE("PC-",TEXT(A186,"00"),"-",O186)</f>
        <v>PC-02-OH1</v>
      </c>
      <c r="F186" s="48" t="str">
        <f>CONCATENATE("Poste de Coupure n°",TEXT(A186,"00")," ",O186)</f>
        <v>Poste de Coupure n°02 OH1</v>
      </c>
      <c r="G186" s="19">
        <v>29952</v>
      </c>
      <c r="H186" s="19">
        <v>29952</v>
      </c>
      <c r="I186" s="41" t="s">
        <v>20</v>
      </c>
      <c r="J186" s="41">
        <v>1</v>
      </c>
      <c r="K186" s="41" t="s">
        <v>3556</v>
      </c>
      <c r="L186" s="41">
        <v>15</v>
      </c>
      <c r="M186" s="41"/>
      <c r="N186" s="41"/>
      <c r="O186" s="41" t="s">
        <v>319</v>
      </c>
      <c r="P186" s="41" t="s">
        <v>1126</v>
      </c>
      <c r="Q186" s="49">
        <f t="shared" si="17"/>
        <v>302</v>
      </c>
      <c r="R186" s="43">
        <f t="shared" si="18"/>
        <v>270.5</v>
      </c>
      <c r="S186" s="41" t="s">
        <v>3301</v>
      </c>
      <c r="T186" s="48" t="str">
        <f t="shared" si="21"/>
        <v>(2,'PC-02-OH1','Poste de Coupure n°02 OH1','Friday-01-jj','Friday-01-jj',NULL,1,),</v>
      </c>
    </row>
    <row r="187" spans="1:20" ht="20.100000000000001" customHeight="1" x14ac:dyDescent="0.25">
      <c r="A187" s="38">
        <v>5</v>
      </c>
      <c r="B187" s="38">
        <v>192</v>
      </c>
      <c r="C187" s="38" t="s">
        <v>319</v>
      </c>
      <c r="D187" s="38">
        <v>5</v>
      </c>
      <c r="E187" s="39" t="str">
        <f>CONCATENATE("PS-",TEXT(A187,"00"),"-",O187)</f>
        <v>PS-05-OH1</v>
      </c>
      <c r="F187" s="48" t="str">
        <f>CONCATENATE("Poste de Sectionnement n°",TEXT(A187,"00")," ",O187)</f>
        <v>Poste de Sectionnement n°05 OH1</v>
      </c>
      <c r="G187" s="19">
        <v>29952</v>
      </c>
      <c r="H187" s="19">
        <v>29952</v>
      </c>
      <c r="I187" s="41" t="s">
        <v>20</v>
      </c>
      <c r="J187" s="41">
        <v>1</v>
      </c>
      <c r="K187" s="41" t="s">
        <v>3557</v>
      </c>
      <c r="L187" s="41">
        <v>16</v>
      </c>
      <c r="M187" s="41"/>
      <c r="N187" s="41"/>
      <c r="O187" s="41" t="s">
        <v>319</v>
      </c>
      <c r="P187" s="41" t="s">
        <v>3295</v>
      </c>
      <c r="Q187" s="43">
        <f t="shared" si="17"/>
        <v>263</v>
      </c>
      <c r="R187" s="43">
        <f t="shared" si="18"/>
        <v>314.10000000000002</v>
      </c>
      <c r="S187" s="41" t="s">
        <v>1722</v>
      </c>
      <c r="T187" s="48" t="str">
        <f t="shared" si="21"/>
        <v>(5,'PS-05-OH1','Poste de Sectionnement n°05 OH1','Friday-01-jj','Friday-01-jj',NULL,1,),</v>
      </c>
    </row>
    <row r="188" spans="1:20" ht="20.100000000000001" customHeight="1" x14ac:dyDescent="0.25">
      <c r="A188" s="38">
        <v>3</v>
      </c>
      <c r="B188" s="38">
        <v>193</v>
      </c>
      <c r="C188" s="38" t="s">
        <v>319</v>
      </c>
      <c r="D188" s="38">
        <v>5</v>
      </c>
      <c r="E188" s="39" t="str">
        <f>CONCATENATE("PC-",TEXT(A188,"00"),"-",O188)</f>
        <v>PC-03-OH1</v>
      </c>
      <c r="F188" s="48" t="str">
        <f>CONCATENATE("Poste de Coupure n°",TEXT(A188,"00")," ",O188)</f>
        <v>Poste de Coupure n°03 OH1</v>
      </c>
      <c r="G188" s="19">
        <v>29952</v>
      </c>
      <c r="H188" s="19">
        <v>29952</v>
      </c>
      <c r="I188" s="41" t="s">
        <v>20</v>
      </c>
      <c r="J188" s="41">
        <v>1</v>
      </c>
      <c r="K188" s="41" t="s">
        <v>3556</v>
      </c>
      <c r="L188" s="41">
        <v>15</v>
      </c>
      <c r="M188" s="41"/>
      <c r="N188" s="41"/>
      <c r="O188" s="41" t="s">
        <v>319</v>
      </c>
      <c r="P188" s="41" t="s">
        <v>3300</v>
      </c>
      <c r="Q188" s="49">
        <f t="shared" ref="Q188:Q234" si="26">VALUE(RIGHT(P188,LEN(P188)-SEARCH("/",P188)))</f>
        <v>258</v>
      </c>
      <c r="R188" s="43">
        <f t="shared" ref="R188:R234" si="27">VALUE(SUBSTITUTE(LEFT(P188,SEARCH("/",P188)-1),"+",","))</f>
        <v>359.5</v>
      </c>
      <c r="S188" s="41" t="s">
        <v>3302</v>
      </c>
      <c r="T188" s="48" t="str">
        <f t="shared" si="21"/>
        <v>(3,'PC-03-OH1','Poste de Coupure n°03 OH1','Friday-01-jj','Friday-01-jj',NULL,1,),</v>
      </c>
    </row>
    <row r="189" spans="1:20" ht="20.100000000000001" customHeight="1" x14ac:dyDescent="0.25">
      <c r="A189" s="38">
        <v>6</v>
      </c>
      <c r="B189" s="38">
        <v>194</v>
      </c>
      <c r="C189" s="38" t="s">
        <v>319</v>
      </c>
      <c r="D189" s="38">
        <v>5</v>
      </c>
      <c r="E189" s="39" t="str">
        <f>CONCATENATE("PS-",TEXT(A189,"00"),"-",O189)</f>
        <v>PS-06-OH1</v>
      </c>
      <c r="F189" s="48" t="str">
        <f>CONCATENATE("Poste de Sectionnement n°",TEXT(A189,"00")," ",O189)</f>
        <v>Poste de Sectionnement n°06 OH1</v>
      </c>
      <c r="G189" s="19">
        <v>29952</v>
      </c>
      <c r="H189" s="19">
        <v>29952</v>
      </c>
      <c r="I189" s="41" t="s">
        <v>20</v>
      </c>
      <c r="J189" s="41">
        <v>1</v>
      </c>
      <c r="K189" s="41" t="s">
        <v>3557</v>
      </c>
      <c r="L189" s="41">
        <v>16</v>
      </c>
      <c r="M189" s="41"/>
      <c r="N189" s="41"/>
      <c r="O189" s="41" t="s">
        <v>319</v>
      </c>
      <c r="P189" s="41" t="s">
        <v>3296</v>
      </c>
      <c r="Q189" s="43">
        <f t="shared" si="26"/>
        <v>226</v>
      </c>
      <c r="R189" s="43">
        <f t="shared" si="27"/>
        <v>406.5</v>
      </c>
      <c r="S189" s="41" t="s">
        <v>998</v>
      </c>
      <c r="T189" s="48" t="str">
        <f t="shared" si="21"/>
        <v>(6,'PS-06-OH1','Poste de Sectionnement n°06 OH1','Friday-01-jj','Friday-01-jj',NULL,1,),</v>
      </c>
    </row>
    <row r="190" spans="1:20" ht="20.100000000000001" customHeight="1" x14ac:dyDescent="0.25">
      <c r="A190" s="38">
        <v>3</v>
      </c>
      <c r="B190" s="38">
        <v>195</v>
      </c>
      <c r="C190" s="38" t="s">
        <v>319</v>
      </c>
      <c r="D190" s="38">
        <v>5</v>
      </c>
      <c r="E190" s="39" t="s">
        <v>3512</v>
      </c>
      <c r="F190" s="48" t="str">
        <f>CONCATENATE("Station de Pompage ",E190)</f>
        <v>Station de Pompage OPS4-OH1</v>
      </c>
      <c r="G190" s="19">
        <v>27395</v>
      </c>
      <c r="H190" s="19">
        <v>27395</v>
      </c>
      <c r="I190" s="41" t="s">
        <v>20</v>
      </c>
      <c r="J190" s="41">
        <v>1</v>
      </c>
      <c r="K190" s="41" t="s">
        <v>3552</v>
      </c>
      <c r="L190" s="41">
        <v>7</v>
      </c>
      <c r="M190" s="41">
        <v>10</v>
      </c>
      <c r="N190" s="41"/>
      <c r="O190" s="41" t="s">
        <v>319</v>
      </c>
      <c r="P190" s="41" t="s">
        <v>1128</v>
      </c>
      <c r="Q190" s="49">
        <f t="shared" si="26"/>
        <v>208</v>
      </c>
      <c r="R190" s="43">
        <f t="shared" si="27"/>
        <v>452</v>
      </c>
      <c r="S190" s="41" t="s">
        <v>3303</v>
      </c>
      <c r="T190" s="48" t="str">
        <f t="shared" si="21"/>
        <v>(3,'OPS4-OH1','Station de Pompage OPS4-OH1','Wednesday-01-jj','Wednesday-01-jj',NULL,1,10),</v>
      </c>
    </row>
    <row r="191" spans="1:20" ht="20.100000000000001" customHeight="1" x14ac:dyDescent="0.25">
      <c r="A191" s="38">
        <v>4</v>
      </c>
      <c r="B191" s="38">
        <v>196</v>
      </c>
      <c r="C191" s="38" t="s">
        <v>319</v>
      </c>
      <c r="D191" s="38">
        <v>5</v>
      </c>
      <c r="E191" s="39" t="str">
        <f>CONCATENATE("PC-",TEXT(A191,"00"),"-",O191)</f>
        <v>PC-04-OH1</v>
      </c>
      <c r="F191" s="48" t="str">
        <f>CONCATENATE("Poste de Coupure n°",TEXT(A191,"00")," ",O191)</f>
        <v>Poste de Coupure n°04 OH1</v>
      </c>
      <c r="G191" s="19">
        <v>29952</v>
      </c>
      <c r="H191" s="19">
        <v>29952</v>
      </c>
      <c r="I191" s="41" t="s">
        <v>20</v>
      </c>
      <c r="J191" s="41">
        <v>1</v>
      </c>
      <c r="K191" s="41" t="s">
        <v>3556</v>
      </c>
      <c r="L191" s="41">
        <v>15</v>
      </c>
      <c r="M191" s="41"/>
      <c r="N191" s="41"/>
      <c r="O191" s="41" t="s">
        <v>319</v>
      </c>
      <c r="P191" s="41" t="s">
        <v>1128</v>
      </c>
      <c r="Q191" s="49">
        <f t="shared" si="26"/>
        <v>208</v>
      </c>
      <c r="R191" s="43">
        <f t="shared" si="27"/>
        <v>452</v>
      </c>
      <c r="S191" s="41" t="s">
        <v>3303</v>
      </c>
      <c r="T191" s="48" t="str">
        <f t="shared" si="21"/>
        <v>(4,'PC-04-OH1','Poste de Coupure n°04 OH1','Friday-01-jj','Friday-01-jj',NULL,1,),</v>
      </c>
    </row>
    <row r="192" spans="1:20" ht="20.100000000000001" customHeight="1" x14ac:dyDescent="0.25">
      <c r="A192" s="38">
        <v>7</v>
      </c>
      <c r="B192" s="38">
        <v>197</v>
      </c>
      <c r="C192" s="38" t="s">
        <v>319</v>
      </c>
      <c r="D192" s="38">
        <v>5</v>
      </c>
      <c r="E192" s="39" t="str">
        <f>CONCATENATE("PS-",TEXT(A192,"00"),"-",O192)</f>
        <v>PS-07-OH1</v>
      </c>
      <c r="F192" s="48" t="str">
        <f>CONCATENATE("Poste de Sectionnement n°",TEXT(A192,"00")," ",O192)</f>
        <v>Poste de Sectionnement n°07 OH1</v>
      </c>
      <c r="G192" s="19">
        <v>29952</v>
      </c>
      <c r="H192" s="19">
        <v>29952</v>
      </c>
      <c r="I192" s="41" t="s">
        <v>20</v>
      </c>
      <c r="J192" s="41">
        <v>1</v>
      </c>
      <c r="K192" s="41" t="s">
        <v>3557</v>
      </c>
      <c r="L192" s="41">
        <v>16</v>
      </c>
      <c r="M192" s="41"/>
      <c r="N192" s="41"/>
      <c r="O192" s="41" t="s">
        <v>319</v>
      </c>
      <c r="P192" s="41" t="s">
        <v>3297</v>
      </c>
      <c r="Q192" s="43">
        <f t="shared" si="26"/>
        <v>183</v>
      </c>
      <c r="R192" s="43">
        <f t="shared" si="27"/>
        <v>498.5</v>
      </c>
      <c r="S192" s="41" t="s">
        <v>998</v>
      </c>
      <c r="T192" s="48" t="str">
        <f t="shared" si="21"/>
        <v>(7,'PS-07-OH1','Poste de Sectionnement n°07 OH1','Friday-01-jj','Friday-01-jj',NULL,1,),</v>
      </c>
    </row>
    <row r="193" spans="1:20" ht="20.100000000000001" customHeight="1" x14ac:dyDescent="0.25">
      <c r="A193" s="38">
        <v>5</v>
      </c>
      <c r="B193" s="38">
        <v>198</v>
      </c>
      <c r="C193" s="38" t="s">
        <v>319</v>
      </c>
      <c r="D193" s="38">
        <v>5</v>
      </c>
      <c r="E193" s="39" t="str">
        <f>CONCATENATE("PC-",TEXT(A193,"00"),"-",O193)</f>
        <v>PC-05-OH1</v>
      </c>
      <c r="F193" s="48" t="str">
        <f>CONCATENATE("Poste de Coupure n°",TEXT(A193,"00")," ",O193)</f>
        <v>Poste de Coupure n°05 OH1</v>
      </c>
      <c r="G193" s="19">
        <v>29952</v>
      </c>
      <c r="H193" s="19">
        <v>29952</v>
      </c>
      <c r="I193" s="41" t="s">
        <v>20</v>
      </c>
      <c r="J193" s="41">
        <v>1</v>
      </c>
      <c r="K193" s="41" t="s">
        <v>3556</v>
      </c>
      <c r="L193" s="41">
        <v>15</v>
      </c>
      <c r="M193" s="41"/>
      <c r="N193" s="41"/>
      <c r="O193" s="41" t="s">
        <v>319</v>
      </c>
      <c r="P193" s="41" t="s">
        <v>1129</v>
      </c>
      <c r="Q193" s="49">
        <f t="shared" si="26"/>
        <v>159</v>
      </c>
      <c r="R193" s="43">
        <f t="shared" si="27"/>
        <v>545.5</v>
      </c>
      <c r="S193" s="41" t="s">
        <v>3304</v>
      </c>
      <c r="T193" s="48" t="str">
        <f t="shared" si="21"/>
        <v>(5,'PC-05-OH1','Poste de Coupure n°05 OH1','Friday-01-jj','Friday-01-jj',NULL,1,),</v>
      </c>
    </row>
    <row r="194" spans="1:20" ht="20.100000000000001" customHeight="1" x14ac:dyDescent="0.25">
      <c r="A194" s="38">
        <v>8</v>
      </c>
      <c r="B194" s="38">
        <v>199</v>
      </c>
      <c r="C194" s="38" t="s">
        <v>319</v>
      </c>
      <c r="D194" s="38">
        <v>5</v>
      </c>
      <c r="E194" s="39" t="str">
        <f>CONCATENATE("PS-",TEXT(A194,"00"),"-",O194)</f>
        <v>PS-08-OH1</v>
      </c>
      <c r="F194" s="48" t="str">
        <f>CONCATENATE("Poste de Sectionnement n°",TEXT(A194,"00")," ",O194)</f>
        <v>Poste de Sectionnement n°08 OH1</v>
      </c>
      <c r="G194" s="19">
        <v>29952</v>
      </c>
      <c r="H194" s="19">
        <v>29952</v>
      </c>
      <c r="I194" s="41" t="s">
        <v>20</v>
      </c>
      <c r="J194" s="41">
        <v>1</v>
      </c>
      <c r="K194" s="41" t="s">
        <v>3557</v>
      </c>
      <c r="L194" s="41">
        <v>16</v>
      </c>
      <c r="M194" s="41"/>
      <c r="N194" s="41"/>
      <c r="O194" s="41" t="s">
        <v>319</v>
      </c>
      <c r="P194" s="41" t="s">
        <v>3298</v>
      </c>
      <c r="Q194" s="43">
        <f t="shared" si="26"/>
        <v>145</v>
      </c>
      <c r="R194" s="43">
        <f t="shared" si="27"/>
        <v>587.9</v>
      </c>
      <c r="S194" s="41" t="s">
        <v>998</v>
      </c>
      <c r="T194" s="48" t="str">
        <f t="shared" si="21"/>
        <v>(8,'PS-08-OH1','Poste de Sectionnement n°08 OH1','Friday-01-jj','Friday-01-jj',NULL,1,),</v>
      </c>
    </row>
    <row r="195" spans="1:20" ht="20.100000000000001" customHeight="1" x14ac:dyDescent="0.25">
      <c r="A195" s="38">
        <v>1</v>
      </c>
      <c r="B195" s="38">
        <v>200</v>
      </c>
      <c r="C195" s="38" t="s">
        <v>3533</v>
      </c>
      <c r="D195" s="38">
        <v>6</v>
      </c>
      <c r="E195" s="39" t="s">
        <v>125</v>
      </c>
      <c r="F195" s="48" t="str">
        <f>CONCATENATE("Station de Pompage ",E195)</f>
        <v>Station de Pompage SP1-OD1</v>
      </c>
      <c r="G195" s="19">
        <v>28207</v>
      </c>
      <c r="H195" s="19">
        <v>28207</v>
      </c>
      <c r="I195" s="41" t="s">
        <v>20</v>
      </c>
      <c r="J195" s="41">
        <v>1</v>
      </c>
      <c r="K195" s="41" t="s">
        <v>3552</v>
      </c>
      <c r="L195" s="41">
        <v>7</v>
      </c>
      <c r="M195" s="41">
        <v>10</v>
      </c>
      <c r="N195" s="41"/>
      <c r="O195" s="41" t="s">
        <v>332</v>
      </c>
      <c r="P195" s="41" t="s">
        <v>1134</v>
      </c>
      <c r="Q195" s="49">
        <f t="shared" si="26"/>
        <v>246</v>
      </c>
      <c r="R195" s="43">
        <f t="shared" si="27"/>
        <v>0</v>
      </c>
      <c r="S195" s="41" t="s">
        <v>985</v>
      </c>
      <c r="T195" s="48" t="str">
        <f t="shared" si="21"/>
        <v>(1,'SP1-OD1','Station de Pompage SP1-OD1','Wednesday-03-jj','Wednesday-03-jj',NULL,1,10),</v>
      </c>
    </row>
    <row r="196" spans="1:20" ht="20.100000000000001" customHeight="1" x14ac:dyDescent="0.25">
      <c r="A196" s="38">
        <v>1</v>
      </c>
      <c r="B196" s="38">
        <v>201</v>
      </c>
      <c r="C196" s="38" t="s">
        <v>3533</v>
      </c>
      <c r="D196" s="38">
        <v>6</v>
      </c>
      <c r="E196" s="39" t="str">
        <f>CONCATENATE("PS-",TEXT(A196,"00"),"-",O196)</f>
        <v>PS-01-OD1</v>
      </c>
      <c r="F196" s="48" t="str">
        <f>CONCATENATE("Poste de Sectionnement n°",TEXT(A196,"00")," ",O196)</f>
        <v>Poste de Sectionnement n°01 OD1</v>
      </c>
      <c r="G196" s="19">
        <v>28207</v>
      </c>
      <c r="H196" s="19">
        <v>28207</v>
      </c>
      <c r="I196" s="41" t="s">
        <v>20</v>
      </c>
      <c r="J196" s="41">
        <v>1</v>
      </c>
      <c r="K196" s="41" t="s">
        <v>3557</v>
      </c>
      <c r="L196" s="41">
        <v>16</v>
      </c>
      <c r="M196" s="41"/>
      <c r="N196" s="41"/>
      <c r="O196" s="41" t="s">
        <v>332</v>
      </c>
      <c r="P196" s="41" t="s">
        <v>981</v>
      </c>
      <c r="Q196" s="49">
        <f t="shared" si="26"/>
        <v>224</v>
      </c>
      <c r="R196" s="43">
        <f t="shared" si="27"/>
        <v>32.4</v>
      </c>
      <c r="S196" s="41" t="s">
        <v>985</v>
      </c>
      <c r="T196" s="48" t="str">
        <f t="shared" si="21"/>
        <v>(1,'PS-01-OD1','Poste de Sectionnement n°01 OD1','Wednesday-03-jj','Wednesday-03-jj',NULL,1,),</v>
      </c>
    </row>
    <row r="197" spans="1:20" ht="20.100000000000001" customHeight="1" x14ac:dyDescent="0.25">
      <c r="A197" s="38">
        <v>2</v>
      </c>
      <c r="B197" s="38">
        <v>202</v>
      </c>
      <c r="C197" s="38" t="s">
        <v>3533</v>
      </c>
      <c r="D197" s="38">
        <v>6</v>
      </c>
      <c r="E197" s="39" t="str">
        <f>CONCATENATE("PS-",TEXT(A197,"00"),"-",O197)</f>
        <v>PS-02-OD1</v>
      </c>
      <c r="F197" s="48" t="str">
        <f>CONCATENATE("Poste de Sectionnement n°",TEXT(A197,"00")," ",O197)</f>
        <v>Poste de Sectionnement n°02 OD1</v>
      </c>
      <c r="G197" s="19">
        <v>28207</v>
      </c>
      <c r="H197" s="19">
        <v>28207</v>
      </c>
      <c r="I197" s="41" t="s">
        <v>20</v>
      </c>
      <c r="J197" s="41">
        <v>1</v>
      </c>
      <c r="K197" s="41" t="s">
        <v>3557</v>
      </c>
      <c r="L197" s="41">
        <v>16</v>
      </c>
      <c r="M197" s="41"/>
      <c r="N197" s="41"/>
      <c r="O197" s="41" t="s">
        <v>332</v>
      </c>
      <c r="P197" s="41" t="s">
        <v>982</v>
      </c>
      <c r="Q197" s="49">
        <f t="shared" si="26"/>
        <v>195</v>
      </c>
      <c r="R197" s="43">
        <f t="shared" si="27"/>
        <v>74.8</v>
      </c>
      <c r="S197" s="41" t="s">
        <v>985</v>
      </c>
      <c r="T197" s="48" t="str">
        <f t="shared" si="21"/>
        <v>(2,'PS-02-OD1','Poste de Sectionnement n°02 OD1','Wednesday-03-jj','Wednesday-03-jj',NULL,1,),</v>
      </c>
    </row>
    <row r="198" spans="1:20" ht="20.100000000000001" customHeight="1" x14ac:dyDescent="0.25">
      <c r="A198" s="38">
        <v>1</v>
      </c>
      <c r="B198" s="38">
        <v>203</v>
      </c>
      <c r="C198" s="38" t="s">
        <v>3533</v>
      </c>
      <c r="D198" s="38">
        <v>6</v>
      </c>
      <c r="E198" s="39" t="str">
        <f>CONCATENATE("PC-",TEXT(A198,"00"),"-",O198)</f>
        <v>PC-01-OD1</v>
      </c>
      <c r="F198" s="48" t="str">
        <f>CONCATENATE("Poste de Coupure n°",TEXT(A198,"00")," ",O198)</f>
        <v>Poste de Coupure n°01 OD1</v>
      </c>
      <c r="G198" s="19">
        <v>28207</v>
      </c>
      <c r="H198" s="19">
        <v>28207</v>
      </c>
      <c r="I198" s="41" t="s">
        <v>20</v>
      </c>
      <c r="J198" s="41">
        <v>1</v>
      </c>
      <c r="K198" s="41" t="s">
        <v>3556</v>
      </c>
      <c r="L198" s="41">
        <v>15</v>
      </c>
      <c r="M198" s="41"/>
      <c r="N198" s="41"/>
      <c r="O198" s="41" t="s">
        <v>332</v>
      </c>
      <c r="P198" s="41" t="s">
        <v>3305</v>
      </c>
      <c r="Q198" s="49">
        <f t="shared" si="26"/>
        <v>169</v>
      </c>
      <c r="R198" s="43">
        <f t="shared" si="27"/>
        <v>137</v>
      </c>
      <c r="S198" s="41" t="s">
        <v>985</v>
      </c>
      <c r="T198" s="48" t="str">
        <f t="shared" si="21"/>
        <v>(1,'PC-01-OD1','Poste de Coupure n°01 OD1','Wednesday-03-jj','Wednesday-03-jj',NULL,1,),</v>
      </c>
    </row>
    <row r="199" spans="1:20" ht="20.100000000000001" customHeight="1" x14ac:dyDescent="0.25">
      <c r="A199" s="38">
        <v>3</v>
      </c>
      <c r="B199" s="38">
        <v>204</v>
      </c>
      <c r="C199" s="38" t="s">
        <v>3533</v>
      </c>
      <c r="D199" s="38">
        <v>6</v>
      </c>
      <c r="E199" s="39" t="str">
        <f>CONCATENATE("PS-",TEXT(A199,"00"),"-",O199)</f>
        <v>PS-03-OD1</v>
      </c>
      <c r="F199" s="48" t="str">
        <f>CONCATENATE("Poste de Sectionnement n°",TEXT(A199,"00")," ",O199)</f>
        <v>Poste de Sectionnement n°03 OD1</v>
      </c>
      <c r="G199" s="19">
        <v>28207</v>
      </c>
      <c r="H199" s="19">
        <v>28207</v>
      </c>
      <c r="I199" s="41" t="s">
        <v>20</v>
      </c>
      <c r="J199" s="41">
        <v>1</v>
      </c>
      <c r="K199" s="41" t="s">
        <v>3557</v>
      </c>
      <c r="L199" s="41">
        <v>16</v>
      </c>
      <c r="M199" s="41"/>
      <c r="N199" s="41"/>
      <c r="O199" s="41" t="s">
        <v>332</v>
      </c>
      <c r="P199" s="41" t="s">
        <v>983</v>
      </c>
      <c r="Q199" s="49">
        <f t="shared" si="26"/>
        <v>162</v>
      </c>
      <c r="R199" s="43">
        <f t="shared" si="27"/>
        <v>144.80000000000001</v>
      </c>
      <c r="S199" s="41" t="s">
        <v>985</v>
      </c>
      <c r="T199" s="48" t="str">
        <f t="shared" si="21"/>
        <v>(3,'PS-03-OD1','Poste de Sectionnement n°03 OD1','Wednesday-03-jj','Wednesday-03-jj',NULL,1,),</v>
      </c>
    </row>
    <row r="200" spans="1:20" ht="20.100000000000001" customHeight="1" x14ac:dyDescent="0.25">
      <c r="A200" s="38">
        <v>4</v>
      </c>
      <c r="B200" s="38">
        <v>205</v>
      </c>
      <c r="C200" s="38" t="s">
        <v>3533</v>
      </c>
      <c r="D200" s="38">
        <v>6</v>
      </c>
      <c r="E200" s="39" t="str">
        <f>CONCATENATE("PS-",TEXT(A200,"00"),"-",O200)</f>
        <v>PS-04-OD1</v>
      </c>
      <c r="F200" s="48" t="str">
        <f>CONCATENATE("Poste de Sectionnement n°",TEXT(A200,"00")," ",O200)</f>
        <v>Poste de Sectionnement n°04 OD1</v>
      </c>
      <c r="G200" s="19">
        <v>28207</v>
      </c>
      <c r="H200" s="19">
        <v>28207</v>
      </c>
      <c r="I200" s="41" t="s">
        <v>20</v>
      </c>
      <c r="J200" s="41">
        <v>1</v>
      </c>
      <c r="K200" s="41" t="s">
        <v>3557</v>
      </c>
      <c r="L200" s="41">
        <v>16</v>
      </c>
      <c r="M200" s="41"/>
      <c r="N200" s="41"/>
      <c r="O200" s="41" t="s">
        <v>332</v>
      </c>
      <c r="P200" s="41" t="s">
        <v>984</v>
      </c>
      <c r="Q200" s="49">
        <f t="shared" si="26"/>
        <v>162</v>
      </c>
      <c r="R200" s="43">
        <f t="shared" si="27"/>
        <v>239.2</v>
      </c>
      <c r="S200" s="41" t="s">
        <v>985</v>
      </c>
      <c r="T200" s="48" t="str">
        <f t="shared" si="21"/>
        <v>(4,'PS-04-OD1','Poste de Sectionnement n°04 OD1','Wednesday-03-jj','Wednesday-03-jj',NULL,1,),</v>
      </c>
    </row>
    <row r="201" spans="1:20" ht="20.100000000000001" customHeight="1" x14ac:dyDescent="0.25">
      <c r="A201" s="38">
        <v>2</v>
      </c>
      <c r="B201" s="38">
        <v>206</v>
      </c>
      <c r="C201" s="38" t="s">
        <v>3533</v>
      </c>
      <c r="D201" s="38">
        <v>6</v>
      </c>
      <c r="E201" s="39" t="s">
        <v>127</v>
      </c>
      <c r="F201" s="48" t="str">
        <f>CONCATENATE("Station de Pompage ",E201)</f>
        <v>Station de Pompage SP1-OH2</v>
      </c>
      <c r="G201" s="19">
        <v>26399</v>
      </c>
      <c r="H201" s="19">
        <v>26399</v>
      </c>
      <c r="I201" s="41" t="s">
        <v>20</v>
      </c>
      <c r="J201" s="41">
        <v>1</v>
      </c>
      <c r="K201" s="41" t="s">
        <v>3552</v>
      </c>
      <c r="L201" s="41">
        <v>7</v>
      </c>
      <c r="M201" s="41">
        <v>10</v>
      </c>
      <c r="N201" s="41"/>
      <c r="O201" s="41" t="s">
        <v>324</v>
      </c>
      <c r="P201" s="41" t="s">
        <v>1152</v>
      </c>
      <c r="Q201" s="49">
        <f t="shared" si="26"/>
        <v>172</v>
      </c>
      <c r="R201" s="43">
        <f t="shared" si="27"/>
        <v>0</v>
      </c>
      <c r="S201" s="41" t="s">
        <v>3615</v>
      </c>
      <c r="T201" s="48" t="str">
        <f t="shared" si="21"/>
        <v>(2,'SP1-OH2','Station de Pompage SP1-OH2','Monday-04-jj','Monday-04-jj',NULL,1,10),</v>
      </c>
    </row>
    <row r="202" spans="1:20" ht="20.100000000000001" customHeight="1" x14ac:dyDescent="0.25">
      <c r="A202" s="38">
        <v>1</v>
      </c>
      <c r="B202" s="38">
        <v>207</v>
      </c>
      <c r="C202" s="38" t="s">
        <v>3533</v>
      </c>
      <c r="D202" s="38">
        <v>6</v>
      </c>
      <c r="E202" s="39" t="str">
        <f t="shared" ref="E202:E213" si="28">CONCATENATE("PS-",TEXT(A202,"00"),"-",O202)</f>
        <v>PS-01-OH2</v>
      </c>
      <c r="F202" s="48" t="str">
        <f t="shared" ref="F202:F213" si="29">CONCATENATE("Poste de Sectionnement n°",TEXT(A202,"00")," ",O202)</f>
        <v>Poste de Sectionnement n°01 OH2</v>
      </c>
      <c r="G202" s="19">
        <v>26399</v>
      </c>
      <c r="H202" s="19">
        <v>26399</v>
      </c>
      <c r="I202" s="41" t="s">
        <v>20</v>
      </c>
      <c r="J202" s="41">
        <v>1</v>
      </c>
      <c r="K202" s="41" t="s">
        <v>3557</v>
      </c>
      <c r="L202" s="41">
        <v>16</v>
      </c>
      <c r="M202" s="41"/>
      <c r="N202" s="41"/>
      <c r="O202" s="41" t="s">
        <v>324</v>
      </c>
      <c r="P202" s="41" t="s">
        <v>996</v>
      </c>
      <c r="Q202" s="49">
        <f t="shared" si="26"/>
        <v>155</v>
      </c>
      <c r="R202" s="43">
        <f t="shared" si="27"/>
        <v>19.7</v>
      </c>
      <c r="S202" s="41" t="s">
        <v>998</v>
      </c>
      <c r="T202" s="48" t="str">
        <f t="shared" si="21"/>
        <v>(1,'PS-01-OH2','Poste de Sectionnement n°01 OH2','Monday-04-jj','Monday-04-jj',NULL,1,),</v>
      </c>
    </row>
    <row r="203" spans="1:20" ht="20.100000000000001" customHeight="1" x14ac:dyDescent="0.25">
      <c r="A203" s="38">
        <v>2</v>
      </c>
      <c r="B203" s="38">
        <v>208</v>
      </c>
      <c r="C203" s="38" t="s">
        <v>3533</v>
      </c>
      <c r="D203" s="38">
        <v>6</v>
      </c>
      <c r="E203" s="39" t="str">
        <f t="shared" si="28"/>
        <v>PS-02-OH2</v>
      </c>
      <c r="F203" s="48" t="str">
        <f t="shared" si="29"/>
        <v>Poste de Sectionnement n°02 OH2</v>
      </c>
      <c r="G203" s="19">
        <v>26399</v>
      </c>
      <c r="H203" s="19">
        <v>26399</v>
      </c>
      <c r="I203" s="41" t="s">
        <v>20</v>
      </c>
      <c r="J203" s="41">
        <v>1</v>
      </c>
      <c r="K203" s="41" t="s">
        <v>3557</v>
      </c>
      <c r="L203" s="41">
        <v>16</v>
      </c>
      <c r="M203" s="41"/>
      <c r="N203" s="41"/>
      <c r="O203" s="41" t="s">
        <v>324</v>
      </c>
      <c r="P203" s="41" t="s">
        <v>997</v>
      </c>
      <c r="Q203" s="49">
        <f t="shared" si="26"/>
        <v>145</v>
      </c>
      <c r="R203" s="43">
        <f t="shared" si="27"/>
        <v>62</v>
      </c>
      <c r="S203" s="41" t="s">
        <v>998</v>
      </c>
      <c r="T203" s="48" t="str">
        <f t="shared" si="21"/>
        <v>(2,'PS-02-OH2','Poste de Sectionnement n°02 OH2','Monday-04-jj','Monday-04-jj',NULL,1,),</v>
      </c>
    </row>
    <row r="204" spans="1:20" ht="20.100000000000001" customHeight="1" x14ac:dyDescent="0.25">
      <c r="A204" s="38">
        <v>1</v>
      </c>
      <c r="B204" s="38">
        <v>209</v>
      </c>
      <c r="C204" s="38" t="s">
        <v>3533</v>
      </c>
      <c r="D204" s="38">
        <v>6</v>
      </c>
      <c r="E204" s="39" t="str">
        <f t="shared" si="28"/>
        <v>PS-01-ROD1</v>
      </c>
      <c r="F204" s="48" t="str">
        <f t="shared" si="29"/>
        <v>Poste de Sectionnement n°01 ROD1</v>
      </c>
      <c r="G204" s="19">
        <v>45444</v>
      </c>
      <c r="H204" s="19">
        <v>45444</v>
      </c>
      <c r="I204" s="41" t="s">
        <v>20</v>
      </c>
      <c r="J204" s="41">
        <v>1</v>
      </c>
      <c r="K204" s="41" t="s">
        <v>3557</v>
      </c>
      <c r="L204" s="41">
        <v>16</v>
      </c>
      <c r="M204" s="41"/>
      <c r="N204" s="41"/>
      <c r="O204" s="41" t="s">
        <v>335</v>
      </c>
      <c r="P204" s="41" t="s">
        <v>986</v>
      </c>
      <c r="Q204" s="49">
        <f t="shared" si="26"/>
        <v>211</v>
      </c>
      <c r="R204" s="43">
        <f t="shared" si="27"/>
        <v>25.238</v>
      </c>
      <c r="S204" s="41" t="s">
        <v>985</v>
      </c>
      <c r="T204" s="48" t="str">
        <f t="shared" si="21"/>
        <v>(1,'PS-01-ROD1','Poste de Sectionnement n°01 ROD1','Saturday-06-jj','Saturday-06-jj',NULL,1,),</v>
      </c>
    </row>
    <row r="205" spans="1:20" ht="20.100000000000001" customHeight="1" x14ac:dyDescent="0.25">
      <c r="A205" s="38">
        <v>2</v>
      </c>
      <c r="B205" s="38">
        <v>210</v>
      </c>
      <c r="C205" s="38" t="s">
        <v>3533</v>
      </c>
      <c r="D205" s="38">
        <v>6</v>
      </c>
      <c r="E205" s="39" t="str">
        <f t="shared" si="28"/>
        <v>PS-02-ROD1</v>
      </c>
      <c r="F205" s="48" t="str">
        <f t="shared" si="29"/>
        <v>Poste de Sectionnement n°02 ROD1</v>
      </c>
      <c r="G205" s="19">
        <v>45444</v>
      </c>
      <c r="H205" s="19">
        <v>45444</v>
      </c>
      <c r="I205" s="41" t="s">
        <v>20</v>
      </c>
      <c r="J205" s="41">
        <v>1</v>
      </c>
      <c r="K205" s="41" t="s">
        <v>3557</v>
      </c>
      <c r="L205" s="41">
        <v>16</v>
      </c>
      <c r="M205" s="41"/>
      <c r="N205" s="41"/>
      <c r="O205" s="41" t="s">
        <v>335</v>
      </c>
      <c r="P205" s="41" t="s">
        <v>987</v>
      </c>
      <c r="Q205" s="49">
        <f t="shared" si="26"/>
        <v>197</v>
      </c>
      <c r="R205" s="43">
        <f t="shared" si="27"/>
        <v>50.671999999999997</v>
      </c>
      <c r="S205" s="41" t="s">
        <v>985</v>
      </c>
      <c r="T205" s="48" t="str">
        <f t="shared" si="21"/>
        <v>(2,'PS-02-ROD1','Poste de Sectionnement n°02 ROD1','Saturday-06-jj','Saturday-06-jj',NULL,1,),</v>
      </c>
    </row>
    <row r="206" spans="1:20" ht="20.100000000000001" customHeight="1" x14ac:dyDescent="0.25">
      <c r="A206" s="38">
        <v>3</v>
      </c>
      <c r="B206" s="38">
        <v>211</v>
      </c>
      <c r="C206" s="38" t="s">
        <v>3533</v>
      </c>
      <c r="D206" s="38">
        <v>6</v>
      </c>
      <c r="E206" s="39" t="str">
        <f t="shared" si="28"/>
        <v>PS-03-ROD1</v>
      </c>
      <c r="F206" s="48" t="str">
        <f t="shared" si="29"/>
        <v>Poste de Sectionnement n°03 ROD1</v>
      </c>
      <c r="G206" s="19">
        <v>45444</v>
      </c>
      <c r="H206" s="19">
        <v>45444</v>
      </c>
      <c r="I206" s="41" t="s">
        <v>20</v>
      </c>
      <c r="J206" s="41">
        <v>1</v>
      </c>
      <c r="K206" s="41" t="s">
        <v>3557</v>
      </c>
      <c r="L206" s="41">
        <v>16</v>
      </c>
      <c r="M206" s="41"/>
      <c r="N206" s="41"/>
      <c r="O206" s="41" t="s">
        <v>335</v>
      </c>
      <c r="P206" s="41" t="s">
        <v>988</v>
      </c>
      <c r="Q206" s="49">
        <f t="shared" si="26"/>
        <v>200</v>
      </c>
      <c r="R206" s="43">
        <f t="shared" si="27"/>
        <v>74.968999999999994</v>
      </c>
      <c r="S206" s="41" t="s">
        <v>985</v>
      </c>
      <c r="T206" s="48" t="str">
        <f t="shared" si="21"/>
        <v>(3,'PS-03-ROD1','Poste de Sectionnement n°03 ROD1','Saturday-06-jj','Saturday-06-jj',NULL,1,),</v>
      </c>
    </row>
    <row r="207" spans="1:20" ht="20.100000000000001" customHeight="1" x14ac:dyDescent="0.25">
      <c r="A207" s="38">
        <v>4</v>
      </c>
      <c r="B207" s="38">
        <v>212</v>
      </c>
      <c r="C207" s="38" t="s">
        <v>3533</v>
      </c>
      <c r="D207" s="38">
        <v>6</v>
      </c>
      <c r="E207" s="39" t="str">
        <f t="shared" si="28"/>
        <v>PS-04-ROD1</v>
      </c>
      <c r="F207" s="48" t="str">
        <f t="shared" si="29"/>
        <v>Poste de Sectionnement n°04 ROD1</v>
      </c>
      <c r="G207" s="19">
        <v>45444</v>
      </c>
      <c r="H207" s="19">
        <v>45444</v>
      </c>
      <c r="I207" s="41" t="s">
        <v>20</v>
      </c>
      <c r="J207" s="41">
        <v>1</v>
      </c>
      <c r="K207" s="41" t="s">
        <v>3557</v>
      </c>
      <c r="L207" s="41">
        <v>16</v>
      </c>
      <c r="M207" s="41"/>
      <c r="N207" s="41"/>
      <c r="O207" s="41" t="s">
        <v>335</v>
      </c>
      <c r="P207" s="41" t="s">
        <v>989</v>
      </c>
      <c r="Q207" s="49">
        <f t="shared" si="26"/>
        <v>166</v>
      </c>
      <c r="R207" s="43">
        <f t="shared" si="27"/>
        <v>102.209</v>
      </c>
      <c r="S207" s="41" t="s">
        <v>985</v>
      </c>
      <c r="T207" s="48" t="str">
        <f t="shared" si="21"/>
        <v>(4,'PS-04-ROD1','Poste de Sectionnement n°04 ROD1','Saturday-06-jj','Saturday-06-jj',NULL,1,),</v>
      </c>
    </row>
    <row r="208" spans="1:20" ht="20.100000000000001" customHeight="1" x14ac:dyDescent="0.25">
      <c r="A208" s="38">
        <v>5</v>
      </c>
      <c r="B208" s="38">
        <v>213</v>
      </c>
      <c r="C208" s="38" t="s">
        <v>3533</v>
      </c>
      <c r="D208" s="38">
        <v>6</v>
      </c>
      <c r="E208" s="39" t="str">
        <f t="shared" si="28"/>
        <v>PS-05-ROD1</v>
      </c>
      <c r="F208" s="48" t="str">
        <f t="shared" si="29"/>
        <v>Poste de Sectionnement n°05 ROD1</v>
      </c>
      <c r="G208" s="19">
        <v>45444</v>
      </c>
      <c r="H208" s="19">
        <v>45444</v>
      </c>
      <c r="I208" s="41" t="s">
        <v>20</v>
      </c>
      <c r="J208" s="41">
        <v>1</v>
      </c>
      <c r="K208" s="41" t="s">
        <v>3557</v>
      </c>
      <c r="L208" s="41">
        <v>16</v>
      </c>
      <c r="M208" s="41"/>
      <c r="N208" s="41"/>
      <c r="O208" s="41" t="s">
        <v>335</v>
      </c>
      <c r="P208" s="41" t="s">
        <v>990</v>
      </c>
      <c r="Q208" s="49">
        <f t="shared" si="26"/>
        <v>162</v>
      </c>
      <c r="R208" s="43">
        <f t="shared" si="27"/>
        <v>119.709</v>
      </c>
      <c r="S208" s="41" t="s">
        <v>985</v>
      </c>
      <c r="T208" s="48" t="str">
        <f t="shared" si="21"/>
        <v>(5,'PS-05-ROD1','Poste de Sectionnement n°05 ROD1','Saturday-06-jj','Saturday-06-jj',NULL,1,),</v>
      </c>
    </row>
    <row r="209" spans="1:20" ht="20.100000000000001" customHeight="1" x14ac:dyDescent="0.25">
      <c r="A209" s="38">
        <v>6</v>
      </c>
      <c r="B209" s="38">
        <v>214</v>
      </c>
      <c r="C209" s="38" t="s">
        <v>3533</v>
      </c>
      <c r="D209" s="38">
        <v>6</v>
      </c>
      <c r="E209" s="39" t="str">
        <f t="shared" si="28"/>
        <v>PS-06-ROD1</v>
      </c>
      <c r="F209" s="48" t="str">
        <f t="shared" si="29"/>
        <v>Poste de Sectionnement n°06 ROD1</v>
      </c>
      <c r="G209" s="19">
        <v>46143</v>
      </c>
      <c r="H209" s="19">
        <v>46143</v>
      </c>
      <c r="I209" s="41" t="s">
        <v>20</v>
      </c>
      <c r="J209" s="41">
        <v>1</v>
      </c>
      <c r="K209" s="41" t="s">
        <v>3557</v>
      </c>
      <c r="L209" s="41">
        <v>16</v>
      </c>
      <c r="M209" s="41"/>
      <c r="N209" s="41"/>
      <c r="O209" s="41" t="s">
        <v>335</v>
      </c>
      <c r="P209" s="41" t="s">
        <v>991</v>
      </c>
      <c r="Q209" s="49">
        <f t="shared" si="26"/>
        <v>155</v>
      </c>
      <c r="R209" s="43">
        <f t="shared" si="27"/>
        <v>159.51300000000001</v>
      </c>
      <c r="S209" s="41" t="s">
        <v>985</v>
      </c>
      <c r="T209" s="48" t="str">
        <f t="shared" si="21"/>
        <v>(6,'PS-06-ROD1','Poste de Sectionnement n°06 ROD1','Friday-05-jj','Friday-05-jj',NULL,1,),</v>
      </c>
    </row>
    <row r="210" spans="1:20" ht="20.100000000000001" customHeight="1" x14ac:dyDescent="0.25">
      <c r="A210" s="38">
        <v>7</v>
      </c>
      <c r="B210" s="38">
        <v>215</v>
      </c>
      <c r="C210" s="38" t="s">
        <v>3533</v>
      </c>
      <c r="D210" s="38">
        <v>6</v>
      </c>
      <c r="E210" s="39" t="str">
        <f t="shared" si="28"/>
        <v>PS-07-ROD1</v>
      </c>
      <c r="F210" s="48" t="str">
        <f t="shared" si="29"/>
        <v>Poste de Sectionnement n°07 ROD1</v>
      </c>
      <c r="G210" s="19">
        <v>46143</v>
      </c>
      <c r="H210" s="19">
        <v>46143</v>
      </c>
      <c r="I210" s="41" t="s">
        <v>20</v>
      </c>
      <c r="J210" s="41">
        <v>1</v>
      </c>
      <c r="K210" s="41" t="s">
        <v>3557</v>
      </c>
      <c r="L210" s="41">
        <v>16</v>
      </c>
      <c r="M210" s="41"/>
      <c r="N210" s="41"/>
      <c r="O210" s="41" t="s">
        <v>335</v>
      </c>
      <c r="P210" s="41" t="s">
        <v>992</v>
      </c>
      <c r="Q210" s="49">
        <f t="shared" si="26"/>
        <v>169</v>
      </c>
      <c r="R210" s="43">
        <f t="shared" si="27"/>
        <v>182.024</v>
      </c>
      <c r="S210" s="41" t="s">
        <v>985</v>
      </c>
      <c r="T210" s="48" t="str">
        <f t="shared" si="21"/>
        <v>(7,'PS-07-ROD1','Poste de Sectionnement n°07 ROD1','Friday-05-jj','Friday-05-jj',NULL,1,),</v>
      </c>
    </row>
    <row r="211" spans="1:20" ht="20.100000000000001" customHeight="1" x14ac:dyDescent="0.25">
      <c r="A211" s="38">
        <v>8</v>
      </c>
      <c r="B211" s="38">
        <v>216</v>
      </c>
      <c r="C211" s="38" t="s">
        <v>3533</v>
      </c>
      <c r="D211" s="38">
        <v>6</v>
      </c>
      <c r="E211" s="39" t="str">
        <f t="shared" si="28"/>
        <v>PS-08-ROD1</v>
      </c>
      <c r="F211" s="48" t="str">
        <f t="shared" si="29"/>
        <v>Poste de Sectionnement n°08 ROD1</v>
      </c>
      <c r="G211" s="19">
        <v>46143</v>
      </c>
      <c r="H211" s="19">
        <v>46143</v>
      </c>
      <c r="I211" s="41" t="s">
        <v>20</v>
      </c>
      <c r="J211" s="41">
        <v>1</v>
      </c>
      <c r="K211" s="41" t="s">
        <v>3557</v>
      </c>
      <c r="L211" s="41">
        <v>16</v>
      </c>
      <c r="M211" s="41"/>
      <c r="N211" s="41"/>
      <c r="O211" s="41" t="s">
        <v>335</v>
      </c>
      <c r="P211" s="41" t="s">
        <v>993</v>
      </c>
      <c r="Q211" s="49">
        <f t="shared" si="26"/>
        <v>151</v>
      </c>
      <c r="R211" s="43">
        <f t="shared" si="27"/>
        <v>204.429</v>
      </c>
      <c r="S211" s="41" t="s">
        <v>985</v>
      </c>
      <c r="T211" s="48" t="str">
        <f t="shared" si="21"/>
        <v>(8,'PS-08-ROD1','Poste de Sectionnement n°08 ROD1','Friday-05-jj','Friday-05-jj',NULL,1,),</v>
      </c>
    </row>
    <row r="212" spans="1:20" ht="20.100000000000001" customHeight="1" x14ac:dyDescent="0.25">
      <c r="A212" s="38">
        <v>9</v>
      </c>
      <c r="B212" s="38">
        <v>217</v>
      </c>
      <c r="C212" s="38" t="s">
        <v>3533</v>
      </c>
      <c r="D212" s="38">
        <v>6</v>
      </c>
      <c r="E212" s="39" t="str">
        <f t="shared" si="28"/>
        <v>PS-09-ROD1</v>
      </c>
      <c r="F212" s="48" t="str">
        <f t="shared" si="29"/>
        <v>Poste de Sectionnement n°09 ROD1</v>
      </c>
      <c r="G212" s="19">
        <v>46143</v>
      </c>
      <c r="H212" s="19">
        <v>46143</v>
      </c>
      <c r="I212" s="41" t="s">
        <v>20</v>
      </c>
      <c r="J212" s="41">
        <v>1</v>
      </c>
      <c r="K212" s="41" t="s">
        <v>3557</v>
      </c>
      <c r="L212" s="41">
        <v>16</v>
      </c>
      <c r="M212" s="41"/>
      <c r="N212" s="41"/>
      <c r="O212" s="41" t="s">
        <v>335</v>
      </c>
      <c r="P212" s="41" t="s">
        <v>994</v>
      </c>
      <c r="Q212" s="49">
        <f t="shared" si="26"/>
        <v>154</v>
      </c>
      <c r="R212" s="43">
        <f t="shared" si="27"/>
        <v>227.00200000000001</v>
      </c>
      <c r="S212" s="41" t="s">
        <v>985</v>
      </c>
      <c r="T212" s="48" t="str">
        <f t="shared" si="21"/>
        <v>(9,'PS-09-ROD1','Poste de Sectionnement n°09 ROD1','Friday-05-jj','Friday-05-jj',NULL,1,),</v>
      </c>
    </row>
    <row r="213" spans="1:20" ht="20.100000000000001" customHeight="1" x14ac:dyDescent="0.25">
      <c r="A213" s="38">
        <v>10</v>
      </c>
      <c r="B213" s="38">
        <v>218</v>
      </c>
      <c r="C213" s="38" t="s">
        <v>3533</v>
      </c>
      <c r="D213" s="38">
        <v>6</v>
      </c>
      <c r="E213" s="39" t="str">
        <f t="shared" si="28"/>
        <v>PS-10-ROD1</v>
      </c>
      <c r="F213" s="48" t="str">
        <f t="shared" si="29"/>
        <v>Poste de Sectionnement n°10 ROD1</v>
      </c>
      <c r="G213" s="19">
        <v>46143</v>
      </c>
      <c r="H213" s="19">
        <v>46143</v>
      </c>
      <c r="I213" s="41" t="s">
        <v>20</v>
      </c>
      <c r="J213" s="41">
        <v>1</v>
      </c>
      <c r="K213" s="41" t="s">
        <v>3557</v>
      </c>
      <c r="L213" s="41">
        <v>16</v>
      </c>
      <c r="M213" s="41"/>
      <c r="N213" s="41"/>
      <c r="O213" s="41" t="s">
        <v>335</v>
      </c>
      <c r="P213" s="41" t="s">
        <v>995</v>
      </c>
      <c r="Q213" s="49">
        <f t="shared" si="26"/>
        <v>155</v>
      </c>
      <c r="R213" s="43">
        <f t="shared" si="27"/>
        <v>248.065</v>
      </c>
      <c r="S213" s="41" t="s">
        <v>985</v>
      </c>
      <c r="T213" s="48" t="str">
        <f t="shared" si="21"/>
        <v>(10,'PS-10-ROD1','Poste de Sectionnement n°10 ROD1','Friday-05-jj','Friday-05-jj',NULL,1,),</v>
      </c>
    </row>
    <row r="214" spans="1:20" ht="20.100000000000001" customHeight="1" x14ac:dyDescent="0.25">
      <c r="A214" s="38">
        <v>1</v>
      </c>
      <c r="B214" s="38">
        <v>219</v>
      </c>
      <c r="C214" s="38" t="s">
        <v>588</v>
      </c>
      <c r="D214" s="38">
        <v>7</v>
      </c>
      <c r="E214" s="39" t="s">
        <v>129</v>
      </c>
      <c r="F214" s="48" t="str">
        <f>CONCATENATE("Station de Pompage ",E214)</f>
        <v>Station de Pompage SP1-OH3/OH4</v>
      </c>
      <c r="G214" s="19">
        <v>37927</v>
      </c>
      <c r="H214" s="19">
        <v>37927</v>
      </c>
      <c r="I214" s="41" t="s">
        <v>20</v>
      </c>
      <c r="J214" s="41">
        <v>1</v>
      </c>
      <c r="K214" s="41" t="s">
        <v>3552</v>
      </c>
      <c r="L214" s="41">
        <v>7</v>
      </c>
      <c r="M214" s="41">
        <v>10</v>
      </c>
      <c r="N214" s="41"/>
      <c r="O214" s="41" t="s">
        <v>327</v>
      </c>
      <c r="P214" s="41" t="s">
        <v>1146</v>
      </c>
      <c r="Q214" s="49">
        <f t="shared" si="26"/>
        <v>185</v>
      </c>
      <c r="R214" s="43">
        <f t="shared" si="27"/>
        <v>0</v>
      </c>
      <c r="S214" s="41" t="s">
        <v>3616</v>
      </c>
      <c r="T214" s="48" t="str">
        <f t="shared" si="21"/>
        <v>(1,'SP1-OH3/OH4','Station de Pompage SP1-OH3/OH4','Sunday-11-jj','Sunday-11-jj',NULL,1,10),</v>
      </c>
    </row>
    <row r="215" spans="1:20" ht="20.100000000000001" customHeight="1" x14ac:dyDescent="0.25">
      <c r="A215" s="38">
        <v>1</v>
      </c>
      <c r="B215" s="38">
        <v>220</v>
      </c>
      <c r="C215" s="38" t="s">
        <v>588</v>
      </c>
      <c r="D215" s="38">
        <v>7</v>
      </c>
      <c r="E215" s="39" t="str">
        <f>CONCATENATE("PS-",TEXT(A215,"00"),"-",O215)</f>
        <v>PS-01-OH3</v>
      </c>
      <c r="F215" s="48" t="str">
        <f>CONCATENATE("Poste de Sectionnement n°",TEXT(A215,"00")," ",O215)</f>
        <v>Poste de Sectionnement n°01 OH3</v>
      </c>
      <c r="G215" s="19">
        <v>36161</v>
      </c>
      <c r="H215" s="19">
        <v>36161</v>
      </c>
      <c r="I215" s="41" t="s">
        <v>20</v>
      </c>
      <c r="J215" s="41">
        <v>1</v>
      </c>
      <c r="K215" s="41" t="s">
        <v>3557</v>
      </c>
      <c r="L215" s="41">
        <v>16</v>
      </c>
      <c r="M215" s="41"/>
      <c r="N215" s="41"/>
      <c r="O215" s="41" t="s">
        <v>327</v>
      </c>
      <c r="P215" s="41" t="s">
        <v>1032</v>
      </c>
      <c r="Q215" s="49">
        <f t="shared" si="26"/>
        <v>196</v>
      </c>
      <c r="R215" s="43">
        <f t="shared" si="27"/>
        <v>31.4</v>
      </c>
      <c r="S215" s="41" t="s">
        <v>1040</v>
      </c>
      <c r="T215" s="48" t="str">
        <f t="shared" si="21"/>
        <v>(1,'PS-01-OH3','Poste de Sectionnement n°01 OH3','Friday-01-jj','Friday-01-jj',NULL,1,),</v>
      </c>
    </row>
    <row r="216" spans="1:20" ht="20.100000000000001" customHeight="1" x14ac:dyDescent="0.25">
      <c r="A216" s="38">
        <v>2</v>
      </c>
      <c r="B216" s="38">
        <v>221</v>
      </c>
      <c r="C216" s="38" t="s">
        <v>588</v>
      </c>
      <c r="D216" s="38">
        <v>7</v>
      </c>
      <c r="E216" s="39" t="str">
        <f>CONCATENATE("PS-",TEXT(A216,"00"),"-",O216)</f>
        <v>PS-02-OH3</v>
      </c>
      <c r="F216" s="48" t="str">
        <f>CONCATENATE("Poste de Sectionnement n°",TEXT(A216,"00")," ",O216)</f>
        <v>Poste de Sectionnement n°02 OH3</v>
      </c>
      <c r="G216" s="19">
        <v>36161</v>
      </c>
      <c r="H216" s="19">
        <v>36161</v>
      </c>
      <c r="I216" s="41" t="s">
        <v>20</v>
      </c>
      <c r="J216" s="41">
        <v>1</v>
      </c>
      <c r="K216" s="41" t="s">
        <v>3557</v>
      </c>
      <c r="L216" s="41">
        <v>16</v>
      </c>
      <c r="M216" s="41"/>
      <c r="N216" s="41"/>
      <c r="O216" s="41" t="s">
        <v>327</v>
      </c>
      <c r="P216" s="41" t="s">
        <v>1033</v>
      </c>
      <c r="Q216" s="49">
        <f t="shared" si="26"/>
        <v>185</v>
      </c>
      <c r="R216" s="43">
        <f t="shared" si="27"/>
        <v>63.5</v>
      </c>
      <c r="S216" s="41" t="s">
        <v>1040</v>
      </c>
      <c r="T216" s="48" t="str">
        <f t="shared" ref="T216:T279" si="30">CONCATENATE("(",A216,",'",E216,"','",F216,"','",TEXT(G216,"aaaa-mm-jj"),"','",TEXT(H216,"aaaa-mm-jj"),"',",I216,",",J216,",",M216,"),")</f>
        <v>(2,'PS-02-OH3','Poste de Sectionnement n°02 OH3','Friday-01-jj','Friday-01-jj',NULL,1,),</v>
      </c>
    </row>
    <row r="217" spans="1:20" ht="20.100000000000001" customHeight="1" x14ac:dyDescent="0.25">
      <c r="A217" s="38">
        <v>3</v>
      </c>
      <c r="B217" s="38">
        <v>222</v>
      </c>
      <c r="C217" s="38" t="s">
        <v>588</v>
      </c>
      <c r="D217" s="38">
        <v>7</v>
      </c>
      <c r="E217" s="39" t="str">
        <f>CONCATENATE("PS-",TEXT(A217,"00"),"-",O217)</f>
        <v>PS-03-OH3</v>
      </c>
      <c r="F217" s="48" t="str">
        <f>CONCATENATE("Poste de Sectionnement n°",TEXT(A217,"00")," ",O217)</f>
        <v>Poste de Sectionnement n°03 OH3</v>
      </c>
      <c r="G217" s="19">
        <v>36161</v>
      </c>
      <c r="H217" s="19">
        <v>36161</v>
      </c>
      <c r="I217" s="41" t="s">
        <v>20</v>
      </c>
      <c r="J217" s="41">
        <v>1</v>
      </c>
      <c r="K217" s="41" t="s">
        <v>3557</v>
      </c>
      <c r="L217" s="41">
        <v>16</v>
      </c>
      <c r="M217" s="41"/>
      <c r="N217" s="41"/>
      <c r="O217" s="41" t="s">
        <v>327</v>
      </c>
      <c r="P217" s="41" t="s">
        <v>1034</v>
      </c>
      <c r="Q217" s="49">
        <f t="shared" si="26"/>
        <v>187</v>
      </c>
      <c r="R217" s="43">
        <f t="shared" si="27"/>
        <v>93.4</v>
      </c>
      <c r="S217" s="41" t="s">
        <v>998</v>
      </c>
      <c r="T217" s="48" t="str">
        <f t="shared" si="30"/>
        <v>(3,'PS-03-OH3','Poste de Sectionnement n°03 OH3','Friday-01-jj','Friday-01-jj',NULL,1,),</v>
      </c>
    </row>
    <row r="218" spans="1:20" ht="20.100000000000001" customHeight="1" x14ac:dyDescent="0.25">
      <c r="A218" s="38">
        <v>4</v>
      </c>
      <c r="B218" s="38">
        <v>223</v>
      </c>
      <c r="C218" s="38" t="s">
        <v>588</v>
      </c>
      <c r="D218" s="38">
        <v>7</v>
      </c>
      <c r="E218" s="39" t="str">
        <f>CONCATENATE("PS-",TEXT(A218,"00"),"-",O218)</f>
        <v>PS-04-OH3</v>
      </c>
      <c r="F218" s="48" t="str">
        <f>CONCATENATE("Poste de Sectionnement n°",TEXT(A218,"00")," ",O218)</f>
        <v>Poste de Sectionnement n°04 OH3</v>
      </c>
      <c r="G218" s="19">
        <v>36161</v>
      </c>
      <c r="H218" s="19">
        <v>36161</v>
      </c>
      <c r="I218" s="41" t="s">
        <v>20</v>
      </c>
      <c r="J218" s="41">
        <v>1</v>
      </c>
      <c r="K218" s="41" t="s">
        <v>3557</v>
      </c>
      <c r="L218" s="41">
        <v>16</v>
      </c>
      <c r="M218" s="41"/>
      <c r="N218" s="41"/>
      <c r="O218" s="41" t="s">
        <v>327</v>
      </c>
      <c r="P218" s="41" t="s">
        <v>1035</v>
      </c>
      <c r="Q218" s="49">
        <f t="shared" si="26"/>
        <v>190</v>
      </c>
      <c r="R218" s="43">
        <f t="shared" si="27"/>
        <v>123.4</v>
      </c>
      <c r="S218" s="41" t="s">
        <v>998</v>
      </c>
      <c r="T218" s="48" t="str">
        <f t="shared" si="30"/>
        <v>(4,'PS-04-OH3','Poste de Sectionnement n°04 OH3','Friday-01-jj','Friday-01-jj',NULL,1,),</v>
      </c>
    </row>
    <row r="219" spans="1:20" ht="20.100000000000001" customHeight="1" x14ac:dyDescent="0.25">
      <c r="A219" s="38">
        <v>1</v>
      </c>
      <c r="B219" s="38">
        <v>224</v>
      </c>
      <c r="C219" s="38" t="s">
        <v>588</v>
      </c>
      <c r="D219" s="38">
        <v>7</v>
      </c>
      <c r="E219" s="39" t="str">
        <f>CONCATENATE("PC-",TEXT(A219,"00"),"-",O219)</f>
        <v>PC-01-OH3</v>
      </c>
      <c r="F219" s="48" t="str">
        <f>CONCATENATE("Poste de Coupure n°",TEXT(A219,"00")," ",O219)</f>
        <v>Poste de Coupure n°01 OH3</v>
      </c>
      <c r="G219" s="19">
        <v>36161</v>
      </c>
      <c r="H219" s="19">
        <v>36161</v>
      </c>
      <c r="I219" s="41" t="s">
        <v>20</v>
      </c>
      <c r="J219" s="41">
        <v>1</v>
      </c>
      <c r="K219" s="41" t="s">
        <v>3556</v>
      </c>
      <c r="L219" s="41">
        <v>15</v>
      </c>
      <c r="M219" s="41"/>
      <c r="N219" s="41"/>
      <c r="O219" s="41" t="s">
        <v>327</v>
      </c>
      <c r="P219" s="41" t="s">
        <v>3306</v>
      </c>
      <c r="Q219" s="49">
        <f t="shared" si="26"/>
        <v>182</v>
      </c>
      <c r="R219" s="43">
        <f t="shared" si="27"/>
        <v>158</v>
      </c>
      <c r="S219" s="41" t="s">
        <v>3307</v>
      </c>
      <c r="T219" s="48" t="str">
        <f t="shared" si="30"/>
        <v>(1,'PC-01-OH3','Poste de Coupure n°01 OH3','Friday-01-jj','Friday-01-jj',NULL,1,),</v>
      </c>
    </row>
    <row r="220" spans="1:20" ht="20.100000000000001" customHeight="1" x14ac:dyDescent="0.25">
      <c r="A220" s="38">
        <v>5</v>
      </c>
      <c r="B220" s="38">
        <v>225</v>
      </c>
      <c r="C220" s="38" t="s">
        <v>588</v>
      </c>
      <c r="D220" s="38">
        <v>7</v>
      </c>
      <c r="E220" s="39" t="str">
        <f t="shared" ref="E220:E227" si="31">CONCATENATE("PS-",TEXT(A220,"00"),"-",O220)</f>
        <v>PS-05-OH3</v>
      </c>
      <c r="F220" s="48" t="str">
        <f t="shared" ref="F220:F227" si="32">CONCATENATE("Poste de Sectionnement n°",TEXT(A220,"00")," ",O220)</f>
        <v>Poste de Sectionnement n°05 OH3</v>
      </c>
      <c r="G220" s="19">
        <v>36161</v>
      </c>
      <c r="H220" s="19">
        <v>36161</v>
      </c>
      <c r="I220" s="41" t="s">
        <v>20</v>
      </c>
      <c r="J220" s="41">
        <v>1</v>
      </c>
      <c r="K220" s="41" t="s">
        <v>3557</v>
      </c>
      <c r="L220" s="41">
        <v>16</v>
      </c>
      <c r="M220" s="41"/>
      <c r="N220" s="41"/>
      <c r="O220" s="41" t="s">
        <v>327</v>
      </c>
      <c r="P220" s="41" t="s">
        <v>1036</v>
      </c>
      <c r="Q220" s="49">
        <f t="shared" si="26"/>
        <v>184</v>
      </c>
      <c r="R220" s="43">
        <f t="shared" si="27"/>
        <v>173.3</v>
      </c>
      <c r="S220" s="41" t="s">
        <v>998</v>
      </c>
      <c r="T220" s="48" t="str">
        <f t="shared" si="30"/>
        <v>(5,'PS-05-OH3','Poste de Sectionnement n°05 OH3','Friday-01-jj','Friday-01-jj',NULL,1,),</v>
      </c>
    </row>
    <row r="221" spans="1:20" ht="20.100000000000001" customHeight="1" x14ac:dyDescent="0.25">
      <c r="A221" s="38">
        <v>6</v>
      </c>
      <c r="B221" s="38">
        <v>226</v>
      </c>
      <c r="C221" s="38" t="s">
        <v>588</v>
      </c>
      <c r="D221" s="38">
        <v>7</v>
      </c>
      <c r="E221" s="39" t="str">
        <f t="shared" si="31"/>
        <v>PS-06-OH3</v>
      </c>
      <c r="F221" s="48" t="str">
        <f t="shared" si="32"/>
        <v>Poste de Sectionnement n°06 OH3</v>
      </c>
      <c r="G221" s="19">
        <v>36161</v>
      </c>
      <c r="H221" s="19">
        <v>36161</v>
      </c>
      <c r="I221" s="41" t="s">
        <v>20</v>
      </c>
      <c r="J221" s="41">
        <v>1</v>
      </c>
      <c r="K221" s="41" t="s">
        <v>3557</v>
      </c>
      <c r="L221" s="41">
        <v>16</v>
      </c>
      <c r="M221" s="41"/>
      <c r="N221" s="41"/>
      <c r="O221" s="41" t="s">
        <v>327</v>
      </c>
      <c r="P221" s="41" t="s">
        <v>1037</v>
      </c>
      <c r="Q221" s="49">
        <f t="shared" si="26"/>
        <v>165</v>
      </c>
      <c r="R221" s="43">
        <f t="shared" si="27"/>
        <v>204</v>
      </c>
      <c r="S221" s="41" t="s">
        <v>998</v>
      </c>
      <c r="T221" s="48" t="str">
        <f t="shared" si="30"/>
        <v>(6,'PS-06-OH3','Poste de Sectionnement n°06 OH3','Friday-01-jj','Friday-01-jj',NULL,1,),</v>
      </c>
    </row>
    <row r="222" spans="1:20" ht="20.100000000000001" customHeight="1" x14ac:dyDescent="0.25">
      <c r="A222" s="38">
        <v>7</v>
      </c>
      <c r="B222" s="38">
        <v>227</v>
      </c>
      <c r="C222" s="38" t="s">
        <v>588</v>
      </c>
      <c r="D222" s="38">
        <v>7</v>
      </c>
      <c r="E222" s="39" t="str">
        <f t="shared" si="31"/>
        <v>PS-07-OH3</v>
      </c>
      <c r="F222" s="48" t="str">
        <f t="shared" si="32"/>
        <v>Poste de Sectionnement n°07 OH3</v>
      </c>
      <c r="G222" s="19">
        <v>36161</v>
      </c>
      <c r="H222" s="19">
        <v>36161</v>
      </c>
      <c r="I222" s="41" t="s">
        <v>20</v>
      </c>
      <c r="J222" s="41">
        <v>1</v>
      </c>
      <c r="K222" s="41" t="s">
        <v>3557</v>
      </c>
      <c r="L222" s="41">
        <v>16</v>
      </c>
      <c r="M222" s="41"/>
      <c r="N222" s="41"/>
      <c r="O222" s="41" t="s">
        <v>327</v>
      </c>
      <c r="P222" s="41" t="s">
        <v>1038</v>
      </c>
      <c r="Q222" s="49">
        <f t="shared" si="26"/>
        <v>156.79</v>
      </c>
      <c r="R222" s="43">
        <f t="shared" si="27"/>
        <v>233</v>
      </c>
      <c r="S222" s="41" t="s">
        <v>998</v>
      </c>
      <c r="T222" s="48" t="str">
        <f t="shared" si="30"/>
        <v>(7,'PS-07-OH3','Poste de Sectionnement n°07 OH3','Friday-01-jj','Friday-01-jj',NULL,1,),</v>
      </c>
    </row>
    <row r="223" spans="1:20" ht="20.100000000000001" customHeight="1" x14ac:dyDescent="0.25">
      <c r="A223" s="38">
        <v>8</v>
      </c>
      <c r="B223" s="38">
        <v>228</v>
      </c>
      <c r="C223" s="38" t="s">
        <v>588</v>
      </c>
      <c r="D223" s="38">
        <v>7</v>
      </c>
      <c r="E223" s="11" t="str">
        <f t="shared" si="31"/>
        <v>PS-08-OH3</v>
      </c>
      <c r="F223" s="9" t="str">
        <f t="shared" si="32"/>
        <v>Poste de Sectionnement n°08 OH3</v>
      </c>
      <c r="G223" s="12">
        <v>36161</v>
      </c>
      <c r="H223" s="12">
        <v>36161</v>
      </c>
      <c r="I223" s="13" t="s">
        <v>20</v>
      </c>
      <c r="J223" s="41">
        <v>1</v>
      </c>
      <c r="K223" s="41" t="s">
        <v>3557</v>
      </c>
      <c r="L223" s="41">
        <v>16</v>
      </c>
      <c r="M223" s="13"/>
      <c r="N223" s="13"/>
      <c r="O223" s="13" t="s">
        <v>327</v>
      </c>
      <c r="P223" s="13" t="s">
        <v>1039</v>
      </c>
      <c r="Q223" s="55">
        <f t="shared" si="26"/>
        <v>169.65</v>
      </c>
      <c r="R223" s="56">
        <f t="shared" si="27"/>
        <v>262</v>
      </c>
      <c r="S223" s="41" t="s">
        <v>998</v>
      </c>
      <c r="T223" s="48" t="str">
        <f t="shared" si="30"/>
        <v>(8,'PS-08-OH3','Poste de Sectionnement n°08 OH3','Friday-01-jj','Friday-01-jj',NULL,1,),</v>
      </c>
    </row>
    <row r="224" spans="1:20" ht="20.100000000000001" customHeight="1" x14ac:dyDescent="0.25">
      <c r="A224" s="38">
        <v>1</v>
      </c>
      <c r="B224" s="38">
        <v>229</v>
      </c>
      <c r="C224" s="38" t="s">
        <v>588</v>
      </c>
      <c r="D224" s="38">
        <v>7</v>
      </c>
      <c r="E224" s="11" t="str">
        <f t="shared" si="31"/>
        <v>PS-01-OH4</v>
      </c>
      <c r="F224" s="9" t="str">
        <f t="shared" si="32"/>
        <v>Poste de Sectionnement n°01 OH4</v>
      </c>
      <c r="G224" s="12">
        <v>36161</v>
      </c>
      <c r="H224" s="12">
        <v>36161</v>
      </c>
      <c r="I224" s="13" t="s">
        <v>20</v>
      </c>
      <c r="J224" s="41">
        <v>1</v>
      </c>
      <c r="K224" s="41" t="s">
        <v>3557</v>
      </c>
      <c r="L224" s="41">
        <v>16</v>
      </c>
      <c r="M224" s="13"/>
      <c r="N224" s="13"/>
      <c r="O224" s="13" t="s">
        <v>329</v>
      </c>
      <c r="P224" s="13" t="s">
        <v>1032</v>
      </c>
      <c r="Q224" s="55">
        <f t="shared" si="26"/>
        <v>196</v>
      </c>
      <c r="R224" s="56">
        <f t="shared" si="27"/>
        <v>31.4</v>
      </c>
      <c r="S224" s="41" t="s">
        <v>1040</v>
      </c>
      <c r="T224" s="48" t="str">
        <f t="shared" si="30"/>
        <v>(1,'PS-01-OH4','Poste de Sectionnement n°01 OH4','Friday-01-jj','Friday-01-jj',NULL,1,),</v>
      </c>
    </row>
    <row r="225" spans="1:20" ht="20.100000000000001" customHeight="1" x14ac:dyDescent="0.25">
      <c r="A225" s="38">
        <v>2</v>
      </c>
      <c r="B225" s="38">
        <v>230</v>
      </c>
      <c r="C225" s="38" t="s">
        <v>588</v>
      </c>
      <c r="D225" s="38">
        <v>7</v>
      </c>
      <c r="E225" s="11" t="str">
        <f t="shared" si="31"/>
        <v>PS-02-OH4</v>
      </c>
      <c r="F225" s="9" t="str">
        <f t="shared" si="32"/>
        <v>Poste de Sectionnement n°02 OH4</v>
      </c>
      <c r="G225" s="12">
        <v>36161</v>
      </c>
      <c r="H225" s="12">
        <v>36161</v>
      </c>
      <c r="I225" s="13" t="s">
        <v>20</v>
      </c>
      <c r="J225" s="41">
        <v>1</v>
      </c>
      <c r="K225" s="41" t="s">
        <v>3557</v>
      </c>
      <c r="L225" s="41">
        <v>16</v>
      </c>
      <c r="M225" s="13"/>
      <c r="N225" s="13"/>
      <c r="O225" s="13" t="s">
        <v>329</v>
      </c>
      <c r="P225" s="13" t="s">
        <v>1033</v>
      </c>
      <c r="Q225" s="55">
        <f t="shared" si="26"/>
        <v>185</v>
      </c>
      <c r="R225" s="56">
        <f t="shared" si="27"/>
        <v>63.5</v>
      </c>
      <c r="S225" s="67" t="s">
        <v>1040</v>
      </c>
      <c r="T225" s="48" t="str">
        <f t="shared" si="30"/>
        <v>(2,'PS-02-OH4','Poste de Sectionnement n°02 OH4','Friday-01-jj','Friday-01-jj',NULL,1,),</v>
      </c>
    </row>
    <row r="226" spans="1:20" ht="20.100000000000001" customHeight="1" x14ac:dyDescent="0.25">
      <c r="A226" s="38">
        <v>3</v>
      </c>
      <c r="B226" s="38">
        <v>231</v>
      </c>
      <c r="C226" s="38" t="s">
        <v>588</v>
      </c>
      <c r="D226" s="38">
        <v>7</v>
      </c>
      <c r="E226" s="11" t="str">
        <f t="shared" si="31"/>
        <v>PS-03-OH4</v>
      </c>
      <c r="F226" s="9" t="str">
        <f t="shared" si="32"/>
        <v>Poste de Sectionnement n°03 OH4</v>
      </c>
      <c r="G226" s="12">
        <v>36161</v>
      </c>
      <c r="H226" s="12">
        <v>36161</v>
      </c>
      <c r="I226" s="13" t="s">
        <v>20</v>
      </c>
      <c r="J226" s="41">
        <v>1</v>
      </c>
      <c r="K226" s="41" t="s">
        <v>3557</v>
      </c>
      <c r="L226" s="41">
        <v>16</v>
      </c>
      <c r="M226" s="13"/>
      <c r="N226" s="13"/>
      <c r="O226" s="13" t="s">
        <v>329</v>
      </c>
      <c r="P226" s="13" t="s">
        <v>1041</v>
      </c>
      <c r="Q226" s="55">
        <f t="shared" si="26"/>
        <v>187</v>
      </c>
      <c r="R226" s="56">
        <f t="shared" si="27"/>
        <v>93.5</v>
      </c>
      <c r="S226" s="41" t="s">
        <v>998</v>
      </c>
      <c r="T226" s="48" t="str">
        <f t="shared" si="30"/>
        <v>(3,'PS-03-OH4','Poste de Sectionnement n°03 OH4','Friday-01-jj','Friday-01-jj',NULL,1,),</v>
      </c>
    </row>
    <row r="227" spans="1:20" ht="20.100000000000001" customHeight="1" x14ac:dyDescent="0.25">
      <c r="A227" s="38">
        <v>4</v>
      </c>
      <c r="B227" s="38">
        <v>232</v>
      </c>
      <c r="C227" s="38" t="s">
        <v>588</v>
      </c>
      <c r="D227" s="38">
        <v>7</v>
      </c>
      <c r="E227" s="11" t="str">
        <f t="shared" si="31"/>
        <v>PS-04-OH4</v>
      </c>
      <c r="F227" s="9" t="str">
        <f t="shared" si="32"/>
        <v>Poste de Sectionnement n°04 OH4</v>
      </c>
      <c r="G227" s="12">
        <v>36161</v>
      </c>
      <c r="H227" s="12">
        <v>36161</v>
      </c>
      <c r="I227" s="13" t="s">
        <v>20</v>
      </c>
      <c r="J227" s="41">
        <v>1</v>
      </c>
      <c r="K227" s="41" t="s">
        <v>3557</v>
      </c>
      <c r="L227" s="41">
        <v>16</v>
      </c>
      <c r="M227" s="13"/>
      <c r="N227" s="13"/>
      <c r="O227" s="13" t="s">
        <v>329</v>
      </c>
      <c r="P227" s="13" t="s">
        <v>1035</v>
      </c>
      <c r="Q227" s="55">
        <f t="shared" si="26"/>
        <v>190</v>
      </c>
      <c r="R227" s="56">
        <f t="shared" si="27"/>
        <v>123.4</v>
      </c>
      <c r="S227" s="41" t="s">
        <v>998</v>
      </c>
      <c r="T227" s="48" t="str">
        <f t="shared" si="30"/>
        <v>(4,'PS-04-OH4','Poste de Sectionnement n°04 OH4','Friday-01-jj','Friday-01-jj',NULL,1,),</v>
      </c>
    </row>
    <row r="228" spans="1:20" ht="20.100000000000001" customHeight="1" x14ac:dyDescent="0.25">
      <c r="A228" s="38">
        <v>1</v>
      </c>
      <c r="B228" s="38">
        <v>233</v>
      </c>
      <c r="C228" s="38" t="s">
        <v>588</v>
      </c>
      <c r="D228" s="38">
        <v>7</v>
      </c>
      <c r="E228" s="39" t="str">
        <f>CONCATENATE("PC-",TEXT(A228,"00"),"-",O228)</f>
        <v>PC-01-OH4</v>
      </c>
      <c r="F228" s="48" t="str">
        <f>CONCATENATE("Poste de Coupure n°",TEXT(A228,"00")," ",O228)</f>
        <v>Poste de Coupure n°01 OH4</v>
      </c>
      <c r="G228" s="19">
        <v>38718</v>
      </c>
      <c r="H228" s="19">
        <v>38718</v>
      </c>
      <c r="I228" s="41" t="s">
        <v>20</v>
      </c>
      <c r="J228" s="41">
        <v>1</v>
      </c>
      <c r="K228" s="41" t="s">
        <v>3556</v>
      </c>
      <c r="L228" s="41">
        <v>15</v>
      </c>
      <c r="M228" s="41"/>
      <c r="N228" s="41"/>
      <c r="O228" s="41" t="s">
        <v>329</v>
      </c>
      <c r="P228" s="41" t="s">
        <v>3306</v>
      </c>
      <c r="Q228" s="49">
        <f t="shared" si="26"/>
        <v>182</v>
      </c>
      <c r="R228" s="43">
        <f t="shared" si="27"/>
        <v>158</v>
      </c>
      <c r="S228" s="41" t="s">
        <v>3307</v>
      </c>
      <c r="T228" s="48" t="str">
        <f t="shared" si="30"/>
        <v>(1,'PC-01-OH4','Poste de Coupure n°01 OH4','Sunday-01-jj','Sunday-01-jj',NULL,1,),</v>
      </c>
    </row>
    <row r="229" spans="1:20" ht="20.100000000000001" customHeight="1" x14ac:dyDescent="0.25">
      <c r="A229" s="38">
        <v>2</v>
      </c>
      <c r="B229" s="38">
        <v>234</v>
      </c>
      <c r="C229" s="38" t="s">
        <v>588</v>
      </c>
      <c r="D229" s="38">
        <v>7</v>
      </c>
      <c r="E229" s="39" t="s">
        <v>131</v>
      </c>
      <c r="F229" s="48" t="str">
        <f>CONCATENATE("Station de Pompage ",E229)</f>
        <v>Station de Pompage SP2-OH3/OH4</v>
      </c>
      <c r="G229" s="19">
        <v>37721</v>
      </c>
      <c r="H229" s="19">
        <v>37721</v>
      </c>
      <c r="I229" s="41" t="s">
        <v>20</v>
      </c>
      <c r="J229" s="41">
        <v>2</v>
      </c>
      <c r="K229" s="41" t="s">
        <v>3552</v>
      </c>
      <c r="L229" s="41">
        <v>7</v>
      </c>
      <c r="M229" s="41">
        <v>10</v>
      </c>
      <c r="N229" s="41"/>
      <c r="O229" s="41" t="s">
        <v>329</v>
      </c>
      <c r="P229" s="41" t="s">
        <v>3306</v>
      </c>
      <c r="Q229" s="49">
        <f t="shared" si="26"/>
        <v>182</v>
      </c>
      <c r="R229" s="43">
        <f t="shared" si="27"/>
        <v>158</v>
      </c>
      <c r="S229" s="41" t="s">
        <v>3307</v>
      </c>
      <c r="T229" s="48" t="str">
        <f t="shared" si="30"/>
        <v>(2,'SP2-OH3/OH4','Station de Pompage SP2-OH3/OH4','Thursday-04-jj','Thursday-04-jj',NULL,2,10),</v>
      </c>
    </row>
    <row r="230" spans="1:20" ht="20.100000000000001" customHeight="1" x14ac:dyDescent="0.25">
      <c r="A230" s="38">
        <v>5</v>
      </c>
      <c r="B230" s="38">
        <v>235</v>
      </c>
      <c r="C230" s="38" t="s">
        <v>588</v>
      </c>
      <c r="D230" s="38">
        <v>7</v>
      </c>
      <c r="E230" s="11" t="str">
        <f>CONCATENATE("PS-",TEXT(A230,"00"),"-",O230)</f>
        <v>PS-05-OH4</v>
      </c>
      <c r="F230" s="9" t="str">
        <f>CONCATENATE("Poste de Sectionnement n°",TEXT(A230,"00")," ",O230)</f>
        <v>Poste de Sectionnement n°05 OH4</v>
      </c>
      <c r="G230" s="12">
        <v>36161</v>
      </c>
      <c r="H230" s="12">
        <v>36161</v>
      </c>
      <c r="I230" s="13" t="s">
        <v>20</v>
      </c>
      <c r="J230" s="41">
        <v>1</v>
      </c>
      <c r="K230" s="41" t="s">
        <v>3557</v>
      </c>
      <c r="L230" s="41">
        <v>16</v>
      </c>
      <c r="M230" s="13"/>
      <c r="N230" s="13"/>
      <c r="O230" s="13" t="s">
        <v>329</v>
      </c>
      <c r="P230" s="13" t="s">
        <v>1042</v>
      </c>
      <c r="Q230" s="55">
        <f t="shared" si="26"/>
        <v>184</v>
      </c>
      <c r="R230" s="56">
        <f t="shared" si="27"/>
        <v>173.245</v>
      </c>
      <c r="S230" s="41" t="s">
        <v>998</v>
      </c>
      <c r="T230" s="48" t="str">
        <f t="shared" si="30"/>
        <v>(5,'PS-05-OH4','Poste de Sectionnement n°05 OH4','Friday-01-jj','Friday-01-jj',NULL,1,),</v>
      </c>
    </row>
    <row r="231" spans="1:20" ht="20.100000000000001" customHeight="1" x14ac:dyDescent="0.25">
      <c r="A231" s="38">
        <v>6</v>
      </c>
      <c r="B231" s="38">
        <v>236</v>
      </c>
      <c r="C231" s="38" t="s">
        <v>588</v>
      </c>
      <c r="D231" s="38">
        <v>7</v>
      </c>
      <c r="E231" s="11" t="str">
        <f>CONCATENATE("PS-",TEXT(A231,"00"),"-",O231)</f>
        <v>PS-06-OH4</v>
      </c>
      <c r="F231" s="9" t="str">
        <f>CONCATENATE("Poste de Sectionnement n°",TEXT(A231,"00")," ",O231)</f>
        <v>Poste de Sectionnement n°06 OH4</v>
      </c>
      <c r="G231" s="12">
        <v>36161</v>
      </c>
      <c r="H231" s="12">
        <v>36161</v>
      </c>
      <c r="I231" s="13" t="s">
        <v>20</v>
      </c>
      <c r="J231" s="41">
        <v>1</v>
      </c>
      <c r="K231" s="41" t="s">
        <v>3557</v>
      </c>
      <c r="L231" s="41">
        <v>16</v>
      </c>
      <c r="M231" s="13"/>
      <c r="N231" s="13"/>
      <c r="O231" s="13" t="s">
        <v>329</v>
      </c>
      <c r="P231" s="13" t="s">
        <v>1043</v>
      </c>
      <c r="Q231" s="55">
        <f t="shared" si="26"/>
        <v>165</v>
      </c>
      <c r="R231" s="56">
        <f t="shared" si="27"/>
        <v>204.01</v>
      </c>
      <c r="S231" s="41" t="s">
        <v>998</v>
      </c>
      <c r="T231" s="48" t="str">
        <f t="shared" si="30"/>
        <v>(6,'PS-06-OH4','Poste de Sectionnement n°06 OH4','Friday-01-jj','Friday-01-jj',NULL,1,),</v>
      </c>
    </row>
    <row r="232" spans="1:20" ht="20.100000000000001" customHeight="1" x14ac:dyDescent="0.25">
      <c r="A232" s="38">
        <v>7</v>
      </c>
      <c r="B232" s="38">
        <v>237</v>
      </c>
      <c r="C232" s="38" t="s">
        <v>588</v>
      </c>
      <c r="D232" s="38">
        <v>7</v>
      </c>
      <c r="E232" s="11" t="str">
        <f>CONCATENATE("PS-",TEXT(A232,"00"),"-",O232)</f>
        <v>PS-07-OH4</v>
      </c>
      <c r="F232" s="9" t="str">
        <f>CONCATENATE("Poste de Sectionnement n°",TEXT(A232,"00")," ",O232)</f>
        <v>Poste de Sectionnement n°07 OH4</v>
      </c>
      <c r="G232" s="12">
        <v>36161</v>
      </c>
      <c r="H232" s="12">
        <v>36161</v>
      </c>
      <c r="I232" s="13" t="s">
        <v>20</v>
      </c>
      <c r="J232" s="41">
        <v>1</v>
      </c>
      <c r="K232" s="41" t="s">
        <v>3557</v>
      </c>
      <c r="L232" s="41">
        <v>16</v>
      </c>
      <c r="M232" s="13"/>
      <c r="N232" s="13"/>
      <c r="O232" s="13" t="s">
        <v>329</v>
      </c>
      <c r="P232" s="13" t="s">
        <v>1044</v>
      </c>
      <c r="Q232" s="55">
        <f t="shared" si="26"/>
        <v>156.79</v>
      </c>
      <c r="R232" s="56">
        <f t="shared" si="27"/>
        <v>233.041</v>
      </c>
      <c r="S232" s="41" t="s">
        <v>998</v>
      </c>
      <c r="T232" s="48" t="str">
        <f t="shared" si="30"/>
        <v>(7,'PS-07-OH4','Poste de Sectionnement n°07 OH4','Friday-01-jj','Friday-01-jj',NULL,1,),</v>
      </c>
    </row>
    <row r="233" spans="1:20" ht="20.100000000000001" customHeight="1" x14ac:dyDescent="0.25">
      <c r="A233" s="38">
        <v>8</v>
      </c>
      <c r="B233" s="38">
        <v>238</v>
      </c>
      <c r="C233" s="38" t="s">
        <v>588</v>
      </c>
      <c r="D233" s="38">
        <v>7</v>
      </c>
      <c r="E233" s="11" t="str">
        <f>CONCATENATE("PS-",TEXT(A233,"00"),"-",O233)</f>
        <v>PS-08-OH4</v>
      </c>
      <c r="F233" s="9" t="str">
        <f>CONCATENATE("Poste de Sectionnement n°",TEXT(A233,"00")," ",O233)</f>
        <v>Poste de Sectionnement n°08 OH4</v>
      </c>
      <c r="G233" s="12">
        <v>36161</v>
      </c>
      <c r="H233" s="12">
        <v>36161</v>
      </c>
      <c r="I233" s="13" t="s">
        <v>20</v>
      </c>
      <c r="J233" s="41">
        <v>1</v>
      </c>
      <c r="K233" s="41" t="s">
        <v>3557</v>
      </c>
      <c r="L233" s="41">
        <v>16</v>
      </c>
      <c r="M233" s="13"/>
      <c r="N233" s="13"/>
      <c r="O233" s="13" t="s">
        <v>329</v>
      </c>
      <c r="P233" s="13" t="s">
        <v>1045</v>
      </c>
      <c r="Q233" s="55">
        <f t="shared" si="26"/>
        <v>169.65</v>
      </c>
      <c r="R233" s="56">
        <f t="shared" si="27"/>
        <v>263</v>
      </c>
      <c r="S233" s="41" t="s">
        <v>998</v>
      </c>
      <c r="T233" s="48" t="str">
        <f t="shared" si="30"/>
        <v>(8,'PS-08-OH4','Poste de Sectionnement n°08 OH4','Friday-01-jj','Friday-01-jj',NULL,1,),</v>
      </c>
    </row>
    <row r="234" spans="1:20" ht="20.100000000000001" customHeight="1" x14ac:dyDescent="0.25">
      <c r="A234" s="38">
        <v>1</v>
      </c>
      <c r="B234" s="38">
        <v>239</v>
      </c>
      <c r="C234" s="38" t="s">
        <v>341</v>
      </c>
      <c r="D234" s="38">
        <v>8</v>
      </c>
      <c r="E234" s="39" t="s">
        <v>133</v>
      </c>
      <c r="F234" s="48" t="str">
        <f>CONCATENATE("Station de Pompage ",E234)</f>
        <v>Station de Pompage SP4-NZ1</v>
      </c>
      <c r="G234" s="19">
        <v>28796</v>
      </c>
      <c r="H234" s="19">
        <v>28796</v>
      </c>
      <c r="I234" s="41" t="s">
        <v>20</v>
      </c>
      <c r="J234" s="41">
        <v>1</v>
      </c>
      <c r="K234" s="41" t="s">
        <v>3552</v>
      </c>
      <c r="L234" s="41">
        <v>7</v>
      </c>
      <c r="M234" s="41">
        <v>10</v>
      </c>
      <c r="N234" s="41"/>
      <c r="O234" s="41" t="s">
        <v>341</v>
      </c>
      <c r="P234" s="41" t="s">
        <v>1149</v>
      </c>
      <c r="Q234" s="49">
        <f t="shared" si="26"/>
        <v>780</v>
      </c>
      <c r="R234" s="43">
        <f t="shared" si="27"/>
        <v>0</v>
      </c>
      <c r="S234" s="41" t="s">
        <v>790</v>
      </c>
      <c r="T234" s="48" t="str">
        <f t="shared" si="30"/>
        <v>(1,'SP4-NZ1','Station de Pompage SP4-NZ1','Thursday-11-jj','Thursday-11-jj',NULL,1,10),</v>
      </c>
    </row>
    <row r="235" spans="1:20" ht="20.100000000000001" customHeight="1" x14ac:dyDescent="0.25">
      <c r="A235" s="38">
        <v>1</v>
      </c>
      <c r="B235" s="38">
        <v>240</v>
      </c>
      <c r="C235" s="38" t="s">
        <v>341</v>
      </c>
      <c r="D235" s="38">
        <v>8</v>
      </c>
      <c r="E235" s="39" t="str">
        <f>CONCATENATE("PS-",TEXT(A235,"00"),"-",O235)</f>
        <v>PS-01-NZ1</v>
      </c>
      <c r="F235" s="48" t="str">
        <f>CONCATENATE("Poste de Sectionnement n°",TEXT(A235,"00")," ",O235)</f>
        <v>Poste de Sectionnement n°01 NZ1</v>
      </c>
      <c r="G235" s="19">
        <v>28795</v>
      </c>
      <c r="H235" s="19">
        <v>28795</v>
      </c>
      <c r="I235" s="41" t="s">
        <v>20</v>
      </c>
      <c r="J235" s="41">
        <v>1</v>
      </c>
      <c r="K235" s="41" t="s">
        <v>3557</v>
      </c>
      <c r="L235" s="41">
        <v>16</v>
      </c>
      <c r="M235" s="41"/>
      <c r="N235" s="41"/>
      <c r="O235" s="41" t="s">
        <v>341</v>
      </c>
      <c r="P235" s="41" t="s">
        <v>1046</v>
      </c>
      <c r="Q235" s="57">
        <v>780</v>
      </c>
      <c r="R235" s="43">
        <f t="shared" ref="R235:R240" si="33">VALUE(SUBSTITUTE(P235,"+",","))</f>
        <v>0.44600000000000001</v>
      </c>
      <c r="S235" s="41" t="s">
        <v>1073</v>
      </c>
      <c r="T235" s="48" t="str">
        <f t="shared" si="30"/>
        <v>(1,'PS-01-NZ1','Poste de Sectionnement n°01 NZ1','Wednesday-11-jj','Wednesday-11-jj',NULL,1,),</v>
      </c>
    </row>
    <row r="236" spans="1:20" ht="20.100000000000001" customHeight="1" x14ac:dyDescent="0.25">
      <c r="A236" s="38">
        <v>2</v>
      </c>
      <c r="B236" s="38">
        <v>241</v>
      </c>
      <c r="C236" s="38" t="s">
        <v>341</v>
      </c>
      <c r="D236" s="38">
        <v>8</v>
      </c>
      <c r="E236" s="39" t="str">
        <f>CONCATENATE("PS-",TEXT(A236,"00"),"-",O236)</f>
        <v>PS-02-NZ1</v>
      </c>
      <c r="F236" s="48" t="str">
        <f>CONCATENATE("Poste de Sectionnement n°",TEXT(A236,"00")," ",O236)</f>
        <v>Poste de Sectionnement n°02 NZ1</v>
      </c>
      <c r="G236" s="19">
        <v>28795</v>
      </c>
      <c r="H236" s="19">
        <v>28795</v>
      </c>
      <c r="I236" s="41" t="s">
        <v>20</v>
      </c>
      <c r="J236" s="41">
        <v>1</v>
      </c>
      <c r="K236" s="41" t="s">
        <v>3557</v>
      </c>
      <c r="L236" s="41">
        <v>16</v>
      </c>
      <c r="M236" s="41"/>
      <c r="N236" s="41"/>
      <c r="O236" s="41" t="s">
        <v>341</v>
      </c>
      <c r="P236" s="41" t="s">
        <v>1047</v>
      </c>
      <c r="Q236" s="57">
        <v>752</v>
      </c>
      <c r="R236" s="43">
        <f t="shared" si="33"/>
        <v>7</v>
      </c>
      <c r="S236" s="41" t="s">
        <v>1073</v>
      </c>
      <c r="T236" s="48" t="str">
        <f t="shared" si="30"/>
        <v>(2,'PS-02-NZ1','Poste de Sectionnement n°02 NZ1','Wednesday-11-jj','Wednesday-11-jj',NULL,1,),</v>
      </c>
    </row>
    <row r="237" spans="1:20" ht="20.100000000000001" customHeight="1" x14ac:dyDescent="0.25">
      <c r="A237" s="38">
        <v>3</v>
      </c>
      <c r="B237" s="38">
        <v>242</v>
      </c>
      <c r="C237" s="38" t="s">
        <v>341</v>
      </c>
      <c r="D237" s="38">
        <v>8</v>
      </c>
      <c r="E237" s="39" t="str">
        <f>CONCATENATE("PS-",TEXT(A237,"00"),"-",O237)</f>
        <v>PS-03-NZ1</v>
      </c>
      <c r="F237" s="48" t="str">
        <f>CONCATENATE("Poste de Sectionnement n°",TEXT(A237,"00")," ",O237)</f>
        <v>Poste de Sectionnement n°03 NZ1</v>
      </c>
      <c r="G237" s="19">
        <v>28795</v>
      </c>
      <c r="H237" s="19">
        <v>28795</v>
      </c>
      <c r="I237" s="41" t="s">
        <v>20</v>
      </c>
      <c r="J237" s="41">
        <v>1</v>
      </c>
      <c r="K237" s="41" t="s">
        <v>3557</v>
      </c>
      <c r="L237" s="41">
        <v>16</v>
      </c>
      <c r="M237" s="41"/>
      <c r="N237" s="41"/>
      <c r="O237" s="41" t="s">
        <v>341</v>
      </c>
      <c r="P237" s="41" t="s">
        <v>1048</v>
      </c>
      <c r="Q237" s="57">
        <v>767</v>
      </c>
      <c r="R237" s="43">
        <f t="shared" si="33"/>
        <v>22.96</v>
      </c>
      <c r="S237" s="41" t="s">
        <v>1074</v>
      </c>
      <c r="T237" s="48" t="str">
        <f t="shared" si="30"/>
        <v>(3,'PS-03-NZ1','Poste de Sectionnement n°03 NZ1','Wednesday-11-jj','Wednesday-11-jj',NULL,1,),</v>
      </c>
    </row>
    <row r="238" spans="1:20" ht="20.100000000000001" customHeight="1" x14ac:dyDescent="0.25">
      <c r="A238" s="38">
        <v>4</v>
      </c>
      <c r="B238" s="38">
        <v>243</v>
      </c>
      <c r="C238" s="38" t="s">
        <v>341</v>
      </c>
      <c r="D238" s="38">
        <v>8</v>
      </c>
      <c r="E238" s="39" t="str">
        <f>CONCATENATE("PS-",TEXT(A238,"00"),"-",O238)</f>
        <v>PS-04-NZ1</v>
      </c>
      <c r="F238" s="48" t="str">
        <f>CONCATENATE("Poste de Sectionnement n°",TEXT(A238,"00")," ",O238)</f>
        <v>Poste de Sectionnement n°04 NZ1</v>
      </c>
      <c r="G238" s="19">
        <v>28795</v>
      </c>
      <c r="H238" s="19">
        <v>28795</v>
      </c>
      <c r="I238" s="41" t="s">
        <v>20</v>
      </c>
      <c r="J238" s="41">
        <v>1</v>
      </c>
      <c r="K238" s="41" t="s">
        <v>3557</v>
      </c>
      <c r="L238" s="41">
        <v>16</v>
      </c>
      <c r="M238" s="41"/>
      <c r="N238" s="41"/>
      <c r="O238" s="41" t="s">
        <v>341</v>
      </c>
      <c r="P238" s="41" t="s">
        <v>1049</v>
      </c>
      <c r="Q238" s="57">
        <v>840</v>
      </c>
      <c r="R238" s="43">
        <f t="shared" si="33"/>
        <v>77</v>
      </c>
      <c r="S238" s="41" t="s">
        <v>1074</v>
      </c>
      <c r="T238" s="48" t="str">
        <f t="shared" si="30"/>
        <v>(4,'PS-04-NZ1','Poste de Sectionnement n°04 NZ1','Wednesday-11-jj','Wednesday-11-jj',NULL,1,),</v>
      </c>
    </row>
    <row r="239" spans="1:20" ht="20.100000000000001" customHeight="1" x14ac:dyDescent="0.25">
      <c r="A239" s="38">
        <v>5</v>
      </c>
      <c r="B239" s="38">
        <v>244</v>
      </c>
      <c r="C239" s="38" t="s">
        <v>341</v>
      </c>
      <c r="D239" s="38">
        <v>8</v>
      </c>
      <c r="E239" s="39" t="str">
        <f>CONCATENATE("PS-",TEXT(A239,"00"),"-",O239)</f>
        <v>PS-05-NZ1</v>
      </c>
      <c r="F239" s="48" t="str">
        <f>CONCATENATE("Poste de Sectionnement n°",TEXT(A239,"00")," ",O239)</f>
        <v>Poste de Sectionnement n°05 NZ1</v>
      </c>
      <c r="G239" s="19">
        <v>28795</v>
      </c>
      <c r="H239" s="19">
        <v>28795</v>
      </c>
      <c r="I239" s="41" t="s">
        <v>20</v>
      </c>
      <c r="J239" s="41">
        <v>1</v>
      </c>
      <c r="K239" s="41" t="s">
        <v>3557</v>
      </c>
      <c r="L239" s="41">
        <v>16</v>
      </c>
      <c r="M239" s="41"/>
      <c r="N239" s="41"/>
      <c r="O239" s="41" t="s">
        <v>341</v>
      </c>
      <c r="P239" s="41" t="s">
        <v>1050</v>
      </c>
      <c r="Q239" s="43">
        <v>806</v>
      </c>
      <c r="R239" s="43">
        <f t="shared" si="33"/>
        <v>95</v>
      </c>
      <c r="S239" s="41" t="s">
        <v>1075</v>
      </c>
      <c r="T239" s="48" t="str">
        <f t="shared" si="30"/>
        <v>(5,'PS-05-NZ1','Poste de Sectionnement n°05 NZ1','Wednesday-11-jj','Wednesday-11-jj',NULL,1,),</v>
      </c>
    </row>
    <row r="240" spans="1:20" ht="20.100000000000001" customHeight="1" x14ac:dyDescent="0.25">
      <c r="A240" s="38">
        <v>1</v>
      </c>
      <c r="B240" s="38">
        <v>245</v>
      </c>
      <c r="C240" s="38" t="s">
        <v>341</v>
      </c>
      <c r="D240" s="38">
        <v>8</v>
      </c>
      <c r="E240" s="39" t="str">
        <f>CONCATENATE("PC-",TEXT(A240,"00"),"-",O240)</f>
        <v>PC-01-NZ1</v>
      </c>
      <c r="F240" s="48" t="str">
        <f>CONCATENATE("Poste de Coupure n°",TEXT(A240,"00")," ",O240)</f>
        <v>Poste de Coupure n°01 NZ1</v>
      </c>
      <c r="G240" s="19">
        <v>28795</v>
      </c>
      <c r="H240" s="19">
        <v>28795</v>
      </c>
      <c r="I240" s="41" t="s">
        <v>20</v>
      </c>
      <c r="J240" s="41">
        <v>1</v>
      </c>
      <c r="K240" s="41" t="s">
        <v>3556</v>
      </c>
      <c r="L240" s="41">
        <v>15</v>
      </c>
      <c r="M240" s="41"/>
      <c r="N240" s="41"/>
      <c r="O240" s="41" t="s">
        <v>341</v>
      </c>
      <c r="P240" s="41" t="s">
        <v>3308</v>
      </c>
      <c r="Q240" s="49">
        <v>880</v>
      </c>
      <c r="R240" s="43">
        <f t="shared" si="33"/>
        <v>109.02</v>
      </c>
      <c r="S240" s="41" t="s">
        <v>3310</v>
      </c>
      <c r="T240" s="48" t="str">
        <f t="shared" si="30"/>
        <v>(1,'PC-01-NZ1','Poste de Coupure n°01 NZ1','Wednesday-11-jj','Wednesday-11-jj',NULL,1,),</v>
      </c>
    </row>
    <row r="241" spans="1:20" ht="20.100000000000001" customHeight="1" x14ac:dyDescent="0.25">
      <c r="A241" s="38">
        <v>2</v>
      </c>
      <c r="B241" s="38">
        <v>246</v>
      </c>
      <c r="C241" s="38" t="s">
        <v>341</v>
      </c>
      <c r="D241" s="38">
        <v>8</v>
      </c>
      <c r="E241" s="39" t="s">
        <v>135</v>
      </c>
      <c r="F241" s="48" t="str">
        <f>CONCATENATE("Station de Pompage ",E241)</f>
        <v>Station de Pompage SP5-NZ1</v>
      </c>
      <c r="G241" s="19">
        <v>28796</v>
      </c>
      <c r="H241" s="19">
        <v>28796</v>
      </c>
      <c r="I241" s="41" t="s">
        <v>20</v>
      </c>
      <c r="J241" s="41">
        <v>1</v>
      </c>
      <c r="K241" s="41" t="s">
        <v>3552</v>
      </c>
      <c r="L241" s="41">
        <v>7</v>
      </c>
      <c r="M241" s="41">
        <v>10</v>
      </c>
      <c r="N241" s="41"/>
      <c r="O241" s="41" t="s">
        <v>341</v>
      </c>
      <c r="P241" s="41" t="s">
        <v>3566</v>
      </c>
      <c r="Q241" s="49">
        <f>VALUE(RIGHT(P241,LEN(P241)-SEARCH("/",P241)))</f>
        <v>880</v>
      </c>
      <c r="R241" s="43">
        <f>VALUE(SUBSTITUTE(LEFT(P241,SEARCH("/",P241)-1),"+",","))</f>
        <v>109.02</v>
      </c>
      <c r="S241" s="41" t="s">
        <v>3569</v>
      </c>
      <c r="T241" s="48" t="str">
        <f t="shared" si="30"/>
        <v>(2,'SP5-NZ1','Station de Pompage SP5-NZ1','Thursday-11-jj','Thursday-11-jj',NULL,1,10),</v>
      </c>
    </row>
    <row r="242" spans="1:20" ht="20.100000000000001" customHeight="1" x14ac:dyDescent="0.25">
      <c r="A242" s="38">
        <v>6</v>
      </c>
      <c r="B242" s="38">
        <v>247</v>
      </c>
      <c r="C242" s="38" t="s">
        <v>341</v>
      </c>
      <c r="D242" s="38">
        <v>8</v>
      </c>
      <c r="E242" s="39" t="str">
        <f t="shared" ref="E242:E247" si="34">CONCATENATE("PS-",TEXT(A242,"00"),"-",O242)</f>
        <v>PS-06-NZ1</v>
      </c>
      <c r="F242" s="48" t="str">
        <f t="shared" ref="F242:F247" si="35">CONCATENATE("Poste de Sectionnement n°",TEXT(A242,"00")," ",O242)</f>
        <v>Poste de Sectionnement n°06 NZ1</v>
      </c>
      <c r="G242" s="19">
        <v>28795</v>
      </c>
      <c r="H242" s="19">
        <v>28795</v>
      </c>
      <c r="I242" s="41" t="s">
        <v>20</v>
      </c>
      <c r="J242" s="41">
        <v>1</v>
      </c>
      <c r="K242" s="41" t="s">
        <v>3557</v>
      </c>
      <c r="L242" s="41">
        <v>16</v>
      </c>
      <c r="M242" s="41"/>
      <c r="N242" s="41"/>
      <c r="O242" s="41" t="s">
        <v>341</v>
      </c>
      <c r="P242" s="41" t="s">
        <v>1051</v>
      </c>
      <c r="Q242" s="43">
        <v>878</v>
      </c>
      <c r="R242" s="43">
        <f t="shared" ref="R242:R248" si="36">VALUE(SUBSTITUTE(P242,"+",","))</f>
        <v>109.274</v>
      </c>
      <c r="S242" s="41" t="s">
        <v>1076</v>
      </c>
      <c r="T242" s="48" t="str">
        <f t="shared" si="30"/>
        <v>(6,'PS-06-NZ1','Poste de Sectionnement n°06 NZ1','Wednesday-11-jj','Wednesday-11-jj',NULL,1,),</v>
      </c>
    </row>
    <row r="243" spans="1:20" ht="20.100000000000001" customHeight="1" x14ac:dyDescent="0.25">
      <c r="A243" s="38">
        <v>7</v>
      </c>
      <c r="B243" s="38">
        <v>248</v>
      </c>
      <c r="C243" s="38" t="s">
        <v>341</v>
      </c>
      <c r="D243" s="38">
        <v>8</v>
      </c>
      <c r="E243" s="39" t="str">
        <f t="shared" si="34"/>
        <v>PS-07-NZ1</v>
      </c>
      <c r="F243" s="48" t="str">
        <f t="shared" si="35"/>
        <v>Poste de Sectionnement n°07 NZ1</v>
      </c>
      <c r="G243" s="19">
        <v>28795</v>
      </c>
      <c r="H243" s="19">
        <v>28795</v>
      </c>
      <c r="I243" s="41" t="s">
        <v>20</v>
      </c>
      <c r="J243" s="41">
        <v>1</v>
      </c>
      <c r="K243" s="41" t="s">
        <v>3557</v>
      </c>
      <c r="L243" s="41">
        <v>16</v>
      </c>
      <c r="M243" s="41"/>
      <c r="N243" s="41"/>
      <c r="O243" s="41" t="s">
        <v>341</v>
      </c>
      <c r="P243" s="41" t="s">
        <v>1051</v>
      </c>
      <c r="Q243" s="43">
        <v>890</v>
      </c>
      <c r="R243" s="43">
        <f t="shared" si="36"/>
        <v>109.274</v>
      </c>
      <c r="S243" s="41" t="s">
        <v>1076</v>
      </c>
      <c r="T243" s="48" t="str">
        <f t="shared" si="30"/>
        <v>(7,'PS-07-NZ1','Poste de Sectionnement n°07 NZ1','Wednesday-11-jj','Wednesday-11-jj',NULL,1,),</v>
      </c>
    </row>
    <row r="244" spans="1:20" ht="20.100000000000001" customHeight="1" x14ac:dyDescent="0.25">
      <c r="A244" s="38">
        <v>8</v>
      </c>
      <c r="B244" s="38">
        <v>249</v>
      </c>
      <c r="C244" s="38" t="s">
        <v>341</v>
      </c>
      <c r="D244" s="38">
        <v>8</v>
      </c>
      <c r="E244" s="39" t="str">
        <f t="shared" si="34"/>
        <v>PS-08-NZ1</v>
      </c>
      <c r="F244" s="48" t="str">
        <f t="shared" si="35"/>
        <v>Poste de Sectionnement n°08 NZ1</v>
      </c>
      <c r="G244" s="19">
        <v>28795</v>
      </c>
      <c r="H244" s="19">
        <v>28795</v>
      </c>
      <c r="I244" s="41" t="s">
        <v>20</v>
      </c>
      <c r="J244" s="41">
        <v>1</v>
      </c>
      <c r="K244" s="41" t="s">
        <v>3557</v>
      </c>
      <c r="L244" s="41">
        <v>16</v>
      </c>
      <c r="M244" s="41"/>
      <c r="N244" s="41"/>
      <c r="O244" s="41" t="s">
        <v>341</v>
      </c>
      <c r="P244" s="41" t="s">
        <v>1052</v>
      </c>
      <c r="Q244" s="43">
        <v>1057</v>
      </c>
      <c r="R244" s="43">
        <f t="shared" si="36"/>
        <v>139.08600000000001</v>
      </c>
      <c r="S244" s="41" t="s">
        <v>1076</v>
      </c>
      <c r="T244" s="48" t="str">
        <f t="shared" si="30"/>
        <v>(8,'PS-08-NZ1','Poste de Sectionnement n°08 NZ1','Wednesday-11-jj','Wednesday-11-jj',NULL,1,),</v>
      </c>
    </row>
    <row r="245" spans="1:20" ht="20.100000000000001" customHeight="1" x14ac:dyDescent="0.25">
      <c r="A245" s="38">
        <v>9</v>
      </c>
      <c r="B245" s="38">
        <v>250</v>
      </c>
      <c r="C245" s="38" t="s">
        <v>341</v>
      </c>
      <c r="D245" s="38">
        <v>8</v>
      </c>
      <c r="E245" s="39" t="str">
        <f t="shared" si="34"/>
        <v>PS-09-NZ1</v>
      </c>
      <c r="F245" s="48" t="str">
        <f t="shared" si="35"/>
        <v>Poste de Sectionnement n°09 NZ1</v>
      </c>
      <c r="G245" s="19">
        <v>28795</v>
      </c>
      <c r="H245" s="19">
        <v>28795</v>
      </c>
      <c r="I245" s="41" t="s">
        <v>20</v>
      </c>
      <c r="J245" s="41">
        <v>1</v>
      </c>
      <c r="K245" s="41" t="s">
        <v>3557</v>
      </c>
      <c r="L245" s="41">
        <v>16</v>
      </c>
      <c r="M245" s="41"/>
      <c r="N245" s="41"/>
      <c r="O245" s="41" t="s">
        <v>341</v>
      </c>
      <c r="P245" s="41" t="s">
        <v>1053</v>
      </c>
      <c r="Q245" s="43">
        <v>1007</v>
      </c>
      <c r="R245" s="43">
        <f t="shared" si="36"/>
        <v>194.55099999999999</v>
      </c>
      <c r="S245" s="41" t="s">
        <v>1087</v>
      </c>
      <c r="T245" s="48" t="str">
        <f t="shared" si="30"/>
        <v>(9,'PS-09-NZ1','Poste de Sectionnement n°09 NZ1','Wednesday-11-jj','Wednesday-11-jj',NULL,1,),</v>
      </c>
    </row>
    <row r="246" spans="1:20" ht="20.100000000000001" customHeight="1" x14ac:dyDescent="0.25">
      <c r="A246" s="38">
        <v>10</v>
      </c>
      <c r="B246" s="38">
        <v>251</v>
      </c>
      <c r="C246" s="38" t="s">
        <v>341</v>
      </c>
      <c r="D246" s="38">
        <v>8</v>
      </c>
      <c r="E246" s="39" t="str">
        <f t="shared" si="34"/>
        <v>PS-10-NZ1</v>
      </c>
      <c r="F246" s="48" t="str">
        <f t="shared" si="35"/>
        <v>Poste de Sectionnement n°10 NZ1</v>
      </c>
      <c r="G246" s="19">
        <v>28795</v>
      </c>
      <c r="H246" s="19">
        <v>28795</v>
      </c>
      <c r="I246" s="41" t="s">
        <v>20</v>
      </c>
      <c r="J246" s="41">
        <v>1</v>
      </c>
      <c r="K246" s="41" t="s">
        <v>3557</v>
      </c>
      <c r="L246" s="41">
        <v>16</v>
      </c>
      <c r="M246" s="41"/>
      <c r="N246" s="41"/>
      <c r="O246" s="41" t="s">
        <v>341</v>
      </c>
      <c r="P246" s="41" t="s">
        <v>1054</v>
      </c>
      <c r="Q246" s="43">
        <v>978</v>
      </c>
      <c r="R246" s="43">
        <f t="shared" si="36"/>
        <v>230.02199999999999</v>
      </c>
      <c r="S246" s="41" t="s">
        <v>1077</v>
      </c>
      <c r="T246" s="48" t="str">
        <f t="shared" si="30"/>
        <v>(10,'PS-10-NZ1','Poste de Sectionnement n°10 NZ1','Wednesday-11-jj','Wednesday-11-jj',NULL,1,),</v>
      </c>
    </row>
    <row r="247" spans="1:20" ht="20.100000000000001" customHeight="1" x14ac:dyDescent="0.25">
      <c r="A247" s="38">
        <v>11</v>
      </c>
      <c r="B247" s="38">
        <v>252</v>
      </c>
      <c r="C247" s="38" t="s">
        <v>341</v>
      </c>
      <c r="D247" s="38">
        <v>8</v>
      </c>
      <c r="E247" s="39" t="str">
        <f t="shared" si="34"/>
        <v>PS-11-NZ1</v>
      </c>
      <c r="F247" s="48" t="str">
        <f t="shared" si="35"/>
        <v>Poste de Sectionnement n°11 NZ1</v>
      </c>
      <c r="G247" s="19">
        <v>28795</v>
      </c>
      <c r="H247" s="19">
        <v>28795</v>
      </c>
      <c r="I247" s="41" t="s">
        <v>20</v>
      </c>
      <c r="J247" s="41">
        <v>1</v>
      </c>
      <c r="K247" s="41" t="s">
        <v>3557</v>
      </c>
      <c r="L247" s="41">
        <v>16</v>
      </c>
      <c r="M247" s="41"/>
      <c r="N247" s="41"/>
      <c r="O247" s="41" t="s">
        <v>341</v>
      </c>
      <c r="P247" s="41" t="s">
        <v>1054</v>
      </c>
      <c r="Q247" s="43">
        <v>977</v>
      </c>
      <c r="R247" s="43">
        <f t="shared" si="36"/>
        <v>230.02199999999999</v>
      </c>
      <c r="S247" s="41" t="s">
        <v>1077</v>
      </c>
      <c r="T247" s="48" t="str">
        <f t="shared" si="30"/>
        <v>(11,'PS-11-NZ1','Poste de Sectionnement n°11 NZ1','Wednesday-11-jj','Wednesday-11-jj',NULL,1,),</v>
      </c>
    </row>
    <row r="248" spans="1:20" ht="20.100000000000001" customHeight="1" x14ac:dyDescent="0.25">
      <c r="A248" s="38">
        <v>2</v>
      </c>
      <c r="B248" s="38">
        <v>253</v>
      </c>
      <c r="C248" s="38" t="s">
        <v>341</v>
      </c>
      <c r="D248" s="38">
        <v>8</v>
      </c>
      <c r="E248" s="39" t="str">
        <f>CONCATENATE("PC-",TEXT(A248,"00"),"-",O248)</f>
        <v>PC-02-NZ1</v>
      </c>
      <c r="F248" s="48" t="str">
        <f>CONCATENATE("Poste de Coupure n°",TEXT(A248,"00")," ",O248)</f>
        <v>Poste de Coupure n°02 NZ1</v>
      </c>
      <c r="G248" s="19">
        <v>28795</v>
      </c>
      <c r="H248" s="19">
        <v>28795</v>
      </c>
      <c r="I248" s="41" t="s">
        <v>20</v>
      </c>
      <c r="J248" s="41">
        <v>1</v>
      </c>
      <c r="K248" s="41" t="s">
        <v>3556</v>
      </c>
      <c r="L248" s="41">
        <v>15</v>
      </c>
      <c r="M248" s="41"/>
      <c r="N248" s="41"/>
      <c r="O248" s="41" t="s">
        <v>341</v>
      </c>
      <c r="P248" s="41" t="s">
        <v>3309</v>
      </c>
      <c r="Q248" s="49">
        <v>973</v>
      </c>
      <c r="R248" s="43">
        <f t="shared" si="36"/>
        <v>230.06</v>
      </c>
      <c r="S248" s="41" t="s">
        <v>3311</v>
      </c>
      <c r="T248" s="48" t="str">
        <f t="shared" si="30"/>
        <v>(2,'PC-02-NZ1','Poste de Coupure n°02 NZ1','Wednesday-11-jj','Wednesday-11-jj',NULL,1,),</v>
      </c>
    </row>
    <row r="249" spans="1:20" ht="20.100000000000001" customHeight="1" x14ac:dyDescent="0.25">
      <c r="A249" s="38">
        <v>3</v>
      </c>
      <c r="B249" s="38">
        <v>254</v>
      </c>
      <c r="C249" s="38" t="s">
        <v>341</v>
      </c>
      <c r="D249" s="38">
        <v>8</v>
      </c>
      <c r="E249" s="39" t="s">
        <v>137</v>
      </c>
      <c r="F249" s="48" t="str">
        <f>CONCATENATE("Station de Pompage ",E249)</f>
        <v>Station de Pompage SP6-NZ1</v>
      </c>
      <c r="G249" s="19">
        <v>28796</v>
      </c>
      <c r="H249" s="19">
        <v>28796</v>
      </c>
      <c r="I249" s="41" t="s">
        <v>20</v>
      </c>
      <c r="J249" s="41">
        <v>1</v>
      </c>
      <c r="K249" s="41" t="s">
        <v>3552</v>
      </c>
      <c r="L249" s="41">
        <v>7</v>
      </c>
      <c r="M249" s="41">
        <v>10</v>
      </c>
      <c r="N249" s="41"/>
      <c r="O249" s="41" t="s">
        <v>341</v>
      </c>
      <c r="P249" s="41" t="s">
        <v>3567</v>
      </c>
      <c r="Q249" s="49">
        <f>VALUE(RIGHT(P249,LEN(P249)-SEARCH("/",P249)))</f>
        <v>973</v>
      </c>
      <c r="R249" s="43">
        <f>VALUE(SUBSTITUTE(LEFT(P249,SEARCH("/",P249)-1),"+",","))</f>
        <v>230.06</v>
      </c>
      <c r="S249" s="41" t="s">
        <v>3568</v>
      </c>
      <c r="T249" s="48" t="str">
        <f t="shared" si="30"/>
        <v>(3,'SP6-NZ1','Station de Pompage SP6-NZ1','Thursday-11-jj','Thursday-11-jj',NULL,1,10),</v>
      </c>
    </row>
    <row r="250" spans="1:20" ht="20.100000000000001" customHeight="1" x14ac:dyDescent="0.25">
      <c r="A250" s="38">
        <v>12</v>
      </c>
      <c r="B250" s="38">
        <v>255</v>
      </c>
      <c r="C250" s="38" t="s">
        <v>341</v>
      </c>
      <c r="D250" s="38">
        <v>8</v>
      </c>
      <c r="E250" s="39" t="str">
        <f t="shared" ref="E250:E255" si="37">CONCATENATE("PS-",TEXT(A250,"00"),"-",O250)</f>
        <v>PS-12-NZ1</v>
      </c>
      <c r="F250" s="48" t="str">
        <f t="shared" ref="F250:F255" si="38">CONCATENATE("Poste de Sectionnement n°",TEXT(A250,"00")," ",O250)</f>
        <v>Poste de Sectionnement n°12 NZ1</v>
      </c>
      <c r="G250" s="19">
        <v>28795</v>
      </c>
      <c r="H250" s="19">
        <v>28795</v>
      </c>
      <c r="I250" s="41" t="s">
        <v>20</v>
      </c>
      <c r="J250" s="41">
        <v>1</v>
      </c>
      <c r="K250" s="41" t="s">
        <v>3557</v>
      </c>
      <c r="L250" s="41">
        <v>16</v>
      </c>
      <c r="M250" s="41"/>
      <c r="N250" s="41"/>
      <c r="O250" s="41" t="s">
        <v>341</v>
      </c>
      <c r="P250" s="41" t="s">
        <v>1055</v>
      </c>
      <c r="Q250" s="43">
        <v>1102</v>
      </c>
      <c r="R250" s="43">
        <f t="shared" ref="R250:R255" si="39">VALUE(SUBSTITUTE(P250,"+",","))</f>
        <v>247.4</v>
      </c>
      <c r="S250" s="41" t="s">
        <v>1077</v>
      </c>
      <c r="T250" s="48" t="str">
        <f t="shared" si="30"/>
        <v>(12,'PS-12-NZ1','Poste de Sectionnement n°12 NZ1','Wednesday-11-jj','Wednesday-11-jj',NULL,1,),</v>
      </c>
    </row>
    <row r="251" spans="1:20" ht="20.100000000000001" customHeight="1" x14ac:dyDescent="0.25">
      <c r="A251" s="38">
        <v>13</v>
      </c>
      <c r="B251" s="38">
        <v>256</v>
      </c>
      <c r="C251" s="38" t="s">
        <v>341</v>
      </c>
      <c r="D251" s="38">
        <v>8</v>
      </c>
      <c r="E251" s="39" t="str">
        <f t="shared" si="37"/>
        <v>PS-13-NZ1</v>
      </c>
      <c r="F251" s="48" t="str">
        <f t="shared" si="38"/>
        <v>Poste de Sectionnement n°13 NZ1</v>
      </c>
      <c r="G251" s="19">
        <v>28795</v>
      </c>
      <c r="H251" s="19">
        <v>28795</v>
      </c>
      <c r="I251" s="41" t="s">
        <v>20</v>
      </c>
      <c r="J251" s="41">
        <v>1</v>
      </c>
      <c r="K251" s="41" t="s">
        <v>3557</v>
      </c>
      <c r="L251" s="41">
        <v>16</v>
      </c>
      <c r="M251" s="41"/>
      <c r="N251" s="41"/>
      <c r="O251" s="41" t="s">
        <v>341</v>
      </c>
      <c r="P251" s="41" t="s">
        <v>1056</v>
      </c>
      <c r="Q251" s="43">
        <v>1156</v>
      </c>
      <c r="R251" s="43">
        <f t="shared" si="39"/>
        <v>262</v>
      </c>
      <c r="S251" s="41" t="s">
        <v>1077</v>
      </c>
      <c r="T251" s="48" t="str">
        <f t="shared" si="30"/>
        <v>(13,'PS-13-NZ1','Poste de Sectionnement n°13 NZ1','Wednesday-11-jj','Wednesday-11-jj',NULL,1,),</v>
      </c>
    </row>
    <row r="252" spans="1:20" ht="20.100000000000001" customHeight="1" x14ac:dyDescent="0.25">
      <c r="A252" s="38">
        <v>14</v>
      </c>
      <c r="B252" s="38">
        <v>257</v>
      </c>
      <c r="C252" s="38" t="s">
        <v>341</v>
      </c>
      <c r="D252" s="38">
        <v>8</v>
      </c>
      <c r="E252" s="39" t="str">
        <f t="shared" si="37"/>
        <v>PS-14-NZ1</v>
      </c>
      <c r="F252" s="48" t="str">
        <f t="shared" si="38"/>
        <v>Poste de Sectionnement n°14 NZ1</v>
      </c>
      <c r="G252" s="19">
        <v>28795</v>
      </c>
      <c r="H252" s="19">
        <v>28795</v>
      </c>
      <c r="I252" s="41" t="s">
        <v>20</v>
      </c>
      <c r="J252" s="41">
        <v>1</v>
      </c>
      <c r="K252" s="41" t="s">
        <v>3557</v>
      </c>
      <c r="L252" s="41">
        <v>16</v>
      </c>
      <c r="M252" s="41"/>
      <c r="N252" s="41"/>
      <c r="O252" s="41" t="s">
        <v>341</v>
      </c>
      <c r="P252" s="41" t="s">
        <v>1057</v>
      </c>
      <c r="Q252" s="43">
        <v>1096</v>
      </c>
      <c r="R252" s="43">
        <f t="shared" si="39"/>
        <v>306.786</v>
      </c>
      <c r="S252" s="41" t="s">
        <v>1078</v>
      </c>
      <c r="T252" s="48" t="str">
        <f t="shared" si="30"/>
        <v>(14,'PS-14-NZ1','Poste de Sectionnement n°14 NZ1','Wednesday-11-jj','Wednesday-11-jj',NULL,1,),</v>
      </c>
    </row>
    <row r="253" spans="1:20" ht="20.100000000000001" customHeight="1" x14ac:dyDescent="0.25">
      <c r="A253" s="38">
        <v>15</v>
      </c>
      <c r="B253" s="38">
        <v>258</v>
      </c>
      <c r="C253" s="38" t="s">
        <v>341</v>
      </c>
      <c r="D253" s="38">
        <v>8</v>
      </c>
      <c r="E253" s="39" t="str">
        <f t="shared" si="37"/>
        <v>PS-15-NZ1</v>
      </c>
      <c r="F253" s="48" t="str">
        <f t="shared" si="38"/>
        <v>Poste de Sectionnement n°15 NZ1</v>
      </c>
      <c r="G253" s="19">
        <v>28795</v>
      </c>
      <c r="H253" s="19">
        <v>28795</v>
      </c>
      <c r="I253" s="41" t="s">
        <v>20</v>
      </c>
      <c r="J253" s="41">
        <v>1</v>
      </c>
      <c r="K253" s="41" t="s">
        <v>3557</v>
      </c>
      <c r="L253" s="41">
        <v>16</v>
      </c>
      <c r="M253" s="41"/>
      <c r="N253" s="41"/>
      <c r="O253" s="41" t="s">
        <v>341</v>
      </c>
      <c r="P253" s="41" t="s">
        <v>1058</v>
      </c>
      <c r="Q253" s="43">
        <v>965</v>
      </c>
      <c r="R253" s="43">
        <f t="shared" si="39"/>
        <v>317.5</v>
      </c>
      <c r="S253" s="41" t="s">
        <v>1078</v>
      </c>
      <c r="T253" s="48" t="str">
        <f t="shared" si="30"/>
        <v>(15,'PS-15-NZ1','Poste de Sectionnement n°15 NZ1','Wednesday-11-jj','Wednesday-11-jj',NULL,1,),</v>
      </c>
    </row>
    <row r="254" spans="1:20" ht="20.100000000000001" customHeight="1" x14ac:dyDescent="0.25">
      <c r="A254" s="38">
        <v>16</v>
      </c>
      <c r="B254" s="38">
        <v>259</v>
      </c>
      <c r="C254" s="38" t="s">
        <v>341</v>
      </c>
      <c r="D254" s="38">
        <v>8</v>
      </c>
      <c r="E254" s="39" t="str">
        <f t="shared" si="37"/>
        <v>PS-16-NZ1</v>
      </c>
      <c r="F254" s="48" t="str">
        <f t="shared" si="38"/>
        <v>Poste de Sectionnement n°16 NZ1</v>
      </c>
      <c r="G254" s="19">
        <v>28795</v>
      </c>
      <c r="H254" s="19">
        <v>28795</v>
      </c>
      <c r="I254" s="41" t="s">
        <v>20</v>
      </c>
      <c r="J254" s="41">
        <v>1</v>
      </c>
      <c r="K254" s="41" t="s">
        <v>3557</v>
      </c>
      <c r="L254" s="41">
        <v>16</v>
      </c>
      <c r="M254" s="41"/>
      <c r="N254" s="41"/>
      <c r="O254" s="41" t="s">
        <v>341</v>
      </c>
      <c r="P254" s="41" t="s">
        <v>1059</v>
      </c>
      <c r="Q254" s="43">
        <v>813</v>
      </c>
      <c r="R254" s="43">
        <f t="shared" si="39"/>
        <v>337.3</v>
      </c>
      <c r="S254" s="41" t="s">
        <v>1079</v>
      </c>
      <c r="T254" s="48" t="str">
        <f t="shared" si="30"/>
        <v>(16,'PS-16-NZ1','Poste de Sectionnement n°16 NZ1','Wednesday-11-jj','Wednesday-11-jj',NULL,1,),</v>
      </c>
    </row>
    <row r="255" spans="1:20" ht="20.100000000000001" customHeight="1" x14ac:dyDescent="0.25">
      <c r="A255" s="38">
        <v>17</v>
      </c>
      <c r="B255" s="38">
        <v>260</v>
      </c>
      <c r="C255" s="38" t="s">
        <v>341</v>
      </c>
      <c r="D255" s="38">
        <v>8</v>
      </c>
      <c r="E255" s="39" t="str">
        <f t="shared" si="37"/>
        <v>PS-17-NZ1</v>
      </c>
      <c r="F255" s="48" t="str">
        <f t="shared" si="38"/>
        <v>Poste de Sectionnement n°17 NZ1</v>
      </c>
      <c r="G255" s="19">
        <v>28795</v>
      </c>
      <c r="H255" s="19">
        <v>28795</v>
      </c>
      <c r="I255" s="41" t="s">
        <v>20</v>
      </c>
      <c r="J255" s="41">
        <v>1</v>
      </c>
      <c r="K255" s="41" t="s">
        <v>3557</v>
      </c>
      <c r="L255" s="41">
        <v>16</v>
      </c>
      <c r="M255" s="41"/>
      <c r="N255" s="41"/>
      <c r="O255" s="41" t="s">
        <v>341</v>
      </c>
      <c r="P255" s="41" t="s">
        <v>1060</v>
      </c>
      <c r="Q255" s="43">
        <v>628</v>
      </c>
      <c r="R255" s="43">
        <f t="shared" si="39"/>
        <v>364.36700000000002</v>
      </c>
      <c r="S255" s="41" t="s">
        <v>1080</v>
      </c>
      <c r="T255" s="48" t="str">
        <f t="shared" si="30"/>
        <v>(17,'PS-17-NZ1','Poste de Sectionnement n°17 NZ1','Wednesday-11-jj','Wednesday-11-jj',NULL,1,),</v>
      </c>
    </row>
    <row r="256" spans="1:20" ht="20.100000000000001" customHeight="1" x14ac:dyDescent="0.25">
      <c r="A256" s="38">
        <v>4</v>
      </c>
      <c r="B256" s="38">
        <v>261</v>
      </c>
      <c r="C256" s="38" t="s">
        <v>341</v>
      </c>
      <c r="D256" s="38">
        <v>8</v>
      </c>
      <c r="E256" s="39" t="s">
        <v>139</v>
      </c>
      <c r="F256" s="48" t="str">
        <f>CONCATENATE("Station de Régulation ",E256)</f>
        <v>Station de Régulation PRS-NZ1</v>
      </c>
      <c r="G256" s="19">
        <v>28796</v>
      </c>
      <c r="H256" s="19">
        <v>28796</v>
      </c>
      <c r="I256" s="41" t="s">
        <v>20</v>
      </c>
      <c r="J256" s="41">
        <v>1</v>
      </c>
      <c r="K256" s="41" t="s">
        <v>3553</v>
      </c>
      <c r="L256" s="41">
        <v>9</v>
      </c>
      <c r="M256" s="41">
        <v>10</v>
      </c>
      <c r="N256" s="41"/>
      <c r="O256" s="41" t="s">
        <v>341</v>
      </c>
      <c r="P256" s="41" t="s">
        <v>3620</v>
      </c>
      <c r="Q256" s="49">
        <f>VALUE(RIGHT(P256,LEN(P256)-SEARCH("/",P256)))</f>
        <v>440</v>
      </c>
      <c r="R256" s="43">
        <f>VALUE(SUBSTITUTE(LEFT(P256,SEARCH("/",P256)-1),"+",","))</f>
        <v>395</v>
      </c>
      <c r="S256" s="41" t="s">
        <v>3564</v>
      </c>
      <c r="T256" s="48" t="str">
        <f t="shared" si="30"/>
        <v>(4,'PRS-NZ1','Station de Régulation PRS-NZ1','Thursday-11-jj','Thursday-11-jj',NULL,1,10),</v>
      </c>
    </row>
    <row r="257" spans="1:20" ht="20.100000000000001" customHeight="1" x14ac:dyDescent="0.25">
      <c r="A257" s="38">
        <v>18</v>
      </c>
      <c r="B257" s="38">
        <v>262</v>
      </c>
      <c r="C257" s="38" t="s">
        <v>341</v>
      </c>
      <c r="D257" s="38">
        <v>8</v>
      </c>
      <c r="E257" s="39" t="str">
        <f t="shared" ref="E257:E263" si="40">CONCATENATE("PS-",TEXT(A257,"00"),"-",O257)</f>
        <v>PS-18-NZ1</v>
      </c>
      <c r="F257" s="48" t="str">
        <f t="shared" ref="F257:F263" si="41">CONCATENATE("Poste de Sectionnement n°",TEXT(A257,"00")," ",O257)</f>
        <v>Poste de Sectionnement n°18 NZ1</v>
      </c>
      <c r="G257" s="19">
        <v>28795</v>
      </c>
      <c r="H257" s="19">
        <v>28795</v>
      </c>
      <c r="I257" s="41" t="s">
        <v>20</v>
      </c>
      <c r="J257" s="41">
        <v>1</v>
      </c>
      <c r="K257" s="41" t="s">
        <v>3557</v>
      </c>
      <c r="L257" s="41">
        <v>16</v>
      </c>
      <c r="M257" s="41"/>
      <c r="N257" s="41"/>
      <c r="O257" s="41" t="s">
        <v>341</v>
      </c>
      <c r="P257" s="41" t="s">
        <v>1061</v>
      </c>
      <c r="Q257" s="43">
        <v>290</v>
      </c>
      <c r="R257" s="43">
        <f t="shared" ref="R257:R263" si="42">VALUE(SUBSTITUTE(P257,"+",","))</f>
        <v>397.32799999999997</v>
      </c>
      <c r="S257" s="41" t="s">
        <v>1081</v>
      </c>
      <c r="T257" s="48" t="str">
        <f t="shared" si="30"/>
        <v>(18,'PS-18-NZ1','Poste de Sectionnement n°18 NZ1','Wednesday-11-jj','Wednesday-11-jj',NULL,1,),</v>
      </c>
    </row>
    <row r="258" spans="1:20" ht="20.100000000000001" customHeight="1" x14ac:dyDescent="0.25">
      <c r="A258" s="38">
        <v>19</v>
      </c>
      <c r="B258" s="38">
        <v>263</v>
      </c>
      <c r="C258" s="38" t="s">
        <v>341</v>
      </c>
      <c r="D258" s="38">
        <v>8</v>
      </c>
      <c r="E258" s="39" t="str">
        <f t="shared" si="40"/>
        <v>PS-19-NZ1</v>
      </c>
      <c r="F258" s="48" t="str">
        <f t="shared" si="41"/>
        <v>Poste de Sectionnement n°19 NZ1</v>
      </c>
      <c r="G258" s="19">
        <v>28795</v>
      </c>
      <c r="H258" s="19">
        <v>28795</v>
      </c>
      <c r="I258" s="41" t="s">
        <v>20</v>
      </c>
      <c r="J258" s="41">
        <v>1</v>
      </c>
      <c r="K258" s="41" t="s">
        <v>3557</v>
      </c>
      <c r="L258" s="41">
        <v>16</v>
      </c>
      <c r="M258" s="41"/>
      <c r="N258" s="41"/>
      <c r="O258" s="41" t="s">
        <v>341</v>
      </c>
      <c r="P258" s="41" t="s">
        <v>1062</v>
      </c>
      <c r="Q258" s="43">
        <v>93</v>
      </c>
      <c r="R258" s="43">
        <f t="shared" si="42"/>
        <v>411.43799999999999</v>
      </c>
      <c r="S258" s="41" t="s">
        <v>1082</v>
      </c>
      <c r="T258" s="48" t="str">
        <f t="shared" si="30"/>
        <v>(19,'PS-19-NZ1','Poste de Sectionnement n°19 NZ1','Wednesday-11-jj','Wednesday-11-jj',NULL,1,),</v>
      </c>
    </row>
    <row r="259" spans="1:20" ht="20.100000000000001" customHeight="1" x14ac:dyDescent="0.25">
      <c r="A259" s="38">
        <v>20</v>
      </c>
      <c r="B259" s="38">
        <v>264</v>
      </c>
      <c r="C259" s="38" t="s">
        <v>341</v>
      </c>
      <c r="D259" s="38">
        <v>8</v>
      </c>
      <c r="E259" s="39" t="str">
        <f t="shared" si="40"/>
        <v>PS-20-NZ1</v>
      </c>
      <c r="F259" s="48" t="str">
        <f t="shared" si="41"/>
        <v>Poste de Sectionnement n°20 NZ1</v>
      </c>
      <c r="G259" s="19">
        <v>28795</v>
      </c>
      <c r="H259" s="19">
        <v>28795</v>
      </c>
      <c r="I259" s="41" t="s">
        <v>20</v>
      </c>
      <c r="J259" s="41">
        <v>1</v>
      </c>
      <c r="K259" s="41" t="s">
        <v>3557</v>
      </c>
      <c r="L259" s="41">
        <v>16</v>
      </c>
      <c r="M259" s="41"/>
      <c r="N259" s="41"/>
      <c r="O259" s="41" t="s">
        <v>341</v>
      </c>
      <c r="P259" s="41" t="s">
        <v>1063</v>
      </c>
      <c r="Q259" s="43">
        <v>80</v>
      </c>
      <c r="R259" s="43">
        <f t="shared" si="42"/>
        <v>424</v>
      </c>
      <c r="S259" s="41" t="s">
        <v>1083</v>
      </c>
      <c r="T259" s="48" t="str">
        <f t="shared" si="30"/>
        <v>(20,'PS-20-NZ1','Poste de Sectionnement n°20 NZ1','Wednesday-11-jj','Wednesday-11-jj',NULL,1,),</v>
      </c>
    </row>
    <row r="260" spans="1:20" ht="20.100000000000001" customHeight="1" x14ac:dyDescent="0.25">
      <c r="A260" s="38">
        <v>21</v>
      </c>
      <c r="B260" s="38">
        <v>265</v>
      </c>
      <c r="C260" s="38" t="s">
        <v>341</v>
      </c>
      <c r="D260" s="38">
        <v>8</v>
      </c>
      <c r="E260" s="39" t="str">
        <f t="shared" si="40"/>
        <v>PS-21-NZ1</v>
      </c>
      <c r="F260" s="48" t="str">
        <f t="shared" si="41"/>
        <v>Poste de Sectionnement n°21 NZ1</v>
      </c>
      <c r="G260" s="19">
        <v>28795</v>
      </c>
      <c r="H260" s="19">
        <v>28795</v>
      </c>
      <c r="I260" s="41" t="s">
        <v>20</v>
      </c>
      <c r="J260" s="41">
        <v>1</v>
      </c>
      <c r="K260" s="41" t="s">
        <v>3557</v>
      </c>
      <c r="L260" s="41">
        <v>16</v>
      </c>
      <c r="M260" s="41"/>
      <c r="N260" s="41"/>
      <c r="O260" s="41" t="s">
        <v>341</v>
      </c>
      <c r="P260" s="41" t="s">
        <v>1064</v>
      </c>
      <c r="Q260" s="43">
        <v>20</v>
      </c>
      <c r="R260" s="43">
        <f t="shared" si="42"/>
        <v>463.666</v>
      </c>
      <c r="S260" s="41" t="s">
        <v>1084</v>
      </c>
      <c r="T260" s="48" t="str">
        <f t="shared" si="30"/>
        <v>(21,'PS-21-NZ1','Poste de Sectionnement n°21 NZ1','Wednesday-11-jj','Wednesday-11-jj',NULL,1,),</v>
      </c>
    </row>
    <row r="261" spans="1:20" ht="20.100000000000001" customHeight="1" x14ac:dyDescent="0.25">
      <c r="A261" s="38">
        <v>22</v>
      </c>
      <c r="B261" s="38">
        <v>266</v>
      </c>
      <c r="C261" s="38" t="s">
        <v>341</v>
      </c>
      <c r="D261" s="38">
        <v>8</v>
      </c>
      <c r="E261" s="39" t="str">
        <f t="shared" si="40"/>
        <v>PS-22-NZ1</v>
      </c>
      <c r="F261" s="48" t="str">
        <f t="shared" si="41"/>
        <v>Poste de Sectionnement n°22 NZ1</v>
      </c>
      <c r="G261" s="19">
        <v>28795</v>
      </c>
      <c r="H261" s="19">
        <v>28795</v>
      </c>
      <c r="I261" s="41" t="s">
        <v>20</v>
      </c>
      <c r="J261" s="41">
        <v>1</v>
      </c>
      <c r="K261" s="41" t="s">
        <v>3557</v>
      </c>
      <c r="L261" s="41">
        <v>16</v>
      </c>
      <c r="M261" s="41"/>
      <c r="N261" s="41"/>
      <c r="O261" s="41" t="s">
        <v>341</v>
      </c>
      <c r="P261" s="41" t="s">
        <v>1065</v>
      </c>
      <c r="Q261" s="43">
        <v>5</v>
      </c>
      <c r="R261" s="43">
        <f t="shared" si="42"/>
        <v>477</v>
      </c>
      <c r="S261" s="41" t="s">
        <v>1085</v>
      </c>
      <c r="T261" s="48" t="str">
        <f t="shared" si="30"/>
        <v>(22,'PS-22-NZ1','Poste de Sectionnement n°22 NZ1','Wednesday-11-jj','Wednesday-11-jj',NULL,1,),</v>
      </c>
    </row>
    <row r="262" spans="1:20" ht="20.100000000000001" customHeight="1" x14ac:dyDescent="0.25">
      <c r="A262" s="38">
        <v>23</v>
      </c>
      <c r="B262" s="38">
        <v>267</v>
      </c>
      <c r="C262" s="38" t="s">
        <v>341</v>
      </c>
      <c r="D262" s="38">
        <v>8</v>
      </c>
      <c r="E262" s="39" t="str">
        <f t="shared" si="40"/>
        <v>PS-23-NZ1</v>
      </c>
      <c r="F262" s="48" t="str">
        <f t="shared" si="41"/>
        <v>Poste de Sectionnement n°23 NZ1</v>
      </c>
      <c r="G262" s="19">
        <v>28795</v>
      </c>
      <c r="H262" s="19">
        <v>28795</v>
      </c>
      <c r="I262" s="41" t="s">
        <v>20</v>
      </c>
      <c r="J262" s="41">
        <v>1</v>
      </c>
      <c r="K262" s="41" t="s">
        <v>3557</v>
      </c>
      <c r="L262" s="41">
        <v>16</v>
      </c>
      <c r="M262" s="41"/>
      <c r="N262" s="41"/>
      <c r="O262" s="41" t="s">
        <v>341</v>
      </c>
      <c r="P262" s="41" t="s">
        <v>1066</v>
      </c>
      <c r="Q262" s="43">
        <v>6</v>
      </c>
      <c r="R262" s="43">
        <f t="shared" si="42"/>
        <v>488</v>
      </c>
      <c r="S262" s="41" t="s">
        <v>1086</v>
      </c>
      <c r="T262" s="48" t="str">
        <f t="shared" si="30"/>
        <v>(23,'PS-23-NZ1','Poste de Sectionnement n°23 NZ1','Wednesday-11-jj','Wednesday-11-jj',NULL,1,),</v>
      </c>
    </row>
    <row r="263" spans="1:20" ht="20.100000000000001" customHeight="1" x14ac:dyDescent="0.25">
      <c r="A263" s="38">
        <v>24</v>
      </c>
      <c r="B263" s="38">
        <v>268</v>
      </c>
      <c r="C263" s="38" t="s">
        <v>341</v>
      </c>
      <c r="D263" s="38">
        <v>8</v>
      </c>
      <c r="E263" s="39" t="str">
        <f t="shared" si="40"/>
        <v>PS-24-NZ1</v>
      </c>
      <c r="F263" s="48" t="str">
        <f t="shared" si="41"/>
        <v>Poste de Sectionnement n°24 NZ1</v>
      </c>
      <c r="G263" s="19">
        <v>28795</v>
      </c>
      <c r="H263" s="19">
        <v>28795</v>
      </c>
      <c r="I263" s="41" t="s">
        <v>20</v>
      </c>
      <c r="J263" s="41">
        <v>1</v>
      </c>
      <c r="K263" s="41" t="s">
        <v>3557</v>
      </c>
      <c r="L263" s="41">
        <v>16</v>
      </c>
      <c r="M263" s="41"/>
      <c r="N263" s="41"/>
      <c r="O263" s="41" t="s">
        <v>341</v>
      </c>
      <c r="P263" s="41" t="s">
        <v>1067</v>
      </c>
      <c r="Q263" s="43">
        <v>14</v>
      </c>
      <c r="R263" s="43">
        <f t="shared" si="42"/>
        <v>490.60500000000002</v>
      </c>
      <c r="S263" s="41" t="s">
        <v>1086</v>
      </c>
      <c r="T263" s="48" t="str">
        <f t="shared" si="30"/>
        <v>(24,'PS-24-NZ1','Poste de Sectionnement n°24 NZ1','Wednesday-11-jj','Wednesday-11-jj',NULL,1,),</v>
      </c>
    </row>
    <row r="264" spans="1:20" ht="20.100000000000001" customHeight="1" x14ac:dyDescent="0.25">
      <c r="A264" s="38">
        <v>1</v>
      </c>
      <c r="B264" s="38">
        <v>269</v>
      </c>
      <c r="C264" s="38" t="s">
        <v>344</v>
      </c>
      <c r="D264" s="38">
        <v>9</v>
      </c>
      <c r="E264" s="39" t="s">
        <v>141</v>
      </c>
      <c r="F264" s="48" t="str">
        <f>CONCATENATE("Station de Pompage ",E264)</f>
        <v>Station de Pompage SP1-NK1</v>
      </c>
      <c r="G264" s="19">
        <v>39814</v>
      </c>
      <c r="H264" s="19">
        <v>39814</v>
      </c>
      <c r="I264" s="41" t="s">
        <v>20</v>
      </c>
      <c r="J264" s="41">
        <v>1</v>
      </c>
      <c r="K264" s="41" t="s">
        <v>3552</v>
      </c>
      <c r="L264" s="41">
        <v>7</v>
      </c>
      <c r="M264" s="41">
        <v>10</v>
      </c>
      <c r="N264" s="41"/>
      <c r="O264" s="41" t="s">
        <v>344</v>
      </c>
      <c r="P264" s="41" t="s">
        <v>1152</v>
      </c>
      <c r="Q264" s="49">
        <f t="shared" ref="Q264:Q327" si="43">VALUE(RIGHT(P264,LEN(P264)-SEARCH("/",P264)))</f>
        <v>172</v>
      </c>
      <c r="R264" s="43">
        <f t="shared" ref="R264:R327" si="44">VALUE(SUBSTITUTE(LEFT(P264,SEARCH("/",P264)-1),"+",","))</f>
        <v>0</v>
      </c>
      <c r="S264" s="41" t="s">
        <v>3570</v>
      </c>
      <c r="T264" s="48" t="str">
        <f t="shared" si="30"/>
        <v>(1,'SP1-NK1','Station de Pompage SP1-NK1','Thursday-01-jj','Thursday-01-jj',NULL,1,10),</v>
      </c>
    </row>
    <row r="265" spans="1:20" ht="20.100000000000001" customHeight="1" x14ac:dyDescent="0.25">
      <c r="A265" s="38">
        <v>1</v>
      </c>
      <c r="B265" s="38">
        <v>270</v>
      </c>
      <c r="C265" s="38" t="s">
        <v>344</v>
      </c>
      <c r="D265" s="38">
        <v>9</v>
      </c>
      <c r="E265" s="39" t="str">
        <f t="shared" ref="E265:E273" si="45">CONCATENATE("PS-",TEXT(A265,"00"),"-",O265)</f>
        <v>PS-01-NK1</v>
      </c>
      <c r="F265" s="48" t="str">
        <f t="shared" ref="F265:F273" si="46">CONCATENATE("Poste de Sectionnement n°",TEXT(A265,"00")," ",O265)</f>
        <v>Poste de Sectionnement n°01 NK1</v>
      </c>
      <c r="G265" s="19">
        <v>40029</v>
      </c>
      <c r="H265" s="19">
        <v>40029</v>
      </c>
      <c r="I265" s="41" t="s">
        <v>20</v>
      </c>
      <c r="J265" s="41">
        <v>1</v>
      </c>
      <c r="K265" s="41" t="s">
        <v>3557</v>
      </c>
      <c r="L265" s="41">
        <v>16</v>
      </c>
      <c r="M265" s="41"/>
      <c r="N265" s="41"/>
      <c r="O265" s="41" t="s">
        <v>344</v>
      </c>
      <c r="P265" s="41" t="s">
        <v>1648</v>
      </c>
      <c r="Q265" s="43">
        <f t="shared" si="43"/>
        <v>173</v>
      </c>
      <c r="R265" s="43">
        <f t="shared" si="44"/>
        <v>19.141999999999999</v>
      </c>
      <c r="S265" s="41" t="s">
        <v>1666</v>
      </c>
      <c r="T265" s="48" t="str">
        <f t="shared" si="30"/>
        <v>(1,'PS-01-NK1','Poste de Sectionnement n°01 NK1','Tuesday-08-jj','Tuesday-08-jj',NULL,1,),</v>
      </c>
    </row>
    <row r="266" spans="1:20" ht="20.100000000000001" customHeight="1" x14ac:dyDescent="0.25">
      <c r="A266" s="38">
        <v>2</v>
      </c>
      <c r="B266" s="38">
        <v>271</v>
      </c>
      <c r="C266" s="38" t="s">
        <v>344</v>
      </c>
      <c r="D266" s="38">
        <v>9</v>
      </c>
      <c r="E266" s="39" t="str">
        <f t="shared" si="45"/>
        <v>PS-02-NK1</v>
      </c>
      <c r="F266" s="48" t="str">
        <f t="shared" si="46"/>
        <v>Poste de Sectionnement n°02 NK1</v>
      </c>
      <c r="G266" s="19">
        <v>40029</v>
      </c>
      <c r="H266" s="19">
        <v>40029</v>
      </c>
      <c r="I266" s="41" t="s">
        <v>20</v>
      </c>
      <c r="J266" s="41">
        <v>1</v>
      </c>
      <c r="K266" s="41" t="s">
        <v>3557</v>
      </c>
      <c r="L266" s="41">
        <v>16</v>
      </c>
      <c r="M266" s="41"/>
      <c r="N266" s="41"/>
      <c r="O266" s="41" t="s">
        <v>344</v>
      </c>
      <c r="P266" s="41" t="s">
        <v>1649</v>
      </c>
      <c r="Q266" s="43">
        <f t="shared" si="43"/>
        <v>170</v>
      </c>
      <c r="R266" s="43">
        <f t="shared" si="44"/>
        <v>39.03</v>
      </c>
      <c r="S266" s="41" t="s">
        <v>1666</v>
      </c>
      <c r="T266" s="48" t="str">
        <f t="shared" si="30"/>
        <v>(2,'PS-02-NK1','Poste de Sectionnement n°02 NK1','Tuesday-08-jj','Tuesday-08-jj',NULL,1,),</v>
      </c>
    </row>
    <row r="267" spans="1:20" ht="20.100000000000001" customHeight="1" x14ac:dyDescent="0.25">
      <c r="A267" s="38">
        <v>3</v>
      </c>
      <c r="B267" s="38">
        <v>272</v>
      </c>
      <c r="C267" s="38" t="s">
        <v>344</v>
      </c>
      <c r="D267" s="38">
        <v>9</v>
      </c>
      <c r="E267" s="39" t="str">
        <f t="shared" si="45"/>
        <v>PS-03-NK1</v>
      </c>
      <c r="F267" s="48" t="str">
        <f t="shared" si="46"/>
        <v>Poste de Sectionnement n°03 NK1</v>
      </c>
      <c r="G267" s="19">
        <v>40029</v>
      </c>
      <c r="H267" s="19">
        <v>40029</v>
      </c>
      <c r="I267" s="41" t="s">
        <v>20</v>
      </c>
      <c r="J267" s="41">
        <v>1</v>
      </c>
      <c r="K267" s="41" t="s">
        <v>3557</v>
      </c>
      <c r="L267" s="41">
        <v>16</v>
      </c>
      <c r="M267" s="41"/>
      <c r="N267" s="41"/>
      <c r="O267" s="41" t="s">
        <v>344</v>
      </c>
      <c r="P267" s="41" t="s">
        <v>1650</v>
      </c>
      <c r="Q267" s="43">
        <f t="shared" si="43"/>
        <v>127</v>
      </c>
      <c r="R267" s="43">
        <f t="shared" si="44"/>
        <v>58.423000000000002</v>
      </c>
      <c r="S267" s="41" t="s">
        <v>1667</v>
      </c>
      <c r="T267" s="48" t="str">
        <f t="shared" si="30"/>
        <v>(3,'PS-03-NK1','Poste de Sectionnement n°03 NK1','Tuesday-08-jj','Tuesday-08-jj',NULL,1,),</v>
      </c>
    </row>
    <row r="268" spans="1:20" ht="20.100000000000001" customHeight="1" x14ac:dyDescent="0.25">
      <c r="A268" s="38">
        <v>4</v>
      </c>
      <c r="B268" s="38">
        <v>273</v>
      </c>
      <c r="C268" s="38" t="s">
        <v>344</v>
      </c>
      <c r="D268" s="38">
        <v>9</v>
      </c>
      <c r="E268" s="39" t="str">
        <f t="shared" si="45"/>
        <v>PS-04-NK1</v>
      </c>
      <c r="F268" s="48" t="str">
        <f t="shared" si="46"/>
        <v>Poste de Sectionnement n°04 NK1</v>
      </c>
      <c r="G268" s="19">
        <v>40029</v>
      </c>
      <c r="H268" s="19">
        <v>40029</v>
      </c>
      <c r="I268" s="41" t="s">
        <v>20</v>
      </c>
      <c r="J268" s="41">
        <v>1</v>
      </c>
      <c r="K268" s="41" t="s">
        <v>3557</v>
      </c>
      <c r="L268" s="41">
        <v>16</v>
      </c>
      <c r="M268" s="41"/>
      <c r="N268" s="41"/>
      <c r="O268" s="41" t="s">
        <v>344</v>
      </c>
      <c r="P268" s="41" t="s">
        <v>1651</v>
      </c>
      <c r="Q268" s="43">
        <f t="shared" si="43"/>
        <v>119</v>
      </c>
      <c r="R268" s="43">
        <f t="shared" si="44"/>
        <v>78</v>
      </c>
      <c r="S268" s="41" t="s">
        <v>1667</v>
      </c>
      <c r="T268" s="48" t="str">
        <f t="shared" si="30"/>
        <v>(4,'PS-04-NK1','Poste de Sectionnement n°04 NK1','Tuesday-08-jj','Tuesday-08-jj',NULL,1,),</v>
      </c>
    </row>
    <row r="269" spans="1:20" ht="20.100000000000001" customHeight="1" x14ac:dyDescent="0.25">
      <c r="A269" s="38">
        <v>5</v>
      </c>
      <c r="B269" s="38">
        <v>274</v>
      </c>
      <c r="C269" s="38" t="s">
        <v>344</v>
      </c>
      <c r="D269" s="38">
        <v>9</v>
      </c>
      <c r="E269" s="39" t="str">
        <f t="shared" si="45"/>
        <v>PS-05-NK1</v>
      </c>
      <c r="F269" s="48" t="str">
        <f t="shared" si="46"/>
        <v>Poste de Sectionnement n°05 NK1</v>
      </c>
      <c r="G269" s="19">
        <v>40029</v>
      </c>
      <c r="H269" s="19">
        <v>40029</v>
      </c>
      <c r="I269" s="41" t="s">
        <v>20</v>
      </c>
      <c r="J269" s="41">
        <v>1</v>
      </c>
      <c r="K269" s="41" t="s">
        <v>3557</v>
      </c>
      <c r="L269" s="41">
        <v>16</v>
      </c>
      <c r="M269" s="41"/>
      <c r="N269" s="41"/>
      <c r="O269" s="41" t="s">
        <v>344</v>
      </c>
      <c r="P269" s="41" t="s">
        <v>1652</v>
      </c>
      <c r="Q269" s="43">
        <f t="shared" si="43"/>
        <v>112</v>
      </c>
      <c r="R269" s="43">
        <f t="shared" si="44"/>
        <v>97.503</v>
      </c>
      <c r="S269" s="41" t="s">
        <v>1667</v>
      </c>
      <c r="T269" s="48" t="str">
        <f t="shared" si="30"/>
        <v>(5,'PS-05-NK1','Poste de Sectionnement n°05 NK1','Tuesday-08-jj','Tuesday-08-jj',NULL,1,),</v>
      </c>
    </row>
    <row r="270" spans="1:20" ht="20.100000000000001" customHeight="1" x14ac:dyDescent="0.25">
      <c r="A270" s="38">
        <v>6</v>
      </c>
      <c r="B270" s="38">
        <v>275</v>
      </c>
      <c r="C270" s="38" t="s">
        <v>344</v>
      </c>
      <c r="D270" s="38">
        <v>9</v>
      </c>
      <c r="E270" s="39" t="str">
        <f t="shared" si="45"/>
        <v>PS-06-NK1</v>
      </c>
      <c r="F270" s="48" t="str">
        <f t="shared" si="46"/>
        <v>Poste de Sectionnement n°06 NK1</v>
      </c>
      <c r="G270" s="19">
        <v>40029</v>
      </c>
      <c r="H270" s="19">
        <v>40029</v>
      </c>
      <c r="I270" s="41" t="s">
        <v>20</v>
      </c>
      <c r="J270" s="41">
        <v>1</v>
      </c>
      <c r="K270" s="41" t="s">
        <v>3557</v>
      </c>
      <c r="L270" s="41">
        <v>16</v>
      </c>
      <c r="M270" s="41"/>
      <c r="N270" s="41"/>
      <c r="O270" s="41" t="s">
        <v>344</v>
      </c>
      <c r="P270" s="41" t="s">
        <v>1653</v>
      </c>
      <c r="Q270" s="43">
        <f t="shared" si="43"/>
        <v>98</v>
      </c>
      <c r="R270" s="43">
        <f t="shared" si="44"/>
        <v>117.11199999999999</v>
      </c>
      <c r="S270" s="41" t="s">
        <v>1667</v>
      </c>
      <c r="T270" s="48" t="str">
        <f t="shared" si="30"/>
        <v>(6,'PS-06-NK1','Poste de Sectionnement n°06 NK1','Tuesday-08-jj','Tuesday-08-jj',NULL,1,),</v>
      </c>
    </row>
    <row r="271" spans="1:20" ht="20.100000000000001" customHeight="1" x14ac:dyDescent="0.25">
      <c r="A271" s="38">
        <v>7</v>
      </c>
      <c r="B271" s="38">
        <v>276</v>
      </c>
      <c r="C271" s="38" t="s">
        <v>344</v>
      </c>
      <c r="D271" s="38">
        <v>9</v>
      </c>
      <c r="E271" s="39" t="str">
        <f t="shared" si="45"/>
        <v>PS-07-NK1</v>
      </c>
      <c r="F271" s="48" t="str">
        <f t="shared" si="46"/>
        <v>Poste de Sectionnement n°07 NK1</v>
      </c>
      <c r="G271" s="19">
        <v>40029</v>
      </c>
      <c r="H271" s="19">
        <v>40029</v>
      </c>
      <c r="I271" s="41" t="s">
        <v>20</v>
      </c>
      <c r="J271" s="41">
        <v>1</v>
      </c>
      <c r="K271" s="41" t="s">
        <v>3557</v>
      </c>
      <c r="L271" s="41">
        <v>16</v>
      </c>
      <c r="M271" s="41"/>
      <c r="N271" s="41"/>
      <c r="O271" s="41" t="s">
        <v>344</v>
      </c>
      <c r="P271" s="41" t="s">
        <v>1654</v>
      </c>
      <c r="Q271" s="43">
        <f t="shared" si="43"/>
        <v>88</v>
      </c>
      <c r="R271" s="43">
        <f t="shared" si="44"/>
        <v>136.69800000000001</v>
      </c>
      <c r="S271" s="41" t="s">
        <v>1668</v>
      </c>
      <c r="T271" s="48" t="str">
        <f t="shared" si="30"/>
        <v>(7,'PS-07-NK1','Poste de Sectionnement n°07 NK1','Tuesday-08-jj','Tuesday-08-jj',NULL,1,),</v>
      </c>
    </row>
    <row r="272" spans="1:20" ht="20.100000000000001" customHeight="1" x14ac:dyDescent="0.25">
      <c r="A272" s="38">
        <v>8</v>
      </c>
      <c r="B272" s="38">
        <v>277</v>
      </c>
      <c r="C272" s="38" t="s">
        <v>344</v>
      </c>
      <c r="D272" s="38">
        <v>9</v>
      </c>
      <c r="E272" s="39" t="str">
        <f t="shared" si="45"/>
        <v>PS-08-NK1</v>
      </c>
      <c r="F272" s="48" t="str">
        <f t="shared" si="46"/>
        <v>Poste de Sectionnement n°08 NK1</v>
      </c>
      <c r="G272" s="19">
        <v>40029</v>
      </c>
      <c r="H272" s="19">
        <v>40029</v>
      </c>
      <c r="I272" s="41" t="s">
        <v>20</v>
      </c>
      <c r="J272" s="41">
        <v>1</v>
      </c>
      <c r="K272" s="41" t="s">
        <v>3557</v>
      </c>
      <c r="L272" s="41">
        <v>16</v>
      </c>
      <c r="M272" s="41"/>
      <c r="N272" s="41"/>
      <c r="O272" s="41" t="s">
        <v>344</v>
      </c>
      <c r="P272" s="41" t="s">
        <v>1655</v>
      </c>
      <c r="Q272" s="43">
        <f t="shared" si="43"/>
        <v>71</v>
      </c>
      <c r="R272" s="43">
        <f t="shared" si="44"/>
        <v>156.44800000000001</v>
      </c>
      <c r="S272" s="41" t="s">
        <v>1669</v>
      </c>
      <c r="T272" s="48" t="str">
        <f t="shared" si="30"/>
        <v>(8,'PS-08-NK1','Poste de Sectionnement n°08 NK1','Tuesday-08-jj','Tuesday-08-jj',NULL,1,),</v>
      </c>
    </row>
    <row r="273" spans="1:20" ht="20.100000000000001" customHeight="1" x14ac:dyDescent="0.25">
      <c r="A273" s="38">
        <v>9</v>
      </c>
      <c r="B273" s="38">
        <v>278</v>
      </c>
      <c r="C273" s="38" t="s">
        <v>344</v>
      </c>
      <c r="D273" s="38">
        <v>9</v>
      </c>
      <c r="E273" s="39" t="str">
        <f t="shared" si="45"/>
        <v>PS-09-NK1</v>
      </c>
      <c r="F273" s="48" t="str">
        <f t="shared" si="46"/>
        <v>Poste de Sectionnement n°09 NK1</v>
      </c>
      <c r="G273" s="19">
        <v>40029</v>
      </c>
      <c r="H273" s="19">
        <v>40029</v>
      </c>
      <c r="I273" s="41" t="s">
        <v>20</v>
      </c>
      <c r="J273" s="41">
        <v>1</v>
      </c>
      <c r="K273" s="41" t="s">
        <v>3557</v>
      </c>
      <c r="L273" s="41">
        <v>16</v>
      </c>
      <c r="M273" s="41"/>
      <c r="N273" s="41"/>
      <c r="O273" s="41" t="s">
        <v>344</v>
      </c>
      <c r="P273" s="41" t="s">
        <v>1656</v>
      </c>
      <c r="Q273" s="43">
        <f t="shared" si="43"/>
        <v>77</v>
      </c>
      <c r="R273" s="43">
        <f t="shared" si="44"/>
        <v>175.5</v>
      </c>
      <c r="S273" s="41" t="s">
        <v>1670</v>
      </c>
      <c r="T273" s="48" t="str">
        <f t="shared" si="30"/>
        <v>(9,'PS-09-NK1','Poste de Sectionnement n°09 NK1','Tuesday-08-jj','Tuesday-08-jj',NULL,1,),</v>
      </c>
    </row>
    <row r="274" spans="1:20" ht="20.100000000000001" customHeight="1" x14ac:dyDescent="0.25">
      <c r="A274" s="38">
        <v>1</v>
      </c>
      <c r="B274" s="38">
        <v>279</v>
      </c>
      <c r="C274" s="38" t="s">
        <v>344</v>
      </c>
      <c r="D274" s="38">
        <v>9</v>
      </c>
      <c r="E274" s="39" t="str">
        <f>CONCATENATE("PC-",TEXT(A274,"00"),"-",O274)</f>
        <v>PC-01-NK1</v>
      </c>
      <c r="F274" s="48" t="str">
        <f>CONCATENATE("Poste de Coupure n°",TEXT(A274,"00")," ",O274)</f>
        <v>Poste de Coupure n°01 NK1</v>
      </c>
      <c r="G274" s="19">
        <v>40029</v>
      </c>
      <c r="H274" s="19">
        <v>40029</v>
      </c>
      <c r="I274" s="41" t="s">
        <v>20</v>
      </c>
      <c r="J274" s="41">
        <v>1</v>
      </c>
      <c r="K274" s="41" t="s">
        <v>3556</v>
      </c>
      <c r="L274" s="41">
        <v>15</v>
      </c>
      <c r="M274" s="41"/>
      <c r="N274" s="41"/>
      <c r="O274" s="41" t="s">
        <v>344</v>
      </c>
      <c r="P274" s="41" t="s">
        <v>3312</v>
      </c>
      <c r="Q274" s="49">
        <f t="shared" si="43"/>
        <v>73</v>
      </c>
      <c r="R274" s="43">
        <f t="shared" si="44"/>
        <v>188.33199999999999</v>
      </c>
      <c r="S274" s="41" t="s">
        <v>3315</v>
      </c>
      <c r="T274" s="48" t="str">
        <f t="shared" si="30"/>
        <v>(1,'PC-01-NK1','Poste de Coupure n°01 NK1','Tuesday-08-jj','Tuesday-08-jj',NULL,1,),</v>
      </c>
    </row>
    <row r="275" spans="1:20" ht="20.100000000000001" customHeight="1" x14ac:dyDescent="0.25">
      <c r="A275" s="38">
        <v>10</v>
      </c>
      <c r="B275" s="38">
        <v>280</v>
      </c>
      <c r="C275" s="38" t="s">
        <v>344</v>
      </c>
      <c r="D275" s="38">
        <v>9</v>
      </c>
      <c r="E275" s="39" t="str">
        <f t="shared" ref="E275:E281" si="47">CONCATENATE("PS-",TEXT(A275,"00"),"-",O275)</f>
        <v>PS-10-NK1</v>
      </c>
      <c r="F275" s="48" t="str">
        <f t="shared" ref="F275:F281" si="48">CONCATENATE("Poste de Sectionnement n°",TEXT(A275,"00")," ",O275)</f>
        <v>Poste de Sectionnement n°10 NK1</v>
      </c>
      <c r="G275" s="19">
        <v>40029</v>
      </c>
      <c r="H275" s="19">
        <v>40029</v>
      </c>
      <c r="I275" s="41" t="s">
        <v>20</v>
      </c>
      <c r="J275" s="41">
        <v>1</v>
      </c>
      <c r="K275" s="41" t="s">
        <v>3557</v>
      </c>
      <c r="L275" s="41">
        <v>16</v>
      </c>
      <c r="M275" s="41"/>
      <c r="N275" s="41"/>
      <c r="O275" s="41" t="s">
        <v>344</v>
      </c>
      <c r="P275" s="41" t="s">
        <v>1657</v>
      </c>
      <c r="Q275" s="43">
        <f t="shared" si="43"/>
        <v>110</v>
      </c>
      <c r="R275" s="43">
        <f t="shared" si="44"/>
        <v>209.315</v>
      </c>
      <c r="S275" s="41" t="s">
        <v>1671</v>
      </c>
      <c r="T275" s="48" t="str">
        <f t="shared" si="30"/>
        <v>(10,'PS-10-NK1','Poste de Sectionnement n°10 NK1','Tuesday-08-jj','Tuesday-08-jj',NULL,1,),</v>
      </c>
    </row>
    <row r="276" spans="1:20" ht="20.100000000000001" customHeight="1" x14ac:dyDescent="0.25">
      <c r="A276" s="38">
        <v>11</v>
      </c>
      <c r="B276" s="38">
        <v>281</v>
      </c>
      <c r="C276" s="38" t="s">
        <v>344</v>
      </c>
      <c r="D276" s="38">
        <v>9</v>
      </c>
      <c r="E276" s="39" t="str">
        <f t="shared" si="47"/>
        <v>PS-11-NK1</v>
      </c>
      <c r="F276" s="48" t="str">
        <f t="shared" si="48"/>
        <v>Poste de Sectionnement n°11 NK1</v>
      </c>
      <c r="G276" s="19">
        <v>40029</v>
      </c>
      <c r="H276" s="19">
        <v>40029</v>
      </c>
      <c r="I276" s="41" t="s">
        <v>20</v>
      </c>
      <c r="J276" s="41">
        <v>1</v>
      </c>
      <c r="K276" s="41" t="s">
        <v>3557</v>
      </c>
      <c r="L276" s="41">
        <v>16</v>
      </c>
      <c r="M276" s="41"/>
      <c r="N276" s="41"/>
      <c r="O276" s="41" t="s">
        <v>344</v>
      </c>
      <c r="P276" s="41" t="s">
        <v>1658</v>
      </c>
      <c r="Q276" s="43">
        <f t="shared" si="43"/>
        <v>78</v>
      </c>
      <c r="R276" s="43">
        <f t="shared" si="44"/>
        <v>228.535</v>
      </c>
      <c r="S276" s="41" t="s">
        <v>1672</v>
      </c>
      <c r="T276" s="48" t="str">
        <f t="shared" si="30"/>
        <v>(11,'PS-11-NK1','Poste de Sectionnement n°11 NK1','Tuesday-08-jj','Tuesday-08-jj',NULL,1,),</v>
      </c>
    </row>
    <row r="277" spans="1:20" ht="20.100000000000001" customHeight="1" x14ac:dyDescent="0.25">
      <c r="A277" s="38">
        <v>12</v>
      </c>
      <c r="B277" s="38">
        <v>282</v>
      </c>
      <c r="C277" s="38" t="s">
        <v>344</v>
      </c>
      <c r="D277" s="38">
        <v>9</v>
      </c>
      <c r="E277" s="39" t="str">
        <f t="shared" si="47"/>
        <v>PS-12-NK1</v>
      </c>
      <c r="F277" s="48" t="str">
        <f t="shared" si="48"/>
        <v>Poste de Sectionnement n°12 NK1</v>
      </c>
      <c r="G277" s="19">
        <v>40029</v>
      </c>
      <c r="H277" s="19">
        <v>40029</v>
      </c>
      <c r="I277" s="41" t="s">
        <v>20</v>
      </c>
      <c r="J277" s="41">
        <v>1</v>
      </c>
      <c r="K277" s="41" t="s">
        <v>3557</v>
      </c>
      <c r="L277" s="41">
        <v>16</v>
      </c>
      <c r="M277" s="41"/>
      <c r="N277" s="41"/>
      <c r="O277" s="41" t="s">
        <v>344</v>
      </c>
      <c r="P277" s="41" t="s">
        <v>1659</v>
      </c>
      <c r="Q277" s="43">
        <f t="shared" si="43"/>
        <v>42</v>
      </c>
      <c r="R277" s="43">
        <f t="shared" si="44"/>
        <v>248.00299999999999</v>
      </c>
      <c r="S277" s="41" t="s">
        <v>1673</v>
      </c>
      <c r="T277" s="48" t="str">
        <f t="shared" si="30"/>
        <v>(12,'PS-12-NK1','Poste de Sectionnement n°12 NK1','Tuesday-08-jj','Tuesday-08-jj',NULL,1,),</v>
      </c>
    </row>
    <row r="278" spans="1:20" ht="20.100000000000001" customHeight="1" x14ac:dyDescent="0.25">
      <c r="A278" s="38">
        <v>13</v>
      </c>
      <c r="B278" s="38">
        <v>283</v>
      </c>
      <c r="C278" s="38" t="s">
        <v>344</v>
      </c>
      <c r="D278" s="38">
        <v>9</v>
      </c>
      <c r="E278" s="39" t="str">
        <f t="shared" si="47"/>
        <v>PS-13-NK1</v>
      </c>
      <c r="F278" s="48" t="str">
        <f t="shared" si="48"/>
        <v>Poste de Sectionnement n°13 NK1</v>
      </c>
      <c r="G278" s="19">
        <v>40029</v>
      </c>
      <c r="H278" s="19">
        <v>40029</v>
      </c>
      <c r="I278" s="41" t="s">
        <v>20</v>
      </c>
      <c r="J278" s="41">
        <v>1</v>
      </c>
      <c r="K278" s="41" t="s">
        <v>3557</v>
      </c>
      <c r="L278" s="41">
        <v>16</v>
      </c>
      <c r="M278" s="41"/>
      <c r="N278" s="41"/>
      <c r="O278" s="41" t="s">
        <v>344</v>
      </c>
      <c r="P278" s="41" t="s">
        <v>1660</v>
      </c>
      <c r="Q278" s="43">
        <f t="shared" si="43"/>
        <v>93</v>
      </c>
      <c r="R278" s="43">
        <f t="shared" si="44"/>
        <v>267.65100000000001</v>
      </c>
      <c r="S278" s="41" t="s">
        <v>1674</v>
      </c>
      <c r="T278" s="48" t="str">
        <f t="shared" si="30"/>
        <v>(13,'PS-13-NK1','Poste de Sectionnement n°13 NK1','Tuesday-08-jj','Tuesday-08-jj',NULL,1,),</v>
      </c>
    </row>
    <row r="279" spans="1:20" ht="20.100000000000001" customHeight="1" x14ac:dyDescent="0.25">
      <c r="A279" s="38">
        <v>14</v>
      </c>
      <c r="B279" s="38">
        <v>284</v>
      </c>
      <c r="C279" s="38" t="s">
        <v>344</v>
      </c>
      <c r="D279" s="38">
        <v>9</v>
      </c>
      <c r="E279" s="39" t="str">
        <f t="shared" si="47"/>
        <v>PS-14-NK1</v>
      </c>
      <c r="F279" s="48" t="str">
        <f t="shared" si="48"/>
        <v>Poste de Sectionnement n°14 NK1</v>
      </c>
      <c r="G279" s="19">
        <v>40029</v>
      </c>
      <c r="H279" s="19">
        <v>40029</v>
      </c>
      <c r="I279" s="41" t="s">
        <v>20</v>
      </c>
      <c r="J279" s="41">
        <v>1</v>
      </c>
      <c r="K279" s="41" t="s">
        <v>3557</v>
      </c>
      <c r="L279" s="41">
        <v>16</v>
      </c>
      <c r="M279" s="41"/>
      <c r="N279" s="41"/>
      <c r="O279" s="41" t="s">
        <v>344</v>
      </c>
      <c r="P279" s="41" t="s">
        <v>1661</v>
      </c>
      <c r="Q279" s="43">
        <f t="shared" si="43"/>
        <v>85</v>
      </c>
      <c r="R279" s="43">
        <f t="shared" si="44"/>
        <v>287.16300000000001</v>
      </c>
      <c r="S279" s="41" t="s">
        <v>1675</v>
      </c>
      <c r="T279" s="48" t="str">
        <f t="shared" si="30"/>
        <v>(14,'PS-14-NK1','Poste de Sectionnement n°14 NK1','Tuesday-08-jj','Tuesday-08-jj',NULL,1,),</v>
      </c>
    </row>
    <row r="280" spans="1:20" ht="20.100000000000001" customHeight="1" x14ac:dyDescent="0.25">
      <c r="A280" s="38">
        <v>15</v>
      </c>
      <c r="B280" s="38">
        <v>285</v>
      </c>
      <c r="C280" s="38" t="s">
        <v>344</v>
      </c>
      <c r="D280" s="38">
        <v>9</v>
      </c>
      <c r="E280" s="39" t="str">
        <f t="shared" si="47"/>
        <v>PS-15-NK1</v>
      </c>
      <c r="F280" s="48" t="str">
        <f t="shared" si="48"/>
        <v>Poste de Sectionnement n°15 NK1</v>
      </c>
      <c r="G280" s="19">
        <v>40029</v>
      </c>
      <c r="H280" s="19">
        <v>40029</v>
      </c>
      <c r="I280" s="41" t="s">
        <v>20</v>
      </c>
      <c r="J280" s="41">
        <v>1</v>
      </c>
      <c r="K280" s="41" t="s">
        <v>3557</v>
      </c>
      <c r="L280" s="41">
        <v>16</v>
      </c>
      <c r="M280" s="41"/>
      <c r="N280" s="41"/>
      <c r="O280" s="41" t="s">
        <v>344</v>
      </c>
      <c r="P280" s="41" t="s">
        <v>1662</v>
      </c>
      <c r="Q280" s="43">
        <f t="shared" si="43"/>
        <v>78</v>
      </c>
      <c r="R280" s="43">
        <f t="shared" si="44"/>
        <v>306.745</v>
      </c>
      <c r="S280" s="41" t="s">
        <v>1676</v>
      </c>
      <c r="T280" s="48" t="str">
        <f t="shared" ref="T280:T343" si="49">CONCATENATE("(",A280,",'",E280,"','",F280,"','",TEXT(G280,"aaaa-mm-jj"),"','",TEXT(H280,"aaaa-mm-jj"),"',",I280,",",J280,",",M280,"),")</f>
        <v>(15,'PS-15-NK1','Poste de Sectionnement n°15 NK1','Tuesday-08-jj','Tuesday-08-jj',NULL,1,),</v>
      </c>
    </row>
    <row r="281" spans="1:20" ht="20.100000000000001" customHeight="1" x14ac:dyDescent="0.25">
      <c r="A281" s="38">
        <v>16</v>
      </c>
      <c r="B281" s="38">
        <v>286</v>
      </c>
      <c r="C281" s="38" t="s">
        <v>344</v>
      </c>
      <c r="D281" s="38">
        <v>9</v>
      </c>
      <c r="E281" s="39" t="str">
        <f t="shared" si="47"/>
        <v>PS-16-NK1</v>
      </c>
      <c r="F281" s="48" t="str">
        <f t="shared" si="48"/>
        <v>Poste de Sectionnement n°16 NK1</v>
      </c>
      <c r="G281" s="19">
        <v>40029</v>
      </c>
      <c r="H281" s="19">
        <v>40029</v>
      </c>
      <c r="I281" s="41" t="s">
        <v>20</v>
      </c>
      <c r="J281" s="41">
        <v>1</v>
      </c>
      <c r="K281" s="41" t="s">
        <v>3557</v>
      </c>
      <c r="L281" s="41">
        <v>16</v>
      </c>
      <c r="M281" s="41"/>
      <c r="N281" s="41"/>
      <c r="O281" s="41" t="s">
        <v>344</v>
      </c>
      <c r="P281" s="41" t="s">
        <v>1663</v>
      </c>
      <c r="Q281" s="43">
        <f t="shared" si="43"/>
        <v>150</v>
      </c>
      <c r="R281" s="43">
        <f t="shared" si="44"/>
        <v>326.50700000000001</v>
      </c>
      <c r="S281" s="41" t="s">
        <v>1677</v>
      </c>
      <c r="T281" s="48" t="str">
        <f t="shared" si="49"/>
        <v>(16,'PS-16-NK1','Poste de Sectionnement n°16 NK1','Tuesday-08-jj','Tuesday-08-jj',NULL,1,),</v>
      </c>
    </row>
    <row r="282" spans="1:20" ht="20.100000000000001" customHeight="1" x14ac:dyDescent="0.25">
      <c r="A282" s="38">
        <v>2</v>
      </c>
      <c r="B282" s="38">
        <v>287</v>
      </c>
      <c r="C282" s="38" t="s">
        <v>344</v>
      </c>
      <c r="D282" s="38">
        <v>9</v>
      </c>
      <c r="E282" s="39" t="str">
        <f>CONCATENATE("PC-",TEXT(A282,"00"),"-",O282)</f>
        <v>PC-02-NK1</v>
      </c>
      <c r="F282" s="48" t="str">
        <f>CONCATENATE("Poste de Coupure n°",TEXT(A282,"00")," ",O282)</f>
        <v>Poste de Coupure n°02 NK1</v>
      </c>
      <c r="G282" s="19">
        <v>40029</v>
      </c>
      <c r="H282" s="19">
        <v>40029</v>
      </c>
      <c r="I282" s="41" t="s">
        <v>20</v>
      </c>
      <c r="J282" s="41">
        <v>1</v>
      </c>
      <c r="K282" s="41" t="s">
        <v>3556</v>
      </c>
      <c r="L282" s="41">
        <v>15</v>
      </c>
      <c r="M282" s="41"/>
      <c r="N282" s="41"/>
      <c r="O282" s="41" t="s">
        <v>344</v>
      </c>
      <c r="P282" s="41" t="s">
        <v>3313</v>
      </c>
      <c r="Q282" s="49">
        <f t="shared" si="43"/>
        <v>185</v>
      </c>
      <c r="R282" s="43">
        <f t="shared" si="44"/>
        <v>337.79199999999997</v>
      </c>
      <c r="S282" s="41" t="s">
        <v>3316</v>
      </c>
      <c r="T282" s="48" t="str">
        <f t="shared" si="49"/>
        <v>(2,'PC-02-NK1','Poste de Coupure n°02 NK1','Tuesday-08-jj','Tuesday-08-jj',NULL,1,),</v>
      </c>
    </row>
    <row r="283" spans="1:20" ht="20.100000000000001" customHeight="1" x14ac:dyDescent="0.25">
      <c r="A283" s="38">
        <v>2</v>
      </c>
      <c r="B283" s="38">
        <v>288</v>
      </c>
      <c r="C283" s="38" t="s">
        <v>344</v>
      </c>
      <c r="D283" s="38">
        <v>9</v>
      </c>
      <c r="E283" s="39" t="s">
        <v>143</v>
      </c>
      <c r="F283" s="48" t="str">
        <f>CONCATENATE("Station de Pompage ",E283)</f>
        <v>Station de Pompage SP3-NK1</v>
      </c>
      <c r="G283" s="19">
        <v>39814</v>
      </c>
      <c r="H283" s="19">
        <v>39814</v>
      </c>
      <c r="I283" s="41" t="s">
        <v>20</v>
      </c>
      <c r="J283" s="41">
        <v>1</v>
      </c>
      <c r="K283" s="41" t="s">
        <v>3552</v>
      </c>
      <c r="L283" s="41">
        <v>7</v>
      </c>
      <c r="M283" s="41">
        <v>10</v>
      </c>
      <c r="N283" s="41"/>
      <c r="O283" s="41" t="s">
        <v>344</v>
      </c>
      <c r="P283" s="41" t="s">
        <v>3313</v>
      </c>
      <c r="Q283" s="49">
        <f t="shared" si="43"/>
        <v>185</v>
      </c>
      <c r="R283" s="43">
        <f t="shared" si="44"/>
        <v>337.79199999999997</v>
      </c>
      <c r="S283" s="41" t="s">
        <v>3316</v>
      </c>
      <c r="T283" s="48" t="str">
        <f t="shared" si="49"/>
        <v>(2,'SP3-NK1','Station de Pompage SP3-NK1','Thursday-01-jj','Thursday-01-jj',NULL,1,10),</v>
      </c>
    </row>
    <row r="284" spans="1:20" ht="20.100000000000001" customHeight="1" x14ac:dyDescent="0.25">
      <c r="A284" s="38">
        <v>17</v>
      </c>
      <c r="B284" s="38">
        <v>289</v>
      </c>
      <c r="C284" s="38" t="s">
        <v>344</v>
      </c>
      <c r="D284" s="38">
        <v>9</v>
      </c>
      <c r="E284" s="39" t="str">
        <f>CONCATENATE("PS-",TEXT(A284,"00"),"-",O284)</f>
        <v>PS-17-NK1</v>
      </c>
      <c r="F284" s="48" t="str">
        <f>CONCATENATE("Poste de Sectionnement n°",TEXT(A284,"00")," ",O284)</f>
        <v>Poste de Sectionnement n°17 NK1</v>
      </c>
      <c r="G284" s="19">
        <v>40029</v>
      </c>
      <c r="H284" s="19">
        <v>40029</v>
      </c>
      <c r="I284" s="41" t="s">
        <v>20</v>
      </c>
      <c r="J284" s="41">
        <v>1</v>
      </c>
      <c r="K284" s="41" t="s">
        <v>3557</v>
      </c>
      <c r="L284" s="41">
        <v>16</v>
      </c>
      <c r="M284" s="41"/>
      <c r="N284" s="41"/>
      <c r="O284" s="41" t="s">
        <v>344</v>
      </c>
      <c r="P284" s="41" t="s">
        <v>1664</v>
      </c>
      <c r="Q284" s="43">
        <f t="shared" si="43"/>
        <v>241</v>
      </c>
      <c r="R284" s="43">
        <f t="shared" si="44"/>
        <v>357.11399999999998</v>
      </c>
      <c r="S284" s="41" t="s">
        <v>1678</v>
      </c>
      <c r="T284" s="48" t="str">
        <f t="shared" si="49"/>
        <v>(17,'PS-17-NK1','Poste de Sectionnement n°17 NK1','Tuesday-08-jj','Tuesday-08-jj',NULL,1,),</v>
      </c>
    </row>
    <row r="285" spans="1:20" ht="20.100000000000001" customHeight="1" x14ac:dyDescent="0.25">
      <c r="A285" s="38">
        <v>18</v>
      </c>
      <c r="B285" s="38">
        <v>290</v>
      </c>
      <c r="C285" s="38" t="s">
        <v>344</v>
      </c>
      <c r="D285" s="38">
        <v>9</v>
      </c>
      <c r="E285" s="39" t="str">
        <f>CONCATENATE("PS-",TEXT(A285,"00"),"-",O285)</f>
        <v>PS-18-NK1</v>
      </c>
      <c r="F285" s="48" t="str">
        <f>CONCATENATE("Poste de Sectionnement n°",TEXT(A285,"00")," ",O285)</f>
        <v>Poste de Sectionnement n°18 NK1</v>
      </c>
      <c r="G285" s="19">
        <v>40029</v>
      </c>
      <c r="H285" s="19">
        <v>40029</v>
      </c>
      <c r="I285" s="41" t="s">
        <v>20</v>
      </c>
      <c r="J285" s="41">
        <v>1</v>
      </c>
      <c r="K285" s="41" t="s">
        <v>3557</v>
      </c>
      <c r="L285" s="41">
        <v>16</v>
      </c>
      <c r="M285" s="41"/>
      <c r="N285" s="41"/>
      <c r="O285" s="41" t="s">
        <v>344</v>
      </c>
      <c r="P285" s="41" t="s">
        <v>1665</v>
      </c>
      <c r="Q285" s="43">
        <f t="shared" si="43"/>
        <v>403</v>
      </c>
      <c r="R285" s="43">
        <f t="shared" si="44"/>
        <v>375.16399999999999</v>
      </c>
      <c r="S285" s="41" t="s">
        <v>1678</v>
      </c>
      <c r="T285" s="48" t="str">
        <f t="shared" si="49"/>
        <v>(18,'PS-18-NK1','Poste de Sectionnement n°18 NK1','Tuesday-08-jj','Tuesday-08-jj',NULL,1,),</v>
      </c>
    </row>
    <row r="286" spans="1:20" ht="20.100000000000001" customHeight="1" x14ac:dyDescent="0.25">
      <c r="A286" s="38">
        <v>19</v>
      </c>
      <c r="B286" s="38">
        <v>291</v>
      </c>
      <c r="C286" s="38" t="s">
        <v>344</v>
      </c>
      <c r="D286" s="38">
        <v>9</v>
      </c>
      <c r="E286" s="39" t="str">
        <f>CONCATENATE("PS-",TEXT(A286,"00"),"-",O286)</f>
        <v>PS-19-NK1</v>
      </c>
      <c r="F286" s="48" t="str">
        <f>CONCATENATE("Poste de Sectionnement n°",TEXT(A286,"00")," ",O286)</f>
        <v>Poste de Sectionnement n°19 NK1</v>
      </c>
      <c r="G286" s="19">
        <v>40029</v>
      </c>
      <c r="H286" s="19">
        <v>40029</v>
      </c>
      <c r="I286" s="41" t="s">
        <v>20</v>
      </c>
      <c r="J286" s="41">
        <v>1</v>
      </c>
      <c r="K286" s="41" t="s">
        <v>3557</v>
      </c>
      <c r="L286" s="41">
        <v>16</v>
      </c>
      <c r="M286" s="41"/>
      <c r="N286" s="41"/>
      <c r="O286" s="41" t="s">
        <v>344</v>
      </c>
      <c r="P286" s="41" t="s">
        <v>1693</v>
      </c>
      <c r="Q286" s="43">
        <f t="shared" si="43"/>
        <v>538</v>
      </c>
      <c r="R286" s="43">
        <f t="shared" si="44"/>
        <v>394.30099999999999</v>
      </c>
      <c r="S286" s="41" t="s">
        <v>829</v>
      </c>
      <c r="T286" s="48" t="str">
        <f t="shared" si="49"/>
        <v>(19,'PS-19-NK1','Poste de Sectionnement n°19 NK1','Tuesday-08-jj','Tuesday-08-jj',NULL,1,),</v>
      </c>
    </row>
    <row r="287" spans="1:20" ht="20.100000000000001" customHeight="1" x14ac:dyDescent="0.25">
      <c r="A287" s="38">
        <v>20</v>
      </c>
      <c r="B287" s="38">
        <v>292</v>
      </c>
      <c r="C287" s="38" t="s">
        <v>344</v>
      </c>
      <c r="D287" s="38">
        <v>9</v>
      </c>
      <c r="E287" s="39" t="str">
        <f>CONCATENATE("PS-",TEXT(A287,"00"),"-",O287)</f>
        <v>PS-20-NK1</v>
      </c>
      <c r="F287" s="48" t="str">
        <f>CONCATENATE("Poste de Sectionnement n°",TEXT(A287,"00")," ",O287)</f>
        <v>Poste de Sectionnement n°20 NK1</v>
      </c>
      <c r="G287" s="19">
        <v>40029</v>
      </c>
      <c r="H287" s="19">
        <v>40029</v>
      </c>
      <c r="I287" s="41" t="s">
        <v>20</v>
      </c>
      <c r="J287" s="41">
        <v>1</v>
      </c>
      <c r="K287" s="41" t="s">
        <v>3557</v>
      </c>
      <c r="L287" s="41">
        <v>16</v>
      </c>
      <c r="M287" s="41"/>
      <c r="N287" s="41"/>
      <c r="O287" s="41" t="s">
        <v>344</v>
      </c>
      <c r="P287" s="41" t="s">
        <v>1694</v>
      </c>
      <c r="Q287" s="43">
        <f t="shared" si="43"/>
        <v>474</v>
      </c>
      <c r="R287" s="43">
        <f t="shared" si="44"/>
        <v>411.12900000000002</v>
      </c>
      <c r="S287" s="41" t="s">
        <v>829</v>
      </c>
      <c r="T287" s="48" t="str">
        <f t="shared" si="49"/>
        <v>(20,'PS-20-NK1','Poste de Sectionnement n°20 NK1','Tuesday-08-jj','Tuesday-08-jj',NULL,1,),</v>
      </c>
    </row>
    <row r="288" spans="1:20" ht="20.100000000000001" customHeight="1" x14ac:dyDescent="0.25">
      <c r="A288" s="38">
        <v>3</v>
      </c>
      <c r="B288" s="38">
        <v>293</v>
      </c>
      <c r="C288" s="38" t="s">
        <v>344</v>
      </c>
      <c r="D288" s="38">
        <v>9</v>
      </c>
      <c r="E288" s="39" t="str">
        <f>CONCATENATE("PC-",TEXT(A288,"00"),"-",O288)</f>
        <v>PC-03-NK1</v>
      </c>
      <c r="F288" s="48" t="str">
        <f>CONCATENATE("Poste de Coupure n°",TEXT(A288,"00")," ",O288)</f>
        <v>Poste de Coupure n°03 NK1</v>
      </c>
      <c r="G288" s="19">
        <v>40029</v>
      </c>
      <c r="H288" s="19">
        <v>40029</v>
      </c>
      <c r="I288" s="41" t="s">
        <v>20</v>
      </c>
      <c r="J288" s="41">
        <v>1</v>
      </c>
      <c r="K288" s="41" t="s">
        <v>3556</v>
      </c>
      <c r="L288" s="41">
        <v>15</v>
      </c>
      <c r="M288" s="41"/>
      <c r="N288" s="41"/>
      <c r="O288" s="41" t="s">
        <v>344</v>
      </c>
      <c r="P288" s="41" t="s">
        <v>3314</v>
      </c>
      <c r="Q288" s="49">
        <f t="shared" si="43"/>
        <v>620</v>
      </c>
      <c r="R288" s="43">
        <f t="shared" si="44"/>
        <v>430.78899999999999</v>
      </c>
      <c r="S288" s="41" t="s">
        <v>3259</v>
      </c>
      <c r="T288" s="48" t="str">
        <f t="shared" si="49"/>
        <v>(3,'PC-03-NK1','Poste de Coupure n°03 NK1','Tuesday-08-jj','Tuesday-08-jj',NULL,1,),</v>
      </c>
    </row>
    <row r="289" spans="1:20" ht="20.100000000000001" customHeight="1" x14ac:dyDescent="0.25">
      <c r="A289" s="38">
        <v>21</v>
      </c>
      <c r="B289" s="38">
        <v>294</v>
      </c>
      <c r="C289" s="38" t="s">
        <v>344</v>
      </c>
      <c r="D289" s="38">
        <v>9</v>
      </c>
      <c r="E289" s="39" t="str">
        <f t="shared" ref="E289:E306" si="50">CONCATENATE("PS-",TEXT(A289,"00"),"-",O289)</f>
        <v>PS-21-NK1</v>
      </c>
      <c r="F289" s="48" t="str">
        <f t="shared" ref="F289:F306" si="51">CONCATENATE("Poste de Sectionnement n°",TEXT(A289,"00")," ",O289)</f>
        <v>Poste de Sectionnement n°21 NK1</v>
      </c>
      <c r="G289" s="19">
        <v>40029</v>
      </c>
      <c r="H289" s="19">
        <v>40029</v>
      </c>
      <c r="I289" s="41" t="s">
        <v>20</v>
      </c>
      <c r="J289" s="41">
        <v>1</v>
      </c>
      <c r="K289" s="41" t="s">
        <v>3557</v>
      </c>
      <c r="L289" s="41">
        <v>16</v>
      </c>
      <c r="M289" s="41"/>
      <c r="N289" s="41"/>
      <c r="O289" s="41" t="s">
        <v>344</v>
      </c>
      <c r="P289" s="41" t="s">
        <v>1695</v>
      </c>
      <c r="Q289" s="43">
        <f t="shared" si="43"/>
        <v>705</v>
      </c>
      <c r="R289" s="43">
        <f t="shared" si="44"/>
        <v>446.33699999999999</v>
      </c>
      <c r="S289" s="41" t="s">
        <v>1679</v>
      </c>
      <c r="T289" s="48" t="str">
        <f t="shared" si="49"/>
        <v>(21,'PS-21-NK1','Poste de Sectionnement n°21 NK1','Tuesday-08-jj','Tuesday-08-jj',NULL,1,),</v>
      </c>
    </row>
    <row r="290" spans="1:20" ht="20.100000000000001" customHeight="1" x14ac:dyDescent="0.25">
      <c r="A290" s="38">
        <v>22</v>
      </c>
      <c r="B290" s="38">
        <v>295</v>
      </c>
      <c r="C290" s="38" t="s">
        <v>344</v>
      </c>
      <c r="D290" s="38">
        <v>9</v>
      </c>
      <c r="E290" s="39" t="str">
        <f t="shared" si="50"/>
        <v>PS-22-NK1</v>
      </c>
      <c r="F290" s="48" t="str">
        <f t="shared" si="51"/>
        <v>Poste de Sectionnement n°22 NK1</v>
      </c>
      <c r="G290" s="19">
        <v>40029</v>
      </c>
      <c r="H290" s="19">
        <v>40029</v>
      </c>
      <c r="I290" s="41" t="s">
        <v>20</v>
      </c>
      <c r="J290" s="41">
        <v>1</v>
      </c>
      <c r="K290" s="41" t="s">
        <v>3557</v>
      </c>
      <c r="L290" s="41">
        <v>16</v>
      </c>
      <c r="M290" s="41"/>
      <c r="N290" s="41"/>
      <c r="O290" s="41" t="s">
        <v>344</v>
      </c>
      <c r="P290" s="41" t="s">
        <v>1696</v>
      </c>
      <c r="Q290" s="43">
        <f t="shared" si="43"/>
        <v>854</v>
      </c>
      <c r="R290" s="43">
        <f t="shared" si="44"/>
        <v>461.375</v>
      </c>
      <c r="S290" s="41" t="s">
        <v>1680</v>
      </c>
      <c r="T290" s="48" t="str">
        <f t="shared" si="49"/>
        <v>(22,'PS-22-NK1','Poste de Sectionnement n°22 NK1','Tuesday-08-jj','Tuesday-08-jj',NULL,1,),</v>
      </c>
    </row>
    <row r="291" spans="1:20" ht="20.100000000000001" customHeight="1" x14ac:dyDescent="0.25">
      <c r="A291" s="38">
        <v>23</v>
      </c>
      <c r="B291" s="38">
        <v>296</v>
      </c>
      <c r="C291" s="38" t="s">
        <v>344</v>
      </c>
      <c r="D291" s="38">
        <v>9</v>
      </c>
      <c r="E291" s="39" t="str">
        <f t="shared" si="50"/>
        <v>PS-23-NK1</v>
      </c>
      <c r="F291" s="48" t="str">
        <f t="shared" si="51"/>
        <v>Poste de Sectionnement n°23 NK1</v>
      </c>
      <c r="G291" s="19">
        <v>40029</v>
      </c>
      <c r="H291" s="19">
        <v>40029</v>
      </c>
      <c r="I291" s="41" t="s">
        <v>20</v>
      </c>
      <c r="J291" s="41">
        <v>1</v>
      </c>
      <c r="K291" s="41" t="s">
        <v>3557</v>
      </c>
      <c r="L291" s="41">
        <v>16</v>
      </c>
      <c r="M291" s="41"/>
      <c r="N291" s="41"/>
      <c r="O291" s="41" t="s">
        <v>344</v>
      </c>
      <c r="P291" s="41" t="s">
        <v>1697</v>
      </c>
      <c r="Q291" s="43">
        <f t="shared" si="43"/>
        <v>934</v>
      </c>
      <c r="R291" s="43">
        <f t="shared" si="44"/>
        <v>478.15</v>
      </c>
      <c r="S291" s="41" t="s">
        <v>1681</v>
      </c>
      <c r="T291" s="48" t="str">
        <f t="shared" si="49"/>
        <v>(23,'PS-23-NK1','Poste de Sectionnement n°23 NK1','Tuesday-08-jj','Tuesday-08-jj',NULL,1,),</v>
      </c>
    </row>
    <row r="292" spans="1:20" ht="20.100000000000001" customHeight="1" x14ac:dyDescent="0.25">
      <c r="A292" s="38">
        <v>24</v>
      </c>
      <c r="B292" s="38">
        <v>297</v>
      </c>
      <c r="C292" s="38" t="s">
        <v>344</v>
      </c>
      <c r="D292" s="38">
        <v>9</v>
      </c>
      <c r="E292" s="39" t="str">
        <f t="shared" si="50"/>
        <v>PS-24-NK1</v>
      </c>
      <c r="F292" s="48" t="str">
        <f t="shared" si="51"/>
        <v>Poste de Sectionnement n°24 NK1</v>
      </c>
      <c r="G292" s="19">
        <v>40029</v>
      </c>
      <c r="H292" s="19">
        <v>40029</v>
      </c>
      <c r="I292" s="41" t="s">
        <v>20</v>
      </c>
      <c r="J292" s="41">
        <v>1</v>
      </c>
      <c r="K292" s="41" t="s">
        <v>3557</v>
      </c>
      <c r="L292" s="41">
        <v>16</v>
      </c>
      <c r="M292" s="41"/>
      <c r="N292" s="41"/>
      <c r="O292" s="41" t="s">
        <v>344</v>
      </c>
      <c r="P292" s="41" t="s">
        <v>1698</v>
      </c>
      <c r="Q292" s="43">
        <f t="shared" si="43"/>
        <v>874</v>
      </c>
      <c r="R292" s="43">
        <f t="shared" si="44"/>
        <v>496.24099999999999</v>
      </c>
      <c r="S292" s="41" t="s">
        <v>1682</v>
      </c>
      <c r="T292" s="48" t="str">
        <f t="shared" si="49"/>
        <v>(24,'PS-24-NK1','Poste de Sectionnement n°24 NK1','Tuesday-08-jj','Tuesday-08-jj',NULL,1,),</v>
      </c>
    </row>
    <row r="293" spans="1:20" ht="20.100000000000001" customHeight="1" x14ac:dyDescent="0.25">
      <c r="A293" s="38">
        <v>25</v>
      </c>
      <c r="B293" s="38">
        <v>298</v>
      </c>
      <c r="C293" s="38" t="s">
        <v>344</v>
      </c>
      <c r="D293" s="38">
        <v>9</v>
      </c>
      <c r="E293" s="39" t="str">
        <f t="shared" si="50"/>
        <v>PS-25-NK1</v>
      </c>
      <c r="F293" s="48" t="str">
        <f t="shared" si="51"/>
        <v>Poste de Sectionnement n°25 NK1</v>
      </c>
      <c r="G293" s="19">
        <v>40029</v>
      </c>
      <c r="H293" s="19">
        <v>40029</v>
      </c>
      <c r="I293" s="41" t="s">
        <v>20</v>
      </c>
      <c r="J293" s="41">
        <v>1</v>
      </c>
      <c r="K293" s="41" t="s">
        <v>3557</v>
      </c>
      <c r="L293" s="41">
        <v>16</v>
      </c>
      <c r="M293" s="41"/>
      <c r="N293" s="41"/>
      <c r="O293" s="41" t="s">
        <v>344</v>
      </c>
      <c r="P293" s="41" t="s">
        <v>1699</v>
      </c>
      <c r="Q293" s="43">
        <f t="shared" si="43"/>
        <v>957</v>
      </c>
      <c r="R293" s="43">
        <f t="shared" si="44"/>
        <v>508.36399999999998</v>
      </c>
      <c r="S293" s="41" t="s">
        <v>1683</v>
      </c>
      <c r="T293" s="48" t="str">
        <f t="shared" si="49"/>
        <v>(25,'PS-25-NK1','Poste de Sectionnement n°25 NK1','Tuesday-08-jj','Tuesday-08-jj',NULL,1,),</v>
      </c>
    </row>
    <row r="294" spans="1:20" ht="20.100000000000001" customHeight="1" x14ac:dyDescent="0.25">
      <c r="A294" s="38">
        <v>26</v>
      </c>
      <c r="B294" s="38">
        <v>299</v>
      </c>
      <c r="C294" s="38" t="s">
        <v>344</v>
      </c>
      <c r="D294" s="38">
        <v>9</v>
      </c>
      <c r="E294" s="39" t="str">
        <f t="shared" si="50"/>
        <v>PS-26-NK1</v>
      </c>
      <c r="F294" s="48" t="str">
        <f t="shared" si="51"/>
        <v>Poste de Sectionnement n°26 NK1</v>
      </c>
      <c r="G294" s="19">
        <v>40029</v>
      </c>
      <c r="H294" s="19">
        <v>40029</v>
      </c>
      <c r="I294" s="41" t="s">
        <v>20</v>
      </c>
      <c r="J294" s="41">
        <v>1</v>
      </c>
      <c r="K294" s="41" t="s">
        <v>3557</v>
      </c>
      <c r="L294" s="41">
        <v>16</v>
      </c>
      <c r="M294" s="41"/>
      <c r="N294" s="41"/>
      <c r="O294" s="41" t="s">
        <v>344</v>
      </c>
      <c r="P294" s="41" t="s">
        <v>1700</v>
      </c>
      <c r="Q294" s="43">
        <f t="shared" si="43"/>
        <v>833</v>
      </c>
      <c r="R294" s="43">
        <f t="shared" si="44"/>
        <v>525.23900000000003</v>
      </c>
      <c r="S294" s="41" t="s">
        <v>1684</v>
      </c>
      <c r="T294" s="48" t="str">
        <f t="shared" si="49"/>
        <v>(26,'PS-26-NK1','Poste de Sectionnement n°26 NK1','Tuesday-08-jj','Tuesday-08-jj',NULL,1,),</v>
      </c>
    </row>
    <row r="295" spans="1:20" ht="20.100000000000001" customHeight="1" x14ac:dyDescent="0.25">
      <c r="A295" s="38">
        <v>27</v>
      </c>
      <c r="B295" s="38">
        <v>300</v>
      </c>
      <c r="C295" s="38" t="s">
        <v>344</v>
      </c>
      <c r="D295" s="38">
        <v>9</v>
      </c>
      <c r="E295" s="39" t="str">
        <f t="shared" si="50"/>
        <v>PS-27-NK1</v>
      </c>
      <c r="F295" s="48" t="str">
        <f t="shared" si="51"/>
        <v>Poste de Sectionnement n°27 NK1</v>
      </c>
      <c r="G295" s="19">
        <v>40029</v>
      </c>
      <c r="H295" s="19">
        <v>40029</v>
      </c>
      <c r="I295" s="41" t="s">
        <v>20</v>
      </c>
      <c r="J295" s="41">
        <v>1</v>
      </c>
      <c r="K295" s="41" t="s">
        <v>3557</v>
      </c>
      <c r="L295" s="41">
        <v>16</v>
      </c>
      <c r="M295" s="41"/>
      <c r="N295" s="41"/>
      <c r="O295" s="41" t="s">
        <v>344</v>
      </c>
      <c r="P295" s="41" t="s">
        <v>1701</v>
      </c>
      <c r="Q295" s="43">
        <f t="shared" si="43"/>
        <v>780</v>
      </c>
      <c r="R295" s="43">
        <f t="shared" si="44"/>
        <v>540.75300000000004</v>
      </c>
      <c r="S295" s="41" t="s">
        <v>1685</v>
      </c>
      <c r="T295" s="48" t="str">
        <f t="shared" si="49"/>
        <v>(27,'PS-27-NK1','Poste de Sectionnement n°27 NK1','Tuesday-08-jj','Tuesday-08-jj',NULL,1,),</v>
      </c>
    </row>
    <row r="296" spans="1:20" ht="20.100000000000001" customHeight="1" x14ac:dyDescent="0.25">
      <c r="A296" s="38">
        <v>28</v>
      </c>
      <c r="B296" s="38">
        <v>301</v>
      </c>
      <c r="C296" s="38" t="s">
        <v>344</v>
      </c>
      <c r="D296" s="38">
        <v>9</v>
      </c>
      <c r="E296" s="39" t="str">
        <f t="shared" si="50"/>
        <v>PS-28-NK1</v>
      </c>
      <c r="F296" s="48" t="str">
        <f t="shared" si="51"/>
        <v>Poste de Sectionnement n°28 NK1</v>
      </c>
      <c r="G296" s="19">
        <v>40029</v>
      </c>
      <c r="H296" s="19">
        <v>40029</v>
      </c>
      <c r="I296" s="41" t="s">
        <v>20</v>
      </c>
      <c r="J296" s="41">
        <v>1</v>
      </c>
      <c r="K296" s="41" t="s">
        <v>3557</v>
      </c>
      <c r="L296" s="41">
        <v>16</v>
      </c>
      <c r="M296" s="41"/>
      <c r="N296" s="41"/>
      <c r="O296" s="41" t="s">
        <v>344</v>
      </c>
      <c r="P296" s="41" t="s">
        <v>1702</v>
      </c>
      <c r="Q296" s="43">
        <f t="shared" si="43"/>
        <v>660</v>
      </c>
      <c r="R296" s="43">
        <f t="shared" si="44"/>
        <v>554.19299999999998</v>
      </c>
      <c r="S296" s="41" t="s">
        <v>1686</v>
      </c>
      <c r="T296" s="48" t="str">
        <f t="shared" si="49"/>
        <v>(28,'PS-28-NK1','Poste de Sectionnement n°28 NK1','Tuesday-08-jj','Tuesday-08-jj',NULL,1,),</v>
      </c>
    </row>
    <row r="297" spans="1:20" ht="20.100000000000001" customHeight="1" x14ac:dyDescent="0.25">
      <c r="A297" s="38">
        <v>29</v>
      </c>
      <c r="B297" s="38">
        <v>302</v>
      </c>
      <c r="C297" s="38" t="s">
        <v>344</v>
      </c>
      <c r="D297" s="38">
        <v>9</v>
      </c>
      <c r="E297" s="39" t="str">
        <f t="shared" si="50"/>
        <v>PS-29-NK1</v>
      </c>
      <c r="F297" s="48" t="str">
        <f t="shared" si="51"/>
        <v>Poste de Sectionnement n°29 NK1</v>
      </c>
      <c r="G297" s="19">
        <v>40029</v>
      </c>
      <c r="H297" s="19">
        <v>40029</v>
      </c>
      <c r="I297" s="41" t="s">
        <v>20</v>
      </c>
      <c r="J297" s="41">
        <v>1</v>
      </c>
      <c r="K297" s="41" t="s">
        <v>3557</v>
      </c>
      <c r="L297" s="41">
        <v>16</v>
      </c>
      <c r="M297" s="41"/>
      <c r="N297" s="41"/>
      <c r="O297" s="41" t="s">
        <v>344</v>
      </c>
      <c r="P297" s="41" t="s">
        <v>1703</v>
      </c>
      <c r="Q297" s="43">
        <f t="shared" si="43"/>
        <v>770</v>
      </c>
      <c r="R297" s="43">
        <f t="shared" si="44"/>
        <v>568.76099999999997</v>
      </c>
      <c r="S297" s="41" t="s">
        <v>1687</v>
      </c>
      <c r="T297" s="48" t="str">
        <f t="shared" si="49"/>
        <v>(29,'PS-29-NK1','Poste de Sectionnement n°29 NK1','Tuesday-08-jj','Tuesday-08-jj',NULL,1,),</v>
      </c>
    </row>
    <row r="298" spans="1:20" ht="20.100000000000001" customHeight="1" x14ac:dyDescent="0.25">
      <c r="A298" s="38">
        <v>30</v>
      </c>
      <c r="B298" s="38">
        <v>303</v>
      </c>
      <c r="C298" s="38" t="s">
        <v>344</v>
      </c>
      <c r="D298" s="38">
        <v>9</v>
      </c>
      <c r="E298" s="39" t="str">
        <f t="shared" si="50"/>
        <v>PS-30-NK1</v>
      </c>
      <c r="F298" s="48" t="str">
        <f t="shared" si="51"/>
        <v>Poste de Sectionnement n°30 NK1</v>
      </c>
      <c r="G298" s="19">
        <v>40029</v>
      </c>
      <c r="H298" s="19">
        <v>40029</v>
      </c>
      <c r="I298" s="41" t="s">
        <v>20</v>
      </c>
      <c r="J298" s="41">
        <v>1</v>
      </c>
      <c r="K298" s="41" t="s">
        <v>3557</v>
      </c>
      <c r="L298" s="41">
        <v>16</v>
      </c>
      <c r="M298" s="41"/>
      <c r="N298" s="41"/>
      <c r="O298" s="41" t="s">
        <v>344</v>
      </c>
      <c r="P298" s="41" t="s">
        <v>1704</v>
      </c>
      <c r="Q298" s="43">
        <f t="shared" si="43"/>
        <v>432</v>
      </c>
      <c r="R298" s="43">
        <f t="shared" si="44"/>
        <v>576.08000000000004</v>
      </c>
      <c r="S298" s="41" t="s">
        <v>835</v>
      </c>
      <c r="T298" s="48" t="str">
        <f t="shared" si="49"/>
        <v>(30,'PS-30-NK1','Poste de Sectionnement n°30 NK1','Tuesday-08-jj','Tuesday-08-jj',NULL,1,),</v>
      </c>
    </row>
    <row r="299" spans="1:20" ht="20.100000000000001" customHeight="1" x14ac:dyDescent="0.25">
      <c r="A299" s="38">
        <v>31</v>
      </c>
      <c r="B299" s="38">
        <v>304</v>
      </c>
      <c r="C299" s="38" t="s">
        <v>344</v>
      </c>
      <c r="D299" s="38">
        <v>9</v>
      </c>
      <c r="E299" s="39" t="str">
        <f t="shared" si="50"/>
        <v>PS-31-NK1</v>
      </c>
      <c r="F299" s="48" t="str">
        <f t="shared" si="51"/>
        <v>Poste de Sectionnement n°31 NK1</v>
      </c>
      <c r="G299" s="19">
        <v>40029</v>
      </c>
      <c r="H299" s="19">
        <v>40029</v>
      </c>
      <c r="I299" s="41" t="s">
        <v>20</v>
      </c>
      <c r="J299" s="41">
        <v>1</v>
      </c>
      <c r="K299" s="41" t="s">
        <v>3557</v>
      </c>
      <c r="L299" s="41">
        <v>16</v>
      </c>
      <c r="M299" s="41"/>
      <c r="N299" s="41"/>
      <c r="O299" s="41" t="s">
        <v>344</v>
      </c>
      <c r="P299" s="41" t="s">
        <v>1705</v>
      </c>
      <c r="Q299" s="43">
        <f t="shared" si="43"/>
        <v>594</v>
      </c>
      <c r="R299" s="43">
        <f t="shared" si="44"/>
        <v>588.96</v>
      </c>
      <c r="S299" s="41" t="s">
        <v>1688</v>
      </c>
      <c r="T299" s="48" t="str">
        <f t="shared" si="49"/>
        <v>(31,'PS-31-NK1','Poste de Sectionnement n°31 NK1','Tuesday-08-jj','Tuesday-08-jj',NULL,1,),</v>
      </c>
    </row>
    <row r="300" spans="1:20" ht="20.100000000000001" customHeight="1" x14ac:dyDescent="0.25">
      <c r="A300" s="38">
        <v>32</v>
      </c>
      <c r="B300" s="38">
        <v>305</v>
      </c>
      <c r="C300" s="38" t="s">
        <v>344</v>
      </c>
      <c r="D300" s="38">
        <v>9</v>
      </c>
      <c r="E300" s="39" t="str">
        <f t="shared" si="50"/>
        <v>PS-32-NK1</v>
      </c>
      <c r="F300" s="48" t="str">
        <f t="shared" si="51"/>
        <v>Poste de Sectionnement n°32 NK1</v>
      </c>
      <c r="G300" s="19">
        <v>40029</v>
      </c>
      <c r="H300" s="19">
        <v>40029</v>
      </c>
      <c r="I300" s="41" t="s">
        <v>20</v>
      </c>
      <c r="J300" s="41">
        <v>1</v>
      </c>
      <c r="K300" s="41" t="s">
        <v>3557</v>
      </c>
      <c r="L300" s="41">
        <v>16</v>
      </c>
      <c r="M300" s="41"/>
      <c r="N300" s="41"/>
      <c r="O300" s="41" t="s">
        <v>344</v>
      </c>
      <c r="P300" s="41" t="s">
        <v>1706</v>
      </c>
      <c r="Q300" s="43">
        <f t="shared" si="43"/>
        <v>568</v>
      </c>
      <c r="R300" s="43">
        <f t="shared" si="44"/>
        <v>599.88800000000003</v>
      </c>
      <c r="S300" s="41" t="s">
        <v>1689</v>
      </c>
      <c r="T300" s="48" t="str">
        <f t="shared" si="49"/>
        <v>(32,'PS-32-NK1','Poste de Sectionnement n°32 NK1','Tuesday-08-jj','Tuesday-08-jj',NULL,1,),</v>
      </c>
    </row>
    <row r="301" spans="1:20" ht="20.100000000000001" customHeight="1" x14ac:dyDescent="0.25">
      <c r="A301" s="38">
        <v>33</v>
      </c>
      <c r="B301" s="38">
        <v>306</v>
      </c>
      <c r="C301" s="38" t="s">
        <v>344</v>
      </c>
      <c r="D301" s="38">
        <v>9</v>
      </c>
      <c r="E301" s="39" t="str">
        <f t="shared" si="50"/>
        <v>PS-33-NK1</v>
      </c>
      <c r="F301" s="48" t="str">
        <f t="shared" si="51"/>
        <v>Poste de Sectionnement n°33 NK1</v>
      </c>
      <c r="G301" s="19">
        <v>40029</v>
      </c>
      <c r="H301" s="19">
        <v>40029</v>
      </c>
      <c r="I301" s="41" t="s">
        <v>20</v>
      </c>
      <c r="J301" s="41">
        <v>1</v>
      </c>
      <c r="K301" s="41" t="s">
        <v>3557</v>
      </c>
      <c r="L301" s="41">
        <v>16</v>
      </c>
      <c r="M301" s="41"/>
      <c r="N301" s="41"/>
      <c r="O301" s="41" t="s">
        <v>344</v>
      </c>
      <c r="P301" s="41" t="s">
        <v>1707</v>
      </c>
      <c r="Q301" s="43">
        <f t="shared" si="43"/>
        <v>172</v>
      </c>
      <c r="R301" s="43">
        <f t="shared" si="44"/>
        <v>614.43499999999995</v>
      </c>
      <c r="S301" s="41" t="s">
        <v>1690</v>
      </c>
      <c r="T301" s="48" t="str">
        <f t="shared" si="49"/>
        <v>(33,'PS-33-NK1','Poste de Sectionnement n°33 NK1','Tuesday-08-jj','Tuesday-08-jj',NULL,1,),</v>
      </c>
    </row>
    <row r="302" spans="1:20" ht="20.100000000000001" customHeight="1" x14ac:dyDescent="0.25">
      <c r="A302" s="38">
        <v>34</v>
      </c>
      <c r="B302" s="38">
        <v>307</v>
      </c>
      <c r="C302" s="38" t="s">
        <v>344</v>
      </c>
      <c r="D302" s="38">
        <v>9</v>
      </c>
      <c r="E302" s="39" t="str">
        <f t="shared" si="50"/>
        <v>PS-34-NK1</v>
      </c>
      <c r="F302" s="48" t="str">
        <f t="shared" si="51"/>
        <v>Poste de Sectionnement n°34 NK1</v>
      </c>
      <c r="G302" s="19">
        <v>40029</v>
      </c>
      <c r="H302" s="19">
        <v>40029</v>
      </c>
      <c r="I302" s="41" t="s">
        <v>20</v>
      </c>
      <c r="J302" s="41">
        <v>1</v>
      </c>
      <c r="K302" s="41" t="s">
        <v>3557</v>
      </c>
      <c r="L302" s="41">
        <v>16</v>
      </c>
      <c r="M302" s="41"/>
      <c r="N302" s="41"/>
      <c r="O302" s="41" t="s">
        <v>344</v>
      </c>
      <c r="P302" s="41" t="s">
        <v>1708</v>
      </c>
      <c r="Q302" s="43">
        <f t="shared" si="43"/>
        <v>149</v>
      </c>
      <c r="R302" s="43">
        <f t="shared" si="44"/>
        <v>623.41700000000003</v>
      </c>
      <c r="S302" s="41" t="s">
        <v>1691</v>
      </c>
      <c r="T302" s="48" t="str">
        <f t="shared" si="49"/>
        <v>(34,'PS-34-NK1','Poste de Sectionnement n°34 NK1','Tuesday-08-jj','Tuesday-08-jj',NULL,1,),</v>
      </c>
    </row>
    <row r="303" spans="1:20" ht="20.100000000000001" customHeight="1" x14ac:dyDescent="0.25">
      <c r="A303" s="38">
        <v>35</v>
      </c>
      <c r="B303" s="38">
        <v>308</v>
      </c>
      <c r="C303" s="38" t="s">
        <v>344</v>
      </c>
      <c r="D303" s="38">
        <v>9</v>
      </c>
      <c r="E303" s="39" t="str">
        <f t="shared" si="50"/>
        <v>PS-35-NK1</v>
      </c>
      <c r="F303" s="48" t="str">
        <f t="shared" si="51"/>
        <v>Poste de Sectionnement n°35 NK1</v>
      </c>
      <c r="G303" s="19">
        <v>40029</v>
      </c>
      <c r="H303" s="19">
        <v>40029</v>
      </c>
      <c r="I303" s="41" t="s">
        <v>20</v>
      </c>
      <c r="J303" s="41">
        <v>1</v>
      </c>
      <c r="K303" s="41" t="s">
        <v>3557</v>
      </c>
      <c r="L303" s="41">
        <v>16</v>
      </c>
      <c r="M303" s="41"/>
      <c r="N303" s="41"/>
      <c r="O303" s="41" t="s">
        <v>344</v>
      </c>
      <c r="P303" s="41" t="s">
        <v>1709</v>
      </c>
      <c r="Q303" s="43">
        <f t="shared" si="43"/>
        <v>60</v>
      </c>
      <c r="R303" s="43">
        <f t="shared" si="44"/>
        <v>633.08500000000004</v>
      </c>
      <c r="S303" s="41" t="s">
        <v>1692</v>
      </c>
      <c r="T303" s="48" t="str">
        <f t="shared" si="49"/>
        <v>(35,'PS-35-NK1','Poste de Sectionnement n°35 NK1','Tuesday-08-jj','Tuesday-08-jj',NULL,1,),</v>
      </c>
    </row>
    <row r="304" spans="1:20" ht="20.100000000000001" customHeight="1" x14ac:dyDescent="0.25">
      <c r="A304" s="38">
        <v>36</v>
      </c>
      <c r="B304" s="38">
        <v>309</v>
      </c>
      <c r="C304" s="38" t="s">
        <v>344</v>
      </c>
      <c r="D304" s="38">
        <v>9</v>
      </c>
      <c r="E304" s="39" t="str">
        <f t="shared" si="50"/>
        <v>PS-36-NK1</v>
      </c>
      <c r="F304" s="48" t="str">
        <f t="shared" si="51"/>
        <v>Poste de Sectionnement n°36 NK1</v>
      </c>
      <c r="G304" s="19">
        <v>40029</v>
      </c>
      <c r="H304" s="19">
        <v>40029</v>
      </c>
      <c r="I304" s="41" t="s">
        <v>20</v>
      </c>
      <c r="J304" s="41">
        <v>1</v>
      </c>
      <c r="K304" s="41" t="s">
        <v>3557</v>
      </c>
      <c r="L304" s="41">
        <v>16</v>
      </c>
      <c r="M304" s="41"/>
      <c r="N304" s="41"/>
      <c r="O304" s="41" t="s">
        <v>344</v>
      </c>
      <c r="P304" s="41" t="s">
        <v>1710</v>
      </c>
      <c r="Q304" s="43">
        <f t="shared" si="43"/>
        <v>30</v>
      </c>
      <c r="R304" s="43">
        <f t="shared" si="44"/>
        <v>641.44399999999996</v>
      </c>
      <c r="S304" s="41" t="s">
        <v>838</v>
      </c>
      <c r="T304" s="48" t="str">
        <f t="shared" si="49"/>
        <v>(36,'PS-36-NK1','Poste de Sectionnement n°36 NK1','Tuesday-08-jj','Tuesday-08-jj',NULL,1,),</v>
      </c>
    </row>
    <row r="305" spans="1:20" ht="20.100000000000001" customHeight="1" x14ac:dyDescent="0.25">
      <c r="A305" s="38">
        <v>1</v>
      </c>
      <c r="B305" s="38">
        <v>310</v>
      </c>
      <c r="C305" s="38" t="s">
        <v>347</v>
      </c>
      <c r="D305" s="38">
        <v>10</v>
      </c>
      <c r="E305" s="39" t="str">
        <f t="shared" si="50"/>
        <v>PS-01-NH2</v>
      </c>
      <c r="F305" s="48" t="str">
        <f t="shared" si="51"/>
        <v>Poste de Sectionnement n°01 NH2</v>
      </c>
      <c r="G305" s="19">
        <v>30317</v>
      </c>
      <c r="H305" s="19">
        <v>30317</v>
      </c>
      <c r="I305" s="41" t="s">
        <v>20</v>
      </c>
      <c r="J305" s="41">
        <v>1</v>
      </c>
      <c r="K305" s="41" t="s">
        <v>3557</v>
      </c>
      <c r="L305" s="41">
        <v>16</v>
      </c>
      <c r="M305" s="41"/>
      <c r="N305" s="41"/>
      <c r="O305" s="41" t="s">
        <v>347</v>
      </c>
      <c r="P305" s="41" t="s">
        <v>1711</v>
      </c>
      <c r="Q305" s="43">
        <f t="shared" si="43"/>
        <v>637</v>
      </c>
      <c r="R305" s="43">
        <f t="shared" si="44"/>
        <v>27</v>
      </c>
      <c r="S305" s="41" t="s">
        <v>1721</v>
      </c>
      <c r="T305" s="48" t="str">
        <f t="shared" si="49"/>
        <v>(1,'PS-01-NH2','Poste de Sectionnement n°01 NH2','Saturday-01-jj','Saturday-01-jj',NULL,1,),</v>
      </c>
    </row>
    <row r="306" spans="1:20" ht="20.100000000000001" customHeight="1" x14ac:dyDescent="0.25">
      <c r="A306" s="38">
        <v>2</v>
      </c>
      <c r="B306" s="38">
        <v>311</v>
      </c>
      <c r="C306" s="38" t="s">
        <v>347</v>
      </c>
      <c r="D306" s="38">
        <v>10</v>
      </c>
      <c r="E306" s="39" t="str">
        <f t="shared" si="50"/>
        <v>PS-02-NH2</v>
      </c>
      <c r="F306" s="48" t="str">
        <f t="shared" si="51"/>
        <v>Poste de Sectionnement n°02 NH2</v>
      </c>
      <c r="G306" s="19">
        <v>30317</v>
      </c>
      <c r="H306" s="19">
        <v>30317</v>
      </c>
      <c r="I306" s="41" t="s">
        <v>20</v>
      </c>
      <c r="J306" s="41">
        <v>1</v>
      </c>
      <c r="K306" s="41" t="s">
        <v>3557</v>
      </c>
      <c r="L306" s="41">
        <v>16</v>
      </c>
      <c r="M306" s="41"/>
      <c r="N306" s="41"/>
      <c r="O306" s="41" t="s">
        <v>347</v>
      </c>
      <c r="P306" s="41" t="s">
        <v>1712</v>
      </c>
      <c r="Q306" s="43">
        <f t="shared" si="43"/>
        <v>515</v>
      </c>
      <c r="R306" s="43">
        <f t="shared" si="44"/>
        <v>40</v>
      </c>
      <c r="S306" s="41" t="s">
        <v>1721</v>
      </c>
      <c r="T306" s="48" t="str">
        <f t="shared" si="49"/>
        <v>(2,'PS-02-NH2','Poste de Sectionnement n°02 NH2','Saturday-01-jj','Saturday-01-jj',NULL,1,),</v>
      </c>
    </row>
    <row r="307" spans="1:20" ht="20.100000000000001" customHeight="1" x14ac:dyDescent="0.25">
      <c r="A307" s="38">
        <v>1</v>
      </c>
      <c r="B307" s="38">
        <v>312</v>
      </c>
      <c r="C307" s="38" t="s">
        <v>347</v>
      </c>
      <c r="D307" s="38">
        <v>10</v>
      </c>
      <c r="E307" s="39" t="str">
        <f>CONCATENATE("PC-",TEXT(A307,"00"),"-",O307)</f>
        <v>PC-01-NH2</v>
      </c>
      <c r="F307" s="48" t="str">
        <f>CONCATENATE("Poste de Coupure n°",TEXT(A307,"00")," ",O307)</f>
        <v>Poste de Coupure n°01 NH2</v>
      </c>
      <c r="G307" s="19">
        <v>21916</v>
      </c>
      <c r="H307" s="19">
        <v>21916</v>
      </c>
      <c r="I307" s="41" t="s">
        <v>20</v>
      </c>
      <c r="J307" s="41">
        <v>1</v>
      </c>
      <c r="K307" s="41" t="s">
        <v>3556</v>
      </c>
      <c r="L307" s="41">
        <v>15</v>
      </c>
      <c r="M307" s="41"/>
      <c r="N307" s="41"/>
      <c r="O307" s="41" t="s">
        <v>347</v>
      </c>
      <c r="P307" s="41" t="s">
        <v>3317</v>
      </c>
      <c r="Q307" s="49">
        <f t="shared" si="43"/>
        <v>567</v>
      </c>
      <c r="R307" s="43">
        <f t="shared" si="44"/>
        <v>47</v>
      </c>
      <c r="S307" s="41" t="s">
        <v>1721</v>
      </c>
      <c r="T307" s="48" t="str">
        <f t="shared" si="49"/>
        <v>(1,'PC-01-NH2','Poste de Coupure n°01 NH2','Friday-01-jj','Friday-01-jj',NULL,1,),</v>
      </c>
    </row>
    <row r="308" spans="1:20" ht="20.100000000000001" customHeight="1" x14ac:dyDescent="0.25">
      <c r="A308" s="38">
        <v>3</v>
      </c>
      <c r="B308" s="38">
        <v>313</v>
      </c>
      <c r="C308" s="38" t="s">
        <v>347</v>
      </c>
      <c r="D308" s="38">
        <v>10</v>
      </c>
      <c r="E308" s="39" t="str">
        <f>CONCATENATE("PS-",TEXT(A308,"00"),"-",O308)</f>
        <v>PS-03-NH2</v>
      </c>
      <c r="F308" s="48" t="str">
        <f>CONCATENATE("Poste de Sectionnement n°",TEXT(A308,"00")," ",O308)</f>
        <v>Poste de Sectionnement n°03 NH2</v>
      </c>
      <c r="G308" s="19">
        <v>30317</v>
      </c>
      <c r="H308" s="19">
        <v>30317</v>
      </c>
      <c r="I308" s="41" t="s">
        <v>20</v>
      </c>
      <c r="J308" s="41">
        <v>1</v>
      </c>
      <c r="K308" s="41" t="s">
        <v>3557</v>
      </c>
      <c r="L308" s="41">
        <v>16</v>
      </c>
      <c r="M308" s="41"/>
      <c r="N308" s="41"/>
      <c r="O308" s="41" t="s">
        <v>347</v>
      </c>
      <c r="P308" s="41" t="s">
        <v>1713</v>
      </c>
      <c r="Q308" s="43">
        <f t="shared" si="43"/>
        <v>438</v>
      </c>
      <c r="R308" s="43">
        <f t="shared" si="44"/>
        <v>78</v>
      </c>
      <c r="S308" s="41" t="s">
        <v>1722</v>
      </c>
      <c r="T308" s="48" t="str">
        <f t="shared" si="49"/>
        <v>(3,'PS-03-NH2','Poste de Sectionnement n°03 NH2','Saturday-01-jj','Saturday-01-jj',NULL,1,),</v>
      </c>
    </row>
    <row r="309" spans="1:20" ht="20.100000000000001" customHeight="1" x14ac:dyDescent="0.25">
      <c r="A309" s="38">
        <v>4</v>
      </c>
      <c r="B309" s="38">
        <v>314</v>
      </c>
      <c r="C309" s="38" t="s">
        <v>347</v>
      </c>
      <c r="D309" s="38">
        <v>10</v>
      </c>
      <c r="E309" s="39" t="str">
        <f>CONCATENATE("PS-",TEXT(A309,"00"),"-",O309)</f>
        <v>PS-04-NH2</v>
      </c>
      <c r="F309" s="48" t="str">
        <f>CONCATENATE("Poste de Sectionnement n°",TEXT(A309,"00")," ",O309)</f>
        <v>Poste de Sectionnement n°04 NH2</v>
      </c>
      <c r="G309" s="19">
        <v>30317</v>
      </c>
      <c r="H309" s="19">
        <v>30317</v>
      </c>
      <c r="I309" s="41" t="s">
        <v>20</v>
      </c>
      <c r="J309" s="41">
        <v>1</v>
      </c>
      <c r="K309" s="41" t="s">
        <v>3557</v>
      </c>
      <c r="L309" s="41">
        <v>16</v>
      </c>
      <c r="M309" s="41"/>
      <c r="N309" s="41"/>
      <c r="O309" s="41" t="s">
        <v>347</v>
      </c>
      <c r="P309" s="41" t="s">
        <v>1714</v>
      </c>
      <c r="Q309" s="43">
        <f t="shared" si="43"/>
        <v>373</v>
      </c>
      <c r="R309" s="43">
        <f t="shared" si="44"/>
        <v>117.3</v>
      </c>
      <c r="S309" s="41" t="s">
        <v>1722</v>
      </c>
      <c r="T309" s="48" t="str">
        <f t="shared" si="49"/>
        <v>(4,'PS-04-NH2','Poste de Sectionnement n°04 NH2','Saturday-01-jj','Saturday-01-jj',NULL,1,),</v>
      </c>
    </row>
    <row r="310" spans="1:20" ht="20.100000000000001" customHeight="1" x14ac:dyDescent="0.25">
      <c r="A310" s="38">
        <v>2</v>
      </c>
      <c r="B310" s="38">
        <v>315</v>
      </c>
      <c r="C310" s="38" t="s">
        <v>347</v>
      </c>
      <c r="D310" s="38">
        <v>10</v>
      </c>
      <c r="E310" s="39" t="str">
        <f>CONCATENATE("PC-",TEXT(A310,"00"),"-",O310)</f>
        <v>PC-02-NH2</v>
      </c>
      <c r="F310" s="48" t="str">
        <f>CONCATENATE("Poste de Coupure n°",TEXT(A310,"00")," ",O310)</f>
        <v>Poste de Coupure n°02 NH2</v>
      </c>
      <c r="G310" s="19">
        <v>21916</v>
      </c>
      <c r="H310" s="19">
        <v>21916</v>
      </c>
      <c r="I310" s="41" t="s">
        <v>20</v>
      </c>
      <c r="J310" s="41">
        <v>1</v>
      </c>
      <c r="K310" s="41" t="s">
        <v>3556</v>
      </c>
      <c r="L310" s="41">
        <v>15</v>
      </c>
      <c r="M310" s="41"/>
      <c r="N310" s="41"/>
      <c r="O310" s="41" t="s">
        <v>347</v>
      </c>
      <c r="P310" s="41" t="s">
        <v>3318</v>
      </c>
      <c r="Q310" s="49">
        <f t="shared" si="43"/>
        <v>302</v>
      </c>
      <c r="R310" s="43">
        <f t="shared" si="44"/>
        <v>158</v>
      </c>
      <c r="S310" s="41" t="s">
        <v>3320</v>
      </c>
      <c r="T310" s="48" t="str">
        <f t="shared" si="49"/>
        <v>(2,'PC-02-NH2','Poste de Coupure n°02 NH2','Friday-01-jj','Friday-01-jj',NULL,1,),</v>
      </c>
    </row>
    <row r="311" spans="1:20" ht="20.100000000000001" customHeight="1" x14ac:dyDescent="0.25">
      <c r="A311" s="38">
        <v>5</v>
      </c>
      <c r="B311" s="38">
        <v>316</v>
      </c>
      <c r="C311" s="38" t="s">
        <v>347</v>
      </c>
      <c r="D311" s="38">
        <v>10</v>
      </c>
      <c r="E311" s="39" t="str">
        <f>CONCATENATE("PS-",TEXT(A311,"00"),"-",O311)</f>
        <v>PS-05-NH2</v>
      </c>
      <c r="F311" s="48" t="str">
        <f>CONCATENATE("Poste de Sectionnement n°",TEXT(A311,"00")," ",O311)</f>
        <v>Poste de Sectionnement n°05 NH2</v>
      </c>
      <c r="G311" s="19">
        <v>30317</v>
      </c>
      <c r="H311" s="19">
        <v>30317</v>
      </c>
      <c r="I311" s="41" t="s">
        <v>20</v>
      </c>
      <c r="J311" s="41">
        <v>1</v>
      </c>
      <c r="K311" s="41" t="s">
        <v>3557</v>
      </c>
      <c r="L311" s="41">
        <v>16</v>
      </c>
      <c r="M311" s="41"/>
      <c r="N311" s="41"/>
      <c r="O311" s="41" t="s">
        <v>347</v>
      </c>
      <c r="P311" s="41" t="s">
        <v>1715</v>
      </c>
      <c r="Q311" s="43">
        <f t="shared" si="43"/>
        <v>273</v>
      </c>
      <c r="R311" s="43">
        <f t="shared" si="44"/>
        <v>201.6</v>
      </c>
      <c r="S311" s="41" t="s">
        <v>1722</v>
      </c>
      <c r="T311" s="48" t="str">
        <f t="shared" si="49"/>
        <v>(5,'PS-05-NH2','Poste de Sectionnement n°05 NH2','Saturday-01-jj','Saturday-01-jj',NULL,1,),</v>
      </c>
    </row>
    <row r="312" spans="1:20" ht="20.100000000000001" customHeight="1" x14ac:dyDescent="0.25">
      <c r="A312" s="38">
        <v>6</v>
      </c>
      <c r="B312" s="38">
        <v>317</v>
      </c>
      <c r="C312" s="38" t="s">
        <v>347</v>
      </c>
      <c r="D312" s="38">
        <v>10</v>
      </c>
      <c r="E312" s="39" t="str">
        <f>CONCATENATE("PS-",TEXT(A312,"00"),"-",O312)</f>
        <v>PS-06-NH2</v>
      </c>
      <c r="F312" s="48" t="str">
        <f>CONCATENATE("Poste de Sectionnement n°",TEXT(A312,"00")," ",O312)</f>
        <v>Poste de Sectionnement n°06 NH2</v>
      </c>
      <c r="G312" s="19">
        <v>30317</v>
      </c>
      <c r="H312" s="19">
        <v>30317</v>
      </c>
      <c r="I312" s="41" t="s">
        <v>20</v>
      </c>
      <c r="J312" s="41">
        <v>1</v>
      </c>
      <c r="K312" s="41" t="s">
        <v>3557</v>
      </c>
      <c r="L312" s="41">
        <v>16</v>
      </c>
      <c r="M312" s="41"/>
      <c r="N312" s="41"/>
      <c r="O312" s="41" t="s">
        <v>347</v>
      </c>
      <c r="P312" s="41" t="s">
        <v>1716</v>
      </c>
      <c r="Q312" s="43">
        <f t="shared" si="43"/>
        <v>242</v>
      </c>
      <c r="R312" s="43">
        <f t="shared" si="44"/>
        <v>255.3</v>
      </c>
      <c r="S312" s="41" t="s">
        <v>1722</v>
      </c>
      <c r="T312" s="48" t="str">
        <f t="shared" si="49"/>
        <v>(6,'PS-06-NH2','Poste de Sectionnement n°06 NH2','Saturday-01-jj','Saturday-01-jj',NULL,1,),</v>
      </c>
    </row>
    <row r="313" spans="1:20" ht="20.100000000000001" customHeight="1" x14ac:dyDescent="0.25">
      <c r="A313" s="38">
        <v>7</v>
      </c>
      <c r="B313" s="38">
        <v>318</v>
      </c>
      <c r="C313" s="38" t="s">
        <v>347</v>
      </c>
      <c r="D313" s="38">
        <v>10</v>
      </c>
      <c r="E313" s="39" t="str">
        <f>CONCATENATE("PS-",TEXT(A313,"00"),"-",O313)</f>
        <v>PS-07-NH2</v>
      </c>
      <c r="F313" s="48" t="str">
        <f>CONCATENATE("Poste de Sectionnement n°",TEXT(A313,"00")," ",O313)</f>
        <v>Poste de Sectionnement n°07 NH2</v>
      </c>
      <c r="G313" s="19">
        <v>30317</v>
      </c>
      <c r="H313" s="19">
        <v>30317</v>
      </c>
      <c r="I313" s="41" t="s">
        <v>20</v>
      </c>
      <c r="J313" s="41">
        <v>1</v>
      </c>
      <c r="K313" s="41" t="s">
        <v>3557</v>
      </c>
      <c r="L313" s="41">
        <v>16</v>
      </c>
      <c r="M313" s="41"/>
      <c r="N313" s="41"/>
      <c r="O313" s="41" t="s">
        <v>347</v>
      </c>
      <c r="P313" s="41" t="s">
        <v>1717</v>
      </c>
      <c r="Q313" s="43">
        <f t="shared" si="43"/>
        <v>226</v>
      </c>
      <c r="R313" s="43">
        <f t="shared" si="44"/>
        <v>293.60000000000002</v>
      </c>
      <c r="S313" s="41" t="s">
        <v>1722</v>
      </c>
      <c r="T313" s="48" t="str">
        <f t="shared" si="49"/>
        <v>(7,'PS-07-NH2','Poste de Sectionnement n°07 NH2','Saturday-01-jj','Saturday-01-jj',NULL,1,),</v>
      </c>
    </row>
    <row r="314" spans="1:20" ht="20.100000000000001" customHeight="1" x14ac:dyDescent="0.25">
      <c r="A314" s="38">
        <v>3</v>
      </c>
      <c r="B314" s="38">
        <v>319</v>
      </c>
      <c r="C314" s="38" t="s">
        <v>347</v>
      </c>
      <c r="D314" s="38">
        <v>10</v>
      </c>
      <c r="E314" s="39" t="str">
        <f>CONCATENATE("PC-",TEXT(A314,"00"),"-",O314)</f>
        <v>PC-03-NH2</v>
      </c>
      <c r="F314" s="48" t="str">
        <f>CONCATENATE("Poste de Coupure n°",TEXT(A314,"00")," ",O314)</f>
        <v>Poste de Coupure n°03 NH2</v>
      </c>
      <c r="G314" s="19">
        <v>21916</v>
      </c>
      <c r="H314" s="19">
        <v>21916</v>
      </c>
      <c r="I314" s="41" t="s">
        <v>20</v>
      </c>
      <c r="J314" s="41">
        <v>1</v>
      </c>
      <c r="K314" s="41" t="s">
        <v>3556</v>
      </c>
      <c r="L314" s="41">
        <v>15</v>
      </c>
      <c r="M314" s="41"/>
      <c r="N314" s="41"/>
      <c r="O314" s="41" t="s">
        <v>347</v>
      </c>
      <c r="P314" s="41" t="s">
        <v>3319</v>
      </c>
      <c r="Q314" s="49">
        <f t="shared" si="43"/>
        <v>208</v>
      </c>
      <c r="R314" s="43">
        <f t="shared" si="44"/>
        <v>339.5</v>
      </c>
      <c r="S314" s="41" t="s">
        <v>3303</v>
      </c>
      <c r="T314" s="48" t="str">
        <f t="shared" si="49"/>
        <v>(3,'PC-03-NH2','Poste de Coupure n°03 NH2','Friday-01-jj','Friday-01-jj',NULL,1,),</v>
      </c>
    </row>
    <row r="315" spans="1:20" ht="20.100000000000001" customHeight="1" x14ac:dyDescent="0.25">
      <c r="A315" s="38">
        <v>8</v>
      </c>
      <c r="B315" s="38">
        <v>320</v>
      </c>
      <c r="C315" s="38" t="s">
        <v>347</v>
      </c>
      <c r="D315" s="38">
        <v>10</v>
      </c>
      <c r="E315" s="39" t="str">
        <f>CONCATENATE("PS-",TEXT(A315,"00"),"-",O315)</f>
        <v>PS-08-NH2</v>
      </c>
      <c r="F315" s="48" t="str">
        <f>CONCATENATE("Poste de Sectionnement n°",TEXT(A315,"00")," ",O315)</f>
        <v>Poste de Sectionnement n°08 NH2</v>
      </c>
      <c r="G315" s="19">
        <v>30317</v>
      </c>
      <c r="H315" s="19">
        <v>30317</v>
      </c>
      <c r="I315" s="41" t="s">
        <v>20</v>
      </c>
      <c r="J315" s="41">
        <v>1</v>
      </c>
      <c r="K315" s="41" t="s">
        <v>3557</v>
      </c>
      <c r="L315" s="41">
        <v>16</v>
      </c>
      <c r="M315" s="41"/>
      <c r="N315" s="41"/>
      <c r="O315" s="41" t="s">
        <v>347</v>
      </c>
      <c r="P315" s="41" t="s">
        <v>1718</v>
      </c>
      <c r="Q315" s="43">
        <f t="shared" si="43"/>
        <v>183</v>
      </c>
      <c r="R315" s="43">
        <f t="shared" si="44"/>
        <v>386</v>
      </c>
      <c r="S315" s="41" t="s">
        <v>998</v>
      </c>
      <c r="T315" s="48" t="str">
        <f t="shared" si="49"/>
        <v>(8,'PS-08-NH2','Poste de Sectionnement n°08 NH2','Saturday-01-jj','Saturday-01-jj',NULL,1,),</v>
      </c>
    </row>
    <row r="316" spans="1:20" ht="20.100000000000001" customHeight="1" x14ac:dyDescent="0.25">
      <c r="A316" s="38">
        <v>9</v>
      </c>
      <c r="B316" s="38">
        <v>321</v>
      </c>
      <c r="C316" s="38" t="s">
        <v>347</v>
      </c>
      <c r="D316" s="38">
        <v>10</v>
      </c>
      <c r="E316" s="39" t="str">
        <f>CONCATENATE("PS-",TEXT(A316,"00"),"-",O316)</f>
        <v>PS-09-NH2</v>
      </c>
      <c r="F316" s="48" t="str">
        <f>CONCATENATE("Poste de Sectionnement n°",TEXT(A316,"00")," ",O316)</f>
        <v>Poste de Sectionnement n°09 NH2</v>
      </c>
      <c r="G316" s="19">
        <v>30317</v>
      </c>
      <c r="H316" s="19">
        <v>30317</v>
      </c>
      <c r="I316" s="41" t="s">
        <v>20</v>
      </c>
      <c r="J316" s="41">
        <v>1</v>
      </c>
      <c r="K316" s="41" t="s">
        <v>3557</v>
      </c>
      <c r="L316" s="41">
        <v>16</v>
      </c>
      <c r="M316" s="41"/>
      <c r="N316" s="41"/>
      <c r="O316" s="41" t="s">
        <v>347</v>
      </c>
      <c r="P316" s="41" t="s">
        <v>1719</v>
      </c>
      <c r="Q316" s="43">
        <f t="shared" si="43"/>
        <v>159</v>
      </c>
      <c r="R316" s="43">
        <f t="shared" si="44"/>
        <v>435.1</v>
      </c>
      <c r="S316" s="41" t="s">
        <v>998</v>
      </c>
      <c r="T316" s="48" t="str">
        <f t="shared" si="49"/>
        <v>(9,'PS-09-NH2','Poste de Sectionnement n°09 NH2','Saturday-01-jj','Saturday-01-jj',NULL,1,),</v>
      </c>
    </row>
    <row r="317" spans="1:20" ht="20.100000000000001" customHeight="1" x14ac:dyDescent="0.25">
      <c r="A317" s="38">
        <v>10</v>
      </c>
      <c r="B317" s="38">
        <v>322</v>
      </c>
      <c r="C317" s="38" t="s">
        <v>347</v>
      </c>
      <c r="D317" s="38">
        <v>10</v>
      </c>
      <c r="E317" s="39" t="str">
        <f>CONCATENATE("PS-",TEXT(A317,"00"),"-",O317)</f>
        <v>PS-10-NH2</v>
      </c>
      <c r="F317" s="48" t="str">
        <f>CONCATENATE("Poste de Sectionnement n°",TEXT(A317,"00")," ",O317)</f>
        <v>Poste de Sectionnement n°10 NH2</v>
      </c>
      <c r="G317" s="19">
        <v>30317</v>
      </c>
      <c r="H317" s="19">
        <v>30317</v>
      </c>
      <c r="I317" s="41" t="s">
        <v>20</v>
      </c>
      <c r="J317" s="41">
        <v>1</v>
      </c>
      <c r="K317" s="41" t="s">
        <v>3557</v>
      </c>
      <c r="L317" s="41">
        <v>16</v>
      </c>
      <c r="M317" s="41"/>
      <c r="N317" s="41"/>
      <c r="O317" s="41" t="s">
        <v>347</v>
      </c>
      <c r="P317" s="41" t="s">
        <v>1720</v>
      </c>
      <c r="Q317" s="43">
        <f t="shared" si="43"/>
        <v>145</v>
      </c>
      <c r="R317" s="43">
        <f t="shared" si="44"/>
        <v>475.1</v>
      </c>
      <c r="S317" s="41" t="s">
        <v>998</v>
      </c>
      <c r="T317" s="48" t="str">
        <f t="shared" si="49"/>
        <v>(10,'PS-10-NH2','Poste de Sectionnement n°10 NH2','Saturday-01-jj','Saturday-01-jj',NULL,1,),</v>
      </c>
    </row>
    <row r="318" spans="1:20" ht="20.100000000000001" customHeight="1" x14ac:dyDescent="0.25">
      <c r="A318" s="38">
        <v>1</v>
      </c>
      <c r="B318" s="38">
        <v>323</v>
      </c>
      <c r="C318" s="38" t="s">
        <v>607</v>
      </c>
      <c r="D318" s="38">
        <v>11</v>
      </c>
      <c r="E318" s="39" t="s">
        <v>145</v>
      </c>
      <c r="F318" s="48" t="str">
        <f>CONCATENATE("Station de Pompage ",E318)</f>
        <v>Station de Pompage SP4-LNZ1</v>
      </c>
      <c r="G318" s="19">
        <v>26950</v>
      </c>
      <c r="H318" s="19">
        <v>26950</v>
      </c>
      <c r="I318" s="19">
        <v>39082</v>
      </c>
      <c r="J318" s="41">
        <v>8</v>
      </c>
      <c r="K318" s="41" t="s">
        <v>3552</v>
      </c>
      <c r="L318" s="41">
        <v>7</v>
      </c>
      <c r="M318" s="41">
        <v>10</v>
      </c>
      <c r="N318" s="41"/>
      <c r="O318" s="41" t="s">
        <v>350</v>
      </c>
      <c r="P318" s="41" t="s">
        <v>3573</v>
      </c>
      <c r="Q318" s="49">
        <f t="shared" si="43"/>
        <v>775</v>
      </c>
      <c r="R318" s="43">
        <f t="shared" si="44"/>
        <v>0</v>
      </c>
      <c r="S318" s="41" t="s">
        <v>2165</v>
      </c>
      <c r="T318" s="48" t="str">
        <f t="shared" si="49"/>
        <v>(1,'SP4-LNZ1','Station de Pompage SP4-LNZ1','Saturday-10-jj','Saturday-10-jj',39082,8,10),</v>
      </c>
    </row>
    <row r="319" spans="1:20" ht="20.100000000000001" customHeight="1" x14ac:dyDescent="0.25">
      <c r="A319" s="38">
        <v>3</v>
      </c>
      <c r="B319" s="38">
        <v>324</v>
      </c>
      <c r="C319" s="38" t="s">
        <v>607</v>
      </c>
      <c r="D319" s="38">
        <v>11</v>
      </c>
      <c r="E319" s="39" t="s">
        <v>149</v>
      </c>
      <c r="F319" s="48" t="str">
        <f>CONCATENATE("Station de Pompage ",E319)</f>
        <v>Station de Pompage SP6-LNZ1</v>
      </c>
      <c r="G319" s="19">
        <v>26950</v>
      </c>
      <c r="H319" s="19">
        <v>26950</v>
      </c>
      <c r="I319" s="19">
        <v>39082</v>
      </c>
      <c r="J319" s="41">
        <v>8</v>
      </c>
      <c r="K319" s="41" t="s">
        <v>3552</v>
      </c>
      <c r="L319" s="41">
        <v>7</v>
      </c>
      <c r="M319" s="41">
        <v>10</v>
      </c>
      <c r="N319" s="41"/>
      <c r="O319" s="41" t="s">
        <v>350</v>
      </c>
      <c r="P319" s="41" t="s">
        <v>3575</v>
      </c>
      <c r="Q319" s="49">
        <f t="shared" si="43"/>
        <v>960</v>
      </c>
      <c r="R319" s="43">
        <f t="shared" si="44"/>
        <v>229</v>
      </c>
      <c r="S319" s="41" t="s">
        <v>3574</v>
      </c>
      <c r="T319" s="48" t="str">
        <f t="shared" si="49"/>
        <v>(3,'SP6-LNZ1','Station de Pompage SP6-LNZ1','Saturday-10-jj','Saturday-10-jj',39082,8,10),</v>
      </c>
    </row>
    <row r="320" spans="1:20" ht="20.100000000000001" customHeight="1" x14ac:dyDescent="0.25">
      <c r="A320" s="38">
        <v>4</v>
      </c>
      <c r="B320" s="38">
        <v>325</v>
      </c>
      <c r="C320" s="38" t="s">
        <v>607</v>
      </c>
      <c r="D320" s="38">
        <v>11</v>
      </c>
      <c r="E320" s="39" t="s">
        <v>3516</v>
      </c>
      <c r="F320" s="48" t="str">
        <f>CONCATENATE("Station de Pompage ",E320)</f>
        <v>Station de Pompage PRS-LNZ1</v>
      </c>
      <c r="G320" s="19">
        <v>26950</v>
      </c>
      <c r="H320" s="19">
        <v>26950</v>
      </c>
      <c r="I320" s="19">
        <v>39082</v>
      </c>
      <c r="J320" s="41">
        <v>8</v>
      </c>
      <c r="K320" s="41" t="s">
        <v>3553</v>
      </c>
      <c r="L320" s="41">
        <v>9</v>
      </c>
      <c r="M320" s="41">
        <v>10</v>
      </c>
      <c r="N320" s="41"/>
      <c r="O320" s="41" t="s">
        <v>350</v>
      </c>
      <c r="P320" s="41" t="s">
        <v>3572</v>
      </c>
      <c r="Q320" s="49">
        <f t="shared" si="43"/>
        <v>1059</v>
      </c>
      <c r="R320" s="43">
        <f t="shared" si="44"/>
        <v>311.12400000000002</v>
      </c>
      <c r="S320" s="41" t="s">
        <v>3576</v>
      </c>
      <c r="T320" s="48" t="str">
        <f t="shared" si="49"/>
        <v>(4,'PRS-LNZ1','Station de Pompage PRS-LNZ1','Saturday-10-jj','Saturday-10-jj',39082,8,10),</v>
      </c>
    </row>
    <row r="321" spans="1:20" ht="20.100000000000001" customHeight="1" x14ac:dyDescent="0.25">
      <c r="A321" s="38">
        <v>2</v>
      </c>
      <c r="B321" s="38">
        <v>326</v>
      </c>
      <c r="C321" s="38" t="s">
        <v>607</v>
      </c>
      <c r="D321" s="38">
        <v>11</v>
      </c>
      <c r="E321" s="39" t="s">
        <v>147</v>
      </c>
      <c r="F321" s="48" t="str">
        <f>CONCATENATE("Station de Pompage ",E321)</f>
        <v>Station de Pompage SP5-LNZ1</v>
      </c>
      <c r="G321" s="19">
        <v>26950</v>
      </c>
      <c r="H321" s="19">
        <v>26950</v>
      </c>
      <c r="I321" s="19">
        <v>39082</v>
      </c>
      <c r="J321" s="41">
        <v>8</v>
      </c>
      <c r="K321" s="41" t="s">
        <v>3552</v>
      </c>
      <c r="L321" s="41">
        <v>7</v>
      </c>
      <c r="M321" s="41">
        <v>10</v>
      </c>
      <c r="N321" s="41"/>
      <c r="O321" s="41" t="s">
        <v>350</v>
      </c>
      <c r="P321" s="41" t="s">
        <v>3643</v>
      </c>
      <c r="Q321" s="49">
        <f t="shared" si="43"/>
        <v>850</v>
      </c>
      <c r="R321" s="43">
        <f t="shared" si="44"/>
        <v>109</v>
      </c>
      <c r="S321" s="41" t="s">
        <v>2824</v>
      </c>
      <c r="T321" s="48" t="str">
        <f t="shared" si="49"/>
        <v>(2,'SP5-LNZ1','Station de Pompage SP5-LNZ1','Saturday-10-jj','Saturday-10-jj',39082,8,10),</v>
      </c>
    </row>
    <row r="322" spans="1:20" ht="20.100000000000001" customHeight="1" x14ac:dyDescent="0.25">
      <c r="A322" s="38">
        <v>5</v>
      </c>
      <c r="B322" s="38">
        <v>327</v>
      </c>
      <c r="C322" s="38" t="s">
        <v>607</v>
      </c>
      <c r="D322" s="38">
        <v>11</v>
      </c>
      <c r="E322" s="39" t="s">
        <v>153</v>
      </c>
      <c r="F322" s="48" t="str">
        <f>CONCATENATE("Station de Pompage ",E322)</f>
        <v>Station de Pompage SP1-LZ1</v>
      </c>
      <c r="G322" s="19">
        <v>30714</v>
      </c>
      <c r="H322" s="19">
        <v>30714</v>
      </c>
      <c r="I322" s="41" t="s">
        <v>20</v>
      </c>
      <c r="J322" s="41">
        <v>1</v>
      </c>
      <c r="K322" s="41" t="s">
        <v>3552</v>
      </c>
      <c r="L322" s="41">
        <v>7</v>
      </c>
      <c r="M322" s="41">
        <v>10</v>
      </c>
      <c r="N322" s="41"/>
      <c r="O322" s="41" t="s">
        <v>352</v>
      </c>
      <c r="P322" s="41" t="s">
        <v>1164</v>
      </c>
      <c r="Q322" s="49">
        <f t="shared" si="43"/>
        <v>777</v>
      </c>
      <c r="R322" s="43">
        <f t="shared" si="44"/>
        <v>0</v>
      </c>
      <c r="S322" s="41" t="s">
        <v>2165</v>
      </c>
      <c r="T322" s="48" t="str">
        <f t="shared" si="49"/>
        <v>(5,'SP1-LZ1','Station de Pompage SP1-LZ1','Thursday-02-jj','Thursday-02-jj',NULL,1,10),</v>
      </c>
    </row>
    <row r="323" spans="1:20" ht="20.100000000000001" customHeight="1" x14ac:dyDescent="0.25">
      <c r="A323" s="38">
        <v>1</v>
      </c>
      <c r="B323" s="38">
        <v>328</v>
      </c>
      <c r="C323" s="38" t="s">
        <v>607</v>
      </c>
      <c r="D323" s="38">
        <v>11</v>
      </c>
      <c r="E323" s="39" t="str">
        <f>CONCATENATE("PS-",TEXT(A323,"00"),"-",O323)</f>
        <v>PS-01-LZ1</v>
      </c>
      <c r="F323" s="48" t="str">
        <f>CONCATENATE("Poste de Sectionnement n°",TEXT(A323,"00")," ",O323)</f>
        <v>Poste de Sectionnement n°01 LZ1</v>
      </c>
      <c r="G323" s="19">
        <v>30720</v>
      </c>
      <c r="H323" s="19">
        <v>30720</v>
      </c>
      <c r="I323" s="41" t="s">
        <v>20</v>
      </c>
      <c r="J323" s="41">
        <v>1</v>
      </c>
      <c r="K323" s="41" t="s">
        <v>3557</v>
      </c>
      <c r="L323" s="41">
        <v>16</v>
      </c>
      <c r="M323" s="41"/>
      <c r="N323" s="41"/>
      <c r="O323" s="41" t="s">
        <v>352</v>
      </c>
      <c r="P323" s="41" t="s">
        <v>1723</v>
      </c>
      <c r="Q323" s="43">
        <f t="shared" si="43"/>
        <v>800</v>
      </c>
      <c r="R323" s="43">
        <f t="shared" si="44"/>
        <v>33.4</v>
      </c>
      <c r="S323" s="41" t="s">
        <v>790</v>
      </c>
      <c r="T323" s="48" t="str">
        <f t="shared" si="49"/>
        <v>(1,'PS-01-LZ1','Poste de Sectionnement n°01 LZ1','Wednesday-02-jj','Wednesday-02-jj',NULL,1,),</v>
      </c>
    </row>
    <row r="324" spans="1:20" ht="20.100000000000001" customHeight="1" x14ac:dyDescent="0.25">
      <c r="A324" s="38">
        <v>2</v>
      </c>
      <c r="B324" s="38">
        <v>329</v>
      </c>
      <c r="C324" s="38" t="s">
        <v>607</v>
      </c>
      <c r="D324" s="38">
        <v>11</v>
      </c>
      <c r="E324" s="39" t="str">
        <f>CONCATENATE("PS-",TEXT(A324,"00"),"-",O324)</f>
        <v>PS-02-LZ1</v>
      </c>
      <c r="F324" s="48" t="str">
        <f>CONCATENATE("Poste de Sectionnement n°",TEXT(A324,"00")," ",O324)</f>
        <v>Poste de Sectionnement n°02 LZ1</v>
      </c>
      <c r="G324" s="19">
        <v>30720</v>
      </c>
      <c r="H324" s="19">
        <v>30720</v>
      </c>
      <c r="I324" s="41" t="s">
        <v>20</v>
      </c>
      <c r="J324" s="41">
        <v>1</v>
      </c>
      <c r="K324" s="41" t="s">
        <v>3557</v>
      </c>
      <c r="L324" s="41">
        <v>16</v>
      </c>
      <c r="M324" s="41"/>
      <c r="N324" s="41"/>
      <c r="O324" s="41" t="s">
        <v>352</v>
      </c>
      <c r="P324" s="41" t="s">
        <v>1724</v>
      </c>
      <c r="Q324" s="43">
        <f t="shared" si="43"/>
        <v>920</v>
      </c>
      <c r="R324" s="43">
        <f t="shared" si="44"/>
        <v>66.8</v>
      </c>
      <c r="S324" s="41" t="s">
        <v>1740</v>
      </c>
      <c r="T324" s="48" t="str">
        <f t="shared" si="49"/>
        <v>(2,'PS-02-LZ1','Poste de Sectionnement n°02 LZ1','Wednesday-02-jj','Wednesday-02-jj',NULL,1,),</v>
      </c>
    </row>
    <row r="325" spans="1:20" ht="20.100000000000001" customHeight="1" x14ac:dyDescent="0.25">
      <c r="A325" s="38">
        <v>3</v>
      </c>
      <c r="B325" s="38">
        <v>330</v>
      </c>
      <c r="C325" s="38" t="s">
        <v>607</v>
      </c>
      <c r="D325" s="38">
        <v>11</v>
      </c>
      <c r="E325" s="39" t="str">
        <f>CONCATENATE("PS-",TEXT(A325,"00"),"-",O325)</f>
        <v>PS-03-LZ1</v>
      </c>
      <c r="F325" s="48" t="str">
        <f>CONCATENATE("Poste de Sectionnement n°",TEXT(A325,"00")," ",O325)</f>
        <v>Poste de Sectionnement n°03 LZ1</v>
      </c>
      <c r="G325" s="19">
        <v>30720</v>
      </c>
      <c r="H325" s="19">
        <v>30720</v>
      </c>
      <c r="I325" s="41" t="s">
        <v>20</v>
      </c>
      <c r="J325" s="41">
        <v>1</v>
      </c>
      <c r="K325" s="41" t="s">
        <v>3557</v>
      </c>
      <c r="L325" s="41">
        <v>16</v>
      </c>
      <c r="M325" s="41"/>
      <c r="N325" s="41"/>
      <c r="O325" s="41" t="s">
        <v>352</v>
      </c>
      <c r="P325" s="41" t="s">
        <v>1725</v>
      </c>
      <c r="Q325" s="43">
        <f t="shared" si="43"/>
        <v>820</v>
      </c>
      <c r="R325" s="43">
        <f t="shared" si="44"/>
        <v>91.3</v>
      </c>
      <c r="S325" s="41" t="s">
        <v>1740</v>
      </c>
      <c r="T325" s="48" t="str">
        <f t="shared" si="49"/>
        <v>(3,'PS-03-LZ1','Poste de Sectionnement n°03 LZ1','Wednesday-02-jj','Wednesday-02-jj',NULL,1,),</v>
      </c>
    </row>
    <row r="326" spans="1:20" ht="20.100000000000001" customHeight="1" x14ac:dyDescent="0.25">
      <c r="A326" s="38">
        <v>1</v>
      </c>
      <c r="B326" s="38">
        <v>331</v>
      </c>
      <c r="C326" s="38" t="s">
        <v>607</v>
      </c>
      <c r="D326" s="38">
        <v>11</v>
      </c>
      <c r="E326" s="39" t="str">
        <f>CONCATENATE("PC-",TEXT(A326,"00"),"-",O326)</f>
        <v>PC-01-LZ1</v>
      </c>
      <c r="F326" s="48" t="str">
        <f>CONCATENATE("Poste de Coupure n°",TEXT(A326,"00")," ",O326)</f>
        <v>Poste de Coupure n°01 LZ1</v>
      </c>
      <c r="G326" s="19">
        <v>30720</v>
      </c>
      <c r="H326" s="19">
        <v>30720</v>
      </c>
      <c r="I326" s="41" t="s">
        <v>20</v>
      </c>
      <c r="J326" s="41">
        <v>1</v>
      </c>
      <c r="K326" s="41" t="s">
        <v>3556</v>
      </c>
      <c r="L326" s="41">
        <v>15</v>
      </c>
      <c r="M326" s="41"/>
      <c r="N326" s="41"/>
      <c r="O326" s="41" t="s">
        <v>352</v>
      </c>
      <c r="P326" s="41" t="s">
        <v>3321</v>
      </c>
      <c r="Q326" s="49">
        <f t="shared" si="43"/>
        <v>885</v>
      </c>
      <c r="R326" s="43">
        <f t="shared" si="44"/>
        <v>110.729</v>
      </c>
      <c r="S326" s="41" t="s">
        <v>2824</v>
      </c>
      <c r="T326" s="48" t="str">
        <f t="shared" si="49"/>
        <v>(1,'PC-01-LZ1','Poste de Coupure n°01 LZ1','Wednesday-02-jj','Wednesday-02-jj',NULL,1,),</v>
      </c>
    </row>
    <row r="327" spans="1:20" ht="20.100000000000001" customHeight="1" x14ac:dyDescent="0.25">
      <c r="A327" s="38">
        <v>6</v>
      </c>
      <c r="B327" s="38">
        <v>332</v>
      </c>
      <c r="C327" s="38" t="s">
        <v>607</v>
      </c>
      <c r="D327" s="38">
        <v>11</v>
      </c>
      <c r="E327" s="39" t="s">
        <v>3513</v>
      </c>
      <c r="F327" s="48" t="str">
        <f>CONCATENATE("Station de Pompage ",E327)</f>
        <v>Station de Pompage SP2-LZ1</v>
      </c>
      <c r="G327" s="19">
        <v>38997</v>
      </c>
      <c r="H327" s="19">
        <v>38997</v>
      </c>
      <c r="I327" s="41" t="s">
        <v>20</v>
      </c>
      <c r="J327" s="41">
        <v>1</v>
      </c>
      <c r="K327" s="41" t="s">
        <v>3552</v>
      </c>
      <c r="L327" s="41">
        <v>7</v>
      </c>
      <c r="M327" s="41">
        <v>10</v>
      </c>
      <c r="N327" s="41"/>
      <c r="O327" s="41" t="s">
        <v>352</v>
      </c>
      <c r="P327" s="41" t="s">
        <v>3321</v>
      </c>
      <c r="Q327" s="49">
        <f t="shared" si="43"/>
        <v>885</v>
      </c>
      <c r="R327" s="43">
        <f t="shared" si="44"/>
        <v>110.729</v>
      </c>
      <c r="S327" s="41" t="s">
        <v>2824</v>
      </c>
      <c r="T327" s="48" t="str">
        <f t="shared" si="49"/>
        <v>(6,'SP2-LZ1','Station de Pompage SP2-LZ1','Saturday-10-jj','Saturday-10-jj',NULL,1,10),</v>
      </c>
    </row>
    <row r="328" spans="1:20" ht="20.100000000000001" customHeight="1" x14ac:dyDescent="0.25">
      <c r="A328" s="38">
        <v>4</v>
      </c>
      <c r="B328" s="38">
        <v>333</v>
      </c>
      <c r="C328" s="38" t="s">
        <v>607</v>
      </c>
      <c r="D328" s="38">
        <v>11</v>
      </c>
      <c r="E328" s="39" t="str">
        <f>CONCATENATE("PS-",TEXT(A328,"00"),"-",O328)</f>
        <v>PS-04-LZ1</v>
      </c>
      <c r="F328" s="48" t="str">
        <f>CONCATENATE("Poste de Sectionnement n°",TEXT(A328,"00")," ",O328)</f>
        <v>Poste de Sectionnement n°04 LZ1</v>
      </c>
      <c r="G328" s="19">
        <v>30720</v>
      </c>
      <c r="H328" s="19">
        <v>30720</v>
      </c>
      <c r="I328" s="41" t="s">
        <v>20</v>
      </c>
      <c r="J328" s="41">
        <v>1</v>
      </c>
      <c r="K328" s="41" t="s">
        <v>3557</v>
      </c>
      <c r="L328" s="41">
        <v>16</v>
      </c>
      <c r="M328" s="41"/>
      <c r="N328" s="41"/>
      <c r="O328" s="41" t="s">
        <v>352</v>
      </c>
      <c r="P328" s="41" t="s">
        <v>1726</v>
      </c>
      <c r="Q328" s="43">
        <f t="shared" ref="Q328:Q391" si="52">VALUE(RIGHT(P328,LEN(P328)-SEARCH("/",P328)))</f>
        <v>1250</v>
      </c>
      <c r="R328" s="43">
        <f t="shared" ref="R328:R391" si="53">VALUE(SUBSTITUTE(LEFT(P328,SEARCH("/",P328)-1),"+",","))</f>
        <v>153.5</v>
      </c>
      <c r="S328" s="41" t="s">
        <v>1741</v>
      </c>
      <c r="T328" s="48" t="str">
        <f t="shared" si="49"/>
        <v>(4,'PS-04-LZ1','Poste de Sectionnement n°04 LZ1','Wednesday-02-jj','Wednesday-02-jj',NULL,1,),</v>
      </c>
    </row>
    <row r="329" spans="1:20" ht="20.100000000000001" customHeight="1" x14ac:dyDescent="0.25">
      <c r="A329" s="38">
        <v>5</v>
      </c>
      <c r="B329" s="38">
        <v>334</v>
      </c>
      <c r="C329" s="38" t="s">
        <v>607</v>
      </c>
      <c r="D329" s="38">
        <v>11</v>
      </c>
      <c r="E329" s="39" t="str">
        <f>CONCATENATE("PS-",TEXT(A329,"00"),"-",O329)</f>
        <v>PS-05-LZ1</v>
      </c>
      <c r="F329" s="48" t="str">
        <f>CONCATENATE("Poste de Sectionnement n°",TEXT(A329,"00")," ",O329)</f>
        <v>Poste de Sectionnement n°05 LZ1</v>
      </c>
      <c r="G329" s="19">
        <v>30720</v>
      </c>
      <c r="H329" s="19">
        <v>30720</v>
      </c>
      <c r="I329" s="41" t="s">
        <v>20</v>
      </c>
      <c r="J329" s="41">
        <v>1</v>
      </c>
      <c r="K329" s="41" t="s">
        <v>3557</v>
      </c>
      <c r="L329" s="41">
        <v>16</v>
      </c>
      <c r="M329" s="41"/>
      <c r="N329" s="41"/>
      <c r="O329" s="41" t="s">
        <v>352</v>
      </c>
      <c r="P329" s="41" t="s">
        <v>1727</v>
      </c>
      <c r="Q329" s="43">
        <f t="shared" si="52"/>
        <v>1000</v>
      </c>
      <c r="R329" s="43">
        <f t="shared" si="53"/>
        <v>189</v>
      </c>
      <c r="S329" s="41" t="s">
        <v>1742</v>
      </c>
      <c r="T329" s="48" t="str">
        <f t="shared" si="49"/>
        <v>(5,'PS-05-LZ1','Poste de Sectionnement n°05 LZ1','Wednesday-02-jj','Wednesday-02-jj',NULL,1,),</v>
      </c>
    </row>
    <row r="330" spans="1:20" ht="20.100000000000001" customHeight="1" x14ac:dyDescent="0.25">
      <c r="A330" s="38">
        <v>6</v>
      </c>
      <c r="B330" s="38">
        <v>335</v>
      </c>
      <c r="C330" s="38" t="s">
        <v>607</v>
      </c>
      <c r="D330" s="38">
        <v>11</v>
      </c>
      <c r="E330" s="39" t="str">
        <f>CONCATENATE("PS-",TEXT(A330,"00"),"-",O330)</f>
        <v>PS-06-LZ1</v>
      </c>
      <c r="F330" s="48" t="str">
        <f>CONCATENATE("Poste de Sectionnement n°",TEXT(A330,"00")," ",O330)</f>
        <v>Poste de Sectionnement n°06 LZ1</v>
      </c>
      <c r="G330" s="19">
        <v>30720</v>
      </c>
      <c r="H330" s="19">
        <v>30720</v>
      </c>
      <c r="I330" s="41" t="s">
        <v>20</v>
      </c>
      <c r="J330" s="41">
        <v>1</v>
      </c>
      <c r="K330" s="41" t="s">
        <v>3557</v>
      </c>
      <c r="L330" s="41">
        <v>16</v>
      </c>
      <c r="M330" s="41"/>
      <c r="N330" s="41"/>
      <c r="O330" s="41" t="s">
        <v>352</v>
      </c>
      <c r="P330" s="41" t="s">
        <v>1728</v>
      </c>
      <c r="Q330" s="43">
        <f t="shared" si="52"/>
        <v>920</v>
      </c>
      <c r="R330" s="43">
        <f t="shared" si="53"/>
        <v>219</v>
      </c>
      <c r="S330" s="41" t="s">
        <v>751</v>
      </c>
      <c r="T330" s="48" t="str">
        <f t="shared" si="49"/>
        <v>(6,'PS-06-LZ1','Poste de Sectionnement n°06 LZ1','Wednesday-02-jj','Wednesday-02-jj',NULL,1,),</v>
      </c>
    </row>
    <row r="331" spans="1:20" ht="20.100000000000001" customHeight="1" x14ac:dyDescent="0.25">
      <c r="A331" s="38">
        <v>7</v>
      </c>
      <c r="B331" s="38">
        <v>336</v>
      </c>
      <c r="C331" s="38" t="s">
        <v>607</v>
      </c>
      <c r="D331" s="38">
        <v>11</v>
      </c>
      <c r="E331" s="39" t="str">
        <f>CONCATENATE("PS-",TEXT(A331,"00"),"-",O331)</f>
        <v>PS-07-LZ1</v>
      </c>
      <c r="F331" s="48" t="str">
        <f>CONCATENATE("Poste de Sectionnement n°",TEXT(A331,"00")," ",O331)</f>
        <v>Poste de Sectionnement n°07 LZ1</v>
      </c>
      <c r="G331" s="19">
        <v>30720</v>
      </c>
      <c r="H331" s="19">
        <v>30720</v>
      </c>
      <c r="I331" s="41" t="s">
        <v>20</v>
      </c>
      <c r="J331" s="41">
        <v>1</v>
      </c>
      <c r="K331" s="41" t="s">
        <v>3557</v>
      </c>
      <c r="L331" s="41">
        <v>16</v>
      </c>
      <c r="M331" s="41"/>
      <c r="N331" s="41"/>
      <c r="O331" s="41" t="s">
        <v>352</v>
      </c>
      <c r="P331" s="41" t="s">
        <v>1729</v>
      </c>
      <c r="Q331" s="43">
        <f t="shared" si="52"/>
        <v>1100</v>
      </c>
      <c r="R331" s="43">
        <f t="shared" si="53"/>
        <v>249</v>
      </c>
      <c r="S331" s="41" t="s">
        <v>751</v>
      </c>
      <c r="T331" s="48" t="str">
        <f t="shared" si="49"/>
        <v>(7,'PS-07-LZ1','Poste de Sectionnement n°07 LZ1','Wednesday-02-jj','Wednesday-02-jj',NULL,1,),</v>
      </c>
    </row>
    <row r="332" spans="1:20" ht="20.100000000000001" customHeight="1" x14ac:dyDescent="0.25">
      <c r="A332" s="38">
        <v>8</v>
      </c>
      <c r="B332" s="38">
        <v>337</v>
      </c>
      <c r="C332" s="38" t="s">
        <v>607</v>
      </c>
      <c r="D332" s="38">
        <v>11</v>
      </c>
      <c r="E332" s="39" t="str">
        <f>CONCATENATE("PS-",TEXT(A332,"00"),"-",O332)</f>
        <v>PS-08-LZ1</v>
      </c>
      <c r="F332" s="48" t="str">
        <f>CONCATENATE("Poste de Sectionnement n°",TEXT(A332,"00")," ",O332)</f>
        <v>Poste de Sectionnement n°08 LZ1</v>
      </c>
      <c r="G332" s="19">
        <v>30720</v>
      </c>
      <c r="H332" s="19">
        <v>30720</v>
      </c>
      <c r="I332" s="41" t="s">
        <v>20</v>
      </c>
      <c r="J332" s="41">
        <v>1</v>
      </c>
      <c r="K332" s="41" t="s">
        <v>3557</v>
      </c>
      <c r="L332" s="41">
        <v>16</v>
      </c>
      <c r="M332" s="41"/>
      <c r="N332" s="41"/>
      <c r="O332" s="41" t="s">
        <v>352</v>
      </c>
      <c r="P332" s="41" t="s">
        <v>1730</v>
      </c>
      <c r="Q332" s="43">
        <f t="shared" si="52"/>
        <v>1250</v>
      </c>
      <c r="R332" s="43">
        <f t="shared" si="53"/>
        <v>281</v>
      </c>
      <c r="S332" s="41" t="s">
        <v>1743</v>
      </c>
      <c r="T332" s="48" t="str">
        <f t="shared" si="49"/>
        <v>(8,'PS-08-LZ1','Poste de Sectionnement n°08 LZ1','Wednesday-02-jj','Wednesday-02-jj',NULL,1,),</v>
      </c>
    </row>
    <row r="333" spans="1:20" ht="20.100000000000001" customHeight="1" x14ac:dyDescent="0.25">
      <c r="A333" s="38">
        <v>2</v>
      </c>
      <c r="B333" s="38">
        <v>338</v>
      </c>
      <c r="C333" s="38" t="s">
        <v>607</v>
      </c>
      <c r="D333" s="38">
        <v>11</v>
      </c>
      <c r="E333" s="39" t="str">
        <f>CONCATENATE("PC-",TEXT(A333,"00"),"-",O333)</f>
        <v>PC-02-LZ1</v>
      </c>
      <c r="F333" s="48" t="str">
        <f>CONCATENATE("Poste de Coupure n°",TEXT(A333,"00")," ",O333)</f>
        <v>Poste de Coupure n°02 LZ1</v>
      </c>
      <c r="G333" s="19">
        <v>30720</v>
      </c>
      <c r="H333" s="19">
        <v>30720</v>
      </c>
      <c r="I333" s="41" t="s">
        <v>20</v>
      </c>
      <c r="J333" s="41">
        <v>1</v>
      </c>
      <c r="K333" s="41" t="s">
        <v>3556</v>
      </c>
      <c r="L333" s="41">
        <v>15</v>
      </c>
      <c r="M333" s="41"/>
      <c r="N333" s="41"/>
      <c r="O333" s="41" t="s">
        <v>352</v>
      </c>
      <c r="P333" s="41" t="s">
        <v>3322</v>
      </c>
      <c r="Q333" s="49">
        <f t="shared" si="52"/>
        <v>1080</v>
      </c>
      <c r="R333" s="43">
        <f t="shared" si="53"/>
        <v>307.02</v>
      </c>
      <c r="S333" s="41" t="s">
        <v>753</v>
      </c>
      <c r="T333" s="48" t="str">
        <f t="shared" si="49"/>
        <v>(2,'PC-02-LZ1','Poste de Coupure n°02 LZ1','Wednesday-02-jj','Wednesday-02-jj',NULL,1,),</v>
      </c>
    </row>
    <row r="334" spans="1:20" ht="20.100000000000001" customHeight="1" x14ac:dyDescent="0.25">
      <c r="A334" s="38">
        <v>7</v>
      </c>
      <c r="B334" s="38">
        <v>339</v>
      </c>
      <c r="C334" s="38" t="s">
        <v>607</v>
      </c>
      <c r="D334" s="38">
        <v>11</v>
      </c>
      <c r="E334" s="39" t="s">
        <v>3514</v>
      </c>
      <c r="F334" s="48" t="str">
        <f>CONCATENATE("Station de Régulation ",E334)</f>
        <v>Station de Régulation PRS-LZ1</v>
      </c>
      <c r="G334" s="19">
        <v>41374</v>
      </c>
      <c r="H334" s="19">
        <v>42029</v>
      </c>
      <c r="I334" s="41" t="s">
        <v>20</v>
      </c>
      <c r="J334" s="41">
        <v>1</v>
      </c>
      <c r="K334" s="41" t="s">
        <v>3553</v>
      </c>
      <c r="L334" s="41">
        <v>9</v>
      </c>
      <c r="M334" s="41">
        <v>10</v>
      </c>
      <c r="N334" s="41"/>
      <c r="O334" s="41" t="s">
        <v>352</v>
      </c>
      <c r="P334" s="41" t="s">
        <v>3571</v>
      </c>
      <c r="Q334" s="49">
        <f t="shared" si="52"/>
        <v>1048</v>
      </c>
      <c r="R334" s="43">
        <f t="shared" si="53"/>
        <v>310.14999999999998</v>
      </c>
      <c r="S334" s="41" t="s">
        <v>753</v>
      </c>
      <c r="T334" s="48" t="str">
        <f t="shared" si="49"/>
        <v>(7,'PRS-LZ1','Station de Régulation PRS-LZ1','Wednesday-04-jj','Sunday-01-jj',NULL,1,10),</v>
      </c>
    </row>
    <row r="335" spans="1:20" ht="20.100000000000001" customHeight="1" x14ac:dyDescent="0.25">
      <c r="A335" s="38">
        <v>9</v>
      </c>
      <c r="B335" s="38">
        <v>340</v>
      </c>
      <c r="C335" s="38" t="s">
        <v>607</v>
      </c>
      <c r="D335" s="38">
        <v>11</v>
      </c>
      <c r="E335" s="39" t="str">
        <f t="shared" ref="E335:E343" si="54">CONCATENATE("PS-",TEXT(A335,"00"),"-",O335)</f>
        <v>PS-09-LZ1</v>
      </c>
      <c r="F335" s="48" t="str">
        <f t="shared" ref="F335:F343" si="55">CONCATENATE("Poste de Sectionnement n°",TEXT(A335,"00")," ",O335)</f>
        <v>Poste de Sectionnement n°09 LZ1</v>
      </c>
      <c r="G335" s="19">
        <v>30720</v>
      </c>
      <c r="H335" s="19">
        <v>30720</v>
      </c>
      <c r="I335" s="41" t="s">
        <v>20</v>
      </c>
      <c r="J335" s="41">
        <v>1</v>
      </c>
      <c r="K335" s="41" t="s">
        <v>3557</v>
      </c>
      <c r="L335" s="41">
        <v>16</v>
      </c>
      <c r="M335" s="41"/>
      <c r="N335" s="41"/>
      <c r="O335" s="41" t="s">
        <v>352</v>
      </c>
      <c r="P335" s="41" t="s">
        <v>1731</v>
      </c>
      <c r="Q335" s="43">
        <f t="shared" si="52"/>
        <v>1000</v>
      </c>
      <c r="R335" s="43">
        <f t="shared" si="53"/>
        <v>329</v>
      </c>
      <c r="S335" s="41" t="s">
        <v>1744</v>
      </c>
      <c r="T335" s="48" t="str">
        <f t="shared" si="49"/>
        <v>(9,'PS-09-LZ1','Poste de Sectionnement n°09 LZ1','Wednesday-02-jj','Wednesday-02-jj',NULL,1,),</v>
      </c>
    </row>
    <row r="336" spans="1:20" ht="20.100000000000001" customHeight="1" x14ac:dyDescent="0.25">
      <c r="A336" s="38">
        <v>10</v>
      </c>
      <c r="B336" s="38">
        <v>341</v>
      </c>
      <c r="C336" s="38" t="s">
        <v>607</v>
      </c>
      <c r="D336" s="38">
        <v>11</v>
      </c>
      <c r="E336" s="39" t="str">
        <f t="shared" si="54"/>
        <v>PS-10-LZ1</v>
      </c>
      <c r="F336" s="48" t="str">
        <f t="shared" si="55"/>
        <v>Poste de Sectionnement n°10 LZ1</v>
      </c>
      <c r="G336" s="19">
        <v>30720</v>
      </c>
      <c r="H336" s="19">
        <v>30720</v>
      </c>
      <c r="I336" s="41" t="s">
        <v>20</v>
      </c>
      <c r="J336" s="41">
        <v>1</v>
      </c>
      <c r="K336" s="41" t="s">
        <v>3557</v>
      </c>
      <c r="L336" s="41">
        <v>16</v>
      </c>
      <c r="M336" s="41"/>
      <c r="N336" s="41"/>
      <c r="O336" s="41" t="s">
        <v>352</v>
      </c>
      <c r="P336" s="41" t="s">
        <v>1732</v>
      </c>
      <c r="Q336" s="43">
        <f t="shared" si="52"/>
        <v>480</v>
      </c>
      <c r="R336" s="43">
        <f t="shared" si="53"/>
        <v>349.4</v>
      </c>
      <c r="S336" s="41" t="s">
        <v>754</v>
      </c>
      <c r="T336" s="48" t="str">
        <f t="shared" si="49"/>
        <v>(10,'PS-10-LZ1','Poste de Sectionnement n°10 LZ1','Wednesday-02-jj','Wednesday-02-jj',NULL,1,),</v>
      </c>
    </row>
    <row r="337" spans="1:20" ht="20.100000000000001" customHeight="1" x14ac:dyDescent="0.25">
      <c r="A337" s="38">
        <v>11</v>
      </c>
      <c r="B337" s="38">
        <v>342</v>
      </c>
      <c r="C337" s="38" t="s">
        <v>607</v>
      </c>
      <c r="D337" s="38">
        <v>11</v>
      </c>
      <c r="E337" s="39" t="str">
        <f t="shared" si="54"/>
        <v>PS-11-LZ1</v>
      </c>
      <c r="F337" s="48" t="str">
        <f t="shared" si="55"/>
        <v>Poste de Sectionnement n°11 LZ1</v>
      </c>
      <c r="G337" s="19">
        <v>30720</v>
      </c>
      <c r="H337" s="19">
        <v>30720</v>
      </c>
      <c r="I337" s="41" t="s">
        <v>20</v>
      </c>
      <c r="J337" s="41">
        <v>1</v>
      </c>
      <c r="K337" s="41" t="s">
        <v>3557</v>
      </c>
      <c r="L337" s="41">
        <v>16</v>
      </c>
      <c r="M337" s="41"/>
      <c r="N337" s="41"/>
      <c r="O337" s="41" t="s">
        <v>352</v>
      </c>
      <c r="P337" s="41" t="s">
        <v>1733</v>
      </c>
      <c r="Q337" s="43">
        <f t="shared" si="52"/>
        <v>550</v>
      </c>
      <c r="R337" s="43">
        <f t="shared" si="53"/>
        <v>372.8</v>
      </c>
      <c r="S337" s="41" t="s">
        <v>755</v>
      </c>
      <c r="T337" s="48" t="str">
        <f t="shared" si="49"/>
        <v>(11,'PS-11-LZ1','Poste de Sectionnement n°11 LZ1','Wednesday-02-jj','Wednesday-02-jj',NULL,1,),</v>
      </c>
    </row>
    <row r="338" spans="1:20" ht="20.100000000000001" customHeight="1" x14ac:dyDescent="0.25">
      <c r="A338" s="38">
        <v>12</v>
      </c>
      <c r="B338" s="38">
        <v>343</v>
      </c>
      <c r="C338" s="38" t="s">
        <v>607</v>
      </c>
      <c r="D338" s="38">
        <v>11</v>
      </c>
      <c r="E338" s="39" t="str">
        <f t="shared" si="54"/>
        <v>PS-12-LZ1</v>
      </c>
      <c r="F338" s="48" t="str">
        <f t="shared" si="55"/>
        <v>Poste de Sectionnement n°12 LZ1</v>
      </c>
      <c r="G338" s="19">
        <v>30720</v>
      </c>
      <c r="H338" s="19">
        <v>30720</v>
      </c>
      <c r="I338" s="41" t="s">
        <v>20</v>
      </c>
      <c r="J338" s="41">
        <v>1</v>
      </c>
      <c r="K338" s="41" t="s">
        <v>3557</v>
      </c>
      <c r="L338" s="41">
        <v>16</v>
      </c>
      <c r="M338" s="41"/>
      <c r="N338" s="41"/>
      <c r="O338" s="41" t="s">
        <v>352</v>
      </c>
      <c r="P338" s="41" t="s">
        <v>1734</v>
      </c>
      <c r="Q338" s="43">
        <f t="shared" si="52"/>
        <v>510</v>
      </c>
      <c r="R338" s="43">
        <f t="shared" si="53"/>
        <v>388</v>
      </c>
      <c r="S338" s="41" t="s">
        <v>1745</v>
      </c>
      <c r="T338" s="48" t="str">
        <f t="shared" si="49"/>
        <v>(12,'PS-12-LZ1','Poste de Sectionnement n°12 LZ1','Wednesday-02-jj','Wednesday-02-jj',NULL,1,),</v>
      </c>
    </row>
    <row r="339" spans="1:20" ht="20.100000000000001" customHeight="1" x14ac:dyDescent="0.25">
      <c r="A339" s="38">
        <v>13</v>
      </c>
      <c r="B339" s="38">
        <v>344</v>
      </c>
      <c r="C339" s="38" t="s">
        <v>607</v>
      </c>
      <c r="D339" s="38">
        <v>11</v>
      </c>
      <c r="E339" s="39" t="str">
        <f t="shared" si="54"/>
        <v>PS-13-LZ1</v>
      </c>
      <c r="F339" s="48" t="str">
        <f t="shared" si="55"/>
        <v>Poste de Sectionnement n°13 LZ1</v>
      </c>
      <c r="G339" s="19">
        <v>30720</v>
      </c>
      <c r="H339" s="19">
        <v>30720</v>
      </c>
      <c r="I339" s="41" t="s">
        <v>20</v>
      </c>
      <c r="J339" s="41">
        <v>1</v>
      </c>
      <c r="K339" s="41" t="s">
        <v>3557</v>
      </c>
      <c r="L339" s="41">
        <v>16</v>
      </c>
      <c r="M339" s="41"/>
      <c r="N339" s="41"/>
      <c r="O339" s="41" t="s">
        <v>352</v>
      </c>
      <c r="P339" s="41" t="s">
        <v>1735</v>
      </c>
      <c r="Q339" s="43">
        <f t="shared" si="52"/>
        <v>180</v>
      </c>
      <c r="R339" s="43">
        <f t="shared" si="53"/>
        <v>412.2</v>
      </c>
      <c r="S339" s="41" t="s">
        <v>1746</v>
      </c>
      <c r="T339" s="48" t="str">
        <f t="shared" si="49"/>
        <v>(13,'PS-13-LZ1','Poste de Sectionnement n°13 LZ1','Wednesday-02-jj','Wednesday-02-jj',NULL,1,),</v>
      </c>
    </row>
    <row r="340" spans="1:20" ht="20.100000000000001" customHeight="1" x14ac:dyDescent="0.25">
      <c r="A340" s="38">
        <v>14</v>
      </c>
      <c r="B340" s="38">
        <v>345</v>
      </c>
      <c r="C340" s="38" t="s">
        <v>607</v>
      </c>
      <c r="D340" s="38">
        <v>11</v>
      </c>
      <c r="E340" s="39" t="str">
        <f t="shared" si="54"/>
        <v>PS-14-LZ1</v>
      </c>
      <c r="F340" s="48" t="str">
        <f t="shared" si="55"/>
        <v>Poste de Sectionnement n°14 LZ1</v>
      </c>
      <c r="G340" s="19">
        <v>30720</v>
      </c>
      <c r="H340" s="19">
        <v>30720</v>
      </c>
      <c r="I340" s="41" t="s">
        <v>20</v>
      </c>
      <c r="J340" s="41">
        <v>1</v>
      </c>
      <c r="K340" s="41" t="s">
        <v>3557</v>
      </c>
      <c r="L340" s="41">
        <v>16</v>
      </c>
      <c r="M340" s="41"/>
      <c r="N340" s="41"/>
      <c r="O340" s="41" t="s">
        <v>352</v>
      </c>
      <c r="P340" s="41" t="s">
        <v>1736</v>
      </c>
      <c r="Q340" s="43">
        <f t="shared" si="52"/>
        <v>110</v>
      </c>
      <c r="R340" s="43">
        <f t="shared" si="53"/>
        <v>436.3</v>
      </c>
      <c r="S340" s="41" t="s">
        <v>1747</v>
      </c>
      <c r="T340" s="48" t="str">
        <f t="shared" si="49"/>
        <v>(14,'PS-14-LZ1','Poste de Sectionnement n°14 LZ1','Wednesday-02-jj','Wednesday-02-jj',NULL,1,),</v>
      </c>
    </row>
    <row r="341" spans="1:20" ht="20.100000000000001" customHeight="1" x14ac:dyDescent="0.25">
      <c r="A341" s="38">
        <v>15</v>
      </c>
      <c r="B341" s="38">
        <v>346</v>
      </c>
      <c r="C341" s="38" t="s">
        <v>607</v>
      </c>
      <c r="D341" s="38">
        <v>11</v>
      </c>
      <c r="E341" s="39" t="str">
        <f t="shared" si="54"/>
        <v>PS-15-LZ1</v>
      </c>
      <c r="F341" s="48" t="str">
        <f t="shared" si="55"/>
        <v>Poste de Sectionnement n°15 LZ1</v>
      </c>
      <c r="G341" s="19">
        <v>30720</v>
      </c>
      <c r="H341" s="19">
        <v>30720</v>
      </c>
      <c r="I341" s="41" t="s">
        <v>20</v>
      </c>
      <c r="J341" s="41">
        <v>1</v>
      </c>
      <c r="K341" s="41" t="s">
        <v>3557</v>
      </c>
      <c r="L341" s="41">
        <v>16</v>
      </c>
      <c r="M341" s="41"/>
      <c r="N341" s="41"/>
      <c r="O341" s="41" t="s">
        <v>352</v>
      </c>
      <c r="P341" s="41" t="s">
        <v>1737</v>
      </c>
      <c r="Q341" s="43">
        <f t="shared" si="52"/>
        <v>107</v>
      </c>
      <c r="R341" s="43">
        <f t="shared" si="53"/>
        <v>451.4</v>
      </c>
      <c r="S341" s="41" t="s">
        <v>1748</v>
      </c>
      <c r="T341" s="48" t="str">
        <f t="shared" si="49"/>
        <v>(15,'PS-15-LZ1','Poste de Sectionnement n°15 LZ1','Wednesday-02-jj','Wednesday-02-jj',NULL,1,),</v>
      </c>
    </row>
    <row r="342" spans="1:20" ht="20.100000000000001" customHeight="1" x14ac:dyDescent="0.25">
      <c r="A342" s="38">
        <v>16</v>
      </c>
      <c r="B342" s="38">
        <v>347</v>
      </c>
      <c r="C342" s="38" t="s">
        <v>607</v>
      </c>
      <c r="D342" s="38">
        <v>11</v>
      </c>
      <c r="E342" s="39" t="str">
        <f t="shared" si="54"/>
        <v>PS-16-LZ1</v>
      </c>
      <c r="F342" s="48" t="str">
        <f t="shared" si="55"/>
        <v>Poste de Sectionnement n°16 LZ1</v>
      </c>
      <c r="G342" s="19">
        <v>30720</v>
      </c>
      <c r="H342" s="19">
        <v>30720</v>
      </c>
      <c r="I342" s="41" t="s">
        <v>20</v>
      </c>
      <c r="J342" s="41">
        <v>1</v>
      </c>
      <c r="K342" s="41" t="s">
        <v>3557</v>
      </c>
      <c r="L342" s="41">
        <v>16</v>
      </c>
      <c r="M342" s="41"/>
      <c r="N342" s="41"/>
      <c r="O342" s="41" t="s">
        <v>352</v>
      </c>
      <c r="P342" s="41" t="s">
        <v>1738</v>
      </c>
      <c r="Q342" s="43">
        <f t="shared" si="52"/>
        <v>30</v>
      </c>
      <c r="R342" s="43">
        <f t="shared" si="53"/>
        <v>474.3</v>
      </c>
      <c r="S342" s="41" t="s">
        <v>1749</v>
      </c>
      <c r="T342" s="48" t="str">
        <f t="shared" si="49"/>
        <v>(16,'PS-16-LZ1','Poste de Sectionnement n°16 LZ1','Wednesday-02-jj','Wednesday-02-jj',NULL,1,),</v>
      </c>
    </row>
    <row r="343" spans="1:20" ht="20.100000000000001" customHeight="1" x14ac:dyDescent="0.25">
      <c r="A343" s="38">
        <v>17</v>
      </c>
      <c r="B343" s="38">
        <v>348</v>
      </c>
      <c r="C343" s="38" t="s">
        <v>607</v>
      </c>
      <c r="D343" s="38">
        <v>11</v>
      </c>
      <c r="E343" s="39" t="str">
        <f t="shared" si="54"/>
        <v>PS-17-LZ1</v>
      </c>
      <c r="F343" s="48" t="str">
        <f t="shared" si="55"/>
        <v>Poste de Sectionnement n°17 LZ1</v>
      </c>
      <c r="G343" s="19">
        <v>30720</v>
      </c>
      <c r="H343" s="19">
        <v>30720</v>
      </c>
      <c r="I343" s="41" t="s">
        <v>20</v>
      </c>
      <c r="J343" s="41">
        <v>1</v>
      </c>
      <c r="K343" s="41" t="s">
        <v>3557</v>
      </c>
      <c r="L343" s="41">
        <v>16</v>
      </c>
      <c r="M343" s="41"/>
      <c r="N343" s="41"/>
      <c r="O343" s="41" t="s">
        <v>352</v>
      </c>
      <c r="P343" s="41" t="s">
        <v>1739</v>
      </c>
      <c r="Q343" s="43">
        <f t="shared" si="52"/>
        <v>160</v>
      </c>
      <c r="R343" s="43">
        <f t="shared" si="53"/>
        <v>492.7</v>
      </c>
      <c r="S343" s="41" t="s">
        <v>1750</v>
      </c>
      <c r="T343" s="48" t="str">
        <f t="shared" si="49"/>
        <v>(17,'PS-17-LZ1','Poste de Sectionnement n°17 LZ1','Wednesday-02-jj','Wednesday-02-jj',NULL,1,),</v>
      </c>
    </row>
    <row r="344" spans="1:20" ht="20.100000000000001" customHeight="1" x14ac:dyDescent="0.25">
      <c r="A344" s="38">
        <v>8</v>
      </c>
      <c r="B344" s="38">
        <v>349</v>
      </c>
      <c r="C344" s="38" t="s">
        <v>607</v>
      </c>
      <c r="D344" s="38">
        <v>11</v>
      </c>
      <c r="E344" s="39" t="s">
        <v>155</v>
      </c>
      <c r="F344" s="48" t="str">
        <f>CONCATENATE("Station de Pompage ",E344)</f>
        <v>Station de Pompage SP1-LZ2</v>
      </c>
      <c r="G344" s="19">
        <v>40483</v>
      </c>
      <c r="H344" s="19">
        <v>40483</v>
      </c>
      <c r="I344" s="41" t="s">
        <v>20</v>
      </c>
      <c r="J344" s="41">
        <v>1</v>
      </c>
      <c r="K344" s="41" t="s">
        <v>3552</v>
      </c>
      <c r="L344" s="41">
        <v>7</v>
      </c>
      <c r="M344" s="41">
        <v>10</v>
      </c>
      <c r="N344" s="41"/>
      <c r="O344" s="41" t="s">
        <v>355</v>
      </c>
      <c r="P344" s="41" t="s">
        <v>1164</v>
      </c>
      <c r="Q344" s="49">
        <f t="shared" si="52"/>
        <v>777</v>
      </c>
      <c r="R344" s="43">
        <f t="shared" si="53"/>
        <v>0</v>
      </c>
      <c r="S344" s="41" t="s">
        <v>2165</v>
      </c>
      <c r="T344" s="48" t="str">
        <f t="shared" ref="T344:T407" si="56">CONCATENATE("(",A344,",'",E344,"','",F344,"','",TEXT(G344,"aaaa-mm-jj"),"','",TEXT(H344,"aaaa-mm-jj"),"',",I344,",",J344,",",M344,"),")</f>
        <v>(8,'SP1-LZ2','Station de Pompage SP1-LZ2','Monday-11-jj','Monday-11-jj',NULL,1,10),</v>
      </c>
    </row>
    <row r="345" spans="1:20" ht="20.100000000000001" customHeight="1" x14ac:dyDescent="0.25">
      <c r="A345" s="38">
        <v>1</v>
      </c>
      <c r="B345" s="38">
        <v>350</v>
      </c>
      <c r="C345" s="38" t="s">
        <v>607</v>
      </c>
      <c r="D345" s="38">
        <v>11</v>
      </c>
      <c r="E345" s="39" t="str">
        <f>CONCATENATE("PS-",TEXT(A345,"00"),"-",O345)</f>
        <v>PS-01-LZ2</v>
      </c>
      <c r="F345" s="48" t="str">
        <f>CONCATENATE("Poste de Sectionnement n°",TEXT(A345,"00")," ",O345)</f>
        <v>Poste de Sectionnement n°01 LZ2</v>
      </c>
      <c r="G345" s="19">
        <v>40179</v>
      </c>
      <c r="H345" s="19">
        <v>40179</v>
      </c>
      <c r="I345" s="41" t="s">
        <v>20</v>
      </c>
      <c r="J345" s="41">
        <v>1</v>
      </c>
      <c r="K345" s="41" t="s">
        <v>3557</v>
      </c>
      <c r="L345" s="41">
        <v>16</v>
      </c>
      <c r="M345" s="41"/>
      <c r="N345" s="41"/>
      <c r="O345" s="41" t="s">
        <v>355</v>
      </c>
      <c r="P345" s="41" t="s">
        <v>1751</v>
      </c>
      <c r="Q345" s="43">
        <f t="shared" si="52"/>
        <v>760</v>
      </c>
      <c r="R345" s="43">
        <f t="shared" si="53"/>
        <v>20.983000000000001</v>
      </c>
      <c r="S345" s="41" t="s">
        <v>1782</v>
      </c>
      <c r="T345" s="48" t="str">
        <f t="shared" si="56"/>
        <v>(1,'PS-01-LZ2','Poste de Sectionnement n°01 LZ2','Friday-01-jj','Friday-01-jj',NULL,1,),</v>
      </c>
    </row>
    <row r="346" spans="1:20" ht="20.100000000000001" customHeight="1" x14ac:dyDescent="0.25">
      <c r="A346" s="38">
        <v>2</v>
      </c>
      <c r="B346" s="38">
        <v>351</v>
      </c>
      <c r="C346" s="38" t="s">
        <v>607</v>
      </c>
      <c r="D346" s="38">
        <v>11</v>
      </c>
      <c r="E346" s="39" t="str">
        <f>CONCATENATE("PS-",TEXT(A346,"00"),"-",O346)</f>
        <v>PS-02-LZ2</v>
      </c>
      <c r="F346" s="48" t="str">
        <f>CONCATENATE("Poste de Sectionnement n°",TEXT(A346,"00")," ",O346)</f>
        <v>Poste de Sectionnement n°02 LZ2</v>
      </c>
      <c r="G346" s="19">
        <v>40179</v>
      </c>
      <c r="H346" s="19">
        <v>40179</v>
      </c>
      <c r="I346" s="41" t="s">
        <v>20</v>
      </c>
      <c r="J346" s="41">
        <v>1</v>
      </c>
      <c r="K346" s="41" t="s">
        <v>3557</v>
      </c>
      <c r="L346" s="41">
        <v>16</v>
      </c>
      <c r="M346" s="41"/>
      <c r="N346" s="41"/>
      <c r="O346" s="41" t="s">
        <v>355</v>
      </c>
      <c r="P346" s="41" t="s">
        <v>1752</v>
      </c>
      <c r="Q346" s="43">
        <f t="shared" si="52"/>
        <v>824</v>
      </c>
      <c r="R346" s="43">
        <f t="shared" si="53"/>
        <v>41.247</v>
      </c>
      <c r="S346" s="41" t="s">
        <v>1782</v>
      </c>
      <c r="T346" s="48" t="str">
        <f t="shared" si="56"/>
        <v>(2,'PS-02-LZ2','Poste de Sectionnement n°02 LZ2','Friday-01-jj','Friday-01-jj',NULL,1,),</v>
      </c>
    </row>
    <row r="347" spans="1:20" ht="20.100000000000001" customHeight="1" x14ac:dyDescent="0.25">
      <c r="A347" s="38">
        <v>3</v>
      </c>
      <c r="B347" s="38">
        <v>352</v>
      </c>
      <c r="C347" s="38" t="s">
        <v>607</v>
      </c>
      <c r="D347" s="38">
        <v>11</v>
      </c>
      <c r="E347" s="39" t="str">
        <f>CONCATENATE("PS-",TEXT(A347,"00"),"-",O347)</f>
        <v>PS-03-LZ2</v>
      </c>
      <c r="F347" s="48" t="str">
        <f>CONCATENATE("Poste de Sectionnement n°",TEXT(A347,"00")," ",O347)</f>
        <v>Poste de Sectionnement n°03 LZ2</v>
      </c>
      <c r="G347" s="19">
        <v>40179</v>
      </c>
      <c r="H347" s="19">
        <v>40179</v>
      </c>
      <c r="I347" s="41" t="s">
        <v>20</v>
      </c>
      <c r="J347" s="41">
        <v>1</v>
      </c>
      <c r="K347" s="41" t="s">
        <v>3557</v>
      </c>
      <c r="L347" s="41">
        <v>16</v>
      </c>
      <c r="M347" s="41"/>
      <c r="N347" s="41"/>
      <c r="O347" s="41" t="s">
        <v>355</v>
      </c>
      <c r="P347" s="41" t="s">
        <v>1753</v>
      </c>
      <c r="Q347" s="43">
        <f t="shared" si="52"/>
        <v>875</v>
      </c>
      <c r="R347" s="43">
        <f t="shared" si="53"/>
        <v>60.603999999999999</v>
      </c>
      <c r="S347" s="41" t="s">
        <v>1740</v>
      </c>
      <c r="T347" s="48" t="str">
        <f t="shared" si="56"/>
        <v>(3,'PS-03-LZ2','Poste de Sectionnement n°03 LZ2','Friday-01-jj','Friday-01-jj',NULL,1,),</v>
      </c>
    </row>
    <row r="348" spans="1:20" ht="20.100000000000001" customHeight="1" x14ac:dyDescent="0.25">
      <c r="A348" s="38">
        <v>4</v>
      </c>
      <c r="B348" s="38">
        <v>353</v>
      </c>
      <c r="C348" s="38" t="s">
        <v>607</v>
      </c>
      <c r="D348" s="38">
        <v>11</v>
      </c>
      <c r="E348" s="39" t="str">
        <f>CONCATENATE("PS-",TEXT(A348,"00"),"-",O348)</f>
        <v>PS-04-LZ2</v>
      </c>
      <c r="F348" s="48" t="str">
        <f>CONCATENATE("Poste de Sectionnement n°",TEXT(A348,"00")," ",O348)</f>
        <v>Poste de Sectionnement n°04 LZ2</v>
      </c>
      <c r="G348" s="19">
        <v>40179</v>
      </c>
      <c r="H348" s="19">
        <v>40179</v>
      </c>
      <c r="I348" s="41" t="s">
        <v>20</v>
      </c>
      <c r="J348" s="41">
        <v>1</v>
      </c>
      <c r="K348" s="41" t="s">
        <v>3557</v>
      </c>
      <c r="L348" s="41">
        <v>16</v>
      </c>
      <c r="M348" s="41"/>
      <c r="N348" s="41"/>
      <c r="O348" s="41" t="s">
        <v>355</v>
      </c>
      <c r="P348" s="41" t="s">
        <v>1754</v>
      </c>
      <c r="Q348" s="43">
        <f t="shared" si="52"/>
        <v>800</v>
      </c>
      <c r="R348" s="43">
        <f t="shared" si="53"/>
        <v>80.141000000000005</v>
      </c>
      <c r="S348" s="41" t="s">
        <v>1740</v>
      </c>
      <c r="T348" s="48" t="str">
        <f t="shared" si="56"/>
        <v>(4,'PS-04-LZ2','Poste de Sectionnement n°04 LZ2','Friday-01-jj','Friday-01-jj',NULL,1,),</v>
      </c>
    </row>
    <row r="349" spans="1:20" ht="20.100000000000001" customHeight="1" x14ac:dyDescent="0.25">
      <c r="A349" s="38">
        <v>5</v>
      </c>
      <c r="B349" s="38">
        <v>354</v>
      </c>
      <c r="C349" s="38" t="s">
        <v>607</v>
      </c>
      <c r="D349" s="38">
        <v>11</v>
      </c>
      <c r="E349" s="39" t="str">
        <f>CONCATENATE("PS-",TEXT(A349,"00"),"-",O349)</f>
        <v>PS-05-LZ2</v>
      </c>
      <c r="F349" s="48" t="str">
        <f>CONCATENATE("Poste de Sectionnement n°",TEXT(A349,"00")," ",O349)</f>
        <v>Poste de Sectionnement n°05 LZ2</v>
      </c>
      <c r="G349" s="19">
        <v>40179</v>
      </c>
      <c r="H349" s="19">
        <v>40179</v>
      </c>
      <c r="I349" s="41" t="s">
        <v>20</v>
      </c>
      <c r="J349" s="41">
        <v>1</v>
      </c>
      <c r="K349" s="41" t="s">
        <v>3557</v>
      </c>
      <c r="L349" s="41">
        <v>16</v>
      </c>
      <c r="M349" s="41"/>
      <c r="N349" s="41"/>
      <c r="O349" s="41" t="s">
        <v>355</v>
      </c>
      <c r="P349" s="41" t="s">
        <v>1755</v>
      </c>
      <c r="Q349" s="43">
        <f t="shared" si="52"/>
        <v>795</v>
      </c>
      <c r="R349" s="43">
        <f t="shared" si="53"/>
        <v>97.957999999999998</v>
      </c>
      <c r="S349" s="41" t="s">
        <v>1740</v>
      </c>
      <c r="T349" s="48" t="str">
        <f t="shared" si="56"/>
        <v>(5,'PS-05-LZ2','Poste de Sectionnement n°05 LZ2','Friday-01-jj','Friday-01-jj',NULL,1,),</v>
      </c>
    </row>
    <row r="350" spans="1:20" ht="20.100000000000001" customHeight="1" x14ac:dyDescent="0.25">
      <c r="A350" s="38">
        <v>1</v>
      </c>
      <c r="B350" s="38">
        <v>355</v>
      </c>
      <c r="C350" s="38" t="s">
        <v>607</v>
      </c>
      <c r="D350" s="38">
        <v>11</v>
      </c>
      <c r="E350" s="39" t="str">
        <f>CONCATENATE("PC-",TEXT(A350,"00"),"-",O350)</f>
        <v>PC-01-LZ2</v>
      </c>
      <c r="F350" s="48" t="str">
        <f>CONCATENATE("Poste de Coupure n°",TEXT(A350,"00")," ",O350)</f>
        <v>Poste de Coupure n°01 LZ2</v>
      </c>
      <c r="G350" s="19">
        <v>39814</v>
      </c>
      <c r="H350" s="19">
        <v>40179</v>
      </c>
      <c r="I350" s="41" t="s">
        <v>20</v>
      </c>
      <c r="J350" s="41">
        <v>1</v>
      </c>
      <c r="K350" s="41" t="s">
        <v>3556</v>
      </c>
      <c r="L350" s="41">
        <v>15</v>
      </c>
      <c r="M350" s="41"/>
      <c r="N350" s="41"/>
      <c r="O350" s="41" t="s">
        <v>355</v>
      </c>
      <c r="P350" s="41" t="s">
        <v>3323</v>
      </c>
      <c r="Q350" s="49">
        <f t="shared" si="52"/>
        <v>885</v>
      </c>
      <c r="R350" s="43">
        <f t="shared" si="53"/>
        <v>110.627</v>
      </c>
      <c r="S350" s="41" t="s">
        <v>1741</v>
      </c>
      <c r="T350" s="48" t="str">
        <f t="shared" si="56"/>
        <v>(1,'PC-01-LZ2','Poste de Coupure n°01 LZ2','Thursday-01-jj','Friday-01-jj',NULL,1,),</v>
      </c>
    </row>
    <row r="351" spans="1:20" ht="20.100000000000001" customHeight="1" x14ac:dyDescent="0.25">
      <c r="A351" s="38">
        <v>9</v>
      </c>
      <c r="B351" s="38">
        <v>356</v>
      </c>
      <c r="C351" s="38" t="s">
        <v>607</v>
      </c>
      <c r="D351" s="38">
        <v>11</v>
      </c>
      <c r="E351" s="39" t="s">
        <v>3515</v>
      </c>
      <c r="F351" s="48" t="str">
        <f>CONCATENATE("Station de Régulation ",E351)</f>
        <v>Station de Régulation PRS-LZ2</v>
      </c>
      <c r="G351" s="19">
        <v>41374</v>
      </c>
      <c r="H351" s="19">
        <v>42029</v>
      </c>
      <c r="I351" s="41" t="s">
        <v>20</v>
      </c>
      <c r="J351" s="41">
        <v>1</v>
      </c>
      <c r="K351" s="41" t="s">
        <v>3553</v>
      </c>
      <c r="L351" s="41">
        <v>9</v>
      </c>
      <c r="M351" s="41">
        <v>10</v>
      </c>
      <c r="N351" s="41"/>
      <c r="O351" s="41" t="s">
        <v>355</v>
      </c>
      <c r="P351" s="41" t="s">
        <v>3572</v>
      </c>
      <c r="Q351" s="49">
        <f t="shared" si="52"/>
        <v>1059</v>
      </c>
      <c r="R351" s="43">
        <f t="shared" si="53"/>
        <v>311.12400000000002</v>
      </c>
      <c r="S351" s="41" t="s">
        <v>753</v>
      </c>
      <c r="T351" s="48" t="str">
        <f t="shared" si="56"/>
        <v>(9,'PRS-LZ2','Station de Régulation PRS-LZ2','Wednesday-04-jj','Sunday-01-jj',NULL,1,10),</v>
      </c>
    </row>
    <row r="352" spans="1:20" ht="20.100000000000001" customHeight="1" x14ac:dyDescent="0.25">
      <c r="A352" s="38">
        <v>6</v>
      </c>
      <c r="B352" s="38">
        <v>357</v>
      </c>
      <c r="C352" s="38" t="s">
        <v>607</v>
      </c>
      <c r="D352" s="38">
        <v>11</v>
      </c>
      <c r="E352" s="39" t="str">
        <f t="shared" ref="E352:E361" si="57">CONCATENATE("PS-",TEXT(A352,"00"),"-",O352)</f>
        <v>PS-06-LZ2</v>
      </c>
      <c r="F352" s="48" t="str">
        <f t="shared" ref="F352:F361" si="58">CONCATENATE("Poste de Sectionnement n°",TEXT(A352,"00")," ",O352)</f>
        <v>Poste de Sectionnement n°06 LZ2</v>
      </c>
      <c r="G352" s="19">
        <v>40179</v>
      </c>
      <c r="H352" s="19">
        <v>40179</v>
      </c>
      <c r="I352" s="41" t="s">
        <v>20</v>
      </c>
      <c r="J352" s="41">
        <v>1</v>
      </c>
      <c r="K352" s="41" t="s">
        <v>3557</v>
      </c>
      <c r="L352" s="41">
        <v>16</v>
      </c>
      <c r="M352" s="41"/>
      <c r="N352" s="41"/>
      <c r="O352" s="41" t="s">
        <v>355</v>
      </c>
      <c r="P352" s="41" t="s">
        <v>1756</v>
      </c>
      <c r="Q352" s="43">
        <f t="shared" si="52"/>
        <v>953</v>
      </c>
      <c r="R352" s="43">
        <f t="shared" si="53"/>
        <v>119.566</v>
      </c>
      <c r="S352" s="41" t="s">
        <v>1741</v>
      </c>
      <c r="T352" s="48" t="str">
        <f t="shared" si="56"/>
        <v>(6,'PS-06-LZ2','Poste de Sectionnement n°06 LZ2','Friday-01-jj','Friday-01-jj',NULL,1,),</v>
      </c>
    </row>
    <row r="353" spans="1:20" ht="20.100000000000001" customHeight="1" x14ac:dyDescent="0.25">
      <c r="A353" s="38">
        <v>7</v>
      </c>
      <c r="B353" s="38">
        <v>358</v>
      </c>
      <c r="C353" s="38" t="s">
        <v>607</v>
      </c>
      <c r="D353" s="38">
        <v>11</v>
      </c>
      <c r="E353" s="39" t="str">
        <f t="shared" si="57"/>
        <v>PS-07-LZ2</v>
      </c>
      <c r="F353" s="48" t="str">
        <f t="shared" si="58"/>
        <v>Poste de Sectionnement n°07 LZ2</v>
      </c>
      <c r="G353" s="19">
        <v>40179</v>
      </c>
      <c r="H353" s="19">
        <v>40179</v>
      </c>
      <c r="I353" s="41" t="s">
        <v>20</v>
      </c>
      <c r="J353" s="41">
        <v>1</v>
      </c>
      <c r="K353" s="41" t="s">
        <v>3557</v>
      </c>
      <c r="L353" s="41">
        <v>16</v>
      </c>
      <c r="M353" s="41"/>
      <c r="N353" s="41"/>
      <c r="O353" s="41" t="s">
        <v>355</v>
      </c>
      <c r="P353" s="41" t="s">
        <v>1757</v>
      </c>
      <c r="Q353" s="43">
        <f t="shared" si="52"/>
        <v>1069</v>
      </c>
      <c r="R353" s="43">
        <f t="shared" si="53"/>
        <v>140.999</v>
      </c>
      <c r="S353" s="41" t="s">
        <v>1741</v>
      </c>
      <c r="T353" s="48" t="str">
        <f t="shared" si="56"/>
        <v>(7,'PS-07-LZ2','Poste de Sectionnement n°07 LZ2','Friday-01-jj','Friday-01-jj',NULL,1,),</v>
      </c>
    </row>
    <row r="354" spans="1:20" ht="20.100000000000001" customHeight="1" x14ac:dyDescent="0.25">
      <c r="A354" s="38">
        <v>8</v>
      </c>
      <c r="B354" s="38">
        <v>359</v>
      </c>
      <c r="C354" s="38" t="s">
        <v>607</v>
      </c>
      <c r="D354" s="38">
        <v>11</v>
      </c>
      <c r="E354" s="39" t="str">
        <f t="shared" si="57"/>
        <v>PS-08-LZ2</v>
      </c>
      <c r="F354" s="48" t="str">
        <f t="shared" si="58"/>
        <v>Poste de Sectionnement n°08 LZ2</v>
      </c>
      <c r="G354" s="19">
        <v>40179</v>
      </c>
      <c r="H354" s="19">
        <v>40179</v>
      </c>
      <c r="I354" s="41" t="s">
        <v>20</v>
      </c>
      <c r="J354" s="41">
        <v>1</v>
      </c>
      <c r="K354" s="41" t="s">
        <v>3557</v>
      </c>
      <c r="L354" s="41">
        <v>16</v>
      </c>
      <c r="M354" s="41"/>
      <c r="N354" s="41"/>
      <c r="O354" s="41" t="s">
        <v>355</v>
      </c>
      <c r="P354" s="41" t="s">
        <v>1758</v>
      </c>
      <c r="Q354" s="43">
        <f t="shared" si="52"/>
        <v>1237</v>
      </c>
      <c r="R354" s="43">
        <f t="shared" si="53"/>
        <v>160.13399999999999</v>
      </c>
      <c r="S354" s="41" t="s">
        <v>1741</v>
      </c>
      <c r="T354" s="48" t="str">
        <f t="shared" si="56"/>
        <v>(8,'PS-08-LZ2','Poste de Sectionnement n°08 LZ2','Friday-01-jj','Friday-01-jj',NULL,1,),</v>
      </c>
    </row>
    <row r="355" spans="1:20" ht="20.100000000000001" customHeight="1" x14ac:dyDescent="0.25">
      <c r="A355" s="38">
        <v>9</v>
      </c>
      <c r="B355" s="38">
        <v>360</v>
      </c>
      <c r="C355" s="38" t="s">
        <v>607</v>
      </c>
      <c r="D355" s="38">
        <v>11</v>
      </c>
      <c r="E355" s="39" t="str">
        <f t="shared" si="57"/>
        <v>PS-09-LZ2</v>
      </c>
      <c r="F355" s="48" t="str">
        <f t="shared" si="58"/>
        <v>Poste de Sectionnement n°09 LZ2</v>
      </c>
      <c r="G355" s="19">
        <v>40179</v>
      </c>
      <c r="H355" s="19">
        <v>40179</v>
      </c>
      <c r="I355" s="41" t="s">
        <v>20</v>
      </c>
      <c r="J355" s="41">
        <v>1</v>
      </c>
      <c r="K355" s="41" t="s">
        <v>3557</v>
      </c>
      <c r="L355" s="41">
        <v>16</v>
      </c>
      <c r="M355" s="41"/>
      <c r="N355" s="41"/>
      <c r="O355" s="41" t="s">
        <v>355</v>
      </c>
      <c r="P355" s="41" t="s">
        <v>1759</v>
      </c>
      <c r="Q355" s="43">
        <f t="shared" si="52"/>
        <v>1136</v>
      </c>
      <c r="R355" s="43">
        <f t="shared" si="53"/>
        <v>182.012</v>
      </c>
      <c r="S355" s="41" t="s">
        <v>1741</v>
      </c>
      <c r="T355" s="48" t="str">
        <f t="shared" si="56"/>
        <v>(9,'PS-09-LZ2','Poste de Sectionnement n°09 LZ2','Friday-01-jj','Friday-01-jj',NULL,1,),</v>
      </c>
    </row>
    <row r="356" spans="1:20" ht="20.100000000000001" customHeight="1" x14ac:dyDescent="0.25">
      <c r="A356" s="38">
        <v>10</v>
      </c>
      <c r="B356" s="38">
        <v>361</v>
      </c>
      <c r="C356" s="38" t="s">
        <v>607</v>
      </c>
      <c r="D356" s="38">
        <v>11</v>
      </c>
      <c r="E356" s="39" t="str">
        <f t="shared" si="57"/>
        <v>PS-10-LZ2</v>
      </c>
      <c r="F356" s="48" t="str">
        <f t="shared" si="58"/>
        <v>Poste de Sectionnement n°10 LZ2</v>
      </c>
      <c r="G356" s="19">
        <v>40179</v>
      </c>
      <c r="H356" s="19">
        <v>40179</v>
      </c>
      <c r="I356" s="41" t="s">
        <v>20</v>
      </c>
      <c r="J356" s="41">
        <v>1</v>
      </c>
      <c r="K356" s="41" t="s">
        <v>3557</v>
      </c>
      <c r="L356" s="41">
        <v>16</v>
      </c>
      <c r="M356" s="41"/>
      <c r="N356" s="41"/>
      <c r="O356" s="41" t="s">
        <v>355</v>
      </c>
      <c r="P356" s="41" t="s">
        <v>1760</v>
      </c>
      <c r="Q356" s="43">
        <f t="shared" si="52"/>
        <v>971</v>
      </c>
      <c r="R356" s="43">
        <f t="shared" si="53"/>
        <v>199.477</v>
      </c>
      <c r="S356" s="41" t="s">
        <v>1783</v>
      </c>
      <c r="T356" s="48" t="str">
        <f t="shared" si="56"/>
        <v>(10,'PS-10-LZ2','Poste de Sectionnement n°10 LZ2','Friday-01-jj','Friday-01-jj',NULL,1,),</v>
      </c>
    </row>
    <row r="357" spans="1:20" ht="20.100000000000001" customHeight="1" x14ac:dyDescent="0.25">
      <c r="A357" s="38">
        <v>11</v>
      </c>
      <c r="B357" s="38">
        <v>362</v>
      </c>
      <c r="C357" s="38" t="s">
        <v>607</v>
      </c>
      <c r="D357" s="38">
        <v>11</v>
      </c>
      <c r="E357" s="39" t="str">
        <f t="shared" si="57"/>
        <v>PS-11-LZ2</v>
      </c>
      <c r="F357" s="48" t="str">
        <f t="shared" si="58"/>
        <v>Poste de Sectionnement n°11 LZ2</v>
      </c>
      <c r="G357" s="19">
        <v>40179</v>
      </c>
      <c r="H357" s="19">
        <v>40179</v>
      </c>
      <c r="I357" s="41" t="s">
        <v>20</v>
      </c>
      <c r="J357" s="41">
        <v>1</v>
      </c>
      <c r="K357" s="41" t="s">
        <v>3557</v>
      </c>
      <c r="L357" s="41">
        <v>16</v>
      </c>
      <c r="M357" s="41"/>
      <c r="N357" s="41"/>
      <c r="O357" s="41" t="s">
        <v>355</v>
      </c>
      <c r="P357" s="41" t="s">
        <v>1761</v>
      </c>
      <c r="Q357" s="43">
        <f t="shared" si="52"/>
        <v>978</v>
      </c>
      <c r="R357" s="43">
        <f t="shared" si="53"/>
        <v>219.48699999999999</v>
      </c>
      <c r="S357" s="41" t="s">
        <v>751</v>
      </c>
      <c r="T357" s="48" t="str">
        <f t="shared" si="56"/>
        <v>(11,'PS-11-LZ2','Poste de Sectionnement n°11 LZ2','Friday-01-jj','Friday-01-jj',NULL,1,),</v>
      </c>
    </row>
    <row r="358" spans="1:20" ht="20.100000000000001" customHeight="1" x14ac:dyDescent="0.25">
      <c r="A358" s="38">
        <v>12</v>
      </c>
      <c r="B358" s="38">
        <v>363</v>
      </c>
      <c r="C358" s="38" t="s">
        <v>607</v>
      </c>
      <c r="D358" s="38">
        <v>11</v>
      </c>
      <c r="E358" s="39" t="str">
        <f t="shared" si="57"/>
        <v>PS-12-LZ2</v>
      </c>
      <c r="F358" s="48" t="str">
        <f t="shared" si="58"/>
        <v>Poste de Sectionnement n°12 LZ2</v>
      </c>
      <c r="G358" s="19">
        <v>40179</v>
      </c>
      <c r="H358" s="19">
        <v>40179</v>
      </c>
      <c r="I358" s="41" t="s">
        <v>20</v>
      </c>
      <c r="J358" s="41">
        <v>1</v>
      </c>
      <c r="K358" s="41" t="s">
        <v>3557</v>
      </c>
      <c r="L358" s="41">
        <v>16</v>
      </c>
      <c r="M358" s="41"/>
      <c r="N358" s="41"/>
      <c r="O358" s="41" t="s">
        <v>355</v>
      </c>
      <c r="P358" s="41" t="s">
        <v>1762</v>
      </c>
      <c r="Q358" s="43">
        <f t="shared" si="52"/>
        <v>1056</v>
      </c>
      <c r="R358" s="43">
        <f t="shared" si="53"/>
        <v>241.804</v>
      </c>
      <c r="S358" s="41" t="s">
        <v>751</v>
      </c>
      <c r="T358" s="48" t="str">
        <f t="shared" si="56"/>
        <v>(12,'PS-12-LZ2','Poste de Sectionnement n°12 LZ2','Friday-01-jj','Friday-01-jj',NULL,1,),</v>
      </c>
    </row>
    <row r="359" spans="1:20" ht="20.100000000000001" customHeight="1" x14ac:dyDescent="0.25">
      <c r="A359" s="38">
        <v>13</v>
      </c>
      <c r="B359" s="38">
        <v>364</v>
      </c>
      <c r="C359" s="38" t="s">
        <v>607</v>
      </c>
      <c r="D359" s="38">
        <v>11</v>
      </c>
      <c r="E359" s="39" t="str">
        <f t="shared" si="57"/>
        <v>PS-13-LZ2</v>
      </c>
      <c r="F359" s="48" t="str">
        <f t="shared" si="58"/>
        <v>Poste de Sectionnement n°13 LZ2</v>
      </c>
      <c r="G359" s="19">
        <v>40179</v>
      </c>
      <c r="H359" s="19">
        <v>40179</v>
      </c>
      <c r="I359" s="41" t="s">
        <v>20</v>
      </c>
      <c r="J359" s="41">
        <v>1</v>
      </c>
      <c r="K359" s="41" t="s">
        <v>3557</v>
      </c>
      <c r="L359" s="41">
        <v>16</v>
      </c>
      <c r="M359" s="41"/>
      <c r="N359" s="41"/>
      <c r="O359" s="41" t="s">
        <v>355</v>
      </c>
      <c r="P359" s="41" t="s">
        <v>1763</v>
      </c>
      <c r="Q359" s="43">
        <f t="shared" si="52"/>
        <v>1147</v>
      </c>
      <c r="R359" s="43">
        <f t="shared" si="53"/>
        <v>261.91300000000001</v>
      </c>
      <c r="S359" s="41" t="s">
        <v>751</v>
      </c>
      <c r="T359" s="48" t="str">
        <f t="shared" si="56"/>
        <v>(13,'PS-13-LZ2','Poste de Sectionnement n°13 LZ2','Friday-01-jj','Friday-01-jj',NULL,1,),</v>
      </c>
    </row>
    <row r="360" spans="1:20" ht="20.100000000000001" customHeight="1" x14ac:dyDescent="0.25">
      <c r="A360" s="38">
        <v>14</v>
      </c>
      <c r="B360" s="38">
        <v>365</v>
      </c>
      <c r="C360" s="38" t="s">
        <v>607</v>
      </c>
      <c r="D360" s="38">
        <v>11</v>
      </c>
      <c r="E360" s="39" t="str">
        <f t="shared" si="57"/>
        <v>PS-14-LZ2</v>
      </c>
      <c r="F360" s="48" t="str">
        <f t="shared" si="58"/>
        <v>Poste de Sectionnement n°14 LZ2</v>
      </c>
      <c r="G360" s="19">
        <v>40179</v>
      </c>
      <c r="H360" s="19">
        <v>40179</v>
      </c>
      <c r="I360" s="41" t="s">
        <v>20</v>
      </c>
      <c r="J360" s="41">
        <v>1</v>
      </c>
      <c r="K360" s="41" t="s">
        <v>3557</v>
      </c>
      <c r="L360" s="41">
        <v>16</v>
      </c>
      <c r="M360" s="41"/>
      <c r="N360" s="41"/>
      <c r="O360" s="41" t="s">
        <v>355</v>
      </c>
      <c r="P360" s="41" t="s">
        <v>1764</v>
      </c>
      <c r="Q360" s="43">
        <f t="shared" si="52"/>
        <v>1266</v>
      </c>
      <c r="R360" s="43">
        <f t="shared" si="53"/>
        <v>282.03800000000001</v>
      </c>
      <c r="S360" s="41" t="s">
        <v>1743</v>
      </c>
      <c r="T360" s="48" t="str">
        <f t="shared" si="56"/>
        <v>(14,'PS-14-LZ2','Poste de Sectionnement n°14 LZ2','Friday-01-jj','Friday-01-jj',NULL,1,),</v>
      </c>
    </row>
    <row r="361" spans="1:20" ht="20.100000000000001" customHeight="1" x14ac:dyDescent="0.25">
      <c r="A361" s="38">
        <v>15</v>
      </c>
      <c r="B361" s="38">
        <v>366</v>
      </c>
      <c r="C361" s="38" t="s">
        <v>607</v>
      </c>
      <c r="D361" s="38">
        <v>11</v>
      </c>
      <c r="E361" s="39" t="str">
        <f t="shared" si="57"/>
        <v>PS-15-LZ2</v>
      </c>
      <c r="F361" s="48" t="str">
        <f t="shared" si="58"/>
        <v>Poste de Sectionnement n°15 LZ2</v>
      </c>
      <c r="G361" s="19">
        <v>40179</v>
      </c>
      <c r="H361" s="19">
        <v>40179</v>
      </c>
      <c r="I361" s="41" t="s">
        <v>20</v>
      </c>
      <c r="J361" s="41">
        <v>1</v>
      </c>
      <c r="K361" s="41" t="s">
        <v>3557</v>
      </c>
      <c r="L361" s="41">
        <v>16</v>
      </c>
      <c r="M361" s="41"/>
      <c r="N361" s="41"/>
      <c r="O361" s="41" t="s">
        <v>355</v>
      </c>
      <c r="P361" s="41" t="s">
        <v>1765</v>
      </c>
      <c r="Q361" s="43">
        <f t="shared" si="52"/>
        <v>1173</v>
      </c>
      <c r="R361" s="43">
        <f t="shared" si="53"/>
        <v>301.416</v>
      </c>
      <c r="S361" s="41" t="s">
        <v>1784</v>
      </c>
      <c r="T361" s="48" t="str">
        <f t="shared" si="56"/>
        <v>(15,'PS-15-LZ2','Poste de Sectionnement n°15 LZ2','Friday-01-jj','Friday-01-jj',NULL,1,),</v>
      </c>
    </row>
    <row r="362" spans="1:20" ht="20.100000000000001" customHeight="1" x14ac:dyDescent="0.25">
      <c r="A362" s="38">
        <v>2</v>
      </c>
      <c r="B362" s="38">
        <v>367</v>
      </c>
      <c r="C362" s="38" t="s">
        <v>607</v>
      </c>
      <c r="D362" s="38">
        <v>11</v>
      </c>
      <c r="E362" s="39" t="str">
        <f>CONCATENATE("PC-",TEXT(A362,"00"),"-",O362)</f>
        <v>PC-02-LZ2</v>
      </c>
      <c r="F362" s="48" t="str">
        <f>CONCATENATE("Poste de Coupure n°",TEXT(A362,"00")," ",O362)</f>
        <v>Poste de Coupure n°02 LZ2</v>
      </c>
      <c r="G362" s="19">
        <v>39814</v>
      </c>
      <c r="H362" s="19">
        <v>40179</v>
      </c>
      <c r="I362" s="41" t="s">
        <v>20</v>
      </c>
      <c r="J362" s="41">
        <v>1</v>
      </c>
      <c r="K362" s="41" t="s">
        <v>3556</v>
      </c>
      <c r="L362" s="41">
        <v>15</v>
      </c>
      <c r="M362" s="41"/>
      <c r="N362" s="41"/>
      <c r="O362" s="41" t="s">
        <v>355</v>
      </c>
      <c r="P362" s="41" t="s">
        <v>3322</v>
      </c>
      <c r="Q362" s="49">
        <f t="shared" si="52"/>
        <v>1080</v>
      </c>
      <c r="R362" s="43">
        <f t="shared" si="53"/>
        <v>307.02</v>
      </c>
      <c r="S362" s="41" t="s">
        <v>753</v>
      </c>
      <c r="T362" s="48" t="str">
        <f t="shared" si="56"/>
        <v>(2,'PC-02-LZ2','Poste de Coupure n°02 LZ2','Thursday-01-jj','Friday-01-jj',NULL,1,),</v>
      </c>
    </row>
    <row r="363" spans="1:20" ht="20.100000000000001" customHeight="1" x14ac:dyDescent="0.25">
      <c r="A363" s="38" t="s">
        <v>1791</v>
      </c>
      <c r="B363" s="38">
        <v>368</v>
      </c>
      <c r="C363" s="38" t="s">
        <v>607</v>
      </c>
      <c r="D363" s="38">
        <v>11</v>
      </c>
      <c r="E363" s="39" t="str">
        <f t="shared" ref="E363:E381" si="59">CONCATENATE("PS-",TEXT(A363,"00"),"-",O363)</f>
        <v>PS-15 A-LZ2</v>
      </c>
      <c r="F363" s="48" t="str">
        <f t="shared" ref="F363:F381" si="60">CONCATENATE("Poste de Sectionnement n°",TEXT(A363,"00")," ",O363)</f>
        <v>Poste de Sectionnement n°15 A LZ2</v>
      </c>
      <c r="G363" s="19">
        <v>40179</v>
      </c>
      <c r="H363" s="19">
        <v>40179</v>
      </c>
      <c r="I363" s="41" t="s">
        <v>20</v>
      </c>
      <c r="J363" s="41">
        <v>1</v>
      </c>
      <c r="K363" s="41" t="s">
        <v>3557</v>
      </c>
      <c r="L363" s="41">
        <v>16</v>
      </c>
      <c r="M363" s="41"/>
      <c r="N363" s="41"/>
      <c r="O363" s="41" t="s">
        <v>355</v>
      </c>
      <c r="P363" s="41" t="s">
        <v>1766</v>
      </c>
      <c r="Q363" s="43">
        <f t="shared" si="52"/>
        <v>995</v>
      </c>
      <c r="R363" s="43">
        <f t="shared" si="53"/>
        <v>325.53399999999999</v>
      </c>
      <c r="S363" s="41" t="s">
        <v>1744</v>
      </c>
      <c r="T363" s="48" t="str">
        <f t="shared" si="56"/>
        <v>(15 A,'PS-15 A-LZ2','Poste de Sectionnement n°15 A LZ2','Friday-01-jj','Friday-01-jj',NULL,1,),</v>
      </c>
    </row>
    <row r="364" spans="1:20" ht="20.100000000000001" customHeight="1" x14ac:dyDescent="0.25">
      <c r="A364" s="38" t="s">
        <v>1792</v>
      </c>
      <c r="B364" s="38">
        <v>369</v>
      </c>
      <c r="C364" s="38" t="s">
        <v>607</v>
      </c>
      <c r="D364" s="38">
        <v>11</v>
      </c>
      <c r="E364" s="39" t="str">
        <f t="shared" si="59"/>
        <v>PS-15 B-LZ2</v>
      </c>
      <c r="F364" s="48" t="str">
        <f t="shared" si="60"/>
        <v>Poste de Sectionnement n°15 B LZ2</v>
      </c>
      <c r="G364" s="19">
        <v>40179</v>
      </c>
      <c r="H364" s="19">
        <v>40179</v>
      </c>
      <c r="I364" s="41" t="s">
        <v>20</v>
      </c>
      <c r="J364" s="41">
        <v>1</v>
      </c>
      <c r="K364" s="41" t="s">
        <v>3557</v>
      </c>
      <c r="L364" s="41">
        <v>16</v>
      </c>
      <c r="M364" s="41"/>
      <c r="N364" s="41"/>
      <c r="O364" s="41" t="s">
        <v>355</v>
      </c>
      <c r="P364" s="41" t="s">
        <v>1767</v>
      </c>
      <c r="Q364" s="43">
        <f t="shared" si="52"/>
        <v>1015</v>
      </c>
      <c r="R364" s="43">
        <f t="shared" si="53"/>
        <v>336.22800000000001</v>
      </c>
      <c r="S364" s="41" t="s">
        <v>754</v>
      </c>
      <c r="T364" s="48" t="str">
        <f t="shared" si="56"/>
        <v>(15 B,'PS-15 B-LZ2','Poste de Sectionnement n°15 B LZ2','Friday-01-jj','Friday-01-jj',NULL,1,),</v>
      </c>
    </row>
    <row r="365" spans="1:20" ht="20.100000000000001" customHeight="1" x14ac:dyDescent="0.25">
      <c r="A365" s="38">
        <v>16</v>
      </c>
      <c r="B365" s="38">
        <v>370</v>
      </c>
      <c r="C365" s="38" t="s">
        <v>607</v>
      </c>
      <c r="D365" s="38">
        <v>11</v>
      </c>
      <c r="E365" s="39" t="str">
        <f t="shared" si="59"/>
        <v>PS-16-LZ2</v>
      </c>
      <c r="F365" s="48" t="str">
        <f t="shared" si="60"/>
        <v>Poste de Sectionnement n°16 LZ2</v>
      </c>
      <c r="G365" s="19">
        <v>40179</v>
      </c>
      <c r="H365" s="19">
        <v>40179</v>
      </c>
      <c r="I365" s="41" t="s">
        <v>20</v>
      </c>
      <c r="J365" s="41">
        <v>1</v>
      </c>
      <c r="K365" s="41" t="s">
        <v>3557</v>
      </c>
      <c r="L365" s="41">
        <v>16</v>
      </c>
      <c r="M365" s="41"/>
      <c r="N365" s="41"/>
      <c r="O365" s="41" t="s">
        <v>355</v>
      </c>
      <c r="P365" s="41" t="s">
        <v>1768</v>
      </c>
      <c r="Q365" s="43">
        <f t="shared" si="52"/>
        <v>786</v>
      </c>
      <c r="R365" s="43">
        <f t="shared" si="53"/>
        <v>346.71699999999998</v>
      </c>
      <c r="S365" s="41" t="s">
        <v>754</v>
      </c>
      <c r="T365" s="48" t="str">
        <f t="shared" si="56"/>
        <v>(16,'PS-16-LZ2','Poste de Sectionnement n°16 LZ2','Friday-01-jj','Friday-01-jj',NULL,1,),</v>
      </c>
    </row>
    <row r="366" spans="1:20" ht="20.100000000000001" customHeight="1" x14ac:dyDescent="0.25">
      <c r="A366" s="38">
        <v>17</v>
      </c>
      <c r="B366" s="38">
        <v>371</v>
      </c>
      <c r="C366" s="38" t="s">
        <v>607</v>
      </c>
      <c r="D366" s="38">
        <v>11</v>
      </c>
      <c r="E366" s="39" t="str">
        <f t="shared" si="59"/>
        <v>PS-17-LZ2</v>
      </c>
      <c r="F366" s="48" t="str">
        <f t="shared" si="60"/>
        <v>Poste de Sectionnement n°17 LZ2</v>
      </c>
      <c r="G366" s="19">
        <v>40179</v>
      </c>
      <c r="H366" s="19">
        <v>40179</v>
      </c>
      <c r="I366" s="41" t="s">
        <v>20</v>
      </c>
      <c r="J366" s="41">
        <v>1</v>
      </c>
      <c r="K366" s="41" t="s">
        <v>3557</v>
      </c>
      <c r="L366" s="41">
        <v>16</v>
      </c>
      <c r="M366" s="41"/>
      <c r="N366" s="41"/>
      <c r="O366" s="41" t="s">
        <v>355</v>
      </c>
      <c r="P366" s="41" t="s">
        <v>1769</v>
      </c>
      <c r="Q366" s="43">
        <f t="shared" si="52"/>
        <v>673</v>
      </c>
      <c r="R366" s="43">
        <f t="shared" si="53"/>
        <v>358.62099999999998</v>
      </c>
      <c r="S366" s="41" t="s">
        <v>755</v>
      </c>
      <c r="T366" s="48" t="str">
        <f t="shared" si="56"/>
        <v>(17,'PS-17-LZ2','Poste de Sectionnement n°17 LZ2','Friday-01-jj','Friday-01-jj',NULL,1,),</v>
      </c>
    </row>
    <row r="367" spans="1:20" ht="20.100000000000001" customHeight="1" x14ac:dyDescent="0.25">
      <c r="A367" s="38">
        <v>18</v>
      </c>
      <c r="B367" s="38">
        <v>372</v>
      </c>
      <c r="C367" s="38" t="s">
        <v>607</v>
      </c>
      <c r="D367" s="38">
        <v>11</v>
      </c>
      <c r="E367" s="39" t="str">
        <f t="shared" si="59"/>
        <v>PS-18-LZ2</v>
      </c>
      <c r="F367" s="48" t="str">
        <f t="shared" si="60"/>
        <v>Poste de Sectionnement n°18 LZ2</v>
      </c>
      <c r="G367" s="19">
        <v>40179</v>
      </c>
      <c r="H367" s="19">
        <v>40179</v>
      </c>
      <c r="I367" s="41" t="s">
        <v>20</v>
      </c>
      <c r="J367" s="41">
        <v>1</v>
      </c>
      <c r="K367" s="41" t="s">
        <v>3557</v>
      </c>
      <c r="L367" s="41">
        <v>16</v>
      </c>
      <c r="M367" s="41"/>
      <c r="N367" s="41"/>
      <c r="O367" s="41" t="s">
        <v>355</v>
      </c>
      <c r="P367" s="41" t="s">
        <v>1770</v>
      </c>
      <c r="Q367" s="43">
        <f t="shared" si="52"/>
        <v>636</v>
      </c>
      <c r="R367" s="43">
        <f t="shared" si="53"/>
        <v>369.78100000000001</v>
      </c>
      <c r="S367" s="41" t="s">
        <v>755</v>
      </c>
      <c r="T367" s="48" t="str">
        <f t="shared" si="56"/>
        <v>(18,'PS-18-LZ2','Poste de Sectionnement n°18 LZ2','Friday-01-jj','Friday-01-jj',NULL,1,),</v>
      </c>
    </row>
    <row r="368" spans="1:20" ht="20.100000000000001" customHeight="1" x14ac:dyDescent="0.25">
      <c r="A368" s="38">
        <v>19</v>
      </c>
      <c r="B368" s="38">
        <v>373</v>
      </c>
      <c r="C368" s="38" t="s">
        <v>607</v>
      </c>
      <c r="D368" s="38">
        <v>11</v>
      </c>
      <c r="E368" s="39" t="str">
        <f t="shared" si="59"/>
        <v>PS-19-LZ2</v>
      </c>
      <c r="F368" s="48" t="str">
        <f t="shared" si="60"/>
        <v>Poste de Sectionnement n°19 LZ2</v>
      </c>
      <c r="G368" s="19">
        <v>40179</v>
      </c>
      <c r="H368" s="19">
        <v>40179</v>
      </c>
      <c r="I368" s="41" t="s">
        <v>20</v>
      </c>
      <c r="J368" s="41">
        <v>1</v>
      </c>
      <c r="K368" s="41" t="s">
        <v>3557</v>
      </c>
      <c r="L368" s="41">
        <v>16</v>
      </c>
      <c r="M368" s="41"/>
      <c r="N368" s="41"/>
      <c r="O368" s="41" t="s">
        <v>355</v>
      </c>
      <c r="P368" s="41" t="s">
        <v>1771</v>
      </c>
      <c r="Q368" s="43">
        <f t="shared" si="52"/>
        <v>538</v>
      </c>
      <c r="R368" s="43">
        <f t="shared" si="53"/>
        <v>382.14600000000002</v>
      </c>
      <c r="S368" s="41" t="s">
        <v>1745</v>
      </c>
      <c r="T368" s="48" t="str">
        <f t="shared" si="56"/>
        <v>(19,'PS-19-LZ2','Poste de Sectionnement n°19 LZ2','Friday-01-jj','Friday-01-jj',NULL,1,),</v>
      </c>
    </row>
    <row r="369" spans="1:20" ht="20.100000000000001" customHeight="1" x14ac:dyDescent="0.25">
      <c r="A369" s="38">
        <v>20</v>
      </c>
      <c r="B369" s="38">
        <v>374</v>
      </c>
      <c r="C369" s="38" t="s">
        <v>607</v>
      </c>
      <c r="D369" s="38">
        <v>11</v>
      </c>
      <c r="E369" s="39" t="str">
        <f t="shared" si="59"/>
        <v>PS-20-LZ2</v>
      </c>
      <c r="F369" s="48" t="str">
        <f t="shared" si="60"/>
        <v>Poste de Sectionnement n°20 LZ2</v>
      </c>
      <c r="G369" s="19">
        <v>40179</v>
      </c>
      <c r="H369" s="19">
        <v>40179</v>
      </c>
      <c r="I369" s="41" t="s">
        <v>20</v>
      </c>
      <c r="J369" s="41">
        <v>1</v>
      </c>
      <c r="K369" s="41" t="s">
        <v>3557</v>
      </c>
      <c r="L369" s="41">
        <v>16</v>
      </c>
      <c r="M369" s="41"/>
      <c r="N369" s="41"/>
      <c r="O369" s="41" t="s">
        <v>355</v>
      </c>
      <c r="P369" s="41" t="s">
        <v>1772</v>
      </c>
      <c r="Q369" s="43">
        <f t="shared" si="52"/>
        <v>269</v>
      </c>
      <c r="R369" s="43">
        <f t="shared" si="53"/>
        <v>393.13200000000001</v>
      </c>
      <c r="S369" s="41" t="s">
        <v>1785</v>
      </c>
      <c r="T369" s="48" t="str">
        <f t="shared" si="56"/>
        <v>(20,'PS-20-LZ2','Poste de Sectionnement n°20 LZ2','Friday-01-jj','Friday-01-jj',NULL,1,),</v>
      </c>
    </row>
    <row r="370" spans="1:20" ht="20.100000000000001" customHeight="1" x14ac:dyDescent="0.25">
      <c r="A370" s="38">
        <v>21</v>
      </c>
      <c r="B370" s="38">
        <v>375</v>
      </c>
      <c r="C370" s="38" t="s">
        <v>607</v>
      </c>
      <c r="D370" s="38">
        <v>11</v>
      </c>
      <c r="E370" s="39" t="str">
        <f t="shared" si="59"/>
        <v>PS-21-LZ2</v>
      </c>
      <c r="F370" s="48" t="str">
        <f t="shared" si="60"/>
        <v>Poste de Sectionnement n°21 LZ2</v>
      </c>
      <c r="G370" s="19">
        <v>40179</v>
      </c>
      <c r="H370" s="19">
        <v>40179</v>
      </c>
      <c r="I370" s="41" t="s">
        <v>20</v>
      </c>
      <c r="J370" s="41">
        <v>1</v>
      </c>
      <c r="K370" s="41" t="s">
        <v>3557</v>
      </c>
      <c r="L370" s="41">
        <v>16</v>
      </c>
      <c r="M370" s="41"/>
      <c r="N370" s="41"/>
      <c r="O370" s="41" t="s">
        <v>355</v>
      </c>
      <c r="P370" s="41" t="s">
        <v>1773</v>
      </c>
      <c r="Q370" s="43">
        <f t="shared" si="52"/>
        <v>116</v>
      </c>
      <c r="R370" s="43">
        <f t="shared" si="53"/>
        <v>404.39800000000002</v>
      </c>
      <c r="S370" s="41" t="s">
        <v>1785</v>
      </c>
      <c r="T370" s="48" t="str">
        <f t="shared" si="56"/>
        <v>(21,'PS-21-LZ2','Poste de Sectionnement n°21 LZ2','Friday-01-jj','Friday-01-jj',NULL,1,),</v>
      </c>
    </row>
    <row r="371" spans="1:20" ht="20.100000000000001" customHeight="1" x14ac:dyDescent="0.25">
      <c r="A371" s="38">
        <v>22</v>
      </c>
      <c r="B371" s="38">
        <v>376</v>
      </c>
      <c r="C371" s="38" t="s">
        <v>607</v>
      </c>
      <c r="D371" s="38">
        <v>11</v>
      </c>
      <c r="E371" s="39" t="str">
        <f t="shared" si="59"/>
        <v>PS-22-LZ2</v>
      </c>
      <c r="F371" s="48" t="str">
        <f t="shared" si="60"/>
        <v>Poste de Sectionnement n°22 LZ2</v>
      </c>
      <c r="G371" s="19">
        <v>40179</v>
      </c>
      <c r="H371" s="19">
        <v>40179</v>
      </c>
      <c r="I371" s="41" t="s">
        <v>20</v>
      </c>
      <c r="J371" s="41">
        <v>1</v>
      </c>
      <c r="K371" s="41" t="s">
        <v>3557</v>
      </c>
      <c r="L371" s="41">
        <v>16</v>
      </c>
      <c r="M371" s="41"/>
      <c r="N371" s="41"/>
      <c r="O371" s="41" t="s">
        <v>355</v>
      </c>
      <c r="P371" s="41" t="s">
        <v>1774</v>
      </c>
      <c r="Q371" s="43">
        <f t="shared" si="52"/>
        <v>120</v>
      </c>
      <c r="R371" s="43">
        <f t="shared" si="53"/>
        <v>412.41800000000001</v>
      </c>
      <c r="S371" s="41" t="s">
        <v>1746</v>
      </c>
      <c r="T371" s="48" t="str">
        <f t="shared" si="56"/>
        <v>(22,'PS-22-LZ2','Poste de Sectionnement n°22 LZ2','Friday-01-jj','Friday-01-jj',NULL,1,),</v>
      </c>
    </row>
    <row r="372" spans="1:20" ht="20.100000000000001" customHeight="1" x14ac:dyDescent="0.25">
      <c r="A372" s="38">
        <v>23</v>
      </c>
      <c r="B372" s="38">
        <v>377</v>
      </c>
      <c r="C372" s="38" t="s">
        <v>607</v>
      </c>
      <c r="D372" s="38">
        <v>11</v>
      </c>
      <c r="E372" s="39" t="str">
        <f t="shared" si="59"/>
        <v>PS-23-LZ2</v>
      </c>
      <c r="F372" s="48" t="str">
        <f t="shared" si="60"/>
        <v>Poste de Sectionnement n°23 LZ2</v>
      </c>
      <c r="G372" s="19">
        <v>40179</v>
      </c>
      <c r="H372" s="19">
        <v>40179</v>
      </c>
      <c r="I372" s="41" t="s">
        <v>20</v>
      </c>
      <c r="J372" s="41">
        <v>1</v>
      </c>
      <c r="K372" s="41" t="s">
        <v>3557</v>
      </c>
      <c r="L372" s="41">
        <v>16</v>
      </c>
      <c r="M372" s="41"/>
      <c r="N372" s="41"/>
      <c r="O372" s="41" t="s">
        <v>355</v>
      </c>
      <c r="P372" s="41" t="s">
        <v>1775</v>
      </c>
      <c r="Q372" s="43">
        <f t="shared" si="52"/>
        <v>311</v>
      </c>
      <c r="R372" s="43">
        <f t="shared" si="53"/>
        <v>425.31900000000002</v>
      </c>
      <c r="S372" s="41" t="s">
        <v>1786</v>
      </c>
      <c r="T372" s="48" t="str">
        <f t="shared" si="56"/>
        <v>(23,'PS-23-LZ2','Poste de Sectionnement n°23 LZ2','Friday-01-jj','Friday-01-jj',NULL,1,),</v>
      </c>
    </row>
    <row r="373" spans="1:20" ht="20.100000000000001" customHeight="1" x14ac:dyDescent="0.25">
      <c r="A373" s="38">
        <v>24</v>
      </c>
      <c r="B373" s="38">
        <v>378</v>
      </c>
      <c r="C373" s="38" t="s">
        <v>607</v>
      </c>
      <c r="D373" s="38">
        <v>11</v>
      </c>
      <c r="E373" s="39" t="str">
        <f t="shared" si="59"/>
        <v>PS-24-LZ2</v>
      </c>
      <c r="F373" s="48" t="str">
        <f t="shared" si="60"/>
        <v>Poste de Sectionnement n°24 LZ2</v>
      </c>
      <c r="G373" s="19">
        <v>40179</v>
      </c>
      <c r="H373" s="19">
        <v>40179</v>
      </c>
      <c r="I373" s="41" t="s">
        <v>20</v>
      </c>
      <c r="J373" s="41">
        <v>1</v>
      </c>
      <c r="K373" s="41" t="s">
        <v>3557</v>
      </c>
      <c r="L373" s="41">
        <v>16</v>
      </c>
      <c r="M373" s="41"/>
      <c r="N373" s="41"/>
      <c r="O373" s="41" t="s">
        <v>355</v>
      </c>
      <c r="P373" s="41" t="s">
        <v>1776</v>
      </c>
      <c r="Q373" s="43">
        <f t="shared" si="52"/>
        <v>314</v>
      </c>
      <c r="R373" s="43">
        <f t="shared" si="53"/>
        <v>433.72199999999998</v>
      </c>
      <c r="S373" s="41" t="s">
        <v>1787</v>
      </c>
      <c r="T373" s="48" t="str">
        <f t="shared" si="56"/>
        <v>(24,'PS-24-LZ2','Poste de Sectionnement n°24 LZ2','Friday-01-jj','Friday-01-jj',NULL,1,),</v>
      </c>
    </row>
    <row r="374" spans="1:20" ht="20.100000000000001" customHeight="1" x14ac:dyDescent="0.25">
      <c r="A374" s="38">
        <v>25</v>
      </c>
      <c r="B374" s="38">
        <v>379</v>
      </c>
      <c r="C374" s="38" t="s">
        <v>607</v>
      </c>
      <c r="D374" s="38">
        <v>11</v>
      </c>
      <c r="E374" s="39" t="str">
        <f t="shared" si="59"/>
        <v>PS-25-LZ2</v>
      </c>
      <c r="F374" s="48" t="str">
        <f t="shared" si="60"/>
        <v>Poste de Sectionnement n°25 LZ2</v>
      </c>
      <c r="G374" s="19">
        <v>40179</v>
      </c>
      <c r="H374" s="19">
        <v>40179</v>
      </c>
      <c r="I374" s="41" t="s">
        <v>20</v>
      </c>
      <c r="J374" s="41">
        <v>1</v>
      </c>
      <c r="K374" s="41" t="s">
        <v>3557</v>
      </c>
      <c r="L374" s="41">
        <v>16</v>
      </c>
      <c r="M374" s="41"/>
      <c r="N374" s="41"/>
      <c r="O374" s="41" t="s">
        <v>355</v>
      </c>
      <c r="P374" s="41" t="s">
        <v>1777</v>
      </c>
      <c r="Q374" s="43">
        <f t="shared" si="52"/>
        <v>75</v>
      </c>
      <c r="R374" s="43">
        <f t="shared" si="53"/>
        <v>447.16800000000001</v>
      </c>
      <c r="S374" s="41" t="s">
        <v>1748</v>
      </c>
      <c r="T374" s="48" t="str">
        <f t="shared" si="56"/>
        <v>(25,'PS-25-LZ2','Poste de Sectionnement n°25 LZ2','Friday-01-jj','Friday-01-jj',NULL,1,),</v>
      </c>
    </row>
    <row r="375" spans="1:20" ht="20.100000000000001" customHeight="1" x14ac:dyDescent="0.25">
      <c r="A375" s="38">
        <v>26</v>
      </c>
      <c r="B375" s="38">
        <v>380</v>
      </c>
      <c r="C375" s="38" t="s">
        <v>607</v>
      </c>
      <c r="D375" s="38">
        <v>11</v>
      </c>
      <c r="E375" s="39" t="str">
        <f t="shared" si="59"/>
        <v>PS-26-LZ2</v>
      </c>
      <c r="F375" s="48" t="str">
        <f t="shared" si="60"/>
        <v>Poste de Sectionnement n°26 LZ2</v>
      </c>
      <c r="G375" s="19">
        <v>40179</v>
      </c>
      <c r="H375" s="19">
        <v>40179</v>
      </c>
      <c r="I375" s="41" t="s">
        <v>20</v>
      </c>
      <c r="J375" s="41">
        <v>1</v>
      </c>
      <c r="K375" s="41" t="s">
        <v>3557</v>
      </c>
      <c r="L375" s="41">
        <v>16</v>
      </c>
      <c r="M375" s="41"/>
      <c r="N375" s="41"/>
      <c r="O375" s="41" t="s">
        <v>355</v>
      </c>
      <c r="P375" s="41" t="s">
        <v>1778</v>
      </c>
      <c r="Q375" s="43">
        <f t="shared" si="52"/>
        <v>24</v>
      </c>
      <c r="R375" s="43">
        <f t="shared" si="53"/>
        <v>457.03300000000002</v>
      </c>
      <c r="S375" s="41" t="s">
        <v>1788</v>
      </c>
      <c r="T375" s="48" t="str">
        <f t="shared" si="56"/>
        <v>(26,'PS-26-LZ2','Poste de Sectionnement n°26 LZ2','Friday-01-jj','Friday-01-jj',NULL,1,),</v>
      </c>
    </row>
    <row r="376" spans="1:20" ht="20.100000000000001" customHeight="1" x14ac:dyDescent="0.25">
      <c r="A376" s="38">
        <v>27</v>
      </c>
      <c r="B376" s="38">
        <v>381</v>
      </c>
      <c r="C376" s="38" t="s">
        <v>607</v>
      </c>
      <c r="D376" s="38">
        <v>11</v>
      </c>
      <c r="E376" s="39" t="str">
        <f t="shared" si="59"/>
        <v>PS-27-LZ2</v>
      </c>
      <c r="F376" s="48" t="str">
        <f t="shared" si="60"/>
        <v>Poste de Sectionnement n°27 LZ2</v>
      </c>
      <c r="G376" s="19">
        <v>40179</v>
      </c>
      <c r="H376" s="19">
        <v>40179</v>
      </c>
      <c r="I376" s="41" t="s">
        <v>20</v>
      </c>
      <c r="J376" s="41">
        <v>1</v>
      </c>
      <c r="K376" s="41" t="s">
        <v>3557</v>
      </c>
      <c r="L376" s="41">
        <v>16</v>
      </c>
      <c r="M376" s="41"/>
      <c r="N376" s="41"/>
      <c r="O376" s="41" t="s">
        <v>355</v>
      </c>
      <c r="P376" s="41" t="s">
        <v>1779</v>
      </c>
      <c r="Q376" s="43">
        <f t="shared" si="52"/>
        <v>15</v>
      </c>
      <c r="R376" s="43">
        <f t="shared" si="53"/>
        <v>467.13200000000001</v>
      </c>
      <c r="S376" s="41" t="s">
        <v>1789</v>
      </c>
      <c r="T376" s="48" t="str">
        <f t="shared" si="56"/>
        <v>(27,'PS-27-LZ2','Poste de Sectionnement n°27 LZ2','Friday-01-jj','Friday-01-jj',NULL,1,),</v>
      </c>
    </row>
    <row r="377" spans="1:20" ht="20.100000000000001" customHeight="1" x14ac:dyDescent="0.25">
      <c r="A377" s="38">
        <v>28</v>
      </c>
      <c r="B377" s="38">
        <v>382</v>
      </c>
      <c r="C377" s="38" t="s">
        <v>607</v>
      </c>
      <c r="D377" s="38">
        <v>11</v>
      </c>
      <c r="E377" s="39" t="str">
        <f t="shared" si="59"/>
        <v>PS-28-LZ2</v>
      </c>
      <c r="F377" s="48" t="str">
        <f t="shared" si="60"/>
        <v>Poste de Sectionnement n°28 LZ2</v>
      </c>
      <c r="G377" s="19">
        <v>40179</v>
      </c>
      <c r="H377" s="19">
        <v>40179</v>
      </c>
      <c r="I377" s="41" t="s">
        <v>20</v>
      </c>
      <c r="J377" s="41">
        <v>1</v>
      </c>
      <c r="K377" s="41" t="s">
        <v>3557</v>
      </c>
      <c r="L377" s="41">
        <v>16</v>
      </c>
      <c r="M377" s="41"/>
      <c r="N377" s="41"/>
      <c r="O377" s="41" t="s">
        <v>355</v>
      </c>
      <c r="P377" s="41" t="s">
        <v>1780</v>
      </c>
      <c r="Q377" s="43">
        <f t="shared" si="52"/>
        <v>8</v>
      </c>
      <c r="R377" s="43">
        <f t="shared" si="53"/>
        <v>477.35199999999998</v>
      </c>
      <c r="S377" s="41" t="s">
        <v>1790</v>
      </c>
      <c r="T377" s="48" t="str">
        <f t="shared" si="56"/>
        <v>(28,'PS-28-LZ2','Poste de Sectionnement n°28 LZ2','Friday-01-jj','Friday-01-jj',NULL,1,),</v>
      </c>
    </row>
    <row r="378" spans="1:20" ht="20.100000000000001" customHeight="1" x14ac:dyDescent="0.25">
      <c r="A378" s="38">
        <v>29</v>
      </c>
      <c r="B378" s="38">
        <v>383</v>
      </c>
      <c r="C378" s="38" t="s">
        <v>607</v>
      </c>
      <c r="D378" s="38">
        <v>11</v>
      </c>
      <c r="E378" s="39" t="str">
        <f t="shared" si="59"/>
        <v>PS-29-LZ2</v>
      </c>
      <c r="F378" s="48" t="str">
        <f t="shared" si="60"/>
        <v>Poste de Sectionnement n°29 LZ2</v>
      </c>
      <c r="G378" s="19">
        <v>40179</v>
      </c>
      <c r="H378" s="19">
        <v>40179</v>
      </c>
      <c r="I378" s="41" t="s">
        <v>20</v>
      </c>
      <c r="J378" s="41">
        <v>1</v>
      </c>
      <c r="K378" s="41" t="s">
        <v>3557</v>
      </c>
      <c r="L378" s="41">
        <v>16</v>
      </c>
      <c r="M378" s="41"/>
      <c r="N378" s="41"/>
      <c r="O378" s="41" t="s">
        <v>355</v>
      </c>
      <c r="P378" s="41" t="s">
        <v>1781</v>
      </c>
      <c r="Q378" s="43">
        <f t="shared" si="52"/>
        <v>16</v>
      </c>
      <c r="R378" s="43">
        <f t="shared" si="53"/>
        <v>486.01299999999998</v>
      </c>
      <c r="S378" s="41" t="s">
        <v>1750</v>
      </c>
      <c r="T378" s="48" t="str">
        <f t="shared" si="56"/>
        <v>(29,'PS-29-LZ2','Poste de Sectionnement n°29 LZ2','Friday-01-jj','Friday-01-jj',NULL,1,),</v>
      </c>
    </row>
    <row r="379" spans="1:20" ht="20.100000000000001" customHeight="1" x14ac:dyDescent="0.25">
      <c r="A379" s="38">
        <v>1</v>
      </c>
      <c r="B379" s="38">
        <v>384</v>
      </c>
      <c r="C379" s="38" t="s">
        <v>3372</v>
      </c>
      <c r="D379" s="38">
        <v>12</v>
      </c>
      <c r="E379" s="39" t="str">
        <f t="shared" si="59"/>
        <v>PS-01-DLR1</v>
      </c>
      <c r="F379" s="48" t="str">
        <f t="shared" si="60"/>
        <v>Poste de Sectionnement n°01 DLR1</v>
      </c>
      <c r="G379" s="19">
        <v>38182</v>
      </c>
      <c r="H379" s="19">
        <v>38182</v>
      </c>
      <c r="I379" s="41" t="s">
        <v>20</v>
      </c>
      <c r="J379" s="41">
        <v>1</v>
      </c>
      <c r="K379" s="41" t="s">
        <v>3557</v>
      </c>
      <c r="L379" s="41">
        <v>16</v>
      </c>
      <c r="M379" s="41"/>
      <c r="N379" s="41"/>
      <c r="O379" s="41" t="s">
        <v>361</v>
      </c>
      <c r="P379" s="41" t="s">
        <v>1831</v>
      </c>
      <c r="Q379" s="43">
        <f t="shared" si="52"/>
        <v>558</v>
      </c>
      <c r="R379" s="43">
        <f t="shared" si="53"/>
        <v>18</v>
      </c>
      <c r="S379" s="41" t="s">
        <v>980</v>
      </c>
      <c r="T379" s="48" t="str">
        <f t="shared" si="56"/>
        <v>(1,'PS-01-DLR1','Poste de Sectionnement n°01 DLR1','Wednesday-07-jj','Wednesday-07-jj',NULL,1,),</v>
      </c>
    </row>
    <row r="380" spans="1:20" ht="20.100000000000001" customHeight="1" x14ac:dyDescent="0.25">
      <c r="A380" s="38">
        <v>2</v>
      </c>
      <c r="B380" s="38">
        <v>385</v>
      </c>
      <c r="C380" s="38" t="s">
        <v>3372</v>
      </c>
      <c r="D380" s="38">
        <v>12</v>
      </c>
      <c r="E380" s="39" t="str">
        <f t="shared" si="59"/>
        <v>PS-02-DLR1</v>
      </c>
      <c r="F380" s="48" t="str">
        <f t="shared" si="60"/>
        <v>Poste de Sectionnement n°02 DLR1</v>
      </c>
      <c r="G380" s="19">
        <v>38182</v>
      </c>
      <c r="H380" s="19">
        <v>38182</v>
      </c>
      <c r="I380" s="41" t="s">
        <v>20</v>
      </c>
      <c r="J380" s="41">
        <v>1</v>
      </c>
      <c r="K380" s="41" t="s">
        <v>3557</v>
      </c>
      <c r="L380" s="41">
        <v>16</v>
      </c>
      <c r="M380" s="41"/>
      <c r="N380" s="41"/>
      <c r="O380" s="41" t="s">
        <v>361</v>
      </c>
      <c r="P380" s="41" t="s">
        <v>1832</v>
      </c>
      <c r="Q380" s="43">
        <f t="shared" si="52"/>
        <v>570</v>
      </c>
      <c r="R380" s="43">
        <f t="shared" si="53"/>
        <v>54</v>
      </c>
      <c r="S380" s="41" t="s">
        <v>980</v>
      </c>
      <c r="T380" s="48" t="str">
        <f t="shared" si="56"/>
        <v>(2,'PS-02-DLR1','Poste de Sectionnement n°02 DLR1','Wednesday-07-jj','Wednesday-07-jj',NULL,1,),</v>
      </c>
    </row>
    <row r="381" spans="1:20" ht="20.100000000000001" customHeight="1" x14ac:dyDescent="0.25">
      <c r="A381" s="38">
        <v>3</v>
      </c>
      <c r="B381" s="38">
        <v>386</v>
      </c>
      <c r="C381" s="38" t="s">
        <v>3372</v>
      </c>
      <c r="D381" s="38">
        <v>12</v>
      </c>
      <c r="E381" s="39" t="str">
        <f t="shared" si="59"/>
        <v>PS-03-DLR1</v>
      </c>
      <c r="F381" s="48" t="str">
        <f t="shared" si="60"/>
        <v>Poste de Sectionnement n°03 DLR1</v>
      </c>
      <c r="G381" s="19">
        <v>38182</v>
      </c>
      <c r="H381" s="19">
        <v>38182</v>
      </c>
      <c r="I381" s="41" t="s">
        <v>20</v>
      </c>
      <c r="J381" s="41">
        <v>1</v>
      </c>
      <c r="K381" s="41" t="s">
        <v>3557</v>
      </c>
      <c r="L381" s="41">
        <v>16</v>
      </c>
      <c r="M381" s="41"/>
      <c r="N381" s="41"/>
      <c r="O381" s="41" t="s">
        <v>361</v>
      </c>
      <c r="P381" s="41" t="s">
        <v>1833</v>
      </c>
      <c r="Q381" s="43">
        <f t="shared" si="52"/>
        <v>540</v>
      </c>
      <c r="R381" s="43">
        <f t="shared" si="53"/>
        <v>93</v>
      </c>
      <c r="S381" s="41" t="s">
        <v>1804</v>
      </c>
      <c r="T381" s="48" t="str">
        <f t="shared" si="56"/>
        <v>(3,'PS-03-DLR1','Poste de Sectionnement n°03 DLR1','Wednesday-07-jj','Wednesday-07-jj',NULL,1,),</v>
      </c>
    </row>
    <row r="382" spans="1:20" ht="20.100000000000001" customHeight="1" x14ac:dyDescent="0.25">
      <c r="A382" s="38">
        <v>1</v>
      </c>
      <c r="B382" s="38">
        <v>387</v>
      </c>
      <c r="C382" s="38" t="s">
        <v>3372</v>
      </c>
      <c r="D382" s="38">
        <v>12</v>
      </c>
      <c r="E382" s="39" t="str">
        <f>CONCATENATE("PC-",TEXT(A382,"00"),"-",O382)</f>
        <v>PC-01-DLR1</v>
      </c>
      <c r="F382" s="48" t="str">
        <f>CONCATENATE("Poste de Coupure n°",TEXT(A382,"00")," ",O382)</f>
        <v>Poste de Coupure n°01 DLR1</v>
      </c>
      <c r="G382" s="19">
        <v>38182</v>
      </c>
      <c r="H382" s="19">
        <v>38182</v>
      </c>
      <c r="I382" s="41" t="s">
        <v>20</v>
      </c>
      <c r="J382" s="41">
        <v>1</v>
      </c>
      <c r="K382" s="41" t="s">
        <v>3556</v>
      </c>
      <c r="L382" s="41">
        <v>15</v>
      </c>
      <c r="M382" s="41"/>
      <c r="N382" s="41"/>
      <c r="O382" s="41" t="s">
        <v>361</v>
      </c>
      <c r="P382" s="41" t="s">
        <v>3326</v>
      </c>
      <c r="Q382" s="49">
        <f t="shared" si="52"/>
        <v>469</v>
      </c>
      <c r="R382" s="43">
        <f t="shared" si="53"/>
        <v>133</v>
      </c>
      <c r="S382" s="41" t="s">
        <v>1804</v>
      </c>
      <c r="T382" s="48" t="str">
        <f t="shared" si="56"/>
        <v>(1,'PC-01-DLR1','Poste de Coupure n°01 DLR1','Wednesday-07-jj','Wednesday-07-jj',NULL,1,),</v>
      </c>
    </row>
    <row r="383" spans="1:20" ht="20.100000000000001" customHeight="1" x14ac:dyDescent="0.25">
      <c r="A383" s="38">
        <v>4</v>
      </c>
      <c r="B383" s="38">
        <v>388</v>
      </c>
      <c r="C383" s="38" t="s">
        <v>3372</v>
      </c>
      <c r="D383" s="38">
        <v>12</v>
      </c>
      <c r="E383" s="39" t="str">
        <f>CONCATENATE("PS-",TEXT(A383,"00"),"-",O383)</f>
        <v>PS-04-DLR1</v>
      </c>
      <c r="F383" s="48" t="str">
        <f>CONCATENATE("Poste de Sectionnement n°",TEXT(A383,"00")," ",O383)</f>
        <v>Poste de Sectionnement n°04 DLR1</v>
      </c>
      <c r="G383" s="19">
        <v>38264</v>
      </c>
      <c r="H383" s="19">
        <v>38264</v>
      </c>
      <c r="I383" s="41" t="s">
        <v>20</v>
      </c>
      <c r="J383" s="41">
        <v>1</v>
      </c>
      <c r="K383" s="41" t="s">
        <v>3557</v>
      </c>
      <c r="L383" s="41">
        <v>16</v>
      </c>
      <c r="M383" s="41"/>
      <c r="N383" s="41"/>
      <c r="O383" s="41" t="s">
        <v>361</v>
      </c>
      <c r="P383" s="41" t="s">
        <v>1834</v>
      </c>
      <c r="Q383" s="43">
        <f t="shared" si="52"/>
        <v>423</v>
      </c>
      <c r="R383" s="43">
        <f t="shared" si="53"/>
        <v>161</v>
      </c>
      <c r="S383" s="41" t="s">
        <v>1804</v>
      </c>
      <c r="T383" s="48" t="str">
        <f t="shared" si="56"/>
        <v>(4,'PS-04-DLR1','Poste de Sectionnement n°04 DLR1','Monday-10-jj','Monday-10-jj',NULL,1,),</v>
      </c>
    </row>
    <row r="384" spans="1:20" ht="20.100000000000001" customHeight="1" x14ac:dyDescent="0.25">
      <c r="A384" s="38">
        <v>5</v>
      </c>
      <c r="B384" s="38">
        <v>389</v>
      </c>
      <c r="C384" s="38" t="s">
        <v>3372</v>
      </c>
      <c r="D384" s="38">
        <v>12</v>
      </c>
      <c r="E384" s="39" t="str">
        <f>CONCATENATE("PS-",TEXT(A384,"00"),"-",O384)</f>
        <v>PS-05-DLR1</v>
      </c>
      <c r="F384" s="48" t="str">
        <f>CONCATENATE("Poste de Sectionnement n°",TEXT(A384,"00")," ",O384)</f>
        <v>Poste de Sectionnement n°05 DLR1</v>
      </c>
      <c r="G384" s="19">
        <v>38264</v>
      </c>
      <c r="H384" s="19">
        <v>38264</v>
      </c>
      <c r="I384" s="41" t="s">
        <v>20</v>
      </c>
      <c r="J384" s="41">
        <v>1</v>
      </c>
      <c r="K384" s="41" t="s">
        <v>3557</v>
      </c>
      <c r="L384" s="41">
        <v>16</v>
      </c>
      <c r="M384" s="41"/>
      <c r="N384" s="41"/>
      <c r="O384" s="41" t="s">
        <v>361</v>
      </c>
      <c r="P384" s="41" t="s">
        <v>1835</v>
      </c>
      <c r="Q384" s="43">
        <f t="shared" si="52"/>
        <v>348</v>
      </c>
      <c r="R384" s="43">
        <f t="shared" si="53"/>
        <v>196</v>
      </c>
      <c r="S384" s="41" t="s">
        <v>1804</v>
      </c>
      <c r="T384" s="48" t="str">
        <f t="shared" si="56"/>
        <v>(5,'PS-05-DLR1','Poste de Sectionnement n°05 DLR1','Monday-10-jj','Monday-10-jj',NULL,1,),</v>
      </c>
    </row>
    <row r="385" spans="1:20" ht="20.100000000000001" customHeight="1" x14ac:dyDescent="0.25">
      <c r="A385" s="38">
        <v>6</v>
      </c>
      <c r="B385" s="38">
        <v>390</v>
      </c>
      <c r="C385" s="38" t="s">
        <v>3372</v>
      </c>
      <c r="D385" s="38">
        <v>12</v>
      </c>
      <c r="E385" s="39" t="str">
        <f>CONCATENATE("PS-",TEXT(A385,"00"),"-",O385)</f>
        <v>PS-06-DLR1</v>
      </c>
      <c r="F385" s="48" t="str">
        <f>CONCATENATE("Poste de Sectionnement n°",TEXT(A385,"00")," ",O385)</f>
        <v>Poste de Sectionnement n°06 DLR1</v>
      </c>
      <c r="G385" s="19">
        <v>38264</v>
      </c>
      <c r="H385" s="19">
        <v>38264</v>
      </c>
      <c r="I385" s="41" t="s">
        <v>20</v>
      </c>
      <c r="J385" s="41">
        <v>1</v>
      </c>
      <c r="K385" s="41" t="s">
        <v>3557</v>
      </c>
      <c r="L385" s="41">
        <v>16</v>
      </c>
      <c r="M385" s="41"/>
      <c r="N385" s="41"/>
      <c r="O385" s="41" t="s">
        <v>361</v>
      </c>
      <c r="P385" s="41" t="s">
        <v>1836</v>
      </c>
      <c r="Q385" s="43">
        <f t="shared" si="52"/>
        <v>318</v>
      </c>
      <c r="R385" s="43">
        <f t="shared" si="53"/>
        <v>214</v>
      </c>
      <c r="S385" s="41" t="s">
        <v>1804</v>
      </c>
      <c r="T385" s="48" t="str">
        <f t="shared" si="56"/>
        <v>(6,'PS-06-DLR1','Poste de Sectionnement n°06 DLR1','Monday-10-jj','Monday-10-jj',NULL,1,),</v>
      </c>
    </row>
    <row r="386" spans="1:20" ht="20.100000000000001" customHeight="1" x14ac:dyDescent="0.25">
      <c r="A386" s="38">
        <v>7</v>
      </c>
      <c r="B386" s="38">
        <v>391</v>
      </c>
      <c r="C386" s="38" t="s">
        <v>3372</v>
      </c>
      <c r="D386" s="38">
        <v>12</v>
      </c>
      <c r="E386" s="39" t="str">
        <f>CONCATENATE("PS-",TEXT(A386,"00"),"-",O386)</f>
        <v>PS-07-DLR1</v>
      </c>
      <c r="F386" s="48" t="str">
        <f>CONCATENATE("Poste de Sectionnement n°",TEXT(A386,"00")," ",O386)</f>
        <v>Poste de Sectionnement n°07 DLR1</v>
      </c>
      <c r="G386" s="19">
        <v>38264</v>
      </c>
      <c r="H386" s="19">
        <v>38264</v>
      </c>
      <c r="I386" s="41" t="s">
        <v>20</v>
      </c>
      <c r="J386" s="41">
        <v>1</v>
      </c>
      <c r="K386" s="41" t="s">
        <v>3557</v>
      </c>
      <c r="L386" s="41">
        <v>16</v>
      </c>
      <c r="M386" s="41"/>
      <c r="N386" s="41"/>
      <c r="O386" s="41" t="s">
        <v>361</v>
      </c>
      <c r="P386" s="41" t="s">
        <v>1837</v>
      </c>
      <c r="Q386" s="43">
        <f t="shared" si="52"/>
        <v>300</v>
      </c>
      <c r="R386" s="43">
        <f t="shared" si="53"/>
        <v>255</v>
      </c>
      <c r="S386" s="41" t="s">
        <v>1804</v>
      </c>
      <c r="T386" s="48" t="str">
        <f t="shared" si="56"/>
        <v>(7,'PS-07-DLR1','Poste de Sectionnement n°07 DLR1','Monday-10-jj','Monday-10-jj',NULL,1,),</v>
      </c>
    </row>
    <row r="387" spans="1:20" ht="20.100000000000001" customHeight="1" x14ac:dyDescent="0.25">
      <c r="A387" s="38">
        <v>8</v>
      </c>
      <c r="B387" s="38">
        <v>392</v>
      </c>
      <c r="C387" s="38" t="s">
        <v>3372</v>
      </c>
      <c r="D387" s="38">
        <v>12</v>
      </c>
      <c r="E387" s="39" t="str">
        <f>CONCATENATE("PS-",TEXT(A387,"00"),"-",O387)</f>
        <v>PS-08-DLR1</v>
      </c>
      <c r="F387" s="48" t="str">
        <f>CONCATENATE("Poste de Sectionnement n°",TEXT(A387,"00")," ",O387)</f>
        <v>Poste de Sectionnement n°08 DLR1</v>
      </c>
      <c r="G387" s="19">
        <v>38264</v>
      </c>
      <c r="H387" s="19">
        <v>38264</v>
      </c>
      <c r="I387" s="41" t="s">
        <v>20</v>
      </c>
      <c r="J387" s="41">
        <v>1</v>
      </c>
      <c r="K387" s="41" t="s">
        <v>3557</v>
      </c>
      <c r="L387" s="41">
        <v>16</v>
      </c>
      <c r="M387" s="41"/>
      <c r="N387" s="41"/>
      <c r="O387" s="41" t="s">
        <v>361</v>
      </c>
      <c r="P387" s="41" t="s">
        <v>1838</v>
      </c>
      <c r="Q387" s="43">
        <f t="shared" si="52"/>
        <v>274</v>
      </c>
      <c r="R387" s="43">
        <f t="shared" si="53"/>
        <v>294</v>
      </c>
      <c r="S387" s="41" t="s">
        <v>1804</v>
      </c>
      <c r="T387" s="48" t="str">
        <f t="shared" si="56"/>
        <v>(8,'PS-08-DLR1','Poste de Sectionnement n°08 DLR1','Monday-10-jj','Monday-10-jj',NULL,1,),</v>
      </c>
    </row>
    <row r="388" spans="1:20" ht="20.100000000000001" customHeight="1" x14ac:dyDescent="0.25">
      <c r="A388" s="38">
        <v>2</v>
      </c>
      <c r="B388" s="38">
        <v>393</v>
      </c>
      <c r="C388" s="38" t="s">
        <v>3372</v>
      </c>
      <c r="D388" s="38">
        <v>12</v>
      </c>
      <c r="E388" s="39" t="str">
        <f>CONCATENATE("PC-",TEXT(A388,"00"),"-",O388)</f>
        <v>PC-02-DLR1</v>
      </c>
      <c r="F388" s="48" t="str">
        <f>CONCATENATE("Poste de Coupure n°",TEXT(A388,"00")," ",O388)</f>
        <v>Poste de Coupure n°02 DLR1</v>
      </c>
      <c r="G388" s="19">
        <v>38182</v>
      </c>
      <c r="H388" s="19">
        <v>38182</v>
      </c>
      <c r="I388" s="41" t="s">
        <v>20</v>
      </c>
      <c r="J388" s="41">
        <v>1</v>
      </c>
      <c r="K388" s="41" t="s">
        <v>3556</v>
      </c>
      <c r="L388" s="41">
        <v>15</v>
      </c>
      <c r="M388" s="41"/>
      <c r="N388" s="41"/>
      <c r="O388" s="41" t="s">
        <v>361</v>
      </c>
      <c r="P388" s="41" t="s">
        <v>3327</v>
      </c>
      <c r="Q388" s="49">
        <f t="shared" si="52"/>
        <v>252</v>
      </c>
      <c r="R388" s="43">
        <f t="shared" si="53"/>
        <v>329</v>
      </c>
      <c r="S388" s="41" t="s">
        <v>1804</v>
      </c>
      <c r="T388" s="48" t="str">
        <f t="shared" si="56"/>
        <v>(2,'PC-02-DLR1','Poste de Coupure n°02 DLR1','Wednesday-07-jj','Wednesday-07-jj',NULL,1,),</v>
      </c>
    </row>
    <row r="389" spans="1:20" ht="20.100000000000001" customHeight="1" x14ac:dyDescent="0.25">
      <c r="A389" s="38">
        <v>9</v>
      </c>
      <c r="B389" s="38">
        <v>394</v>
      </c>
      <c r="C389" s="38" t="s">
        <v>3372</v>
      </c>
      <c r="D389" s="38">
        <v>12</v>
      </c>
      <c r="E389" s="39" t="str">
        <f>CONCATENATE("PS-",TEXT(A389,"00"),"-",O389)</f>
        <v>PS-09-DLR1</v>
      </c>
      <c r="F389" s="48" t="str">
        <f>CONCATENATE("Poste de Sectionnement n°",TEXT(A389,"00")," ",O389)</f>
        <v>Poste de Sectionnement n°09 DLR1</v>
      </c>
      <c r="G389" s="19">
        <v>38264</v>
      </c>
      <c r="H389" s="19">
        <v>38264</v>
      </c>
      <c r="I389" s="41" t="s">
        <v>20</v>
      </c>
      <c r="J389" s="41">
        <v>1</v>
      </c>
      <c r="K389" s="41" t="s">
        <v>3557</v>
      </c>
      <c r="L389" s="41">
        <v>16</v>
      </c>
      <c r="M389" s="41"/>
      <c r="N389" s="41"/>
      <c r="O389" s="41" t="s">
        <v>361</v>
      </c>
      <c r="P389" s="41" t="s">
        <v>1839</v>
      </c>
      <c r="Q389" s="43">
        <f t="shared" si="52"/>
        <v>240</v>
      </c>
      <c r="R389" s="43">
        <f t="shared" si="53"/>
        <v>346</v>
      </c>
      <c r="S389" s="41" t="s">
        <v>1804</v>
      </c>
      <c r="T389" s="48" t="str">
        <f t="shared" si="56"/>
        <v>(9,'PS-09-DLR1','Poste de Sectionnement n°09 DLR1','Monday-10-jj','Monday-10-jj',NULL,1,),</v>
      </c>
    </row>
    <row r="390" spans="1:20" ht="20.100000000000001" customHeight="1" x14ac:dyDescent="0.25">
      <c r="A390" s="38">
        <v>10</v>
      </c>
      <c r="B390" s="38">
        <v>395</v>
      </c>
      <c r="C390" s="38" t="s">
        <v>3372</v>
      </c>
      <c r="D390" s="38">
        <v>12</v>
      </c>
      <c r="E390" s="39" t="str">
        <f>CONCATENATE("PS-",TEXT(A390,"00"),"-",O390)</f>
        <v>PS-10-DLR1</v>
      </c>
      <c r="F390" s="48" t="str">
        <f>CONCATENATE("Poste de Sectionnement n°",TEXT(A390,"00")," ",O390)</f>
        <v>Poste de Sectionnement n°10 DLR1</v>
      </c>
      <c r="G390" s="19">
        <v>38264</v>
      </c>
      <c r="H390" s="19">
        <v>38264</v>
      </c>
      <c r="I390" s="41" t="s">
        <v>20</v>
      </c>
      <c r="J390" s="41">
        <v>1</v>
      </c>
      <c r="K390" s="41" t="s">
        <v>3557</v>
      </c>
      <c r="L390" s="41">
        <v>16</v>
      </c>
      <c r="M390" s="41"/>
      <c r="N390" s="41"/>
      <c r="O390" s="41" t="s">
        <v>361</v>
      </c>
      <c r="P390" s="41" t="s">
        <v>1840</v>
      </c>
      <c r="Q390" s="43">
        <f t="shared" si="52"/>
        <v>220</v>
      </c>
      <c r="R390" s="43">
        <f t="shared" si="53"/>
        <v>382</v>
      </c>
      <c r="S390" s="41" t="s">
        <v>1804</v>
      </c>
      <c r="T390" s="48" t="str">
        <f t="shared" si="56"/>
        <v>(10,'PS-10-DLR1','Poste de Sectionnement n°10 DLR1','Monday-10-jj','Monday-10-jj',NULL,1,),</v>
      </c>
    </row>
    <row r="391" spans="1:20" ht="20.100000000000001" customHeight="1" x14ac:dyDescent="0.25">
      <c r="A391" s="38">
        <v>1</v>
      </c>
      <c r="B391" s="38">
        <v>396</v>
      </c>
      <c r="C391" s="38" t="s">
        <v>3372</v>
      </c>
      <c r="D391" s="38">
        <v>12</v>
      </c>
      <c r="E391" s="39" t="str">
        <f>CONCATENATE("PS-",TEXT(A391,"00"),"-",O391)</f>
        <v>PS-01-ELR1</v>
      </c>
      <c r="F391" s="48" t="str">
        <f>CONCATENATE("Poste de Sectionnement n°",TEXT(A391,"00")," ",O391)</f>
        <v>Poste de Sectionnement n°01 ELR1</v>
      </c>
      <c r="G391" s="19">
        <v>41640</v>
      </c>
      <c r="H391" s="19">
        <v>41640</v>
      </c>
      <c r="I391" s="41" t="s">
        <v>20</v>
      </c>
      <c r="J391" s="41">
        <v>1</v>
      </c>
      <c r="K391" s="41" t="s">
        <v>3557</v>
      </c>
      <c r="L391" s="41">
        <v>16</v>
      </c>
      <c r="M391" s="41"/>
      <c r="N391" s="41"/>
      <c r="O391" s="41" t="s">
        <v>364</v>
      </c>
      <c r="P391" s="41" t="s">
        <v>1841</v>
      </c>
      <c r="Q391" s="43">
        <f t="shared" si="52"/>
        <v>163</v>
      </c>
      <c r="R391" s="43">
        <f t="shared" si="53"/>
        <v>19</v>
      </c>
      <c r="S391" s="41" t="s">
        <v>998</v>
      </c>
      <c r="T391" s="48" t="str">
        <f t="shared" si="56"/>
        <v>(1,'PS-01-ELR1','Poste de Sectionnement n°01 ELR1','Wednesday-01-jj','Wednesday-01-jj',NULL,1,),</v>
      </c>
    </row>
    <row r="392" spans="1:20" ht="20.100000000000001" customHeight="1" x14ac:dyDescent="0.25">
      <c r="A392" s="38">
        <v>1</v>
      </c>
      <c r="B392" s="38">
        <v>397</v>
      </c>
      <c r="C392" s="38" t="s">
        <v>3372</v>
      </c>
      <c r="D392" s="38">
        <v>12</v>
      </c>
      <c r="E392" s="39" t="str">
        <f>CONCATENATE("PC-",TEXT(A392,"00"),"-",O392)</f>
        <v>PC-01-ELR1</v>
      </c>
      <c r="F392" s="48" t="str">
        <f>CONCATENATE("Poste de Coupure n°",TEXT(A392,"00")," ",O392)</f>
        <v>Poste de Coupure n°01 ELR1</v>
      </c>
      <c r="G392" s="19">
        <v>41640</v>
      </c>
      <c r="H392" s="19">
        <v>41640</v>
      </c>
      <c r="I392" s="41" t="s">
        <v>20</v>
      </c>
      <c r="J392" s="41">
        <v>1</v>
      </c>
      <c r="K392" s="41" t="s">
        <v>3556</v>
      </c>
      <c r="L392" s="41">
        <v>15</v>
      </c>
      <c r="M392" s="41"/>
      <c r="N392" s="41"/>
      <c r="O392" s="41" t="s">
        <v>364</v>
      </c>
      <c r="P392" s="41" t="s">
        <v>1195</v>
      </c>
      <c r="Q392" s="49">
        <f t="shared" ref="Q392:Q455" si="61">VALUE(RIGHT(P392,LEN(P392)-SEARCH("/",P392)))</f>
        <v>151</v>
      </c>
      <c r="R392" s="43">
        <f t="shared" ref="R392:R455" si="62">VALUE(SUBSTITUTE(LEFT(P392,SEARCH("/",P392)-1),"+",","))</f>
        <v>33</v>
      </c>
      <c r="S392" s="41" t="s">
        <v>998</v>
      </c>
      <c r="T392" s="48" t="str">
        <f t="shared" si="56"/>
        <v>(1,'PC-01-ELR1','Poste de Coupure n°01 ELR1','Wednesday-01-jj','Wednesday-01-jj',NULL,1,),</v>
      </c>
    </row>
    <row r="393" spans="1:20" ht="20.100000000000001" customHeight="1" x14ac:dyDescent="0.25">
      <c r="A393" s="38">
        <v>2</v>
      </c>
      <c r="B393" s="38">
        <v>398</v>
      </c>
      <c r="C393" s="38" t="s">
        <v>3372</v>
      </c>
      <c r="D393" s="38">
        <v>12</v>
      </c>
      <c r="E393" s="39" t="str">
        <f t="shared" ref="E393:E398" si="63">CONCATENATE("PS-",TEXT(A393,"00"),"-",O393)</f>
        <v>PS-02-ELR1</v>
      </c>
      <c r="F393" s="48" t="str">
        <f t="shared" ref="F393:F398" si="64">CONCATENATE("Poste de Sectionnement n°",TEXT(A393,"00")," ",O393)</f>
        <v>Poste de Sectionnement n°02 ELR1</v>
      </c>
      <c r="G393" s="19">
        <v>41640</v>
      </c>
      <c r="H393" s="19">
        <v>41640</v>
      </c>
      <c r="I393" s="41" t="s">
        <v>20</v>
      </c>
      <c r="J393" s="41">
        <v>1</v>
      </c>
      <c r="K393" s="41" t="s">
        <v>3557</v>
      </c>
      <c r="L393" s="41">
        <v>16</v>
      </c>
      <c r="M393" s="41"/>
      <c r="N393" s="41"/>
      <c r="O393" s="41" t="s">
        <v>364</v>
      </c>
      <c r="P393" s="41" t="s">
        <v>1842</v>
      </c>
      <c r="Q393" s="43">
        <f t="shared" si="61"/>
        <v>177</v>
      </c>
      <c r="R393" s="43">
        <f t="shared" si="62"/>
        <v>41</v>
      </c>
      <c r="S393" s="41" t="s">
        <v>1856</v>
      </c>
      <c r="T393" s="48" t="str">
        <f t="shared" si="56"/>
        <v>(2,'PS-02-ELR1','Poste de Sectionnement n°02 ELR1','Wednesday-01-jj','Wednesday-01-jj',NULL,1,),</v>
      </c>
    </row>
    <row r="394" spans="1:20" ht="20.100000000000001" customHeight="1" x14ac:dyDescent="0.25">
      <c r="A394" s="38">
        <v>3</v>
      </c>
      <c r="B394" s="38">
        <v>399</v>
      </c>
      <c r="C394" s="38" t="s">
        <v>3372</v>
      </c>
      <c r="D394" s="38">
        <v>12</v>
      </c>
      <c r="E394" s="39" t="str">
        <f t="shared" si="63"/>
        <v>PS-03-ELR1</v>
      </c>
      <c r="F394" s="48" t="str">
        <f t="shared" si="64"/>
        <v>Poste de Sectionnement n°03 ELR1</v>
      </c>
      <c r="G394" s="19">
        <v>41640</v>
      </c>
      <c r="H394" s="19">
        <v>41640</v>
      </c>
      <c r="I394" s="41" t="s">
        <v>20</v>
      </c>
      <c r="J394" s="41">
        <v>1</v>
      </c>
      <c r="K394" s="41" t="s">
        <v>3557</v>
      </c>
      <c r="L394" s="41">
        <v>16</v>
      </c>
      <c r="M394" s="41"/>
      <c r="N394" s="41"/>
      <c r="O394" s="41" t="s">
        <v>364</v>
      </c>
      <c r="P394" s="41" t="s">
        <v>1843</v>
      </c>
      <c r="Q394" s="43">
        <f t="shared" si="61"/>
        <v>147</v>
      </c>
      <c r="R394" s="43">
        <f t="shared" si="62"/>
        <v>63</v>
      </c>
      <c r="S394" s="41" t="s">
        <v>1856</v>
      </c>
      <c r="T394" s="48" t="str">
        <f t="shared" si="56"/>
        <v>(3,'PS-03-ELR1','Poste de Sectionnement n°03 ELR1','Wednesday-01-jj','Wednesday-01-jj',NULL,1,),</v>
      </c>
    </row>
    <row r="395" spans="1:20" ht="20.100000000000001" customHeight="1" x14ac:dyDescent="0.25">
      <c r="A395" s="38">
        <v>4</v>
      </c>
      <c r="B395" s="38">
        <v>400</v>
      </c>
      <c r="C395" s="38" t="s">
        <v>3372</v>
      </c>
      <c r="D395" s="38">
        <v>12</v>
      </c>
      <c r="E395" s="39" t="str">
        <f t="shared" si="63"/>
        <v>PS-04-ELR1</v>
      </c>
      <c r="F395" s="48" t="str">
        <f t="shared" si="64"/>
        <v>Poste de Sectionnement n°04 ELR1</v>
      </c>
      <c r="G395" s="19">
        <v>41640</v>
      </c>
      <c r="H395" s="19">
        <v>41640</v>
      </c>
      <c r="I395" s="41" t="s">
        <v>20</v>
      </c>
      <c r="J395" s="41">
        <v>1</v>
      </c>
      <c r="K395" s="41" t="s">
        <v>3557</v>
      </c>
      <c r="L395" s="41">
        <v>16</v>
      </c>
      <c r="M395" s="41"/>
      <c r="N395" s="41"/>
      <c r="O395" s="41" t="s">
        <v>364</v>
      </c>
      <c r="P395" s="41" t="s">
        <v>1844</v>
      </c>
      <c r="Q395" s="43">
        <f t="shared" si="61"/>
        <v>140</v>
      </c>
      <c r="R395" s="43">
        <f t="shared" si="62"/>
        <v>84.016999999999996</v>
      </c>
      <c r="S395" s="41" t="s">
        <v>742</v>
      </c>
      <c r="T395" s="48" t="str">
        <f t="shared" si="56"/>
        <v>(4,'PS-04-ELR1','Poste de Sectionnement n°04 ELR1','Wednesday-01-jj','Wednesday-01-jj',NULL,1,),</v>
      </c>
    </row>
    <row r="396" spans="1:20" ht="20.100000000000001" customHeight="1" x14ac:dyDescent="0.25">
      <c r="A396" s="38">
        <v>5</v>
      </c>
      <c r="B396" s="38">
        <v>401</v>
      </c>
      <c r="C396" s="38" t="s">
        <v>3372</v>
      </c>
      <c r="D396" s="38">
        <v>12</v>
      </c>
      <c r="E396" s="39" t="str">
        <f t="shared" si="63"/>
        <v>PS-05-ELR1</v>
      </c>
      <c r="F396" s="48" t="str">
        <f t="shared" si="64"/>
        <v>Poste de Sectionnement n°05 ELR1</v>
      </c>
      <c r="G396" s="19">
        <v>41640</v>
      </c>
      <c r="H396" s="19">
        <v>41640</v>
      </c>
      <c r="I396" s="41" t="s">
        <v>20</v>
      </c>
      <c r="J396" s="41">
        <v>1</v>
      </c>
      <c r="K396" s="41" t="s">
        <v>3557</v>
      </c>
      <c r="L396" s="41">
        <v>16</v>
      </c>
      <c r="M396" s="41"/>
      <c r="N396" s="41"/>
      <c r="O396" s="41" t="s">
        <v>364</v>
      </c>
      <c r="P396" s="41" t="s">
        <v>1845</v>
      </c>
      <c r="Q396" s="43">
        <f t="shared" si="61"/>
        <v>220</v>
      </c>
      <c r="R396" s="43">
        <f t="shared" si="62"/>
        <v>101.80200000000001</v>
      </c>
      <c r="S396" s="41" t="s">
        <v>744</v>
      </c>
      <c r="T396" s="48" t="str">
        <f t="shared" si="56"/>
        <v>(5,'PS-05-ELR1','Poste de Sectionnement n°05 ELR1','Wednesday-01-jj','Wednesday-01-jj',NULL,1,),</v>
      </c>
    </row>
    <row r="397" spans="1:20" ht="20.100000000000001" customHeight="1" x14ac:dyDescent="0.25">
      <c r="A397" s="38">
        <v>6</v>
      </c>
      <c r="B397" s="38">
        <v>402</v>
      </c>
      <c r="C397" s="38" t="s">
        <v>3372</v>
      </c>
      <c r="D397" s="38">
        <v>12</v>
      </c>
      <c r="E397" s="39" t="str">
        <f t="shared" si="63"/>
        <v>PS-06-ELR1</v>
      </c>
      <c r="F397" s="48" t="str">
        <f t="shared" si="64"/>
        <v>Poste de Sectionnement n°06 ELR1</v>
      </c>
      <c r="G397" s="19">
        <v>41640</v>
      </c>
      <c r="H397" s="19">
        <v>41640</v>
      </c>
      <c r="I397" s="41" t="s">
        <v>20</v>
      </c>
      <c r="J397" s="41">
        <v>1</v>
      </c>
      <c r="K397" s="41" t="s">
        <v>3557</v>
      </c>
      <c r="L397" s="41">
        <v>16</v>
      </c>
      <c r="M397" s="41"/>
      <c r="N397" s="41"/>
      <c r="O397" s="41" t="s">
        <v>364</v>
      </c>
      <c r="P397" s="41" t="s">
        <v>1846</v>
      </c>
      <c r="Q397" s="43">
        <f t="shared" si="61"/>
        <v>230</v>
      </c>
      <c r="R397" s="43">
        <f t="shared" si="62"/>
        <v>121.5</v>
      </c>
      <c r="S397" s="41" t="s">
        <v>744</v>
      </c>
      <c r="T397" s="48" t="str">
        <f t="shared" si="56"/>
        <v>(6,'PS-06-ELR1','Poste de Sectionnement n°06 ELR1','Wednesday-01-jj','Wednesday-01-jj',NULL,1,),</v>
      </c>
    </row>
    <row r="398" spans="1:20" ht="20.100000000000001" customHeight="1" x14ac:dyDescent="0.25">
      <c r="A398" s="38">
        <v>7</v>
      </c>
      <c r="B398" s="38">
        <v>403</v>
      </c>
      <c r="C398" s="38" t="s">
        <v>3372</v>
      </c>
      <c r="D398" s="38">
        <v>12</v>
      </c>
      <c r="E398" s="39" t="str">
        <f t="shared" si="63"/>
        <v>PS-07-ELR1</v>
      </c>
      <c r="F398" s="48" t="str">
        <f t="shared" si="64"/>
        <v>Poste de Sectionnement n°07 ELR1</v>
      </c>
      <c r="G398" s="19">
        <v>41640</v>
      </c>
      <c r="H398" s="19">
        <v>41640</v>
      </c>
      <c r="I398" s="41" t="s">
        <v>20</v>
      </c>
      <c r="J398" s="41">
        <v>1</v>
      </c>
      <c r="K398" s="41" t="s">
        <v>3557</v>
      </c>
      <c r="L398" s="41">
        <v>16</v>
      </c>
      <c r="M398" s="41"/>
      <c r="N398" s="41"/>
      <c r="O398" s="41" t="s">
        <v>364</v>
      </c>
      <c r="P398" s="41" t="s">
        <v>1847</v>
      </c>
      <c r="Q398" s="43">
        <f t="shared" si="61"/>
        <v>250</v>
      </c>
      <c r="R398" s="43">
        <f t="shared" si="62"/>
        <v>142</v>
      </c>
      <c r="S398" s="41" t="s">
        <v>744</v>
      </c>
      <c r="T398" s="48" t="str">
        <f t="shared" si="56"/>
        <v>(7,'PS-07-ELR1','Poste de Sectionnement n°07 ELR1','Wednesday-01-jj','Wednesday-01-jj',NULL,1,),</v>
      </c>
    </row>
    <row r="399" spans="1:20" ht="20.100000000000001" customHeight="1" x14ac:dyDescent="0.25">
      <c r="A399" s="38">
        <v>2</v>
      </c>
      <c r="B399" s="38">
        <v>404</v>
      </c>
      <c r="C399" s="38" t="s">
        <v>3372</v>
      </c>
      <c r="D399" s="38">
        <v>12</v>
      </c>
      <c r="E399" s="39" t="str">
        <f>CONCATENATE("PC-",TEXT(A399,"00"),"-",O399)</f>
        <v>PC-02-ELR1</v>
      </c>
      <c r="F399" s="48" t="str">
        <f>CONCATENATE("Poste de Coupure n°",TEXT(A399,"00")," ",O399)</f>
        <v>Poste de Coupure n°02 ELR1</v>
      </c>
      <c r="G399" s="19">
        <v>41640</v>
      </c>
      <c r="H399" s="19">
        <v>41640</v>
      </c>
      <c r="I399" s="41" t="s">
        <v>20</v>
      </c>
      <c r="J399" s="41">
        <v>1</v>
      </c>
      <c r="K399" s="41" t="s">
        <v>3556</v>
      </c>
      <c r="L399" s="41">
        <v>15</v>
      </c>
      <c r="M399" s="41"/>
      <c r="N399" s="41"/>
      <c r="O399" s="41" t="s">
        <v>364</v>
      </c>
      <c r="P399" s="41" t="s">
        <v>3328</v>
      </c>
      <c r="Q399" s="49">
        <f t="shared" si="61"/>
        <v>260</v>
      </c>
      <c r="R399" s="43">
        <f t="shared" si="62"/>
        <v>153.11799999999999</v>
      </c>
      <c r="S399" s="41" t="s">
        <v>744</v>
      </c>
      <c r="T399" s="48" t="str">
        <f t="shared" si="56"/>
        <v>(2,'PC-02-ELR1','Poste de Coupure n°02 ELR1','Wednesday-01-jj','Wednesday-01-jj',NULL,1,),</v>
      </c>
    </row>
    <row r="400" spans="1:20" ht="20.100000000000001" customHeight="1" x14ac:dyDescent="0.25">
      <c r="A400" s="38">
        <v>8</v>
      </c>
      <c r="B400" s="38">
        <v>405</v>
      </c>
      <c r="C400" s="38" t="s">
        <v>3372</v>
      </c>
      <c r="D400" s="38">
        <v>12</v>
      </c>
      <c r="E400" s="39" t="str">
        <f>CONCATENATE("PS-",TEXT(A400,"00"),"-",O400)</f>
        <v>PS-08-ELR1</v>
      </c>
      <c r="F400" s="48" t="str">
        <f>CONCATENATE("Poste de Sectionnement n°",TEXT(A400,"00")," ",O400)</f>
        <v>Poste de Sectionnement n°08 ELR1</v>
      </c>
      <c r="G400" s="19">
        <v>41640</v>
      </c>
      <c r="H400" s="19">
        <v>41640</v>
      </c>
      <c r="I400" s="41" t="s">
        <v>20</v>
      </c>
      <c r="J400" s="41">
        <v>1</v>
      </c>
      <c r="K400" s="41" t="s">
        <v>3557</v>
      </c>
      <c r="L400" s="41">
        <v>16</v>
      </c>
      <c r="M400" s="41"/>
      <c r="N400" s="41"/>
      <c r="O400" s="41" t="s">
        <v>364</v>
      </c>
      <c r="P400" s="41" t="s">
        <v>1848</v>
      </c>
      <c r="Q400" s="43">
        <f t="shared" si="61"/>
        <v>310</v>
      </c>
      <c r="R400" s="43">
        <f t="shared" si="62"/>
        <v>171</v>
      </c>
      <c r="S400" s="41" t="s">
        <v>744</v>
      </c>
      <c r="T400" s="48" t="str">
        <f t="shared" si="56"/>
        <v>(8,'PS-08-ELR1','Poste de Sectionnement n°08 ELR1','Wednesday-01-jj','Wednesday-01-jj',NULL,1,),</v>
      </c>
    </row>
    <row r="401" spans="1:20" ht="20.100000000000001" customHeight="1" x14ac:dyDescent="0.25">
      <c r="A401" s="38">
        <v>9</v>
      </c>
      <c r="B401" s="38">
        <v>406</v>
      </c>
      <c r="C401" s="38" t="s">
        <v>3372</v>
      </c>
      <c r="D401" s="38">
        <v>12</v>
      </c>
      <c r="E401" s="39" t="str">
        <f>CONCATENATE("PS-",TEXT(A401,"00"),"-",O401)</f>
        <v>PS-09-ELR1</v>
      </c>
      <c r="F401" s="48" t="str">
        <f>CONCATENATE("Poste de Sectionnement n°",TEXT(A401,"00")," ",O401)</f>
        <v>Poste de Sectionnement n°09 ELR1</v>
      </c>
      <c r="G401" s="19">
        <v>41640</v>
      </c>
      <c r="H401" s="19">
        <v>41640</v>
      </c>
      <c r="I401" s="41" t="s">
        <v>20</v>
      </c>
      <c r="J401" s="41">
        <v>1</v>
      </c>
      <c r="K401" s="41" t="s">
        <v>3557</v>
      </c>
      <c r="L401" s="41">
        <v>16</v>
      </c>
      <c r="M401" s="41"/>
      <c r="N401" s="41"/>
      <c r="O401" s="41" t="s">
        <v>364</v>
      </c>
      <c r="P401" s="41" t="s">
        <v>1849</v>
      </c>
      <c r="Q401" s="43">
        <f t="shared" si="61"/>
        <v>380</v>
      </c>
      <c r="R401" s="43">
        <f t="shared" si="62"/>
        <v>191.27799999999999</v>
      </c>
      <c r="S401" s="41" t="s">
        <v>745</v>
      </c>
      <c r="T401" s="48" t="str">
        <f t="shared" si="56"/>
        <v>(9,'PS-09-ELR1','Poste de Sectionnement n°09 ELR1','Wednesday-01-jj','Wednesday-01-jj',NULL,1,),</v>
      </c>
    </row>
    <row r="402" spans="1:20" ht="20.100000000000001" customHeight="1" x14ac:dyDescent="0.25">
      <c r="A402" s="38">
        <v>10</v>
      </c>
      <c r="B402" s="38">
        <v>407</v>
      </c>
      <c r="C402" s="38" t="s">
        <v>3372</v>
      </c>
      <c r="D402" s="38">
        <v>12</v>
      </c>
      <c r="E402" s="39" t="str">
        <f>CONCATENATE("PS-",TEXT(A402,"00"),"-",O402)</f>
        <v>PS-10-ELR1</v>
      </c>
      <c r="F402" s="48" t="str">
        <f>CONCATENATE("Poste de Sectionnement n°",TEXT(A402,"00")," ",O402)</f>
        <v>Poste de Sectionnement n°10 ELR1</v>
      </c>
      <c r="G402" s="19">
        <v>41640</v>
      </c>
      <c r="H402" s="19">
        <v>41640</v>
      </c>
      <c r="I402" s="41" t="s">
        <v>20</v>
      </c>
      <c r="J402" s="41">
        <v>1</v>
      </c>
      <c r="K402" s="41" t="s">
        <v>3557</v>
      </c>
      <c r="L402" s="41">
        <v>16</v>
      </c>
      <c r="M402" s="41"/>
      <c r="N402" s="41"/>
      <c r="O402" s="41" t="s">
        <v>364</v>
      </c>
      <c r="P402" s="41" t="s">
        <v>1850</v>
      </c>
      <c r="Q402" s="43">
        <f t="shared" si="61"/>
        <v>440</v>
      </c>
      <c r="R402" s="43">
        <f t="shared" si="62"/>
        <v>212</v>
      </c>
      <c r="S402" s="41" t="s">
        <v>745</v>
      </c>
      <c r="T402" s="48" t="str">
        <f t="shared" si="56"/>
        <v>(10,'PS-10-ELR1','Poste de Sectionnement n°10 ELR1','Wednesday-01-jj','Wednesday-01-jj',NULL,1,),</v>
      </c>
    </row>
    <row r="403" spans="1:20" ht="20.100000000000001" customHeight="1" x14ac:dyDescent="0.25">
      <c r="A403" s="38">
        <v>11</v>
      </c>
      <c r="B403" s="38">
        <v>408</v>
      </c>
      <c r="C403" s="38" t="s">
        <v>3372</v>
      </c>
      <c r="D403" s="38">
        <v>12</v>
      </c>
      <c r="E403" s="39" t="str">
        <f>CONCATENATE("PS-",TEXT(A403,"00"),"-",O403)</f>
        <v>PS-11-ELR1</v>
      </c>
      <c r="F403" s="48" t="str">
        <f>CONCATENATE("Poste de Sectionnement n°",TEXT(A403,"00")," ",O403)</f>
        <v>Poste de Sectionnement n°11 ELR1</v>
      </c>
      <c r="G403" s="19">
        <v>41640</v>
      </c>
      <c r="H403" s="19">
        <v>41640</v>
      </c>
      <c r="I403" s="41" t="s">
        <v>20</v>
      </c>
      <c r="J403" s="41">
        <v>1</v>
      </c>
      <c r="K403" s="41" t="s">
        <v>3557</v>
      </c>
      <c r="L403" s="41">
        <v>16</v>
      </c>
      <c r="M403" s="41"/>
      <c r="N403" s="41"/>
      <c r="O403" s="41" t="s">
        <v>364</v>
      </c>
      <c r="P403" s="41" t="s">
        <v>1851</v>
      </c>
      <c r="Q403" s="43">
        <f t="shared" si="61"/>
        <v>470</v>
      </c>
      <c r="R403" s="43">
        <f t="shared" si="62"/>
        <v>233.24</v>
      </c>
      <c r="S403" s="41" t="s">
        <v>1857</v>
      </c>
      <c r="T403" s="48" t="str">
        <f t="shared" si="56"/>
        <v>(11,'PS-11-ELR1','Poste de Sectionnement n°11 ELR1','Wednesday-01-jj','Wednesday-01-jj',NULL,1,),</v>
      </c>
    </row>
    <row r="404" spans="1:20" ht="20.100000000000001" customHeight="1" x14ac:dyDescent="0.25">
      <c r="A404" s="38">
        <v>3</v>
      </c>
      <c r="B404" s="38">
        <v>409</v>
      </c>
      <c r="C404" s="38" t="s">
        <v>3372</v>
      </c>
      <c r="D404" s="38">
        <v>12</v>
      </c>
      <c r="E404" s="39" t="str">
        <f>CONCATENATE("PC-",TEXT(A404,"00"),"-",O404)</f>
        <v>PC-03-ELR1</v>
      </c>
      <c r="F404" s="48" t="str">
        <f>CONCATENATE("Poste de Coupure n°",TEXT(A404,"00")," ",O404)</f>
        <v>Poste de Coupure n°03 ELR1</v>
      </c>
      <c r="G404" s="19">
        <v>41640</v>
      </c>
      <c r="H404" s="19">
        <v>41640</v>
      </c>
      <c r="I404" s="41" t="s">
        <v>20</v>
      </c>
      <c r="J404" s="41">
        <v>1</v>
      </c>
      <c r="K404" s="41" t="s">
        <v>3556</v>
      </c>
      <c r="L404" s="41">
        <v>15</v>
      </c>
      <c r="M404" s="41"/>
      <c r="N404" s="41"/>
      <c r="O404" s="41" t="s">
        <v>364</v>
      </c>
      <c r="P404" s="41" t="s">
        <v>3329</v>
      </c>
      <c r="Q404" s="49">
        <f t="shared" si="61"/>
        <v>530</v>
      </c>
      <c r="R404" s="43">
        <f t="shared" si="62"/>
        <v>252.09200000000001</v>
      </c>
      <c r="S404" s="41" t="s">
        <v>3330</v>
      </c>
      <c r="T404" s="48" t="str">
        <f t="shared" si="56"/>
        <v>(3,'PC-03-ELR1','Poste de Coupure n°03 ELR1','Wednesday-01-jj','Wednesday-01-jj',NULL,1,),</v>
      </c>
    </row>
    <row r="405" spans="1:20" ht="20.100000000000001" customHeight="1" x14ac:dyDescent="0.25">
      <c r="A405" s="38">
        <v>12</v>
      </c>
      <c r="B405" s="38">
        <v>410</v>
      </c>
      <c r="C405" s="38" t="s">
        <v>3372</v>
      </c>
      <c r="D405" s="38">
        <v>12</v>
      </c>
      <c r="E405" s="39" t="str">
        <f>CONCATENATE("PS-",TEXT(A405,"00"),"-",O405)</f>
        <v>PS-12-ELR1</v>
      </c>
      <c r="F405" s="48" t="str">
        <f>CONCATENATE("Poste de Sectionnement n°",TEXT(A405,"00")," ",O405)</f>
        <v>Poste de Sectionnement n°12 ELR1</v>
      </c>
      <c r="G405" s="19">
        <v>41640</v>
      </c>
      <c r="H405" s="19">
        <v>41640</v>
      </c>
      <c r="I405" s="41" t="s">
        <v>20</v>
      </c>
      <c r="J405" s="41">
        <v>1</v>
      </c>
      <c r="K405" s="41" t="s">
        <v>3557</v>
      </c>
      <c r="L405" s="41">
        <v>16</v>
      </c>
      <c r="M405" s="41"/>
      <c r="N405" s="41"/>
      <c r="O405" s="41" t="s">
        <v>364</v>
      </c>
      <c r="P405" s="41" t="s">
        <v>1852</v>
      </c>
      <c r="Q405" s="43">
        <f t="shared" si="61"/>
        <v>580</v>
      </c>
      <c r="R405" s="43">
        <f t="shared" si="62"/>
        <v>271.322</v>
      </c>
      <c r="S405" s="41" t="s">
        <v>1827</v>
      </c>
      <c r="T405" s="48" t="str">
        <f t="shared" si="56"/>
        <v>(12,'PS-12-ELR1','Poste de Sectionnement n°12 ELR1','Wednesday-01-jj','Wednesday-01-jj',NULL,1,),</v>
      </c>
    </row>
    <row r="406" spans="1:20" ht="20.100000000000001" customHeight="1" x14ac:dyDescent="0.25">
      <c r="A406" s="38">
        <v>13</v>
      </c>
      <c r="B406" s="38">
        <v>411</v>
      </c>
      <c r="C406" s="38" t="s">
        <v>3372</v>
      </c>
      <c r="D406" s="38">
        <v>12</v>
      </c>
      <c r="E406" s="39" t="str">
        <f>CONCATENATE("PS-",TEXT(A406,"00"),"-",O406)</f>
        <v>PS-13-ELR1</v>
      </c>
      <c r="F406" s="48" t="str">
        <f>CONCATENATE("Poste de Sectionnement n°",TEXT(A406,"00")," ",O406)</f>
        <v>Poste de Sectionnement n°13 ELR1</v>
      </c>
      <c r="G406" s="19">
        <v>41640</v>
      </c>
      <c r="H406" s="19">
        <v>41640</v>
      </c>
      <c r="I406" s="41" t="s">
        <v>20</v>
      </c>
      <c r="J406" s="41">
        <v>1</v>
      </c>
      <c r="K406" s="41" t="s">
        <v>3557</v>
      </c>
      <c r="L406" s="41">
        <v>16</v>
      </c>
      <c r="M406" s="41"/>
      <c r="N406" s="41"/>
      <c r="O406" s="41" t="s">
        <v>364</v>
      </c>
      <c r="P406" s="41" t="s">
        <v>1853</v>
      </c>
      <c r="Q406" s="43">
        <f t="shared" si="61"/>
        <v>640</v>
      </c>
      <c r="R406" s="43">
        <f t="shared" si="62"/>
        <v>291.5</v>
      </c>
      <c r="S406" s="41" t="s">
        <v>1858</v>
      </c>
      <c r="T406" s="48" t="str">
        <f t="shared" si="56"/>
        <v>(13,'PS-13-ELR1','Poste de Sectionnement n°13 ELR1','Wednesday-01-jj','Wednesday-01-jj',NULL,1,),</v>
      </c>
    </row>
    <row r="407" spans="1:20" ht="20.100000000000001" customHeight="1" x14ac:dyDescent="0.25">
      <c r="A407" s="38">
        <v>14</v>
      </c>
      <c r="B407" s="38">
        <v>412</v>
      </c>
      <c r="C407" s="38" t="s">
        <v>3372</v>
      </c>
      <c r="D407" s="38">
        <v>12</v>
      </c>
      <c r="E407" s="39" t="str">
        <f>CONCATENATE("PS-",TEXT(A407,"00"),"-",O407)</f>
        <v>PS-14-ELR1</v>
      </c>
      <c r="F407" s="48" t="str">
        <f>CONCATENATE("Poste de Sectionnement n°",TEXT(A407,"00")," ",O407)</f>
        <v>Poste de Sectionnement n°14 ELR1</v>
      </c>
      <c r="G407" s="19">
        <v>41640</v>
      </c>
      <c r="H407" s="19">
        <v>41640</v>
      </c>
      <c r="I407" s="41" t="s">
        <v>20</v>
      </c>
      <c r="J407" s="41">
        <v>1</v>
      </c>
      <c r="K407" s="41" t="s">
        <v>3557</v>
      </c>
      <c r="L407" s="41">
        <v>16</v>
      </c>
      <c r="M407" s="41"/>
      <c r="N407" s="41"/>
      <c r="O407" s="41" t="s">
        <v>364</v>
      </c>
      <c r="P407" s="41" t="s">
        <v>1854</v>
      </c>
      <c r="Q407" s="43">
        <f t="shared" si="61"/>
        <v>690</v>
      </c>
      <c r="R407" s="43">
        <f t="shared" si="62"/>
        <v>305.61799999999999</v>
      </c>
      <c r="S407" s="41" t="s">
        <v>789</v>
      </c>
      <c r="T407" s="48" t="str">
        <f t="shared" si="56"/>
        <v>(14,'PS-14-ELR1','Poste de Sectionnement n°14 ELR1','Wednesday-01-jj','Wednesday-01-jj',NULL,1,),</v>
      </c>
    </row>
    <row r="408" spans="1:20" ht="20.100000000000001" customHeight="1" x14ac:dyDescent="0.25">
      <c r="A408" s="38">
        <v>15</v>
      </c>
      <c r="B408" s="38">
        <v>413</v>
      </c>
      <c r="C408" s="38" t="s">
        <v>3372</v>
      </c>
      <c r="D408" s="38">
        <v>12</v>
      </c>
      <c r="E408" s="39" t="str">
        <f>CONCATENATE("PS-",TEXT(A408,"00"),"-",O408)</f>
        <v>PS-15-ELR1</v>
      </c>
      <c r="F408" s="48" t="str">
        <f>CONCATENATE("Poste de Sectionnement n°",TEXT(A408,"00")," ",O408)</f>
        <v>Poste de Sectionnement n°15 ELR1</v>
      </c>
      <c r="G408" s="19">
        <v>41640</v>
      </c>
      <c r="H408" s="19">
        <v>41640</v>
      </c>
      <c r="I408" s="41" t="s">
        <v>20</v>
      </c>
      <c r="J408" s="41">
        <v>1</v>
      </c>
      <c r="K408" s="41" t="s">
        <v>3557</v>
      </c>
      <c r="L408" s="41">
        <v>16</v>
      </c>
      <c r="M408" s="41"/>
      <c r="N408" s="41"/>
      <c r="O408" s="41" t="s">
        <v>364</v>
      </c>
      <c r="P408" s="41" t="s">
        <v>1855</v>
      </c>
      <c r="Q408" s="43">
        <f t="shared" si="61"/>
        <v>750</v>
      </c>
      <c r="R408" s="43">
        <f t="shared" si="62"/>
        <v>324</v>
      </c>
      <c r="S408" s="41" t="s">
        <v>1830</v>
      </c>
      <c r="T408" s="48" t="str">
        <f t="shared" ref="T408:T471" si="65">CONCATENATE("(",A408,",'",E408,"','",F408,"','",TEXT(G408,"aaaa-mm-jj"),"','",TEXT(H408,"aaaa-mm-jj"),"',",I408,",",J408,",",M408,"),")</f>
        <v>(15,'PS-15-ELR1','Poste de Sectionnement n°15 ELR1','Wednesday-01-jj','Wednesday-01-jj',NULL,1,),</v>
      </c>
    </row>
    <row r="409" spans="1:20" ht="20.100000000000001" customHeight="1" x14ac:dyDescent="0.25">
      <c r="A409" s="38">
        <v>5</v>
      </c>
      <c r="B409" s="38">
        <v>414</v>
      </c>
      <c r="C409" s="38" t="s">
        <v>3372</v>
      </c>
      <c r="D409" s="38">
        <v>12</v>
      </c>
      <c r="E409" s="39" t="s">
        <v>166</v>
      </c>
      <c r="F409" s="48" t="str">
        <f>CONCATENATE("Station de Pompage ",E409)</f>
        <v>Station de Pompage SP1-LNZ1</v>
      </c>
      <c r="G409" s="19">
        <v>26665</v>
      </c>
      <c r="H409" s="19">
        <v>26665</v>
      </c>
      <c r="I409" s="19">
        <v>40178</v>
      </c>
      <c r="J409" s="41">
        <v>8</v>
      </c>
      <c r="K409" s="41" t="s">
        <v>3552</v>
      </c>
      <c r="L409" s="41">
        <v>7</v>
      </c>
      <c r="M409" s="41">
        <v>10</v>
      </c>
      <c r="N409" s="41"/>
      <c r="O409" s="41" t="s">
        <v>350</v>
      </c>
      <c r="P409" s="41" t="s">
        <v>3618</v>
      </c>
      <c r="Q409" s="49">
        <f t="shared" si="61"/>
        <v>135</v>
      </c>
      <c r="R409" s="43">
        <f t="shared" si="62"/>
        <v>0</v>
      </c>
      <c r="S409" s="41" t="s">
        <v>3570</v>
      </c>
      <c r="T409" s="48" t="str">
        <f t="shared" si="65"/>
        <v>(5,'SP1-LNZ1','Station de Pompage SP1-LNZ1','Monday-01-jj','Monday-01-jj',40178,8,10),</v>
      </c>
    </row>
    <row r="410" spans="1:20" ht="20.100000000000001" customHeight="1" x14ac:dyDescent="0.25">
      <c r="A410" s="38">
        <v>6</v>
      </c>
      <c r="B410" s="38">
        <v>415</v>
      </c>
      <c r="C410" s="38" t="s">
        <v>3372</v>
      </c>
      <c r="D410" s="38">
        <v>12</v>
      </c>
      <c r="E410" s="39" t="s">
        <v>168</v>
      </c>
      <c r="F410" s="48" t="str">
        <f>CONCATENATE("Station de Pompage ",E410)</f>
        <v>Station de Pompage SP3-LNZ1</v>
      </c>
      <c r="G410" s="19">
        <v>27030</v>
      </c>
      <c r="H410" s="19">
        <v>27030</v>
      </c>
      <c r="I410" s="19">
        <v>40178</v>
      </c>
      <c r="J410" s="41">
        <v>8</v>
      </c>
      <c r="K410" s="41" t="s">
        <v>3552</v>
      </c>
      <c r="L410" s="41">
        <v>7</v>
      </c>
      <c r="M410" s="41">
        <v>10</v>
      </c>
      <c r="N410" s="41"/>
      <c r="O410" s="41" t="s">
        <v>350</v>
      </c>
      <c r="P410" s="41" t="s">
        <v>3619</v>
      </c>
      <c r="Q410" s="49">
        <f t="shared" si="61"/>
        <v>485</v>
      </c>
      <c r="R410" s="43">
        <v>218.56299999999999</v>
      </c>
      <c r="S410" s="41" t="s">
        <v>746</v>
      </c>
      <c r="T410" s="48" t="str">
        <f t="shared" si="65"/>
        <v>(6,'SP3-LNZ1','Station de Pompage SP3-LNZ1','Tuesday-01-jj','Tuesday-01-jj',40178,8,10),</v>
      </c>
    </row>
    <row r="411" spans="1:20" ht="20.100000000000001" customHeight="1" x14ac:dyDescent="0.25">
      <c r="A411" s="38">
        <v>1</v>
      </c>
      <c r="B411" s="38">
        <v>416</v>
      </c>
      <c r="C411" s="38" t="s">
        <v>3372</v>
      </c>
      <c r="D411" s="38">
        <v>12</v>
      </c>
      <c r="E411" s="39" t="str">
        <f>CONCATENATE("PS-",TEXT(A411,"00"),"-",O411)</f>
        <v>PS-01-LR1</v>
      </c>
      <c r="F411" s="48" t="str">
        <f>CONCATENATE("Poste de Sectionnement n°",TEXT(A411,"00")," ",O411)</f>
        <v>Poste de Sectionnement n°01 LR1</v>
      </c>
      <c r="G411" s="19">
        <v>35065</v>
      </c>
      <c r="H411" s="19">
        <v>35065</v>
      </c>
      <c r="I411" s="41" t="s">
        <v>20</v>
      </c>
      <c r="J411" s="41">
        <v>1</v>
      </c>
      <c r="K411" s="41" t="s">
        <v>3557</v>
      </c>
      <c r="L411" s="41">
        <v>16</v>
      </c>
      <c r="M411" s="41"/>
      <c r="N411" s="41"/>
      <c r="O411" s="41" t="s">
        <v>358</v>
      </c>
      <c r="P411" s="41" t="s">
        <v>1793</v>
      </c>
      <c r="Q411" s="43">
        <f t="shared" si="61"/>
        <v>709</v>
      </c>
      <c r="R411" s="43">
        <f t="shared" si="62"/>
        <v>20</v>
      </c>
      <c r="S411" s="41" t="s">
        <v>980</v>
      </c>
      <c r="T411" s="48" t="str">
        <f t="shared" si="65"/>
        <v>(1,'PS-01-LR1','Poste de Sectionnement n°01 LR1','Monday-01-jj','Monday-01-jj',NULL,1,),</v>
      </c>
    </row>
    <row r="412" spans="1:20" ht="20.100000000000001" customHeight="1" x14ac:dyDescent="0.25">
      <c r="A412" s="38">
        <v>2</v>
      </c>
      <c r="B412" s="38">
        <v>417</v>
      </c>
      <c r="C412" s="38" t="s">
        <v>3372</v>
      </c>
      <c r="D412" s="38">
        <v>12</v>
      </c>
      <c r="E412" s="39" t="str">
        <f>CONCATENATE("PS-",TEXT(A412,"00"),"-",O412)</f>
        <v>PS-02-LR1</v>
      </c>
      <c r="F412" s="48" t="str">
        <f>CONCATENATE("Poste de Sectionnement n°",TEXT(A412,"00")," ",O412)</f>
        <v>Poste de Sectionnement n°02 LR1</v>
      </c>
      <c r="G412" s="19">
        <v>35065</v>
      </c>
      <c r="H412" s="19">
        <v>35065</v>
      </c>
      <c r="I412" s="41" t="s">
        <v>20</v>
      </c>
      <c r="J412" s="41">
        <v>1</v>
      </c>
      <c r="K412" s="41" t="s">
        <v>3557</v>
      </c>
      <c r="L412" s="41">
        <v>16</v>
      </c>
      <c r="M412" s="41"/>
      <c r="N412" s="41"/>
      <c r="O412" s="41" t="s">
        <v>358</v>
      </c>
      <c r="P412" s="41" t="s">
        <v>1794</v>
      </c>
      <c r="Q412" s="43">
        <f t="shared" si="61"/>
        <v>694</v>
      </c>
      <c r="R412" s="43">
        <f t="shared" si="62"/>
        <v>40</v>
      </c>
      <c r="S412" s="41" t="s">
        <v>980</v>
      </c>
      <c r="T412" s="48" t="str">
        <f t="shared" si="65"/>
        <v>(2,'PS-02-LR1','Poste de Sectionnement n°02 LR1','Monday-01-jj','Monday-01-jj',NULL,1,),</v>
      </c>
    </row>
    <row r="413" spans="1:20" ht="20.100000000000001" customHeight="1" x14ac:dyDescent="0.25">
      <c r="A413" s="38">
        <v>3</v>
      </c>
      <c r="B413" s="38">
        <v>418</v>
      </c>
      <c r="C413" s="38" t="s">
        <v>3372</v>
      </c>
      <c r="D413" s="38">
        <v>12</v>
      </c>
      <c r="E413" s="39" t="str">
        <f>CONCATENATE("PS-",TEXT(A413,"00"),"-",O413)</f>
        <v>PS-03-LR1</v>
      </c>
      <c r="F413" s="48" t="str">
        <f>CONCATENATE("Poste de Sectionnement n°",TEXT(A413,"00")," ",O413)</f>
        <v>Poste de Sectionnement n°03 LR1</v>
      </c>
      <c r="G413" s="19">
        <v>35065</v>
      </c>
      <c r="H413" s="19">
        <v>35065</v>
      </c>
      <c r="I413" s="41" t="s">
        <v>20</v>
      </c>
      <c r="J413" s="41">
        <v>1</v>
      </c>
      <c r="K413" s="41" t="s">
        <v>3557</v>
      </c>
      <c r="L413" s="41">
        <v>16</v>
      </c>
      <c r="M413" s="41"/>
      <c r="N413" s="41"/>
      <c r="O413" s="41" t="s">
        <v>358</v>
      </c>
      <c r="P413" s="41" t="s">
        <v>1795</v>
      </c>
      <c r="Q413" s="43">
        <f t="shared" si="61"/>
        <v>662</v>
      </c>
      <c r="R413" s="43">
        <f t="shared" si="62"/>
        <v>60</v>
      </c>
      <c r="S413" s="41" t="s">
        <v>979</v>
      </c>
      <c r="T413" s="48" t="str">
        <f t="shared" si="65"/>
        <v>(3,'PS-03-LR1','Poste de Sectionnement n°03 LR1','Monday-01-jj','Monday-01-jj',NULL,1,),</v>
      </c>
    </row>
    <row r="414" spans="1:20" ht="20.100000000000001" customHeight="1" x14ac:dyDescent="0.25">
      <c r="A414" s="38">
        <v>1</v>
      </c>
      <c r="B414" s="38">
        <v>419</v>
      </c>
      <c r="C414" s="38" t="s">
        <v>3372</v>
      </c>
      <c r="D414" s="38">
        <v>12</v>
      </c>
      <c r="E414" s="39" t="str">
        <f>CONCATENATE("PC-",TEXT(A414,"00"),"-",O414)</f>
        <v>PC-01-LR1</v>
      </c>
      <c r="F414" s="48" t="str">
        <f>CONCATENATE("Poste de Coupure n°",TEXT(A414,"00")," ",O414)</f>
        <v>Poste de Coupure n°01 LR1</v>
      </c>
      <c r="G414" s="19">
        <v>35065</v>
      </c>
      <c r="H414" s="19">
        <v>35065</v>
      </c>
      <c r="I414" s="41" t="s">
        <v>20</v>
      </c>
      <c r="J414" s="41">
        <v>1</v>
      </c>
      <c r="K414" s="41" t="s">
        <v>3556</v>
      </c>
      <c r="L414" s="41">
        <v>15</v>
      </c>
      <c r="M414" s="41"/>
      <c r="N414" s="41"/>
      <c r="O414" s="41" t="s">
        <v>358</v>
      </c>
      <c r="P414" s="41" t="s">
        <v>3324</v>
      </c>
      <c r="Q414" s="49">
        <f t="shared" si="61"/>
        <v>555</v>
      </c>
      <c r="R414" s="43">
        <f t="shared" si="62"/>
        <v>100.85</v>
      </c>
      <c r="S414" s="41" t="s">
        <v>1804</v>
      </c>
      <c r="T414" s="48" t="str">
        <f t="shared" si="65"/>
        <v>(1,'PC-01-LR1','Poste de Coupure n°01 LR1','Monday-01-jj','Monday-01-jj',NULL,1,),</v>
      </c>
    </row>
    <row r="415" spans="1:20" ht="20.100000000000001" customHeight="1" x14ac:dyDescent="0.25">
      <c r="A415" s="38">
        <v>4</v>
      </c>
      <c r="B415" s="38">
        <v>420</v>
      </c>
      <c r="C415" s="38" t="s">
        <v>3372</v>
      </c>
      <c r="D415" s="38">
        <v>12</v>
      </c>
      <c r="E415" s="39" t="str">
        <f>CONCATENATE("PS-",TEXT(A415,"00"),"-",O415)</f>
        <v>PS-04-LR1</v>
      </c>
      <c r="F415" s="48" t="str">
        <f>CONCATENATE("Poste de Sectionnement n°",TEXT(A415,"00")," ",O415)</f>
        <v>Poste de Sectionnement n°04 LR1</v>
      </c>
      <c r="G415" s="19">
        <v>35065</v>
      </c>
      <c r="H415" s="19">
        <v>35065</v>
      </c>
      <c r="I415" s="41" t="s">
        <v>20</v>
      </c>
      <c r="J415" s="41">
        <v>1</v>
      </c>
      <c r="K415" s="41" t="s">
        <v>3557</v>
      </c>
      <c r="L415" s="41">
        <v>16</v>
      </c>
      <c r="M415" s="41"/>
      <c r="N415" s="41"/>
      <c r="O415" s="41" t="s">
        <v>358</v>
      </c>
      <c r="P415" s="41" t="s">
        <v>1796</v>
      </c>
      <c r="Q415" s="43">
        <f t="shared" si="61"/>
        <v>558</v>
      </c>
      <c r="R415" s="43">
        <f t="shared" si="62"/>
        <v>118</v>
      </c>
      <c r="S415" s="41" t="s">
        <v>1804</v>
      </c>
      <c r="T415" s="48" t="str">
        <f t="shared" si="65"/>
        <v>(4,'PS-04-LR1','Poste de Sectionnement n°04 LR1','Monday-01-jj','Monday-01-jj',NULL,1,),</v>
      </c>
    </row>
    <row r="416" spans="1:20" ht="20.100000000000001" customHeight="1" x14ac:dyDescent="0.25">
      <c r="A416" s="38">
        <v>5</v>
      </c>
      <c r="B416" s="38">
        <v>421</v>
      </c>
      <c r="C416" s="38" t="s">
        <v>3372</v>
      </c>
      <c r="D416" s="38">
        <v>12</v>
      </c>
      <c r="E416" s="39" t="str">
        <f>CONCATENATE("PS-",TEXT(A416,"00"),"-",O416)</f>
        <v>PS-05-LR1</v>
      </c>
      <c r="F416" s="48" t="str">
        <f>CONCATENATE("Poste de Sectionnement n°",TEXT(A416,"00")," ",O416)</f>
        <v>Poste de Sectionnement n°05 LR1</v>
      </c>
      <c r="G416" s="19">
        <v>35065</v>
      </c>
      <c r="H416" s="19">
        <v>35065</v>
      </c>
      <c r="I416" s="41" t="s">
        <v>20</v>
      </c>
      <c r="J416" s="41">
        <v>1</v>
      </c>
      <c r="K416" s="41" t="s">
        <v>3557</v>
      </c>
      <c r="L416" s="41">
        <v>16</v>
      </c>
      <c r="M416" s="41"/>
      <c r="N416" s="41"/>
      <c r="O416" s="41" t="s">
        <v>358</v>
      </c>
      <c r="P416" s="41" t="s">
        <v>1797</v>
      </c>
      <c r="Q416" s="43">
        <f t="shared" si="61"/>
        <v>570</v>
      </c>
      <c r="R416" s="43">
        <f t="shared" si="62"/>
        <v>156</v>
      </c>
      <c r="S416" s="41" t="s">
        <v>1804</v>
      </c>
      <c r="T416" s="48" t="str">
        <f t="shared" si="65"/>
        <v>(5,'PS-05-LR1','Poste de Sectionnement n°05 LR1','Monday-01-jj','Monday-01-jj',NULL,1,),</v>
      </c>
    </row>
    <row r="417" spans="1:20" ht="20.100000000000001" customHeight="1" x14ac:dyDescent="0.25">
      <c r="A417" s="38">
        <v>6</v>
      </c>
      <c r="B417" s="38">
        <v>422</v>
      </c>
      <c r="C417" s="38" t="s">
        <v>3372</v>
      </c>
      <c r="D417" s="38">
        <v>12</v>
      </c>
      <c r="E417" s="39" t="str">
        <f>CONCATENATE("PS-",TEXT(A417,"00"),"-",O417)</f>
        <v>PS-06-LR1</v>
      </c>
      <c r="F417" s="48" t="str">
        <f>CONCATENATE("Poste de Sectionnement n°",TEXT(A417,"00")," ",O417)</f>
        <v>Poste de Sectionnement n°06 LR1</v>
      </c>
      <c r="G417" s="19">
        <v>35065</v>
      </c>
      <c r="H417" s="19">
        <v>35065</v>
      </c>
      <c r="I417" s="41" t="s">
        <v>20</v>
      </c>
      <c r="J417" s="41">
        <v>1</v>
      </c>
      <c r="K417" s="41" t="s">
        <v>3557</v>
      </c>
      <c r="L417" s="41">
        <v>16</v>
      </c>
      <c r="M417" s="41"/>
      <c r="N417" s="41"/>
      <c r="O417" s="41" t="s">
        <v>358</v>
      </c>
      <c r="P417" s="41" t="s">
        <v>1798</v>
      </c>
      <c r="Q417" s="43">
        <f t="shared" si="61"/>
        <v>540</v>
      </c>
      <c r="R417" s="43">
        <f t="shared" si="62"/>
        <v>195.6</v>
      </c>
      <c r="S417" s="41" t="s">
        <v>1804</v>
      </c>
      <c r="T417" s="48" t="str">
        <f t="shared" si="65"/>
        <v>(6,'PS-06-LR1','Poste de Sectionnement n°06 LR1','Monday-01-jj','Monday-01-jj',NULL,1,),</v>
      </c>
    </row>
    <row r="418" spans="1:20" ht="20.100000000000001" customHeight="1" x14ac:dyDescent="0.25">
      <c r="A418" s="38">
        <v>2</v>
      </c>
      <c r="B418" s="38">
        <v>423</v>
      </c>
      <c r="C418" s="38" t="s">
        <v>3372</v>
      </c>
      <c r="D418" s="38">
        <v>12</v>
      </c>
      <c r="E418" s="39" t="str">
        <f>CONCATENATE("PC-",TEXT(A418,"00"),"-",O418)</f>
        <v>PC-02-LR1</v>
      </c>
      <c r="F418" s="48" t="str">
        <f>CONCATENATE("Poste de Coupure n°",TEXT(A418,"00")," ",O418)</f>
        <v>Poste de Coupure n°02 LR1</v>
      </c>
      <c r="G418" s="19">
        <v>35065</v>
      </c>
      <c r="H418" s="19">
        <v>35065</v>
      </c>
      <c r="I418" s="41" t="s">
        <v>20</v>
      </c>
      <c r="J418" s="41">
        <v>1</v>
      </c>
      <c r="K418" s="41" t="s">
        <v>3556</v>
      </c>
      <c r="L418" s="41">
        <v>15</v>
      </c>
      <c r="M418" s="41"/>
      <c r="N418" s="41"/>
      <c r="O418" s="41" t="s">
        <v>358</v>
      </c>
      <c r="P418" s="41" t="s">
        <v>1186</v>
      </c>
      <c r="Q418" s="49">
        <f t="shared" si="61"/>
        <v>469</v>
      </c>
      <c r="R418" s="43">
        <f t="shared" si="62"/>
        <v>232.3</v>
      </c>
      <c r="S418" s="41" t="s">
        <v>1804</v>
      </c>
      <c r="T418" s="48" t="str">
        <f t="shared" si="65"/>
        <v>(2,'PC-02-LR1','Poste de Coupure n°02 LR1','Monday-01-jj','Monday-01-jj',NULL,1,),</v>
      </c>
    </row>
    <row r="419" spans="1:20" ht="20.100000000000001" customHeight="1" x14ac:dyDescent="0.25">
      <c r="A419" s="38">
        <v>7</v>
      </c>
      <c r="B419" s="38">
        <v>424</v>
      </c>
      <c r="C419" s="38" t="s">
        <v>3372</v>
      </c>
      <c r="D419" s="38">
        <v>12</v>
      </c>
      <c r="E419" s="39" t="str">
        <f>CONCATENATE("PS-",TEXT(A419,"00"),"-",O419)</f>
        <v>PS-07-LR1</v>
      </c>
      <c r="F419" s="48" t="str">
        <f>CONCATENATE("Poste de Sectionnement n°",TEXT(A419,"00")," ",O419)</f>
        <v>Poste de Sectionnement n°07 LR1</v>
      </c>
      <c r="G419" s="19">
        <v>35065</v>
      </c>
      <c r="H419" s="19">
        <v>35065</v>
      </c>
      <c r="I419" s="41" t="s">
        <v>20</v>
      </c>
      <c r="J419" s="41">
        <v>1</v>
      </c>
      <c r="K419" s="41" t="s">
        <v>3557</v>
      </c>
      <c r="L419" s="41">
        <v>16</v>
      </c>
      <c r="M419" s="41"/>
      <c r="N419" s="41"/>
      <c r="O419" s="41" t="s">
        <v>358</v>
      </c>
      <c r="P419" s="41" t="s">
        <v>1799</v>
      </c>
      <c r="Q419" s="43">
        <f t="shared" si="61"/>
        <v>423</v>
      </c>
      <c r="R419" s="43">
        <f t="shared" si="62"/>
        <v>263.39999999999998</v>
      </c>
      <c r="S419" s="41" t="s">
        <v>1804</v>
      </c>
      <c r="T419" s="48" t="str">
        <f t="shared" si="65"/>
        <v>(7,'PS-07-LR1','Poste de Sectionnement n°07 LR1','Monday-01-jj','Monday-01-jj',NULL,1,),</v>
      </c>
    </row>
    <row r="420" spans="1:20" ht="20.100000000000001" customHeight="1" x14ac:dyDescent="0.25">
      <c r="A420" s="38">
        <v>8</v>
      </c>
      <c r="B420" s="38">
        <v>425</v>
      </c>
      <c r="C420" s="38" t="s">
        <v>3372</v>
      </c>
      <c r="D420" s="38">
        <v>12</v>
      </c>
      <c r="E420" s="39" t="str">
        <f>CONCATENATE("PS-",TEXT(A420,"00"),"-",O420)</f>
        <v>PS-08-LR1</v>
      </c>
      <c r="F420" s="48" t="str">
        <f>CONCATENATE("Poste de Sectionnement n°",TEXT(A420,"00")," ",O420)</f>
        <v>Poste de Sectionnement n°08 LR1</v>
      </c>
      <c r="G420" s="19">
        <v>35065</v>
      </c>
      <c r="H420" s="19">
        <v>35065</v>
      </c>
      <c r="I420" s="41" t="s">
        <v>20</v>
      </c>
      <c r="J420" s="41">
        <v>1</v>
      </c>
      <c r="K420" s="41" t="s">
        <v>3557</v>
      </c>
      <c r="L420" s="41">
        <v>16</v>
      </c>
      <c r="M420" s="41"/>
      <c r="N420" s="41"/>
      <c r="O420" s="41" t="s">
        <v>358</v>
      </c>
      <c r="P420" s="41" t="s">
        <v>1800</v>
      </c>
      <c r="Q420" s="43">
        <f t="shared" si="61"/>
        <v>348</v>
      </c>
      <c r="R420" s="43">
        <f t="shared" si="62"/>
        <v>298</v>
      </c>
      <c r="S420" s="41" t="s">
        <v>1804</v>
      </c>
      <c r="T420" s="48" t="str">
        <f t="shared" si="65"/>
        <v>(8,'PS-08-LR1','Poste de Sectionnement n°08 LR1','Monday-01-jj','Monday-01-jj',NULL,1,),</v>
      </c>
    </row>
    <row r="421" spans="1:20" ht="20.100000000000001" customHeight="1" x14ac:dyDescent="0.25">
      <c r="A421" s="38">
        <v>1</v>
      </c>
      <c r="B421" s="38">
        <v>426</v>
      </c>
      <c r="C421" s="38" t="s">
        <v>3372</v>
      </c>
      <c r="D421" s="38">
        <v>12</v>
      </c>
      <c r="E421" s="39" t="s">
        <v>159</v>
      </c>
      <c r="F421" s="48" t="str">
        <f>CONCATENATE("Station de Pompage ",E421)</f>
        <v>Station de Pompage SPRN-LR1</v>
      </c>
      <c r="G421" s="19">
        <v>36462</v>
      </c>
      <c r="H421" s="19">
        <v>36462</v>
      </c>
      <c r="I421" s="41" t="s">
        <v>20</v>
      </c>
      <c r="J421" s="41">
        <v>1</v>
      </c>
      <c r="K421" s="41" t="s">
        <v>3552</v>
      </c>
      <c r="L421" s="41">
        <v>7</v>
      </c>
      <c r="M421" s="41">
        <v>10</v>
      </c>
      <c r="N421" s="41"/>
      <c r="O421" s="41" t="s">
        <v>358</v>
      </c>
      <c r="P421" s="41" t="s">
        <v>1188</v>
      </c>
      <c r="Q421" s="49">
        <f t="shared" ref="Q421" si="66">VALUE(RIGHT(P421,LEN(P421)-SEARCH("/",P421)))</f>
        <v>252</v>
      </c>
      <c r="R421" s="43">
        <f t="shared" ref="R421" si="67">VALUE(SUBSTITUTE(LEFT(P421,SEARCH("/",P421)-1),"+",","))</f>
        <v>430.7</v>
      </c>
      <c r="S421" s="41" t="s">
        <v>1804</v>
      </c>
      <c r="T421" s="48" t="str">
        <f t="shared" si="65"/>
        <v>(1,'SPRN-LR1','Station de Pompage SPRN-LR1','Friday-10-jj','Friday-10-jj',NULL,1,10),</v>
      </c>
    </row>
    <row r="422" spans="1:20" ht="20.100000000000001" customHeight="1" x14ac:dyDescent="0.25">
      <c r="A422" s="38">
        <v>9</v>
      </c>
      <c r="B422" s="38">
        <v>427</v>
      </c>
      <c r="C422" s="38" t="s">
        <v>3372</v>
      </c>
      <c r="D422" s="38">
        <v>12</v>
      </c>
      <c r="E422" s="39" t="str">
        <f>CONCATENATE("PS-",TEXT(A422,"00"),"-",O422)</f>
        <v>PS-09-LR1</v>
      </c>
      <c r="F422" s="48" t="str">
        <f>CONCATENATE("Poste de Sectionnement n°",TEXT(A422,"00")," ",O422)</f>
        <v>Poste de Sectionnement n°09 LR1</v>
      </c>
      <c r="G422" s="19">
        <v>35065</v>
      </c>
      <c r="H422" s="19">
        <v>35065</v>
      </c>
      <c r="I422" s="41" t="s">
        <v>20</v>
      </c>
      <c r="J422" s="41">
        <v>1</v>
      </c>
      <c r="K422" s="41" t="s">
        <v>3557</v>
      </c>
      <c r="L422" s="41">
        <v>16</v>
      </c>
      <c r="M422" s="41"/>
      <c r="N422" s="41"/>
      <c r="O422" s="41" t="s">
        <v>358</v>
      </c>
      <c r="P422" s="41" t="s">
        <v>1801</v>
      </c>
      <c r="Q422" s="43">
        <f t="shared" si="61"/>
        <v>318</v>
      </c>
      <c r="R422" s="43">
        <f t="shared" si="62"/>
        <v>316.8</v>
      </c>
      <c r="S422" s="41" t="s">
        <v>1804</v>
      </c>
      <c r="T422" s="48" t="str">
        <f t="shared" si="65"/>
        <v>(9,'PS-09-LR1','Poste de Sectionnement n°09 LR1','Monday-01-jj','Monday-01-jj',NULL,1,),</v>
      </c>
    </row>
    <row r="423" spans="1:20" ht="20.100000000000001" customHeight="1" x14ac:dyDescent="0.25">
      <c r="A423" s="38">
        <v>10</v>
      </c>
      <c r="B423" s="38">
        <v>428</v>
      </c>
      <c r="C423" s="38" t="s">
        <v>3372</v>
      </c>
      <c r="D423" s="38">
        <v>12</v>
      </c>
      <c r="E423" s="39" t="str">
        <f>CONCATENATE("PS-",TEXT(A423,"00"),"-",O423)</f>
        <v>PS-10-LR1</v>
      </c>
      <c r="F423" s="48" t="str">
        <f>CONCATENATE("Poste de Sectionnement n°",TEXT(A423,"00")," ",O423)</f>
        <v>Poste de Sectionnement n°10 LR1</v>
      </c>
      <c r="G423" s="19">
        <v>35065</v>
      </c>
      <c r="H423" s="19">
        <v>35065</v>
      </c>
      <c r="I423" s="41" t="s">
        <v>20</v>
      </c>
      <c r="J423" s="41">
        <v>1</v>
      </c>
      <c r="K423" s="41" t="s">
        <v>3557</v>
      </c>
      <c r="L423" s="41">
        <v>16</v>
      </c>
      <c r="M423" s="41"/>
      <c r="N423" s="41"/>
      <c r="O423" s="41" t="s">
        <v>358</v>
      </c>
      <c r="P423" s="41" t="s">
        <v>1802</v>
      </c>
      <c r="Q423" s="43">
        <f t="shared" si="61"/>
        <v>300</v>
      </c>
      <c r="R423" s="43">
        <f t="shared" si="62"/>
        <v>357.8</v>
      </c>
      <c r="S423" s="41" t="s">
        <v>1804</v>
      </c>
      <c r="T423" s="48" t="str">
        <f t="shared" si="65"/>
        <v>(10,'PS-10-LR1','Poste de Sectionnement n°10 LR1','Monday-01-jj','Monday-01-jj',NULL,1,),</v>
      </c>
    </row>
    <row r="424" spans="1:20" ht="20.100000000000001" customHeight="1" x14ac:dyDescent="0.25">
      <c r="A424" s="38">
        <v>11</v>
      </c>
      <c r="B424" s="38">
        <v>429</v>
      </c>
      <c r="C424" s="38" t="s">
        <v>3372</v>
      </c>
      <c r="D424" s="38">
        <v>12</v>
      </c>
      <c r="E424" s="39" t="str">
        <f>CONCATENATE("PS-",TEXT(A424,"00"),"-",O424)</f>
        <v>PS-11-LR1</v>
      </c>
      <c r="F424" s="48" t="str">
        <f>CONCATENATE("Poste de Sectionnement n°",TEXT(A424,"00")," ",O424)</f>
        <v>Poste de Sectionnement n°11 LR1</v>
      </c>
      <c r="G424" s="19">
        <v>35065</v>
      </c>
      <c r="H424" s="19">
        <v>35065</v>
      </c>
      <c r="I424" s="41" t="s">
        <v>20</v>
      </c>
      <c r="J424" s="41">
        <v>1</v>
      </c>
      <c r="K424" s="41" t="s">
        <v>3557</v>
      </c>
      <c r="L424" s="41">
        <v>16</v>
      </c>
      <c r="M424" s="41"/>
      <c r="N424" s="41"/>
      <c r="O424" s="41" t="s">
        <v>358</v>
      </c>
      <c r="P424" s="41" t="s">
        <v>1187</v>
      </c>
      <c r="Q424" s="43">
        <f t="shared" si="61"/>
        <v>274</v>
      </c>
      <c r="R424" s="43">
        <f t="shared" si="62"/>
        <v>395.7</v>
      </c>
      <c r="S424" s="41" t="s">
        <v>1804</v>
      </c>
      <c r="T424" s="48" t="str">
        <f t="shared" si="65"/>
        <v>(11,'PS-11-LR1','Poste de Sectionnement n°11 LR1','Monday-01-jj','Monday-01-jj',NULL,1,),</v>
      </c>
    </row>
    <row r="425" spans="1:20" ht="20.100000000000001" customHeight="1" x14ac:dyDescent="0.25">
      <c r="A425" s="38">
        <v>3</v>
      </c>
      <c r="B425" s="38">
        <v>430</v>
      </c>
      <c r="C425" s="38" t="s">
        <v>3372</v>
      </c>
      <c r="D425" s="38">
        <v>12</v>
      </c>
      <c r="E425" s="39" t="str">
        <f>CONCATENATE("PC-",TEXT(A425,"00"),"-",O425)</f>
        <v>PC-03-LR1</v>
      </c>
      <c r="F425" s="48" t="str">
        <f>CONCATENATE("Poste de Coupure n°",TEXT(A425,"00")," ",O425)</f>
        <v>Poste de Coupure n°03 LR1</v>
      </c>
      <c r="G425" s="19">
        <v>35065</v>
      </c>
      <c r="H425" s="19">
        <v>35065</v>
      </c>
      <c r="I425" s="41" t="s">
        <v>20</v>
      </c>
      <c r="J425" s="41">
        <v>1</v>
      </c>
      <c r="K425" s="41" t="s">
        <v>3556</v>
      </c>
      <c r="L425" s="41">
        <v>15</v>
      </c>
      <c r="M425" s="41"/>
      <c r="N425" s="41"/>
      <c r="O425" s="41" t="s">
        <v>358</v>
      </c>
      <c r="P425" s="41" t="s">
        <v>1188</v>
      </c>
      <c r="Q425" s="49">
        <f t="shared" si="61"/>
        <v>252</v>
      </c>
      <c r="R425" s="43">
        <f t="shared" si="62"/>
        <v>430.7</v>
      </c>
      <c r="S425" s="41" t="s">
        <v>1804</v>
      </c>
      <c r="T425" s="48" t="str">
        <f t="shared" si="65"/>
        <v>(3,'PC-03-LR1','Poste de Coupure n°03 LR1','Monday-01-jj','Monday-01-jj',NULL,1,),</v>
      </c>
    </row>
    <row r="426" spans="1:20" ht="20.100000000000001" customHeight="1" x14ac:dyDescent="0.25">
      <c r="A426" s="38">
        <v>12</v>
      </c>
      <c r="B426" s="38">
        <v>431</v>
      </c>
      <c r="C426" s="38" t="s">
        <v>3372</v>
      </c>
      <c r="D426" s="38">
        <v>12</v>
      </c>
      <c r="E426" s="39" t="str">
        <f>CONCATENATE("PS-",TEXT(A426,"00"),"-",O426)</f>
        <v>PS-12-LR1</v>
      </c>
      <c r="F426" s="48" t="str">
        <f>CONCATENATE("Poste de Sectionnement n°",TEXT(A426,"00")," ",O426)</f>
        <v>Poste de Sectionnement n°12 LR1</v>
      </c>
      <c r="G426" s="19">
        <v>35065</v>
      </c>
      <c r="H426" s="19">
        <v>35065</v>
      </c>
      <c r="I426" s="41" t="s">
        <v>20</v>
      </c>
      <c r="J426" s="41">
        <v>1</v>
      </c>
      <c r="K426" s="41" t="s">
        <v>3557</v>
      </c>
      <c r="L426" s="41">
        <v>16</v>
      </c>
      <c r="M426" s="41"/>
      <c r="N426" s="41"/>
      <c r="O426" s="41" t="s">
        <v>358</v>
      </c>
      <c r="P426" s="41" t="s">
        <v>1803</v>
      </c>
      <c r="Q426" s="43">
        <f t="shared" si="61"/>
        <v>240</v>
      </c>
      <c r="R426" s="43">
        <f t="shared" si="62"/>
        <v>448.8</v>
      </c>
      <c r="S426" s="41" t="s">
        <v>1804</v>
      </c>
      <c r="T426" s="48" t="str">
        <f t="shared" si="65"/>
        <v>(12,'PS-12-LR1','Poste de Sectionnement n°12 LR1','Monday-01-jj','Monday-01-jj',NULL,1,),</v>
      </c>
    </row>
    <row r="427" spans="1:20" ht="20.100000000000001" customHeight="1" x14ac:dyDescent="0.25">
      <c r="A427" s="38">
        <v>13</v>
      </c>
      <c r="B427" s="38">
        <v>432</v>
      </c>
      <c r="C427" s="38" t="s">
        <v>3372</v>
      </c>
      <c r="D427" s="38">
        <v>12</v>
      </c>
      <c r="E427" s="39" t="str">
        <f>CONCATENATE("PS-",TEXT(A427,"00"),"-",O427)</f>
        <v>PS-13-LR1</v>
      </c>
      <c r="F427" s="48" t="str">
        <f>CONCATENATE("Poste de Sectionnement n°",TEXT(A427,"00")," ",O427)</f>
        <v>Poste de Sectionnement n°13 LR1</v>
      </c>
      <c r="G427" s="19">
        <v>35065</v>
      </c>
      <c r="H427" s="19">
        <v>35065</v>
      </c>
      <c r="I427" s="41" t="s">
        <v>20</v>
      </c>
      <c r="J427" s="41">
        <v>1</v>
      </c>
      <c r="K427" s="41" t="s">
        <v>3557</v>
      </c>
      <c r="L427" s="41">
        <v>16</v>
      </c>
      <c r="M427" s="41"/>
      <c r="N427" s="41"/>
      <c r="O427" s="41" t="s">
        <v>358</v>
      </c>
      <c r="P427" s="41" t="s">
        <v>1806</v>
      </c>
      <c r="Q427" s="43">
        <f t="shared" si="61"/>
        <v>220</v>
      </c>
      <c r="R427" s="43">
        <f t="shared" si="62"/>
        <v>484.8</v>
      </c>
      <c r="S427" s="41" t="s">
        <v>998</v>
      </c>
      <c r="T427" s="48" t="str">
        <f t="shared" si="65"/>
        <v>(13,'PS-13-LR1','Poste de Sectionnement n°13 LR1','Monday-01-jj','Monday-01-jj',NULL,1,),</v>
      </c>
    </row>
    <row r="428" spans="1:20" ht="20.100000000000001" customHeight="1" x14ac:dyDescent="0.25">
      <c r="A428" s="38">
        <v>4</v>
      </c>
      <c r="B428" s="38">
        <v>433</v>
      </c>
      <c r="C428" s="38" t="s">
        <v>3372</v>
      </c>
      <c r="D428" s="38">
        <v>12</v>
      </c>
      <c r="E428" s="39" t="str">
        <f>CONCATENATE("PC-",TEXT(A428,"00"),"-",O428)</f>
        <v>PC-04-LR1</v>
      </c>
      <c r="F428" s="48" t="str">
        <f>CONCATENATE("Poste de Coupure n°",TEXT(A428,"00")," ",O428)</f>
        <v>Poste de Coupure n°04 LR1</v>
      </c>
      <c r="G428" s="19">
        <v>35065</v>
      </c>
      <c r="H428" s="19">
        <v>35065</v>
      </c>
      <c r="I428" s="41" t="s">
        <v>20</v>
      </c>
      <c r="J428" s="41">
        <v>1</v>
      </c>
      <c r="K428" s="41" t="s">
        <v>3556</v>
      </c>
      <c r="L428" s="41">
        <v>15</v>
      </c>
      <c r="M428" s="41"/>
      <c r="N428" s="41"/>
      <c r="O428" s="41" t="s">
        <v>358</v>
      </c>
      <c r="P428" s="41" t="s">
        <v>1189</v>
      </c>
      <c r="Q428" s="49">
        <f t="shared" si="61"/>
        <v>208</v>
      </c>
      <c r="R428" s="43">
        <f t="shared" si="62"/>
        <v>503.5</v>
      </c>
      <c r="S428" s="41" t="s">
        <v>998</v>
      </c>
      <c r="T428" s="48" t="str">
        <f t="shared" si="65"/>
        <v>(4,'PC-04-LR1','Poste de Coupure n°04 LR1','Monday-01-jj','Monday-01-jj',NULL,1,),</v>
      </c>
    </row>
    <row r="429" spans="1:20" ht="20.100000000000001" customHeight="1" x14ac:dyDescent="0.25">
      <c r="A429" s="38">
        <v>14</v>
      </c>
      <c r="B429" s="38">
        <v>434</v>
      </c>
      <c r="C429" s="38" t="s">
        <v>3372</v>
      </c>
      <c r="D429" s="38">
        <v>12</v>
      </c>
      <c r="E429" s="39" t="str">
        <f t="shared" ref="E429:E436" si="68">CONCATENATE("PS-",TEXT(A429,"00"),"-",O429)</f>
        <v>PS-14-LR1</v>
      </c>
      <c r="F429" s="48" t="str">
        <f t="shared" ref="F429:F436" si="69">CONCATENATE("Poste de Sectionnement n°",TEXT(A429,"00")," ",O429)</f>
        <v>Poste de Sectionnement n°14 LR1</v>
      </c>
      <c r="G429" s="19">
        <v>35065</v>
      </c>
      <c r="H429" s="19">
        <v>35065</v>
      </c>
      <c r="I429" s="41" t="s">
        <v>20</v>
      </c>
      <c r="J429" s="41">
        <v>1</v>
      </c>
      <c r="K429" s="41" t="s">
        <v>3557</v>
      </c>
      <c r="L429" s="41">
        <v>16</v>
      </c>
      <c r="M429" s="41"/>
      <c r="N429" s="41"/>
      <c r="O429" s="41" t="s">
        <v>358</v>
      </c>
      <c r="P429" s="41" t="s">
        <v>1807</v>
      </c>
      <c r="Q429" s="43">
        <f t="shared" si="61"/>
        <v>198</v>
      </c>
      <c r="R429" s="43">
        <f t="shared" si="62"/>
        <v>524.29999999999995</v>
      </c>
      <c r="S429" s="41" t="s">
        <v>998</v>
      </c>
      <c r="T429" s="48" t="str">
        <f t="shared" si="65"/>
        <v>(14,'PS-14-LR1','Poste de Sectionnement n°14 LR1','Monday-01-jj','Monday-01-jj',NULL,1,),</v>
      </c>
    </row>
    <row r="430" spans="1:20" ht="20.100000000000001" customHeight="1" x14ac:dyDescent="0.25">
      <c r="A430" s="38">
        <v>15</v>
      </c>
      <c r="B430" s="38">
        <v>435</v>
      </c>
      <c r="C430" s="38" t="s">
        <v>3372</v>
      </c>
      <c r="D430" s="38">
        <v>12</v>
      </c>
      <c r="E430" s="39" t="str">
        <f t="shared" si="68"/>
        <v>PS-15-LR1</v>
      </c>
      <c r="F430" s="48" t="str">
        <f t="shared" si="69"/>
        <v>Poste de Sectionnement n°15 LR1</v>
      </c>
      <c r="G430" s="19">
        <v>35065</v>
      </c>
      <c r="H430" s="19">
        <v>35065</v>
      </c>
      <c r="I430" s="41" t="s">
        <v>20</v>
      </c>
      <c r="J430" s="41">
        <v>1</v>
      </c>
      <c r="K430" s="41" t="s">
        <v>3557</v>
      </c>
      <c r="L430" s="41">
        <v>16</v>
      </c>
      <c r="M430" s="41"/>
      <c r="N430" s="41"/>
      <c r="O430" s="41" t="s">
        <v>358</v>
      </c>
      <c r="P430" s="41" t="s">
        <v>1808</v>
      </c>
      <c r="Q430" s="43">
        <f t="shared" si="61"/>
        <v>186</v>
      </c>
      <c r="R430" s="43">
        <f t="shared" si="62"/>
        <v>544.9</v>
      </c>
      <c r="S430" s="41" t="s">
        <v>998</v>
      </c>
      <c r="T430" s="48" t="str">
        <f t="shared" si="65"/>
        <v>(15,'PS-15-LR1','Poste de Sectionnement n°15 LR1','Monday-01-jj','Monday-01-jj',NULL,1,),</v>
      </c>
    </row>
    <row r="431" spans="1:20" ht="20.100000000000001" customHeight="1" x14ac:dyDescent="0.25">
      <c r="A431" s="38">
        <v>16</v>
      </c>
      <c r="B431" s="38">
        <v>436</v>
      </c>
      <c r="C431" s="38" t="s">
        <v>3372</v>
      </c>
      <c r="D431" s="38">
        <v>12</v>
      </c>
      <c r="E431" s="39" t="str">
        <f t="shared" si="68"/>
        <v>PS-16-LR1</v>
      </c>
      <c r="F431" s="48" t="str">
        <f t="shared" si="69"/>
        <v>Poste de Sectionnement n°16 LR1</v>
      </c>
      <c r="G431" s="19">
        <v>35065</v>
      </c>
      <c r="H431" s="19">
        <v>35065</v>
      </c>
      <c r="I431" s="41" t="s">
        <v>20</v>
      </c>
      <c r="J431" s="41">
        <v>1</v>
      </c>
      <c r="K431" s="41" t="s">
        <v>3557</v>
      </c>
      <c r="L431" s="41">
        <v>16</v>
      </c>
      <c r="M431" s="41"/>
      <c r="N431" s="41"/>
      <c r="O431" s="41" t="s">
        <v>358</v>
      </c>
      <c r="P431" s="41" t="s">
        <v>1809</v>
      </c>
      <c r="Q431" s="43">
        <f t="shared" si="61"/>
        <v>178</v>
      </c>
      <c r="R431" s="43">
        <f t="shared" si="62"/>
        <v>565.6</v>
      </c>
      <c r="S431" s="41" t="s">
        <v>998</v>
      </c>
      <c r="T431" s="48" t="str">
        <f t="shared" si="65"/>
        <v>(16,'PS-16-LR1','Poste de Sectionnement n°16 LR1','Monday-01-jj','Monday-01-jj',NULL,1,),</v>
      </c>
    </row>
    <row r="432" spans="1:20" ht="20.100000000000001" customHeight="1" x14ac:dyDescent="0.25">
      <c r="A432" s="38">
        <v>17</v>
      </c>
      <c r="B432" s="38">
        <v>437</v>
      </c>
      <c r="C432" s="38" t="s">
        <v>3372</v>
      </c>
      <c r="D432" s="38">
        <v>12</v>
      </c>
      <c r="E432" s="39" t="str">
        <f t="shared" si="68"/>
        <v>PS-17-LR1</v>
      </c>
      <c r="F432" s="48" t="str">
        <f t="shared" si="69"/>
        <v>Poste de Sectionnement n°17 LR1</v>
      </c>
      <c r="G432" s="19">
        <v>35065</v>
      </c>
      <c r="H432" s="19">
        <v>35065</v>
      </c>
      <c r="I432" s="41" t="s">
        <v>20</v>
      </c>
      <c r="J432" s="41">
        <v>1</v>
      </c>
      <c r="K432" s="41" t="s">
        <v>3557</v>
      </c>
      <c r="L432" s="41">
        <v>16</v>
      </c>
      <c r="M432" s="41"/>
      <c r="N432" s="41"/>
      <c r="O432" s="41" t="s">
        <v>358</v>
      </c>
      <c r="P432" s="41" t="s">
        <v>1810</v>
      </c>
      <c r="Q432" s="43">
        <f t="shared" si="61"/>
        <v>167</v>
      </c>
      <c r="R432" s="43">
        <f t="shared" si="62"/>
        <v>586.4</v>
      </c>
      <c r="S432" s="41" t="s">
        <v>998</v>
      </c>
      <c r="T432" s="48" t="str">
        <f t="shared" si="65"/>
        <v>(17,'PS-17-LR1','Poste de Sectionnement n°17 LR1','Monday-01-jj','Monday-01-jj',NULL,1,),</v>
      </c>
    </row>
    <row r="433" spans="1:20" ht="20.100000000000001" customHeight="1" x14ac:dyDescent="0.25">
      <c r="A433" s="38">
        <v>18</v>
      </c>
      <c r="B433" s="38">
        <v>438</v>
      </c>
      <c r="C433" s="38" t="s">
        <v>3372</v>
      </c>
      <c r="D433" s="38">
        <v>12</v>
      </c>
      <c r="E433" s="39" t="str">
        <f t="shared" si="68"/>
        <v>PS-18-LR1</v>
      </c>
      <c r="F433" s="48" t="str">
        <f t="shared" si="69"/>
        <v>Poste de Sectionnement n°18 LR1</v>
      </c>
      <c r="G433" s="19">
        <v>35065</v>
      </c>
      <c r="H433" s="19">
        <v>35065</v>
      </c>
      <c r="I433" s="41" t="s">
        <v>20</v>
      </c>
      <c r="J433" s="41">
        <v>1</v>
      </c>
      <c r="K433" s="41" t="s">
        <v>3557</v>
      </c>
      <c r="L433" s="41">
        <v>16</v>
      </c>
      <c r="M433" s="41"/>
      <c r="N433" s="41"/>
      <c r="O433" s="41" t="s">
        <v>358</v>
      </c>
      <c r="P433" s="41" t="s">
        <v>1811</v>
      </c>
      <c r="Q433" s="43">
        <f t="shared" si="61"/>
        <v>160</v>
      </c>
      <c r="R433" s="43">
        <f t="shared" si="62"/>
        <v>604.29999999999995</v>
      </c>
      <c r="S433" s="41" t="s">
        <v>998</v>
      </c>
      <c r="T433" s="48" t="str">
        <f t="shared" si="65"/>
        <v>(18,'PS-18-LR1','Poste de Sectionnement n°18 LR1','Monday-01-jj','Monday-01-jj',NULL,1,),</v>
      </c>
    </row>
    <row r="434" spans="1:20" ht="20.100000000000001" customHeight="1" x14ac:dyDescent="0.25">
      <c r="A434" s="38">
        <v>19</v>
      </c>
      <c r="B434" s="38">
        <v>439</v>
      </c>
      <c r="C434" s="38" t="s">
        <v>3372</v>
      </c>
      <c r="D434" s="38">
        <v>12</v>
      </c>
      <c r="E434" s="39" t="str">
        <f t="shared" si="68"/>
        <v>PS-19-LR1</v>
      </c>
      <c r="F434" s="48" t="str">
        <f t="shared" si="69"/>
        <v>Poste de Sectionnement n°19 LR1</v>
      </c>
      <c r="G434" s="19">
        <v>35065</v>
      </c>
      <c r="H434" s="19">
        <v>35065</v>
      </c>
      <c r="I434" s="41" t="s">
        <v>20</v>
      </c>
      <c r="J434" s="41">
        <v>1</v>
      </c>
      <c r="K434" s="41" t="s">
        <v>3557</v>
      </c>
      <c r="L434" s="41">
        <v>16</v>
      </c>
      <c r="M434" s="41"/>
      <c r="N434" s="41"/>
      <c r="O434" s="41" t="s">
        <v>358</v>
      </c>
      <c r="P434" s="41" t="s">
        <v>1812</v>
      </c>
      <c r="Q434" s="43">
        <f t="shared" si="61"/>
        <v>151</v>
      </c>
      <c r="R434" s="43">
        <f t="shared" si="62"/>
        <v>623.29999999999995</v>
      </c>
      <c r="S434" s="41" t="s">
        <v>998</v>
      </c>
      <c r="T434" s="48" t="str">
        <f t="shared" si="65"/>
        <v>(19,'PS-19-LR1','Poste de Sectionnement n°19 LR1','Monday-01-jj','Monday-01-jj',NULL,1,),</v>
      </c>
    </row>
    <row r="435" spans="1:20" ht="20.100000000000001" customHeight="1" x14ac:dyDescent="0.25">
      <c r="A435" s="38">
        <v>20</v>
      </c>
      <c r="B435" s="38">
        <v>440</v>
      </c>
      <c r="C435" s="38" t="s">
        <v>3372</v>
      </c>
      <c r="D435" s="38">
        <v>12</v>
      </c>
      <c r="E435" s="39" t="str">
        <f t="shared" si="68"/>
        <v>PS-20-LR1</v>
      </c>
      <c r="F435" s="48" t="str">
        <f t="shared" si="69"/>
        <v>Poste de Sectionnement n°20 LR1</v>
      </c>
      <c r="G435" s="19">
        <v>35065</v>
      </c>
      <c r="H435" s="19">
        <v>35065</v>
      </c>
      <c r="I435" s="41" t="s">
        <v>20</v>
      </c>
      <c r="J435" s="41">
        <v>1</v>
      </c>
      <c r="K435" s="41" t="s">
        <v>3557</v>
      </c>
      <c r="L435" s="41">
        <v>16</v>
      </c>
      <c r="M435" s="41"/>
      <c r="N435" s="41"/>
      <c r="O435" s="41" t="s">
        <v>358</v>
      </c>
      <c r="P435" s="41" t="s">
        <v>1190</v>
      </c>
      <c r="Q435" s="43">
        <f t="shared" si="61"/>
        <v>167</v>
      </c>
      <c r="R435" s="43">
        <f t="shared" si="62"/>
        <v>653.5</v>
      </c>
      <c r="S435" s="41" t="s">
        <v>998</v>
      </c>
      <c r="T435" s="48" t="str">
        <f t="shared" si="65"/>
        <v>(20,'PS-20-LR1','Poste de Sectionnement n°20 LR1','Monday-01-jj','Monday-01-jj',NULL,1,),</v>
      </c>
    </row>
    <row r="436" spans="1:20" ht="20.100000000000001" customHeight="1" x14ac:dyDescent="0.25">
      <c r="A436" s="38" t="s">
        <v>1805</v>
      </c>
      <c r="B436" s="38">
        <v>441</v>
      </c>
      <c r="C436" s="38" t="s">
        <v>3372</v>
      </c>
      <c r="D436" s="38">
        <v>12</v>
      </c>
      <c r="E436" s="39" t="str">
        <f t="shared" si="68"/>
        <v>PS-20 Bis-LR1</v>
      </c>
      <c r="F436" s="48" t="str">
        <f t="shared" si="69"/>
        <v>Poste de Sectionnement n°20 Bis LR1</v>
      </c>
      <c r="G436" s="19">
        <v>35065</v>
      </c>
      <c r="H436" s="19">
        <v>35065</v>
      </c>
      <c r="I436" s="41" t="s">
        <v>20</v>
      </c>
      <c r="J436" s="41">
        <v>1</v>
      </c>
      <c r="K436" s="41" t="s">
        <v>3557</v>
      </c>
      <c r="L436" s="41">
        <v>16</v>
      </c>
      <c r="M436" s="41"/>
      <c r="N436" s="41"/>
      <c r="O436" s="41" t="s">
        <v>358</v>
      </c>
      <c r="P436" s="41" t="s">
        <v>1813</v>
      </c>
      <c r="Q436" s="43">
        <f t="shared" si="61"/>
        <v>167</v>
      </c>
      <c r="R436" s="43">
        <f t="shared" si="62"/>
        <v>672.5</v>
      </c>
      <c r="S436" s="41" t="s">
        <v>998</v>
      </c>
      <c r="T436" s="48" t="str">
        <f t="shared" si="65"/>
        <v>(20 Bis,'PS-20 Bis-LR1','Poste de Sectionnement n°20 Bis LR1','Monday-01-jj','Monday-01-jj',NULL,1,),</v>
      </c>
    </row>
    <row r="437" spans="1:20" ht="20.100000000000001" customHeight="1" x14ac:dyDescent="0.25">
      <c r="A437" s="38">
        <v>5</v>
      </c>
      <c r="B437" s="38">
        <v>442</v>
      </c>
      <c r="C437" s="38" t="s">
        <v>3372</v>
      </c>
      <c r="D437" s="38">
        <v>12</v>
      </c>
      <c r="E437" s="39" t="str">
        <f>CONCATENATE("PC-",TEXT(A437,"00"),"-",O437)</f>
        <v>PC-05-LR1</v>
      </c>
      <c r="F437" s="48" t="str">
        <f>CONCATENATE("Poste de Coupure n°",TEXT(A437,"00")," ",O437)</f>
        <v>Poste de Coupure n°05 LR1</v>
      </c>
      <c r="G437" s="19">
        <v>35065</v>
      </c>
      <c r="H437" s="19">
        <v>35065</v>
      </c>
      <c r="I437" s="41" t="s">
        <v>20</v>
      </c>
      <c r="J437" s="41">
        <v>1</v>
      </c>
      <c r="K437" s="41" t="s">
        <v>3556</v>
      </c>
      <c r="L437" s="41">
        <v>15</v>
      </c>
      <c r="M437" s="41"/>
      <c r="N437" s="41"/>
      <c r="O437" s="41" t="s">
        <v>358</v>
      </c>
      <c r="P437" s="41" t="s">
        <v>1191</v>
      </c>
      <c r="Q437" s="49">
        <f t="shared" si="61"/>
        <v>151</v>
      </c>
      <c r="R437" s="43">
        <f t="shared" si="62"/>
        <v>681.5</v>
      </c>
      <c r="S437" s="41" t="s">
        <v>998</v>
      </c>
      <c r="T437" s="48" t="str">
        <f t="shared" si="65"/>
        <v>(5,'PC-05-LR1','Poste de Coupure n°05 LR1','Monday-01-jj','Monday-01-jj',NULL,1,),</v>
      </c>
    </row>
    <row r="438" spans="1:20" ht="20.100000000000001" customHeight="1" x14ac:dyDescent="0.25">
      <c r="A438" s="38">
        <v>2</v>
      </c>
      <c r="B438" s="38">
        <v>443</v>
      </c>
      <c r="C438" s="38" t="s">
        <v>3372</v>
      </c>
      <c r="D438" s="38">
        <v>12</v>
      </c>
      <c r="E438" s="39" t="s">
        <v>163</v>
      </c>
      <c r="F438" s="48" t="str">
        <f>CONCATENATE("Station de Pompage ",E438)</f>
        <v>Station de Pompage SP1-LR1</v>
      </c>
      <c r="G438" s="19">
        <v>35065</v>
      </c>
      <c r="H438" s="19">
        <v>35065</v>
      </c>
      <c r="I438" s="19">
        <v>44926</v>
      </c>
      <c r="J438" s="41">
        <v>8</v>
      </c>
      <c r="K438" s="41" t="s">
        <v>3552</v>
      </c>
      <c r="L438" s="41">
        <v>7</v>
      </c>
      <c r="M438" s="41">
        <v>10</v>
      </c>
      <c r="N438" s="41"/>
      <c r="O438" s="41" t="s">
        <v>358</v>
      </c>
      <c r="P438" s="41" t="s">
        <v>1191</v>
      </c>
      <c r="Q438" s="49">
        <f t="shared" si="61"/>
        <v>151</v>
      </c>
      <c r="R438" s="43">
        <f t="shared" si="62"/>
        <v>681.5</v>
      </c>
      <c r="S438" s="41" t="s">
        <v>3570</v>
      </c>
      <c r="T438" s="48" t="str">
        <f t="shared" si="65"/>
        <v>(2,'SP1-LR1','Station de Pompage SP1-LR1','Monday-01-jj','Monday-01-jj',44926,8,10),</v>
      </c>
    </row>
    <row r="439" spans="1:20" ht="20.100000000000001" customHeight="1" x14ac:dyDescent="0.25">
      <c r="A439" s="38">
        <v>3</v>
      </c>
      <c r="B439" s="38">
        <v>444</v>
      </c>
      <c r="C439" s="38" t="s">
        <v>3372</v>
      </c>
      <c r="D439" s="38">
        <v>12</v>
      </c>
      <c r="E439" s="39" t="s">
        <v>3655</v>
      </c>
      <c r="F439" s="48" t="str">
        <f>CONCATENATE("Station de Pompage ",E439)</f>
        <v>Station de Pompage SP1New-ELR1</v>
      </c>
      <c r="G439" s="19">
        <v>43132</v>
      </c>
      <c r="H439" s="19">
        <v>43132</v>
      </c>
      <c r="I439" s="41" t="s">
        <v>20</v>
      </c>
      <c r="J439" s="41">
        <v>1</v>
      </c>
      <c r="K439" s="41" t="s">
        <v>3552</v>
      </c>
      <c r="L439" s="41">
        <v>7</v>
      </c>
      <c r="M439" s="41">
        <v>10</v>
      </c>
      <c r="N439" s="41"/>
      <c r="O439" s="41" t="s">
        <v>364</v>
      </c>
      <c r="P439" s="41" t="s">
        <v>3656</v>
      </c>
      <c r="Q439" s="49">
        <f t="shared" si="61"/>
        <v>151</v>
      </c>
      <c r="R439" s="43">
        <f t="shared" si="62"/>
        <v>33</v>
      </c>
      <c r="S439" s="41" t="s">
        <v>3570</v>
      </c>
      <c r="T439" s="48" t="str">
        <f t="shared" si="65"/>
        <v>(3,'SP1New-ELR1','Station de Pompage SP1New-ELR1','Thursday-02-jj','Thursday-02-jj',NULL,1,10),</v>
      </c>
    </row>
    <row r="440" spans="1:20" ht="20.100000000000001" customHeight="1" x14ac:dyDescent="0.25">
      <c r="A440" s="38">
        <v>21</v>
      </c>
      <c r="B440" s="38">
        <v>445</v>
      </c>
      <c r="C440" s="38" t="s">
        <v>3372</v>
      </c>
      <c r="D440" s="38">
        <v>12</v>
      </c>
      <c r="E440" s="39" t="str">
        <f>CONCATENATE("PS-",TEXT(A440,"00"),"-",O440)</f>
        <v>PS-21-LR1</v>
      </c>
      <c r="F440" s="48" t="str">
        <f>CONCATENATE("Poste de Sectionnement n°",TEXT(A440,"00")," ",O440)</f>
        <v>Poste de Sectionnement n°21 LR1</v>
      </c>
      <c r="G440" s="19">
        <v>35065</v>
      </c>
      <c r="H440" s="19">
        <v>35065</v>
      </c>
      <c r="I440" s="41" t="s">
        <v>20</v>
      </c>
      <c r="J440" s="41">
        <v>1</v>
      </c>
      <c r="K440" s="41" t="s">
        <v>3557</v>
      </c>
      <c r="L440" s="41">
        <v>16</v>
      </c>
      <c r="M440" s="41"/>
      <c r="N440" s="41"/>
      <c r="O440" s="41" t="s">
        <v>358</v>
      </c>
      <c r="P440" s="41" t="s">
        <v>1814</v>
      </c>
      <c r="Q440" s="43">
        <f t="shared" si="61"/>
        <v>177</v>
      </c>
      <c r="R440" s="43">
        <f t="shared" si="62"/>
        <v>694.5</v>
      </c>
      <c r="S440" s="41" t="s">
        <v>744</v>
      </c>
      <c r="T440" s="48" t="str">
        <f t="shared" si="65"/>
        <v>(21,'PS-21-LR1','Poste de Sectionnement n°21 LR1','Monday-01-jj','Monday-01-jj',NULL,1,),</v>
      </c>
    </row>
    <row r="441" spans="1:20" ht="20.100000000000001" customHeight="1" x14ac:dyDescent="0.25">
      <c r="A441" s="38">
        <v>22</v>
      </c>
      <c r="B441" s="38">
        <v>446</v>
      </c>
      <c r="C441" s="38" t="s">
        <v>3372</v>
      </c>
      <c r="D441" s="38">
        <v>12</v>
      </c>
      <c r="E441" s="39" t="str">
        <f>CONCATENATE("PS-",TEXT(A441,"00"),"-",O441)</f>
        <v>PS-22-LR1</v>
      </c>
      <c r="F441" s="48" t="str">
        <f>CONCATENATE("Poste de Sectionnement n°",TEXT(A441,"00")," ",O441)</f>
        <v>Poste de Sectionnement n°22 LR1</v>
      </c>
      <c r="G441" s="19">
        <v>35065</v>
      </c>
      <c r="H441" s="19">
        <v>35065</v>
      </c>
      <c r="I441" s="41" t="s">
        <v>20</v>
      </c>
      <c r="J441" s="41">
        <v>1</v>
      </c>
      <c r="K441" s="41" t="s">
        <v>3557</v>
      </c>
      <c r="L441" s="41">
        <v>16</v>
      </c>
      <c r="M441" s="41"/>
      <c r="N441" s="41"/>
      <c r="O441" s="41" t="s">
        <v>358</v>
      </c>
      <c r="P441" s="41" t="s">
        <v>1815</v>
      </c>
      <c r="Q441" s="43">
        <f t="shared" si="61"/>
        <v>148</v>
      </c>
      <c r="R441" s="43">
        <f t="shared" si="62"/>
        <v>715.5</v>
      </c>
      <c r="S441" s="41" t="s">
        <v>742</v>
      </c>
      <c r="T441" s="48" t="str">
        <f t="shared" si="65"/>
        <v>(22,'PS-22-LR1','Poste de Sectionnement n°22 LR1','Monday-01-jj','Monday-01-jj',NULL,1,),</v>
      </c>
    </row>
    <row r="442" spans="1:20" ht="20.100000000000001" customHeight="1" x14ac:dyDescent="0.25">
      <c r="A442" s="38">
        <v>23</v>
      </c>
      <c r="B442" s="38">
        <v>447</v>
      </c>
      <c r="C442" s="38" t="s">
        <v>3372</v>
      </c>
      <c r="D442" s="38">
        <v>12</v>
      </c>
      <c r="E442" s="39" t="str">
        <f>CONCATENATE("PS-",TEXT(A442,"00"),"-",O442)</f>
        <v>PS-23-LR1</v>
      </c>
      <c r="F442" s="48" t="str">
        <f>CONCATENATE("Poste de Sectionnement n°",TEXT(A442,"00")," ",O442)</f>
        <v>Poste de Sectionnement n°23 LR1</v>
      </c>
      <c r="G442" s="19">
        <v>35065</v>
      </c>
      <c r="H442" s="19">
        <v>35065</v>
      </c>
      <c r="I442" s="41" t="s">
        <v>20</v>
      </c>
      <c r="J442" s="41">
        <v>1</v>
      </c>
      <c r="K442" s="41" t="s">
        <v>3557</v>
      </c>
      <c r="L442" s="41">
        <v>16</v>
      </c>
      <c r="M442" s="41"/>
      <c r="N442" s="41"/>
      <c r="O442" s="41" t="s">
        <v>358</v>
      </c>
      <c r="P442" s="41" t="s">
        <v>1816</v>
      </c>
      <c r="Q442" s="43">
        <f t="shared" si="61"/>
        <v>136</v>
      </c>
      <c r="R442" s="43">
        <f t="shared" si="62"/>
        <v>741.6</v>
      </c>
      <c r="S442" s="41" t="s">
        <v>1826</v>
      </c>
      <c r="T442" s="48" t="str">
        <f t="shared" si="65"/>
        <v>(23,'PS-23-LR1','Poste de Sectionnement n°23 LR1','Monday-01-jj','Monday-01-jj',NULL,1,),</v>
      </c>
    </row>
    <row r="443" spans="1:20" ht="20.100000000000001" customHeight="1" x14ac:dyDescent="0.25">
      <c r="A443" s="38">
        <v>24</v>
      </c>
      <c r="B443" s="38">
        <v>448</v>
      </c>
      <c r="C443" s="38" t="s">
        <v>3372</v>
      </c>
      <c r="D443" s="38">
        <v>12</v>
      </c>
      <c r="E443" s="39" t="str">
        <f>CONCATENATE("PS-",TEXT(A443,"00"),"-",O443)</f>
        <v>PS-24-LR1</v>
      </c>
      <c r="F443" s="48" t="str">
        <f>CONCATENATE("Poste de Sectionnement n°",TEXT(A443,"00")," ",O443)</f>
        <v>Poste de Sectionnement n°24 LR1</v>
      </c>
      <c r="G443" s="19">
        <v>35065</v>
      </c>
      <c r="H443" s="19">
        <v>35065</v>
      </c>
      <c r="I443" s="41" t="s">
        <v>20</v>
      </c>
      <c r="J443" s="41">
        <v>1</v>
      </c>
      <c r="K443" s="41" t="s">
        <v>3557</v>
      </c>
      <c r="L443" s="41">
        <v>16</v>
      </c>
      <c r="M443" s="41"/>
      <c r="N443" s="41"/>
      <c r="O443" s="41" t="s">
        <v>358</v>
      </c>
      <c r="P443" s="41" t="s">
        <v>1817</v>
      </c>
      <c r="Q443" s="43">
        <f t="shared" si="61"/>
        <v>160</v>
      </c>
      <c r="R443" s="43">
        <f t="shared" si="62"/>
        <v>769.5</v>
      </c>
      <c r="S443" s="41" t="s">
        <v>744</v>
      </c>
      <c r="T443" s="48" t="str">
        <f t="shared" si="65"/>
        <v>(24,'PS-24-LR1','Poste de Sectionnement n°24 LR1','Monday-01-jj','Monday-01-jj',NULL,1,),</v>
      </c>
    </row>
    <row r="444" spans="1:20" ht="20.100000000000001" customHeight="1" x14ac:dyDescent="0.25">
      <c r="A444" s="38">
        <v>6</v>
      </c>
      <c r="B444" s="38">
        <v>449</v>
      </c>
      <c r="C444" s="38" t="s">
        <v>3372</v>
      </c>
      <c r="D444" s="38">
        <v>12</v>
      </c>
      <c r="E444" s="39" t="str">
        <f>CONCATENATE("PC-",TEXT(A444,"00"),"-",O444)</f>
        <v>PC-06-LR1</v>
      </c>
      <c r="F444" s="48" t="str">
        <f>CONCATENATE("Poste de Coupure n°",TEXT(A444,"00")," ",O444)</f>
        <v>Poste de Coupure n°06 LR1</v>
      </c>
      <c r="G444" s="19">
        <v>35065</v>
      </c>
      <c r="H444" s="19">
        <v>35065</v>
      </c>
      <c r="I444" s="41" t="s">
        <v>20</v>
      </c>
      <c r="J444" s="41">
        <v>1</v>
      </c>
      <c r="K444" s="41" t="s">
        <v>3556</v>
      </c>
      <c r="L444" s="41">
        <v>15</v>
      </c>
      <c r="M444" s="41"/>
      <c r="N444" s="41"/>
      <c r="O444" s="41" t="s">
        <v>358</v>
      </c>
      <c r="P444" s="41" t="s">
        <v>3325</v>
      </c>
      <c r="Q444" s="49">
        <f t="shared" si="61"/>
        <v>260</v>
      </c>
      <c r="R444" s="43">
        <f t="shared" si="62"/>
        <v>805.7</v>
      </c>
      <c r="S444" s="41" t="s">
        <v>744</v>
      </c>
      <c r="T444" s="48" t="str">
        <f t="shared" si="65"/>
        <v>(6,'PC-06-LR1','Poste de Coupure n°06 LR1','Monday-01-jj','Monday-01-jj',NULL,1,),</v>
      </c>
    </row>
    <row r="445" spans="1:20" ht="20.100000000000001" customHeight="1" x14ac:dyDescent="0.25">
      <c r="A445" s="38">
        <v>4</v>
      </c>
      <c r="B445" s="38">
        <v>450</v>
      </c>
      <c r="C445" s="38" t="s">
        <v>3372</v>
      </c>
      <c r="D445" s="38">
        <v>12</v>
      </c>
      <c r="E445" s="39" t="s">
        <v>164</v>
      </c>
      <c r="F445" s="48" t="str">
        <f>CONCATENATE("Station de Pompage ",E445)</f>
        <v>Station de Pompage SP2-LR1</v>
      </c>
      <c r="G445" s="19">
        <v>35065</v>
      </c>
      <c r="H445" s="19">
        <v>35065</v>
      </c>
      <c r="I445" s="41" t="s">
        <v>20</v>
      </c>
      <c r="J445" s="41">
        <v>1</v>
      </c>
      <c r="K445" s="41" t="s">
        <v>3552</v>
      </c>
      <c r="L445" s="41">
        <v>7</v>
      </c>
      <c r="M445" s="41">
        <v>10</v>
      </c>
      <c r="N445" s="41"/>
      <c r="O445" s="41" t="s">
        <v>358</v>
      </c>
      <c r="P445" s="41" t="s">
        <v>3325</v>
      </c>
      <c r="Q445" s="49">
        <f t="shared" si="61"/>
        <v>260</v>
      </c>
      <c r="R445" s="43">
        <f t="shared" si="62"/>
        <v>805.7</v>
      </c>
      <c r="S445" s="41" t="s">
        <v>744</v>
      </c>
      <c r="T445" s="48" t="str">
        <f t="shared" si="65"/>
        <v>(4,'SP2-LR1','Station de Pompage SP2-LR1','Monday-01-jj','Monday-01-jj',NULL,1,10),</v>
      </c>
    </row>
    <row r="446" spans="1:20" ht="20.100000000000001" customHeight="1" x14ac:dyDescent="0.25">
      <c r="A446" s="38">
        <v>25</v>
      </c>
      <c r="B446" s="38">
        <v>451</v>
      </c>
      <c r="C446" s="38" t="s">
        <v>3372</v>
      </c>
      <c r="D446" s="38">
        <v>12</v>
      </c>
      <c r="E446" s="39" t="str">
        <f t="shared" ref="E446:E453" si="70">CONCATENATE("PS-",TEXT(A446,"00"),"-",O446)</f>
        <v>PS-25-LR1</v>
      </c>
      <c r="F446" s="48" t="str">
        <f t="shared" ref="F446:F453" si="71">CONCATENATE("Poste de Sectionnement n°",TEXT(A446,"00")," ",O446)</f>
        <v>Poste de Sectionnement n°25 LR1</v>
      </c>
      <c r="G446" s="19">
        <v>35065</v>
      </c>
      <c r="H446" s="19">
        <v>35065</v>
      </c>
      <c r="I446" s="41" t="s">
        <v>20</v>
      </c>
      <c r="J446" s="41">
        <v>1</v>
      </c>
      <c r="K446" s="41" t="s">
        <v>3557</v>
      </c>
      <c r="L446" s="41">
        <v>16</v>
      </c>
      <c r="M446" s="41"/>
      <c r="N446" s="41"/>
      <c r="O446" s="41" t="s">
        <v>358</v>
      </c>
      <c r="P446" s="41" t="s">
        <v>1818</v>
      </c>
      <c r="Q446" s="43">
        <f t="shared" si="61"/>
        <v>318</v>
      </c>
      <c r="R446" s="43">
        <f t="shared" si="62"/>
        <v>837.6</v>
      </c>
      <c r="S446" s="41" t="s">
        <v>745</v>
      </c>
      <c r="T446" s="48" t="str">
        <f t="shared" si="65"/>
        <v>(25,'PS-25-LR1','Poste de Sectionnement n°25 LR1','Monday-01-jj','Monday-01-jj',NULL,1,),</v>
      </c>
    </row>
    <row r="447" spans="1:20" ht="20.100000000000001" customHeight="1" x14ac:dyDescent="0.25">
      <c r="A447" s="38">
        <v>26</v>
      </c>
      <c r="B447" s="38">
        <v>452</v>
      </c>
      <c r="C447" s="38" t="s">
        <v>3372</v>
      </c>
      <c r="D447" s="38">
        <v>12</v>
      </c>
      <c r="E447" s="39" t="str">
        <f t="shared" si="70"/>
        <v>PS-26-LR1</v>
      </c>
      <c r="F447" s="48" t="str">
        <f t="shared" si="71"/>
        <v>Poste de Sectionnement n°26 LR1</v>
      </c>
      <c r="G447" s="19">
        <v>35065</v>
      </c>
      <c r="H447" s="19">
        <v>35065</v>
      </c>
      <c r="I447" s="41" t="s">
        <v>20</v>
      </c>
      <c r="J447" s="41">
        <v>1</v>
      </c>
      <c r="K447" s="41" t="s">
        <v>3557</v>
      </c>
      <c r="L447" s="41">
        <v>16</v>
      </c>
      <c r="M447" s="41"/>
      <c r="N447" s="41"/>
      <c r="O447" s="41" t="s">
        <v>358</v>
      </c>
      <c r="P447" s="41" t="s">
        <v>1819</v>
      </c>
      <c r="Q447" s="43">
        <f t="shared" si="61"/>
        <v>352</v>
      </c>
      <c r="R447" s="43">
        <f t="shared" si="62"/>
        <v>857.5</v>
      </c>
      <c r="S447" s="41" t="s">
        <v>745</v>
      </c>
      <c r="T447" s="48" t="str">
        <f t="shared" si="65"/>
        <v>(26,'PS-26-LR1','Poste de Sectionnement n°26 LR1','Monday-01-jj','Monday-01-jj',NULL,1,),</v>
      </c>
    </row>
    <row r="448" spans="1:20" ht="20.100000000000001" customHeight="1" x14ac:dyDescent="0.25">
      <c r="A448" s="38">
        <v>27</v>
      </c>
      <c r="B448" s="38">
        <v>453</v>
      </c>
      <c r="C448" s="38" t="s">
        <v>3372</v>
      </c>
      <c r="D448" s="38">
        <v>12</v>
      </c>
      <c r="E448" s="39" t="str">
        <f t="shared" si="70"/>
        <v>PS-27-LR1</v>
      </c>
      <c r="F448" s="48" t="str">
        <f t="shared" si="71"/>
        <v>Poste de Sectionnement n°27 LR1</v>
      </c>
      <c r="G448" s="19">
        <v>35065</v>
      </c>
      <c r="H448" s="19">
        <v>35065</v>
      </c>
      <c r="I448" s="41" t="s">
        <v>20</v>
      </c>
      <c r="J448" s="41">
        <v>1</v>
      </c>
      <c r="K448" s="41" t="s">
        <v>3557</v>
      </c>
      <c r="L448" s="41">
        <v>16</v>
      </c>
      <c r="M448" s="41"/>
      <c r="N448" s="41"/>
      <c r="O448" s="41" t="s">
        <v>358</v>
      </c>
      <c r="P448" s="41" t="s">
        <v>1820</v>
      </c>
      <c r="Q448" s="43">
        <f t="shared" si="61"/>
        <v>412</v>
      </c>
      <c r="R448" s="43">
        <f t="shared" si="62"/>
        <v>878.5</v>
      </c>
      <c r="S448" s="41" t="s">
        <v>745</v>
      </c>
      <c r="T448" s="48" t="str">
        <f t="shared" si="65"/>
        <v>(27,'PS-27-LR1','Poste de Sectionnement n°27 LR1','Monday-01-jj','Monday-01-jj',NULL,1,),</v>
      </c>
    </row>
    <row r="449" spans="1:20" ht="20.100000000000001" customHeight="1" x14ac:dyDescent="0.25">
      <c r="A449" s="38">
        <v>28</v>
      </c>
      <c r="B449" s="38">
        <v>454</v>
      </c>
      <c r="C449" s="38" t="s">
        <v>3372</v>
      </c>
      <c r="D449" s="38">
        <v>12</v>
      </c>
      <c r="E449" s="39" t="str">
        <f t="shared" si="70"/>
        <v>PS-28-LR1</v>
      </c>
      <c r="F449" s="48" t="str">
        <f t="shared" si="71"/>
        <v>Poste de Sectionnement n°28 LR1</v>
      </c>
      <c r="G449" s="19">
        <v>35065</v>
      </c>
      <c r="H449" s="19">
        <v>35065</v>
      </c>
      <c r="I449" s="41" t="s">
        <v>20</v>
      </c>
      <c r="J449" s="41">
        <v>1</v>
      </c>
      <c r="K449" s="41" t="s">
        <v>3557</v>
      </c>
      <c r="L449" s="41">
        <v>16</v>
      </c>
      <c r="M449" s="41"/>
      <c r="N449" s="41"/>
      <c r="O449" s="41" t="s">
        <v>358</v>
      </c>
      <c r="P449" s="41" t="s">
        <v>1821</v>
      </c>
      <c r="Q449" s="43">
        <f t="shared" si="61"/>
        <v>496</v>
      </c>
      <c r="R449" s="43">
        <f t="shared" si="62"/>
        <v>900.7</v>
      </c>
      <c r="S449" s="41" t="s">
        <v>1827</v>
      </c>
      <c r="T449" s="48" t="str">
        <f t="shared" si="65"/>
        <v>(28,'PS-28-LR1','Poste de Sectionnement n°28 LR1','Monday-01-jj','Monday-01-jj',NULL,1,),</v>
      </c>
    </row>
    <row r="450" spans="1:20" ht="20.100000000000001" customHeight="1" x14ac:dyDescent="0.25">
      <c r="A450" s="38">
        <v>29</v>
      </c>
      <c r="B450" s="38">
        <v>455</v>
      </c>
      <c r="C450" s="38" t="s">
        <v>3372</v>
      </c>
      <c r="D450" s="38">
        <v>12</v>
      </c>
      <c r="E450" s="39" t="str">
        <f t="shared" si="70"/>
        <v>PS-29-LR1</v>
      </c>
      <c r="F450" s="48" t="str">
        <f t="shared" si="71"/>
        <v>Poste de Sectionnement n°29 LR1</v>
      </c>
      <c r="G450" s="19">
        <v>35065</v>
      </c>
      <c r="H450" s="19">
        <v>35065</v>
      </c>
      <c r="I450" s="41" t="s">
        <v>20</v>
      </c>
      <c r="J450" s="41">
        <v>1</v>
      </c>
      <c r="K450" s="41" t="s">
        <v>3557</v>
      </c>
      <c r="L450" s="41">
        <v>16</v>
      </c>
      <c r="M450" s="41"/>
      <c r="N450" s="41"/>
      <c r="O450" s="41" t="s">
        <v>358</v>
      </c>
      <c r="P450" s="41" t="s">
        <v>1822</v>
      </c>
      <c r="Q450" s="43">
        <f t="shared" si="61"/>
        <v>558</v>
      </c>
      <c r="R450" s="43">
        <f t="shared" si="62"/>
        <v>918.3</v>
      </c>
      <c r="S450" s="41" t="s">
        <v>1828</v>
      </c>
      <c r="T450" s="48" t="str">
        <f t="shared" si="65"/>
        <v>(29,'PS-29-LR1','Poste de Sectionnement n°29 LR1','Monday-01-jj','Monday-01-jj',NULL,1,),</v>
      </c>
    </row>
    <row r="451" spans="1:20" ht="20.100000000000001" customHeight="1" x14ac:dyDescent="0.25">
      <c r="A451" s="38">
        <v>30</v>
      </c>
      <c r="B451" s="38">
        <v>456</v>
      </c>
      <c r="C451" s="38" t="s">
        <v>3372</v>
      </c>
      <c r="D451" s="38">
        <v>12</v>
      </c>
      <c r="E451" s="39" t="str">
        <f t="shared" si="70"/>
        <v>PS-30-LR1</v>
      </c>
      <c r="F451" s="48" t="str">
        <f t="shared" si="71"/>
        <v>Poste de Sectionnement n°30 LR1</v>
      </c>
      <c r="G451" s="19">
        <v>35065</v>
      </c>
      <c r="H451" s="19">
        <v>35065</v>
      </c>
      <c r="I451" s="41" t="s">
        <v>20</v>
      </c>
      <c r="J451" s="41">
        <v>1</v>
      </c>
      <c r="K451" s="41" t="s">
        <v>3557</v>
      </c>
      <c r="L451" s="41">
        <v>16</v>
      </c>
      <c r="M451" s="41"/>
      <c r="N451" s="41"/>
      <c r="O451" s="41" t="s">
        <v>358</v>
      </c>
      <c r="P451" s="41" t="s">
        <v>1823</v>
      </c>
      <c r="Q451" s="43">
        <f t="shared" si="61"/>
        <v>626</v>
      </c>
      <c r="R451" s="43">
        <f t="shared" si="62"/>
        <v>936.6</v>
      </c>
      <c r="S451" s="41" t="s">
        <v>1829</v>
      </c>
      <c r="T451" s="48" t="str">
        <f t="shared" si="65"/>
        <v>(30,'PS-30-LR1','Poste de Sectionnement n°30 LR1','Monday-01-jj','Monday-01-jj',NULL,1,),</v>
      </c>
    </row>
    <row r="452" spans="1:20" ht="20.100000000000001" customHeight="1" x14ac:dyDescent="0.25">
      <c r="A452" s="38">
        <v>31</v>
      </c>
      <c r="B452" s="38">
        <v>457</v>
      </c>
      <c r="C452" s="38" t="s">
        <v>3372</v>
      </c>
      <c r="D452" s="38">
        <v>12</v>
      </c>
      <c r="E452" s="39" t="str">
        <f t="shared" si="70"/>
        <v>PS-31-LR1</v>
      </c>
      <c r="F452" s="48" t="str">
        <f t="shared" si="71"/>
        <v>Poste de Sectionnement n°31 LR1</v>
      </c>
      <c r="G452" s="19">
        <v>35065</v>
      </c>
      <c r="H452" s="19">
        <v>35065</v>
      </c>
      <c r="I452" s="41" t="s">
        <v>20</v>
      </c>
      <c r="J452" s="41">
        <v>1</v>
      </c>
      <c r="K452" s="41" t="s">
        <v>3557</v>
      </c>
      <c r="L452" s="41">
        <v>16</v>
      </c>
      <c r="M452" s="41"/>
      <c r="N452" s="41"/>
      <c r="O452" s="41" t="s">
        <v>358</v>
      </c>
      <c r="P452" s="41" t="s">
        <v>1824</v>
      </c>
      <c r="Q452" s="43">
        <f t="shared" si="61"/>
        <v>708</v>
      </c>
      <c r="R452" s="43">
        <f t="shared" si="62"/>
        <v>954.3</v>
      </c>
      <c r="S452" s="41" t="s">
        <v>1829</v>
      </c>
      <c r="T452" s="48" t="str">
        <f t="shared" si="65"/>
        <v>(31,'PS-31-LR1','Poste de Sectionnement n°31 LR1','Monday-01-jj','Monday-01-jj',NULL,1,),</v>
      </c>
    </row>
    <row r="453" spans="1:20" ht="20.100000000000001" customHeight="1" x14ac:dyDescent="0.25">
      <c r="A453" s="38">
        <v>32</v>
      </c>
      <c r="B453" s="38">
        <v>458</v>
      </c>
      <c r="C453" s="38" t="s">
        <v>3372</v>
      </c>
      <c r="D453" s="38">
        <v>12</v>
      </c>
      <c r="E453" s="39" t="str">
        <f t="shared" si="70"/>
        <v>PS-32-LR1</v>
      </c>
      <c r="F453" s="48" t="str">
        <f t="shared" si="71"/>
        <v>Poste de Sectionnement n°32 LR1</v>
      </c>
      <c r="G453" s="19">
        <v>35065</v>
      </c>
      <c r="H453" s="19">
        <v>35065</v>
      </c>
      <c r="I453" s="41" t="s">
        <v>20</v>
      </c>
      <c r="J453" s="41">
        <v>1</v>
      </c>
      <c r="K453" s="41" t="s">
        <v>3557</v>
      </c>
      <c r="L453" s="41">
        <v>16</v>
      </c>
      <c r="M453" s="41"/>
      <c r="N453" s="41"/>
      <c r="O453" s="41" t="s">
        <v>358</v>
      </c>
      <c r="P453" s="41" t="s">
        <v>1825</v>
      </c>
      <c r="Q453" s="43">
        <f t="shared" si="61"/>
        <v>770</v>
      </c>
      <c r="R453" s="43">
        <f t="shared" si="62"/>
        <v>971.3</v>
      </c>
      <c r="S453" s="41" t="s">
        <v>1830</v>
      </c>
      <c r="T453" s="48" t="str">
        <f t="shared" si="65"/>
        <v>(32,'PS-32-LR1','Poste de Sectionnement n°32 LR1','Monday-01-jj','Monday-01-jj',NULL,1,),</v>
      </c>
    </row>
    <row r="454" spans="1:20" ht="20.100000000000001" customHeight="1" x14ac:dyDescent="0.25">
      <c r="A454" s="38">
        <v>1</v>
      </c>
      <c r="B454" s="38">
        <v>459</v>
      </c>
      <c r="C454" s="38" t="s">
        <v>367</v>
      </c>
      <c r="D454" s="38">
        <v>13</v>
      </c>
      <c r="E454" s="39" t="str">
        <f>CONCATENATE("PPUR-",TEXT(A454,"00"),"-",O454)</f>
        <v>PPUR-01-GZ0</v>
      </c>
      <c r="F454" s="48" t="str">
        <f>CONCATENATE("Poste de Purge n°",TEXT(A454,"00")," ",O454)</f>
        <v>Poste de Purge n°01 GZ0</v>
      </c>
      <c r="G454" s="19">
        <v>22282</v>
      </c>
      <c r="H454" s="19">
        <v>22282</v>
      </c>
      <c r="I454" s="19">
        <v>44838</v>
      </c>
      <c r="J454" s="41">
        <v>8</v>
      </c>
      <c r="K454" s="41" t="s">
        <v>3558</v>
      </c>
      <c r="L454" s="41">
        <v>17</v>
      </c>
      <c r="M454" s="41"/>
      <c r="N454" s="41"/>
      <c r="O454" s="41" t="s">
        <v>367</v>
      </c>
      <c r="P454" s="41" t="s">
        <v>2810</v>
      </c>
      <c r="Q454" s="49">
        <f t="shared" si="61"/>
        <v>732.65</v>
      </c>
      <c r="R454" s="43">
        <f t="shared" si="62"/>
        <v>19.256</v>
      </c>
      <c r="S454" s="41" t="s">
        <v>790</v>
      </c>
      <c r="T454" s="48" t="str">
        <f t="shared" si="65"/>
        <v>(1,'PPUR-01-GZ0','Poste de Purge n°01 GZ0','Sunday-01-jj','Sunday-01-jj',44838,8,),</v>
      </c>
    </row>
    <row r="455" spans="1:20" ht="20.100000000000001" customHeight="1" x14ac:dyDescent="0.25">
      <c r="A455" s="38">
        <v>1</v>
      </c>
      <c r="B455" s="38">
        <v>460</v>
      </c>
      <c r="C455" s="38" t="s">
        <v>367</v>
      </c>
      <c r="D455" s="38">
        <v>13</v>
      </c>
      <c r="E455" s="39" t="str">
        <f>CONCATENATE("PS-",TEXT(A455,"00"),"-",O455)</f>
        <v>PS-01-GZ0</v>
      </c>
      <c r="F455" s="48" t="str">
        <f>CONCATENATE("Poste de Sectionnement n°",TEXT(A455,"00")," ",O455)</f>
        <v>Poste de Sectionnement n°01 GZ0</v>
      </c>
      <c r="G455" s="19">
        <v>22282</v>
      </c>
      <c r="H455" s="19">
        <v>22282</v>
      </c>
      <c r="I455" s="19">
        <v>44838</v>
      </c>
      <c r="J455" s="41">
        <v>8</v>
      </c>
      <c r="K455" s="41" t="s">
        <v>3557</v>
      </c>
      <c r="L455" s="41">
        <v>16</v>
      </c>
      <c r="M455" s="41"/>
      <c r="N455" s="41"/>
      <c r="O455" s="41" t="s">
        <v>367</v>
      </c>
      <c r="P455" s="41" t="s">
        <v>1893</v>
      </c>
      <c r="Q455" s="43">
        <f t="shared" si="61"/>
        <v>829.2</v>
      </c>
      <c r="R455" s="43">
        <f t="shared" si="62"/>
        <v>56.305999999999997</v>
      </c>
      <c r="S455" s="41" t="s">
        <v>790</v>
      </c>
      <c r="T455" s="48" t="str">
        <f t="shared" si="65"/>
        <v>(1,'PS-01-GZ0','Poste de Sectionnement n°01 GZ0','Sunday-01-jj','Sunday-01-jj',44838,8,),</v>
      </c>
    </row>
    <row r="456" spans="1:20" ht="20.100000000000001" customHeight="1" x14ac:dyDescent="0.25">
      <c r="A456" s="38">
        <v>2</v>
      </c>
      <c r="B456" s="38">
        <v>461</v>
      </c>
      <c r="C456" s="38" t="s">
        <v>367</v>
      </c>
      <c r="D456" s="38">
        <v>13</v>
      </c>
      <c r="E456" s="39" t="str">
        <f>CONCATENATE("PPUR-",TEXT(A456,"00"),"-",O456)</f>
        <v>PPUR-02-GZ0</v>
      </c>
      <c r="F456" s="48" t="str">
        <f>CONCATENATE("Poste de Purge n°",TEXT(A456,"00")," ",O456)</f>
        <v>Poste de Purge n°02 GZ0</v>
      </c>
      <c r="G456" s="19">
        <v>22282</v>
      </c>
      <c r="H456" s="19">
        <v>22282</v>
      </c>
      <c r="I456" s="19">
        <v>44838</v>
      </c>
      <c r="J456" s="41">
        <v>8</v>
      </c>
      <c r="K456" s="41" t="s">
        <v>3558</v>
      </c>
      <c r="L456" s="41">
        <v>17</v>
      </c>
      <c r="M456" s="41"/>
      <c r="N456" s="41"/>
      <c r="O456" s="41" t="s">
        <v>367</v>
      </c>
      <c r="P456" s="41" t="s">
        <v>2811</v>
      </c>
      <c r="Q456" s="49">
        <f t="shared" ref="Q456:Q519" si="72">VALUE(RIGHT(P456,LEN(P456)-SEARCH("/",P456)))</f>
        <v>770.8</v>
      </c>
      <c r="R456" s="43">
        <f t="shared" ref="R456:R519" si="73">VALUE(SUBSTITUTE(LEFT(P456,SEARCH("/",P456)-1),"+",","))</f>
        <v>99.924999999999997</v>
      </c>
      <c r="S456" s="41" t="s">
        <v>1741</v>
      </c>
      <c r="T456" s="48" t="str">
        <f t="shared" si="65"/>
        <v>(2,'PPUR-02-GZ0','Poste de Purge n°02 GZ0','Sunday-01-jj','Sunday-01-jj',44838,8,),</v>
      </c>
    </row>
    <row r="457" spans="1:20" ht="20.100000000000001" customHeight="1" x14ac:dyDescent="0.25">
      <c r="A457" s="38">
        <v>1</v>
      </c>
      <c r="B457" s="38">
        <v>462</v>
      </c>
      <c r="C457" s="38" t="s">
        <v>367</v>
      </c>
      <c r="D457" s="38">
        <v>13</v>
      </c>
      <c r="E457" s="39" t="str">
        <f>CONCATENATE("PC-",TEXT(A457,"00"),"-",O457)</f>
        <v>PC-01-GZ0</v>
      </c>
      <c r="F457" s="48" t="str">
        <f>CONCATENATE("Poste de Coupure n°",TEXT(A457,"00")," ",O457)</f>
        <v>Poste de Coupure n°01 GZ0</v>
      </c>
      <c r="G457" s="19">
        <v>22282</v>
      </c>
      <c r="H457" s="19">
        <v>22282</v>
      </c>
      <c r="I457" s="19" t="s">
        <v>20</v>
      </c>
      <c r="J457" s="41">
        <v>8</v>
      </c>
      <c r="K457" s="41" t="s">
        <v>3556</v>
      </c>
      <c r="L457" s="41">
        <v>15</v>
      </c>
      <c r="M457" s="41"/>
      <c r="N457" s="41"/>
      <c r="O457" s="41" t="s">
        <v>367</v>
      </c>
      <c r="P457" s="41" t="s">
        <v>2820</v>
      </c>
      <c r="Q457" s="49">
        <f t="shared" si="72"/>
        <v>820.4</v>
      </c>
      <c r="R457" s="43">
        <f t="shared" si="73"/>
        <v>114.15900000000001</v>
      </c>
      <c r="S457" s="41" t="s">
        <v>2824</v>
      </c>
      <c r="T457" s="48" t="str">
        <f t="shared" si="65"/>
        <v>(1,'PC-01-GZ0','Poste de Coupure n°01 GZ0','Sunday-01-jj','Sunday-01-jj',NULL,8,),</v>
      </c>
    </row>
    <row r="458" spans="1:20" ht="20.100000000000001" customHeight="1" x14ac:dyDescent="0.25">
      <c r="A458" s="38">
        <v>1</v>
      </c>
      <c r="B458" s="38">
        <v>463</v>
      </c>
      <c r="C458" s="38" t="s">
        <v>367</v>
      </c>
      <c r="D458" s="38">
        <v>13</v>
      </c>
      <c r="E458" s="39" t="s">
        <v>170</v>
      </c>
      <c r="F458" s="48" t="str">
        <f>CONCATENATE("Station de Pompage ",E458)</f>
        <v>Station de Pompage SC1-GZ0</v>
      </c>
      <c r="G458" s="19">
        <v>23743</v>
      </c>
      <c r="H458" s="19">
        <v>23743</v>
      </c>
      <c r="I458" s="19">
        <v>44838</v>
      </c>
      <c r="J458" s="41">
        <v>8</v>
      </c>
      <c r="K458" s="41" t="s">
        <v>3552</v>
      </c>
      <c r="L458" s="41">
        <v>7</v>
      </c>
      <c r="M458" s="41">
        <v>10</v>
      </c>
      <c r="N458" s="41"/>
      <c r="O458" s="41" t="s">
        <v>367</v>
      </c>
      <c r="P458" s="41" t="s">
        <v>2820</v>
      </c>
      <c r="Q458" s="49">
        <f t="shared" si="72"/>
        <v>820.4</v>
      </c>
      <c r="R458" s="43">
        <f t="shared" si="73"/>
        <v>114.15900000000001</v>
      </c>
      <c r="S458" s="41" t="s">
        <v>2824</v>
      </c>
      <c r="T458" s="48" t="str">
        <f t="shared" si="65"/>
        <v>(1,'SC1-GZ0','Station de Pompage SC1-GZ0','Friday-01-jj','Friday-01-jj',44838,8,10),</v>
      </c>
    </row>
    <row r="459" spans="1:20" ht="20.100000000000001" customHeight="1" x14ac:dyDescent="0.25">
      <c r="A459" s="38">
        <v>3</v>
      </c>
      <c r="B459" s="38">
        <v>464</v>
      </c>
      <c r="C459" s="38" t="s">
        <v>367</v>
      </c>
      <c r="D459" s="38">
        <v>13</v>
      </c>
      <c r="E459" s="39" t="str">
        <f>CONCATENATE("PPUR-",TEXT(A459,"00"),"-",O459)</f>
        <v>PPUR-03-GZ0</v>
      </c>
      <c r="F459" s="48" t="str">
        <f>CONCATENATE("Poste de Purge n°",TEXT(A459,"00")," ",O459)</f>
        <v>Poste de Purge n°03 GZ0</v>
      </c>
      <c r="G459" s="19">
        <v>22282</v>
      </c>
      <c r="H459" s="19">
        <v>22282</v>
      </c>
      <c r="I459" s="19">
        <v>44838</v>
      </c>
      <c r="J459" s="41">
        <v>8</v>
      </c>
      <c r="K459" s="41" t="s">
        <v>3558</v>
      </c>
      <c r="L459" s="41">
        <v>17</v>
      </c>
      <c r="M459" s="41"/>
      <c r="N459" s="41"/>
      <c r="O459" s="41" t="s">
        <v>367</v>
      </c>
      <c r="P459" s="41" t="s">
        <v>2812</v>
      </c>
      <c r="Q459" s="49">
        <f t="shared" si="72"/>
        <v>926.7</v>
      </c>
      <c r="R459" s="43">
        <f t="shared" si="73"/>
        <v>126.151</v>
      </c>
      <c r="S459" s="41" t="s">
        <v>1741</v>
      </c>
      <c r="T459" s="48" t="str">
        <f t="shared" si="65"/>
        <v>(3,'PPUR-03-GZ0','Poste de Purge n°03 GZ0','Sunday-01-jj','Sunday-01-jj',44838,8,),</v>
      </c>
    </row>
    <row r="460" spans="1:20" ht="20.100000000000001" customHeight="1" x14ac:dyDescent="0.25">
      <c r="A460" s="38">
        <v>4</v>
      </c>
      <c r="B460" s="38">
        <v>465</v>
      </c>
      <c r="C460" s="38" t="s">
        <v>367</v>
      </c>
      <c r="D460" s="38">
        <v>13</v>
      </c>
      <c r="E460" s="39" t="str">
        <f>CONCATENATE("PPUR-",TEXT(A460,"00"),"-",O460)</f>
        <v>PPUR-04-GZ0</v>
      </c>
      <c r="F460" s="48" t="str">
        <f>CONCATENATE("Poste de Purge n°",TEXT(A460,"00")," ",O460)</f>
        <v>Poste de Purge n°04 GZ0</v>
      </c>
      <c r="G460" s="19">
        <v>22282</v>
      </c>
      <c r="H460" s="19">
        <v>22282</v>
      </c>
      <c r="I460" s="19">
        <v>44838</v>
      </c>
      <c r="J460" s="41">
        <v>8</v>
      </c>
      <c r="K460" s="41" t="s">
        <v>3558</v>
      </c>
      <c r="L460" s="41">
        <v>17</v>
      </c>
      <c r="M460" s="41"/>
      <c r="N460" s="41"/>
      <c r="O460" s="41" t="s">
        <v>367</v>
      </c>
      <c r="P460" s="41" t="s">
        <v>2797</v>
      </c>
      <c r="Q460" s="49">
        <f t="shared" si="72"/>
        <v>1047</v>
      </c>
      <c r="R460" s="43">
        <f t="shared" si="73"/>
        <v>144.14699999999999</v>
      </c>
      <c r="S460" s="41" t="s">
        <v>1741</v>
      </c>
      <c r="T460" s="48" t="str">
        <f t="shared" si="65"/>
        <v>(4,'PPUR-04-GZ0','Poste de Purge n°04 GZ0','Sunday-01-jj','Sunday-01-jj',44838,8,),</v>
      </c>
    </row>
    <row r="461" spans="1:20" ht="20.100000000000001" customHeight="1" x14ac:dyDescent="0.25">
      <c r="A461" s="38">
        <v>5</v>
      </c>
      <c r="B461" s="38">
        <v>466</v>
      </c>
      <c r="C461" s="38" t="s">
        <v>367</v>
      </c>
      <c r="D461" s="38">
        <v>13</v>
      </c>
      <c r="E461" s="39" t="str">
        <f>CONCATENATE("PPUR-",TEXT(A461,"00"),"-",O461)</f>
        <v>PPUR-05-GZ0</v>
      </c>
      <c r="F461" s="48" t="str">
        <f>CONCATENATE("Poste de Purge n°",TEXT(A461,"00")," ",O461)</f>
        <v>Poste de Purge n°05 GZ0</v>
      </c>
      <c r="G461" s="19">
        <v>22282</v>
      </c>
      <c r="H461" s="19">
        <v>22282</v>
      </c>
      <c r="I461" s="19">
        <v>44838</v>
      </c>
      <c r="J461" s="41">
        <v>8</v>
      </c>
      <c r="K461" s="41" t="s">
        <v>3558</v>
      </c>
      <c r="L461" s="41">
        <v>17</v>
      </c>
      <c r="M461" s="41"/>
      <c r="N461" s="41"/>
      <c r="O461" s="41" t="s">
        <v>367</v>
      </c>
      <c r="P461" s="41" t="s">
        <v>2798</v>
      </c>
      <c r="Q461" s="49">
        <f t="shared" si="72"/>
        <v>1180</v>
      </c>
      <c r="R461" s="43">
        <f t="shared" si="73"/>
        <v>156.40299999999999</v>
      </c>
      <c r="S461" s="41" t="s">
        <v>1741</v>
      </c>
      <c r="T461" s="48" t="str">
        <f t="shared" si="65"/>
        <v>(5,'PPUR-05-GZ0','Poste de Purge n°05 GZ0','Sunday-01-jj','Sunday-01-jj',44838,8,),</v>
      </c>
    </row>
    <row r="462" spans="1:20" ht="20.100000000000001" customHeight="1" x14ac:dyDescent="0.25">
      <c r="A462" s="38">
        <v>2</v>
      </c>
      <c r="B462" s="38">
        <v>467</v>
      </c>
      <c r="C462" s="38" t="s">
        <v>367</v>
      </c>
      <c r="D462" s="38">
        <v>13</v>
      </c>
      <c r="E462" s="39" t="str">
        <f>CONCATENATE("PS-",TEXT(A462,"00"),"-",O462)</f>
        <v>PS-02-GZ0</v>
      </c>
      <c r="F462" s="48" t="str">
        <f>CONCATENATE("Poste de Sectionnement n°",TEXT(A462,"00")," ",O462)</f>
        <v>Poste de Sectionnement n°02 GZ0</v>
      </c>
      <c r="G462" s="19">
        <v>22282</v>
      </c>
      <c r="H462" s="19">
        <v>22282</v>
      </c>
      <c r="I462" s="19">
        <v>44838</v>
      </c>
      <c r="J462" s="41">
        <v>8</v>
      </c>
      <c r="K462" s="41" t="s">
        <v>3557</v>
      </c>
      <c r="L462" s="41">
        <v>16</v>
      </c>
      <c r="M462" s="41"/>
      <c r="N462" s="41"/>
      <c r="O462" s="41" t="s">
        <v>367</v>
      </c>
      <c r="P462" s="41" t="s">
        <v>1859</v>
      </c>
      <c r="Q462" s="43">
        <f t="shared" si="72"/>
        <v>1238</v>
      </c>
      <c r="R462" s="43">
        <f t="shared" si="73"/>
        <v>168.131</v>
      </c>
      <c r="S462" s="41" t="s">
        <v>1741</v>
      </c>
      <c r="T462" s="48" t="str">
        <f t="shared" si="65"/>
        <v>(2,'PS-02-GZ0','Poste de Sectionnement n°02 GZ0','Sunday-01-jj','Sunday-01-jj',44838,8,),</v>
      </c>
    </row>
    <row r="463" spans="1:20" ht="20.100000000000001" customHeight="1" x14ac:dyDescent="0.25">
      <c r="A463" s="38">
        <v>6</v>
      </c>
      <c r="B463" s="38">
        <v>468</v>
      </c>
      <c r="C463" s="38" t="s">
        <v>367</v>
      </c>
      <c r="D463" s="38">
        <v>13</v>
      </c>
      <c r="E463" s="39" t="str">
        <f>CONCATENATE("PPUR-",TEXT(A463,"00"),"-",O463)</f>
        <v>PPUR-06-GZ0</v>
      </c>
      <c r="F463" s="48" t="str">
        <f>CONCATENATE("Poste de Purge n°",TEXT(A463,"00")," ",O463)</f>
        <v>Poste de Purge n°06 GZ0</v>
      </c>
      <c r="G463" s="19">
        <v>22282</v>
      </c>
      <c r="H463" s="19">
        <v>22282</v>
      </c>
      <c r="I463" s="19">
        <v>44838</v>
      </c>
      <c r="J463" s="41">
        <v>8</v>
      </c>
      <c r="K463" s="41" t="s">
        <v>3558</v>
      </c>
      <c r="L463" s="41">
        <v>17</v>
      </c>
      <c r="M463" s="41"/>
      <c r="N463" s="41"/>
      <c r="O463" s="41" t="s">
        <v>367</v>
      </c>
      <c r="P463" s="41" t="s">
        <v>2799</v>
      </c>
      <c r="Q463" s="49">
        <f t="shared" si="72"/>
        <v>1238</v>
      </c>
      <c r="R463" s="43">
        <f t="shared" si="73"/>
        <v>168.16399999999999</v>
      </c>
      <c r="S463" s="41" t="s">
        <v>1741</v>
      </c>
      <c r="T463" s="48" t="str">
        <f t="shared" si="65"/>
        <v>(6,'PPUR-06-GZ0','Poste de Purge n°06 GZ0','Sunday-01-jj','Sunday-01-jj',44838,8,),</v>
      </c>
    </row>
    <row r="464" spans="1:20" ht="20.100000000000001" customHeight="1" x14ac:dyDescent="0.25">
      <c r="A464" s="38">
        <v>7</v>
      </c>
      <c r="B464" s="38">
        <v>469</v>
      </c>
      <c r="C464" s="38" t="s">
        <v>367</v>
      </c>
      <c r="D464" s="38">
        <v>13</v>
      </c>
      <c r="E464" s="39" t="str">
        <f>CONCATENATE("PPUR-",TEXT(A464,"00"),"-",O464)</f>
        <v>PPUR-07-GZ0</v>
      </c>
      <c r="F464" s="48" t="str">
        <f>CONCATENATE("Poste de Purge n°",TEXT(A464,"00")," ",O464)</f>
        <v>Poste de Purge n°07 GZ0</v>
      </c>
      <c r="G464" s="19">
        <v>22282</v>
      </c>
      <c r="H464" s="19">
        <v>22282</v>
      </c>
      <c r="I464" s="19">
        <v>44838</v>
      </c>
      <c r="J464" s="41">
        <v>8</v>
      </c>
      <c r="K464" s="41" t="s">
        <v>3558</v>
      </c>
      <c r="L464" s="41">
        <v>17</v>
      </c>
      <c r="M464" s="41"/>
      <c r="N464" s="41"/>
      <c r="O464" s="41" t="s">
        <v>367</v>
      </c>
      <c r="P464" s="41" t="s">
        <v>2800</v>
      </c>
      <c r="Q464" s="49">
        <f t="shared" si="72"/>
        <v>1098</v>
      </c>
      <c r="R464" s="43">
        <f t="shared" si="73"/>
        <v>187.983</v>
      </c>
      <c r="S464" s="41" t="s">
        <v>2017</v>
      </c>
      <c r="T464" s="48" t="str">
        <f t="shared" si="65"/>
        <v>(7,'PPUR-07-GZ0','Poste de Purge n°07 GZ0','Sunday-01-jj','Sunday-01-jj',44838,8,),</v>
      </c>
    </row>
    <row r="465" spans="1:20" ht="20.100000000000001" customHeight="1" x14ac:dyDescent="0.25">
      <c r="A465" s="38">
        <v>8</v>
      </c>
      <c r="B465" s="38">
        <v>470</v>
      </c>
      <c r="C465" s="38" t="s">
        <v>367</v>
      </c>
      <c r="D465" s="38">
        <v>13</v>
      </c>
      <c r="E465" s="39" t="str">
        <f>CONCATENATE("PPUR-",TEXT(A465,"00"),"-",O465)</f>
        <v>PPUR-08-GZ0</v>
      </c>
      <c r="F465" s="48" t="str">
        <f>CONCATENATE("Poste de Purge n°",TEXT(A465,"00")," ",O465)</f>
        <v>Poste de Purge n°08 GZ0</v>
      </c>
      <c r="G465" s="19">
        <v>22282</v>
      </c>
      <c r="H465" s="19">
        <v>22282</v>
      </c>
      <c r="I465" s="19">
        <v>44838</v>
      </c>
      <c r="J465" s="41">
        <v>8</v>
      </c>
      <c r="K465" s="41" t="s">
        <v>3558</v>
      </c>
      <c r="L465" s="41">
        <v>17</v>
      </c>
      <c r="M465" s="41"/>
      <c r="N465" s="41"/>
      <c r="O465" s="41" t="s">
        <v>367</v>
      </c>
      <c r="P465" s="41" t="s">
        <v>2801</v>
      </c>
      <c r="Q465" s="49">
        <f t="shared" si="72"/>
        <v>938</v>
      </c>
      <c r="R465" s="43">
        <f t="shared" si="73"/>
        <v>217.52</v>
      </c>
      <c r="S465" s="41" t="s">
        <v>751</v>
      </c>
      <c r="T465" s="48" t="str">
        <f t="shared" si="65"/>
        <v>(8,'PPUR-08-GZ0','Poste de Purge n°08 GZ0','Sunday-01-jj','Sunday-01-jj',44838,8,),</v>
      </c>
    </row>
    <row r="466" spans="1:20" ht="20.100000000000001" customHeight="1" x14ac:dyDescent="0.25">
      <c r="A466" s="38">
        <v>2</v>
      </c>
      <c r="B466" s="38">
        <v>471</v>
      </c>
      <c r="C466" s="38" t="s">
        <v>367</v>
      </c>
      <c r="D466" s="38">
        <v>13</v>
      </c>
      <c r="E466" s="39" t="str">
        <f>CONCATENATE("PC-",TEXT(A466,"00"),"-",O466)</f>
        <v>PC-02-GZ0</v>
      </c>
      <c r="F466" s="48" t="str">
        <f>CONCATENATE("Poste de Coupure n°",TEXT(A466,"00")," ",O466)</f>
        <v>Poste de Coupure n°02 GZ0</v>
      </c>
      <c r="G466" s="19">
        <v>22282</v>
      </c>
      <c r="H466" s="19">
        <v>22282</v>
      </c>
      <c r="I466" s="19" t="s">
        <v>20</v>
      </c>
      <c r="J466" s="41">
        <v>8</v>
      </c>
      <c r="K466" s="41" t="s">
        <v>3556</v>
      </c>
      <c r="L466" s="41">
        <v>15</v>
      </c>
      <c r="M466" s="41"/>
      <c r="N466" s="41"/>
      <c r="O466" s="41" t="s">
        <v>367</v>
      </c>
      <c r="P466" s="41" t="s">
        <v>2821</v>
      </c>
      <c r="Q466" s="49">
        <f t="shared" si="72"/>
        <v>970.8</v>
      </c>
      <c r="R466" s="43">
        <f t="shared" si="73"/>
        <v>226.49700000000001</v>
      </c>
      <c r="S466" s="41" t="s">
        <v>2825</v>
      </c>
      <c r="T466" s="48" t="str">
        <f t="shared" si="65"/>
        <v>(2,'PC-02-GZ0','Poste de Coupure n°02 GZ0','Sunday-01-jj','Sunday-01-jj',NULL,8,),</v>
      </c>
    </row>
    <row r="467" spans="1:20" ht="20.100000000000001" customHeight="1" x14ac:dyDescent="0.25">
      <c r="A467" s="38">
        <v>2</v>
      </c>
      <c r="B467" s="38">
        <v>472</v>
      </c>
      <c r="C467" s="38" t="s">
        <v>367</v>
      </c>
      <c r="D467" s="38">
        <v>13</v>
      </c>
      <c r="E467" s="39" t="s">
        <v>172</v>
      </c>
      <c r="F467" s="48" t="str">
        <f>CONCATENATE("Station de Pompage ",E467)</f>
        <v>Station de Pompage SC2-GZ0</v>
      </c>
      <c r="G467" s="19">
        <v>26299</v>
      </c>
      <c r="H467" s="19">
        <v>26299</v>
      </c>
      <c r="I467" s="19">
        <v>44838</v>
      </c>
      <c r="J467" s="41">
        <v>8</v>
      </c>
      <c r="K467" s="41" t="s">
        <v>3552</v>
      </c>
      <c r="L467" s="41">
        <v>7</v>
      </c>
      <c r="M467" s="41">
        <v>10</v>
      </c>
      <c r="N467" s="41"/>
      <c r="O467" s="41" t="s">
        <v>367</v>
      </c>
      <c r="P467" s="41" t="s">
        <v>2821</v>
      </c>
      <c r="Q467" s="49">
        <f t="shared" si="72"/>
        <v>970.8</v>
      </c>
      <c r="R467" s="43">
        <f t="shared" si="73"/>
        <v>226.49700000000001</v>
      </c>
      <c r="S467" s="41" t="s">
        <v>2825</v>
      </c>
      <c r="T467" s="48" t="str">
        <f t="shared" si="65"/>
        <v>(2,'SC2-GZ0','Station de Pompage SC2-GZ0','Saturday-01-jj','Saturday-01-jj',44838,8,10),</v>
      </c>
    </row>
    <row r="468" spans="1:20" ht="20.100000000000001" customHeight="1" x14ac:dyDescent="0.25">
      <c r="A468" s="38">
        <v>9</v>
      </c>
      <c r="B468" s="38">
        <v>473</v>
      </c>
      <c r="C468" s="38" t="s">
        <v>367</v>
      </c>
      <c r="D468" s="38">
        <v>13</v>
      </c>
      <c r="E468" s="39" t="str">
        <f>CONCATENATE("PPUR-",TEXT(A468,"00"),"-",O468)</f>
        <v>PPUR-09-GZ0</v>
      </c>
      <c r="F468" s="48" t="str">
        <f>CONCATENATE("Poste de Purge n°",TEXT(A468,"00")," ",O468)</f>
        <v>Poste de Purge n°09 GZ0</v>
      </c>
      <c r="G468" s="19">
        <v>22282</v>
      </c>
      <c r="H468" s="19">
        <v>22282</v>
      </c>
      <c r="I468" s="19">
        <v>44838</v>
      </c>
      <c r="J468" s="41">
        <v>8</v>
      </c>
      <c r="K468" s="41" t="s">
        <v>3558</v>
      </c>
      <c r="L468" s="41">
        <v>17</v>
      </c>
      <c r="M468" s="41"/>
      <c r="N468" s="41"/>
      <c r="O468" s="41" t="s">
        <v>367</v>
      </c>
      <c r="P468" s="41" t="s">
        <v>2802</v>
      </c>
      <c r="Q468" s="49">
        <f t="shared" si="72"/>
        <v>954</v>
      </c>
      <c r="R468" s="43">
        <f t="shared" si="73"/>
        <v>235.93600000000001</v>
      </c>
      <c r="S468" s="41" t="s">
        <v>2024</v>
      </c>
      <c r="T468" s="48" t="str">
        <f t="shared" si="65"/>
        <v>(9,'PPUR-09-GZ0','Poste de Purge n°09 GZ0','Sunday-01-jj','Sunday-01-jj',44838,8,),</v>
      </c>
    </row>
    <row r="469" spans="1:20" ht="20.100000000000001" customHeight="1" x14ac:dyDescent="0.25">
      <c r="A469" s="38">
        <v>3</v>
      </c>
      <c r="B469" s="38">
        <v>474</v>
      </c>
      <c r="C469" s="38" t="s">
        <v>367</v>
      </c>
      <c r="D469" s="38">
        <v>13</v>
      </c>
      <c r="E469" s="39" t="str">
        <f>CONCATENATE("PS-",TEXT(A469,"00"),"-",O469)</f>
        <v>PS-03-GZ0</v>
      </c>
      <c r="F469" s="48" t="str">
        <f>CONCATENATE("Poste de Sectionnement n°",TEXT(A469,"00")," ",O469)</f>
        <v>Poste de Sectionnement n°03 GZ0</v>
      </c>
      <c r="G469" s="19">
        <v>22282</v>
      </c>
      <c r="H469" s="19">
        <v>22282</v>
      </c>
      <c r="I469" s="19">
        <v>44838</v>
      </c>
      <c r="J469" s="41">
        <v>8</v>
      </c>
      <c r="K469" s="41" t="s">
        <v>3557</v>
      </c>
      <c r="L469" s="41">
        <v>16</v>
      </c>
      <c r="M469" s="41"/>
      <c r="N469" s="41"/>
      <c r="O469" s="41" t="s">
        <v>367</v>
      </c>
      <c r="P469" s="41" t="s">
        <v>1860</v>
      </c>
      <c r="Q469" s="43">
        <f t="shared" si="72"/>
        <v>1175</v>
      </c>
      <c r="R469" s="43">
        <f t="shared" si="73"/>
        <v>275.084</v>
      </c>
      <c r="S469" s="41" t="s">
        <v>1867</v>
      </c>
      <c r="T469" s="48" t="str">
        <f t="shared" si="65"/>
        <v>(3,'PS-03-GZ0','Poste de Sectionnement n°03 GZ0','Sunday-01-jj','Sunday-01-jj',44838,8,),</v>
      </c>
    </row>
    <row r="470" spans="1:20" ht="20.100000000000001" customHeight="1" x14ac:dyDescent="0.25">
      <c r="A470" s="38">
        <v>10</v>
      </c>
      <c r="B470" s="38">
        <v>475</v>
      </c>
      <c r="C470" s="38" t="s">
        <v>367</v>
      </c>
      <c r="D470" s="38">
        <v>13</v>
      </c>
      <c r="E470" s="39" t="str">
        <f>CONCATENATE("PPUR-",TEXT(A470,"00"),"-",O470)</f>
        <v>PPUR-10-GZ0</v>
      </c>
      <c r="F470" s="48" t="str">
        <f>CONCATENATE("Poste de Purge n°",TEXT(A470,"00")," ",O470)</f>
        <v>Poste de Purge n°10 GZ0</v>
      </c>
      <c r="G470" s="19">
        <v>22282</v>
      </c>
      <c r="H470" s="19">
        <v>22282</v>
      </c>
      <c r="I470" s="19">
        <v>44838</v>
      </c>
      <c r="J470" s="41">
        <v>8</v>
      </c>
      <c r="K470" s="41" t="s">
        <v>3558</v>
      </c>
      <c r="L470" s="41">
        <v>17</v>
      </c>
      <c r="M470" s="41"/>
      <c r="N470" s="41"/>
      <c r="O470" s="41" t="s">
        <v>367</v>
      </c>
      <c r="P470" s="41" t="s">
        <v>2803</v>
      </c>
      <c r="Q470" s="49">
        <f t="shared" si="72"/>
        <v>1154</v>
      </c>
      <c r="R470" s="43">
        <f t="shared" si="73"/>
        <v>294.36099999999999</v>
      </c>
      <c r="S470" s="41" t="s">
        <v>796</v>
      </c>
      <c r="T470" s="48" t="str">
        <f t="shared" si="65"/>
        <v>(10,'PPUR-10-GZ0','Poste de Purge n°10 GZ0','Sunday-01-jj','Sunday-01-jj',44838,8,),</v>
      </c>
    </row>
    <row r="471" spans="1:20" ht="20.100000000000001" customHeight="1" x14ac:dyDescent="0.25">
      <c r="A471" s="38">
        <v>4</v>
      </c>
      <c r="B471" s="38">
        <v>476</v>
      </c>
      <c r="C471" s="38" t="s">
        <v>367</v>
      </c>
      <c r="D471" s="38">
        <v>13</v>
      </c>
      <c r="E471" s="39" t="str">
        <f>CONCATENATE("PS-",TEXT(A471,"00"),"-",O471)</f>
        <v>PS-04-GZ0</v>
      </c>
      <c r="F471" s="48" t="str">
        <f>CONCATENATE("Poste de Sectionnement n°",TEXT(A471,"00")," ",O471)</f>
        <v>Poste de Sectionnement n°04 GZ0</v>
      </c>
      <c r="G471" s="19">
        <v>22282</v>
      </c>
      <c r="H471" s="19">
        <v>22282</v>
      </c>
      <c r="I471" s="19">
        <v>44838</v>
      </c>
      <c r="J471" s="41">
        <v>8</v>
      </c>
      <c r="K471" s="41" t="s">
        <v>3557</v>
      </c>
      <c r="L471" s="41">
        <v>16</v>
      </c>
      <c r="M471" s="41"/>
      <c r="N471" s="41"/>
      <c r="O471" s="41" t="s">
        <v>367</v>
      </c>
      <c r="P471" s="41" t="s">
        <v>1861</v>
      </c>
      <c r="Q471" s="43">
        <f t="shared" si="72"/>
        <v>1193</v>
      </c>
      <c r="R471" s="43">
        <f t="shared" si="73"/>
        <v>304.86700000000002</v>
      </c>
      <c r="S471" s="41" t="s">
        <v>1743</v>
      </c>
      <c r="T471" s="48" t="str">
        <f t="shared" si="65"/>
        <v>(4,'PS-04-GZ0','Poste de Sectionnement n°04 GZ0','Sunday-01-jj','Sunday-01-jj',44838,8,),</v>
      </c>
    </row>
    <row r="472" spans="1:20" ht="20.100000000000001" customHeight="1" x14ac:dyDescent="0.25">
      <c r="A472" s="38">
        <v>11</v>
      </c>
      <c r="B472" s="38">
        <v>477</v>
      </c>
      <c r="C472" s="38" t="s">
        <v>367</v>
      </c>
      <c r="D472" s="38">
        <v>13</v>
      </c>
      <c r="E472" s="39" t="str">
        <f>CONCATENATE("PPUR-",TEXT(A472,"00"),"-",O472)</f>
        <v>PPUR-11-GZ0</v>
      </c>
      <c r="F472" s="48" t="str">
        <f>CONCATENATE("Poste de Purge n°",TEXT(A472,"00")," ",O472)</f>
        <v>Poste de Purge n°11 GZ0</v>
      </c>
      <c r="G472" s="19">
        <v>22282</v>
      </c>
      <c r="H472" s="19">
        <v>22282</v>
      </c>
      <c r="I472" s="19">
        <v>44838</v>
      </c>
      <c r="J472" s="41">
        <v>8</v>
      </c>
      <c r="K472" s="41" t="s">
        <v>3558</v>
      </c>
      <c r="L472" s="41">
        <v>17</v>
      </c>
      <c r="M472" s="41"/>
      <c r="N472" s="41"/>
      <c r="O472" s="41" t="s">
        <v>367</v>
      </c>
      <c r="P472" s="41" t="s">
        <v>2813</v>
      </c>
      <c r="Q472" s="49">
        <f t="shared" si="72"/>
        <v>934.82</v>
      </c>
      <c r="R472" s="43">
        <f t="shared" si="73"/>
        <v>327.78699999999998</v>
      </c>
      <c r="S472" s="41" t="s">
        <v>2024</v>
      </c>
      <c r="T472" s="48" t="str">
        <f t="shared" ref="T472:T535" si="74">CONCATENATE("(",A472,",'",E472,"','",F472,"','",TEXT(G472,"aaaa-mm-jj"),"','",TEXT(H472,"aaaa-mm-jj"),"',",I472,",",J472,",",M472,"),")</f>
        <v>(11,'PPUR-11-GZ0','Poste de Purge n°11 GZ0','Sunday-01-jj','Sunday-01-jj',44838,8,),</v>
      </c>
    </row>
    <row r="473" spans="1:20" ht="20.100000000000001" customHeight="1" x14ac:dyDescent="0.25">
      <c r="A473" s="38">
        <v>3</v>
      </c>
      <c r="B473" s="38">
        <v>478</v>
      </c>
      <c r="C473" s="38" t="s">
        <v>367</v>
      </c>
      <c r="D473" s="38">
        <v>13</v>
      </c>
      <c r="E473" s="39" t="str">
        <f>CONCATENATE("PC-",TEXT(A473,"00"),"-",O473)</f>
        <v>PC-03-GZ0</v>
      </c>
      <c r="F473" s="48" t="str">
        <f>CONCATENATE("Poste de Coupure n°",TEXT(A473,"00")," ",O473)</f>
        <v>Poste de Coupure n°03 GZ0</v>
      </c>
      <c r="G473" s="19">
        <v>22282</v>
      </c>
      <c r="H473" s="19">
        <v>22282</v>
      </c>
      <c r="I473" s="19" t="s">
        <v>20</v>
      </c>
      <c r="J473" s="41">
        <v>8</v>
      </c>
      <c r="K473" s="41" t="s">
        <v>3556</v>
      </c>
      <c r="L473" s="41">
        <v>15</v>
      </c>
      <c r="M473" s="41"/>
      <c r="N473" s="41"/>
      <c r="O473" s="41" t="s">
        <v>367</v>
      </c>
      <c r="P473" s="41" t="s">
        <v>2822</v>
      </c>
      <c r="Q473" s="49">
        <f t="shared" si="72"/>
        <v>1032.2</v>
      </c>
      <c r="R473" s="43">
        <f t="shared" si="73"/>
        <v>333.91899999999998</v>
      </c>
      <c r="S473" s="41" t="s">
        <v>2826</v>
      </c>
      <c r="T473" s="48" t="str">
        <f t="shared" si="74"/>
        <v>(3,'PC-03-GZ0','Poste de Coupure n°03 GZ0','Sunday-01-jj','Sunday-01-jj',NULL,8,),</v>
      </c>
    </row>
    <row r="474" spans="1:20" ht="20.100000000000001" customHeight="1" x14ac:dyDescent="0.25">
      <c r="A474" s="38">
        <v>3</v>
      </c>
      <c r="B474" s="38">
        <v>479</v>
      </c>
      <c r="C474" s="38" t="s">
        <v>367</v>
      </c>
      <c r="D474" s="38">
        <v>13</v>
      </c>
      <c r="E474" s="39" t="s">
        <v>174</v>
      </c>
      <c r="F474" s="48" t="str">
        <f>CONCATENATE("Station de Pompage ",E474)</f>
        <v>Station de Pompage SC3-GZ0</v>
      </c>
      <c r="G474" s="19">
        <v>23743</v>
      </c>
      <c r="H474" s="19">
        <v>23743</v>
      </c>
      <c r="I474" s="19">
        <v>44838</v>
      </c>
      <c r="J474" s="41">
        <v>8</v>
      </c>
      <c r="K474" s="41" t="s">
        <v>3552</v>
      </c>
      <c r="L474" s="41">
        <v>7</v>
      </c>
      <c r="M474" s="41">
        <v>10</v>
      </c>
      <c r="N474" s="41"/>
      <c r="O474" s="41" t="s">
        <v>367</v>
      </c>
      <c r="P474" s="41" t="s">
        <v>2822</v>
      </c>
      <c r="Q474" s="49">
        <f t="shared" si="72"/>
        <v>1032.2</v>
      </c>
      <c r="R474" s="43">
        <f t="shared" si="73"/>
        <v>333.91899999999998</v>
      </c>
      <c r="S474" s="41" t="s">
        <v>2826</v>
      </c>
      <c r="T474" s="48" t="str">
        <f t="shared" si="74"/>
        <v>(3,'SC3-GZ0','Station de Pompage SC3-GZ0','Friday-01-jj','Friday-01-jj',44838,8,10),</v>
      </c>
    </row>
    <row r="475" spans="1:20" ht="20.100000000000001" customHeight="1" x14ac:dyDescent="0.25">
      <c r="A475" s="38">
        <v>12</v>
      </c>
      <c r="B475" s="38">
        <v>480</v>
      </c>
      <c r="C475" s="38" t="s">
        <v>367</v>
      </c>
      <c r="D475" s="38">
        <v>13</v>
      </c>
      <c r="E475" s="39" t="str">
        <f>CONCATENATE("PPUR-",TEXT(A475,"00"),"-",O475)</f>
        <v>PPUR-12-GZ0</v>
      </c>
      <c r="F475" s="48" t="str">
        <f>CONCATENATE("Poste de Purge n°",TEXT(A475,"00")," ",O475)</f>
        <v>Poste de Purge n°12 GZ0</v>
      </c>
      <c r="G475" s="19">
        <v>22282</v>
      </c>
      <c r="H475" s="19">
        <v>22282</v>
      </c>
      <c r="I475" s="19">
        <v>44838</v>
      </c>
      <c r="J475" s="41">
        <v>8</v>
      </c>
      <c r="K475" s="41" t="s">
        <v>3558</v>
      </c>
      <c r="L475" s="41">
        <v>17</v>
      </c>
      <c r="M475" s="41"/>
      <c r="N475" s="41"/>
      <c r="O475" s="41" t="s">
        <v>367</v>
      </c>
      <c r="P475" s="41" t="s">
        <v>2804</v>
      </c>
      <c r="Q475" s="49">
        <f t="shared" si="72"/>
        <v>944</v>
      </c>
      <c r="R475" s="43">
        <f t="shared" si="73"/>
        <v>335.62</v>
      </c>
      <c r="S475" s="41" t="s">
        <v>2815</v>
      </c>
      <c r="T475" s="48" t="str">
        <f t="shared" si="74"/>
        <v>(12,'PPUR-12-GZ0','Poste de Purge n°12 GZ0','Sunday-01-jj','Sunday-01-jj',44838,8,),</v>
      </c>
    </row>
    <row r="476" spans="1:20" ht="20.100000000000001" customHeight="1" x14ac:dyDescent="0.25">
      <c r="A476" s="38">
        <v>5</v>
      </c>
      <c r="B476" s="38">
        <v>481</v>
      </c>
      <c r="C476" s="38" t="s">
        <v>367</v>
      </c>
      <c r="D476" s="38">
        <v>13</v>
      </c>
      <c r="E476" s="39" t="str">
        <f>CONCATENATE("PS-",TEXT(A476,"00"),"-",O476)</f>
        <v>PS-05-GZ0</v>
      </c>
      <c r="F476" s="48" t="str">
        <f>CONCATENATE("Poste de Sectionnement n°",TEXT(A476,"00")," ",O476)</f>
        <v>Poste de Sectionnement n°05 GZ0</v>
      </c>
      <c r="G476" s="19">
        <v>22282</v>
      </c>
      <c r="H476" s="19">
        <v>22282</v>
      </c>
      <c r="I476" s="19">
        <v>44838</v>
      </c>
      <c r="J476" s="41">
        <v>8</v>
      </c>
      <c r="K476" s="41" t="s">
        <v>3557</v>
      </c>
      <c r="L476" s="41">
        <v>16</v>
      </c>
      <c r="M476" s="41"/>
      <c r="N476" s="41"/>
      <c r="O476" s="41" t="s">
        <v>367</v>
      </c>
      <c r="P476" s="41" t="s">
        <v>1892</v>
      </c>
      <c r="Q476" s="43">
        <f t="shared" si="72"/>
        <v>647.65</v>
      </c>
      <c r="R476" s="43">
        <f t="shared" si="73"/>
        <v>350.83</v>
      </c>
      <c r="S476" s="41" t="s">
        <v>754</v>
      </c>
      <c r="T476" s="48" t="str">
        <f t="shared" si="74"/>
        <v>(5,'PS-05-GZ0','Poste de Sectionnement n°05 GZ0','Sunday-01-jj','Sunday-01-jj',44838,8,),</v>
      </c>
    </row>
    <row r="477" spans="1:20" ht="20.100000000000001" customHeight="1" x14ac:dyDescent="0.25">
      <c r="A477" s="38">
        <v>13</v>
      </c>
      <c r="B477" s="38">
        <v>482</v>
      </c>
      <c r="C477" s="38" t="s">
        <v>367</v>
      </c>
      <c r="D477" s="38">
        <v>13</v>
      </c>
      <c r="E477" s="39" t="str">
        <f>CONCATENATE("PPUR-",TEXT(A477,"00"),"-",O477)</f>
        <v>PPUR-13-GZ0</v>
      </c>
      <c r="F477" s="48" t="str">
        <f>CONCATENATE("Poste de Purge n°",TEXT(A477,"00")," ",O477)</f>
        <v>Poste de Purge n°13 GZ0</v>
      </c>
      <c r="G477" s="19">
        <v>22282</v>
      </c>
      <c r="H477" s="19">
        <v>22282</v>
      </c>
      <c r="I477" s="19">
        <v>44838</v>
      </c>
      <c r="J477" s="41">
        <v>8</v>
      </c>
      <c r="K477" s="41" t="s">
        <v>3558</v>
      </c>
      <c r="L477" s="41">
        <v>17</v>
      </c>
      <c r="M477" s="41"/>
      <c r="N477" s="41"/>
      <c r="O477" s="41" t="s">
        <v>367</v>
      </c>
      <c r="P477" s="41" t="s">
        <v>2805</v>
      </c>
      <c r="Q477" s="49">
        <f t="shared" si="72"/>
        <v>575</v>
      </c>
      <c r="R477" s="43">
        <f t="shared" si="73"/>
        <v>358.887</v>
      </c>
      <c r="S477" s="41" t="s">
        <v>798</v>
      </c>
      <c r="T477" s="48" t="str">
        <f t="shared" si="74"/>
        <v>(13,'PPUR-13-GZ0','Poste de Purge n°13 GZ0','Sunday-01-jj','Sunday-01-jj',44838,8,),</v>
      </c>
    </row>
    <row r="478" spans="1:20" ht="20.100000000000001" customHeight="1" x14ac:dyDescent="0.25">
      <c r="A478" s="38">
        <v>15</v>
      </c>
      <c r="B478" s="38">
        <v>483</v>
      </c>
      <c r="C478" s="38" t="s">
        <v>367</v>
      </c>
      <c r="D478" s="38">
        <v>13</v>
      </c>
      <c r="E478" s="39" t="str">
        <f>CONCATENATE("PPUR-",TEXT(A478,"00"),"-",O478)</f>
        <v>PPUR-15-GZ0</v>
      </c>
      <c r="F478" s="48" t="str">
        <f>CONCATENATE("Poste de Purge n°",TEXT(A478,"00")," ",O478)</f>
        <v>Poste de Purge n°15 GZ0</v>
      </c>
      <c r="G478" s="19">
        <v>22282</v>
      </c>
      <c r="H478" s="19">
        <v>22282</v>
      </c>
      <c r="I478" s="19">
        <v>44838</v>
      </c>
      <c r="J478" s="41">
        <v>8</v>
      </c>
      <c r="K478" s="41" t="s">
        <v>3558</v>
      </c>
      <c r="L478" s="41">
        <v>17</v>
      </c>
      <c r="M478" s="41"/>
      <c r="N478" s="41"/>
      <c r="O478" s="41" t="s">
        <v>367</v>
      </c>
      <c r="P478" s="41" t="s">
        <v>2806</v>
      </c>
      <c r="Q478" s="49">
        <f t="shared" si="72"/>
        <v>558</v>
      </c>
      <c r="R478" s="43">
        <f t="shared" si="73"/>
        <v>393.214</v>
      </c>
      <c r="S478" s="41" t="s">
        <v>2816</v>
      </c>
      <c r="T478" s="48" t="str">
        <f t="shared" si="74"/>
        <v>(15,'PPUR-15-GZ0','Poste de Purge n°15 GZ0','Sunday-01-jj','Sunday-01-jj',44838,8,),</v>
      </c>
    </row>
    <row r="479" spans="1:20" ht="20.100000000000001" customHeight="1" x14ac:dyDescent="0.25">
      <c r="A479" s="38">
        <v>7</v>
      </c>
      <c r="B479" s="38">
        <v>484</v>
      </c>
      <c r="C479" s="38" t="s">
        <v>367</v>
      </c>
      <c r="D479" s="38">
        <v>13</v>
      </c>
      <c r="E479" s="39" t="str">
        <f>CONCATENATE("PS-",TEXT(A479,"00"),"-",O479)</f>
        <v>PS-07-GZ0</v>
      </c>
      <c r="F479" s="48" t="str">
        <f>CONCATENATE("Poste de Sectionnement n°",TEXT(A479,"00")," ",O479)</f>
        <v>Poste de Sectionnement n°07 GZ0</v>
      </c>
      <c r="G479" s="19">
        <v>22282</v>
      </c>
      <c r="H479" s="19">
        <v>22282</v>
      </c>
      <c r="I479" s="19">
        <v>44838</v>
      </c>
      <c r="J479" s="41">
        <v>8</v>
      </c>
      <c r="K479" s="41" t="s">
        <v>3557</v>
      </c>
      <c r="L479" s="41">
        <v>16</v>
      </c>
      <c r="M479" s="41"/>
      <c r="N479" s="41"/>
      <c r="O479" s="41" t="s">
        <v>367</v>
      </c>
      <c r="P479" s="41" t="s">
        <v>1862</v>
      </c>
      <c r="Q479" s="43">
        <f t="shared" si="72"/>
        <v>520</v>
      </c>
      <c r="R479" s="43">
        <f t="shared" si="73"/>
        <v>397.798</v>
      </c>
      <c r="S479" s="41" t="s">
        <v>799</v>
      </c>
      <c r="T479" s="48" t="str">
        <f t="shared" si="74"/>
        <v>(7,'PS-07-GZ0','Poste de Sectionnement n°07 GZ0','Sunday-01-jj','Sunday-01-jj',44838,8,),</v>
      </c>
    </row>
    <row r="480" spans="1:20" ht="20.100000000000001" customHeight="1" x14ac:dyDescent="0.25">
      <c r="A480" s="38">
        <v>16</v>
      </c>
      <c r="B480" s="38">
        <v>485</v>
      </c>
      <c r="C480" s="38" t="s">
        <v>367</v>
      </c>
      <c r="D480" s="38">
        <v>13</v>
      </c>
      <c r="E480" s="39" t="str">
        <f>CONCATENATE("PPUR-",TEXT(A480,"00"),"-",O480)</f>
        <v>PPUR-16-GZ0</v>
      </c>
      <c r="F480" s="48" t="str">
        <f>CONCATENATE("Poste de Purge n°",TEXT(A480,"00")," ",O480)</f>
        <v>Poste de Purge n°16 GZ0</v>
      </c>
      <c r="G480" s="19">
        <v>22282</v>
      </c>
      <c r="H480" s="19">
        <v>22282</v>
      </c>
      <c r="I480" s="19">
        <v>44838</v>
      </c>
      <c r="J480" s="41">
        <v>8</v>
      </c>
      <c r="K480" s="41" t="s">
        <v>3558</v>
      </c>
      <c r="L480" s="41">
        <v>17</v>
      </c>
      <c r="M480" s="41"/>
      <c r="N480" s="41"/>
      <c r="O480" s="41" t="s">
        <v>367</v>
      </c>
      <c r="P480" s="41" t="s">
        <v>2807</v>
      </c>
      <c r="Q480" s="49">
        <f t="shared" si="72"/>
        <v>520</v>
      </c>
      <c r="R480" s="43">
        <f t="shared" si="73"/>
        <v>398.61599999999999</v>
      </c>
      <c r="S480" s="41" t="s">
        <v>799</v>
      </c>
      <c r="T480" s="48" t="str">
        <f t="shared" si="74"/>
        <v>(16,'PPUR-16-GZ0','Poste de Purge n°16 GZ0','Sunday-01-jj','Sunday-01-jj',44838,8,),</v>
      </c>
    </row>
    <row r="481" spans="1:20" ht="20.100000000000001" customHeight="1" x14ac:dyDescent="0.25">
      <c r="A481" s="38">
        <v>4</v>
      </c>
      <c r="B481" s="38">
        <v>486</v>
      </c>
      <c r="C481" s="38" t="s">
        <v>367</v>
      </c>
      <c r="D481" s="38">
        <v>13</v>
      </c>
      <c r="E481" s="39" t="str">
        <f>CONCATENATE("PC-",TEXT(A481,"00"),"-",O481)</f>
        <v>PC-04-GZ0</v>
      </c>
      <c r="F481" s="48" t="str">
        <f>CONCATENATE("Poste de Coupure n°",TEXT(A481,"00")," ",O481)</f>
        <v>Poste de Coupure n°04 GZ0</v>
      </c>
      <c r="G481" s="19">
        <v>22282</v>
      </c>
      <c r="H481" s="19">
        <v>22282</v>
      </c>
      <c r="I481" s="19" t="s">
        <v>20</v>
      </c>
      <c r="J481" s="41">
        <v>8</v>
      </c>
      <c r="K481" s="41" t="s">
        <v>3556</v>
      </c>
      <c r="L481" s="41">
        <v>15</v>
      </c>
      <c r="M481" s="41"/>
      <c r="N481" s="41"/>
      <c r="O481" s="41" t="s">
        <v>367</v>
      </c>
      <c r="P481" s="41" t="s">
        <v>2823</v>
      </c>
      <c r="Q481" s="49">
        <f t="shared" si="72"/>
        <v>80.900000000000006</v>
      </c>
      <c r="R481" s="43">
        <f t="shared" si="73"/>
        <v>421.30700000000002</v>
      </c>
      <c r="S481" s="41" t="s">
        <v>2827</v>
      </c>
      <c r="T481" s="48" t="str">
        <f t="shared" si="74"/>
        <v>(4,'PC-04-GZ0','Poste de Coupure n°04 GZ0','Sunday-01-jj','Sunday-01-jj',NULL,8,),</v>
      </c>
    </row>
    <row r="482" spans="1:20" ht="20.100000000000001" customHeight="1" x14ac:dyDescent="0.25">
      <c r="A482" s="38">
        <v>4</v>
      </c>
      <c r="B482" s="38">
        <v>487</v>
      </c>
      <c r="C482" s="38" t="s">
        <v>367</v>
      </c>
      <c r="D482" s="38">
        <v>13</v>
      </c>
      <c r="E482" s="39" t="s">
        <v>176</v>
      </c>
      <c r="F482" s="48" t="str">
        <f>CONCATENATE("Station de Pompage ",E482)</f>
        <v>Station de Pompage SC4-GZ0</v>
      </c>
      <c r="G482" s="19">
        <v>26299</v>
      </c>
      <c r="H482" s="19">
        <v>26299</v>
      </c>
      <c r="I482" s="19">
        <v>44838</v>
      </c>
      <c r="J482" s="41">
        <v>8</v>
      </c>
      <c r="K482" s="41" t="s">
        <v>3552</v>
      </c>
      <c r="L482" s="41">
        <v>7</v>
      </c>
      <c r="M482" s="41">
        <v>10</v>
      </c>
      <c r="N482" s="41"/>
      <c r="O482" s="41" t="s">
        <v>367</v>
      </c>
      <c r="P482" s="41" t="s">
        <v>2823</v>
      </c>
      <c r="Q482" s="49">
        <f t="shared" si="72"/>
        <v>80.900000000000006</v>
      </c>
      <c r="R482" s="43">
        <f t="shared" si="73"/>
        <v>421.30700000000002</v>
      </c>
      <c r="S482" s="41" t="s">
        <v>2827</v>
      </c>
      <c r="T482" s="48" t="str">
        <f t="shared" si="74"/>
        <v>(4,'SC4-GZ0','Station de Pompage SC4-GZ0','Saturday-01-jj','Saturday-01-jj',44838,8,10),</v>
      </c>
    </row>
    <row r="483" spans="1:20" ht="20.100000000000001" customHeight="1" x14ac:dyDescent="0.25">
      <c r="A483" s="38">
        <v>17</v>
      </c>
      <c r="B483" s="38">
        <v>488</v>
      </c>
      <c r="C483" s="38" t="s">
        <v>367</v>
      </c>
      <c r="D483" s="38">
        <v>13</v>
      </c>
      <c r="E483" s="39" t="str">
        <f>CONCATENATE("PPUR-",TEXT(A483,"00"),"-",O483)</f>
        <v>PPUR-17-GZ0</v>
      </c>
      <c r="F483" s="48" t="str">
        <f>CONCATENATE("Poste de Purge n°",TEXT(A483,"00")," ",O483)</f>
        <v>Poste de Purge n°17 GZ0</v>
      </c>
      <c r="G483" s="19">
        <v>22282</v>
      </c>
      <c r="H483" s="19">
        <v>22282</v>
      </c>
      <c r="I483" s="19">
        <v>44838</v>
      </c>
      <c r="J483" s="41">
        <v>8</v>
      </c>
      <c r="K483" s="41" t="s">
        <v>3558</v>
      </c>
      <c r="L483" s="41">
        <v>17</v>
      </c>
      <c r="M483" s="41"/>
      <c r="N483" s="41"/>
      <c r="O483" s="41" t="s">
        <v>367</v>
      </c>
      <c r="P483" s="41" t="s">
        <v>2808</v>
      </c>
      <c r="Q483" s="49">
        <f t="shared" si="72"/>
        <v>69</v>
      </c>
      <c r="R483" s="43">
        <f t="shared" si="73"/>
        <v>429.00099999999998</v>
      </c>
      <c r="S483" s="41" t="s">
        <v>2817</v>
      </c>
      <c r="T483" s="48" t="str">
        <f t="shared" si="74"/>
        <v>(17,'PPUR-17-GZ0','Poste de Purge n°17 GZ0','Sunday-01-jj','Sunday-01-jj',44838,8,),</v>
      </c>
    </row>
    <row r="484" spans="1:20" ht="20.100000000000001" customHeight="1" x14ac:dyDescent="0.25">
      <c r="A484" s="38">
        <v>8</v>
      </c>
      <c r="B484" s="38">
        <v>489</v>
      </c>
      <c r="C484" s="38" t="s">
        <v>367</v>
      </c>
      <c r="D484" s="38">
        <v>13</v>
      </c>
      <c r="E484" s="39" t="str">
        <f>CONCATENATE("PS-",TEXT(A484,"00"),"-",O484)</f>
        <v>PS-08-GZ0</v>
      </c>
      <c r="F484" s="48" t="str">
        <f>CONCATENATE("Poste de Sectionnement n°",TEXT(A484,"00")," ",O484)</f>
        <v>Poste de Sectionnement n°08 GZ0</v>
      </c>
      <c r="G484" s="19">
        <v>22282</v>
      </c>
      <c r="H484" s="19">
        <v>22282</v>
      </c>
      <c r="I484" s="19">
        <v>44838</v>
      </c>
      <c r="J484" s="41">
        <v>8</v>
      </c>
      <c r="K484" s="41" t="s">
        <v>3557</v>
      </c>
      <c r="L484" s="41">
        <v>16</v>
      </c>
      <c r="M484" s="41"/>
      <c r="N484" s="41"/>
      <c r="O484" s="41" t="s">
        <v>367</v>
      </c>
      <c r="P484" s="41" t="s">
        <v>1863</v>
      </c>
      <c r="Q484" s="43">
        <f t="shared" si="72"/>
        <v>127</v>
      </c>
      <c r="R484" s="43">
        <f t="shared" si="73"/>
        <v>442.06200000000001</v>
      </c>
      <c r="S484" s="41" t="s">
        <v>1868</v>
      </c>
      <c r="T484" s="48" t="str">
        <f t="shared" si="74"/>
        <v>(8,'PS-08-GZ0','Poste de Sectionnement n°08 GZ0','Sunday-01-jj','Sunday-01-jj',44838,8,),</v>
      </c>
    </row>
    <row r="485" spans="1:20" ht="20.100000000000001" customHeight="1" x14ac:dyDescent="0.25">
      <c r="A485" s="38">
        <v>9</v>
      </c>
      <c r="B485" s="38">
        <v>490</v>
      </c>
      <c r="C485" s="38" t="s">
        <v>367</v>
      </c>
      <c r="D485" s="38">
        <v>13</v>
      </c>
      <c r="E485" s="39" t="str">
        <f>CONCATENATE("PS-",TEXT(A485,"00"),"-",O485)</f>
        <v>PS-09-GZ0</v>
      </c>
      <c r="F485" s="48" t="str">
        <f>CONCATENATE("Poste de Sectionnement n°",TEXT(A485,"00")," ",O485)</f>
        <v>Poste de Sectionnement n°09 GZ0</v>
      </c>
      <c r="G485" s="19">
        <v>22282</v>
      </c>
      <c r="H485" s="19">
        <v>22282</v>
      </c>
      <c r="I485" s="19">
        <v>44838</v>
      </c>
      <c r="J485" s="41">
        <v>8</v>
      </c>
      <c r="K485" s="41" t="s">
        <v>3557</v>
      </c>
      <c r="L485" s="41">
        <v>16</v>
      </c>
      <c r="M485" s="41"/>
      <c r="N485" s="41"/>
      <c r="O485" s="41" t="s">
        <v>367</v>
      </c>
      <c r="P485" s="41" t="s">
        <v>1864</v>
      </c>
      <c r="Q485" s="43">
        <f t="shared" si="72"/>
        <v>13</v>
      </c>
      <c r="R485" s="43">
        <f t="shared" si="73"/>
        <v>470.44900000000001</v>
      </c>
      <c r="S485" s="41" t="s">
        <v>1869</v>
      </c>
      <c r="T485" s="48" t="str">
        <f t="shared" si="74"/>
        <v>(9,'PS-09-GZ0','Poste de Sectionnement n°09 GZ0','Sunday-01-jj','Sunday-01-jj',44838,8,),</v>
      </c>
    </row>
    <row r="486" spans="1:20" ht="20.100000000000001" customHeight="1" x14ac:dyDescent="0.25">
      <c r="A486" s="38">
        <v>18</v>
      </c>
      <c r="B486" s="38">
        <v>491</v>
      </c>
      <c r="C486" s="38" t="s">
        <v>367</v>
      </c>
      <c r="D486" s="38">
        <v>13</v>
      </c>
      <c r="E486" s="39" t="str">
        <f>CONCATENATE("PPUR-",TEXT(A486,"00"),"-",O486)</f>
        <v>PPUR-18-GZ0</v>
      </c>
      <c r="F486" s="48" t="str">
        <f>CONCATENATE("Poste de Purge n°",TEXT(A486,"00")," ",O486)</f>
        <v>Poste de Purge n°18 GZ0</v>
      </c>
      <c r="G486" s="19">
        <v>22282</v>
      </c>
      <c r="H486" s="19">
        <v>22282</v>
      </c>
      <c r="I486" s="19">
        <v>44838</v>
      </c>
      <c r="J486" s="41">
        <v>8</v>
      </c>
      <c r="K486" s="41" t="s">
        <v>3558</v>
      </c>
      <c r="L486" s="41">
        <v>17</v>
      </c>
      <c r="M486" s="41"/>
      <c r="N486" s="41"/>
      <c r="O486" s="41" t="s">
        <v>367</v>
      </c>
      <c r="P486" s="41" t="s">
        <v>2814</v>
      </c>
      <c r="Q486" s="49">
        <f t="shared" si="72"/>
        <v>68.2</v>
      </c>
      <c r="R486" s="43">
        <f t="shared" si="73"/>
        <v>477.03899999999999</v>
      </c>
      <c r="S486" s="41" t="s">
        <v>2818</v>
      </c>
      <c r="T486" s="48" t="str">
        <f t="shared" si="74"/>
        <v>(18,'PPUR-18-GZ0','Poste de Purge n°18 GZ0','Sunday-01-jj','Sunday-01-jj',44838,8,),</v>
      </c>
    </row>
    <row r="487" spans="1:20" ht="20.100000000000001" customHeight="1" x14ac:dyDescent="0.25">
      <c r="A487" s="38">
        <v>10</v>
      </c>
      <c r="B487" s="38">
        <v>492</v>
      </c>
      <c r="C487" s="38" t="s">
        <v>367</v>
      </c>
      <c r="D487" s="38">
        <v>13</v>
      </c>
      <c r="E487" s="39" t="str">
        <f>CONCATENATE("PS-",TEXT(A487,"00"),"-",O487)</f>
        <v>PS-10-GZ0</v>
      </c>
      <c r="F487" s="48" t="str">
        <f>CONCATENATE("Poste de Sectionnement n°",TEXT(A487,"00")," ",O487)</f>
        <v>Poste de Sectionnement n°10 GZ0</v>
      </c>
      <c r="G487" s="19">
        <v>22282</v>
      </c>
      <c r="H487" s="19">
        <v>22282</v>
      </c>
      <c r="I487" s="19">
        <v>44838</v>
      </c>
      <c r="J487" s="41">
        <v>8</v>
      </c>
      <c r="K487" s="41" t="s">
        <v>3557</v>
      </c>
      <c r="L487" s="41">
        <v>16</v>
      </c>
      <c r="M487" s="41"/>
      <c r="N487" s="41"/>
      <c r="O487" s="41" t="s">
        <v>367</v>
      </c>
      <c r="P487" s="41" t="s">
        <v>1865</v>
      </c>
      <c r="Q487" s="43">
        <f t="shared" si="72"/>
        <v>24</v>
      </c>
      <c r="R487" s="43">
        <f t="shared" si="73"/>
        <v>486.214</v>
      </c>
      <c r="S487" s="41" t="s">
        <v>1870</v>
      </c>
      <c r="T487" s="48" t="str">
        <f t="shared" si="74"/>
        <v>(10,'PS-10-GZ0','Poste de Sectionnement n°10 GZ0','Sunday-01-jj','Sunday-01-jj',44838,8,),</v>
      </c>
    </row>
    <row r="488" spans="1:20" ht="20.100000000000001" customHeight="1" x14ac:dyDescent="0.25">
      <c r="A488" s="38">
        <v>11</v>
      </c>
      <c r="B488" s="38">
        <v>493</v>
      </c>
      <c r="C488" s="38" t="s">
        <v>367</v>
      </c>
      <c r="D488" s="38">
        <v>13</v>
      </c>
      <c r="E488" s="39" t="str">
        <f>CONCATENATE("PS-",TEXT(A488,"00"),"-",O488)</f>
        <v>PS-11-GZ0</v>
      </c>
      <c r="F488" s="48" t="str">
        <f>CONCATENATE("Poste de Sectionnement n°",TEXT(A488,"00")," ",O488)</f>
        <v>Poste de Sectionnement n°11 GZ0</v>
      </c>
      <c r="G488" s="19">
        <v>22282</v>
      </c>
      <c r="H488" s="19">
        <v>22282</v>
      </c>
      <c r="I488" s="19">
        <v>44838</v>
      </c>
      <c r="J488" s="41">
        <v>8</v>
      </c>
      <c r="K488" s="41" t="s">
        <v>3557</v>
      </c>
      <c r="L488" s="41">
        <v>16</v>
      </c>
      <c r="M488" s="41"/>
      <c r="N488" s="41"/>
      <c r="O488" s="41" t="s">
        <v>367</v>
      </c>
      <c r="P488" s="41" t="s">
        <v>1891</v>
      </c>
      <c r="Q488" s="43">
        <f t="shared" si="72"/>
        <v>4.3600000000000003</v>
      </c>
      <c r="R488" s="43">
        <f t="shared" si="73"/>
        <v>486.964</v>
      </c>
      <c r="S488" s="41" t="s">
        <v>1871</v>
      </c>
      <c r="T488" s="48" t="str">
        <f t="shared" si="74"/>
        <v>(11,'PS-11-GZ0','Poste de Sectionnement n°11 GZ0','Sunday-01-jj','Sunday-01-jj',44838,8,),</v>
      </c>
    </row>
    <row r="489" spans="1:20" ht="20.100000000000001" customHeight="1" x14ac:dyDescent="0.25">
      <c r="A489" s="38">
        <v>19</v>
      </c>
      <c r="B489" s="38">
        <v>494</v>
      </c>
      <c r="C489" s="38" t="s">
        <v>367</v>
      </c>
      <c r="D489" s="38">
        <v>13</v>
      </c>
      <c r="E489" s="39" t="str">
        <f>CONCATENATE("PPUR-",TEXT(A489,"00"),"-",O489)</f>
        <v>PPUR-19-GZ0</v>
      </c>
      <c r="F489" s="48" t="str">
        <f>CONCATENATE("Poste de Purge n°",TEXT(A489,"00")," ",O489)</f>
        <v>Poste de Purge n°19 GZ0</v>
      </c>
      <c r="G489" s="19">
        <v>22282</v>
      </c>
      <c r="H489" s="19">
        <v>22282</v>
      </c>
      <c r="I489" s="19">
        <v>44838</v>
      </c>
      <c r="J489" s="41">
        <v>8</v>
      </c>
      <c r="K489" s="41" t="s">
        <v>3558</v>
      </c>
      <c r="L489" s="41">
        <v>17</v>
      </c>
      <c r="M489" s="41"/>
      <c r="N489" s="41"/>
      <c r="O489" s="41" t="s">
        <v>367</v>
      </c>
      <c r="P489" s="41" t="s">
        <v>2809</v>
      </c>
      <c r="Q489" s="49">
        <f t="shared" si="72"/>
        <v>99</v>
      </c>
      <c r="R489" s="43">
        <f t="shared" si="73"/>
        <v>495.10399999999998</v>
      </c>
      <c r="S489" s="41" t="s">
        <v>2819</v>
      </c>
      <c r="T489" s="48" t="str">
        <f t="shared" si="74"/>
        <v>(19,'PPUR-19-GZ0','Poste de Purge n°19 GZ0','Sunday-01-jj','Sunday-01-jj',44838,8,),</v>
      </c>
    </row>
    <row r="490" spans="1:20" ht="20.100000000000001" customHeight="1" x14ac:dyDescent="0.25">
      <c r="A490" s="38">
        <v>12</v>
      </c>
      <c r="B490" s="38">
        <v>495</v>
      </c>
      <c r="C490" s="38" t="s">
        <v>367</v>
      </c>
      <c r="D490" s="38">
        <v>13</v>
      </c>
      <c r="E490" s="39" t="str">
        <f>CONCATENATE("PS-",TEXT(A490,"00"),"-",O490)</f>
        <v>PS-12-GZ0</v>
      </c>
      <c r="F490" s="48" t="str">
        <f>CONCATENATE("Poste de Sectionnement n°",TEXT(A490,"00")," ",O490)</f>
        <v>Poste de Sectionnement n°12 GZ0</v>
      </c>
      <c r="G490" s="19">
        <v>22282</v>
      </c>
      <c r="H490" s="19">
        <v>22282</v>
      </c>
      <c r="I490" s="19">
        <v>44838</v>
      </c>
      <c r="J490" s="41">
        <v>8</v>
      </c>
      <c r="K490" s="41" t="s">
        <v>3557</v>
      </c>
      <c r="L490" s="41">
        <v>16</v>
      </c>
      <c r="M490" s="41"/>
      <c r="N490" s="41"/>
      <c r="O490" s="41" t="s">
        <v>367</v>
      </c>
      <c r="P490" s="41" t="s">
        <v>1866</v>
      </c>
      <c r="Q490" s="43">
        <f t="shared" si="72"/>
        <v>53</v>
      </c>
      <c r="R490" s="43">
        <f t="shared" si="73"/>
        <v>504.5</v>
      </c>
      <c r="S490" s="41" t="s">
        <v>1872</v>
      </c>
      <c r="T490" s="48" t="str">
        <f t="shared" si="74"/>
        <v>(12,'PS-12-GZ0','Poste de Sectionnement n°12 GZ0','Sunday-01-jj','Sunday-01-jj',44838,8,),</v>
      </c>
    </row>
    <row r="491" spans="1:20" ht="20.100000000000001" customHeight="1" x14ac:dyDescent="0.25">
      <c r="A491" s="38">
        <v>1</v>
      </c>
      <c r="B491" s="38">
        <v>496</v>
      </c>
      <c r="C491" s="38" t="s">
        <v>631</v>
      </c>
      <c r="D491" s="38">
        <v>14</v>
      </c>
      <c r="E491" s="39" t="str">
        <f>CONCATENATE("PC-",TEXT(A491,"00"),"-",O491)</f>
        <v>PC-01-GZ1</v>
      </c>
      <c r="F491" s="48" t="str">
        <f>CONCATENATE("Poste de Coupure n°",TEXT(A491,"00")," ",O491)</f>
        <v>Poste de Coupure n°01 GZ1</v>
      </c>
      <c r="G491" s="19">
        <v>27760</v>
      </c>
      <c r="H491" s="19">
        <v>27760</v>
      </c>
      <c r="I491" s="66" t="s">
        <v>20</v>
      </c>
      <c r="J491" s="41">
        <v>1</v>
      </c>
      <c r="K491" s="41" t="s">
        <v>3556</v>
      </c>
      <c r="L491" s="41">
        <v>15</v>
      </c>
      <c r="M491" s="41"/>
      <c r="N491" s="41"/>
      <c r="O491" s="41" t="s">
        <v>372</v>
      </c>
      <c r="P491" s="41" t="s">
        <v>2911</v>
      </c>
      <c r="Q491" s="49">
        <f t="shared" si="72"/>
        <v>840</v>
      </c>
      <c r="R491" s="43">
        <f t="shared" si="73"/>
        <v>74.867000000000004</v>
      </c>
      <c r="S491" s="41" t="s">
        <v>2916</v>
      </c>
      <c r="T491" s="48" t="str">
        <f t="shared" si="74"/>
        <v>(1,'PC-01-GZ1','Poste de Coupure n°01 GZ1','Thursday-01-jj','Thursday-01-jj',NULL,1,),</v>
      </c>
    </row>
    <row r="492" spans="1:20" ht="20.100000000000001" customHeight="1" x14ac:dyDescent="0.25">
      <c r="A492" s="38">
        <v>1</v>
      </c>
      <c r="B492" s="38">
        <v>497</v>
      </c>
      <c r="C492" s="38" t="s">
        <v>631</v>
      </c>
      <c r="D492" s="38">
        <v>14</v>
      </c>
      <c r="E492" s="39" t="s">
        <v>178</v>
      </c>
      <c r="F492" s="48" t="str">
        <f>CONCATENATE("Station de Pompage ",E492)</f>
        <v>Station de Pompage SC1-GZ1</v>
      </c>
      <c r="G492" s="19">
        <v>28491</v>
      </c>
      <c r="H492" s="19">
        <v>28491</v>
      </c>
      <c r="I492" s="41" t="s">
        <v>20</v>
      </c>
      <c r="J492" s="41">
        <v>1</v>
      </c>
      <c r="K492" s="41" t="s">
        <v>3552</v>
      </c>
      <c r="L492" s="41">
        <v>7</v>
      </c>
      <c r="M492" s="41">
        <v>10</v>
      </c>
      <c r="N492" s="41"/>
      <c r="O492" s="41" t="s">
        <v>372</v>
      </c>
      <c r="P492" s="41" t="s">
        <v>2911</v>
      </c>
      <c r="Q492" s="49">
        <f t="shared" si="72"/>
        <v>840</v>
      </c>
      <c r="R492" s="43">
        <f t="shared" si="73"/>
        <v>74.867000000000004</v>
      </c>
      <c r="S492" s="41" t="s">
        <v>2916</v>
      </c>
      <c r="T492" s="48" t="str">
        <f t="shared" si="74"/>
        <v>(1,'SC1-GZ1','Station de Pompage SC1-GZ1','Sunday-01-jj','Sunday-01-jj',NULL,1,10),</v>
      </c>
    </row>
    <row r="493" spans="1:20" ht="20.100000000000001" customHeight="1" x14ac:dyDescent="0.25">
      <c r="A493" s="38">
        <v>2</v>
      </c>
      <c r="B493" s="38">
        <v>498</v>
      </c>
      <c r="C493" s="38" t="s">
        <v>631</v>
      </c>
      <c r="D493" s="38">
        <v>14</v>
      </c>
      <c r="E493" s="39" t="str">
        <f>CONCATENATE("PC-",TEXT(A493,"00"),"-",O493)</f>
        <v>PC-02-GZ1</v>
      </c>
      <c r="F493" s="48" t="str">
        <f>CONCATENATE("Poste de Coupure n°",TEXT(A493,"00")," ",O493)</f>
        <v>Poste de Coupure n°02 GZ1</v>
      </c>
      <c r="G493" s="19">
        <v>27760</v>
      </c>
      <c r="H493" s="19">
        <v>27760</v>
      </c>
      <c r="I493" s="41" t="s">
        <v>20</v>
      </c>
      <c r="J493" s="41">
        <v>1</v>
      </c>
      <c r="K493" s="41" t="s">
        <v>3556</v>
      </c>
      <c r="L493" s="41">
        <v>15</v>
      </c>
      <c r="M493" s="41"/>
      <c r="N493" s="41"/>
      <c r="O493" s="41" t="s">
        <v>372</v>
      </c>
      <c r="P493" s="41" t="s">
        <v>2912</v>
      </c>
      <c r="Q493" s="49">
        <f t="shared" si="72"/>
        <v>1045</v>
      </c>
      <c r="R493" s="43">
        <f t="shared" si="73"/>
        <v>144.71799999999999</v>
      </c>
      <c r="S493" s="41" t="s">
        <v>2917</v>
      </c>
      <c r="T493" s="48" t="str">
        <f t="shared" si="74"/>
        <v>(2,'PC-02-GZ1','Poste de Coupure n°02 GZ1','Thursday-01-jj','Thursday-01-jj',NULL,1,),</v>
      </c>
    </row>
    <row r="494" spans="1:20" ht="20.100000000000001" customHeight="1" x14ac:dyDescent="0.25">
      <c r="A494" s="38">
        <v>2</v>
      </c>
      <c r="B494" s="38">
        <v>499</v>
      </c>
      <c r="C494" s="38" t="s">
        <v>631</v>
      </c>
      <c r="D494" s="38">
        <v>14</v>
      </c>
      <c r="E494" s="39" t="s">
        <v>184</v>
      </c>
      <c r="F494" s="48" t="str">
        <f>CONCATENATE("Station de Pompage ",E494)</f>
        <v>Station de Pompage SC2-GZ1</v>
      </c>
      <c r="G494" s="19">
        <v>28856</v>
      </c>
      <c r="H494" s="19">
        <v>28856</v>
      </c>
      <c r="I494" s="41" t="s">
        <v>20</v>
      </c>
      <c r="J494" s="41">
        <v>1</v>
      </c>
      <c r="K494" s="41" t="s">
        <v>3552</v>
      </c>
      <c r="L494" s="41">
        <v>7</v>
      </c>
      <c r="M494" s="41">
        <v>10</v>
      </c>
      <c r="N494" s="41"/>
      <c r="O494" s="41" t="s">
        <v>372</v>
      </c>
      <c r="P494" s="41" t="s">
        <v>2912</v>
      </c>
      <c r="Q494" s="49">
        <f t="shared" si="72"/>
        <v>1045</v>
      </c>
      <c r="R494" s="43">
        <f t="shared" si="73"/>
        <v>144.71799999999999</v>
      </c>
      <c r="S494" s="41" t="s">
        <v>2917</v>
      </c>
      <c r="T494" s="48" t="str">
        <f t="shared" si="74"/>
        <v>(2,'SC2-GZ1','Station de Pompage SC2-GZ1','Monday-01-jj','Monday-01-jj',NULL,1,10),</v>
      </c>
    </row>
    <row r="495" spans="1:20" ht="20.100000000000001" customHeight="1" x14ac:dyDescent="0.25">
      <c r="A495" s="38">
        <v>3</v>
      </c>
      <c r="B495" s="38">
        <v>500</v>
      </c>
      <c r="C495" s="38" t="s">
        <v>631</v>
      </c>
      <c r="D495" s="38">
        <v>14</v>
      </c>
      <c r="E495" s="39" t="str">
        <f>CONCATENATE("PC-",TEXT(A495,"00"),"-",O495)</f>
        <v>PC-03-GZ1</v>
      </c>
      <c r="F495" s="48" t="str">
        <f>CONCATENATE("Poste de Coupure n°",TEXT(A495,"00")," ",O495)</f>
        <v>Poste de Coupure n°03 GZ1</v>
      </c>
      <c r="G495" s="19">
        <v>27760</v>
      </c>
      <c r="H495" s="19">
        <v>27760</v>
      </c>
      <c r="I495" s="41" t="s">
        <v>20</v>
      </c>
      <c r="J495" s="41">
        <v>1</v>
      </c>
      <c r="K495" s="41" t="s">
        <v>3556</v>
      </c>
      <c r="L495" s="41">
        <v>15</v>
      </c>
      <c r="M495" s="41"/>
      <c r="N495" s="41"/>
      <c r="O495" s="41" t="s">
        <v>372</v>
      </c>
      <c r="P495" s="41" t="s">
        <v>2913</v>
      </c>
      <c r="Q495" s="49">
        <f t="shared" si="72"/>
        <v>970</v>
      </c>
      <c r="R495" s="43">
        <f t="shared" si="73"/>
        <v>226.64400000000001</v>
      </c>
      <c r="S495" s="41" t="s">
        <v>2825</v>
      </c>
      <c r="T495" s="48" t="str">
        <f t="shared" si="74"/>
        <v>(3,'PC-03-GZ1','Poste de Coupure n°03 GZ1','Thursday-01-jj','Thursday-01-jj',NULL,1,),</v>
      </c>
    </row>
    <row r="496" spans="1:20" ht="20.100000000000001" customHeight="1" x14ac:dyDescent="0.25">
      <c r="A496" s="38">
        <v>3</v>
      </c>
      <c r="B496" s="38">
        <v>501</v>
      </c>
      <c r="C496" s="38" t="s">
        <v>631</v>
      </c>
      <c r="D496" s="38">
        <v>14</v>
      </c>
      <c r="E496" s="39" t="s">
        <v>190</v>
      </c>
      <c r="F496" s="48" t="str">
        <f>CONCATENATE("Station de Pompage ",E496)</f>
        <v>Station de Pompage SC3-GZ1</v>
      </c>
      <c r="G496" s="19">
        <v>28491</v>
      </c>
      <c r="H496" s="19">
        <v>28491</v>
      </c>
      <c r="I496" s="41" t="s">
        <v>20</v>
      </c>
      <c r="J496" s="41">
        <v>1</v>
      </c>
      <c r="K496" s="41" t="s">
        <v>3552</v>
      </c>
      <c r="L496" s="41">
        <v>7</v>
      </c>
      <c r="M496" s="41">
        <v>10</v>
      </c>
      <c r="N496" s="41"/>
      <c r="O496" s="41" t="s">
        <v>372</v>
      </c>
      <c r="P496" s="41" t="s">
        <v>2913</v>
      </c>
      <c r="Q496" s="49">
        <f t="shared" si="72"/>
        <v>970</v>
      </c>
      <c r="R496" s="43">
        <f t="shared" si="73"/>
        <v>226.64400000000001</v>
      </c>
      <c r="S496" s="41" t="s">
        <v>2825</v>
      </c>
      <c r="T496" s="48" t="str">
        <f t="shared" si="74"/>
        <v>(3,'SC3-GZ1','Station de Pompage SC3-GZ1','Sunday-01-jj','Sunday-01-jj',NULL,1,10),</v>
      </c>
    </row>
    <row r="497" spans="1:20" ht="20.100000000000001" customHeight="1" x14ac:dyDescent="0.25">
      <c r="A497" s="38">
        <v>9</v>
      </c>
      <c r="B497" s="38">
        <v>502</v>
      </c>
      <c r="C497" s="38" t="s">
        <v>631</v>
      </c>
      <c r="D497" s="38">
        <v>14</v>
      </c>
      <c r="E497" s="39" t="str">
        <f>CONCATENATE("PPUR-",TEXT(A497,"00"),"-",O497)</f>
        <v>PPUR-09-GZ1</v>
      </c>
      <c r="F497" s="48" t="str">
        <f>CONCATENATE("Poste de Purge n°",TEXT(A497,"00")," ",O497)</f>
        <v>Poste de Purge n°09 GZ1</v>
      </c>
      <c r="G497" s="19">
        <v>27760</v>
      </c>
      <c r="H497" s="19">
        <v>27760</v>
      </c>
      <c r="I497" s="41" t="s">
        <v>20</v>
      </c>
      <c r="J497" s="41">
        <v>1</v>
      </c>
      <c r="K497" s="41" t="s">
        <v>3558</v>
      </c>
      <c r="L497" s="41">
        <v>17</v>
      </c>
      <c r="M497" s="41"/>
      <c r="N497" s="41"/>
      <c r="O497" s="41" t="s">
        <v>372</v>
      </c>
      <c r="P497" s="41" t="s">
        <v>2862</v>
      </c>
      <c r="Q497" s="49">
        <f t="shared" si="72"/>
        <v>954</v>
      </c>
      <c r="R497" s="43">
        <f t="shared" si="73"/>
        <v>236.12700000000001</v>
      </c>
      <c r="S497" s="41" t="s">
        <v>751</v>
      </c>
      <c r="T497" s="48" t="str">
        <f t="shared" si="74"/>
        <v>(9,'PPUR-09-GZ1','Poste de Purge n°09 GZ1','Thursday-01-jj','Thursday-01-jj',NULL,1,),</v>
      </c>
    </row>
    <row r="498" spans="1:20" ht="20.100000000000001" customHeight="1" x14ac:dyDescent="0.25">
      <c r="A498" s="38">
        <v>4</v>
      </c>
      <c r="B498" s="38">
        <v>503</v>
      </c>
      <c r="C498" s="38" t="s">
        <v>631</v>
      </c>
      <c r="D498" s="38">
        <v>14</v>
      </c>
      <c r="E498" s="39" t="str">
        <f>CONCATENATE("PS-",TEXT(A498,"00"),"-",O498)</f>
        <v>PS-04-GZ1</v>
      </c>
      <c r="F498" s="48" t="str">
        <f>CONCATENATE("Poste de Sectionnement n°",TEXT(A498,"00")," ",O498)</f>
        <v>Poste de Sectionnement n°04 GZ1</v>
      </c>
      <c r="G498" s="19">
        <v>27760</v>
      </c>
      <c r="H498" s="19">
        <v>27760</v>
      </c>
      <c r="I498" s="41" t="s">
        <v>20</v>
      </c>
      <c r="J498" s="41">
        <v>1</v>
      </c>
      <c r="K498" s="41" t="s">
        <v>3557</v>
      </c>
      <c r="L498" s="41">
        <v>16</v>
      </c>
      <c r="M498" s="41"/>
      <c r="N498" s="41"/>
      <c r="O498" s="41" t="s">
        <v>372</v>
      </c>
      <c r="P498" s="41" t="s">
        <v>1882</v>
      </c>
      <c r="Q498" s="43">
        <f t="shared" si="72"/>
        <v>1162</v>
      </c>
      <c r="R498" s="43">
        <f t="shared" si="73"/>
        <v>275.04899999999998</v>
      </c>
      <c r="S498" s="41" t="s">
        <v>1867</v>
      </c>
      <c r="T498" s="48" t="str">
        <f t="shared" si="74"/>
        <v>(4,'PS-04-GZ1','Poste de Sectionnement n°04 GZ1','Thursday-01-jj','Thursday-01-jj',NULL,1,),</v>
      </c>
    </row>
    <row r="499" spans="1:20" ht="20.100000000000001" customHeight="1" x14ac:dyDescent="0.25">
      <c r="A499" s="38">
        <v>10</v>
      </c>
      <c r="B499" s="38">
        <v>504</v>
      </c>
      <c r="C499" s="38" t="s">
        <v>631</v>
      </c>
      <c r="D499" s="38">
        <v>14</v>
      </c>
      <c r="E499" s="39" t="str">
        <f>CONCATENATE("PPUR-",TEXT(A499,"00"),"-",O499)</f>
        <v>PPUR-10-GZ1</v>
      </c>
      <c r="F499" s="48" t="str">
        <f>CONCATENATE("Poste de Purge n°",TEXT(A499,"00")," ",O499)</f>
        <v>Poste de Purge n°10 GZ1</v>
      </c>
      <c r="G499" s="19">
        <v>27760</v>
      </c>
      <c r="H499" s="19">
        <v>27760</v>
      </c>
      <c r="I499" s="41" t="s">
        <v>20</v>
      </c>
      <c r="J499" s="41">
        <v>1</v>
      </c>
      <c r="K499" s="41" t="s">
        <v>3558</v>
      </c>
      <c r="L499" s="41">
        <v>17</v>
      </c>
      <c r="M499" s="41"/>
      <c r="N499" s="41"/>
      <c r="O499" s="41" t="s">
        <v>372</v>
      </c>
      <c r="P499" s="41" t="s">
        <v>2863</v>
      </c>
      <c r="Q499" s="49">
        <f t="shared" si="72"/>
        <v>1254</v>
      </c>
      <c r="R499" s="43">
        <f t="shared" si="73"/>
        <v>294.50599999999997</v>
      </c>
      <c r="S499" s="41" t="s">
        <v>1743</v>
      </c>
      <c r="T499" s="48" t="str">
        <f t="shared" si="74"/>
        <v>(10,'PPUR-10-GZ1','Poste de Purge n°10 GZ1','Thursday-01-jj','Thursday-01-jj',NULL,1,),</v>
      </c>
    </row>
    <row r="500" spans="1:20" ht="20.100000000000001" customHeight="1" x14ac:dyDescent="0.25">
      <c r="A500" s="38">
        <v>4</v>
      </c>
      <c r="B500" s="38">
        <v>505</v>
      </c>
      <c r="C500" s="38" t="s">
        <v>631</v>
      </c>
      <c r="D500" s="38">
        <v>14</v>
      </c>
      <c r="E500" s="39" t="str">
        <f>CONCATENATE("PC-",TEXT(A500,"00"),"-",O500)</f>
        <v>PC-04-GZ1</v>
      </c>
      <c r="F500" s="48" t="str">
        <f>CONCATENATE("Poste de Coupure n°",TEXT(A500,"00")," ",O500)</f>
        <v>Poste de Coupure n°04 GZ1</v>
      </c>
      <c r="G500" s="19">
        <v>27760</v>
      </c>
      <c r="H500" s="19">
        <v>27760</v>
      </c>
      <c r="I500" s="41" t="s">
        <v>20</v>
      </c>
      <c r="J500" s="41">
        <v>1</v>
      </c>
      <c r="K500" s="41" t="s">
        <v>3556</v>
      </c>
      <c r="L500" s="41">
        <v>15</v>
      </c>
      <c r="M500" s="41"/>
      <c r="N500" s="41"/>
      <c r="O500" s="41" t="s">
        <v>372</v>
      </c>
      <c r="P500" s="41" t="s">
        <v>2914</v>
      </c>
      <c r="Q500" s="49">
        <f t="shared" si="72"/>
        <v>1235</v>
      </c>
      <c r="R500" s="43">
        <f t="shared" si="73"/>
        <v>295.44</v>
      </c>
      <c r="S500" s="41" t="s">
        <v>2918</v>
      </c>
      <c r="T500" s="48" t="str">
        <f t="shared" si="74"/>
        <v>(4,'PC-04-GZ1','Poste de Coupure n°04 GZ1','Thursday-01-jj','Thursday-01-jj',NULL,1,),</v>
      </c>
    </row>
    <row r="501" spans="1:20" ht="20.100000000000001" customHeight="1" x14ac:dyDescent="0.25">
      <c r="A501" s="38">
        <v>4</v>
      </c>
      <c r="B501" s="38">
        <v>506</v>
      </c>
      <c r="C501" s="38" t="s">
        <v>631</v>
      </c>
      <c r="D501" s="38">
        <v>14</v>
      </c>
      <c r="E501" s="39" t="s">
        <v>196</v>
      </c>
      <c r="F501" s="48" t="str">
        <f>CONCATENATE("Station de Pompage ",E501)</f>
        <v>Station de Pompage SC4-GZ1</v>
      </c>
      <c r="G501" s="19">
        <v>28856</v>
      </c>
      <c r="H501" s="19">
        <v>28856</v>
      </c>
      <c r="I501" s="41" t="s">
        <v>20</v>
      </c>
      <c r="J501" s="41">
        <v>1</v>
      </c>
      <c r="K501" s="41" t="s">
        <v>3552</v>
      </c>
      <c r="L501" s="41">
        <v>7</v>
      </c>
      <c r="M501" s="41">
        <v>10</v>
      </c>
      <c r="N501" s="41"/>
      <c r="O501" s="41" t="s">
        <v>372</v>
      </c>
      <c r="P501" s="41" t="s">
        <v>2914</v>
      </c>
      <c r="Q501" s="49">
        <f t="shared" si="72"/>
        <v>1235</v>
      </c>
      <c r="R501" s="43">
        <f t="shared" si="73"/>
        <v>295.44</v>
      </c>
      <c r="S501" s="41" t="s">
        <v>2918</v>
      </c>
      <c r="T501" s="48" t="str">
        <f t="shared" si="74"/>
        <v>(4,'SC4-GZ1','Station de Pompage SC4-GZ1','Monday-01-jj','Monday-01-jj',NULL,1,10),</v>
      </c>
    </row>
    <row r="502" spans="1:20" ht="20.100000000000001" customHeight="1" x14ac:dyDescent="0.25">
      <c r="A502" s="38">
        <v>5</v>
      </c>
      <c r="B502" s="38">
        <v>507</v>
      </c>
      <c r="C502" s="38" t="s">
        <v>631</v>
      </c>
      <c r="D502" s="38">
        <v>14</v>
      </c>
      <c r="E502" s="39" t="str">
        <f>CONCATENATE("PS-",TEXT(A502,"00"),"-",O502)</f>
        <v>PS-05-GZ1</v>
      </c>
      <c r="F502" s="48" t="str">
        <f>CONCATENATE("Poste de Sectionnement n°",TEXT(A502,"00")," ",O502)</f>
        <v>Poste de Sectionnement n°05 GZ1</v>
      </c>
      <c r="G502" s="19">
        <v>27760</v>
      </c>
      <c r="H502" s="19">
        <v>27760</v>
      </c>
      <c r="I502" s="41" t="s">
        <v>20</v>
      </c>
      <c r="J502" s="41">
        <v>1</v>
      </c>
      <c r="K502" s="41" t="s">
        <v>3557</v>
      </c>
      <c r="L502" s="41">
        <v>16</v>
      </c>
      <c r="M502" s="41"/>
      <c r="N502" s="41"/>
      <c r="O502" s="41" t="s">
        <v>372</v>
      </c>
      <c r="P502" s="41" t="s">
        <v>1883</v>
      </c>
      <c r="Q502" s="43">
        <f t="shared" si="72"/>
        <v>984</v>
      </c>
      <c r="R502" s="43">
        <f t="shared" si="73"/>
        <v>325.27300000000002</v>
      </c>
      <c r="S502" s="41" t="s">
        <v>1938</v>
      </c>
      <c r="T502" s="48" t="str">
        <f t="shared" si="74"/>
        <v>(5,'PS-05-GZ1','Poste de Sectionnement n°05 GZ1','Thursday-01-jj','Thursday-01-jj',NULL,1,),</v>
      </c>
    </row>
    <row r="503" spans="1:20" ht="20.100000000000001" customHeight="1" x14ac:dyDescent="0.25">
      <c r="A503" s="38">
        <v>11</v>
      </c>
      <c r="B503" s="38">
        <v>508</v>
      </c>
      <c r="C503" s="38" t="s">
        <v>631</v>
      </c>
      <c r="D503" s="38">
        <v>14</v>
      </c>
      <c r="E503" s="39" t="str">
        <f>CONCATENATE("PPUR-",TEXT(A503,"00"),"-",O503)</f>
        <v>PPUR-11-GZ1</v>
      </c>
      <c r="F503" s="48" t="str">
        <f>CONCATENATE("Poste de Purge n°",TEXT(A503,"00")," ",O503)</f>
        <v>Poste de Purge n°11 GZ1</v>
      </c>
      <c r="G503" s="19">
        <v>27760</v>
      </c>
      <c r="H503" s="19">
        <v>27760</v>
      </c>
      <c r="I503" s="41" t="s">
        <v>20</v>
      </c>
      <c r="J503" s="41">
        <v>1</v>
      </c>
      <c r="K503" s="41" t="s">
        <v>3558</v>
      </c>
      <c r="L503" s="41">
        <v>17</v>
      </c>
      <c r="M503" s="41"/>
      <c r="N503" s="41"/>
      <c r="O503" s="41" t="s">
        <v>372</v>
      </c>
      <c r="P503" s="41" t="s">
        <v>2864</v>
      </c>
      <c r="Q503" s="49">
        <f t="shared" si="72"/>
        <v>990</v>
      </c>
      <c r="R503" s="43">
        <f t="shared" si="73"/>
        <v>328.245</v>
      </c>
      <c r="S503" s="41" t="s">
        <v>1938</v>
      </c>
      <c r="T503" s="48" t="str">
        <f t="shared" si="74"/>
        <v>(11,'PPUR-11-GZ1','Poste de Purge n°11 GZ1','Thursday-01-jj','Thursday-01-jj',NULL,1,),</v>
      </c>
    </row>
    <row r="504" spans="1:20" ht="20.100000000000001" customHeight="1" x14ac:dyDescent="0.25">
      <c r="A504" s="38">
        <v>12</v>
      </c>
      <c r="B504" s="38">
        <v>509</v>
      </c>
      <c r="C504" s="38" t="s">
        <v>631</v>
      </c>
      <c r="D504" s="38">
        <v>14</v>
      </c>
      <c r="E504" s="39" t="str">
        <f>CONCATENATE("PPUR-",TEXT(A504,"00"),"-",O504)</f>
        <v>PPUR-12-GZ1</v>
      </c>
      <c r="F504" s="48" t="str">
        <f>CONCATENATE("Poste de Purge n°",TEXT(A504,"00")," ",O504)</f>
        <v>Poste de Purge n°12 GZ1</v>
      </c>
      <c r="G504" s="19">
        <v>27760</v>
      </c>
      <c r="H504" s="19">
        <v>27760</v>
      </c>
      <c r="I504" s="41" t="s">
        <v>20</v>
      </c>
      <c r="J504" s="41">
        <v>1</v>
      </c>
      <c r="K504" s="41" t="s">
        <v>3558</v>
      </c>
      <c r="L504" s="41">
        <v>17</v>
      </c>
      <c r="M504" s="41"/>
      <c r="N504" s="41"/>
      <c r="O504" s="41" t="s">
        <v>372</v>
      </c>
      <c r="P504" s="41" t="s">
        <v>2865</v>
      </c>
      <c r="Q504" s="49">
        <f t="shared" si="72"/>
        <v>961</v>
      </c>
      <c r="R504" s="43">
        <f t="shared" si="73"/>
        <v>335.86700000000002</v>
      </c>
      <c r="S504" s="41" t="s">
        <v>797</v>
      </c>
      <c r="T504" s="48" t="str">
        <f t="shared" si="74"/>
        <v>(12,'PPUR-12-GZ1','Poste de Purge n°12 GZ1','Thursday-01-jj','Thursday-01-jj',NULL,1,),</v>
      </c>
    </row>
    <row r="505" spans="1:20" ht="20.100000000000001" customHeight="1" x14ac:dyDescent="0.25">
      <c r="A505" s="38">
        <v>6</v>
      </c>
      <c r="B505" s="38">
        <v>510</v>
      </c>
      <c r="C505" s="38" t="s">
        <v>631</v>
      </c>
      <c r="D505" s="38">
        <v>14</v>
      </c>
      <c r="E505" s="39" t="str">
        <f>CONCATENATE("PS-",TEXT(A505,"00"),"-",O505)</f>
        <v>PS-06-GZ1</v>
      </c>
      <c r="F505" s="48" t="str">
        <f>CONCATENATE("Poste de Sectionnement n°",TEXT(A505,"00")," ",O505)</f>
        <v>Poste de Sectionnement n°06 GZ1</v>
      </c>
      <c r="G505" s="19">
        <v>27760</v>
      </c>
      <c r="H505" s="19">
        <v>27760</v>
      </c>
      <c r="I505" s="41" t="s">
        <v>20</v>
      </c>
      <c r="J505" s="41">
        <v>1</v>
      </c>
      <c r="K505" s="41" t="s">
        <v>3557</v>
      </c>
      <c r="L505" s="41">
        <v>16</v>
      </c>
      <c r="M505" s="41"/>
      <c r="N505" s="41"/>
      <c r="O505" s="41" t="s">
        <v>372</v>
      </c>
      <c r="P505" s="41" t="s">
        <v>1884</v>
      </c>
      <c r="Q505" s="43">
        <f t="shared" si="72"/>
        <v>630</v>
      </c>
      <c r="R505" s="43">
        <f t="shared" si="73"/>
        <v>351.2</v>
      </c>
      <c r="S505" s="41" t="s">
        <v>754</v>
      </c>
      <c r="T505" s="48" t="str">
        <f t="shared" si="74"/>
        <v>(6,'PS-06-GZ1','Poste de Sectionnement n°06 GZ1','Thursday-01-jj','Thursday-01-jj',NULL,1,),</v>
      </c>
    </row>
    <row r="506" spans="1:20" ht="20.100000000000001" customHeight="1" x14ac:dyDescent="0.25">
      <c r="A506" s="38">
        <v>13</v>
      </c>
      <c r="B506" s="38">
        <v>511</v>
      </c>
      <c r="C506" s="38" t="s">
        <v>631</v>
      </c>
      <c r="D506" s="38">
        <v>14</v>
      </c>
      <c r="E506" s="39" t="str">
        <f>CONCATENATE("PPUR-",TEXT(A506,"00"),"-",O506)</f>
        <v>PPUR-13-GZ1</v>
      </c>
      <c r="F506" s="48" t="str">
        <f>CONCATENATE("Poste de Purge n°",TEXT(A506,"00")," ",O506)</f>
        <v>Poste de Purge n°13 GZ1</v>
      </c>
      <c r="G506" s="19">
        <v>27760</v>
      </c>
      <c r="H506" s="19">
        <v>27760</v>
      </c>
      <c r="I506" s="41" t="s">
        <v>20</v>
      </c>
      <c r="J506" s="41">
        <v>1</v>
      </c>
      <c r="K506" s="41" t="s">
        <v>3558</v>
      </c>
      <c r="L506" s="41">
        <v>17</v>
      </c>
      <c r="M506" s="41"/>
      <c r="N506" s="41"/>
      <c r="O506" s="41" t="s">
        <v>372</v>
      </c>
      <c r="P506" s="41" t="s">
        <v>2866</v>
      </c>
      <c r="Q506" s="49">
        <f t="shared" si="72"/>
        <v>575</v>
      </c>
      <c r="R506" s="43">
        <f t="shared" si="73"/>
        <v>358.99599999999998</v>
      </c>
      <c r="S506" s="41" t="s">
        <v>2991</v>
      </c>
      <c r="T506" s="48" t="str">
        <f t="shared" si="74"/>
        <v>(13,'PPUR-13-GZ1','Poste de Purge n°13 GZ1','Thursday-01-jj','Thursday-01-jj',NULL,1,),</v>
      </c>
    </row>
    <row r="507" spans="1:20" ht="20.100000000000001" customHeight="1" x14ac:dyDescent="0.25">
      <c r="A507" s="38">
        <v>14</v>
      </c>
      <c r="B507" s="38">
        <v>512</v>
      </c>
      <c r="C507" s="38" t="s">
        <v>631</v>
      </c>
      <c r="D507" s="38">
        <v>14</v>
      </c>
      <c r="E507" s="39" t="str">
        <f>CONCATENATE("PPUR-",TEXT(A507,"00"),"-",O507)</f>
        <v>PPUR-14-GZ1</v>
      </c>
      <c r="F507" s="48" t="str">
        <f>CONCATENATE("Poste de Purge n°",TEXT(A507,"00")," ",O507)</f>
        <v>Poste de Purge n°14 GZ1</v>
      </c>
      <c r="G507" s="19">
        <v>27760</v>
      </c>
      <c r="H507" s="19">
        <v>27760</v>
      </c>
      <c r="I507" s="41" t="s">
        <v>20</v>
      </c>
      <c r="J507" s="41">
        <v>1</v>
      </c>
      <c r="K507" s="41" t="s">
        <v>3558</v>
      </c>
      <c r="L507" s="41">
        <v>17</v>
      </c>
      <c r="M507" s="41"/>
      <c r="N507" s="41"/>
      <c r="O507" s="41" t="s">
        <v>372</v>
      </c>
      <c r="P507" s="41" t="s">
        <v>2867</v>
      </c>
      <c r="Q507" s="49">
        <f t="shared" si="72"/>
        <v>670</v>
      </c>
      <c r="R507" s="43">
        <f t="shared" si="73"/>
        <v>370.98599999999999</v>
      </c>
      <c r="S507" s="41" t="s">
        <v>755</v>
      </c>
      <c r="T507" s="48" t="str">
        <f t="shared" si="74"/>
        <v>(14,'PPUR-14-GZ1','Poste de Purge n°14 GZ1','Thursday-01-jj','Thursday-01-jj',NULL,1,),</v>
      </c>
    </row>
    <row r="508" spans="1:20" ht="20.100000000000001" customHeight="1" x14ac:dyDescent="0.25">
      <c r="A508" s="38">
        <v>7</v>
      </c>
      <c r="B508" s="38">
        <v>513</v>
      </c>
      <c r="C508" s="38" t="s">
        <v>631</v>
      </c>
      <c r="D508" s="38">
        <v>14</v>
      </c>
      <c r="E508" s="39" t="str">
        <f>CONCATENATE("PS-",TEXT(A508,"00"),"-",O508)</f>
        <v>PS-07-GZ1</v>
      </c>
      <c r="F508" s="48" t="str">
        <f>CONCATENATE("Poste de Sectionnement n°",TEXT(A508,"00")," ",O508)</f>
        <v>Poste de Sectionnement n°07 GZ1</v>
      </c>
      <c r="G508" s="19">
        <v>27760</v>
      </c>
      <c r="H508" s="19">
        <v>27760</v>
      </c>
      <c r="I508" s="41" t="s">
        <v>20</v>
      </c>
      <c r="J508" s="41">
        <v>1</v>
      </c>
      <c r="K508" s="41" t="s">
        <v>3557</v>
      </c>
      <c r="L508" s="41">
        <v>16</v>
      </c>
      <c r="M508" s="41"/>
      <c r="N508" s="41"/>
      <c r="O508" s="41" t="s">
        <v>372</v>
      </c>
      <c r="P508" s="41" t="s">
        <v>1885</v>
      </c>
      <c r="Q508" s="43">
        <f t="shared" si="72"/>
        <v>670</v>
      </c>
      <c r="R508" s="43">
        <f t="shared" si="73"/>
        <v>371.12799999999999</v>
      </c>
      <c r="S508" s="41" t="s">
        <v>755</v>
      </c>
      <c r="T508" s="48" t="str">
        <f t="shared" si="74"/>
        <v>(7,'PS-07-GZ1','Poste de Sectionnement n°07 GZ1','Thursday-01-jj','Thursday-01-jj',NULL,1,),</v>
      </c>
    </row>
    <row r="509" spans="1:20" ht="20.100000000000001" customHeight="1" x14ac:dyDescent="0.25">
      <c r="A509" s="38">
        <v>15</v>
      </c>
      <c r="B509" s="38">
        <v>514</v>
      </c>
      <c r="C509" s="38" t="s">
        <v>631</v>
      </c>
      <c r="D509" s="38">
        <v>14</v>
      </c>
      <c r="E509" s="39" t="str">
        <f>CONCATENATE("PPUR-",TEXT(A509,"00"),"-",O509)</f>
        <v>PPUR-15-GZ1</v>
      </c>
      <c r="F509" s="48" t="str">
        <f>CONCATENATE("Poste de Purge n°",TEXT(A509,"00")," ",O509)</f>
        <v>Poste de Purge n°15 GZ1</v>
      </c>
      <c r="G509" s="19">
        <v>27760</v>
      </c>
      <c r="H509" s="19">
        <v>27760</v>
      </c>
      <c r="I509" s="41" t="s">
        <v>20</v>
      </c>
      <c r="J509" s="41">
        <v>1</v>
      </c>
      <c r="K509" s="41" t="s">
        <v>3558</v>
      </c>
      <c r="L509" s="41">
        <v>17</v>
      </c>
      <c r="M509" s="41"/>
      <c r="N509" s="41"/>
      <c r="O509" s="41" t="s">
        <v>372</v>
      </c>
      <c r="P509" s="41" t="s">
        <v>2868</v>
      </c>
      <c r="Q509" s="49">
        <f t="shared" si="72"/>
        <v>504</v>
      </c>
      <c r="R509" s="43">
        <f t="shared" si="73"/>
        <v>391.34</v>
      </c>
      <c r="S509" s="41" t="s">
        <v>2992</v>
      </c>
      <c r="T509" s="48" t="str">
        <f t="shared" si="74"/>
        <v>(15,'PPUR-15-GZ1','Poste de Purge n°15 GZ1','Thursday-01-jj','Thursday-01-jj',NULL,1,),</v>
      </c>
    </row>
    <row r="510" spans="1:20" ht="20.100000000000001" customHeight="1" x14ac:dyDescent="0.25">
      <c r="A510" s="38">
        <v>5</v>
      </c>
      <c r="B510" s="38">
        <v>515</v>
      </c>
      <c r="C510" s="38" t="s">
        <v>631</v>
      </c>
      <c r="D510" s="38">
        <v>14</v>
      </c>
      <c r="E510" s="39" t="str">
        <f>CONCATENATE("PC-",TEXT(A510,"00"),"-",O510)</f>
        <v>PC-05-GZ1</v>
      </c>
      <c r="F510" s="48" t="str">
        <f>CONCATENATE("Poste de Coupure n°",TEXT(A510,"00")," ",O510)</f>
        <v>Poste de Coupure n°05 GZ1</v>
      </c>
      <c r="G510" s="19">
        <v>27760</v>
      </c>
      <c r="H510" s="19">
        <v>27760</v>
      </c>
      <c r="I510" s="41" t="s">
        <v>20</v>
      </c>
      <c r="J510" s="41">
        <v>1</v>
      </c>
      <c r="K510" s="41" t="s">
        <v>3556</v>
      </c>
      <c r="L510" s="41">
        <v>15</v>
      </c>
      <c r="M510" s="41"/>
      <c r="N510" s="41"/>
      <c r="O510" s="41" t="s">
        <v>372</v>
      </c>
      <c r="P510" s="41" t="s">
        <v>2915</v>
      </c>
      <c r="Q510" s="49">
        <f t="shared" si="72"/>
        <v>525</v>
      </c>
      <c r="R510" s="43">
        <f t="shared" si="73"/>
        <v>397.76499999999999</v>
      </c>
      <c r="S510" s="41" t="s">
        <v>2919</v>
      </c>
      <c r="T510" s="48" t="str">
        <f t="shared" si="74"/>
        <v>(5,'PC-05-GZ1','Poste de Coupure n°05 GZ1','Thursday-01-jj','Thursday-01-jj',NULL,1,),</v>
      </c>
    </row>
    <row r="511" spans="1:20" ht="20.100000000000001" customHeight="1" x14ac:dyDescent="0.25">
      <c r="A511" s="38">
        <v>5</v>
      </c>
      <c r="B511" s="38">
        <v>516</v>
      </c>
      <c r="C511" s="38" t="s">
        <v>631</v>
      </c>
      <c r="D511" s="38">
        <v>14</v>
      </c>
      <c r="E511" s="39" t="s">
        <v>202</v>
      </c>
      <c r="F511" s="48" t="str">
        <f>CONCATENATE("Station de Pompage ",E511)</f>
        <v>Station de Pompage SC5-GZ1</v>
      </c>
      <c r="G511" s="19">
        <v>28491</v>
      </c>
      <c r="H511" s="19">
        <v>28491</v>
      </c>
      <c r="I511" s="41" t="s">
        <v>20</v>
      </c>
      <c r="J511" s="41">
        <v>1</v>
      </c>
      <c r="K511" s="41" t="s">
        <v>3552</v>
      </c>
      <c r="L511" s="41">
        <v>7</v>
      </c>
      <c r="M511" s="41">
        <v>10</v>
      </c>
      <c r="N511" s="41"/>
      <c r="O511" s="41" t="s">
        <v>372</v>
      </c>
      <c r="P511" s="41" t="s">
        <v>2915</v>
      </c>
      <c r="Q511" s="49">
        <f t="shared" si="72"/>
        <v>525</v>
      </c>
      <c r="R511" s="43">
        <f t="shared" si="73"/>
        <v>397.76499999999999</v>
      </c>
      <c r="S511" s="41" t="s">
        <v>2919</v>
      </c>
      <c r="T511" s="48" t="str">
        <f t="shared" si="74"/>
        <v>(5,'SC5-GZ1','Station de Pompage SC5-GZ1','Sunday-01-jj','Sunday-01-jj',NULL,1,10),</v>
      </c>
    </row>
    <row r="512" spans="1:20" ht="20.100000000000001" customHeight="1" x14ac:dyDescent="0.25">
      <c r="A512" s="38">
        <v>8</v>
      </c>
      <c r="B512" s="38">
        <v>517</v>
      </c>
      <c r="C512" s="38" t="s">
        <v>631</v>
      </c>
      <c r="D512" s="38">
        <v>14</v>
      </c>
      <c r="E512" s="39" t="str">
        <f>CONCATENATE("PS-",TEXT(A512,"00"),"-",O512)</f>
        <v>PS-08-GZ1</v>
      </c>
      <c r="F512" s="48" t="str">
        <f>CONCATENATE("Poste de Sectionnement n°",TEXT(A512,"00")," ",O512)</f>
        <v>Poste de Sectionnement n°08 GZ1</v>
      </c>
      <c r="G512" s="19">
        <v>27760</v>
      </c>
      <c r="H512" s="19">
        <v>27760</v>
      </c>
      <c r="I512" s="41" t="s">
        <v>20</v>
      </c>
      <c r="J512" s="41">
        <v>1</v>
      </c>
      <c r="K512" s="41" t="s">
        <v>3557</v>
      </c>
      <c r="L512" s="41">
        <v>16</v>
      </c>
      <c r="M512" s="41"/>
      <c r="N512" s="41"/>
      <c r="O512" s="41" t="s">
        <v>372</v>
      </c>
      <c r="P512" s="41" t="s">
        <v>1886</v>
      </c>
      <c r="Q512" s="43">
        <f t="shared" si="72"/>
        <v>73</v>
      </c>
      <c r="R512" s="43">
        <f t="shared" si="73"/>
        <v>421.375</v>
      </c>
      <c r="S512" s="41" t="s">
        <v>1939</v>
      </c>
      <c r="T512" s="48" t="str">
        <f t="shared" si="74"/>
        <v>(8,'PS-08-GZ1','Poste de Sectionnement n°08 GZ1','Thursday-01-jj','Thursday-01-jj',NULL,1,),</v>
      </c>
    </row>
    <row r="513" spans="1:20" ht="20.100000000000001" customHeight="1" x14ac:dyDescent="0.25">
      <c r="A513" s="38">
        <v>16</v>
      </c>
      <c r="B513" s="38">
        <v>518</v>
      </c>
      <c r="C513" s="38" t="s">
        <v>631</v>
      </c>
      <c r="D513" s="38">
        <v>14</v>
      </c>
      <c r="E513" s="39" t="str">
        <f>CONCATENATE("PPUR-",TEXT(A513,"00"),"-",O513)</f>
        <v>PPUR-16-GZ1</v>
      </c>
      <c r="F513" s="48" t="str">
        <f>CONCATENATE("Poste de Purge n°",TEXT(A513,"00")," ",O513)</f>
        <v>Poste de Purge n°16 GZ1</v>
      </c>
      <c r="G513" s="19">
        <v>27760</v>
      </c>
      <c r="H513" s="19">
        <v>27760</v>
      </c>
      <c r="I513" s="41" t="s">
        <v>20</v>
      </c>
      <c r="J513" s="41">
        <v>1</v>
      </c>
      <c r="K513" s="41" t="s">
        <v>3558</v>
      </c>
      <c r="L513" s="41">
        <v>17</v>
      </c>
      <c r="M513" s="41"/>
      <c r="N513" s="41"/>
      <c r="O513" s="41" t="s">
        <v>372</v>
      </c>
      <c r="P513" s="41" t="s">
        <v>2869</v>
      </c>
      <c r="Q513" s="49">
        <f t="shared" si="72"/>
        <v>73</v>
      </c>
      <c r="R513" s="43">
        <f t="shared" si="73"/>
        <v>421.5</v>
      </c>
      <c r="S513" s="41" t="s">
        <v>1939</v>
      </c>
      <c r="T513" s="48" t="str">
        <f t="shared" si="74"/>
        <v>(16,'PPUR-16-GZ1','Poste de Purge n°16 GZ1','Thursday-01-jj','Thursday-01-jj',NULL,1,),</v>
      </c>
    </row>
    <row r="514" spans="1:20" ht="20.100000000000001" customHeight="1" x14ac:dyDescent="0.25">
      <c r="A514" s="38">
        <v>17</v>
      </c>
      <c r="B514" s="38">
        <v>519</v>
      </c>
      <c r="C514" s="38" t="s">
        <v>631</v>
      </c>
      <c r="D514" s="38">
        <v>14</v>
      </c>
      <c r="E514" s="39" t="str">
        <f>CONCATENATE("PPUR-",TEXT(A514,"00"),"-",O514)</f>
        <v>PPUR-17-GZ1</v>
      </c>
      <c r="F514" s="48" t="str">
        <f>CONCATENATE("Poste de Purge n°",TEXT(A514,"00")," ",O514)</f>
        <v>Poste de Purge n°17 GZ1</v>
      </c>
      <c r="G514" s="19">
        <v>27760</v>
      </c>
      <c r="H514" s="19">
        <v>27760</v>
      </c>
      <c r="I514" s="41" t="s">
        <v>20</v>
      </c>
      <c r="J514" s="41">
        <v>1</v>
      </c>
      <c r="K514" s="41" t="s">
        <v>3558</v>
      </c>
      <c r="L514" s="41">
        <v>17</v>
      </c>
      <c r="M514" s="41"/>
      <c r="N514" s="41"/>
      <c r="O514" s="41" t="s">
        <v>372</v>
      </c>
      <c r="P514" s="41" t="s">
        <v>2871</v>
      </c>
      <c r="Q514" s="49">
        <f t="shared" si="72"/>
        <v>0</v>
      </c>
      <c r="R514" s="43">
        <f t="shared" si="73"/>
        <v>440.1</v>
      </c>
      <c r="S514" s="41" t="s">
        <v>2993</v>
      </c>
      <c r="T514" s="48" t="str">
        <f t="shared" si="74"/>
        <v>(17,'PPUR-17-GZ1','Poste de Purge n°17 GZ1','Thursday-01-jj','Thursday-01-jj',NULL,1,),</v>
      </c>
    </row>
    <row r="515" spans="1:20" ht="20.100000000000001" customHeight="1" x14ac:dyDescent="0.25">
      <c r="A515" s="38">
        <v>9</v>
      </c>
      <c r="B515" s="38">
        <v>520</v>
      </c>
      <c r="C515" s="38" t="s">
        <v>631</v>
      </c>
      <c r="D515" s="38">
        <v>14</v>
      </c>
      <c r="E515" s="39" t="str">
        <f>CONCATENATE("PS-",TEXT(A515,"00"),"-",O515)</f>
        <v>PS-09-GZ1</v>
      </c>
      <c r="F515" s="48" t="str">
        <f>CONCATENATE("Poste de Sectionnement n°",TEXT(A515,"00")," ",O515)</f>
        <v>Poste de Sectionnement n°09 GZ1</v>
      </c>
      <c r="G515" s="19">
        <v>27760</v>
      </c>
      <c r="H515" s="19">
        <v>27760</v>
      </c>
      <c r="I515" s="41" t="s">
        <v>20</v>
      </c>
      <c r="J515" s="41">
        <v>1</v>
      </c>
      <c r="K515" s="41" t="s">
        <v>3557</v>
      </c>
      <c r="L515" s="41">
        <v>16</v>
      </c>
      <c r="M515" s="41"/>
      <c r="N515" s="41"/>
      <c r="O515" s="41" t="s">
        <v>372</v>
      </c>
      <c r="P515" s="41" t="s">
        <v>1887</v>
      </c>
      <c r="Q515" s="43">
        <f t="shared" si="72"/>
        <v>70</v>
      </c>
      <c r="R515" s="43">
        <f t="shared" si="73"/>
        <v>442.51499999999999</v>
      </c>
      <c r="S515" s="41" t="s">
        <v>1940</v>
      </c>
      <c r="T515" s="48" t="str">
        <f t="shared" si="74"/>
        <v>(9,'PS-09-GZ1','Poste de Sectionnement n°09 GZ1','Thursday-01-jj','Thursday-01-jj',NULL,1,),</v>
      </c>
    </row>
    <row r="516" spans="1:20" ht="20.100000000000001" customHeight="1" x14ac:dyDescent="0.25">
      <c r="A516" s="38">
        <v>10</v>
      </c>
      <c r="B516" s="38">
        <v>521</v>
      </c>
      <c r="C516" s="38" t="s">
        <v>631</v>
      </c>
      <c r="D516" s="38">
        <v>14</v>
      </c>
      <c r="E516" s="39" t="str">
        <f>CONCATENATE("PS-",TEXT(A516,"00"),"-",O516)</f>
        <v>PS-10-GZ1</v>
      </c>
      <c r="F516" s="48" t="str">
        <f>CONCATENATE("Poste de Sectionnement n°",TEXT(A516,"00")," ",O516)</f>
        <v>Poste de Sectionnement n°10 GZ1</v>
      </c>
      <c r="G516" s="19">
        <v>27760</v>
      </c>
      <c r="H516" s="19">
        <v>27760</v>
      </c>
      <c r="I516" s="41" t="s">
        <v>20</v>
      </c>
      <c r="J516" s="41">
        <v>1</v>
      </c>
      <c r="K516" s="41" t="s">
        <v>3557</v>
      </c>
      <c r="L516" s="41">
        <v>16</v>
      </c>
      <c r="M516" s="41"/>
      <c r="N516" s="41"/>
      <c r="O516" s="41" t="s">
        <v>372</v>
      </c>
      <c r="P516" s="41" t="s">
        <v>1888</v>
      </c>
      <c r="Q516" s="43">
        <f t="shared" si="72"/>
        <v>13</v>
      </c>
      <c r="R516" s="43">
        <f t="shared" si="73"/>
        <v>470.26600000000002</v>
      </c>
      <c r="S516" s="41" t="s">
        <v>1945</v>
      </c>
      <c r="T516" s="48" t="str">
        <f t="shared" si="74"/>
        <v>(10,'PS-10-GZ1','Poste de Sectionnement n°10 GZ1','Thursday-01-jj','Thursday-01-jj',NULL,1,),</v>
      </c>
    </row>
    <row r="517" spans="1:20" ht="20.100000000000001" customHeight="1" x14ac:dyDescent="0.25">
      <c r="A517" s="38">
        <v>11</v>
      </c>
      <c r="B517" s="38">
        <v>522</v>
      </c>
      <c r="C517" s="38" t="s">
        <v>631</v>
      </c>
      <c r="D517" s="38">
        <v>14</v>
      </c>
      <c r="E517" s="39" t="str">
        <f>CONCATENATE("PS-",TEXT(A517,"00"),"-",O517)</f>
        <v>PS-11-GZ1</v>
      </c>
      <c r="F517" s="48" t="str">
        <f>CONCATENATE("Poste de Sectionnement n°",TEXT(A517,"00")," ",O517)</f>
        <v>Poste de Sectionnement n°11 GZ1</v>
      </c>
      <c r="G517" s="19">
        <v>27760</v>
      </c>
      <c r="H517" s="19">
        <v>27760</v>
      </c>
      <c r="I517" s="41" t="s">
        <v>20</v>
      </c>
      <c r="J517" s="41">
        <v>1</v>
      </c>
      <c r="K517" s="41" t="s">
        <v>3557</v>
      </c>
      <c r="L517" s="41">
        <v>16</v>
      </c>
      <c r="M517" s="41"/>
      <c r="N517" s="41"/>
      <c r="O517" s="41" t="s">
        <v>372</v>
      </c>
      <c r="P517" s="41" t="s">
        <v>1889</v>
      </c>
      <c r="Q517" s="43">
        <f t="shared" si="72"/>
        <v>24</v>
      </c>
      <c r="R517" s="43">
        <f t="shared" si="73"/>
        <v>486.45</v>
      </c>
      <c r="S517" s="41" t="s">
        <v>1946</v>
      </c>
      <c r="T517" s="48" t="str">
        <f t="shared" si="74"/>
        <v>(11,'PS-11-GZ1','Poste de Sectionnement n°11 GZ1','Thursday-01-jj','Thursday-01-jj',NULL,1,),</v>
      </c>
    </row>
    <row r="518" spans="1:20" ht="20.100000000000001" customHeight="1" x14ac:dyDescent="0.25">
      <c r="A518" s="38">
        <v>18</v>
      </c>
      <c r="B518" s="38">
        <v>523</v>
      </c>
      <c r="C518" s="38" t="s">
        <v>631</v>
      </c>
      <c r="D518" s="38">
        <v>14</v>
      </c>
      <c r="E518" s="39" t="str">
        <f>CONCATENATE("PPUR-",TEXT(A518,"00"),"-",O518)</f>
        <v>PPUR-18-GZ1</v>
      </c>
      <c r="F518" s="48" t="str">
        <f>CONCATENATE("Poste de Purge n°",TEXT(A518,"00")," ",O518)</f>
        <v>Poste de Purge n°18 GZ1</v>
      </c>
      <c r="G518" s="19">
        <v>27760</v>
      </c>
      <c r="H518" s="19">
        <v>27760</v>
      </c>
      <c r="I518" s="41" t="s">
        <v>20</v>
      </c>
      <c r="J518" s="41">
        <v>1</v>
      </c>
      <c r="K518" s="41" t="s">
        <v>3558</v>
      </c>
      <c r="L518" s="41">
        <v>17</v>
      </c>
      <c r="M518" s="41"/>
      <c r="N518" s="41"/>
      <c r="O518" s="41" t="s">
        <v>372</v>
      </c>
      <c r="P518" s="41" t="s">
        <v>2870</v>
      </c>
      <c r="Q518" s="49">
        <f t="shared" si="72"/>
        <v>5</v>
      </c>
      <c r="R518" s="43">
        <f t="shared" si="73"/>
        <v>487.5</v>
      </c>
      <c r="S518" s="41" t="s">
        <v>2994</v>
      </c>
      <c r="T518" s="48" t="str">
        <f t="shared" si="74"/>
        <v>(18,'PPUR-18-GZ1','Poste de Purge n°18 GZ1','Thursday-01-jj','Thursday-01-jj',NULL,1,),</v>
      </c>
    </row>
    <row r="519" spans="1:20" ht="20.100000000000001" customHeight="1" x14ac:dyDescent="0.25">
      <c r="A519" s="38">
        <v>12</v>
      </c>
      <c r="B519" s="38">
        <v>524</v>
      </c>
      <c r="C519" s="38" t="s">
        <v>631</v>
      </c>
      <c r="D519" s="38">
        <v>14</v>
      </c>
      <c r="E519" s="39" t="str">
        <f>CONCATENATE("PS-",TEXT(A519,"00"),"-",O519)</f>
        <v>PS-12-GZ1</v>
      </c>
      <c r="F519" s="48" t="str">
        <f>CONCATENATE("Poste de Sectionnement n°",TEXT(A519,"00")," ",O519)</f>
        <v>Poste de Sectionnement n°12 GZ1</v>
      </c>
      <c r="G519" s="19">
        <v>27760</v>
      </c>
      <c r="H519" s="19">
        <v>27760</v>
      </c>
      <c r="I519" s="41" t="s">
        <v>20</v>
      </c>
      <c r="J519" s="41">
        <v>1</v>
      </c>
      <c r="K519" s="41" t="s">
        <v>3557</v>
      </c>
      <c r="L519" s="41">
        <v>16</v>
      </c>
      <c r="M519" s="41"/>
      <c r="N519" s="41"/>
      <c r="O519" s="41" t="s">
        <v>372</v>
      </c>
      <c r="P519" s="41" t="s">
        <v>1890</v>
      </c>
      <c r="Q519" s="43">
        <f t="shared" si="72"/>
        <v>436</v>
      </c>
      <c r="R519" s="43">
        <f t="shared" si="73"/>
        <v>487.72</v>
      </c>
      <c r="S519" s="41" t="s">
        <v>1947</v>
      </c>
      <c r="T519" s="48" t="str">
        <f t="shared" si="74"/>
        <v>(12,'PS-12-GZ1','Poste de Sectionnement n°12 GZ1','Thursday-01-jj','Thursday-01-jj',NULL,1,),</v>
      </c>
    </row>
    <row r="520" spans="1:20" ht="20.100000000000001" customHeight="1" x14ac:dyDescent="0.25">
      <c r="A520" s="38">
        <v>1</v>
      </c>
      <c r="B520" s="38">
        <v>525</v>
      </c>
      <c r="C520" s="38" t="s">
        <v>631</v>
      </c>
      <c r="D520" s="38">
        <v>14</v>
      </c>
      <c r="E520" s="39" t="str">
        <f>CONCATENATE("PPUR-",TEXT(A520,"00"),"-",O520)</f>
        <v>PPUR-01-GZ2</v>
      </c>
      <c r="F520" s="48" t="str">
        <f>CONCATENATE("Poste de Purge n°",TEXT(A520,"00")," ",O520)</f>
        <v>Poste de Purge n°01 GZ2</v>
      </c>
      <c r="G520" s="19">
        <v>29952</v>
      </c>
      <c r="H520" s="19">
        <v>29952</v>
      </c>
      <c r="I520" s="41" t="s">
        <v>20</v>
      </c>
      <c r="J520" s="41">
        <v>1</v>
      </c>
      <c r="K520" s="41" t="s">
        <v>3558</v>
      </c>
      <c r="L520" s="41">
        <v>17</v>
      </c>
      <c r="M520" s="41"/>
      <c r="N520" s="41"/>
      <c r="O520" s="41" t="s">
        <v>375</v>
      </c>
      <c r="P520" s="41" t="s">
        <v>2872</v>
      </c>
      <c r="Q520" s="49">
        <f t="shared" ref="Q520:Q583" si="75">VALUE(RIGHT(P520,LEN(P520)-SEARCH("/",P520)))</f>
        <v>747</v>
      </c>
      <c r="R520" s="43">
        <f t="shared" ref="R520:R583" si="76">VALUE(SUBSTITUTE(LEFT(P520,SEARCH("/",P520)-1),"+",","))</f>
        <v>20.192</v>
      </c>
      <c r="S520" s="41" t="s">
        <v>790</v>
      </c>
      <c r="T520" s="48" t="str">
        <f t="shared" si="74"/>
        <v>(1,'PPUR-01-GZ2','Poste de Purge n°01 GZ2','Friday-01-jj','Friday-01-jj',NULL,1,),</v>
      </c>
    </row>
    <row r="521" spans="1:20" ht="20.100000000000001" customHeight="1" x14ac:dyDescent="0.25">
      <c r="A521" s="38">
        <v>1</v>
      </c>
      <c r="B521" s="38">
        <v>526</v>
      </c>
      <c r="C521" s="38" t="s">
        <v>631</v>
      </c>
      <c r="D521" s="38">
        <v>14</v>
      </c>
      <c r="E521" s="39" t="str">
        <f>CONCATENATE("PS-",TEXT(A521,"00"),"-",O521)</f>
        <v>PS-01-GZ2</v>
      </c>
      <c r="F521" s="48" t="str">
        <f>CONCATENATE("Poste de Sectionnement n°",TEXT(A521,"00")," ",O521)</f>
        <v>Poste de Sectionnement n°01 GZ2</v>
      </c>
      <c r="G521" s="19">
        <v>29952</v>
      </c>
      <c r="H521" s="19">
        <v>29952</v>
      </c>
      <c r="I521" s="41" t="s">
        <v>20</v>
      </c>
      <c r="J521" s="41">
        <v>1</v>
      </c>
      <c r="K521" s="41" t="s">
        <v>3557</v>
      </c>
      <c r="L521" s="41">
        <v>16</v>
      </c>
      <c r="M521" s="41"/>
      <c r="N521" s="41"/>
      <c r="O521" s="41" t="s">
        <v>375</v>
      </c>
      <c r="P521" s="41" t="s">
        <v>1894</v>
      </c>
      <c r="Q521" s="43">
        <f t="shared" si="75"/>
        <v>836</v>
      </c>
      <c r="R521" s="43">
        <f t="shared" si="76"/>
        <v>57.293999999999997</v>
      </c>
      <c r="S521" s="41" t="s">
        <v>790</v>
      </c>
      <c r="T521" s="48" t="str">
        <f t="shared" si="74"/>
        <v>(1,'PS-01-GZ2','Poste de Sectionnement n°01 GZ2','Friday-01-jj','Friday-01-jj',NULL,1,),</v>
      </c>
    </row>
    <row r="522" spans="1:20" ht="20.100000000000001" customHeight="1" x14ac:dyDescent="0.25">
      <c r="A522" s="38">
        <v>6</v>
      </c>
      <c r="B522" s="38">
        <v>527</v>
      </c>
      <c r="C522" s="38" t="s">
        <v>631</v>
      </c>
      <c r="D522" s="38">
        <v>14</v>
      </c>
      <c r="E522" s="39" t="s">
        <v>180</v>
      </c>
      <c r="F522" s="48" t="str">
        <f>CONCATENATE("Station de Compression ",E522)</f>
        <v>Station de Compression SC1-GZ2</v>
      </c>
      <c r="G522" s="19">
        <v>30317</v>
      </c>
      <c r="H522" s="19">
        <v>30317</v>
      </c>
      <c r="I522" s="41" t="s">
        <v>20</v>
      </c>
      <c r="J522" s="41">
        <v>1</v>
      </c>
      <c r="K522" s="41" t="s">
        <v>3554</v>
      </c>
      <c r="L522" s="41">
        <v>8</v>
      </c>
      <c r="M522" s="41">
        <v>10</v>
      </c>
      <c r="N522" s="41"/>
      <c r="O522" s="41" t="s">
        <v>375</v>
      </c>
      <c r="P522" s="41" t="s">
        <v>2911</v>
      </c>
      <c r="Q522" s="49">
        <f t="shared" si="75"/>
        <v>840</v>
      </c>
      <c r="R522" s="43">
        <f t="shared" si="76"/>
        <v>74.867000000000004</v>
      </c>
      <c r="S522" s="41" t="s">
        <v>2916</v>
      </c>
      <c r="T522" s="48" t="str">
        <f t="shared" si="74"/>
        <v>(6,'SC1-GZ2','Station de Compression SC1-GZ2','Saturday-01-jj','Saturday-01-jj',NULL,1,10),</v>
      </c>
    </row>
    <row r="523" spans="1:20" ht="20.100000000000001" customHeight="1" x14ac:dyDescent="0.25">
      <c r="A523" s="38">
        <v>2</v>
      </c>
      <c r="B523" s="38">
        <v>528</v>
      </c>
      <c r="C523" s="38" t="s">
        <v>631</v>
      </c>
      <c r="D523" s="38">
        <v>14</v>
      </c>
      <c r="E523" s="39" t="str">
        <f>CONCATENATE("PPUR-",TEXT(A523,"00"),"-",O523)</f>
        <v>PPUR-02-GZ2</v>
      </c>
      <c r="F523" s="48" t="str">
        <f>CONCATENATE("Poste de Purge n°",TEXT(A523,"00")," ",O523)</f>
        <v>Poste de Purge n°02 GZ2</v>
      </c>
      <c r="G523" s="19">
        <v>29952</v>
      </c>
      <c r="H523" s="19">
        <v>29952</v>
      </c>
      <c r="I523" s="41" t="s">
        <v>20</v>
      </c>
      <c r="J523" s="41">
        <v>1</v>
      </c>
      <c r="K523" s="41" t="s">
        <v>3558</v>
      </c>
      <c r="L523" s="41">
        <v>17</v>
      </c>
      <c r="M523" s="41"/>
      <c r="N523" s="41"/>
      <c r="O523" s="41" t="s">
        <v>375</v>
      </c>
      <c r="P523" s="41" t="s">
        <v>2873</v>
      </c>
      <c r="Q523" s="49">
        <f t="shared" si="75"/>
        <v>771</v>
      </c>
      <c r="R523" s="43">
        <f t="shared" si="76"/>
        <v>99.332999999999998</v>
      </c>
      <c r="S523" s="41" t="s">
        <v>1740</v>
      </c>
      <c r="T523" s="48" t="str">
        <f t="shared" si="74"/>
        <v>(2,'PPUR-02-GZ2','Poste de Purge n°02 GZ2','Friday-01-jj','Friday-01-jj',NULL,1,),</v>
      </c>
    </row>
    <row r="524" spans="1:20" ht="20.100000000000001" customHeight="1" x14ac:dyDescent="0.25">
      <c r="A524" s="38">
        <v>2</v>
      </c>
      <c r="B524" s="38">
        <v>529</v>
      </c>
      <c r="C524" s="38" t="s">
        <v>631</v>
      </c>
      <c r="D524" s="38">
        <v>14</v>
      </c>
      <c r="E524" s="39" t="str">
        <f>CONCATENATE("PS-",TEXT(A524,"00"),"-",O524)</f>
        <v>PS-02-GZ2</v>
      </c>
      <c r="F524" s="48" t="str">
        <f>CONCATENATE("Poste de Sectionnement n°",TEXT(A524,"00")," ",O524)</f>
        <v>Poste de Sectionnement n°02 GZ2</v>
      </c>
      <c r="G524" s="19">
        <v>29952</v>
      </c>
      <c r="H524" s="19">
        <v>29952</v>
      </c>
      <c r="I524" s="41" t="s">
        <v>20</v>
      </c>
      <c r="J524" s="41">
        <v>1</v>
      </c>
      <c r="K524" s="41" t="s">
        <v>3557</v>
      </c>
      <c r="L524" s="41">
        <v>16</v>
      </c>
      <c r="M524" s="41"/>
      <c r="N524" s="41"/>
      <c r="O524" s="41" t="s">
        <v>375</v>
      </c>
      <c r="P524" s="41" t="s">
        <v>1895</v>
      </c>
      <c r="Q524" s="43">
        <f t="shared" si="75"/>
        <v>820</v>
      </c>
      <c r="R524" s="43">
        <f t="shared" si="76"/>
        <v>113.494</v>
      </c>
      <c r="S524" s="41" t="s">
        <v>1937</v>
      </c>
      <c r="T524" s="48" t="str">
        <f t="shared" si="74"/>
        <v>(2,'PS-02-GZ2','Poste de Sectionnement n°02 GZ2','Friday-01-jj','Friday-01-jj',NULL,1,),</v>
      </c>
    </row>
    <row r="525" spans="1:20" ht="20.100000000000001" customHeight="1" x14ac:dyDescent="0.25">
      <c r="A525" s="38">
        <v>3</v>
      </c>
      <c r="B525" s="38">
        <v>530</v>
      </c>
      <c r="C525" s="38" t="s">
        <v>631</v>
      </c>
      <c r="D525" s="38">
        <v>14</v>
      </c>
      <c r="E525" s="39" t="str">
        <f>CONCATENATE("PPUR-",TEXT(A525,"00"),"-",O525)</f>
        <v>PPUR-03-GZ2</v>
      </c>
      <c r="F525" s="48" t="str">
        <f>CONCATENATE("Poste de Purge n°",TEXT(A525,"00")," ",O525)</f>
        <v>Poste de Purge n°03 GZ2</v>
      </c>
      <c r="G525" s="19">
        <v>29952</v>
      </c>
      <c r="H525" s="19">
        <v>29952</v>
      </c>
      <c r="I525" s="41" t="s">
        <v>20</v>
      </c>
      <c r="J525" s="41">
        <v>1</v>
      </c>
      <c r="K525" s="41" t="s">
        <v>3558</v>
      </c>
      <c r="L525" s="41">
        <v>17</v>
      </c>
      <c r="M525" s="41"/>
      <c r="N525" s="41"/>
      <c r="O525" s="41" t="s">
        <v>375</v>
      </c>
      <c r="P525" s="41" t="s">
        <v>2874</v>
      </c>
      <c r="Q525" s="49">
        <f t="shared" si="75"/>
        <v>904</v>
      </c>
      <c r="R525" s="43">
        <f t="shared" si="76"/>
        <v>125.946</v>
      </c>
      <c r="S525" s="41" t="s">
        <v>1937</v>
      </c>
      <c r="T525" s="48" t="str">
        <f t="shared" si="74"/>
        <v>(3,'PPUR-03-GZ2','Poste de Purge n°03 GZ2','Friday-01-jj','Friday-01-jj',NULL,1,),</v>
      </c>
    </row>
    <row r="526" spans="1:20" ht="20.100000000000001" customHeight="1" x14ac:dyDescent="0.25">
      <c r="A526" s="38">
        <v>4</v>
      </c>
      <c r="B526" s="38">
        <v>531</v>
      </c>
      <c r="C526" s="38" t="s">
        <v>631</v>
      </c>
      <c r="D526" s="38">
        <v>14</v>
      </c>
      <c r="E526" s="39" t="str">
        <f>CONCATENATE("PPUR-",TEXT(A526,"00"),"-",O526)</f>
        <v>PPUR-04-GZ2</v>
      </c>
      <c r="F526" s="48" t="str">
        <f>CONCATENATE("Poste de Purge n°",TEXT(A526,"00")," ",O526)</f>
        <v>Poste de Purge n°04 GZ2</v>
      </c>
      <c r="G526" s="19">
        <v>29952</v>
      </c>
      <c r="H526" s="19">
        <v>29952</v>
      </c>
      <c r="I526" s="41" t="s">
        <v>20</v>
      </c>
      <c r="J526" s="41">
        <v>1</v>
      </c>
      <c r="K526" s="41" t="s">
        <v>3558</v>
      </c>
      <c r="L526" s="41">
        <v>17</v>
      </c>
      <c r="M526" s="41"/>
      <c r="N526" s="41"/>
      <c r="O526" s="41" t="s">
        <v>375</v>
      </c>
      <c r="P526" s="41" t="s">
        <v>2875</v>
      </c>
      <c r="Q526" s="49">
        <f t="shared" si="75"/>
        <v>1032</v>
      </c>
      <c r="R526" s="43">
        <f t="shared" si="76"/>
        <v>143.589</v>
      </c>
      <c r="S526" s="41" t="s">
        <v>1937</v>
      </c>
      <c r="T526" s="48" t="str">
        <f t="shared" si="74"/>
        <v>(4,'PPUR-04-GZ2','Poste de Purge n°04 GZ2','Friday-01-jj','Friday-01-jj',NULL,1,),</v>
      </c>
    </row>
    <row r="527" spans="1:20" ht="20.100000000000001" customHeight="1" x14ac:dyDescent="0.25">
      <c r="A527" s="38">
        <v>7</v>
      </c>
      <c r="B527" s="38">
        <v>532</v>
      </c>
      <c r="C527" s="38" t="s">
        <v>631</v>
      </c>
      <c r="D527" s="38">
        <v>14</v>
      </c>
      <c r="E527" s="39" t="s">
        <v>186</v>
      </c>
      <c r="F527" s="48" t="str">
        <f>CONCATENATE("Station de Compression ",E527)</f>
        <v>Station de Compression SC2-GZ2</v>
      </c>
      <c r="G527" s="19">
        <v>30317</v>
      </c>
      <c r="H527" s="19">
        <v>30317</v>
      </c>
      <c r="I527" s="41" t="s">
        <v>20</v>
      </c>
      <c r="J527" s="41">
        <v>1</v>
      </c>
      <c r="K527" s="41" t="s">
        <v>3554</v>
      </c>
      <c r="L527" s="41">
        <v>8</v>
      </c>
      <c r="M527" s="41">
        <v>10</v>
      </c>
      <c r="N527" s="41"/>
      <c r="O527" s="41" t="s">
        <v>375</v>
      </c>
      <c r="P527" s="41" t="s">
        <v>3577</v>
      </c>
      <c r="Q527" s="49">
        <f t="shared" si="75"/>
        <v>1045</v>
      </c>
      <c r="R527" s="43">
        <f t="shared" si="76"/>
        <v>144.68899999999999</v>
      </c>
      <c r="S527" s="41" t="s">
        <v>2917</v>
      </c>
      <c r="T527" s="48" t="str">
        <f t="shared" si="74"/>
        <v>(7,'SC2-GZ2','Station de Compression SC2-GZ2','Saturday-01-jj','Saturday-01-jj',NULL,1,10),</v>
      </c>
    </row>
    <row r="528" spans="1:20" ht="20.100000000000001" customHeight="1" x14ac:dyDescent="0.25">
      <c r="A528" s="38">
        <v>5</v>
      </c>
      <c r="B528" s="38">
        <v>533</v>
      </c>
      <c r="C528" s="38" t="s">
        <v>631</v>
      </c>
      <c r="D528" s="38">
        <v>14</v>
      </c>
      <c r="E528" s="39" t="str">
        <f>CONCATENATE("PPUR-",TEXT(A528,"00"),"-",O528)</f>
        <v>PPUR-05-GZ2</v>
      </c>
      <c r="F528" s="48" t="str">
        <f>CONCATENATE("Poste de Purge n°",TEXT(A528,"00")," ",O528)</f>
        <v>Poste de Purge n°05 GZ2</v>
      </c>
      <c r="G528" s="19">
        <v>29952</v>
      </c>
      <c r="H528" s="19">
        <v>29952</v>
      </c>
      <c r="I528" s="41" t="s">
        <v>20</v>
      </c>
      <c r="J528" s="41">
        <v>1</v>
      </c>
      <c r="K528" s="41" t="s">
        <v>3558</v>
      </c>
      <c r="L528" s="41">
        <v>17</v>
      </c>
      <c r="M528" s="41"/>
      <c r="N528" s="41"/>
      <c r="O528" s="41" t="s">
        <v>375</v>
      </c>
      <c r="P528" s="41" t="s">
        <v>2876</v>
      </c>
      <c r="Q528" s="49">
        <f t="shared" si="75"/>
        <v>1172</v>
      </c>
      <c r="R528" s="43">
        <f t="shared" si="76"/>
        <v>155.89599999999999</v>
      </c>
      <c r="S528" s="41" t="s">
        <v>1937</v>
      </c>
      <c r="T528" s="48" t="str">
        <f t="shared" si="74"/>
        <v>(5,'PPUR-05-GZ2','Poste de Purge n°05 GZ2','Friday-01-jj','Friday-01-jj',NULL,1,),</v>
      </c>
    </row>
    <row r="529" spans="1:20" ht="20.100000000000001" customHeight="1" x14ac:dyDescent="0.25">
      <c r="A529" s="38">
        <v>3</v>
      </c>
      <c r="B529" s="38">
        <v>534</v>
      </c>
      <c r="C529" s="38" t="s">
        <v>631</v>
      </c>
      <c r="D529" s="38">
        <v>14</v>
      </c>
      <c r="E529" s="39" t="str">
        <f>CONCATENATE("PS-",TEXT(A529,"00"),"-",O529)</f>
        <v>PS-03-GZ2</v>
      </c>
      <c r="F529" s="48" t="str">
        <f>CONCATENATE("Poste de Sectionnement n°",TEXT(A529,"00")," ",O529)</f>
        <v>Poste de Sectionnement n°03 GZ2</v>
      </c>
      <c r="G529" s="19">
        <v>29952</v>
      </c>
      <c r="H529" s="19">
        <v>29952</v>
      </c>
      <c r="I529" s="41" t="s">
        <v>20</v>
      </c>
      <c r="J529" s="41">
        <v>1</v>
      </c>
      <c r="K529" s="41" t="s">
        <v>3557</v>
      </c>
      <c r="L529" s="41">
        <v>16</v>
      </c>
      <c r="M529" s="41"/>
      <c r="N529" s="41"/>
      <c r="O529" s="41" t="s">
        <v>375</v>
      </c>
      <c r="P529" s="41" t="s">
        <v>1896</v>
      </c>
      <c r="Q529" s="43">
        <f t="shared" si="75"/>
        <v>1237</v>
      </c>
      <c r="R529" s="43">
        <f t="shared" si="76"/>
        <v>167.279</v>
      </c>
      <c r="S529" s="41" t="s">
        <v>1937</v>
      </c>
      <c r="T529" s="48" t="str">
        <f t="shared" si="74"/>
        <v>(3,'PS-03-GZ2','Poste de Sectionnement n°03 GZ2','Friday-01-jj','Friday-01-jj',NULL,1,),</v>
      </c>
    </row>
    <row r="530" spans="1:20" ht="20.100000000000001" customHeight="1" x14ac:dyDescent="0.25">
      <c r="A530" s="38">
        <v>6</v>
      </c>
      <c r="B530" s="38">
        <v>535</v>
      </c>
      <c r="C530" s="38" t="s">
        <v>631</v>
      </c>
      <c r="D530" s="38">
        <v>14</v>
      </c>
      <c r="E530" s="39" t="str">
        <f>CONCATENATE("PPUR-",TEXT(A530,"00"),"-",O530)</f>
        <v>PPUR-06-GZ2</v>
      </c>
      <c r="F530" s="48" t="str">
        <f>CONCATENATE("Poste de Purge n°",TEXT(A530,"00")," ",O530)</f>
        <v>Poste de Purge n°06 GZ2</v>
      </c>
      <c r="G530" s="19">
        <v>29952</v>
      </c>
      <c r="H530" s="19">
        <v>29952</v>
      </c>
      <c r="I530" s="41" t="s">
        <v>20</v>
      </c>
      <c r="J530" s="41">
        <v>1</v>
      </c>
      <c r="K530" s="41" t="s">
        <v>3558</v>
      </c>
      <c r="L530" s="41">
        <v>17</v>
      </c>
      <c r="M530" s="41"/>
      <c r="N530" s="41"/>
      <c r="O530" s="41" t="s">
        <v>375</v>
      </c>
      <c r="P530" s="41" t="s">
        <v>2877</v>
      </c>
      <c r="Q530" s="49">
        <f t="shared" si="75"/>
        <v>1238</v>
      </c>
      <c r="R530" s="43">
        <f t="shared" si="76"/>
        <v>168.39400000000001</v>
      </c>
      <c r="S530" s="41" t="s">
        <v>1937</v>
      </c>
      <c r="T530" s="48" t="str">
        <f t="shared" si="74"/>
        <v>(6,'PPUR-06-GZ2','Poste de Purge n°06 GZ2','Friday-01-jj','Friday-01-jj',NULL,1,),</v>
      </c>
    </row>
    <row r="531" spans="1:20" ht="20.100000000000001" customHeight="1" x14ac:dyDescent="0.25">
      <c r="A531" s="38">
        <v>7</v>
      </c>
      <c r="B531" s="38">
        <v>536</v>
      </c>
      <c r="C531" s="38" t="s">
        <v>631</v>
      </c>
      <c r="D531" s="38">
        <v>14</v>
      </c>
      <c r="E531" s="39" t="str">
        <f>CONCATENATE("PPUR-",TEXT(A531,"00"),"-",O531)</f>
        <v>PPUR-07-GZ2</v>
      </c>
      <c r="F531" s="48" t="str">
        <f>CONCATENATE("Poste de Purge n°",TEXT(A531,"00")," ",O531)</f>
        <v>Poste de Purge n°07 GZ2</v>
      </c>
      <c r="G531" s="19">
        <v>29952</v>
      </c>
      <c r="H531" s="19">
        <v>29952</v>
      </c>
      <c r="I531" s="41" t="s">
        <v>20</v>
      </c>
      <c r="J531" s="41">
        <v>1</v>
      </c>
      <c r="K531" s="41" t="s">
        <v>3558</v>
      </c>
      <c r="L531" s="41">
        <v>17</v>
      </c>
      <c r="M531" s="41"/>
      <c r="N531" s="41"/>
      <c r="O531" s="41" t="s">
        <v>375</v>
      </c>
      <c r="P531" s="41" t="s">
        <v>2878</v>
      </c>
      <c r="Q531" s="49">
        <f t="shared" si="75"/>
        <v>1096</v>
      </c>
      <c r="R531" s="43">
        <f t="shared" si="76"/>
        <v>187.53</v>
      </c>
      <c r="S531" s="41" t="s">
        <v>1937</v>
      </c>
      <c r="T531" s="48" t="str">
        <f t="shared" si="74"/>
        <v>(7,'PPUR-07-GZ2','Poste de Purge n°07 GZ2','Friday-01-jj','Friday-01-jj',NULL,1,),</v>
      </c>
    </row>
    <row r="532" spans="1:20" ht="20.100000000000001" customHeight="1" x14ac:dyDescent="0.25">
      <c r="A532" s="38">
        <v>8</v>
      </c>
      <c r="B532" s="38">
        <v>537</v>
      </c>
      <c r="C532" s="38" t="s">
        <v>631</v>
      </c>
      <c r="D532" s="38">
        <v>14</v>
      </c>
      <c r="E532" s="39" t="str">
        <f>CONCATENATE("PPUR-",TEXT(A532,"00"),"-",O532)</f>
        <v>PPUR-08-GZ2</v>
      </c>
      <c r="F532" s="48" t="str">
        <f>CONCATENATE("Poste de Purge n°",TEXT(A532,"00")," ",O532)</f>
        <v>Poste de Purge n°08 GZ2</v>
      </c>
      <c r="G532" s="19">
        <v>29952</v>
      </c>
      <c r="H532" s="19">
        <v>29952</v>
      </c>
      <c r="I532" s="41" t="s">
        <v>20</v>
      </c>
      <c r="J532" s="41">
        <v>1</v>
      </c>
      <c r="K532" s="41" t="s">
        <v>3558</v>
      </c>
      <c r="L532" s="41">
        <v>17</v>
      </c>
      <c r="M532" s="41"/>
      <c r="N532" s="41"/>
      <c r="O532" s="41" t="s">
        <v>375</v>
      </c>
      <c r="P532" s="41" t="s">
        <v>2879</v>
      </c>
      <c r="Q532" s="49">
        <f t="shared" si="75"/>
        <v>938</v>
      </c>
      <c r="R532" s="43">
        <f t="shared" si="76"/>
        <v>217.08600000000001</v>
      </c>
      <c r="S532" s="41" t="s">
        <v>2995</v>
      </c>
      <c r="T532" s="48" t="str">
        <f t="shared" si="74"/>
        <v>(8,'PPUR-08-GZ2','Poste de Purge n°08 GZ2','Friday-01-jj','Friday-01-jj',NULL,1,),</v>
      </c>
    </row>
    <row r="533" spans="1:20" ht="20.100000000000001" customHeight="1" x14ac:dyDescent="0.25">
      <c r="A533" s="38">
        <v>8</v>
      </c>
      <c r="B533" s="38">
        <v>538</v>
      </c>
      <c r="C533" s="38" t="s">
        <v>631</v>
      </c>
      <c r="D533" s="38">
        <v>14</v>
      </c>
      <c r="E533" s="39" t="s">
        <v>192</v>
      </c>
      <c r="F533" s="48" t="str">
        <f>CONCATENATE("Station de Compression ",E533)</f>
        <v>Station de Compression SC3-GZ2</v>
      </c>
      <c r="G533" s="19">
        <v>30317</v>
      </c>
      <c r="H533" s="19">
        <v>30317</v>
      </c>
      <c r="I533" s="41" t="s">
        <v>20</v>
      </c>
      <c r="J533" s="41">
        <v>1</v>
      </c>
      <c r="K533" s="41" t="s">
        <v>3554</v>
      </c>
      <c r="L533" s="41">
        <v>8</v>
      </c>
      <c r="M533" s="41">
        <v>10</v>
      </c>
      <c r="N533" s="41"/>
      <c r="O533" s="41" t="s">
        <v>375</v>
      </c>
      <c r="P533" s="41" t="s">
        <v>3578</v>
      </c>
      <c r="Q533" s="49">
        <f t="shared" si="75"/>
        <v>970</v>
      </c>
      <c r="R533" s="43">
        <f t="shared" si="76"/>
        <v>226.06399999999999</v>
      </c>
      <c r="S533" s="41" t="s">
        <v>2825</v>
      </c>
      <c r="T533" s="48" t="str">
        <f t="shared" si="74"/>
        <v>(8,'SC3-GZ2','Station de Compression SC3-GZ2','Saturday-01-jj','Saturday-01-jj',NULL,1,10),</v>
      </c>
    </row>
    <row r="534" spans="1:20" ht="20.100000000000001" customHeight="1" x14ac:dyDescent="0.25">
      <c r="A534" s="38">
        <v>9</v>
      </c>
      <c r="B534" s="38">
        <v>539</v>
      </c>
      <c r="C534" s="38" t="s">
        <v>631</v>
      </c>
      <c r="D534" s="38">
        <v>14</v>
      </c>
      <c r="E534" s="39" t="str">
        <f>CONCATENATE("PPUR-",TEXT(A534,"00"),"-",O534)</f>
        <v>PPUR-09-GZ2</v>
      </c>
      <c r="F534" s="48" t="str">
        <f>CONCATENATE("Poste de Purge n°",TEXT(A534,"00")," ",O534)</f>
        <v>Poste de Purge n°09 GZ2</v>
      </c>
      <c r="G534" s="19">
        <v>29952</v>
      </c>
      <c r="H534" s="19">
        <v>29952</v>
      </c>
      <c r="I534" s="41" t="s">
        <v>20</v>
      </c>
      <c r="J534" s="41">
        <v>1</v>
      </c>
      <c r="K534" s="41" t="s">
        <v>3558</v>
      </c>
      <c r="L534" s="41">
        <v>17</v>
      </c>
      <c r="M534" s="41"/>
      <c r="N534" s="41"/>
      <c r="O534" s="41" t="s">
        <v>375</v>
      </c>
      <c r="P534" s="41" t="s">
        <v>2880</v>
      </c>
      <c r="Q534" s="49">
        <f t="shared" si="75"/>
        <v>956</v>
      </c>
      <c r="R534" s="43">
        <f t="shared" si="76"/>
        <v>235.81299999999999</v>
      </c>
      <c r="S534" s="41" t="s">
        <v>2996</v>
      </c>
      <c r="T534" s="48" t="str">
        <f t="shared" si="74"/>
        <v>(9,'PPUR-09-GZ2','Poste de Purge n°09 GZ2','Friday-01-jj','Friday-01-jj',NULL,1,),</v>
      </c>
    </row>
    <row r="535" spans="1:20" ht="20.100000000000001" customHeight="1" x14ac:dyDescent="0.25">
      <c r="A535" s="38">
        <v>10</v>
      </c>
      <c r="B535" s="38">
        <v>540</v>
      </c>
      <c r="C535" s="38" t="s">
        <v>631</v>
      </c>
      <c r="D535" s="38">
        <v>14</v>
      </c>
      <c r="E535" s="39" t="str">
        <f>CONCATENATE("PPUR-",TEXT(A535,"00"),"-",O535)</f>
        <v>PPUR-10-GZ2</v>
      </c>
      <c r="F535" s="48" t="str">
        <f>CONCATENATE("Poste de Purge n°",TEXT(A535,"00")," ",O535)</f>
        <v>Poste de Purge n°10 GZ2</v>
      </c>
      <c r="G535" s="19">
        <v>29952</v>
      </c>
      <c r="H535" s="19">
        <v>29952</v>
      </c>
      <c r="I535" s="41" t="s">
        <v>20</v>
      </c>
      <c r="J535" s="41">
        <v>1</v>
      </c>
      <c r="K535" s="41" t="s">
        <v>3558</v>
      </c>
      <c r="L535" s="41">
        <v>17</v>
      </c>
      <c r="M535" s="41"/>
      <c r="N535" s="41"/>
      <c r="O535" s="41" t="s">
        <v>375</v>
      </c>
      <c r="P535" s="41" t="s">
        <v>2881</v>
      </c>
      <c r="Q535" s="49">
        <f t="shared" si="75"/>
        <v>1154</v>
      </c>
      <c r="R535" s="43">
        <f t="shared" si="76"/>
        <v>294.73200000000003</v>
      </c>
      <c r="S535" s="41" t="s">
        <v>1743</v>
      </c>
      <c r="T535" s="48" t="str">
        <f t="shared" si="74"/>
        <v>(10,'PPUR-10-GZ2','Poste de Purge n°10 GZ2','Friday-01-jj','Friday-01-jj',NULL,1,),</v>
      </c>
    </row>
    <row r="536" spans="1:20" ht="20.100000000000001" customHeight="1" x14ac:dyDescent="0.25">
      <c r="A536" s="38">
        <v>9</v>
      </c>
      <c r="B536" s="38">
        <v>541</v>
      </c>
      <c r="C536" s="38" t="s">
        <v>631</v>
      </c>
      <c r="D536" s="38">
        <v>14</v>
      </c>
      <c r="E536" s="39" t="s">
        <v>198</v>
      </c>
      <c r="F536" s="48" t="str">
        <f>CONCATENATE("Station de Compression ",E536)</f>
        <v>Station de Compression SC4-GZ2</v>
      </c>
      <c r="G536" s="19">
        <v>30317</v>
      </c>
      <c r="H536" s="19">
        <v>30317</v>
      </c>
      <c r="I536" s="41" t="s">
        <v>20</v>
      </c>
      <c r="J536" s="41">
        <v>1</v>
      </c>
      <c r="K536" s="41" t="s">
        <v>3554</v>
      </c>
      <c r="L536" s="41">
        <v>8</v>
      </c>
      <c r="M536" s="41">
        <v>10</v>
      </c>
      <c r="N536" s="41"/>
      <c r="O536" s="41" t="s">
        <v>375</v>
      </c>
      <c r="P536" s="41" t="s">
        <v>3579</v>
      </c>
      <c r="Q536" s="49">
        <f t="shared" si="75"/>
        <v>1235</v>
      </c>
      <c r="R536" s="43">
        <f t="shared" si="76"/>
        <v>295.86200000000002</v>
      </c>
      <c r="S536" s="41" t="s">
        <v>2918</v>
      </c>
      <c r="T536" s="48" t="str">
        <f t="shared" ref="T536:T599" si="77">CONCATENATE("(",A536,",'",E536,"','",F536,"','",TEXT(G536,"aaaa-mm-jj"),"','",TEXT(H536,"aaaa-mm-jj"),"',",I536,",",J536,",",M536,"),")</f>
        <v>(9,'SC4-GZ2','Station de Compression SC4-GZ2','Saturday-01-jj','Saturday-01-jj',NULL,1,10),</v>
      </c>
    </row>
    <row r="537" spans="1:20" ht="20.100000000000001" customHeight="1" x14ac:dyDescent="0.25">
      <c r="A537" s="38">
        <v>5</v>
      </c>
      <c r="B537" s="38">
        <v>542</v>
      </c>
      <c r="C537" s="38" t="s">
        <v>631</v>
      </c>
      <c r="D537" s="38">
        <v>14</v>
      </c>
      <c r="E537" s="39" t="str">
        <f>CONCATENATE("PS-",TEXT(A537,"00"),"-",O537)</f>
        <v>PS-05-GZ2</v>
      </c>
      <c r="F537" s="48" t="str">
        <f>CONCATENATE("Poste de Sectionnement n°",TEXT(A537,"00")," ",O537)</f>
        <v>Poste de Sectionnement n°05 GZ2</v>
      </c>
      <c r="G537" s="19">
        <v>29952</v>
      </c>
      <c r="H537" s="19">
        <v>29952</v>
      </c>
      <c r="I537" s="41" t="s">
        <v>20</v>
      </c>
      <c r="J537" s="41">
        <v>1</v>
      </c>
      <c r="K537" s="41" t="s">
        <v>3557</v>
      </c>
      <c r="L537" s="41">
        <v>16</v>
      </c>
      <c r="M537" s="41"/>
      <c r="N537" s="41"/>
      <c r="O537" s="41" t="s">
        <v>375</v>
      </c>
      <c r="P537" s="41" t="s">
        <v>1898</v>
      </c>
      <c r="Q537" s="43">
        <f t="shared" si="75"/>
        <v>984</v>
      </c>
      <c r="R537" s="43">
        <f t="shared" si="76"/>
        <v>325.846</v>
      </c>
      <c r="S537" s="41" t="s">
        <v>1938</v>
      </c>
      <c r="T537" s="48" t="str">
        <f t="shared" si="77"/>
        <v>(5,'PS-05-GZ2','Poste de Sectionnement n°05 GZ2','Friday-01-jj','Friday-01-jj',NULL,1,),</v>
      </c>
    </row>
    <row r="538" spans="1:20" ht="20.100000000000001" customHeight="1" x14ac:dyDescent="0.25">
      <c r="A538" s="38">
        <v>11</v>
      </c>
      <c r="B538" s="38">
        <v>543</v>
      </c>
      <c r="C538" s="38" t="s">
        <v>631</v>
      </c>
      <c r="D538" s="38">
        <v>14</v>
      </c>
      <c r="E538" s="39" t="str">
        <f>CONCATENATE("PPUR-",TEXT(A538,"00"),"-",O538)</f>
        <v>PPUR-11-GZ2</v>
      </c>
      <c r="F538" s="48" t="str">
        <f>CONCATENATE("Poste de Purge n°",TEXT(A538,"00")," ",O538)</f>
        <v>Poste de Purge n°11 GZ2</v>
      </c>
      <c r="G538" s="19">
        <v>29952</v>
      </c>
      <c r="H538" s="19">
        <v>29952</v>
      </c>
      <c r="I538" s="41" t="s">
        <v>20</v>
      </c>
      <c r="J538" s="41">
        <v>1</v>
      </c>
      <c r="K538" s="41" t="s">
        <v>3558</v>
      </c>
      <c r="L538" s="41">
        <v>17</v>
      </c>
      <c r="M538" s="41"/>
      <c r="N538" s="41"/>
      <c r="O538" s="41" t="s">
        <v>375</v>
      </c>
      <c r="P538" s="41" t="s">
        <v>2882</v>
      </c>
      <c r="Q538" s="49">
        <f t="shared" si="75"/>
        <v>990</v>
      </c>
      <c r="R538" s="43">
        <f t="shared" si="76"/>
        <v>328.83699999999999</v>
      </c>
      <c r="S538" s="41" t="s">
        <v>797</v>
      </c>
      <c r="T538" s="48" t="str">
        <f t="shared" si="77"/>
        <v>(11,'PPUR-11-GZ2','Poste de Purge n°11 GZ2','Friday-01-jj','Friday-01-jj',NULL,1,),</v>
      </c>
    </row>
    <row r="539" spans="1:20" ht="20.100000000000001" customHeight="1" x14ac:dyDescent="0.25">
      <c r="A539" s="38">
        <v>12</v>
      </c>
      <c r="B539" s="38">
        <v>544</v>
      </c>
      <c r="C539" s="38" t="s">
        <v>631</v>
      </c>
      <c r="D539" s="38">
        <v>14</v>
      </c>
      <c r="E539" s="39" t="str">
        <f>CONCATENATE("PPUR-",TEXT(A539,"00"),"-",O539)</f>
        <v>PPUR-12-GZ2</v>
      </c>
      <c r="F539" s="48" t="str">
        <f>CONCATENATE("Poste de Purge n°",TEXT(A539,"00")," ",O539)</f>
        <v>Poste de Purge n°12 GZ2</v>
      </c>
      <c r="G539" s="19">
        <v>29952</v>
      </c>
      <c r="H539" s="19">
        <v>29952</v>
      </c>
      <c r="I539" s="41" t="s">
        <v>20</v>
      </c>
      <c r="J539" s="41">
        <v>1</v>
      </c>
      <c r="K539" s="41" t="s">
        <v>3558</v>
      </c>
      <c r="L539" s="41">
        <v>17</v>
      </c>
      <c r="M539" s="41"/>
      <c r="N539" s="41"/>
      <c r="O539" s="41" t="s">
        <v>375</v>
      </c>
      <c r="P539" s="41" t="s">
        <v>2883</v>
      </c>
      <c r="Q539" s="49">
        <f t="shared" si="75"/>
        <v>946</v>
      </c>
      <c r="R539" s="43">
        <f t="shared" si="76"/>
        <v>336.37099999999998</v>
      </c>
      <c r="S539" s="41" t="s">
        <v>797</v>
      </c>
      <c r="T539" s="48" t="str">
        <f t="shared" si="77"/>
        <v>(12,'PPUR-12-GZ2','Poste de Purge n°12 GZ2','Friday-01-jj','Friday-01-jj',NULL,1,),</v>
      </c>
    </row>
    <row r="540" spans="1:20" ht="20.100000000000001" customHeight="1" x14ac:dyDescent="0.25">
      <c r="A540" s="38">
        <v>6</v>
      </c>
      <c r="B540" s="38">
        <v>545</v>
      </c>
      <c r="C540" s="38" t="s">
        <v>631</v>
      </c>
      <c r="D540" s="38">
        <v>14</v>
      </c>
      <c r="E540" s="39" t="str">
        <f>CONCATENATE("PS-",TEXT(A540,"00"),"-",O540)</f>
        <v>PS-06-GZ2</v>
      </c>
      <c r="F540" s="48" t="str">
        <f>CONCATENATE("Poste de Sectionnement n°",TEXT(A540,"00")," ",O540)</f>
        <v>Poste de Sectionnement n°06 GZ2</v>
      </c>
      <c r="G540" s="19">
        <v>29952</v>
      </c>
      <c r="H540" s="19">
        <v>29952</v>
      </c>
      <c r="I540" s="41" t="s">
        <v>20</v>
      </c>
      <c r="J540" s="41">
        <v>1</v>
      </c>
      <c r="K540" s="41" t="s">
        <v>3557</v>
      </c>
      <c r="L540" s="41">
        <v>16</v>
      </c>
      <c r="M540" s="41"/>
      <c r="N540" s="41"/>
      <c r="O540" s="41" t="s">
        <v>375</v>
      </c>
      <c r="P540" s="41" t="s">
        <v>1899</v>
      </c>
      <c r="Q540" s="43">
        <f t="shared" si="75"/>
        <v>630</v>
      </c>
      <c r="R540" s="43">
        <f t="shared" si="76"/>
        <v>351.44900000000001</v>
      </c>
      <c r="S540" s="41" t="s">
        <v>754</v>
      </c>
      <c r="T540" s="48" t="str">
        <f t="shared" si="77"/>
        <v>(6,'PS-06-GZ2','Poste de Sectionnement n°06 GZ2','Friday-01-jj','Friday-01-jj',NULL,1,),</v>
      </c>
    </row>
    <row r="541" spans="1:20" ht="20.100000000000001" customHeight="1" x14ac:dyDescent="0.25">
      <c r="A541" s="38">
        <v>13</v>
      </c>
      <c r="B541" s="38">
        <v>546</v>
      </c>
      <c r="C541" s="38" t="s">
        <v>631</v>
      </c>
      <c r="D541" s="38">
        <v>14</v>
      </c>
      <c r="E541" s="39" t="str">
        <f>CONCATENATE("PPUR-",TEXT(A541,"00"),"-",O541)</f>
        <v>PPUR-13-GZ2</v>
      </c>
      <c r="F541" s="48" t="str">
        <f>CONCATENATE("Poste de Purge n°",TEXT(A541,"00")," ",O541)</f>
        <v>Poste de Purge n°13 GZ2</v>
      </c>
      <c r="G541" s="19">
        <v>29952</v>
      </c>
      <c r="H541" s="19">
        <v>29952</v>
      </c>
      <c r="I541" s="41" t="s">
        <v>20</v>
      </c>
      <c r="J541" s="41">
        <v>1</v>
      </c>
      <c r="K541" s="41" t="s">
        <v>3558</v>
      </c>
      <c r="L541" s="41">
        <v>17</v>
      </c>
      <c r="M541" s="41"/>
      <c r="N541" s="41"/>
      <c r="O541" s="41" t="s">
        <v>375</v>
      </c>
      <c r="P541" s="41" t="s">
        <v>2884</v>
      </c>
      <c r="Q541" s="49">
        <f t="shared" si="75"/>
        <v>572</v>
      </c>
      <c r="R541" s="43">
        <f t="shared" si="76"/>
        <v>359.63499999999999</v>
      </c>
      <c r="S541" s="41" t="s">
        <v>2991</v>
      </c>
      <c r="T541" s="48" t="str">
        <f t="shared" si="77"/>
        <v>(13,'PPUR-13-GZ2','Poste de Purge n°13 GZ2','Friday-01-jj','Friday-01-jj',NULL,1,),</v>
      </c>
    </row>
    <row r="542" spans="1:20" ht="20.100000000000001" customHeight="1" x14ac:dyDescent="0.25">
      <c r="A542" s="38">
        <v>14</v>
      </c>
      <c r="B542" s="38">
        <v>547</v>
      </c>
      <c r="C542" s="38" t="s">
        <v>631</v>
      </c>
      <c r="D542" s="38">
        <v>14</v>
      </c>
      <c r="E542" s="39" t="str">
        <f>CONCATENATE("PPUR-",TEXT(A542,"00"),"-",O542)</f>
        <v>PPUR-14-GZ2</v>
      </c>
      <c r="F542" s="48" t="str">
        <f>CONCATENATE("Poste de Purge n°",TEXT(A542,"00")," ",O542)</f>
        <v>Poste de Purge n°14 GZ2</v>
      </c>
      <c r="G542" s="19">
        <v>29952</v>
      </c>
      <c r="H542" s="19">
        <v>29952</v>
      </c>
      <c r="I542" s="41" t="s">
        <v>20</v>
      </c>
      <c r="J542" s="41">
        <v>1</v>
      </c>
      <c r="K542" s="41" t="s">
        <v>3558</v>
      </c>
      <c r="L542" s="41">
        <v>17</v>
      </c>
      <c r="M542" s="41"/>
      <c r="N542" s="41"/>
      <c r="O542" s="41" t="s">
        <v>375</v>
      </c>
      <c r="P542" s="41" t="s">
        <v>2885</v>
      </c>
      <c r="Q542" s="49">
        <f t="shared" si="75"/>
        <v>670</v>
      </c>
      <c r="R542" s="43">
        <f t="shared" si="76"/>
        <v>371.60500000000002</v>
      </c>
      <c r="S542" s="41" t="s">
        <v>755</v>
      </c>
      <c r="T542" s="48" t="str">
        <f t="shared" si="77"/>
        <v>(14,'PPUR-14-GZ2','Poste de Purge n°14 GZ2','Friday-01-jj','Friday-01-jj',NULL,1,),</v>
      </c>
    </row>
    <row r="543" spans="1:20" ht="20.100000000000001" customHeight="1" x14ac:dyDescent="0.25">
      <c r="A543" s="38">
        <v>7</v>
      </c>
      <c r="B543" s="38">
        <v>548</v>
      </c>
      <c r="C543" s="38" t="s">
        <v>631</v>
      </c>
      <c r="D543" s="38">
        <v>14</v>
      </c>
      <c r="E543" s="39" t="str">
        <f>CONCATENATE("PS-",TEXT(A543,"00"),"-",O543)</f>
        <v>PS-07-GZ2</v>
      </c>
      <c r="F543" s="48" t="str">
        <f>CONCATENATE("Poste de Sectionnement n°",TEXT(A543,"00")," ",O543)</f>
        <v>Poste de Sectionnement n°07 GZ2</v>
      </c>
      <c r="G543" s="19">
        <v>29952</v>
      </c>
      <c r="H543" s="19">
        <v>29952</v>
      </c>
      <c r="I543" s="41" t="s">
        <v>20</v>
      </c>
      <c r="J543" s="41">
        <v>1</v>
      </c>
      <c r="K543" s="41" t="s">
        <v>3557</v>
      </c>
      <c r="L543" s="41">
        <v>16</v>
      </c>
      <c r="M543" s="41"/>
      <c r="N543" s="41"/>
      <c r="O543" s="41" t="s">
        <v>375</v>
      </c>
      <c r="P543" s="41" t="s">
        <v>1900</v>
      </c>
      <c r="Q543" s="43">
        <f t="shared" si="75"/>
        <v>670</v>
      </c>
      <c r="R543" s="43">
        <f t="shared" si="76"/>
        <v>371.791</v>
      </c>
      <c r="S543" s="41" t="s">
        <v>755</v>
      </c>
      <c r="T543" s="48" t="str">
        <f t="shared" si="77"/>
        <v>(7,'PS-07-GZ2','Poste de Sectionnement n°07 GZ2','Friday-01-jj','Friday-01-jj',NULL,1,),</v>
      </c>
    </row>
    <row r="544" spans="1:20" ht="20.100000000000001" customHeight="1" x14ac:dyDescent="0.25">
      <c r="A544" s="38">
        <v>15</v>
      </c>
      <c r="B544" s="38">
        <v>549</v>
      </c>
      <c r="C544" s="38" t="s">
        <v>631</v>
      </c>
      <c r="D544" s="38">
        <v>14</v>
      </c>
      <c r="E544" s="39" t="str">
        <f>CONCATENATE("PPUR-",TEXT(A544,"00"),"-",O544)</f>
        <v>PPUR-15-GZ2</v>
      </c>
      <c r="F544" s="48" t="str">
        <f>CONCATENATE("Poste de Purge n°",TEXT(A544,"00")," ",O544)</f>
        <v>Poste de Purge n°15 GZ2</v>
      </c>
      <c r="G544" s="19">
        <v>29952</v>
      </c>
      <c r="H544" s="19">
        <v>29952</v>
      </c>
      <c r="I544" s="41" t="s">
        <v>20</v>
      </c>
      <c r="J544" s="41">
        <v>1</v>
      </c>
      <c r="K544" s="41" t="s">
        <v>3558</v>
      </c>
      <c r="L544" s="41">
        <v>17</v>
      </c>
      <c r="M544" s="41"/>
      <c r="N544" s="41"/>
      <c r="O544" s="41" t="s">
        <v>375</v>
      </c>
      <c r="P544" s="41" t="s">
        <v>2886</v>
      </c>
      <c r="Q544" s="49">
        <f t="shared" si="75"/>
        <v>558</v>
      </c>
      <c r="R544" s="43">
        <f t="shared" si="76"/>
        <v>394.03</v>
      </c>
      <c r="S544" s="41" t="s">
        <v>2997</v>
      </c>
      <c r="T544" s="48" t="str">
        <f t="shared" si="77"/>
        <v>(15,'PPUR-15-GZ2','Poste de Purge n°15 GZ2','Friday-01-jj','Friday-01-jj',NULL,1,),</v>
      </c>
    </row>
    <row r="545" spans="1:20" ht="20.100000000000001" customHeight="1" x14ac:dyDescent="0.25">
      <c r="A545" s="38">
        <v>10</v>
      </c>
      <c r="B545" s="38">
        <v>550</v>
      </c>
      <c r="C545" s="38" t="s">
        <v>631</v>
      </c>
      <c r="D545" s="38">
        <v>14</v>
      </c>
      <c r="E545" s="39" t="s">
        <v>204</v>
      </c>
      <c r="F545" s="48" t="str">
        <f>CONCATENATE("Station de Compression ",E545)</f>
        <v>Station de Compression SC5-GZ2</v>
      </c>
      <c r="G545" s="19">
        <v>30317</v>
      </c>
      <c r="H545" s="19">
        <v>30317</v>
      </c>
      <c r="I545" s="41" t="s">
        <v>20</v>
      </c>
      <c r="J545" s="41">
        <v>1</v>
      </c>
      <c r="K545" s="41" t="s">
        <v>3554</v>
      </c>
      <c r="L545" s="41">
        <v>8</v>
      </c>
      <c r="M545" s="41">
        <v>10</v>
      </c>
      <c r="N545" s="41"/>
      <c r="O545" s="41" t="s">
        <v>375</v>
      </c>
      <c r="P545" s="41" t="s">
        <v>3580</v>
      </c>
      <c r="Q545" s="49">
        <f t="shared" si="75"/>
        <v>525</v>
      </c>
      <c r="R545" s="43">
        <f t="shared" si="76"/>
        <v>398.50599999999997</v>
      </c>
      <c r="S545" s="41" t="s">
        <v>2919</v>
      </c>
      <c r="T545" s="48" t="str">
        <f t="shared" si="77"/>
        <v>(10,'SC5-GZ2','Station de Compression SC5-GZ2','Saturday-01-jj','Saturday-01-jj',NULL,1,10),</v>
      </c>
    </row>
    <row r="546" spans="1:20" ht="20.100000000000001" customHeight="1" x14ac:dyDescent="0.25">
      <c r="A546" s="38">
        <v>16</v>
      </c>
      <c r="B546" s="38">
        <v>551</v>
      </c>
      <c r="C546" s="38" t="s">
        <v>631</v>
      </c>
      <c r="D546" s="38">
        <v>14</v>
      </c>
      <c r="E546" s="39" t="str">
        <f>CONCATENATE("PPUR-",TEXT(A546,"00"),"-",O546)</f>
        <v>PPUR-16-GZ2</v>
      </c>
      <c r="F546" s="48" t="str">
        <f>CONCATENATE("Poste de Purge n°",TEXT(A546,"00")," ",O546)</f>
        <v>Poste de Purge n°16 GZ2</v>
      </c>
      <c r="G546" s="19">
        <v>29952</v>
      </c>
      <c r="H546" s="19">
        <v>29952</v>
      </c>
      <c r="I546" s="41" t="s">
        <v>20</v>
      </c>
      <c r="J546" s="41">
        <v>1</v>
      </c>
      <c r="K546" s="41" t="s">
        <v>3558</v>
      </c>
      <c r="L546" s="41">
        <v>17</v>
      </c>
      <c r="M546" s="41"/>
      <c r="N546" s="41"/>
      <c r="O546" s="41" t="s">
        <v>375</v>
      </c>
      <c r="P546" s="41" t="s">
        <v>2887</v>
      </c>
      <c r="Q546" s="49">
        <f t="shared" si="75"/>
        <v>561</v>
      </c>
      <c r="R546" s="43">
        <f t="shared" si="76"/>
        <v>400.12</v>
      </c>
      <c r="S546" s="41" t="s">
        <v>2998</v>
      </c>
      <c r="T546" s="48" t="str">
        <f t="shared" si="77"/>
        <v>(16,'PPUR-16-GZ2','Poste de Purge n°16 GZ2','Friday-01-jj','Friday-01-jj',NULL,1,),</v>
      </c>
    </row>
    <row r="547" spans="1:20" ht="20.100000000000001" customHeight="1" x14ac:dyDescent="0.25">
      <c r="A547" s="38">
        <v>8</v>
      </c>
      <c r="B547" s="38">
        <v>552</v>
      </c>
      <c r="C547" s="38" t="s">
        <v>631</v>
      </c>
      <c r="D547" s="38">
        <v>14</v>
      </c>
      <c r="E547" s="39" t="str">
        <f>CONCATENATE("PS-",TEXT(A547,"00"),"-",O547)</f>
        <v>PS-08-GZ2</v>
      </c>
      <c r="F547" s="48" t="str">
        <f>CONCATENATE("Poste de Sectionnement n°",TEXT(A547,"00")," ",O547)</f>
        <v>Poste de Sectionnement n°08 GZ2</v>
      </c>
      <c r="G547" s="19">
        <v>29952</v>
      </c>
      <c r="H547" s="19">
        <v>29952</v>
      </c>
      <c r="I547" s="41" t="s">
        <v>20</v>
      </c>
      <c r="J547" s="41">
        <v>1</v>
      </c>
      <c r="K547" s="41" t="s">
        <v>3557</v>
      </c>
      <c r="L547" s="41">
        <v>16</v>
      </c>
      <c r="M547" s="41"/>
      <c r="N547" s="41"/>
      <c r="O547" s="41" t="s">
        <v>375</v>
      </c>
      <c r="P547" s="41" t="s">
        <v>1901</v>
      </c>
      <c r="Q547" s="43">
        <f t="shared" si="75"/>
        <v>73</v>
      </c>
      <c r="R547" s="43">
        <f t="shared" si="76"/>
        <v>423.3</v>
      </c>
      <c r="S547" s="41" t="s">
        <v>1939</v>
      </c>
      <c r="T547" s="48" t="str">
        <f t="shared" si="77"/>
        <v>(8,'PS-08-GZ2','Poste de Sectionnement n°08 GZ2','Friday-01-jj','Friday-01-jj',NULL,1,),</v>
      </c>
    </row>
    <row r="548" spans="1:20" ht="20.100000000000001" customHeight="1" x14ac:dyDescent="0.25">
      <c r="A548" s="38">
        <v>17</v>
      </c>
      <c r="B548" s="38">
        <v>553</v>
      </c>
      <c r="C548" s="38" t="s">
        <v>631</v>
      </c>
      <c r="D548" s="38">
        <v>14</v>
      </c>
      <c r="E548" s="39" t="str">
        <f>CONCATENATE("PPUR-",TEXT(A548,"00"),"-",O548)</f>
        <v>PPUR-17-GZ2</v>
      </c>
      <c r="F548" s="48" t="str">
        <f>CONCATENATE("Poste de Purge n°",TEXT(A548,"00")," ",O548)</f>
        <v>Poste de Purge n°17 GZ2</v>
      </c>
      <c r="G548" s="19">
        <v>29952</v>
      </c>
      <c r="H548" s="19">
        <v>29952</v>
      </c>
      <c r="I548" s="41" t="s">
        <v>20</v>
      </c>
      <c r="J548" s="41">
        <v>1</v>
      </c>
      <c r="K548" s="41" t="s">
        <v>3558</v>
      </c>
      <c r="L548" s="41">
        <v>17</v>
      </c>
      <c r="M548" s="41"/>
      <c r="N548" s="41"/>
      <c r="O548" s="41" t="s">
        <v>375</v>
      </c>
      <c r="P548" s="41" t="s">
        <v>2888</v>
      </c>
      <c r="Q548" s="49">
        <f t="shared" si="75"/>
        <v>124</v>
      </c>
      <c r="R548" s="43">
        <f t="shared" si="76"/>
        <v>431.59199999999998</v>
      </c>
      <c r="S548" s="41" t="s">
        <v>1868</v>
      </c>
      <c r="T548" s="48" t="str">
        <f t="shared" si="77"/>
        <v>(17,'PPUR-17-GZ2','Poste de Purge n°17 GZ2','Friday-01-jj','Friday-01-jj',NULL,1,),</v>
      </c>
    </row>
    <row r="549" spans="1:20" ht="20.100000000000001" customHeight="1" x14ac:dyDescent="0.25">
      <c r="A549" s="38">
        <v>9</v>
      </c>
      <c r="B549" s="38">
        <v>554</v>
      </c>
      <c r="C549" s="38" t="s">
        <v>631</v>
      </c>
      <c r="D549" s="38">
        <v>14</v>
      </c>
      <c r="E549" s="39" t="str">
        <f>CONCATENATE("PS-",TEXT(A549,"00"),"-",O549)</f>
        <v>PS-09-GZ2</v>
      </c>
      <c r="F549" s="48" t="str">
        <f>CONCATENATE("Poste de Sectionnement n°",TEXT(A549,"00")," ",O549)</f>
        <v>Poste de Sectionnement n°09 GZ2</v>
      </c>
      <c r="G549" s="19">
        <v>29952</v>
      </c>
      <c r="H549" s="19">
        <v>29952</v>
      </c>
      <c r="I549" s="41" t="s">
        <v>20</v>
      </c>
      <c r="J549" s="41">
        <v>1</v>
      </c>
      <c r="K549" s="41" t="s">
        <v>3557</v>
      </c>
      <c r="L549" s="41">
        <v>16</v>
      </c>
      <c r="M549" s="41"/>
      <c r="N549" s="41"/>
      <c r="O549" s="41" t="s">
        <v>375</v>
      </c>
      <c r="P549" s="41" t="s">
        <v>1902</v>
      </c>
      <c r="Q549" s="43">
        <f t="shared" si="75"/>
        <v>181</v>
      </c>
      <c r="R549" s="43">
        <f t="shared" si="76"/>
        <v>444.06</v>
      </c>
      <c r="S549" s="41" t="s">
        <v>1940</v>
      </c>
      <c r="T549" s="48" t="str">
        <f t="shared" si="77"/>
        <v>(9,'PS-09-GZ2','Poste de Sectionnement n°09 GZ2','Friday-01-jj','Friday-01-jj',NULL,1,),</v>
      </c>
    </row>
    <row r="550" spans="1:20" ht="20.100000000000001" customHeight="1" x14ac:dyDescent="0.25">
      <c r="A550" s="38">
        <v>18</v>
      </c>
      <c r="B550" s="38">
        <v>555</v>
      </c>
      <c r="C550" s="38" t="s">
        <v>631</v>
      </c>
      <c r="D550" s="38">
        <v>14</v>
      </c>
      <c r="E550" s="39" t="str">
        <f>CONCATENATE("PPUR-",TEXT(A550,"00"),"-",O550)</f>
        <v>PPUR-18-GZ2</v>
      </c>
      <c r="F550" s="48" t="str">
        <f>CONCATENATE("Poste de Purge n°",TEXT(A550,"00")," ",O550)</f>
        <v>Poste de Purge n°18 GZ2</v>
      </c>
      <c r="G550" s="19">
        <v>29952</v>
      </c>
      <c r="H550" s="19">
        <v>29952</v>
      </c>
      <c r="I550" s="41" t="s">
        <v>20</v>
      </c>
      <c r="J550" s="41">
        <v>1</v>
      </c>
      <c r="K550" s="41" t="s">
        <v>3558</v>
      </c>
      <c r="L550" s="41">
        <v>17</v>
      </c>
      <c r="M550" s="41"/>
      <c r="N550" s="41"/>
      <c r="O550" s="41" t="s">
        <v>375</v>
      </c>
      <c r="P550" s="41" t="s">
        <v>2889</v>
      </c>
      <c r="Q550" s="49">
        <f t="shared" si="75"/>
        <v>71</v>
      </c>
      <c r="R550" s="43">
        <f t="shared" si="76"/>
        <v>459.68799999999999</v>
      </c>
      <c r="S550" s="41" t="s">
        <v>1748</v>
      </c>
      <c r="T550" s="48" t="str">
        <f t="shared" si="77"/>
        <v>(18,'PPUR-18-GZ2','Poste de Purge n°18 GZ2','Friday-01-jj','Friday-01-jj',NULL,1,),</v>
      </c>
    </row>
    <row r="551" spans="1:20" ht="20.100000000000001" customHeight="1" x14ac:dyDescent="0.25">
      <c r="A551" s="38">
        <v>10</v>
      </c>
      <c r="B551" s="38">
        <v>556</v>
      </c>
      <c r="C551" s="38" t="s">
        <v>631</v>
      </c>
      <c r="D551" s="38">
        <v>14</v>
      </c>
      <c r="E551" s="39" t="str">
        <f>CONCATENATE("PS-",TEXT(A551,"00"),"-",O551)</f>
        <v>PS-10-GZ2</v>
      </c>
      <c r="F551" s="48" t="str">
        <f>CONCATENATE("Poste de Sectionnement n°",TEXT(A551,"00")," ",O551)</f>
        <v>Poste de Sectionnement n°10 GZ2</v>
      </c>
      <c r="G551" s="19">
        <v>29952</v>
      </c>
      <c r="H551" s="19">
        <v>29952</v>
      </c>
      <c r="I551" s="41" t="s">
        <v>20</v>
      </c>
      <c r="J551" s="41">
        <v>1</v>
      </c>
      <c r="K551" s="41" t="s">
        <v>3557</v>
      </c>
      <c r="L551" s="41">
        <v>16</v>
      </c>
      <c r="M551" s="41"/>
      <c r="N551" s="41"/>
      <c r="O551" s="41" t="s">
        <v>375</v>
      </c>
      <c r="P551" s="41" t="s">
        <v>1903</v>
      </c>
      <c r="Q551" s="43">
        <f t="shared" si="75"/>
        <v>65</v>
      </c>
      <c r="R551" s="43">
        <f t="shared" si="76"/>
        <v>470.71600000000001</v>
      </c>
      <c r="S551" s="41" t="s">
        <v>1788</v>
      </c>
      <c r="T551" s="48" t="str">
        <f t="shared" si="77"/>
        <v>(10,'PS-10-GZ2','Poste de Sectionnement n°10 GZ2','Friday-01-jj','Friday-01-jj',NULL,1,),</v>
      </c>
    </row>
    <row r="552" spans="1:20" ht="20.100000000000001" customHeight="1" x14ac:dyDescent="0.25">
      <c r="A552" s="38">
        <v>19</v>
      </c>
      <c r="B552" s="38">
        <v>557</v>
      </c>
      <c r="C552" s="38" t="s">
        <v>631</v>
      </c>
      <c r="D552" s="38">
        <v>14</v>
      </c>
      <c r="E552" s="39" t="str">
        <f>CONCATENATE("PPUR-",TEXT(A552,"00"),"-",O552)</f>
        <v>PPUR-19-GZ2</v>
      </c>
      <c r="F552" s="48" t="str">
        <f>CONCATENATE("Poste de Purge n°",TEXT(A552,"00")," ",O552)</f>
        <v>Poste de Purge n°19 GZ2</v>
      </c>
      <c r="G552" s="19">
        <v>29952</v>
      </c>
      <c r="H552" s="19">
        <v>29952</v>
      </c>
      <c r="I552" s="41" t="s">
        <v>20</v>
      </c>
      <c r="J552" s="41">
        <v>1</v>
      </c>
      <c r="K552" s="41" t="s">
        <v>3558</v>
      </c>
      <c r="L552" s="41">
        <v>17</v>
      </c>
      <c r="M552" s="41"/>
      <c r="N552" s="41"/>
      <c r="O552" s="41" t="s">
        <v>375</v>
      </c>
      <c r="P552" s="41" t="s">
        <v>2890</v>
      </c>
      <c r="Q552" s="49">
        <f t="shared" si="75"/>
        <v>94</v>
      </c>
      <c r="R552" s="43">
        <f t="shared" si="76"/>
        <v>500.63499999999999</v>
      </c>
      <c r="S552" s="41" t="s">
        <v>2999</v>
      </c>
      <c r="T552" s="48" t="str">
        <f t="shared" si="77"/>
        <v>(19,'PPUR-19-GZ2','Poste de Purge n°19 GZ2','Friday-01-jj','Friday-01-jj',NULL,1,),</v>
      </c>
    </row>
    <row r="553" spans="1:20" ht="20.100000000000001" customHeight="1" x14ac:dyDescent="0.25">
      <c r="A553" s="38">
        <v>11</v>
      </c>
      <c r="B553" s="38">
        <v>558</v>
      </c>
      <c r="C553" s="38" t="s">
        <v>631</v>
      </c>
      <c r="D553" s="38">
        <v>14</v>
      </c>
      <c r="E553" s="39" t="str">
        <f>CONCATENATE("PS-",TEXT(A553,"00"),"-",O553)</f>
        <v>PS-11-GZ2</v>
      </c>
      <c r="F553" s="48" t="str">
        <f>CONCATENATE("Poste de Sectionnement n°",TEXT(A553,"00")," ",O553)</f>
        <v>Poste de Sectionnement n°11 GZ2</v>
      </c>
      <c r="G553" s="19">
        <v>29952</v>
      </c>
      <c r="H553" s="19">
        <v>29952</v>
      </c>
      <c r="I553" s="41" t="s">
        <v>20</v>
      </c>
      <c r="J553" s="41">
        <v>1</v>
      </c>
      <c r="K553" s="41" t="s">
        <v>3557</v>
      </c>
      <c r="L553" s="41">
        <v>16</v>
      </c>
      <c r="M553" s="41"/>
      <c r="N553" s="41"/>
      <c r="O553" s="41" t="s">
        <v>375</v>
      </c>
      <c r="P553" s="41" t="s">
        <v>1904</v>
      </c>
      <c r="Q553" s="43">
        <f t="shared" si="75"/>
        <v>95</v>
      </c>
      <c r="R553" s="43">
        <f t="shared" si="76"/>
        <v>501.85</v>
      </c>
      <c r="S553" s="41" t="s">
        <v>1941</v>
      </c>
      <c r="T553" s="48" t="str">
        <f t="shared" si="77"/>
        <v>(11,'PS-11-GZ2','Poste de Sectionnement n°11 GZ2','Friday-01-jj','Friday-01-jj',NULL,1,),</v>
      </c>
    </row>
    <row r="554" spans="1:20" ht="20.100000000000001" customHeight="1" x14ac:dyDescent="0.25">
      <c r="A554" s="38">
        <v>1</v>
      </c>
      <c r="B554" s="38">
        <v>559</v>
      </c>
      <c r="C554" s="38" t="s">
        <v>631</v>
      </c>
      <c r="D554" s="38">
        <v>14</v>
      </c>
      <c r="E554" s="39" t="str">
        <f>CONCATENATE("PPUR-",TEXT(A554,"00"),"-",O554)</f>
        <v>PPUR-01-GZ3</v>
      </c>
      <c r="F554" s="48" t="str">
        <f>CONCATENATE("Poste de Purge n°",TEXT(A554,"00")," ",O554)</f>
        <v>Poste de Purge n°01 GZ3</v>
      </c>
      <c r="G554" s="19">
        <v>32509</v>
      </c>
      <c r="H554" s="19">
        <v>32509</v>
      </c>
      <c r="I554" s="41" t="s">
        <v>20</v>
      </c>
      <c r="J554" s="41">
        <v>1</v>
      </c>
      <c r="K554" s="41" t="s">
        <v>3558</v>
      </c>
      <c r="L554" s="41">
        <v>17</v>
      </c>
      <c r="M554" s="41"/>
      <c r="N554" s="41"/>
      <c r="O554" s="41" t="s">
        <v>379</v>
      </c>
      <c r="P554" s="41" t="s">
        <v>2891</v>
      </c>
      <c r="Q554" s="49">
        <f t="shared" si="75"/>
        <v>747</v>
      </c>
      <c r="R554" s="43">
        <f t="shared" si="76"/>
        <v>20.295000000000002</v>
      </c>
      <c r="S554" s="41" t="s">
        <v>790</v>
      </c>
      <c r="T554" s="48" t="str">
        <f t="shared" si="77"/>
        <v>(1,'PPUR-01-GZ3','Poste de Purge n°01 GZ3','Sunday-01-jj','Sunday-01-jj',NULL,1,),</v>
      </c>
    </row>
    <row r="555" spans="1:20" ht="20.100000000000001" customHeight="1" x14ac:dyDescent="0.25">
      <c r="A555" s="38">
        <v>1</v>
      </c>
      <c r="B555" s="38">
        <v>560</v>
      </c>
      <c r="C555" s="38" t="s">
        <v>631</v>
      </c>
      <c r="D555" s="38">
        <v>14</v>
      </c>
      <c r="E555" s="39" t="str">
        <f>CONCATENATE("PS-",TEXT(A555,"00"),"-",O555)</f>
        <v>PS-01-GZ3</v>
      </c>
      <c r="F555" s="48" t="str">
        <f>CONCATENATE("Poste de Sectionnement n°",TEXT(A555,"00")," ",O555)</f>
        <v>Poste de Sectionnement n°01 GZ3</v>
      </c>
      <c r="G555" s="19"/>
      <c r="H555" s="41"/>
      <c r="I555" s="41" t="s">
        <v>20</v>
      </c>
      <c r="J555" s="41">
        <v>1</v>
      </c>
      <c r="K555" s="41" t="s">
        <v>3557</v>
      </c>
      <c r="L555" s="41">
        <v>16</v>
      </c>
      <c r="M555" s="41"/>
      <c r="N555" s="41"/>
      <c r="O555" s="41" t="s">
        <v>379</v>
      </c>
      <c r="P555" s="41" t="s">
        <v>1948</v>
      </c>
      <c r="Q555" s="43">
        <f t="shared" si="75"/>
        <v>740</v>
      </c>
      <c r="R555" s="43">
        <f t="shared" si="76"/>
        <v>25.145</v>
      </c>
      <c r="S555" s="41" t="s">
        <v>790</v>
      </c>
      <c r="T555" s="48" t="str">
        <f t="shared" si="77"/>
        <v>(1,'PS-01-GZ3','Poste de Sectionnement n°01 GZ3','Saturday-01-jj','Saturday-01-jj',NULL,1,),</v>
      </c>
    </row>
    <row r="556" spans="1:20" ht="20.100000000000001" customHeight="1" x14ac:dyDescent="0.25">
      <c r="A556" s="38">
        <v>2</v>
      </c>
      <c r="B556" s="38">
        <v>561</v>
      </c>
      <c r="C556" s="38" t="s">
        <v>631</v>
      </c>
      <c r="D556" s="38">
        <v>14</v>
      </c>
      <c r="E556" s="39" t="str">
        <f>CONCATENATE("PS-",TEXT(A556,"00"),"-",O556)</f>
        <v>PS-02-GZ3</v>
      </c>
      <c r="F556" s="48" t="str">
        <f>CONCATENATE("Poste de Sectionnement n°",TEXT(A556,"00")," ",O556)</f>
        <v>Poste de Sectionnement n°02 GZ3</v>
      </c>
      <c r="G556" s="19">
        <v>32509</v>
      </c>
      <c r="H556" s="19">
        <v>32509</v>
      </c>
      <c r="I556" s="41" t="s">
        <v>20</v>
      </c>
      <c r="J556" s="41">
        <v>1</v>
      </c>
      <c r="K556" s="41" t="s">
        <v>3557</v>
      </c>
      <c r="L556" s="41">
        <v>16</v>
      </c>
      <c r="M556" s="41"/>
      <c r="N556" s="41"/>
      <c r="O556" s="41" t="s">
        <v>379</v>
      </c>
      <c r="P556" s="41" t="s">
        <v>1949</v>
      </c>
      <c r="Q556" s="43">
        <f t="shared" si="75"/>
        <v>844</v>
      </c>
      <c r="R556" s="43">
        <f t="shared" si="76"/>
        <v>50.15</v>
      </c>
      <c r="S556" s="41" t="s">
        <v>790</v>
      </c>
      <c r="T556" s="48" t="str">
        <f t="shared" si="77"/>
        <v>(2,'PS-02-GZ3','Poste de Sectionnement n°02 GZ3','Sunday-01-jj','Sunday-01-jj',NULL,1,),</v>
      </c>
    </row>
    <row r="557" spans="1:20" ht="20.100000000000001" customHeight="1" x14ac:dyDescent="0.25">
      <c r="A557" s="38">
        <v>11</v>
      </c>
      <c r="B557" s="38">
        <v>562</v>
      </c>
      <c r="C557" s="38" t="s">
        <v>631</v>
      </c>
      <c r="D557" s="38">
        <v>14</v>
      </c>
      <c r="E557" s="39" t="s">
        <v>182</v>
      </c>
      <c r="F557" s="48" t="str">
        <f>CONCATENATE("Station de Compression ",E557)</f>
        <v>Station de Compression SC1-GZ3</v>
      </c>
      <c r="G557" s="19">
        <v>32874</v>
      </c>
      <c r="H557" s="19">
        <v>32874</v>
      </c>
      <c r="I557" s="41" t="s">
        <v>20</v>
      </c>
      <c r="J557" s="41">
        <v>1</v>
      </c>
      <c r="K557" s="41" t="s">
        <v>3554</v>
      </c>
      <c r="L557" s="41">
        <v>8</v>
      </c>
      <c r="M557" s="41">
        <v>10</v>
      </c>
      <c r="N557" s="41"/>
      <c r="O557" s="41" t="s">
        <v>379</v>
      </c>
      <c r="P557" s="41" t="s">
        <v>3581</v>
      </c>
      <c r="Q557" s="49">
        <f t="shared" si="75"/>
        <v>853</v>
      </c>
      <c r="R557" s="43">
        <f t="shared" si="76"/>
        <v>75.007999999999996</v>
      </c>
      <c r="S557" s="41" t="s">
        <v>2916</v>
      </c>
      <c r="T557" s="48" t="str">
        <f t="shared" si="77"/>
        <v>(11,'SC1-GZ3','Station de Compression SC1-GZ3','Monday-01-jj','Monday-01-jj',NULL,1,10),</v>
      </c>
    </row>
    <row r="558" spans="1:20" ht="20.100000000000001" customHeight="1" x14ac:dyDescent="0.25">
      <c r="A558" s="38">
        <v>3</v>
      </c>
      <c r="B558" s="38">
        <v>563</v>
      </c>
      <c r="C558" s="38" t="s">
        <v>631</v>
      </c>
      <c r="D558" s="38">
        <v>14</v>
      </c>
      <c r="E558" s="39" t="str">
        <f>CONCATENATE("PS-",TEXT(A558,"00"),"-",O558)</f>
        <v>PS-03-GZ3</v>
      </c>
      <c r="F558" s="48" t="str">
        <f>CONCATENATE("Poste de Sectionnement n°",TEXT(A558,"00")," ",O558)</f>
        <v>Poste de Sectionnement n°03 GZ3</v>
      </c>
      <c r="G558" s="19">
        <v>32509</v>
      </c>
      <c r="H558" s="19">
        <v>32509</v>
      </c>
      <c r="I558" s="41" t="s">
        <v>20</v>
      </c>
      <c r="J558" s="41">
        <v>1</v>
      </c>
      <c r="K558" s="41" t="s">
        <v>3557</v>
      </c>
      <c r="L558" s="41">
        <v>16</v>
      </c>
      <c r="M558" s="41"/>
      <c r="N558" s="41"/>
      <c r="O558" s="41" t="s">
        <v>379</v>
      </c>
      <c r="P558" s="41" t="s">
        <v>1950</v>
      </c>
      <c r="Q558" s="43">
        <f t="shared" si="75"/>
        <v>770</v>
      </c>
      <c r="R558" s="43">
        <f t="shared" si="76"/>
        <v>98.286000000000001</v>
      </c>
      <c r="S558" s="41" t="s">
        <v>1942</v>
      </c>
      <c r="T558" s="48" t="str">
        <f t="shared" si="77"/>
        <v>(3,'PS-03-GZ3','Poste de Sectionnement n°03 GZ3','Sunday-01-jj','Sunday-01-jj',NULL,1,),</v>
      </c>
    </row>
    <row r="559" spans="1:20" ht="20.100000000000001" customHeight="1" x14ac:dyDescent="0.25">
      <c r="A559" s="38">
        <v>2</v>
      </c>
      <c r="B559" s="38">
        <v>564</v>
      </c>
      <c r="C559" s="38" t="s">
        <v>631</v>
      </c>
      <c r="D559" s="38">
        <v>14</v>
      </c>
      <c r="E559" s="39" t="str">
        <f>CONCATENATE("PPUR-",TEXT(A559,"00"),"-",O559)</f>
        <v>PPUR-02-GZ3</v>
      </c>
      <c r="F559" s="48" t="str">
        <f>CONCATENATE("Poste de Purge n°",TEXT(A559,"00")," ",O559)</f>
        <v>Poste de Purge n°02 GZ3</v>
      </c>
      <c r="G559" s="19">
        <v>32509</v>
      </c>
      <c r="H559" s="19">
        <v>32509</v>
      </c>
      <c r="I559" s="41" t="s">
        <v>20</v>
      </c>
      <c r="J559" s="41">
        <v>1</v>
      </c>
      <c r="K559" s="41" t="s">
        <v>3558</v>
      </c>
      <c r="L559" s="41">
        <v>17</v>
      </c>
      <c r="M559" s="41"/>
      <c r="N559" s="41"/>
      <c r="O559" s="41" t="s">
        <v>379</v>
      </c>
      <c r="P559" s="41" t="s">
        <v>2892</v>
      </c>
      <c r="Q559" s="49">
        <f t="shared" si="75"/>
        <v>771</v>
      </c>
      <c r="R559" s="43">
        <f t="shared" si="76"/>
        <v>99.694999999999993</v>
      </c>
      <c r="S559" s="41" t="s">
        <v>1740</v>
      </c>
      <c r="T559" s="48" t="str">
        <f t="shared" si="77"/>
        <v>(2,'PPUR-02-GZ3','Poste de Purge n°02 GZ3','Sunday-01-jj','Sunday-01-jj',NULL,1,),</v>
      </c>
    </row>
    <row r="560" spans="1:20" ht="20.100000000000001" customHeight="1" x14ac:dyDescent="0.25">
      <c r="A560" s="38">
        <v>4</v>
      </c>
      <c r="B560" s="38">
        <v>565</v>
      </c>
      <c r="C560" s="38" t="s">
        <v>631</v>
      </c>
      <c r="D560" s="38">
        <v>14</v>
      </c>
      <c r="E560" s="39" t="str">
        <f>CONCATENATE("PS-",TEXT(A560,"00"),"-",O560)</f>
        <v>PS-04-GZ3</v>
      </c>
      <c r="F560" s="48" t="str">
        <f>CONCATENATE("Poste de Sectionnement n°",TEXT(A560,"00")," ",O560)</f>
        <v>Poste de Sectionnement n°04 GZ3</v>
      </c>
      <c r="G560" s="19">
        <v>32509</v>
      </c>
      <c r="H560" s="19">
        <v>32509</v>
      </c>
      <c r="I560" s="41" t="s">
        <v>20</v>
      </c>
      <c r="J560" s="41">
        <v>1</v>
      </c>
      <c r="K560" s="41" t="s">
        <v>3557</v>
      </c>
      <c r="L560" s="41">
        <v>16</v>
      </c>
      <c r="M560" s="41"/>
      <c r="N560" s="41"/>
      <c r="O560" s="41" t="s">
        <v>379</v>
      </c>
      <c r="P560" s="41" t="s">
        <v>1951</v>
      </c>
      <c r="Q560" s="43">
        <f t="shared" si="75"/>
        <v>914</v>
      </c>
      <c r="R560" s="43">
        <f t="shared" si="76"/>
        <v>122.431</v>
      </c>
      <c r="S560" s="41" t="s">
        <v>1937</v>
      </c>
      <c r="T560" s="48" t="str">
        <f t="shared" si="77"/>
        <v>(4,'PS-04-GZ3','Poste de Sectionnement n°04 GZ3','Sunday-01-jj','Sunday-01-jj',NULL,1,),</v>
      </c>
    </row>
    <row r="561" spans="1:20" ht="20.100000000000001" customHeight="1" x14ac:dyDescent="0.25">
      <c r="A561" s="38">
        <v>3</v>
      </c>
      <c r="B561" s="38">
        <v>566</v>
      </c>
      <c r="C561" s="38" t="s">
        <v>631</v>
      </c>
      <c r="D561" s="38">
        <v>14</v>
      </c>
      <c r="E561" s="39" t="str">
        <f>CONCATENATE("PPUR-",TEXT(A561,"00"),"-",O561)</f>
        <v>PPUR-03-GZ3</v>
      </c>
      <c r="F561" s="48" t="str">
        <f>CONCATENATE("Poste de Purge n°",TEXT(A561,"00")," ",O561)</f>
        <v>Poste de Purge n°03 GZ3</v>
      </c>
      <c r="G561" s="19">
        <v>32509</v>
      </c>
      <c r="H561" s="19">
        <v>32509</v>
      </c>
      <c r="I561" s="41" t="s">
        <v>20</v>
      </c>
      <c r="J561" s="41">
        <v>1</v>
      </c>
      <c r="K561" s="41" t="s">
        <v>3558</v>
      </c>
      <c r="L561" s="41">
        <v>17</v>
      </c>
      <c r="M561" s="41"/>
      <c r="N561" s="41"/>
      <c r="O561" s="41" t="s">
        <v>379</v>
      </c>
      <c r="P561" s="41" t="s">
        <v>2893</v>
      </c>
      <c r="Q561" s="49">
        <f t="shared" si="75"/>
        <v>921</v>
      </c>
      <c r="R561" s="43">
        <f t="shared" si="76"/>
        <v>125.84</v>
      </c>
      <c r="S561" s="41" t="s">
        <v>1937</v>
      </c>
      <c r="T561" s="48" t="str">
        <f t="shared" si="77"/>
        <v>(3,'PPUR-03-GZ3','Poste de Purge n°03 GZ3','Sunday-01-jj','Sunday-01-jj',NULL,1,),</v>
      </c>
    </row>
    <row r="562" spans="1:20" ht="20.100000000000001" customHeight="1" x14ac:dyDescent="0.25">
      <c r="A562" s="38">
        <v>4</v>
      </c>
      <c r="B562" s="38">
        <v>567</v>
      </c>
      <c r="C562" s="38" t="s">
        <v>631</v>
      </c>
      <c r="D562" s="38">
        <v>14</v>
      </c>
      <c r="E562" s="39" t="str">
        <f>CONCATENATE("PPUR-",TEXT(A562,"00"),"-",O562)</f>
        <v>PPUR-04-GZ3</v>
      </c>
      <c r="F562" s="48" t="str">
        <f>CONCATENATE("Poste de Purge n°",TEXT(A562,"00")," ",O562)</f>
        <v>Poste de Purge n°04 GZ3</v>
      </c>
      <c r="G562" s="19">
        <v>32509</v>
      </c>
      <c r="H562" s="19">
        <v>32509</v>
      </c>
      <c r="I562" s="41" t="s">
        <v>20</v>
      </c>
      <c r="J562" s="41">
        <v>1</v>
      </c>
      <c r="K562" s="41" t="s">
        <v>3558</v>
      </c>
      <c r="L562" s="41">
        <v>17</v>
      </c>
      <c r="M562" s="41"/>
      <c r="N562" s="41"/>
      <c r="O562" s="41" t="s">
        <v>379</v>
      </c>
      <c r="P562" s="41" t="s">
        <v>2894</v>
      </c>
      <c r="Q562" s="49">
        <f t="shared" si="75"/>
        <v>1048</v>
      </c>
      <c r="R562" s="43">
        <f t="shared" si="76"/>
        <v>143.887</v>
      </c>
      <c r="S562" s="41" t="s">
        <v>1937</v>
      </c>
      <c r="T562" s="48" t="str">
        <f t="shared" si="77"/>
        <v>(4,'PPUR-04-GZ3','Poste de Purge n°04 GZ3','Sunday-01-jj','Sunday-01-jj',NULL,1,),</v>
      </c>
    </row>
    <row r="563" spans="1:20" ht="20.100000000000001" customHeight="1" x14ac:dyDescent="0.25">
      <c r="A563" s="38">
        <v>12</v>
      </c>
      <c r="B563" s="38">
        <v>568</v>
      </c>
      <c r="C563" s="38" t="s">
        <v>631</v>
      </c>
      <c r="D563" s="38">
        <v>14</v>
      </c>
      <c r="E563" s="39" t="s">
        <v>188</v>
      </c>
      <c r="F563" s="48" t="str">
        <f>CONCATENATE("Station de Compression ",E563)</f>
        <v>Station de Compression SC2-GZ3</v>
      </c>
      <c r="G563" s="19">
        <v>32874</v>
      </c>
      <c r="H563" s="19">
        <v>32874</v>
      </c>
      <c r="I563" s="41" t="s">
        <v>20</v>
      </c>
      <c r="J563" s="41">
        <v>1</v>
      </c>
      <c r="K563" s="41" t="s">
        <v>3554</v>
      </c>
      <c r="L563" s="41">
        <v>8</v>
      </c>
      <c r="M563" s="41">
        <v>10</v>
      </c>
      <c r="N563" s="41"/>
      <c r="O563" s="41" t="s">
        <v>379</v>
      </c>
      <c r="P563" s="41" t="s">
        <v>3582</v>
      </c>
      <c r="Q563" s="49">
        <f t="shared" si="75"/>
        <v>1034</v>
      </c>
      <c r="R563" s="43">
        <f t="shared" si="76"/>
        <v>144.47800000000001</v>
      </c>
      <c r="S563" s="41" t="s">
        <v>2917</v>
      </c>
      <c r="T563" s="48" t="str">
        <f t="shared" si="77"/>
        <v>(12,'SC2-GZ3','Station de Compression SC2-GZ3','Monday-01-jj','Monday-01-jj',NULL,1,10),</v>
      </c>
    </row>
    <row r="564" spans="1:20" ht="20.100000000000001" customHeight="1" x14ac:dyDescent="0.25">
      <c r="A564" s="38">
        <v>5</v>
      </c>
      <c r="B564" s="38">
        <v>569</v>
      </c>
      <c r="C564" s="38" t="s">
        <v>631</v>
      </c>
      <c r="D564" s="38">
        <v>14</v>
      </c>
      <c r="E564" s="39" t="str">
        <f>CONCATENATE("PPUR-",TEXT(A564,"00"),"-",O564)</f>
        <v>PPUR-05-GZ3</v>
      </c>
      <c r="F564" s="48" t="str">
        <f>CONCATENATE("Poste de Purge n°",TEXT(A564,"00")," ",O564)</f>
        <v>Poste de Purge n°05 GZ3</v>
      </c>
      <c r="G564" s="19">
        <v>32509</v>
      </c>
      <c r="H564" s="19">
        <v>32509</v>
      </c>
      <c r="I564" s="41" t="s">
        <v>20</v>
      </c>
      <c r="J564" s="41">
        <v>1</v>
      </c>
      <c r="K564" s="41" t="s">
        <v>3558</v>
      </c>
      <c r="L564" s="41">
        <v>17</v>
      </c>
      <c r="M564" s="41"/>
      <c r="N564" s="41"/>
      <c r="O564" s="41" t="s">
        <v>379</v>
      </c>
      <c r="P564" s="41" t="s">
        <v>2895</v>
      </c>
      <c r="Q564" s="49">
        <f t="shared" si="75"/>
        <v>1192</v>
      </c>
      <c r="R564" s="43">
        <f t="shared" si="76"/>
        <v>156.268</v>
      </c>
      <c r="S564" s="41" t="s">
        <v>1937</v>
      </c>
      <c r="T564" s="48" t="str">
        <f t="shared" si="77"/>
        <v>(5,'PPUR-05-GZ3','Poste de Purge n°05 GZ3','Sunday-01-jj','Sunday-01-jj',NULL,1,),</v>
      </c>
    </row>
    <row r="565" spans="1:20" ht="20.100000000000001" customHeight="1" x14ac:dyDescent="0.25">
      <c r="A565" s="38">
        <v>6</v>
      </c>
      <c r="B565" s="38">
        <v>570</v>
      </c>
      <c r="C565" s="38" t="s">
        <v>631</v>
      </c>
      <c r="D565" s="38">
        <v>14</v>
      </c>
      <c r="E565" s="39" t="str">
        <f>CONCATENATE("PPUR-",TEXT(A565,"00"),"-",O565)</f>
        <v>PPUR-06-GZ3</v>
      </c>
      <c r="F565" s="48" t="str">
        <f>CONCATENATE("Poste de Purge n°",TEXT(A565,"00")," ",O565)</f>
        <v>Poste de Purge n°06 GZ3</v>
      </c>
      <c r="G565" s="19">
        <v>32509</v>
      </c>
      <c r="H565" s="19">
        <v>32509</v>
      </c>
      <c r="I565" s="41" t="s">
        <v>20</v>
      </c>
      <c r="J565" s="41">
        <v>1</v>
      </c>
      <c r="K565" s="41" t="s">
        <v>3558</v>
      </c>
      <c r="L565" s="41">
        <v>17</v>
      </c>
      <c r="M565" s="41"/>
      <c r="N565" s="87"/>
      <c r="O565" s="87" t="s">
        <v>379</v>
      </c>
      <c r="P565" s="41" t="s">
        <v>2896</v>
      </c>
      <c r="Q565" s="49">
        <f t="shared" si="75"/>
        <v>1238</v>
      </c>
      <c r="R565" s="43">
        <f t="shared" si="76"/>
        <v>168.69800000000001</v>
      </c>
      <c r="S565" s="41" t="s">
        <v>1937</v>
      </c>
      <c r="T565" s="48" t="str">
        <f t="shared" si="77"/>
        <v>(6,'PPUR-06-GZ3','Poste de Purge n°06 GZ3','Sunday-01-jj','Sunday-01-jj',NULL,1,),</v>
      </c>
    </row>
    <row r="566" spans="1:20" ht="20.100000000000001" customHeight="1" x14ac:dyDescent="0.25">
      <c r="A566" s="38">
        <v>5</v>
      </c>
      <c r="B566" s="38">
        <v>571</v>
      </c>
      <c r="C566" s="38" t="s">
        <v>631</v>
      </c>
      <c r="D566" s="38">
        <v>14</v>
      </c>
      <c r="E566" s="39" t="str">
        <f>CONCATENATE("PS-",TEXT(A566,"00"),"-",O566)</f>
        <v>PS-05-GZ3</v>
      </c>
      <c r="F566" s="48" t="str">
        <f>CONCATENATE("Poste de Sectionnement n°",TEXT(A566,"00")," ",O566)</f>
        <v>Poste de Sectionnement n°05 GZ3</v>
      </c>
      <c r="G566" s="19">
        <v>32509</v>
      </c>
      <c r="H566" s="19">
        <v>32509</v>
      </c>
      <c r="I566" s="41" t="s">
        <v>20</v>
      </c>
      <c r="J566" s="41">
        <v>1</v>
      </c>
      <c r="K566" s="41" t="s">
        <v>3557</v>
      </c>
      <c r="L566" s="41">
        <v>16</v>
      </c>
      <c r="M566" s="41"/>
      <c r="N566" s="87"/>
      <c r="O566" s="87" t="s">
        <v>379</v>
      </c>
      <c r="P566" s="41" t="s">
        <v>1952</v>
      </c>
      <c r="Q566" s="43">
        <f t="shared" si="75"/>
        <v>1243</v>
      </c>
      <c r="R566" s="43">
        <f t="shared" si="76"/>
        <v>172.24199999999999</v>
      </c>
      <c r="S566" s="41" t="s">
        <v>1937</v>
      </c>
      <c r="T566" s="48" t="str">
        <f t="shared" si="77"/>
        <v>(5,'PS-05-GZ3','Poste de Sectionnement n°05 GZ3','Sunday-01-jj','Sunday-01-jj',NULL,1,),</v>
      </c>
    </row>
    <row r="567" spans="1:20" ht="20.100000000000001" customHeight="1" x14ac:dyDescent="0.25">
      <c r="A567" s="38">
        <v>7</v>
      </c>
      <c r="B567" s="38">
        <v>572</v>
      </c>
      <c r="C567" s="38" t="s">
        <v>631</v>
      </c>
      <c r="D567" s="38">
        <v>14</v>
      </c>
      <c r="E567" s="39" t="str">
        <f>CONCATENATE("PPUR-",TEXT(A567,"00"),"-",O567)</f>
        <v>PPUR-07-GZ3</v>
      </c>
      <c r="F567" s="48" t="str">
        <f>CONCATENATE("Poste de Purge n°",TEXT(A567,"00")," ",O567)</f>
        <v>Poste de Purge n°07 GZ3</v>
      </c>
      <c r="G567" s="19">
        <v>32509</v>
      </c>
      <c r="H567" s="19">
        <v>32509</v>
      </c>
      <c r="I567" s="41" t="s">
        <v>20</v>
      </c>
      <c r="J567" s="41">
        <v>8</v>
      </c>
      <c r="K567" s="41" t="s">
        <v>3558</v>
      </c>
      <c r="L567" s="41">
        <v>17</v>
      </c>
      <c r="M567" s="41"/>
      <c r="N567" s="41"/>
      <c r="O567" s="41" t="s">
        <v>379</v>
      </c>
      <c r="P567" s="41" t="s">
        <v>2909</v>
      </c>
      <c r="Q567" s="49">
        <f t="shared" si="75"/>
        <v>1096</v>
      </c>
      <c r="R567" s="43">
        <f t="shared" si="76"/>
        <v>187.76400000000001</v>
      </c>
      <c r="S567" s="41" t="s">
        <v>1937</v>
      </c>
      <c r="T567" s="48" t="str">
        <f t="shared" si="77"/>
        <v>(7,'PPUR-07-GZ3','Poste de Purge n°07 GZ3','Sunday-01-jj','Sunday-01-jj',NULL,8,),</v>
      </c>
    </row>
    <row r="568" spans="1:20" ht="20.100000000000001" customHeight="1" x14ac:dyDescent="0.25">
      <c r="A568" s="38">
        <v>6</v>
      </c>
      <c r="B568" s="38">
        <v>573</v>
      </c>
      <c r="C568" s="38" t="s">
        <v>631</v>
      </c>
      <c r="D568" s="38">
        <v>14</v>
      </c>
      <c r="E568" s="39" t="str">
        <f>CONCATENATE("PS-",TEXT(A568,"00"),"-",O568)</f>
        <v>PS-06-GZ3</v>
      </c>
      <c r="F568" s="48" t="str">
        <f>CONCATENATE("Poste de Sectionnement n°",TEXT(A568,"00")," ",O568)</f>
        <v>Poste de Sectionnement n°06 GZ3</v>
      </c>
      <c r="G568" s="19">
        <v>32509</v>
      </c>
      <c r="H568" s="19">
        <v>32509</v>
      </c>
      <c r="I568" s="41" t="s">
        <v>20</v>
      </c>
      <c r="J568" s="41">
        <v>1</v>
      </c>
      <c r="K568" s="41" t="s">
        <v>3557</v>
      </c>
      <c r="L568" s="41">
        <v>16</v>
      </c>
      <c r="M568" s="41"/>
      <c r="N568" s="41"/>
      <c r="O568" s="41" t="s">
        <v>379</v>
      </c>
      <c r="P568" s="41" t="s">
        <v>1953</v>
      </c>
      <c r="Q568" s="43">
        <f t="shared" si="75"/>
        <v>1040</v>
      </c>
      <c r="R568" s="43">
        <f t="shared" si="76"/>
        <v>199.018</v>
      </c>
      <c r="S568" s="41" t="s">
        <v>1970</v>
      </c>
      <c r="T568" s="48" t="str">
        <f t="shared" si="77"/>
        <v>(6,'PS-06-GZ3','Poste de Sectionnement n°06 GZ3','Sunday-01-jj','Sunday-01-jj',NULL,1,),</v>
      </c>
    </row>
    <row r="569" spans="1:20" ht="20.100000000000001" customHeight="1" x14ac:dyDescent="0.25">
      <c r="A569" s="38">
        <v>8</v>
      </c>
      <c r="B569" s="38">
        <v>574</v>
      </c>
      <c r="C569" s="38" t="s">
        <v>631</v>
      </c>
      <c r="D569" s="38">
        <v>14</v>
      </c>
      <c r="E569" s="39" t="str">
        <f>CONCATENATE("PPUR-",TEXT(A569,"00"),"-",O569)</f>
        <v>PPUR-08-GZ3</v>
      </c>
      <c r="F569" s="48" t="str">
        <f>CONCATENATE("Poste de Purge n°",TEXT(A569,"00")," ",O569)</f>
        <v>Poste de Purge n°08 GZ3</v>
      </c>
      <c r="G569" s="19">
        <v>32509</v>
      </c>
      <c r="H569" s="19">
        <v>32509</v>
      </c>
      <c r="I569" s="41" t="s">
        <v>20</v>
      </c>
      <c r="J569" s="41">
        <v>1</v>
      </c>
      <c r="K569" s="41" t="s">
        <v>3558</v>
      </c>
      <c r="L569" s="41">
        <v>17</v>
      </c>
      <c r="M569" s="41"/>
      <c r="N569" s="41"/>
      <c r="O569" s="41" t="s">
        <v>379</v>
      </c>
      <c r="P569" s="41" t="s">
        <v>2897</v>
      </c>
      <c r="Q569" s="49">
        <f t="shared" si="75"/>
        <v>930</v>
      </c>
      <c r="R569" s="43">
        <f t="shared" si="76"/>
        <v>216.71199999999999</v>
      </c>
      <c r="S569" s="41" t="s">
        <v>3000</v>
      </c>
      <c r="T569" s="48" t="str">
        <f t="shared" si="77"/>
        <v>(8,'PPUR-08-GZ3','Poste de Purge n°08 GZ3','Sunday-01-jj','Sunday-01-jj',NULL,1,),</v>
      </c>
    </row>
    <row r="570" spans="1:20" ht="20.100000000000001" customHeight="1" x14ac:dyDescent="0.25">
      <c r="A570" s="38">
        <v>13</v>
      </c>
      <c r="B570" s="38">
        <v>575</v>
      </c>
      <c r="C570" s="38" t="s">
        <v>631</v>
      </c>
      <c r="D570" s="38">
        <v>14</v>
      </c>
      <c r="E570" s="39" t="s">
        <v>194</v>
      </c>
      <c r="F570" s="48" t="str">
        <f>CONCATENATE("Station de Compression ",E570)</f>
        <v>Station de Compression SC3-GZ3</v>
      </c>
      <c r="G570" s="19">
        <v>32874</v>
      </c>
      <c r="H570" s="19">
        <v>32874</v>
      </c>
      <c r="I570" s="41" t="s">
        <v>20</v>
      </c>
      <c r="J570" s="41">
        <v>1</v>
      </c>
      <c r="K570" s="41" t="s">
        <v>3554</v>
      </c>
      <c r="L570" s="41">
        <v>8</v>
      </c>
      <c r="M570" s="41">
        <v>10</v>
      </c>
      <c r="N570" s="41"/>
      <c r="O570" s="41" t="s">
        <v>379</v>
      </c>
      <c r="P570" s="41" t="s">
        <v>3583</v>
      </c>
      <c r="Q570" s="49">
        <f t="shared" si="75"/>
        <v>963</v>
      </c>
      <c r="R570" s="43">
        <f t="shared" si="76"/>
        <v>225.869</v>
      </c>
      <c r="S570" s="41" t="s">
        <v>2825</v>
      </c>
      <c r="T570" s="48" t="str">
        <f t="shared" si="77"/>
        <v>(13,'SC3-GZ3','Station de Compression SC3-GZ3','Monday-01-jj','Monday-01-jj',NULL,1,10),</v>
      </c>
    </row>
    <row r="571" spans="1:20" ht="20.100000000000001" customHeight="1" x14ac:dyDescent="0.25">
      <c r="A571" s="38">
        <v>9</v>
      </c>
      <c r="B571" s="38">
        <v>576</v>
      </c>
      <c r="C571" s="38" t="s">
        <v>631</v>
      </c>
      <c r="D571" s="38">
        <v>14</v>
      </c>
      <c r="E571" s="39" t="str">
        <f>CONCATENATE("PPUR-",TEXT(A571,"00"),"-",O571)</f>
        <v>PPUR-09-GZ3</v>
      </c>
      <c r="F571" s="48" t="str">
        <f>CONCATENATE("Poste de Purge n°",TEXT(A571,"00")," ",O571)</f>
        <v>Poste de Purge n°09 GZ3</v>
      </c>
      <c r="G571" s="19">
        <v>32509</v>
      </c>
      <c r="H571" s="19">
        <v>32509</v>
      </c>
      <c r="I571" s="41" t="s">
        <v>20</v>
      </c>
      <c r="J571" s="41">
        <v>1</v>
      </c>
      <c r="K571" s="41" t="s">
        <v>3558</v>
      </c>
      <c r="L571" s="41">
        <v>17</v>
      </c>
      <c r="M571" s="41"/>
      <c r="N571" s="41"/>
      <c r="O571" s="41" t="s">
        <v>379</v>
      </c>
      <c r="P571" s="41" t="s">
        <v>2898</v>
      </c>
      <c r="Q571" s="49">
        <f t="shared" si="75"/>
        <v>954</v>
      </c>
      <c r="R571" s="43">
        <f t="shared" si="76"/>
        <v>236.23</v>
      </c>
      <c r="S571" s="41" t="s">
        <v>751</v>
      </c>
      <c r="T571" s="48" t="str">
        <f t="shared" si="77"/>
        <v>(9,'PPUR-09-GZ3','Poste de Purge n°09 GZ3','Sunday-01-jj','Sunday-01-jj',NULL,1,),</v>
      </c>
    </row>
    <row r="572" spans="1:20" ht="20.100000000000001" customHeight="1" x14ac:dyDescent="0.25">
      <c r="A572" s="38">
        <v>7</v>
      </c>
      <c r="B572" s="38">
        <v>577</v>
      </c>
      <c r="C572" s="38" t="s">
        <v>631</v>
      </c>
      <c r="D572" s="38">
        <v>14</v>
      </c>
      <c r="E572" s="39" t="str">
        <f>CONCATENATE("PS-",TEXT(A572,"00"),"-",O572)</f>
        <v>PS-07-GZ3</v>
      </c>
      <c r="F572" s="48" t="str">
        <f>CONCATENATE("Poste de Sectionnement n°",TEXT(A572,"00")," ",O572)</f>
        <v>Poste de Sectionnement n°07 GZ3</v>
      </c>
      <c r="G572" s="19">
        <v>32509</v>
      </c>
      <c r="H572" s="19">
        <v>32509</v>
      </c>
      <c r="I572" s="41" t="s">
        <v>20</v>
      </c>
      <c r="J572" s="41">
        <v>1</v>
      </c>
      <c r="K572" s="41" t="s">
        <v>3557</v>
      </c>
      <c r="L572" s="41">
        <v>16</v>
      </c>
      <c r="M572" s="41"/>
      <c r="N572" s="41"/>
      <c r="O572" s="41" t="s">
        <v>379</v>
      </c>
      <c r="P572" s="41" t="s">
        <v>1954</v>
      </c>
      <c r="Q572" s="43">
        <f t="shared" si="75"/>
        <v>996</v>
      </c>
      <c r="R572" s="43">
        <f t="shared" si="76"/>
        <v>248.63399999999999</v>
      </c>
      <c r="S572" s="41" t="s">
        <v>1971</v>
      </c>
      <c r="T572" s="48" t="str">
        <f t="shared" si="77"/>
        <v>(7,'PS-07-GZ3','Poste de Sectionnement n°07 GZ3','Sunday-01-jj','Sunday-01-jj',NULL,1,),</v>
      </c>
    </row>
    <row r="573" spans="1:20" ht="20.100000000000001" customHeight="1" x14ac:dyDescent="0.25">
      <c r="A573" s="38">
        <v>8</v>
      </c>
      <c r="B573" s="38">
        <v>578</v>
      </c>
      <c r="C573" s="38" t="s">
        <v>631</v>
      </c>
      <c r="D573" s="38">
        <v>14</v>
      </c>
      <c r="E573" s="39" t="str">
        <f>CONCATENATE("PS-",TEXT(A573,"00"),"-",O573)</f>
        <v>PS-08-GZ3</v>
      </c>
      <c r="F573" s="48" t="str">
        <f>CONCATENATE("Poste de Sectionnement n°",TEXT(A573,"00")," ",O573)</f>
        <v>Poste de Sectionnement n°08 GZ3</v>
      </c>
      <c r="G573" s="19">
        <v>32509</v>
      </c>
      <c r="H573" s="19">
        <v>32509</v>
      </c>
      <c r="I573" s="41" t="s">
        <v>20</v>
      </c>
      <c r="J573" s="41">
        <v>1</v>
      </c>
      <c r="K573" s="41" t="s">
        <v>3557</v>
      </c>
      <c r="L573" s="41">
        <v>16</v>
      </c>
      <c r="M573" s="41"/>
      <c r="N573" s="41"/>
      <c r="O573" s="41" t="s">
        <v>379</v>
      </c>
      <c r="P573" s="41" t="s">
        <v>1955</v>
      </c>
      <c r="Q573" s="43">
        <f t="shared" si="75"/>
        <v>1162</v>
      </c>
      <c r="R573" s="43">
        <f t="shared" si="76"/>
        <v>272.09199999999998</v>
      </c>
      <c r="S573" s="41" t="s">
        <v>1867</v>
      </c>
      <c r="T573" s="48" t="str">
        <f t="shared" si="77"/>
        <v>(8,'PS-08-GZ3','Poste de Sectionnement n°08 GZ3','Sunday-01-jj','Sunday-01-jj',NULL,1,),</v>
      </c>
    </row>
    <row r="574" spans="1:20" ht="20.100000000000001" customHeight="1" x14ac:dyDescent="0.25">
      <c r="A574" s="38">
        <v>14</v>
      </c>
      <c r="B574" s="38">
        <v>579</v>
      </c>
      <c r="C574" s="38" t="s">
        <v>631</v>
      </c>
      <c r="D574" s="38">
        <v>14</v>
      </c>
      <c r="E574" s="39" t="s">
        <v>200</v>
      </c>
      <c r="F574" s="48" t="str">
        <f>CONCATENATE("Station de Compression ",E574)</f>
        <v>Station de Compression SC4-GZ3</v>
      </c>
      <c r="G574" s="19">
        <v>31778</v>
      </c>
      <c r="H574" s="19">
        <v>31778</v>
      </c>
      <c r="I574" s="41" t="s">
        <v>20</v>
      </c>
      <c r="J574" s="41">
        <v>1</v>
      </c>
      <c r="K574" s="41" t="s">
        <v>3554</v>
      </c>
      <c r="L574" s="41">
        <v>8</v>
      </c>
      <c r="M574" s="41">
        <v>10</v>
      </c>
      <c r="N574" s="41"/>
      <c r="O574" s="41" t="s">
        <v>379</v>
      </c>
      <c r="P574" s="41" t="s">
        <v>3584</v>
      </c>
      <c r="Q574" s="49">
        <f t="shared" si="75"/>
        <v>1226</v>
      </c>
      <c r="R574" s="43">
        <f t="shared" si="76"/>
        <v>295.87200000000001</v>
      </c>
      <c r="S574" s="41" t="s">
        <v>2918</v>
      </c>
      <c r="T574" s="48" t="str">
        <f t="shared" si="77"/>
        <v>(14,'SC4-GZ3','Station de Compression SC4-GZ3','Thursday-01-jj','Thursday-01-jj',NULL,1,10),</v>
      </c>
    </row>
    <row r="575" spans="1:20" ht="20.100000000000001" customHeight="1" x14ac:dyDescent="0.25">
      <c r="A575" s="38">
        <v>15</v>
      </c>
      <c r="B575" s="38">
        <v>580</v>
      </c>
      <c r="C575" s="38" t="s">
        <v>631</v>
      </c>
      <c r="D575" s="38">
        <v>14</v>
      </c>
      <c r="E575" s="39" t="s">
        <v>206</v>
      </c>
      <c r="F575" s="48" t="str">
        <f>CONCATENATE("Station de Compression ",E575)</f>
        <v>Station de Compression SC5-GZ3</v>
      </c>
      <c r="G575" s="19">
        <v>31778</v>
      </c>
      <c r="H575" s="19">
        <v>31778</v>
      </c>
      <c r="I575" s="41" t="s">
        <v>20</v>
      </c>
      <c r="J575" s="41">
        <v>1</v>
      </c>
      <c r="K575" s="41" t="s">
        <v>3554</v>
      </c>
      <c r="L575" s="41">
        <v>8</v>
      </c>
      <c r="M575" s="41">
        <v>10</v>
      </c>
      <c r="N575" s="41"/>
      <c r="O575" s="41" t="s">
        <v>379</v>
      </c>
      <c r="P575" s="41" t="s">
        <v>3585</v>
      </c>
      <c r="Q575" s="49">
        <f t="shared" si="75"/>
        <v>506</v>
      </c>
      <c r="R575" s="43">
        <f t="shared" si="76"/>
        <v>399.46100000000001</v>
      </c>
      <c r="S575" s="41" t="s">
        <v>2919</v>
      </c>
      <c r="T575" s="48" t="str">
        <f t="shared" si="77"/>
        <v>(15,'SC5-GZ3','Station de Compression SC5-GZ3','Thursday-01-jj','Thursday-01-jj',NULL,1,10),</v>
      </c>
    </row>
    <row r="576" spans="1:20" ht="20.100000000000001" customHeight="1" x14ac:dyDescent="0.25">
      <c r="A576" s="38">
        <v>1</v>
      </c>
      <c r="B576" s="38">
        <v>581</v>
      </c>
      <c r="C576" s="38" t="s">
        <v>631</v>
      </c>
      <c r="D576" s="38">
        <v>14</v>
      </c>
      <c r="E576" s="39" t="str">
        <f>CONCATENATE("PS-",TEXT(A576,"00"),"-",O576)</f>
        <v>PS-01-RGZ1</v>
      </c>
      <c r="F576" s="48" t="str">
        <f>CONCATENATE("Poste de Sectionnement n°",TEXT(A576,"00")," ",O576)</f>
        <v>Poste de Sectionnement n°01 RGZ1</v>
      </c>
      <c r="G576" s="12"/>
      <c r="H576" s="13"/>
      <c r="I576" s="41" t="s">
        <v>20</v>
      </c>
      <c r="J576" s="41">
        <v>1</v>
      </c>
      <c r="K576" s="41" t="s">
        <v>3557</v>
      </c>
      <c r="L576" s="41">
        <v>16</v>
      </c>
      <c r="M576" s="41"/>
      <c r="N576" s="41"/>
      <c r="O576" s="41" t="s">
        <v>999</v>
      </c>
      <c r="P576" s="41" t="s">
        <v>1873</v>
      </c>
      <c r="Q576" s="43">
        <f t="shared" si="75"/>
        <v>732</v>
      </c>
      <c r="R576" s="43">
        <f t="shared" si="76"/>
        <v>17.100000000000001</v>
      </c>
      <c r="S576" s="41" t="s">
        <v>790</v>
      </c>
      <c r="T576" s="48" t="str">
        <f t="shared" si="77"/>
        <v>(1,'PS-01-RGZ1','Poste de Sectionnement n°01 RGZ1','Saturday-01-jj','Saturday-01-jj',NULL,1,),</v>
      </c>
    </row>
    <row r="577" spans="1:20" ht="20.100000000000001" customHeight="1" x14ac:dyDescent="0.25">
      <c r="A577" s="38">
        <v>2</v>
      </c>
      <c r="B577" s="38">
        <v>582</v>
      </c>
      <c r="C577" s="38" t="s">
        <v>631</v>
      </c>
      <c r="D577" s="38">
        <v>14</v>
      </c>
      <c r="E577" s="39" t="str">
        <f>CONCATENATE("PS-",TEXT(A577,"00"),"-",O577)</f>
        <v>PS-02-RGZ1</v>
      </c>
      <c r="F577" s="48" t="str">
        <f>CONCATENATE("Poste de Sectionnement n°",TEXT(A577,"00")," ",O577)</f>
        <v>Poste de Sectionnement n°02 RGZ1</v>
      </c>
      <c r="G577" s="12"/>
      <c r="H577" s="13"/>
      <c r="I577" s="41" t="s">
        <v>20</v>
      </c>
      <c r="J577" s="41">
        <v>1</v>
      </c>
      <c r="K577" s="41" t="s">
        <v>3557</v>
      </c>
      <c r="L577" s="41">
        <v>16</v>
      </c>
      <c r="M577" s="41"/>
      <c r="N577" s="41"/>
      <c r="O577" s="41" t="s">
        <v>999</v>
      </c>
      <c r="P577" s="41" t="s">
        <v>1874</v>
      </c>
      <c r="Q577" s="43">
        <f t="shared" si="75"/>
        <v>790</v>
      </c>
      <c r="R577" s="43">
        <f t="shared" si="76"/>
        <v>37.4</v>
      </c>
      <c r="S577" s="41" t="s">
        <v>790</v>
      </c>
      <c r="T577" s="48" t="str">
        <f t="shared" si="77"/>
        <v>(2,'PS-02-RGZ1','Poste de Sectionnement n°02 RGZ1','Saturday-01-jj','Saturday-01-jj',NULL,1,),</v>
      </c>
    </row>
    <row r="578" spans="1:20" ht="20.100000000000001" customHeight="1" x14ac:dyDescent="0.25">
      <c r="A578" s="38">
        <v>3</v>
      </c>
      <c r="B578" s="38">
        <v>583</v>
      </c>
      <c r="C578" s="38" t="s">
        <v>631</v>
      </c>
      <c r="D578" s="38">
        <v>14</v>
      </c>
      <c r="E578" s="39" t="str">
        <f>CONCATENATE("PS-",TEXT(A578,"00"),"-",O578)</f>
        <v>PS-03-RGZ1</v>
      </c>
      <c r="F578" s="48" t="str">
        <f>CONCATENATE("Poste de Sectionnement n°",TEXT(A578,"00")," ",O578)</f>
        <v>Poste de Sectionnement n°03 RGZ1</v>
      </c>
      <c r="G578" s="12"/>
      <c r="H578" s="13"/>
      <c r="I578" s="41" t="s">
        <v>20</v>
      </c>
      <c r="J578" s="41">
        <v>1</v>
      </c>
      <c r="K578" s="41" t="s">
        <v>3557</v>
      </c>
      <c r="L578" s="41">
        <v>16</v>
      </c>
      <c r="M578" s="41"/>
      <c r="N578" s="41"/>
      <c r="O578" s="41" t="s">
        <v>999</v>
      </c>
      <c r="P578" s="41" t="s">
        <v>1875</v>
      </c>
      <c r="Q578" s="43">
        <f t="shared" si="75"/>
        <v>810</v>
      </c>
      <c r="R578" s="43">
        <f t="shared" si="76"/>
        <v>55.8</v>
      </c>
      <c r="S578" s="41" t="s">
        <v>790</v>
      </c>
      <c r="T578" s="48" t="str">
        <f t="shared" si="77"/>
        <v>(3,'PS-03-RGZ1','Poste de Sectionnement n°03 RGZ1','Saturday-01-jj','Saturday-01-jj',NULL,1,),</v>
      </c>
    </row>
    <row r="579" spans="1:20" ht="20.100000000000001" customHeight="1" x14ac:dyDescent="0.25">
      <c r="A579" s="38">
        <v>1</v>
      </c>
      <c r="B579" s="38">
        <v>584</v>
      </c>
      <c r="C579" s="38" t="s">
        <v>631</v>
      </c>
      <c r="D579" s="38">
        <v>14</v>
      </c>
      <c r="E579" s="39" t="str">
        <f>CONCATENATE("PPUR-",TEXT(A579,"00"),"-",O579)</f>
        <v>PPUR-01-RGZ1</v>
      </c>
      <c r="F579" s="48" t="str">
        <f>CONCATENATE("Poste de Purge n°",TEXT(A579,"00")," ",O579)</f>
        <v>Poste de Purge n°01 RGZ1</v>
      </c>
      <c r="G579" s="19"/>
      <c r="H579" s="19"/>
      <c r="I579" s="41" t="s">
        <v>20</v>
      </c>
      <c r="J579" s="41">
        <v>1</v>
      </c>
      <c r="K579" s="41" t="s">
        <v>3558</v>
      </c>
      <c r="L579" s="41">
        <v>17</v>
      </c>
      <c r="M579" s="41"/>
      <c r="N579" s="41"/>
      <c r="O579" s="41" t="s">
        <v>999</v>
      </c>
      <c r="P579" s="41" t="s">
        <v>2859</v>
      </c>
      <c r="Q579" s="49">
        <f t="shared" si="75"/>
        <v>840</v>
      </c>
      <c r="R579" s="43">
        <f t="shared" si="76"/>
        <v>74.349999999999994</v>
      </c>
      <c r="S579" s="41" t="s">
        <v>2916</v>
      </c>
      <c r="T579" s="48" t="str">
        <f t="shared" si="77"/>
        <v>(1,'PPUR-01-RGZ1','Poste de Purge n°01 RGZ1','Saturday-01-jj','Saturday-01-jj',NULL,1,),</v>
      </c>
    </row>
    <row r="580" spans="1:20" ht="20.100000000000001" customHeight="1" x14ac:dyDescent="0.25">
      <c r="A580" s="38">
        <v>4</v>
      </c>
      <c r="B580" s="38">
        <v>585</v>
      </c>
      <c r="C580" s="38" t="s">
        <v>631</v>
      </c>
      <c r="D580" s="38">
        <v>14</v>
      </c>
      <c r="E580" s="39" t="str">
        <f>CONCATENATE("PS-",TEXT(A580,"00"),"-",O580)</f>
        <v>PS-04-RGZ1</v>
      </c>
      <c r="F580" s="48" t="str">
        <f>CONCATENATE("Poste de Sectionnement n°",TEXT(A580,"00")," ",O580)</f>
        <v>Poste de Sectionnement n°04 RGZ1</v>
      </c>
      <c r="G580" s="12"/>
      <c r="H580" s="13"/>
      <c r="I580" s="41" t="s">
        <v>20</v>
      </c>
      <c r="J580" s="41">
        <v>1</v>
      </c>
      <c r="K580" s="41" t="s">
        <v>3557</v>
      </c>
      <c r="L580" s="41">
        <v>16</v>
      </c>
      <c r="M580" s="41"/>
      <c r="N580" s="41"/>
      <c r="O580" s="41" t="s">
        <v>999</v>
      </c>
      <c r="P580" s="41" t="s">
        <v>1876</v>
      </c>
      <c r="Q580" s="43">
        <f t="shared" si="75"/>
        <v>790</v>
      </c>
      <c r="R580" s="43">
        <f t="shared" si="76"/>
        <v>91.7</v>
      </c>
      <c r="S580" s="41" t="s">
        <v>1942</v>
      </c>
      <c r="T580" s="48" t="str">
        <f t="shared" si="77"/>
        <v>(4,'PS-04-RGZ1','Poste de Sectionnement n°04 RGZ1','Saturday-01-jj','Saturday-01-jj',NULL,1,),</v>
      </c>
    </row>
    <row r="581" spans="1:20" ht="20.100000000000001" customHeight="1" x14ac:dyDescent="0.25">
      <c r="A581" s="38">
        <v>5</v>
      </c>
      <c r="B581" s="38">
        <v>586</v>
      </c>
      <c r="C581" s="38" t="s">
        <v>631</v>
      </c>
      <c r="D581" s="38">
        <v>14</v>
      </c>
      <c r="E581" s="39" t="str">
        <f>CONCATENATE("PS-",TEXT(A581,"00"),"-",O581)</f>
        <v>PS-05-RGZ1</v>
      </c>
      <c r="F581" s="48" t="str">
        <f>CONCATENATE("Poste de Sectionnement n°",TEXT(A581,"00")," ",O581)</f>
        <v>Poste de Sectionnement n°05 RGZ1</v>
      </c>
      <c r="G581" s="12"/>
      <c r="H581" s="13"/>
      <c r="I581" s="41" t="s">
        <v>20</v>
      </c>
      <c r="J581" s="41">
        <v>1</v>
      </c>
      <c r="K581" s="41" t="s">
        <v>3557</v>
      </c>
      <c r="L581" s="41">
        <v>16</v>
      </c>
      <c r="M581" s="41"/>
      <c r="N581" s="41"/>
      <c r="O581" s="41" t="s">
        <v>999</v>
      </c>
      <c r="P581" s="41" t="s">
        <v>1877</v>
      </c>
      <c r="Q581" s="43">
        <f t="shared" si="75"/>
        <v>801</v>
      </c>
      <c r="R581" s="43">
        <f t="shared" si="76"/>
        <v>108.4</v>
      </c>
      <c r="S581" s="41" t="s">
        <v>1943</v>
      </c>
      <c r="T581" s="48" t="str">
        <f t="shared" si="77"/>
        <v>(5,'PS-05-RGZ1','Poste de Sectionnement n°05 RGZ1','Saturday-01-jj','Saturday-01-jj',NULL,1,),</v>
      </c>
    </row>
    <row r="582" spans="1:20" ht="20.100000000000001" customHeight="1" x14ac:dyDescent="0.25">
      <c r="A582" s="38">
        <v>6</v>
      </c>
      <c r="B582" s="38">
        <v>587</v>
      </c>
      <c r="C582" s="38" t="s">
        <v>631</v>
      </c>
      <c r="D582" s="38">
        <v>14</v>
      </c>
      <c r="E582" s="39" t="str">
        <f>CONCATENATE("PS-",TEXT(A582,"00"),"-",O582)</f>
        <v>PS-06-RGZ1</v>
      </c>
      <c r="F582" s="48" t="str">
        <f>CONCATENATE("Poste de Sectionnement n°",TEXT(A582,"00")," ",O582)</f>
        <v>Poste de Sectionnement n°06 RGZ1</v>
      </c>
      <c r="G582" s="12"/>
      <c r="H582" s="13"/>
      <c r="I582" s="41" t="s">
        <v>20</v>
      </c>
      <c r="J582" s="41">
        <v>1</v>
      </c>
      <c r="K582" s="41" t="s">
        <v>3557</v>
      </c>
      <c r="L582" s="41">
        <v>16</v>
      </c>
      <c r="M582" s="41"/>
      <c r="N582" s="41"/>
      <c r="O582" s="41" t="s">
        <v>999</v>
      </c>
      <c r="P582" s="41" t="s">
        <v>1878</v>
      </c>
      <c r="Q582" s="43">
        <f t="shared" si="75"/>
        <v>921</v>
      </c>
      <c r="R582" s="43">
        <f t="shared" si="76"/>
        <v>127.1</v>
      </c>
      <c r="S582" s="41" t="s">
        <v>1937</v>
      </c>
      <c r="T582" s="48" t="str">
        <f t="shared" si="77"/>
        <v>(6,'PS-06-RGZ1','Poste de Sectionnement n°06 RGZ1','Saturday-01-jj','Saturday-01-jj',NULL,1,),</v>
      </c>
    </row>
    <row r="583" spans="1:20" ht="20.100000000000001" customHeight="1" x14ac:dyDescent="0.25">
      <c r="A583" s="38">
        <v>2</v>
      </c>
      <c r="B583" s="38">
        <v>588</v>
      </c>
      <c r="C583" s="38" t="s">
        <v>631</v>
      </c>
      <c r="D583" s="38">
        <v>14</v>
      </c>
      <c r="E583" s="39" t="str">
        <f>CONCATENATE("PPUR-",TEXT(A583,"00"),"-",O583)</f>
        <v>PPUR-02-RGZ1</v>
      </c>
      <c r="F583" s="48" t="str">
        <f>CONCATENATE("Poste de Purge n°",TEXT(A583,"00")," ",O583)</f>
        <v>Poste de Purge n°02 RGZ1</v>
      </c>
      <c r="G583" s="19"/>
      <c r="H583" s="19"/>
      <c r="I583" s="41" t="s">
        <v>20</v>
      </c>
      <c r="J583" s="41">
        <v>1</v>
      </c>
      <c r="K583" s="41" t="s">
        <v>3558</v>
      </c>
      <c r="L583" s="41">
        <v>17</v>
      </c>
      <c r="M583" s="41"/>
      <c r="N583" s="41"/>
      <c r="O583" s="41" t="s">
        <v>999</v>
      </c>
      <c r="P583" s="41" t="s">
        <v>2860</v>
      </c>
      <c r="Q583" s="49">
        <f t="shared" si="75"/>
        <v>1045</v>
      </c>
      <c r="R583" s="43">
        <f t="shared" si="76"/>
        <v>144.5</v>
      </c>
      <c r="S583" s="41" t="s">
        <v>2917</v>
      </c>
      <c r="T583" s="48" t="str">
        <f t="shared" si="77"/>
        <v>(2,'PPUR-02-RGZ1','Poste de Purge n°02 RGZ1','Saturday-01-jj','Saturday-01-jj',NULL,1,),</v>
      </c>
    </row>
    <row r="584" spans="1:20" ht="20.100000000000001" customHeight="1" x14ac:dyDescent="0.25">
      <c r="A584" s="38">
        <v>7</v>
      </c>
      <c r="B584" s="38">
        <v>589</v>
      </c>
      <c r="C584" s="38" t="s">
        <v>631</v>
      </c>
      <c r="D584" s="38">
        <v>14</v>
      </c>
      <c r="E584" s="39" t="str">
        <f>CONCATENATE("PS-",TEXT(A584,"00"),"-",O584)</f>
        <v>PS-07-RGZ1</v>
      </c>
      <c r="F584" s="48" t="str">
        <f>CONCATENATE("Poste de Sectionnement n°",TEXT(A584,"00")," ",O584)</f>
        <v>Poste de Sectionnement n°07 RGZ1</v>
      </c>
      <c r="G584" s="12"/>
      <c r="H584" s="13"/>
      <c r="I584" s="41" t="s">
        <v>20</v>
      </c>
      <c r="J584" s="41">
        <v>1</v>
      </c>
      <c r="K584" s="41" t="s">
        <v>3557</v>
      </c>
      <c r="L584" s="41">
        <v>16</v>
      </c>
      <c r="M584" s="41"/>
      <c r="N584" s="41"/>
      <c r="O584" s="41" t="s">
        <v>999</v>
      </c>
      <c r="P584" s="41" t="s">
        <v>1879</v>
      </c>
      <c r="Q584" s="43">
        <f t="shared" ref="Q584:Q647" si="78">VALUE(RIGHT(P584,LEN(P584)-SEARCH("/",P584)))</f>
        <v>1172</v>
      </c>
      <c r="R584" s="43">
        <f t="shared" ref="R584:R647" si="79">VALUE(SUBSTITUTE(LEFT(P584,SEARCH("/",P584)-1),"+",","))</f>
        <v>156.5</v>
      </c>
      <c r="S584" s="41" t="s">
        <v>1937</v>
      </c>
      <c r="T584" s="48" t="str">
        <f t="shared" si="77"/>
        <v>(7,'PS-07-RGZ1','Poste de Sectionnement n°07 RGZ1','Saturday-01-jj','Saturday-01-jj',NULL,1,),</v>
      </c>
    </row>
    <row r="585" spans="1:20" ht="20.100000000000001" customHeight="1" x14ac:dyDescent="0.25">
      <c r="A585" s="38">
        <v>8</v>
      </c>
      <c r="B585" s="38">
        <v>590</v>
      </c>
      <c r="C585" s="38" t="s">
        <v>631</v>
      </c>
      <c r="D585" s="38">
        <v>14</v>
      </c>
      <c r="E585" s="39" t="str">
        <f>CONCATENATE("PS-",TEXT(A585,"00"),"-",O585)</f>
        <v>PS-08-RGZ1</v>
      </c>
      <c r="F585" s="48" t="str">
        <f>CONCATENATE("Poste de Sectionnement n°",TEXT(A585,"00")," ",O585)</f>
        <v>Poste de Sectionnement n°08 RGZ1</v>
      </c>
      <c r="G585" s="12"/>
      <c r="H585" s="13"/>
      <c r="I585" s="41" t="s">
        <v>20</v>
      </c>
      <c r="J585" s="41">
        <v>1</v>
      </c>
      <c r="K585" s="41" t="s">
        <v>3557</v>
      </c>
      <c r="L585" s="41">
        <v>16</v>
      </c>
      <c r="M585" s="41"/>
      <c r="N585" s="41"/>
      <c r="O585" s="41" t="s">
        <v>999</v>
      </c>
      <c r="P585" s="41" t="s">
        <v>1880</v>
      </c>
      <c r="Q585" s="43">
        <f t="shared" si="78"/>
        <v>1010</v>
      </c>
      <c r="R585" s="43">
        <f t="shared" si="79"/>
        <v>186.3</v>
      </c>
      <c r="S585" s="41" t="s">
        <v>1937</v>
      </c>
      <c r="T585" s="48" t="str">
        <f t="shared" si="77"/>
        <v>(8,'PS-08-RGZ1','Poste de Sectionnement n°08 RGZ1','Saturday-01-jj','Saturday-01-jj',NULL,1,),</v>
      </c>
    </row>
    <row r="586" spans="1:20" ht="20.100000000000001" customHeight="1" x14ac:dyDescent="0.25">
      <c r="A586" s="38">
        <v>9</v>
      </c>
      <c r="B586" s="38">
        <v>591</v>
      </c>
      <c r="C586" s="38" t="s">
        <v>631</v>
      </c>
      <c r="D586" s="38">
        <v>14</v>
      </c>
      <c r="E586" s="39" t="str">
        <f>CONCATENATE("PS-",TEXT(A586,"00"),"-",O586)</f>
        <v>PS-09-RGZ1</v>
      </c>
      <c r="F586" s="48" t="str">
        <f>CONCATENATE("Poste de Sectionnement n°",TEXT(A586,"00")," ",O586)</f>
        <v>Poste de Sectionnement n°09 RGZ1</v>
      </c>
      <c r="G586" s="12"/>
      <c r="H586" s="13"/>
      <c r="I586" s="41" t="s">
        <v>20</v>
      </c>
      <c r="J586" s="41">
        <v>1</v>
      </c>
      <c r="K586" s="41" t="s">
        <v>3557</v>
      </c>
      <c r="L586" s="41">
        <v>16</v>
      </c>
      <c r="M586" s="41"/>
      <c r="N586" s="41"/>
      <c r="O586" s="41" t="s">
        <v>999</v>
      </c>
      <c r="P586" s="41" t="s">
        <v>1881</v>
      </c>
      <c r="Q586" s="43">
        <f t="shared" si="78"/>
        <v>990</v>
      </c>
      <c r="R586" s="43">
        <f t="shared" si="79"/>
        <v>204.6</v>
      </c>
      <c r="S586" s="41" t="s">
        <v>1944</v>
      </c>
      <c r="T586" s="48" t="str">
        <f t="shared" si="77"/>
        <v>(9,'PS-09-RGZ1','Poste de Sectionnement n°09 RGZ1','Saturday-01-jj','Saturday-01-jj',NULL,1,),</v>
      </c>
    </row>
    <row r="587" spans="1:20" ht="20.100000000000001" customHeight="1" x14ac:dyDescent="0.25">
      <c r="A587" s="38">
        <v>3</v>
      </c>
      <c r="B587" s="38">
        <v>592</v>
      </c>
      <c r="C587" s="38" t="s">
        <v>631</v>
      </c>
      <c r="D587" s="38">
        <v>14</v>
      </c>
      <c r="E587" s="39" t="str">
        <f>CONCATENATE("PPUR-",TEXT(A587,"00"),"-",O587)</f>
        <v>PPUR-03-RGZ1</v>
      </c>
      <c r="F587" s="48" t="str">
        <f>CONCATENATE("Poste de Purge n°",TEXT(A587,"00")," ",O587)</f>
        <v>Poste de Purge n°03 RGZ1</v>
      </c>
      <c r="G587" s="19"/>
      <c r="H587" s="19"/>
      <c r="I587" s="41" t="s">
        <v>20</v>
      </c>
      <c r="J587" s="41">
        <v>1</v>
      </c>
      <c r="K587" s="41" t="s">
        <v>3558</v>
      </c>
      <c r="L587" s="41">
        <v>17</v>
      </c>
      <c r="M587" s="41"/>
      <c r="N587" s="41"/>
      <c r="O587" s="41" t="s">
        <v>999</v>
      </c>
      <c r="P587" s="41" t="s">
        <v>2861</v>
      </c>
      <c r="Q587" s="49">
        <f t="shared" si="78"/>
        <v>970</v>
      </c>
      <c r="R587" s="43">
        <f t="shared" si="79"/>
        <v>226.4</v>
      </c>
      <c r="S587" s="41" t="s">
        <v>2825</v>
      </c>
      <c r="T587" s="48" t="str">
        <f t="shared" si="77"/>
        <v>(3,'PPUR-03-RGZ1','Poste de Purge n°03 RGZ1','Saturday-01-jj','Saturday-01-jj',NULL,1,),</v>
      </c>
    </row>
    <row r="588" spans="1:20" ht="20.100000000000001" customHeight="1" x14ac:dyDescent="0.25">
      <c r="A588" s="38">
        <v>1</v>
      </c>
      <c r="B588" s="38">
        <v>593</v>
      </c>
      <c r="C588" s="38" t="s">
        <v>631</v>
      </c>
      <c r="D588" s="38">
        <v>14</v>
      </c>
      <c r="E588" s="39" t="str">
        <f t="shared" ref="E588:E607" si="80">CONCATENATE("PS-",TEXT(A588,"00"),"-",O588)</f>
        <v>PS-01-RGZ2</v>
      </c>
      <c r="F588" s="48" t="str">
        <f t="shared" ref="F588:F607" si="81">CONCATENATE("Poste de Sectionnement n°",TEXT(A588,"00")," ",O588)</f>
        <v>Poste de Sectionnement n°01 RGZ2</v>
      </c>
      <c r="G588" s="19"/>
      <c r="H588" s="41"/>
      <c r="I588" s="41" t="s">
        <v>20</v>
      </c>
      <c r="J588" s="41">
        <v>1</v>
      </c>
      <c r="K588" s="41" t="s">
        <v>3557</v>
      </c>
      <c r="L588" s="41">
        <v>16</v>
      </c>
      <c r="M588" s="41"/>
      <c r="N588" s="41"/>
      <c r="O588" s="41" t="s">
        <v>377</v>
      </c>
      <c r="P588" s="41" t="s">
        <v>1905</v>
      </c>
      <c r="Q588" s="43">
        <f t="shared" si="78"/>
        <v>1211</v>
      </c>
      <c r="R588" s="43">
        <f t="shared" si="79"/>
        <v>13.6</v>
      </c>
      <c r="S588" s="41" t="s">
        <v>1924</v>
      </c>
      <c r="T588" s="48" t="str">
        <f t="shared" si="77"/>
        <v>(1,'PS-01-RGZ2','Poste de Sectionnement n°01 RGZ2','Saturday-01-jj','Saturday-01-jj',NULL,1,),</v>
      </c>
    </row>
    <row r="589" spans="1:20" ht="20.100000000000001" customHeight="1" x14ac:dyDescent="0.25">
      <c r="A589" s="38">
        <v>2</v>
      </c>
      <c r="B589" s="38">
        <v>594</v>
      </c>
      <c r="C589" s="38" t="s">
        <v>631</v>
      </c>
      <c r="D589" s="38">
        <v>14</v>
      </c>
      <c r="E589" s="39" t="str">
        <f t="shared" si="80"/>
        <v>PS-02-RGZ2</v>
      </c>
      <c r="F589" s="48" t="str">
        <f t="shared" si="81"/>
        <v>Poste de Sectionnement n°02 RGZ2</v>
      </c>
      <c r="G589" s="19"/>
      <c r="H589" s="41"/>
      <c r="I589" s="41" t="s">
        <v>20</v>
      </c>
      <c r="J589" s="41">
        <v>1</v>
      </c>
      <c r="K589" s="41" t="s">
        <v>3557</v>
      </c>
      <c r="L589" s="41">
        <v>16</v>
      </c>
      <c r="M589" s="41"/>
      <c r="N589" s="41"/>
      <c r="O589" s="41" t="s">
        <v>377</v>
      </c>
      <c r="P589" s="41" t="s">
        <v>1906</v>
      </c>
      <c r="Q589" s="43">
        <f t="shared" si="78"/>
        <v>1059</v>
      </c>
      <c r="R589" s="43">
        <f t="shared" si="79"/>
        <v>24.9</v>
      </c>
      <c r="S589" s="41" t="s">
        <v>753</v>
      </c>
      <c r="T589" s="48" t="str">
        <f t="shared" si="77"/>
        <v>(2,'PS-02-RGZ2','Poste de Sectionnement n°02 RGZ2','Saturday-01-jj','Saturday-01-jj',NULL,1,),</v>
      </c>
    </row>
    <row r="590" spans="1:20" ht="20.100000000000001" customHeight="1" x14ac:dyDescent="0.25">
      <c r="A590" s="38">
        <v>3</v>
      </c>
      <c r="B590" s="38">
        <v>595</v>
      </c>
      <c r="C590" s="38" t="s">
        <v>631</v>
      </c>
      <c r="D590" s="38">
        <v>14</v>
      </c>
      <c r="E590" s="39" t="str">
        <f t="shared" si="80"/>
        <v>PS-03-RGZ2</v>
      </c>
      <c r="F590" s="48" t="str">
        <f t="shared" si="81"/>
        <v>Poste de Sectionnement n°03 RGZ2</v>
      </c>
      <c r="G590" s="19"/>
      <c r="H590" s="41"/>
      <c r="I590" s="41" t="s">
        <v>20</v>
      </c>
      <c r="J590" s="41">
        <v>1</v>
      </c>
      <c r="K590" s="41" t="s">
        <v>3557</v>
      </c>
      <c r="L590" s="41">
        <v>16</v>
      </c>
      <c r="M590" s="41"/>
      <c r="N590" s="41"/>
      <c r="O590" s="41" t="s">
        <v>377</v>
      </c>
      <c r="P590" s="41" t="s">
        <v>1907</v>
      </c>
      <c r="Q590" s="43">
        <f t="shared" si="78"/>
        <v>953</v>
      </c>
      <c r="R590" s="43">
        <f t="shared" si="79"/>
        <v>35</v>
      </c>
      <c r="S590" s="41" t="s">
        <v>1925</v>
      </c>
      <c r="T590" s="48" t="str">
        <f t="shared" si="77"/>
        <v>(3,'PS-03-RGZ2','Poste de Sectionnement n°03 RGZ2','Saturday-01-jj','Saturday-01-jj',NULL,1,),</v>
      </c>
    </row>
    <row r="591" spans="1:20" ht="20.100000000000001" customHeight="1" x14ac:dyDescent="0.25">
      <c r="A591" s="38">
        <v>4</v>
      </c>
      <c r="B591" s="38">
        <v>596</v>
      </c>
      <c r="C591" s="38" t="s">
        <v>631</v>
      </c>
      <c r="D591" s="38">
        <v>14</v>
      </c>
      <c r="E591" s="39" t="str">
        <f t="shared" si="80"/>
        <v>PS-04-RGZ2</v>
      </c>
      <c r="F591" s="48" t="str">
        <f t="shared" si="81"/>
        <v>Poste de Sectionnement n°04 RGZ2</v>
      </c>
      <c r="G591" s="19"/>
      <c r="H591" s="41"/>
      <c r="I591" s="41" t="s">
        <v>20</v>
      </c>
      <c r="J591" s="41">
        <v>1</v>
      </c>
      <c r="K591" s="41" t="s">
        <v>3557</v>
      </c>
      <c r="L591" s="41">
        <v>16</v>
      </c>
      <c r="M591" s="41"/>
      <c r="N591" s="41"/>
      <c r="O591" s="41" t="s">
        <v>377</v>
      </c>
      <c r="P591" s="41" t="s">
        <v>1908</v>
      </c>
      <c r="Q591" s="43">
        <f t="shared" si="78"/>
        <v>910</v>
      </c>
      <c r="R591" s="43">
        <f t="shared" si="79"/>
        <v>43</v>
      </c>
      <c r="S591" s="41" t="s">
        <v>1926</v>
      </c>
      <c r="T591" s="48" t="str">
        <f t="shared" si="77"/>
        <v>(4,'PS-04-RGZ2','Poste de Sectionnement n°04 RGZ2','Saturday-01-jj','Saturday-01-jj',NULL,1,),</v>
      </c>
    </row>
    <row r="592" spans="1:20" ht="20.100000000000001" customHeight="1" x14ac:dyDescent="0.25">
      <c r="A592" s="38">
        <v>5</v>
      </c>
      <c r="B592" s="38">
        <v>597</v>
      </c>
      <c r="C592" s="38" t="s">
        <v>631</v>
      </c>
      <c r="D592" s="38">
        <v>14</v>
      </c>
      <c r="E592" s="39" t="str">
        <f t="shared" si="80"/>
        <v>PS-05-RGZ2</v>
      </c>
      <c r="F592" s="48" t="str">
        <f t="shared" si="81"/>
        <v>Poste de Sectionnement n°05 RGZ2</v>
      </c>
      <c r="G592" s="19"/>
      <c r="H592" s="41"/>
      <c r="I592" s="41" t="s">
        <v>20</v>
      </c>
      <c r="J592" s="41">
        <v>1</v>
      </c>
      <c r="K592" s="41" t="s">
        <v>3557</v>
      </c>
      <c r="L592" s="41">
        <v>16</v>
      </c>
      <c r="M592" s="41"/>
      <c r="N592" s="41"/>
      <c r="O592" s="41" t="s">
        <v>377</v>
      </c>
      <c r="P592" s="41" t="s">
        <v>1909</v>
      </c>
      <c r="Q592" s="43">
        <f t="shared" si="78"/>
        <v>722</v>
      </c>
      <c r="R592" s="43">
        <f t="shared" si="79"/>
        <v>55</v>
      </c>
      <c r="S592" s="41" t="s">
        <v>1926</v>
      </c>
      <c r="T592" s="48" t="str">
        <f t="shared" si="77"/>
        <v>(5,'PS-05-RGZ2','Poste de Sectionnement n°05 RGZ2','Saturday-01-jj','Saturday-01-jj',NULL,1,),</v>
      </c>
    </row>
    <row r="593" spans="1:20" ht="20.100000000000001" customHeight="1" x14ac:dyDescent="0.25">
      <c r="A593" s="38">
        <v>6</v>
      </c>
      <c r="B593" s="38">
        <v>598</v>
      </c>
      <c r="C593" s="38" t="s">
        <v>631</v>
      </c>
      <c r="D593" s="38">
        <v>14</v>
      </c>
      <c r="E593" s="39" t="str">
        <f t="shared" si="80"/>
        <v>PS-06-RGZ2</v>
      </c>
      <c r="F593" s="48" t="str">
        <f t="shared" si="81"/>
        <v>Poste de Sectionnement n°06 RGZ2</v>
      </c>
      <c r="G593" s="19"/>
      <c r="H593" s="41"/>
      <c r="I593" s="41" t="s">
        <v>20</v>
      </c>
      <c r="J593" s="41">
        <v>1</v>
      </c>
      <c r="K593" s="41" t="s">
        <v>3557</v>
      </c>
      <c r="L593" s="41">
        <v>16</v>
      </c>
      <c r="M593" s="41"/>
      <c r="N593" s="41"/>
      <c r="O593" s="41" t="s">
        <v>377</v>
      </c>
      <c r="P593" s="41" t="s">
        <v>1910</v>
      </c>
      <c r="Q593" s="43">
        <f t="shared" si="78"/>
        <v>589</v>
      </c>
      <c r="R593" s="43">
        <f t="shared" si="79"/>
        <v>65</v>
      </c>
      <c r="S593" s="41" t="s">
        <v>1927</v>
      </c>
      <c r="T593" s="48" t="str">
        <f t="shared" si="77"/>
        <v>(6,'PS-06-RGZ2','Poste de Sectionnement n°06 RGZ2','Saturday-01-jj','Saturday-01-jj',NULL,1,),</v>
      </c>
    </row>
    <row r="594" spans="1:20" ht="20.100000000000001" customHeight="1" x14ac:dyDescent="0.25">
      <c r="A594" s="38">
        <v>7</v>
      </c>
      <c r="B594" s="38">
        <v>599</v>
      </c>
      <c r="C594" s="38" t="s">
        <v>631</v>
      </c>
      <c r="D594" s="38">
        <v>14</v>
      </c>
      <c r="E594" s="39" t="str">
        <f t="shared" si="80"/>
        <v>PS-07-RGZ2</v>
      </c>
      <c r="F594" s="48" t="str">
        <f t="shared" si="81"/>
        <v>Poste de Sectionnement n°07 RGZ2</v>
      </c>
      <c r="G594" s="19"/>
      <c r="H594" s="41"/>
      <c r="I594" s="41" t="s">
        <v>20</v>
      </c>
      <c r="J594" s="41">
        <v>1</v>
      </c>
      <c r="K594" s="41" t="s">
        <v>3557</v>
      </c>
      <c r="L594" s="41">
        <v>16</v>
      </c>
      <c r="M594" s="41"/>
      <c r="N594" s="41"/>
      <c r="O594" s="41" t="s">
        <v>377</v>
      </c>
      <c r="P594" s="41" t="s">
        <v>1911</v>
      </c>
      <c r="Q594" s="43">
        <f t="shared" si="78"/>
        <v>679</v>
      </c>
      <c r="R594" s="43">
        <f t="shared" si="79"/>
        <v>74</v>
      </c>
      <c r="S594" s="41" t="s">
        <v>755</v>
      </c>
      <c r="T594" s="48" t="str">
        <f t="shared" si="77"/>
        <v>(7,'PS-07-RGZ2','Poste de Sectionnement n°07 RGZ2','Saturday-01-jj','Saturday-01-jj',NULL,1,),</v>
      </c>
    </row>
    <row r="595" spans="1:20" ht="20.100000000000001" customHeight="1" x14ac:dyDescent="0.25">
      <c r="A595" s="38">
        <v>8</v>
      </c>
      <c r="B595" s="38">
        <v>600</v>
      </c>
      <c r="C595" s="38" t="s">
        <v>631</v>
      </c>
      <c r="D595" s="38">
        <v>14</v>
      </c>
      <c r="E595" s="39" t="str">
        <f t="shared" si="80"/>
        <v>PS-08-RGZ2</v>
      </c>
      <c r="F595" s="48" t="str">
        <f t="shared" si="81"/>
        <v>Poste de Sectionnement n°08 RGZ2</v>
      </c>
      <c r="G595" s="19"/>
      <c r="H595" s="41"/>
      <c r="I595" s="41" t="s">
        <v>20</v>
      </c>
      <c r="J595" s="41">
        <v>1</v>
      </c>
      <c r="K595" s="41" t="s">
        <v>3557</v>
      </c>
      <c r="L595" s="41">
        <v>16</v>
      </c>
      <c r="M595" s="41"/>
      <c r="N595" s="41"/>
      <c r="O595" s="41" t="s">
        <v>377</v>
      </c>
      <c r="P595" s="41" t="s">
        <v>1912</v>
      </c>
      <c r="Q595" s="43">
        <f t="shared" si="78"/>
        <v>556</v>
      </c>
      <c r="R595" s="43">
        <f t="shared" si="79"/>
        <v>86</v>
      </c>
      <c r="S595" s="41" t="s">
        <v>1928</v>
      </c>
      <c r="T595" s="48" t="str">
        <f t="shared" si="77"/>
        <v>(8,'PS-08-RGZ2','Poste de Sectionnement n°08 RGZ2','Saturday-01-jj','Saturday-01-jj',NULL,1,),</v>
      </c>
    </row>
    <row r="596" spans="1:20" ht="20.100000000000001" customHeight="1" x14ac:dyDescent="0.25">
      <c r="A596" s="38">
        <v>9</v>
      </c>
      <c r="B596" s="38">
        <v>601</v>
      </c>
      <c r="C596" s="38" t="s">
        <v>631</v>
      </c>
      <c r="D596" s="38">
        <v>14</v>
      </c>
      <c r="E596" s="39" t="str">
        <f t="shared" si="80"/>
        <v>PS-09-RGZ2</v>
      </c>
      <c r="F596" s="48" t="str">
        <f t="shared" si="81"/>
        <v>Poste de Sectionnement n°09 RGZ2</v>
      </c>
      <c r="G596" s="19"/>
      <c r="H596" s="41"/>
      <c r="I596" s="41" t="s">
        <v>20</v>
      </c>
      <c r="J596" s="41">
        <v>1</v>
      </c>
      <c r="K596" s="41" t="s">
        <v>3557</v>
      </c>
      <c r="L596" s="41">
        <v>16</v>
      </c>
      <c r="M596" s="41"/>
      <c r="N596" s="41"/>
      <c r="O596" s="41" t="s">
        <v>377</v>
      </c>
      <c r="P596" s="41" t="s">
        <v>1913</v>
      </c>
      <c r="Q596" s="43">
        <f t="shared" si="78"/>
        <v>489</v>
      </c>
      <c r="R596" s="43">
        <f t="shared" si="79"/>
        <v>96</v>
      </c>
      <c r="S596" s="41" t="s">
        <v>756</v>
      </c>
      <c r="T596" s="48" t="str">
        <f t="shared" si="77"/>
        <v>(9,'PS-09-RGZ2','Poste de Sectionnement n°09 RGZ2','Saturday-01-jj','Saturday-01-jj',NULL,1,),</v>
      </c>
    </row>
    <row r="597" spans="1:20" ht="20.100000000000001" customHeight="1" x14ac:dyDescent="0.25">
      <c r="A597" s="38">
        <v>10</v>
      </c>
      <c r="B597" s="38">
        <v>602</v>
      </c>
      <c r="C597" s="38" t="s">
        <v>631</v>
      </c>
      <c r="D597" s="38">
        <v>14</v>
      </c>
      <c r="E597" s="39" t="str">
        <f t="shared" si="80"/>
        <v>PS-10-RGZ2</v>
      </c>
      <c r="F597" s="48" t="str">
        <f t="shared" si="81"/>
        <v>Poste de Sectionnement n°10 RGZ2</v>
      </c>
      <c r="G597" s="19"/>
      <c r="H597" s="41"/>
      <c r="I597" s="41" t="s">
        <v>20</v>
      </c>
      <c r="J597" s="41">
        <v>1</v>
      </c>
      <c r="K597" s="41" t="s">
        <v>3557</v>
      </c>
      <c r="L597" s="41">
        <v>16</v>
      </c>
      <c r="M597" s="41"/>
      <c r="N597" s="41"/>
      <c r="O597" s="41" t="s">
        <v>377</v>
      </c>
      <c r="P597" s="41" t="s">
        <v>1914</v>
      </c>
      <c r="Q597" s="43">
        <f t="shared" si="78"/>
        <v>198</v>
      </c>
      <c r="R597" s="43">
        <f t="shared" si="79"/>
        <v>115</v>
      </c>
      <c r="S597" s="41" t="s">
        <v>1929</v>
      </c>
      <c r="T597" s="48" t="str">
        <f t="shared" si="77"/>
        <v>(10,'PS-10-RGZ2','Poste de Sectionnement n°10 RGZ2','Saturday-01-jj','Saturday-01-jj',NULL,1,),</v>
      </c>
    </row>
    <row r="598" spans="1:20" ht="20.100000000000001" customHeight="1" x14ac:dyDescent="0.25">
      <c r="A598" s="38">
        <v>11</v>
      </c>
      <c r="B598" s="38">
        <v>603</v>
      </c>
      <c r="C598" s="38" t="s">
        <v>631</v>
      </c>
      <c r="D598" s="38">
        <v>14</v>
      </c>
      <c r="E598" s="39" t="str">
        <f t="shared" si="80"/>
        <v>PS-11-RGZ2</v>
      </c>
      <c r="F598" s="48" t="str">
        <f t="shared" si="81"/>
        <v>Poste de Sectionnement n°11 RGZ2</v>
      </c>
      <c r="G598" s="19"/>
      <c r="H598" s="41"/>
      <c r="I598" s="41" t="s">
        <v>20</v>
      </c>
      <c r="J598" s="41">
        <v>1</v>
      </c>
      <c r="K598" s="41" t="s">
        <v>3557</v>
      </c>
      <c r="L598" s="41">
        <v>16</v>
      </c>
      <c r="M598" s="41"/>
      <c r="N598" s="41"/>
      <c r="O598" s="41" t="s">
        <v>377</v>
      </c>
      <c r="P598" s="41" t="s">
        <v>1915</v>
      </c>
      <c r="Q598" s="43">
        <f t="shared" si="78"/>
        <v>136</v>
      </c>
      <c r="R598" s="43">
        <f t="shared" si="79"/>
        <v>126</v>
      </c>
      <c r="S598" s="41" t="s">
        <v>1930</v>
      </c>
      <c r="T598" s="48" t="str">
        <f t="shared" si="77"/>
        <v>(11,'PS-11-RGZ2','Poste de Sectionnement n°11 RGZ2','Saturday-01-jj','Saturday-01-jj',NULL,1,),</v>
      </c>
    </row>
    <row r="599" spans="1:20" ht="20.100000000000001" customHeight="1" x14ac:dyDescent="0.25">
      <c r="A599" s="38">
        <v>12</v>
      </c>
      <c r="B599" s="38">
        <v>604</v>
      </c>
      <c r="C599" s="38" t="s">
        <v>631</v>
      </c>
      <c r="D599" s="38">
        <v>14</v>
      </c>
      <c r="E599" s="39" t="str">
        <f t="shared" si="80"/>
        <v>PS-12-RGZ2</v>
      </c>
      <c r="F599" s="48" t="str">
        <f t="shared" si="81"/>
        <v>Poste de Sectionnement n°12 RGZ2</v>
      </c>
      <c r="G599" s="19"/>
      <c r="H599" s="41"/>
      <c r="I599" s="41" t="s">
        <v>20</v>
      </c>
      <c r="J599" s="41">
        <v>1</v>
      </c>
      <c r="K599" s="41" t="s">
        <v>3557</v>
      </c>
      <c r="L599" s="41">
        <v>16</v>
      </c>
      <c r="M599" s="41"/>
      <c r="N599" s="41"/>
      <c r="O599" s="41" t="s">
        <v>377</v>
      </c>
      <c r="P599" s="41" t="s">
        <v>1916</v>
      </c>
      <c r="Q599" s="43">
        <f t="shared" si="78"/>
        <v>119</v>
      </c>
      <c r="R599" s="43">
        <f t="shared" si="79"/>
        <v>135</v>
      </c>
      <c r="S599" s="41" t="s">
        <v>1786</v>
      </c>
      <c r="T599" s="48" t="str">
        <f t="shared" si="77"/>
        <v>(12,'PS-12-RGZ2','Poste de Sectionnement n°12 RGZ2','Saturday-01-jj','Saturday-01-jj',NULL,1,),</v>
      </c>
    </row>
    <row r="600" spans="1:20" ht="20.100000000000001" customHeight="1" x14ac:dyDescent="0.25">
      <c r="A600" s="38">
        <v>13</v>
      </c>
      <c r="B600" s="38">
        <v>605</v>
      </c>
      <c r="C600" s="38" t="s">
        <v>631</v>
      </c>
      <c r="D600" s="38">
        <v>14</v>
      </c>
      <c r="E600" s="39" t="str">
        <f t="shared" si="80"/>
        <v>PS-13-RGZ2</v>
      </c>
      <c r="F600" s="48" t="str">
        <f t="shared" si="81"/>
        <v>Poste de Sectionnement n°13 RGZ2</v>
      </c>
      <c r="G600" s="19"/>
      <c r="H600" s="41"/>
      <c r="I600" s="41" t="s">
        <v>20</v>
      </c>
      <c r="J600" s="41">
        <v>1</v>
      </c>
      <c r="K600" s="41" t="s">
        <v>3557</v>
      </c>
      <c r="L600" s="41">
        <v>16</v>
      </c>
      <c r="M600" s="41"/>
      <c r="N600" s="41"/>
      <c r="O600" s="41" t="s">
        <v>377</v>
      </c>
      <c r="P600" s="41" t="s">
        <v>1917</v>
      </c>
      <c r="Q600" s="43">
        <f t="shared" si="78"/>
        <v>334</v>
      </c>
      <c r="R600" s="43">
        <f t="shared" si="79"/>
        <v>145</v>
      </c>
      <c r="S600" s="41" t="s">
        <v>1931</v>
      </c>
      <c r="T600" s="48" t="str">
        <f t="shared" ref="T600:T663" si="82">CONCATENATE("(",A600,",'",E600,"','",F600,"','",TEXT(G600,"aaaa-mm-jj"),"','",TEXT(H600,"aaaa-mm-jj"),"',",I600,",",J600,",",M600,"),")</f>
        <v>(13,'PS-13-RGZ2','Poste de Sectionnement n°13 RGZ2','Saturday-01-jj','Saturday-01-jj',NULL,1,),</v>
      </c>
    </row>
    <row r="601" spans="1:20" ht="20.100000000000001" customHeight="1" x14ac:dyDescent="0.25">
      <c r="A601" s="38">
        <v>14</v>
      </c>
      <c r="B601" s="38">
        <v>606</v>
      </c>
      <c r="C601" s="38" t="s">
        <v>631</v>
      </c>
      <c r="D601" s="38">
        <v>14</v>
      </c>
      <c r="E601" s="39" t="str">
        <f t="shared" si="80"/>
        <v>PS-14-RGZ2</v>
      </c>
      <c r="F601" s="48" t="str">
        <f t="shared" si="81"/>
        <v>Poste de Sectionnement n°14 RGZ2</v>
      </c>
      <c r="G601" s="19"/>
      <c r="H601" s="41"/>
      <c r="I601" s="41" t="s">
        <v>20</v>
      </c>
      <c r="J601" s="41">
        <v>1</v>
      </c>
      <c r="K601" s="41" t="s">
        <v>3557</v>
      </c>
      <c r="L601" s="41">
        <v>16</v>
      </c>
      <c r="M601" s="41"/>
      <c r="N601" s="41"/>
      <c r="O601" s="41" t="s">
        <v>377</v>
      </c>
      <c r="P601" s="41" t="s">
        <v>1918</v>
      </c>
      <c r="Q601" s="43">
        <f t="shared" si="78"/>
        <v>114</v>
      </c>
      <c r="R601" s="43">
        <f t="shared" si="79"/>
        <v>156</v>
      </c>
      <c r="S601" s="41" t="s">
        <v>1932</v>
      </c>
      <c r="T601" s="48" t="str">
        <f t="shared" si="82"/>
        <v>(14,'PS-14-RGZ2','Poste de Sectionnement n°14 RGZ2','Saturday-01-jj','Saturday-01-jj',NULL,1,),</v>
      </c>
    </row>
    <row r="602" spans="1:20" ht="20.100000000000001" customHeight="1" x14ac:dyDescent="0.25">
      <c r="A602" s="38">
        <v>15</v>
      </c>
      <c r="B602" s="38">
        <v>607</v>
      </c>
      <c r="C602" s="38" t="s">
        <v>631</v>
      </c>
      <c r="D602" s="38">
        <v>14</v>
      </c>
      <c r="E602" s="39" t="str">
        <f t="shared" si="80"/>
        <v>PS-15-RGZ2</v>
      </c>
      <c r="F602" s="48" t="str">
        <f t="shared" si="81"/>
        <v>Poste de Sectionnement n°15 RGZ2</v>
      </c>
      <c r="G602" s="19"/>
      <c r="H602" s="41"/>
      <c r="I602" s="41" t="s">
        <v>20</v>
      </c>
      <c r="J602" s="41">
        <v>1</v>
      </c>
      <c r="K602" s="41" t="s">
        <v>3557</v>
      </c>
      <c r="L602" s="41">
        <v>16</v>
      </c>
      <c r="M602" s="41"/>
      <c r="N602" s="41"/>
      <c r="O602" s="41" t="s">
        <v>377</v>
      </c>
      <c r="P602" s="41" t="s">
        <v>1919</v>
      </c>
      <c r="Q602" s="43">
        <f t="shared" si="78"/>
        <v>40</v>
      </c>
      <c r="R602" s="43">
        <f t="shared" si="79"/>
        <v>166</v>
      </c>
      <c r="S602" s="41" t="s">
        <v>1748</v>
      </c>
      <c r="T602" s="48" t="str">
        <f t="shared" si="82"/>
        <v>(15,'PS-15-RGZ2','Poste de Sectionnement n°15 RGZ2','Saturday-01-jj','Saturday-01-jj',NULL,1,),</v>
      </c>
    </row>
    <row r="603" spans="1:20" ht="20.100000000000001" customHeight="1" x14ac:dyDescent="0.25">
      <c r="A603" s="38">
        <v>16</v>
      </c>
      <c r="B603" s="38">
        <v>608</v>
      </c>
      <c r="C603" s="38" t="s">
        <v>631</v>
      </c>
      <c r="D603" s="38">
        <v>14</v>
      </c>
      <c r="E603" s="39" t="str">
        <f t="shared" si="80"/>
        <v>PS-16-RGZ2</v>
      </c>
      <c r="F603" s="48" t="str">
        <f t="shared" si="81"/>
        <v>Poste de Sectionnement n°16 RGZ2</v>
      </c>
      <c r="G603" s="19"/>
      <c r="H603" s="41"/>
      <c r="I603" s="41" t="s">
        <v>20</v>
      </c>
      <c r="J603" s="41">
        <v>1</v>
      </c>
      <c r="K603" s="41" t="s">
        <v>3557</v>
      </c>
      <c r="L603" s="41">
        <v>16</v>
      </c>
      <c r="M603" s="41"/>
      <c r="N603" s="41"/>
      <c r="O603" s="41" t="s">
        <v>377</v>
      </c>
      <c r="P603" s="41" t="s">
        <v>1920</v>
      </c>
      <c r="Q603" s="43">
        <f t="shared" si="78"/>
        <v>23</v>
      </c>
      <c r="R603" s="43">
        <f t="shared" si="79"/>
        <v>176</v>
      </c>
      <c r="S603" s="41" t="s">
        <v>1933</v>
      </c>
      <c r="T603" s="48" t="str">
        <f t="shared" si="82"/>
        <v>(16,'PS-16-RGZ2','Poste de Sectionnement n°16 RGZ2','Saturday-01-jj','Saturday-01-jj',NULL,1,),</v>
      </c>
    </row>
    <row r="604" spans="1:20" ht="20.100000000000001" customHeight="1" x14ac:dyDescent="0.25">
      <c r="A604" s="38">
        <v>17</v>
      </c>
      <c r="B604" s="38">
        <v>609</v>
      </c>
      <c r="C604" s="38" t="s">
        <v>631</v>
      </c>
      <c r="D604" s="38">
        <v>14</v>
      </c>
      <c r="E604" s="39" t="str">
        <f t="shared" si="80"/>
        <v>PS-17-RGZ2</v>
      </c>
      <c r="F604" s="48" t="str">
        <f t="shared" si="81"/>
        <v>Poste de Sectionnement n°17 RGZ2</v>
      </c>
      <c r="G604" s="19"/>
      <c r="H604" s="41"/>
      <c r="I604" s="41" t="s">
        <v>20</v>
      </c>
      <c r="J604" s="41">
        <v>1</v>
      </c>
      <c r="K604" s="41" t="s">
        <v>3557</v>
      </c>
      <c r="L604" s="41">
        <v>16</v>
      </c>
      <c r="M604" s="41"/>
      <c r="N604" s="41"/>
      <c r="O604" s="41" t="s">
        <v>377</v>
      </c>
      <c r="P604" s="41" t="s">
        <v>1921</v>
      </c>
      <c r="Q604" s="43">
        <f t="shared" si="78"/>
        <v>5</v>
      </c>
      <c r="R604" s="43">
        <f t="shared" si="79"/>
        <v>185</v>
      </c>
      <c r="S604" s="41" t="s">
        <v>1934</v>
      </c>
      <c r="T604" s="48" t="str">
        <f t="shared" si="82"/>
        <v>(17,'PS-17-RGZ2','Poste de Sectionnement n°17 RGZ2','Saturday-01-jj','Saturday-01-jj',NULL,1,),</v>
      </c>
    </row>
    <row r="605" spans="1:20" ht="20.100000000000001" customHeight="1" x14ac:dyDescent="0.25">
      <c r="A605" s="38">
        <v>18</v>
      </c>
      <c r="B605" s="38">
        <v>610</v>
      </c>
      <c r="C605" s="38" t="s">
        <v>631</v>
      </c>
      <c r="D605" s="38">
        <v>14</v>
      </c>
      <c r="E605" s="39" t="str">
        <f t="shared" si="80"/>
        <v>PS-18-RGZ2</v>
      </c>
      <c r="F605" s="48" t="str">
        <f t="shared" si="81"/>
        <v>Poste de Sectionnement n°18 RGZ2</v>
      </c>
      <c r="G605" s="19"/>
      <c r="H605" s="41"/>
      <c r="I605" s="41" t="s">
        <v>20</v>
      </c>
      <c r="J605" s="41">
        <v>1</v>
      </c>
      <c r="K605" s="41" t="s">
        <v>3557</v>
      </c>
      <c r="L605" s="41">
        <v>16</v>
      </c>
      <c r="M605" s="41"/>
      <c r="N605" s="41"/>
      <c r="O605" s="41" t="s">
        <v>377</v>
      </c>
      <c r="P605" s="41" t="s">
        <v>1922</v>
      </c>
      <c r="Q605" s="43">
        <f t="shared" si="78"/>
        <v>4</v>
      </c>
      <c r="R605" s="43">
        <f t="shared" si="79"/>
        <v>195</v>
      </c>
      <c r="S605" s="41" t="s">
        <v>1935</v>
      </c>
      <c r="T605" s="48" t="str">
        <f t="shared" si="82"/>
        <v>(18,'PS-18-RGZ2','Poste de Sectionnement n°18 RGZ2','Saturday-01-jj','Saturday-01-jj',NULL,1,),</v>
      </c>
    </row>
    <row r="606" spans="1:20" ht="20.100000000000001" customHeight="1" x14ac:dyDescent="0.25">
      <c r="A606" s="38">
        <v>19</v>
      </c>
      <c r="B606" s="38">
        <v>611</v>
      </c>
      <c r="C606" s="38" t="s">
        <v>631</v>
      </c>
      <c r="D606" s="38">
        <v>14</v>
      </c>
      <c r="E606" s="39" t="str">
        <f t="shared" si="80"/>
        <v>PS-19-RGZ2</v>
      </c>
      <c r="F606" s="48" t="str">
        <f t="shared" si="81"/>
        <v>Poste de Sectionnement n°19 RGZ2</v>
      </c>
      <c r="G606" s="19"/>
      <c r="H606" s="41"/>
      <c r="I606" s="41" t="s">
        <v>20</v>
      </c>
      <c r="J606" s="41">
        <v>1</v>
      </c>
      <c r="K606" s="41" t="s">
        <v>3557</v>
      </c>
      <c r="L606" s="41">
        <v>16</v>
      </c>
      <c r="M606" s="41"/>
      <c r="N606" s="41"/>
      <c r="O606" s="41" t="s">
        <v>377</v>
      </c>
      <c r="P606" s="41" t="s">
        <v>1923</v>
      </c>
      <c r="Q606" s="43">
        <f t="shared" si="78"/>
        <v>59</v>
      </c>
      <c r="R606" s="43">
        <f t="shared" si="79"/>
        <v>208</v>
      </c>
      <c r="S606" s="41" t="s">
        <v>1936</v>
      </c>
      <c r="T606" s="48" t="str">
        <f t="shared" si="82"/>
        <v>(19,'PS-19-RGZ2','Poste de Sectionnement n°19 RGZ2','Saturday-01-jj','Saturday-01-jj',NULL,1,),</v>
      </c>
    </row>
    <row r="607" spans="1:20" ht="20.100000000000001" customHeight="1" x14ac:dyDescent="0.25">
      <c r="A607" s="38">
        <v>9</v>
      </c>
      <c r="B607" s="38">
        <v>612</v>
      </c>
      <c r="C607" s="38" t="s">
        <v>631</v>
      </c>
      <c r="D607" s="38">
        <v>14</v>
      </c>
      <c r="E607" s="39" t="str">
        <f t="shared" si="80"/>
        <v>PS-09-RGZ3</v>
      </c>
      <c r="F607" s="48" t="str">
        <f t="shared" si="81"/>
        <v>Poste de Sectionnement n°09 RGZ3</v>
      </c>
      <c r="G607" s="19">
        <v>42736</v>
      </c>
      <c r="H607" s="19">
        <v>42736</v>
      </c>
      <c r="I607" s="41" t="s">
        <v>20</v>
      </c>
      <c r="J607" s="41">
        <v>1</v>
      </c>
      <c r="K607" s="41" t="s">
        <v>3557</v>
      </c>
      <c r="L607" s="41">
        <v>16</v>
      </c>
      <c r="M607" s="41"/>
      <c r="N607" s="41"/>
      <c r="O607" s="41" t="s">
        <v>1000</v>
      </c>
      <c r="P607" s="41" t="s">
        <v>1956</v>
      </c>
      <c r="Q607" s="43">
        <f t="shared" si="78"/>
        <v>1060</v>
      </c>
      <c r="R607" s="43">
        <f t="shared" si="79"/>
        <v>318.74</v>
      </c>
      <c r="S607" s="41" t="s">
        <v>1972</v>
      </c>
      <c r="T607" s="48" t="str">
        <f t="shared" si="82"/>
        <v>(9,'PS-09-RGZ3','Poste de Sectionnement n°09 RGZ3','Sunday-01-jj','Sunday-01-jj',NULL,1,),</v>
      </c>
    </row>
    <row r="608" spans="1:20" ht="20.100000000000001" customHeight="1" x14ac:dyDescent="0.25">
      <c r="A608" s="38">
        <v>11</v>
      </c>
      <c r="B608" s="38">
        <v>613</v>
      </c>
      <c r="C608" s="38" t="s">
        <v>631</v>
      </c>
      <c r="D608" s="38">
        <v>14</v>
      </c>
      <c r="E608" s="39" t="str">
        <f>CONCATENATE("PPUR-",TEXT(A608,"00"),"-",O608)</f>
        <v>PPUR-11-RGZ3</v>
      </c>
      <c r="F608" s="48" t="str">
        <f>CONCATENATE("Poste de Purge n°",TEXT(A608,"00")," ",O608)</f>
        <v>Poste de Purge n°11 RGZ3</v>
      </c>
      <c r="G608" s="19">
        <v>42736</v>
      </c>
      <c r="H608" s="19">
        <v>42736</v>
      </c>
      <c r="I608" s="41" t="s">
        <v>20</v>
      </c>
      <c r="J608" s="41">
        <v>1</v>
      </c>
      <c r="K608" s="41" t="s">
        <v>3558</v>
      </c>
      <c r="L608" s="41">
        <v>17</v>
      </c>
      <c r="M608" s="41"/>
      <c r="N608" s="41"/>
      <c r="O608" s="41" t="s">
        <v>1000</v>
      </c>
      <c r="P608" s="41" t="s">
        <v>2900</v>
      </c>
      <c r="Q608" s="49">
        <f t="shared" si="78"/>
        <v>918</v>
      </c>
      <c r="R608" s="43">
        <f t="shared" si="79"/>
        <v>329.61</v>
      </c>
      <c r="S608" s="41" t="s">
        <v>797</v>
      </c>
      <c r="T608" s="48" t="str">
        <f t="shared" si="82"/>
        <v>(11,'PPUR-11-RGZ3','Poste de Purge n°11 RGZ3','Sunday-01-jj','Sunday-01-jj',NULL,1,),</v>
      </c>
    </row>
    <row r="609" spans="1:20" ht="20.100000000000001" customHeight="1" x14ac:dyDescent="0.25">
      <c r="A609" s="38">
        <v>10</v>
      </c>
      <c r="B609" s="38">
        <v>614</v>
      </c>
      <c r="C609" s="38" t="s">
        <v>631</v>
      </c>
      <c r="D609" s="38">
        <v>14</v>
      </c>
      <c r="E609" s="39" t="str">
        <f>CONCATENATE("PS-",TEXT(A609,"00"),"-",O609)</f>
        <v>PS-10-RGZ3</v>
      </c>
      <c r="F609" s="48" t="str">
        <f>CONCATENATE("Poste de Sectionnement n°",TEXT(A609,"00")," ",O609)</f>
        <v>Poste de Sectionnement n°10 RGZ3</v>
      </c>
      <c r="G609" s="19">
        <v>42736</v>
      </c>
      <c r="H609" s="19">
        <v>42736</v>
      </c>
      <c r="I609" s="41" t="s">
        <v>20</v>
      </c>
      <c r="J609" s="41">
        <v>1</v>
      </c>
      <c r="K609" s="41" t="s">
        <v>3557</v>
      </c>
      <c r="L609" s="41">
        <v>16</v>
      </c>
      <c r="M609" s="41"/>
      <c r="N609" s="41"/>
      <c r="O609" s="41" t="s">
        <v>1000</v>
      </c>
      <c r="P609" s="41" t="s">
        <v>1957</v>
      </c>
      <c r="Q609" s="43">
        <f t="shared" si="78"/>
        <v>907</v>
      </c>
      <c r="R609" s="43">
        <f t="shared" si="79"/>
        <v>337.78800000000001</v>
      </c>
      <c r="S609" s="41" t="s">
        <v>1973</v>
      </c>
      <c r="T609" s="48" t="str">
        <f t="shared" si="82"/>
        <v>(10,'PS-10-RGZ3','Poste de Sectionnement n°10 RGZ3','Sunday-01-jj','Sunday-01-jj',NULL,1,),</v>
      </c>
    </row>
    <row r="610" spans="1:20" ht="20.100000000000001" customHeight="1" x14ac:dyDescent="0.25">
      <c r="A610" s="38">
        <v>12</v>
      </c>
      <c r="B610" s="38">
        <v>615</v>
      </c>
      <c r="C610" s="38" t="s">
        <v>631</v>
      </c>
      <c r="D610" s="38">
        <v>14</v>
      </c>
      <c r="E610" s="39" t="str">
        <f>CONCATENATE("PPUR-",TEXT(A610,"00"),"-",O610)</f>
        <v>PPUR-12-RGZ3</v>
      </c>
      <c r="F610" s="48" t="str">
        <f>CONCATENATE("Poste de Purge n°",TEXT(A610,"00")," ",O610)</f>
        <v>Poste de Purge n°12 RGZ3</v>
      </c>
      <c r="G610" s="19">
        <v>42736</v>
      </c>
      <c r="H610" s="19">
        <v>42736</v>
      </c>
      <c r="I610" s="41" t="s">
        <v>20</v>
      </c>
      <c r="J610" s="41">
        <v>1</v>
      </c>
      <c r="K610" s="41" t="s">
        <v>3558</v>
      </c>
      <c r="L610" s="41">
        <v>17</v>
      </c>
      <c r="M610" s="41"/>
      <c r="N610" s="41"/>
      <c r="O610" s="41" t="s">
        <v>1000</v>
      </c>
      <c r="P610" s="41" t="s">
        <v>2901</v>
      </c>
      <c r="Q610" s="49">
        <f t="shared" si="78"/>
        <v>676</v>
      </c>
      <c r="R610" s="43">
        <f t="shared" si="79"/>
        <v>350.08300000000003</v>
      </c>
      <c r="S610" s="41" t="s">
        <v>754</v>
      </c>
      <c r="T610" s="48" t="str">
        <f t="shared" si="82"/>
        <v>(12,'PPUR-12-RGZ3','Poste de Purge n°12 RGZ3','Sunday-01-jj','Sunday-01-jj',NULL,1,),</v>
      </c>
    </row>
    <row r="611" spans="1:20" ht="20.100000000000001" customHeight="1" x14ac:dyDescent="0.25">
      <c r="A611" s="38">
        <v>13</v>
      </c>
      <c r="B611" s="38">
        <v>616</v>
      </c>
      <c r="C611" s="38" t="s">
        <v>631</v>
      </c>
      <c r="D611" s="38">
        <v>14</v>
      </c>
      <c r="E611" s="39" t="str">
        <f>CONCATENATE("PPUR-",TEXT(A611,"00"),"-",O611)</f>
        <v>PPUR-13-RGZ3</v>
      </c>
      <c r="F611" s="48" t="str">
        <f>CONCATENATE("Poste de Purge n°",TEXT(A611,"00")," ",O611)</f>
        <v>Poste de Purge n°13 RGZ3</v>
      </c>
      <c r="G611" s="19">
        <v>42736</v>
      </c>
      <c r="H611" s="19">
        <v>42736</v>
      </c>
      <c r="I611" s="41" t="s">
        <v>20</v>
      </c>
      <c r="J611" s="41">
        <v>1</v>
      </c>
      <c r="K611" s="41" t="s">
        <v>3558</v>
      </c>
      <c r="L611" s="41">
        <v>17</v>
      </c>
      <c r="M611" s="41"/>
      <c r="N611" s="41"/>
      <c r="O611" s="41" t="s">
        <v>1000</v>
      </c>
      <c r="P611" s="41" t="s">
        <v>2902</v>
      </c>
      <c r="Q611" s="49">
        <f t="shared" si="78"/>
        <v>569</v>
      </c>
      <c r="R611" s="43">
        <f t="shared" si="79"/>
        <v>357.43400000000003</v>
      </c>
      <c r="S611" s="41" t="s">
        <v>3001</v>
      </c>
      <c r="T611" s="48" t="str">
        <f t="shared" si="82"/>
        <v>(13,'PPUR-13-RGZ3','Poste de Purge n°13 RGZ3','Sunday-01-jj','Sunday-01-jj',NULL,1,),</v>
      </c>
    </row>
    <row r="612" spans="1:20" ht="20.100000000000001" customHeight="1" x14ac:dyDescent="0.25">
      <c r="A612" s="38">
        <v>11</v>
      </c>
      <c r="B612" s="38">
        <v>617</v>
      </c>
      <c r="C612" s="38" t="s">
        <v>631</v>
      </c>
      <c r="D612" s="38">
        <v>14</v>
      </c>
      <c r="E612" s="39" t="str">
        <f>CONCATENATE("PS-",TEXT(A612,"00"),"-",O612)</f>
        <v>PS-11-RGZ3</v>
      </c>
      <c r="F612" s="48" t="str">
        <f>CONCATENATE("Poste de Sectionnement n°",TEXT(A612,"00")," ",O612)</f>
        <v>Poste de Sectionnement n°11 RGZ3</v>
      </c>
      <c r="G612" s="19">
        <v>42736</v>
      </c>
      <c r="H612" s="19">
        <v>42736</v>
      </c>
      <c r="I612" s="41" t="s">
        <v>20</v>
      </c>
      <c r="J612" s="41">
        <v>1</v>
      </c>
      <c r="K612" s="41" t="s">
        <v>3557</v>
      </c>
      <c r="L612" s="41">
        <v>16</v>
      </c>
      <c r="M612" s="41"/>
      <c r="N612" s="41"/>
      <c r="O612" s="41" t="s">
        <v>1000</v>
      </c>
      <c r="P612" s="41" t="s">
        <v>1958</v>
      </c>
      <c r="Q612" s="43">
        <f t="shared" si="78"/>
        <v>597</v>
      </c>
      <c r="R612" s="43">
        <f t="shared" si="79"/>
        <v>358.85500000000002</v>
      </c>
      <c r="S612" s="41" t="s">
        <v>1974</v>
      </c>
      <c r="T612" s="48" t="str">
        <f t="shared" si="82"/>
        <v>(11,'PS-11-RGZ3','Poste de Sectionnement n°11 RGZ3','Sunday-01-jj','Sunday-01-jj',NULL,1,),</v>
      </c>
    </row>
    <row r="613" spans="1:20" ht="20.100000000000001" customHeight="1" x14ac:dyDescent="0.25">
      <c r="A613" s="38">
        <v>14</v>
      </c>
      <c r="B613" s="38">
        <v>618</v>
      </c>
      <c r="C613" s="38" t="s">
        <v>631</v>
      </c>
      <c r="D613" s="38">
        <v>14</v>
      </c>
      <c r="E613" s="39" t="str">
        <f>CONCATENATE("PPUR-",TEXT(A613,"00"),"-",O613)</f>
        <v>PPUR-14-RGZ3</v>
      </c>
      <c r="F613" s="48" t="str">
        <f>CONCATENATE("Poste de Purge n°",TEXT(A613,"00")," ",O613)</f>
        <v>Poste de Purge n°14 RGZ3</v>
      </c>
      <c r="G613" s="19">
        <v>42736</v>
      </c>
      <c r="H613" s="19">
        <v>42736</v>
      </c>
      <c r="I613" s="41" t="s">
        <v>20</v>
      </c>
      <c r="J613" s="41">
        <v>1</v>
      </c>
      <c r="K613" s="41" t="s">
        <v>3558</v>
      </c>
      <c r="L613" s="41">
        <v>17</v>
      </c>
      <c r="M613" s="41"/>
      <c r="N613" s="41"/>
      <c r="O613" s="41" t="s">
        <v>1000</v>
      </c>
      <c r="P613" s="41" t="s">
        <v>2903</v>
      </c>
      <c r="Q613" s="49">
        <f t="shared" si="78"/>
        <v>650</v>
      </c>
      <c r="R613" s="43">
        <f t="shared" si="79"/>
        <v>371.95600000000002</v>
      </c>
      <c r="S613" s="41" t="s">
        <v>755</v>
      </c>
      <c r="T613" s="48" t="str">
        <f t="shared" si="82"/>
        <v>(14,'PPUR-14-RGZ3','Poste de Purge n°14 RGZ3','Sunday-01-jj','Sunday-01-jj',NULL,1,),</v>
      </c>
    </row>
    <row r="614" spans="1:20" ht="20.100000000000001" customHeight="1" x14ac:dyDescent="0.25">
      <c r="A614" s="38">
        <v>12</v>
      </c>
      <c r="B614" s="38">
        <v>619</v>
      </c>
      <c r="C614" s="38" t="s">
        <v>631</v>
      </c>
      <c r="D614" s="38">
        <v>14</v>
      </c>
      <c r="E614" s="39" t="str">
        <f>CONCATENATE("PS-",TEXT(A614,"00"),"-",O614)</f>
        <v>PS-12-RGZ3</v>
      </c>
      <c r="F614" s="48" t="str">
        <f>CONCATENATE("Poste de Sectionnement n°",TEXT(A614,"00")," ",O614)</f>
        <v>Poste de Sectionnement n°12 RGZ3</v>
      </c>
      <c r="G614" s="19">
        <v>42736</v>
      </c>
      <c r="H614" s="19">
        <v>42736</v>
      </c>
      <c r="I614" s="41" t="s">
        <v>20</v>
      </c>
      <c r="J614" s="41">
        <v>1</v>
      </c>
      <c r="K614" s="41" t="s">
        <v>3557</v>
      </c>
      <c r="L614" s="41">
        <v>16</v>
      </c>
      <c r="M614" s="41"/>
      <c r="N614" s="41"/>
      <c r="O614" s="41" t="s">
        <v>1000</v>
      </c>
      <c r="P614" s="41" t="s">
        <v>1959</v>
      </c>
      <c r="Q614" s="43">
        <f t="shared" si="78"/>
        <v>528</v>
      </c>
      <c r="R614" s="43">
        <f t="shared" si="79"/>
        <v>379.64800000000002</v>
      </c>
      <c r="S614" s="41" t="s">
        <v>1975</v>
      </c>
      <c r="T614" s="48" t="str">
        <f t="shared" si="82"/>
        <v>(12,'PS-12-RGZ3','Poste de Sectionnement n°12 RGZ3','Sunday-01-jj','Sunday-01-jj',NULL,1,),</v>
      </c>
    </row>
    <row r="615" spans="1:20" ht="20.100000000000001" customHeight="1" x14ac:dyDescent="0.25">
      <c r="A615" s="38">
        <v>15</v>
      </c>
      <c r="B615" s="38">
        <v>620</v>
      </c>
      <c r="C615" s="38" t="s">
        <v>631</v>
      </c>
      <c r="D615" s="38">
        <v>14</v>
      </c>
      <c r="E615" s="39" t="str">
        <f>CONCATENATE("PPUR-",TEXT(A615,"00"),"-",O615)</f>
        <v>PPUR-15-RGZ3</v>
      </c>
      <c r="F615" s="48" t="str">
        <f>CONCATENATE("Poste de Purge n°",TEXT(A615,"00")," ",O615)</f>
        <v>Poste de Purge n°15 RGZ3</v>
      </c>
      <c r="G615" s="19">
        <v>43101</v>
      </c>
      <c r="H615" s="19">
        <v>43101</v>
      </c>
      <c r="I615" s="41" t="s">
        <v>20</v>
      </c>
      <c r="J615" s="41">
        <v>1</v>
      </c>
      <c r="K615" s="41" t="s">
        <v>3558</v>
      </c>
      <c r="L615" s="41">
        <v>17</v>
      </c>
      <c r="M615" s="41"/>
      <c r="N615" s="41"/>
      <c r="O615" s="41" t="s">
        <v>1000</v>
      </c>
      <c r="P615" s="41" t="s">
        <v>2904</v>
      </c>
      <c r="Q615" s="49">
        <f t="shared" si="78"/>
        <v>499</v>
      </c>
      <c r="R615" s="43">
        <f t="shared" si="79"/>
        <v>393.39499999999998</v>
      </c>
      <c r="S615" s="41" t="s">
        <v>3002</v>
      </c>
      <c r="T615" s="48" t="str">
        <f t="shared" si="82"/>
        <v>(15,'PPUR-15-RGZ3','Poste de Purge n°15 RGZ3','Monday-01-jj','Monday-01-jj',NULL,1,),</v>
      </c>
    </row>
    <row r="616" spans="1:20" ht="20.100000000000001" customHeight="1" x14ac:dyDescent="0.25">
      <c r="A616" s="38">
        <v>13</v>
      </c>
      <c r="B616" s="38">
        <v>621</v>
      </c>
      <c r="C616" s="38" t="s">
        <v>631</v>
      </c>
      <c r="D616" s="38">
        <v>14</v>
      </c>
      <c r="E616" s="39" t="str">
        <f>CONCATENATE("PS-",TEXT(A616,"00"),"-",O616)</f>
        <v>PS-13-RGZ3</v>
      </c>
      <c r="F616" s="48" t="str">
        <f>CONCATENATE("Poste de Sectionnement n°",TEXT(A616,"00")," ",O616)</f>
        <v>Poste de Sectionnement n°13 RGZ3</v>
      </c>
      <c r="G616" s="19">
        <v>43101</v>
      </c>
      <c r="H616" s="19">
        <v>43101</v>
      </c>
      <c r="I616" s="41" t="s">
        <v>20</v>
      </c>
      <c r="J616" s="41">
        <v>1</v>
      </c>
      <c r="K616" s="41" t="s">
        <v>3557</v>
      </c>
      <c r="L616" s="41">
        <v>16</v>
      </c>
      <c r="M616" s="41"/>
      <c r="N616" s="41"/>
      <c r="O616" s="41" t="s">
        <v>1000</v>
      </c>
      <c r="P616" s="41" t="s">
        <v>1960</v>
      </c>
      <c r="Q616" s="43">
        <f t="shared" si="78"/>
        <v>305.44</v>
      </c>
      <c r="R616" s="43">
        <f t="shared" si="79"/>
        <v>409.61</v>
      </c>
      <c r="S616" s="41" t="s">
        <v>1929</v>
      </c>
      <c r="T616" s="48" t="str">
        <f t="shared" si="82"/>
        <v>(13,'PS-13-RGZ3','Poste de Sectionnement n°13 RGZ3','Monday-01-jj','Monday-01-jj',NULL,1,),</v>
      </c>
    </row>
    <row r="617" spans="1:20" ht="20.100000000000001" customHeight="1" x14ac:dyDescent="0.25">
      <c r="A617" s="38">
        <v>14</v>
      </c>
      <c r="B617" s="38">
        <v>622</v>
      </c>
      <c r="C617" s="38" t="s">
        <v>631</v>
      </c>
      <c r="D617" s="38">
        <v>14</v>
      </c>
      <c r="E617" s="39" t="str">
        <f>CONCATENATE("PS-",TEXT(A617,"00"),"-",O617)</f>
        <v>PS-14-RGZ3</v>
      </c>
      <c r="F617" s="48" t="str">
        <f>CONCATENATE("Poste de Sectionnement n°",TEXT(A617,"00")," ",O617)</f>
        <v>Poste de Sectionnement n°14 RGZ3</v>
      </c>
      <c r="G617" s="19">
        <v>43101</v>
      </c>
      <c r="H617" s="19">
        <v>43101</v>
      </c>
      <c r="I617" s="41" t="s">
        <v>20</v>
      </c>
      <c r="J617" s="41">
        <v>1</v>
      </c>
      <c r="K617" s="41" t="s">
        <v>3557</v>
      </c>
      <c r="L617" s="41">
        <v>16</v>
      </c>
      <c r="M617" s="41"/>
      <c r="N617" s="41"/>
      <c r="O617" s="41" t="s">
        <v>1000</v>
      </c>
      <c r="P617" s="41" t="s">
        <v>1961</v>
      </c>
      <c r="Q617" s="43">
        <f t="shared" si="78"/>
        <v>158.79</v>
      </c>
      <c r="R617" s="43">
        <f t="shared" si="79"/>
        <v>420.065</v>
      </c>
      <c r="S617" s="41" t="s">
        <v>1929</v>
      </c>
      <c r="T617" s="48" t="str">
        <f t="shared" si="82"/>
        <v>(14,'PS-14-RGZ3','Poste de Sectionnement n°14 RGZ3','Monday-01-jj','Monday-01-jj',NULL,1,),</v>
      </c>
    </row>
    <row r="618" spans="1:20" ht="20.100000000000001" customHeight="1" x14ac:dyDescent="0.25">
      <c r="A618" s="38">
        <v>16</v>
      </c>
      <c r="B618" s="38">
        <v>623</v>
      </c>
      <c r="C618" s="38" t="s">
        <v>631</v>
      </c>
      <c r="D618" s="38">
        <v>14</v>
      </c>
      <c r="E618" s="39" t="str">
        <f>CONCATENATE("PPUR-",TEXT(A618,"00"),"-",O618)</f>
        <v>PPUR-16-RGZ3</v>
      </c>
      <c r="F618" s="48" t="str">
        <f>CONCATENATE("Poste de Purge n°",TEXT(A618,"00")," ",O618)</f>
        <v>Poste de Purge n°16 RGZ3</v>
      </c>
      <c r="G618" s="19">
        <v>43101</v>
      </c>
      <c r="H618" s="19">
        <v>43101</v>
      </c>
      <c r="I618" s="41" t="s">
        <v>20</v>
      </c>
      <c r="J618" s="41">
        <v>1</v>
      </c>
      <c r="K618" s="41" t="s">
        <v>3558</v>
      </c>
      <c r="L618" s="41">
        <v>17</v>
      </c>
      <c r="M618" s="41"/>
      <c r="N618" s="41"/>
      <c r="O618" s="41" t="s">
        <v>1000</v>
      </c>
      <c r="P618" s="41" t="s">
        <v>2905</v>
      </c>
      <c r="Q618" s="49">
        <f t="shared" si="78"/>
        <v>114.22</v>
      </c>
      <c r="R618" s="43">
        <f t="shared" si="79"/>
        <v>423.98700000000002</v>
      </c>
      <c r="S618" s="41" t="s">
        <v>1746</v>
      </c>
      <c r="T618" s="48" t="str">
        <f t="shared" si="82"/>
        <v>(16,'PPUR-16-RGZ3','Poste de Purge n°16 RGZ3','Monday-01-jj','Monday-01-jj',NULL,1,),</v>
      </c>
    </row>
    <row r="619" spans="1:20" ht="20.100000000000001" customHeight="1" x14ac:dyDescent="0.25">
      <c r="A619" s="38">
        <v>15</v>
      </c>
      <c r="B619" s="38">
        <v>624</v>
      </c>
      <c r="C619" s="38" t="s">
        <v>631</v>
      </c>
      <c r="D619" s="38">
        <v>14</v>
      </c>
      <c r="E619" s="39" t="str">
        <f>CONCATENATE("PS-",TEXT(A619,"00"),"-",O619)</f>
        <v>PS-15-RGZ3</v>
      </c>
      <c r="F619" s="48" t="str">
        <f>CONCATENATE("Poste de Sectionnement n°",TEXT(A619,"00")," ",O619)</f>
        <v>Poste de Sectionnement n°15 RGZ3</v>
      </c>
      <c r="G619" s="19">
        <v>43101</v>
      </c>
      <c r="H619" s="19">
        <v>43101</v>
      </c>
      <c r="I619" s="41" t="s">
        <v>20</v>
      </c>
      <c r="J619" s="41">
        <v>1</v>
      </c>
      <c r="K619" s="41" t="s">
        <v>3557</v>
      </c>
      <c r="L619" s="41">
        <v>16</v>
      </c>
      <c r="M619" s="41"/>
      <c r="N619" s="41"/>
      <c r="O619" s="41" t="s">
        <v>1000</v>
      </c>
      <c r="P619" s="41" t="s">
        <v>1962</v>
      </c>
      <c r="Q619" s="43">
        <f t="shared" si="78"/>
        <v>130.43</v>
      </c>
      <c r="R619" s="43">
        <f t="shared" si="79"/>
        <v>429.55099999999999</v>
      </c>
      <c r="S619" s="41" t="s">
        <v>1976</v>
      </c>
      <c r="T619" s="48" t="str">
        <f t="shared" si="82"/>
        <v>(15,'PS-15-RGZ3','Poste de Sectionnement n°15 RGZ3','Monday-01-jj','Monday-01-jj',NULL,1,),</v>
      </c>
    </row>
    <row r="620" spans="1:20" ht="20.100000000000001" customHeight="1" x14ac:dyDescent="0.25">
      <c r="A620" s="38">
        <v>16</v>
      </c>
      <c r="B620" s="38">
        <v>625</v>
      </c>
      <c r="C620" s="38" t="s">
        <v>631</v>
      </c>
      <c r="D620" s="38">
        <v>14</v>
      </c>
      <c r="E620" s="39" t="str">
        <f>CONCATENATE("PS-",TEXT(A620,"00"),"-",O620)</f>
        <v>PS-16-RGZ3</v>
      </c>
      <c r="F620" s="48" t="str">
        <f>CONCATENATE("Poste de Sectionnement n°",TEXT(A620,"00")," ",O620)</f>
        <v>Poste de Sectionnement n°16 RGZ3</v>
      </c>
      <c r="G620" s="19">
        <v>43101</v>
      </c>
      <c r="H620" s="19">
        <v>43101</v>
      </c>
      <c r="I620" s="41" t="s">
        <v>20</v>
      </c>
      <c r="J620" s="41">
        <v>1</v>
      </c>
      <c r="K620" s="41" t="s">
        <v>3557</v>
      </c>
      <c r="L620" s="41">
        <v>16</v>
      </c>
      <c r="M620" s="41"/>
      <c r="N620" s="41"/>
      <c r="O620" s="41" t="s">
        <v>1000</v>
      </c>
      <c r="P620" s="41" t="s">
        <v>1963</v>
      </c>
      <c r="Q620" s="43">
        <f t="shared" si="78"/>
        <v>279.93</v>
      </c>
      <c r="R620" s="43">
        <f t="shared" si="79"/>
        <v>439.00799999999998</v>
      </c>
      <c r="S620" s="41" t="s">
        <v>1786</v>
      </c>
      <c r="T620" s="48" t="str">
        <f t="shared" si="82"/>
        <v>(16,'PS-16-RGZ3','Poste de Sectionnement n°16 RGZ3','Monday-01-jj','Monday-01-jj',NULL,1,),</v>
      </c>
    </row>
    <row r="621" spans="1:20" ht="20.100000000000001" customHeight="1" x14ac:dyDescent="0.25">
      <c r="A621" s="38">
        <v>17</v>
      </c>
      <c r="B621" s="38">
        <v>626</v>
      </c>
      <c r="C621" s="38" t="s">
        <v>631</v>
      </c>
      <c r="D621" s="38">
        <v>14</v>
      </c>
      <c r="E621" s="39" t="str">
        <f>CONCATENATE("PS-",TEXT(A621,"00"),"-",O621)</f>
        <v>PS-17-RGZ3</v>
      </c>
      <c r="F621" s="48" t="str">
        <f>CONCATENATE("Poste de Sectionnement n°",TEXT(A621,"00")," ",O621)</f>
        <v>Poste de Sectionnement n°17 RGZ3</v>
      </c>
      <c r="G621" s="19">
        <v>43101</v>
      </c>
      <c r="H621" s="19">
        <v>43101</v>
      </c>
      <c r="I621" s="41" t="s">
        <v>20</v>
      </c>
      <c r="J621" s="41">
        <v>1</v>
      </c>
      <c r="K621" s="41" t="s">
        <v>3557</v>
      </c>
      <c r="L621" s="41">
        <v>16</v>
      </c>
      <c r="M621" s="41"/>
      <c r="N621" s="41"/>
      <c r="O621" s="41" t="s">
        <v>1000</v>
      </c>
      <c r="P621" s="41" t="s">
        <v>1964</v>
      </c>
      <c r="Q621" s="43">
        <f t="shared" si="78"/>
        <v>341.69</v>
      </c>
      <c r="R621" s="43">
        <f t="shared" si="79"/>
        <v>450.40100000000001</v>
      </c>
      <c r="S621" s="41" t="s">
        <v>1931</v>
      </c>
      <c r="T621" s="48" t="str">
        <f t="shared" si="82"/>
        <v>(17,'PS-17-RGZ3','Poste de Sectionnement n°17 RGZ3','Monday-01-jj','Monday-01-jj',NULL,1,),</v>
      </c>
    </row>
    <row r="622" spans="1:20" ht="20.100000000000001" customHeight="1" x14ac:dyDescent="0.25">
      <c r="A622" s="38">
        <v>17</v>
      </c>
      <c r="B622" s="38">
        <v>627</v>
      </c>
      <c r="C622" s="38" t="s">
        <v>631</v>
      </c>
      <c r="D622" s="38">
        <v>14</v>
      </c>
      <c r="E622" s="39" t="str">
        <f>CONCATENATE("PPUR-",TEXT(A622,"00"),"-",O622)</f>
        <v>PPUR-17-RGZ3</v>
      </c>
      <c r="F622" s="48" t="str">
        <f>CONCATENATE("Poste de Purge n°",TEXT(A622,"00")," ",O622)</f>
        <v>Poste de Purge n°17 RGZ3</v>
      </c>
      <c r="G622" s="19">
        <v>43101</v>
      </c>
      <c r="H622" s="19">
        <v>43101</v>
      </c>
      <c r="I622" s="41" t="s">
        <v>20</v>
      </c>
      <c r="J622" s="41">
        <v>1</v>
      </c>
      <c r="K622" s="41" t="s">
        <v>3558</v>
      </c>
      <c r="L622" s="41">
        <v>17</v>
      </c>
      <c r="M622" s="41"/>
      <c r="N622" s="41"/>
      <c r="O622" s="41" t="s">
        <v>1000</v>
      </c>
      <c r="P622" s="41" t="s">
        <v>2906</v>
      </c>
      <c r="Q622" s="49">
        <f t="shared" si="78"/>
        <v>234.6</v>
      </c>
      <c r="R622" s="43">
        <f t="shared" si="79"/>
        <v>454.24599999999998</v>
      </c>
      <c r="S622" s="41" t="s">
        <v>3003</v>
      </c>
      <c r="T622" s="48" t="str">
        <f t="shared" si="82"/>
        <v>(17,'PPUR-17-RGZ3','Poste de Purge n°17 RGZ3','Monday-01-jj','Monday-01-jj',NULL,1,),</v>
      </c>
    </row>
    <row r="623" spans="1:20" ht="20.100000000000001" customHeight="1" x14ac:dyDescent="0.25">
      <c r="A623" s="38">
        <v>18</v>
      </c>
      <c r="B623" s="38">
        <v>628</v>
      </c>
      <c r="C623" s="38" t="s">
        <v>631</v>
      </c>
      <c r="D623" s="38">
        <v>14</v>
      </c>
      <c r="E623" s="39" t="str">
        <f>CONCATENATE("PPUR-",TEXT(A623,"00"),"-",O623)</f>
        <v>PPUR-18-RGZ3</v>
      </c>
      <c r="F623" s="48" t="str">
        <f>CONCATENATE("Poste de Purge n°",TEXT(A623,"00")," ",O623)</f>
        <v>Poste de Purge n°18 RGZ3</v>
      </c>
      <c r="G623" s="19">
        <v>43101</v>
      </c>
      <c r="H623" s="19">
        <v>43101</v>
      </c>
      <c r="I623" s="41" t="s">
        <v>20</v>
      </c>
      <c r="J623" s="41">
        <v>1</v>
      </c>
      <c r="K623" s="41" t="s">
        <v>3558</v>
      </c>
      <c r="L623" s="41">
        <v>17</v>
      </c>
      <c r="M623" s="41"/>
      <c r="N623" s="41"/>
      <c r="O623" s="41" t="s">
        <v>1000</v>
      </c>
      <c r="P623" s="41" t="s">
        <v>2907</v>
      </c>
      <c r="Q623" s="49">
        <f t="shared" si="78"/>
        <v>113.54</v>
      </c>
      <c r="R623" s="43">
        <f t="shared" si="79"/>
        <v>460.54199999999997</v>
      </c>
      <c r="S623" s="41" t="s">
        <v>1748</v>
      </c>
      <c r="T623" s="48" t="str">
        <f t="shared" si="82"/>
        <v>(18,'PPUR-18-RGZ3','Poste de Purge n°18 RGZ3','Monday-01-jj','Monday-01-jj',NULL,1,),</v>
      </c>
    </row>
    <row r="624" spans="1:20" ht="20.100000000000001" customHeight="1" x14ac:dyDescent="0.25">
      <c r="A624" s="38">
        <v>18</v>
      </c>
      <c r="B624" s="38">
        <v>629</v>
      </c>
      <c r="C624" s="38" t="s">
        <v>631</v>
      </c>
      <c r="D624" s="38">
        <v>14</v>
      </c>
      <c r="E624" s="39" t="str">
        <f>CONCATENATE("PS-",TEXT(A624,"00"),"-",O624)</f>
        <v>PS-18-RGZ3</v>
      </c>
      <c r="F624" s="48" t="str">
        <f>CONCATENATE("Poste de Sectionnement n°",TEXT(A624,"00")," ",O624)</f>
        <v>Poste de Sectionnement n°18 RGZ3</v>
      </c>
      <c r="G624" s="19">
        <v>43101</v>
      </c>
      <c r="H624" s="19">
        <v>43101</v>
      </c>
      <c r="I624" s="41" t="s">
        <v>20</v>
      </c>
      <c r="J624" s="41">
        <v>1</v>
      </c>
      <c r="K624" s="41" t="s">
        <v>3557</v>
      </c>
      <c r="L624" s="41">
        <v>16</v>
      </c>
      <c r="M624" s="41"/>
      <c r="N624" s="41"/>
      <c r="O624" s="41" t="s">
        <v>1000</v>
      </c>
      <c r="P624" s="41" t="s">
        <v>1965</v>
      </c>
      <c r="Q624" s="43">
        <f t="shared" si="78"/>
        <v>111.08</v>
      </c>
      <c r="R624" s="43">
        <f t="shared" si="79"/>
        <v>460.59899999999999</v>
      </c>
      <c r="S624" s="41" t="s">
        <v>1932</v>
      </c>
      <c r="T624" s="48" t="str">
        <f t="shared" si="82"/>
        <v>(18,'PS-18-RGZ3','Poste de Sectionnement n°18 RGZ3','Monday-01-jj','Monday-01-jj',NULL,1,),</v>
      </c>
    </row>
    <row r="625" spans="1:20" ht="20.100000000000001" customHeight="1" x14ac:dyDescent="0.25">
      <c r="A625" s="38">
        <v>19</v>
      </c>
      <c r="B625" s="38">
        <v>630</v>
      </c>
      <c r="C625" s="38" t="s">
        <v>631</v>
      </c>
      <c r="D625" s="38">
        <v>14</v>
      </c>
      <c r="E625" s="39" t="str">
        <f>CONCATENATE("PS-",TEXT(A625,"00"),"-",O625)</f>
        <v>PS-19-RGZ3</v>
      </c>
      <c r="F625" s="48" t="str">
        <f>CONCATENATE("Poste de Sectionnement n°",TEXT(A625,"00")," ",O625)</f>
        <v>Poste de Sectionnement n°19 RGZ3</v>
      </c>
      <c r="G625" s="19">
        <v>43101</v>
      </c>
      <c r="H625" s="19">
        <v>43101</v>
      </c>
      <c r="I625" s="41" t="s">
        <v>20</v>
      </c>
      <c r="J625" s="41">
        <v>1</v>
      </c>
      <c r="K625" s="41" t="s">
        <v>3557</v>
      </c>
      <c r="L625" s="41">
        <v>16</v>
      </c>
      <c r="M625" s="41"/>
      <c r="N625" s="41"/>
      <c r="O625" s="41" t="s">
        <v>1000</v>
      </c>
      <c r="P625" s="41" t="s">
        <v>1966</v>
      </c>
      <c r="Q625" s="43">
        <f t="shared" si="78"/>
        <v>56.3</v>
      </c>
      <c r="R625" s="43">
        <f t="shared" si="79"/>
        <v>470.31099999999998</v>
      </c>
      <c r="S625" s="41" t="s">
        <v>1748</v>
      </c>
      <c r="T625" s="48" t="str">
        <f t="shared" si="82"/>
        <v>(19,'PS-19-RGZ3','Poste de Sectionnement n°19 RGZ3','Monday-01-jj','Monday-01-jj',NULL,1,),</v>
      </c>
    </row>
    <row r="626" spans="1:20" ht="20.100000000000001" customHeight="1" x14ac:dyDescent="0.25">
      <c r="A626" s="38">
        <v>20</v>
      </c>
      <c r="B626" s="38">
        <v>631</v>
      </c>
      <c r="C626" s="38" t="s">
        <v>631</v>
      </c>
      <c r="D626" s="38">
        <v>14</v>
      </c>
      <c r="E626" s="39" t="str">
        <f>CONCATENATE("PS-",TEXT(A626,"00"),"-",O626)</f>
        <v>PS-20-RGZ3</v>
      </c>
      <c r="F626" s="48" t="str">
        <f>CONCATENATE("Poste de Sectionnement n°",TEXT(A626,"00")," ",O626)</f>
        <v>Poste de Sectionnement n°20 RGZ3</v>
      </c>
      <c r="G626" s="19">
        <v>43101</v>
      </c>
      <c r="H626" s="19">
        <v>43101</v>
      </c>
      <c r="I626" s="41" t="s">
        <v>20</v>
      </c>
      <c r="J626" s="41">
        <v>1</v>
      </c>
      <c r="K626" s="41" t="s">
        <v>3557</v>
      </c>
      <c r="L626" s="41">
        <v>16</v>
      </c>
      <c r="M626" s="41"/>
      <c r="N626" s="41"/>
      <c r="O626" s="41" t="s">
        <v>1000</v>
      </c>
      <c r="P626" s="41" t="s">
        <v>1967</v>
      </c>
      <c r="Q626" s="43">
        <f t="shared" si="78"/>
        <v>34.56</v>
      </c>
      <c r="R626" s="43">
        <f t="shared" si="79"/>
        <v>478.99700000000001</v>
      </c>
      <c r="S626" s="41" t="s">
        <v>1977</v>
      </c>
      <c r="T626" s="48" t="str">
        <f t="shared" si="82"/>
        <v>(20,'PS-20-RGZ3','Poste de Sectionnement n°20 RGZ3','Monday-01-jj','Monday-01-jj',NULL,1,),</v>
      </c>
    </row>
    <row r="627" spans="1:20" ht="20.100000000000001" customHeight="1" x14ac:dyDescent="0.25">
      <c r="A627" s="38">
        <v>21</v>
      </c>
      <c r="B627" s="38">
        <v>632</v>
      </c>
      <c r="C627" s="38" t="s">
        <v>631</v>
      </c>
      <c r="D627" s="38">
        <v>14</v>
      </c>
      <c r="E627" s="39" t="str">
        <f>CONCATENATE("PS-",TEXT(A627,"00"),"-",O627)</f>
        <v>PS-21-RGZ3</v>
      </c>
      <c r="F627" s="48" t="str">
        <f>CONCATENATE("Poste de Sectionnement n°",TEXT(A627,"00")," ",O627)</f>
        <v>Poste de Sectionnement n°21 RGZ3</v>
      </c>
      <c r="G627" s="19">
        <v>43101</v>
      </c>
      <c r="H627" s="19">
        <v>43101</v>
      </c>
      <c r="I627" s="41" t="s">
        <v>20</v>
      </c>
      <c r="J627" s="41">
        <v>1</v>
      </c>
      <c r="K627" s="41" t="s">
        <v>3557</v>
      </c>
      <c r="L627" s="41">
        <v>16</v>
      </c>
      <c r="M627" s="41"/>
      <c r="N627" s="41"/>
      <c r="O627" s="41" t="s">
        <v>1000</v>
      </c>
      <c r="P627" s="41" t="s">
        <v>1968</v>
      </c>
      <c r="Q627" s="43">
        <f t="shared" si="78"/>
        <v>16.739999999999998</v>
      </c>
      <c r="R627" s="43">
        <f t="shared" si="79"/>
        <v>489.59399999999999</v>
      </c>
      <c r="S627" s="41" t="s">
        <v>1934</v>
      </c>
      <c r="T627" s="48" t="str">
        <f t="shared" si="82"/>
        <v>(21,'PS-21-RGZ3','Poste de Sectionnement n°21 RGZ3','Monday-01-jj','Monday-01-jj',NULL,1,),</v>
      </c>
    </row>
    <row r="628" spans="1:20" ht="20.100000000000001" customHeight="1" x14ac:dyDescent="0.25">
      <c r="A628" s="38">
        <v>22</v>
      </c>
      <c r="B628" s="38">
        <v>633</v>
      </c>
      <c r="C628" s="38" t="s">
        <v>631</v>
      </c>
      <c r="D628" s="38">
        <v>14</v>
      </c>
      <c r="E628" s="39" t="str">
        <f>CONCATENATE("PS-",TEXT(A628,"00"),"-",O628)</f>
        <v>PS-22-RGZ3</v>
      </c>
      <c r="F628" s="48" t="str">
        <f>CONCATENATE("Poste de Sectionnement n°",TEXT(A628,"00")," ",O628)</f>
        <v>Poste de Sectionnement n°22 RGZ3</v>
      </c>
      <c r="G628" s="19">
        <v>43101</v>
      </c>
      <c r="H628" s="19">
        <v>43101</v>
      </c>
      <c r="I628" s="41" t="s">
        <v>20</v>
      </c>
      <c r="J628" s="41">
        <v>1</v>
      </c>
      <c r="K628" s="41" t="s">
        <v>3557</v>
      </c>
      <c r="L628" s="41">
        <v>16</v>
      </c>
      <c r="M628" s="41"/>
      <c r="N628" s="41"/>
      <c r="O628" s="41" t="s">
        <v>1000</v>
      </c>
      <c r="P628" s="41" t="s">
        <v>1969</v>
      </c>
      <c r="Q628" s="43">
        <f t="shared" si="78"/>
        <v>11.13</v>
      </c>
      <c r="R628" s="43">
        <f t="shared" si="79"/>
        <v>502.15199999999999</v>
      </c>
      <c r="S628" s="41" t="s">
        <v>1978</v>
      </c>
      <c r="T628" s="48" t="str">
        <f t="shared" si="82"/>
        <v>(22,'PS-22-RGZ3','Poste de Sectionnement n°22 RGZ3','Monday-01-jj','Monday-01-jj',NULL,1,),</v>
      </c>
    </row>
    <row r="629" spans="1:20" ht="20.100000000000001" customHeight="1" x14ac:dyDescent="0.25">
      <c r="A629" s="38">
        <v>19</v>
      </c>
      <c r="B629" s="38">
        <v>634</v>
      </c>
      <c r="C629" s="38" t="s">
        <v>631</v>
      </c>
      <c r="D629" s="38">
        <v>14</v>
      </c>
      <c r="E629" s="39" t="str">
        <f>CONCATENATE("PPUR-",TEXT(A629,"00"),"-",O629)</f>
        <v>PPUR-19-RGZ3</v>
      </c>
      <c r="F629" s="48" t="str">
        <f>CONCATENATE("Poste de Purge n°",TEXT(A629,"00")," ",O629)</f>
        <v>Poste de Purge n°19 RGZ3</v>
      </c>
      <c r="G629" s="19">
        <v>43101</v>
      </c>
      <c r="H629" s="19">
        <v>43101</v>
      </c>
      <c r="I629" s="41" t="s">
        <v>20</v>
      </c>
      <c r="J629" s="41">
        <v>1</v>
      </c>
      <c r="K629" s="41" t="s">
        <v>3558</v>
      </c>
      <c r="L629" s="41">
        <v>17</v>
      </c>
      <c r="M629" s="41"/>
      <c r="N629" s="41"/>
      <c r="O629" s="41" t="s">
        <v>1000</v>
      </c>
      <c r="P629" s="41" t="s">
        <v>2908</v>
      </c>
      <c r="Q629" s="49">
        <f t="shared" si="78"/>
        <v>13.66</v>
      </c>
      <c r="R629" s="43">
        <f t="shared" si="79"/>
        <v>504.18799999999999</v>
      </c>
      <c r="S629" s="41" t="s">
        <v>3004</v>
      </c>
      <c r="T629" s="48" t="str">
        <f t="shared" si="82"/>
        <v>(19,'PPUR-19-RGZ3','Poste de Purge n°19 RGZ3','Monday-01-jj','Monday-01-jj',NULL,1,),</v>
      </c>
    </row>
    <row r="630" spans="1:20" ht="20.100000000000001" customHeight="1" x14ac:dyDescent="0.25">
      <c r="A630" s="38">
        <v>4</v>
      </c>
      <c r="B630" s="38">
        <v>635</v>
      </c>
      <c r="C630" s="38" t="s">
        <v>631</v>
      </c>
      <c r="D630" s="38">
        <v>14</v>
      </c>
      <c r="E630" s="39" t="str">
        <f>CONCATENATE("PS-",TEXT(A630,"00"),"-",O636)</f>
        <v>PS-04-GZ4</v>
      </c>
      <c r="F630" s="48" t="str">
        <f>CONCATENATE("Poste de Sectionnement n°",TEXT(A630,"00")," ",O636)</f>
        <v>Poste de Sectionnement n°04 GZ4</v>
      </c>
      <c r="G630" s="19">
        <v>29952</v>
      </c>
      <c r="H630" s="19">
        <v>29952</v>
      </c>
      <c r="I630" s="41" t="s">
        <v>20</v>
      </c>
      <c r="J630" s="41">
        <v>1</v>
      </c>
      <c r="K630" s="41" t="s">
        <v>3557</v>
      </c>
      <c r="L630" s="41">
        <v>16</v>
      </c>
      <c r="M630" s="41"/>
      <c r="N630" s="41"/>
      <c r="O630" s="88"/>
      <c r="P630" s="41" t="s">
        <v>1897</v>
      </c>
      <c r="Q630" s="43">
        <f t="shared" si="78"/>
        <v>1162</v>
      </c>
      <c r="R630" s="43">
        <f t="shared" si="79"/>
        <v>275.327</v>
      </c>
      <c r="S630" s="41" t="s">
        <v>1867</v>
      </c>
      <c r="T630" s="48" t="str">
        <f t="shared" si="82"/>
        <v>(4,'PS-04-GZ4','Poste de Sectionnement n°04 GZ4','Friday-01-jj','Friday-01-jj',NULL,1,),</v>
      </c>
    </row>
    <row r="631" spans="1:20" ht="20.100000000000001" customHeight="1" x14ac:dyDescent="0.25">
      <c r="A631" s="38">
        <v>10</v>
      </c>
      <c r="B631" s="38">
        <v>636</v>
      </c>
      <c r="C631" s="38" t="s">
        <v>631</v>
      </c>
      <c r="D631" s="38">
        <v>14</v>
      </c>
      <c r="E631" s="39" t="str">
        <f>CONCATENATE("PPUR-",TEXT(A631,"00"),"-",O637)</f>
        <v>PPUR-10-GZ4</v>
      </c>
      <c r="F631" s="48" t="str">
        <f>CONCATENATE("Poste de Purge n°",TEXT(A631,"00")," ",O637)</f>
        <v>Poste de Purge n°10 GZ4</v>
      </c>
      <c r="G631" s="19">
        <v>32509</v>
      </c>
      <c r="H631" s="19">
        <v>32509</v>
      </c>
      <c r="I631" s="41" t="s">
        <v>20</v>
      </c>
      <c r="J631" s="41">
        <v>1</v>
      </c>
      <c r="K631" s="41" t="s">
        <v>3558</v>
      </c>
      <c r="L631" s="41">
        <v>17</v>
      </c>
      <c r="M631" s="41"/>
      <c r="N631" s="41"/>
      <c r="O631" s="88"/>
      <c r="P631" s="41" t="s">
        <v>2899</v>
      </c>
      <c r="Q631" s="49">
        <f t="shared" si="78"/>
        <v>1154</v>
      </c>
      <c r="R631" s="43">
        <f t="shared" si="79"/>
        <v>294.37700000000001</v>
      </c>
      <c r="S631" s="41" t="s">
        <v>1743</v>
      </c>
      <c r="T631" s="48" t="str">
        <f t="shared" si="82"/>
        <v>(10,'PPUR-10-GZ4','Poste de Purge n°10 GZ4','Sunday-01-jj','Sunday-01-jj',NULL,1,),</v>
      </c>
    </row>
    <row r="632" spans="1:20" ht="20.100000000000001" customHeight="1" x14ac:dyDescent="0.25">
      <c r="A632" s="38">
        <v>1</v>
      </c>
      <c r="B632" s="38">
        <v>637</v>
      </c>
      <c r="C632" s="38" t="s">
        <v>642</v>
      </c>
      <c r="D632" s="38">
        <v>15</v>
      </c>
      <c r="E632" s="39" t="str">
        <f>CONCATENATE("PS-",TEXT(A632,"00"),"-",O632)</f>
        <v>PS-01-GZ4</v>
      </c>
      <c r="F632" s="48" t="str">
        <f>CONCATENATE("Poste de Sectionnement n°",TEXT(A632,"00")," ",O632)</f>
        <v>Poste de Sectionnement n°01 GZ4</v>
      </c>
      <c r="G632" s="19">
        <v>39838</v>
      </c>
      <c r="H632" s="19">
        <v>39838</v>
      </c>
      <c r="I632" s="41" t="s">
        <v>20</v>
      </c>
      <c r="J632" s="41">
        <v>1</v>
      </c>
      <c r="K632" s="41" t="s">
        <v>3557</v>
      </c>
      <c r="L632" s="41">
        <v>16</v>
      </c>
      <c r="M632" s="41"/>
      <c r="N632" s="41"/>
      <c r="O632" s="41" t="s">
        <v>642</v>
      </c>
      <c r="P632" s="41" t="s">
        <v>1979</v>
      </c>
      <c r="Q632" s="43">
        <f t="shared" si="78"/>
        <v>748</v>
      </c>
      <c r="R632" s="43">
        <f t="shared" si="79"/>
        <v>17.306000000000001</v>
      </c>
      <c r="S632" s="41" t="s">
        <v>2016</v>
      </c>
      <c r="T632" s="48" t="str">
        <f t="shared" si="82"/>
        <v>(1,'PS-01-GZ4','Poste de Sectionnement n°01 GZ4','Sunday-01-jj','Sunday-01-jj',NULL,1,),</v>
      </c>
    </row>
    <row r="633" spans="1:20" ht="20.100000000000001" customHeight="1" x14ac:dyDescent="0.25">
      <c r="A633" s="38">
        <v>2</v>
      </c>
      <c r="B633" s="38">
        <v>638</v>
      </c>
      <c r="C633" s="38" t="s">
        <v>642</v>
      </c>
      <c r="D633" s="38">
        <v>15</v>
      </c>
      <c r="E633" s="39" t="str">
        <f>CONCATENATE("PS-",TEXT(A633,"00"),"-",O633)</f>
        <v>PS-02-GZ4</v>
      </c>
      <c r="F633" s="48" t="str">
        <f>CONCATENATE("Poste de Sectionnement n°",TEXT(A633,"00")," ",O633)</f>
        <v>Poste de Sectionnement n°02 GZ4</v>
      </c>
      <c r="G633" s="19">
        <v>39838</v>
      </c>
      <c r="H633" s="19">
        <v>39838</v>
      </c>
      <c r="I633" s="41" t="s">
        <v>20</v>
      </c>
      <c r="J633" s="41">
        <v>1</v>
      </c>
      <c r="K633" s="41" t="s">
        <v>3557</v>
      </c>
      <c r="L633" s="41">
        <v>16</v>
      </c>
      <c r="M633" s="41"/>
      <c r="N633" s="41"/>
      <c r="O633" s="41" t="s">
        <v>642</v>
      </c>
      <c r="P633" s="41" t="s">
        <v>1980</v>
      </c>
      <c r="Q633" s="43">
        <f t="shared" si="78"/>
        <v>780</v>
      </c>
      <c r="R633" s="43">
        <f t="shared" si="79"/>
        <v>37.234000000000002</v>
      </c>
      <c r="S633" s="41" t="s">
        <v>2016</v>
      </c>
      <c r="T633" s="48" t="str">
        <f t="shared" si="82"/>
        <v>(2,'PS-02-GZ4','Poste de Sectionnement n°02 GZ4','Sunday-01-jj','Sunday-01-jj',NULL,1,),</v>
      </c>
    </row>
    <row r="634" spans="1:20" ht="20.100000000000001" customHeight="1" x14ac:dyDescent="0.25">
      <c r="A634" s="38">
        <v>7</v>
      </c>
      <c r="B634" s="38">
        <v>639</v>
      </c>
      <c r="C634" s="38" t="s">
        <v>642</v>
      </c>
      <c r="D634" s="38">
        <v>15</v>
      </c>
      <c r="E634" s="39" t="str">
        <f>CONCATENATE("PPUR-",TEXT(A634,"00"),"-",O634)</f>
        <v>PPUR-07-GZ4</v>
      </c>
      <c r="F634" s="48" t="str">
        <f>CONCATENATE("Poste de Purge n°",TEXT(A634,"00")," ",O634)</f>
        <v>Poste de Purge n°07 GZ4</v>
      </c>
      <c r="G634" s="19">
        <v>39838</v>
      </c>
      <c r="H634" s="19">
        <v>39838</v>
      </c>
      <c r="I634" s="41" t="s">
        <v>20</v>
      </c>
      <c r="J634" s="41">
        <v>1</v>
      </c>
      <c r="K634" s="41" t="s">
        <v>3558</v>
      </c>
      <c r="L634" s="41">
        <v>17</v>
      </c>
      <c r="M634" s="41"/>
      <c r="N634" s="41"/>
      <c r="O634" s="41" t="s">
        <v>642</v>
      </c>
      <c r="P634" s="41" t="s">
        <v>2988</v>
      </c>
      <c r="Q634" s="49">
        <f t="shared" si="78"/>
        <v>114.54</v>
      </c>
      <c r="R634" s="43">
        <f t="shared" si="79"/>
        <v>55.4</v>
      </c>
      <c r="S634" s="41" t="s">
        <v>2986</v>
      </c>
      <c r="T634" s="48" t="str">
        <f t="shared" si="82"/>
        <v>(7,'PPUR-07-GZ4','Poste de Purge n°07 GZ4','Sunday-01-jj','Sunday-01-jj',NULL,1,),</v>
      </c>
    </row>
    <row r="635" spans="1:20" ht="20.100000000000001" customHeight="1" x14ac:dyDescent="0.25">
      <c r="A635" s="38">
        <v>3</v>
      </c>
      <c r="B635" s="38">
        <v>640</v>
      </c>
      <c r="C635" s="38" t="s">
        <v>642</v>
      </c>
      <c r="D635" s="38">
        <v>15</v>
      </c>
      <c r="E635" s="39" t="str">
        <f>CONCATENATE("PS-",TEXT(A635,"00"),"-",O635)</f>
        <v>PS-03-GZ4</v>
      </c>
      <c r="F635" s="48" t="str">
        <f>CONCATENATE("Poste de Sectionnement n°",TEXT(A635,"00")," ",O635)</f>
        <v>Poste de Sectionnement n°03 GZ4</v>
      </c>
      <c r="G635" s="19">
        <v>39838</v>
      </c>
      <c r="H635" s="19">
        <v>39838</v>
      </c>
      <c r="I635" s="41" t="s">
        <v>20</v>
      </c>
      <c r="J635" s="41">
        <v>1</v>
      </c>
      <c r="K635" s="41" t="s">
        <v>3557</v>
      </c>
      <c r="L635" s="41">
        <v>16</v>
      </c>
      <c r="M635" s="41"/>
      <c r="N635" s="41"/>
      <c r="O635" s="41" t="s">
        <v>642</v>
      </c>
      <c r="P635" s="41" t="s">
        <v>1981</v>
      </c>
      <c r="Q635" s="43">
        <f t="shared" si="78"/>
        <v>820</v>
      </c>
      <c r="R635" s="43">
        <f t="shared" si="79"/>
        <v>55.674999999999997</v>
      </c>
      <c r="S635" s="41" t="s">
        <v>2016</v>
      </c>
      <c r="T635" s="48" t="str">
        <f t="shared" si="82"/>
        <v>(3,'PS-03-GZ4','Poste de Sectionnement n°03 GZ4','Sunday-01-jj','Sunday-01-jj',NULL,1,),</v>
      </c>
    </row>
    <row r="636" spans="1:20" ht="20.100000000000001" customHeight="1" x14ac:dyDescent="0.25">
      <c r="A636" s="38">
        <v>1</v>
      </c>
      <c r="B636" s="38">
        <v>641</v>
      </c>
      <c r="C636" s="38" t="s">
        <v>642</v>
      </c>
      <c r="D636" s="38">
        <v>15</v>
      </c>
      <c r="E636" s="39" t="str">
        <f>CONCATENATE("PPUR-",TEXT(A636,"00"),"-",O636)</f>
        <v>PPUR-01-GZ4</v>
      </c>
      <c r="F636" s="48" t="str">
        <f>CONCATENATE("Poste de Purge n°",TEXT(A636,"00")," ",O636)</f>
        <v>Poste de Purge n°01 GZ4</v>
      </c>
      <c r="G636" s="19">
        <v>39838</v>
      </c>
      <c r="H636" s="19">
        <v>39838</v>
      </c>
      <c r="I636" s="41" t="s">
        <v>20</v>
      </c>
      <c r="J636" s="41">
        <v>1</v>
      </c>
      <c r="K636" s="41" t="s">
        <v>3558</v>
      </c>
      <c r="L636" s="41">
        <v>17</v>
      </c>
      <c r="M636" s="41"/>
      <c r="N636" s="41"/>
      <c r="O636" s="41" t="s">
        <v>642</v>
      </c>
      <c r="P636" s="41" t="s">
        <v>2990</v>
      </c>
      <c r="Q636" s="49">
        <f t="shared" si="78"/>
        <v>851.7</v>
      </c>
      <c r="R636" s="43">
        <f t="shared" si="79"/>
        <v>74</v>
      </c>
      <c r="S636" s="41" t="s">
        <v>791</v>
      </c>
      <c r="T636" s="48" t="str">
        <f t="shared" si="82"/>
        <v>(1,'PPUR-01-GZ4','Poste de Purge n°01 GZ4','Sunday-01-jj','Sunday-01-jj',NULL,1,),</v>
      </c>
    </row>
    <row r="637" spans="1:20" ht="20.100000000000001" customHeight="1" x14ac:dyDescent="0.25">
      <c r="A637" s="38">
        <v>1</v>
      </c>
      <c r="B637" s="38">
        <v>642</v>
      </c>
      <c r="C637" s="38" t="s">
        <v>642</v>
      </c>
      <c r="D637" s="38">
        <v>15</v>
      </c>
      <c r="E637" s="39" t="str">
        <f>CONCATENATE("PC-",TEXT(A637,"00"),"-",O637)</f>
        <v>PC-01-GZ4</v>
      </c>
      <c r="F637" s="48" t="str">
        <f>CONCATENATE("Poste de Coupure n°",TEXT(A637,"00")," ",O637)</f>
        <v>Poste de Coupure n°01 GZ4</v>
      </c>
      <c r="G637" s="19">
        <v>39838</v>
      </c>
      <c r="H637" s="19">
        <v>39838</v>
      </c>
      <c r="I637" s="41" t="s">
        <v>20</v>
      </c>
      <c r="J637" s="41">
        <v>1</v>
      </c>
      <c r="K637" s="41" t="s">
        <v>3556</v>
      </c>
      <c r="L637" s="41">
        <v>15</v>
      </c>
      <c r="M637" s="41"/>
      <c r="N637" s="41"/>
      <c r="O637" s="41" t="s">
        <v>642</v>
      </c>
      <c r="P637" s="41" t="s">
        <v>2974</v>
      </c>
      <c r="Q637" s="49">
        <f t="shared" si="78"/>
        <v>840</v>
      </c>
      <c r="R637" s="43">
        <f t="shared" si="79"/>
        <v>74.231999999999999</v>
      </c>
      <c r="S637" s="41" t="s">
        <v>2979</v>
      </c>
      <c r="T637" s="48" t="str">
        <f t="shared" si="82"/>
        <v>(1,'PC-01-GZ4','Poste de Coupure n°01 GZ4','Sunday-01-jj','Sunday-01-jj',NULL,1,),</v>
      </c>
    </row>
    <row r="638" spans="1:20" ht="20.100000000000001" customHeight="1" x14ac:dyDescent="0.25">
      <c r="A638" s="38">
        <v>4</v>
      </c>
      <c r="B638" s="38">
        <v>643</v>
      </c>
      <c r="C638" s="38" t="s">
        <v>642</v>
      </c>
      <c r="D638" s="38">
        <v>15</v>
      </c>
      <c r="E638" s="39" t="str">
        <f>CONCATENATE("PS-",TEXT(A638,"00"),"-",O638)</f>
        <v>PS-04-GZ4</v>
      </c>
      <c r="F638" s="48" t="str">
        <f>CONCATENATE("Poste de Sectionnement n°",TEXT(A638,"00")," ",O638)</f>
        <v>Poste de Sectionnement n°04 GZ4</v>
      </c>
      <c r="G638" s="19">
        <v>39838</v>
      </c>
      <c r="H638" s="19">
        <v>39838</v>
      </c>
      <c r="I638" s="41" t="s">
        <v>20</v>
      </c>
      <c r="J638" s="41">
        <v>1</v>
      </c>
      <c r="K638" s="41" t="s">
        <v>3557</v>
      </c>
      <c r="L638" s="41">
        <v>16</v>
      </c>
      <c r="M638" s="41"/>
      <c r="N638" s="41"/>
      <c r="O638" s="41" t="s">
        <v>642</v>
      </c>
      <c r="P638" s="41" t="s">
        <v>1982</v>
      </c>
      <c r="Q638" s="43">
        <f t="shared" si="78"/>
        <v>772</v>
      </c>
      <c r="R638" s="43">
        <f t="shared" si="79"/>
        <v>91.727999999999994</v>
      </c>
      <c r="S638" s="41" t="s">
        <v>1942</v>
      </c>
      <c r="T638" s="48" t="str">
        <f t="shared" si="82"/>
        <v>(4,'PS-04-GZ4','Poste de Sectionnement n°04 GZ4','Sunday-01-jj','Sunday-01-jj',NULL,1,),</v>
      </c>
    </row>
    <row r="639" spans="1:20" ht="20.100000000000001" customHeight="1" x14ac:dyDescent="0.25">
      <c r="A639" s="38">
        <v>5</v>
      </c>
      <c r="B639" s="38">
        <v>644</v>
      </c>
      <c r="C639" s="38" t="s">
        <v>642</v>
      </c>
      <c r="D639" s="38">
        <v>15</v>
      </c>
      <c r="E639" s="39" t="str">
        <f>CONCATENATE("PS-",TEXT(A639,"00"),"-",O639)</f>
        <v>PS-05-GZ4</v>
      </c>
      <c r="F639" s="48" t="str">
        <f>CONCATENATE("Poste de Sectionnement n°",TEXT(A639,"00")," ",O639)</f>
        <v>Poste de Sectionnement n°05 GZ4</v>
      </c>
      <c r="G639" s="19">
        <v>39838</v>
      </c>
      <c r="H639" s="19">
        <v>39838</v>
      </c>
      <c r="I639" s="41" t="s">
        <v>20</v>
      </c>
      <c r="J639" s="41">
        <v>1</v>
      </c>
      <c r="K639" s="41" t="s">
        <v>3557</v>
      </c>
      <c r="L639" s="41">
        <v>16</v>
      </c>
      <c r="M639" s="41"/>
      <c r="N639" s="41"/>
      <c r="O639" s="41" t="s">
        <v>642</v>
      </c>
      <c r="P639" s="41" t="s">
        <v>1983</v>
      </c>
      <c r="Q639" s="43">
        <f t="shared" si="78"/>
        <v>850</v>
      </c>
      <c r="R639" s="43">
        <f t="shared" si="79"/>
        <v>108.506</v>
      </c>
      <c r="S639" s="41" t="s">
        <v>1943</v>
      </c>
      <c r="T639" s="48" t="str">
        <f t="shared" si="82"/>
        <v>(5,'PS-05-GZ4','Poste de Sectionnement n°05 GZ4','Sunday-01-jj','Sunday-01-jj',NULL,1,),</v>
      </c>
    </row>
    <row r="640" spans="1:20" ht="20.100000000000001" customHeight="1" x14ac:dyDescent="0.25">
      <c r="A640" s="38">
        <v>6</v>
      </c>
      <c r="B640" s="38">
        <v>645</v>
      </c>
      <c r="C640" s="38" t="s">
        <v>642</v>
      </c>
      <c r="D640" s="38">
        <v>15</v>
      </c>
      <c r="E640" s="39" t="str">
        <f>CONCATENATE("PS-",TEXT(A640,"00"),"-",O640)</f>
        <v>PS-06-GZ4</v>
      </c>
      <c r="F640" s="48" t="str">
        <f>CONCATENATE("Poste de Sectionnement n°",TEXT(A640,"00")," ",O640)</f>
        <v>Poste de Sectionnement n°06 GZ4</v>
      </c>
      <c r="G640" s="19">
        <v>39838</v>
      </c>
      <c r="H640" s="19">
        <v>39838</v>
      </c>
      <c r="I640" s="41" t="s">
        <v>20</v>
      </c>
      <c r="J640" s="41">
        <v>1</v>
      </c>
      <c r="K640" s="41" t="s">
        <v>3557</v>
      </c>
      <c r="L640" s="41">
        <v>16</v>
      </c>
      <c r="M640" s="41"/>
      <c r="N640" s="41"/>
      <c r="O640" s="41" t="s">
        <v>642</v>
      </c>
      <c r="P640" s="41" t="s">
        <v>1984</v>
      </c>
      <c r="Q640" s="43">
        <f t="shared" si="78"/>
        <v>1000</v>
      </c>
      <c r="R640" s="43">
        <f t="shared" si="79"/>
        <v>127.193</v>
      </c>
      <c r="S640" s="41" t="s">
        <v>1937</v>
      </c>
      <c r="T640" s="48" t="str">
        <f t="shared" si="82"/>
        <v>(6,'PS-06-GZ4','Poste de Sectionnement n°06 GZ4','Sunday-01-jj','Sunday-01-jj',NULL,1,),</v>
      </c>
    </row>
    <row r="641" spans="1:20" ht="20.100000000000001" customHeight="1" x14ac:dyDescent="0.25">
      <c r="A641" s="38">
        <v>2</v>
      </c>
      <c r="B641" s="38">
        <v>646</v>
      </c>
      <c r="C641" s="38" t="s">
        <v>642</v>
      </c>
      <c r="D641" s="38">
        <v>15</v>
      </c>
      <c r="E641" s="39" t="str">
        <f>CONCATENATE("PPUR-",TEXT(A641,"00"),"-",O641)</f>
        <v>PPUR-02-GZ4</v>
      </c>
      <c r="F641" s="48" t="str">
        <f>CONCATENATE("Poste de Purge n°",TEXT(A641,"00")," ",O641)</f>
        <v>Poste de Purge n°02 GZ4</v>
      </c>
      <c r="G641" s="19">
        <v>39838</v>
      </c>
      <c r="H641" s="19">
        <v>39838</v>
      </c>
      <c r="I641" s="41" t="s">
        <v>20</v>
      </c>
      <c r="J641" s="41">
        <v>1</v>
      </c>
      <c r="K641" s="41" t="s">
        <v>3558</v>
      </c>
      <c r="L641" s="41">
        <v>17</v>
      </c>
      <c r="M641" s="41"/>
      <c r="N641" s="41"/>
      <c r="O641" s="41" t="s">
        <v>642</v>
      </c>
      <c r="P641" s="41" t="s">
        <v>2989</v>
      </c>
      <c r="Q641" s="49">
        <f t="shared" si="78"/>
        <v>1047.5999999999999</v>
      </c>
      <c r="R641" s="43">
        <f t="shared" si="79"/>
        <v>143.69999999999999</v>
      </c>
      <c r="S641" s="41" t="s">
        <v>1937</v>
      </c>
      <c r="T641" s="48" t="str">
        <f t="shared" si="82"/>
        <v>(2,'PPUR-02-GZ4','Poste de Purge n°02 GZ4','Sunday-01-jj','Sunday-01-jj',NULL,1,),</v>
      </c>
    </row>
    <row r="642" spans="1:20" ht="20.100000000000001" customHeight="1" x14ac:dyDescent="0.25">
      <c r="A642" s="38">
        <v>2</v>
      </c>
      <c r="B642" s="38">
        <v>647</v>
      </c>
      <c r="C642" s="38" t="s">
        <v>642</v>
      </c>
      <c r="D642" s="38">
        <v>15</v>
      </c>
      <c r="E642" s="39" t="str">
        <f>CONCATENATE("PC-",TEXT(A642,"00"),"-",O642)</f>
        <v>PC-02-GZ4</v>
      </c>
      <c r="F642" s="48" t="str">
        <f>CONCATENATE("Poste de Coupure n°",TEXT(A642,"00")," ",O642)</f>
        <v>Poste de Coupure n°02 GZ4</v>
      </c>
      <c r="G642" s="19">
        <v>39838</v>
      </c>
      <c r="H642" s="19">
        <v>39838</v>
      </c>
      <c r="I642" s="41" t="s">
        <v>20</v>
      </c>
      <c r="J642" s="41">
        <v>1</v>
      </c>
      <c r="K642" s="41" t="s">
        <v>3556</v>
      </c>
      <c r="L642" s="41">
        <v>15</v>
      </c>
      <c r="M642" s="41"/>
      <c r="N642" s="41"/>
      <c r="O642" s="41" t="s">
        <v>642</v>
      </c>
      <c r="P642" s="41" t="s">
        <v>2975</v>
      </c>
      <c r="Q642" s="49">
        <f t="shared" si="78"/>
        <v>1045</v>
      </c>
      <c r="R642" s="43">
        <f t="shared" si="79"/>
        <v>145.01499999999999</v>
      </c>
      <c r="S642" s="41" t="s">
        <v>2917</v>
      </c>
      <c r="T642" s="48" t="str">
        <f t="shared" si="82"/>
        <v>(2,'PC-02-GZ4','Poste de Coupure n°02 GZ4','Sunday-01-jj','Sunday-01-jj',NULL,1,),</v>
      </c>
    </row>
    <row r="643" spans="1:20" ht="20.100000000000001" customHeight="1" x14ac:dyDescent="0.25">
      <c r="A643" s="38">
        <v>7</v>
      </c>
      <c r="B643" s="38">
        <v>648</v>
      </c>
      <c r="C643" s="38" t="s">
        <v>642</v>
      </c>
      <c r="D643" s="38">
        <v>15</v>
      </c>
      <c r="E643" s="39" t="str">
        <f>CONCATENATE("PS-",TEXT(A643,"00"),"-",O643)</f>
        <v>PS-07-GZ4</v>
      </c>
      <c r="F643" s="48" t="str">
        <f>CONCATENATE("Poste de Sectionnement n°",TEXT(A643,"00")," ",O643)</f>
        <v>Poste de Sectionnement n°07 GZ4</v>
      </c>
      <c r="G643" s="19">
        <v>39838</v>
      </c>
      <c r="H643" s="19">
        <v>39838</v>
      </c>
      <c r="I643" s="41" t="s">
        <v>20</v>
      </c>
      <c r="J643" s="41">
        <v>1</v>
      </c>
      <c r="K643" s="41" t="s">
        <v>3557</v>
      </c>
      <c r="L643" s="41">
        <v>16</v>
      </c>
      <c r="M643" s="41"/>
      <c r="N643" s="41"/>
      <c r="O643" s="41" t="s">
        <v>642</v>
      </c>
      <c r="P643" s="41" t="s">
        <v>1985</v>
      </c>
      <c r="Q643" s="43">
        <f t="shared" si="78"/>
        <v>1268</v>
      </c>
      <c r="R643" s="43">
        <f t="shared" si="79"/>
        <v>164.97200000000001</v>
      </c>
      <c r="S643" s="41" t="s">
        <v>1937</v>
      </c>
      <c r="T643" s="48" t="str">
        <f t="shared" si="82"/>
        <v>(7,'PS-07-GZ4','Poste de Sectionnement n°07 GZ4','Sunday-01-jj','Sunday-01-jj',NULL,1,),</v>
      </c>
    </row>
    <row r="644" spans="1:20" ht="20.100000000000001" customHeight="1" x14ac:dyDescent="0.25">
      <c r="A644" s="38">
        <v>8</v>
      </c>
      <c r="B644" s="38">
        <v>649</v>
      </c>
      <c r="C644" s="38" t="s">
        <v>642</v>
      </c>
      <c r="D644" s="38">
        <v>15</v>
      </c>
      <c r="E644" s="39" t="str">
        <f>CONCATENATE("PS-",TEXT(A644,"00"),"-",O644)</f>
        <v>PS-08-GZ4</v>
      </c>
      <c r="F644" s="48" t="str">
        <f>CONCATENATE("Poste de Sectionnement n°",TEXT(A644,"00")," ",O644)</f>
        <v>Poste de Sectionnement n°08 GZ4</v>
      </c>
      <c r="G644" s="19">
        <v>39838</v>
      </c>
      <c r="H644" s="19">
        <v>39838</v>
      </c>
      <c r="I644" s="41" t="s">
        <v>20</v>
      </c>
      <c r="J644" s="41">
        <v>1</v>
      </c>
      <c r="K644" s="41" t="s">
        <v>3557</v>
      </c>
      <c r="L644" s="41">
        <v>16</v>
      </c>
      <c r="M644" s="41"/>
      <c r="N644" s="41"/>
      <c r="O644" s="41" t="s">
        <v>642</v>
      </c>
      <c r="P644" s="41" t="s">
        <v>1986</v>
      </c>
      <c r="Q644" s="43">
        <f t="shared" si="78"/>
        <v>1120</v>
      </c>
      <c r="R644" s="43">
        <f t="shared" si="79"/>
        <v>184.93600000000001</v>
      </c>
      <c r="S644" s="41" t="s">
        <v>1937</v>
      </c>
      <c r="T644" s="48" t="str">
        <f t="shared" si="82"/>
        <v>(8,'PS-08-GZ4','Poste de Sectionnement n°08 GZ4','Sunday-01-jj','Sunday-01-jj',NULL,1,),</v>
      </c>
    </row>
    <row r="645" spans="1:20" ht="20.100000000000001" customHeight="1" x14ac:dyDescent="0.25">
      <c r="A645" s="38">
        <v>9</v>
      </c>
      <c r="B645" s="38">
        <v>650</v>
      </c>
      <c r="C645" s="38" t="s">
        <v>642</v>
      </c>
      <c r="D645" s="38">
        <v>15</v>
      </c>
      <c r="E645" s="39" t="str">
        <f>CONCATENATE("PS-",TEXT(A645,"00"),"-",O645)</f>
        <v>PS-09-GZ4</v>
      </c>
      <c r="F645" s="48" t="str">
        <f>CONCATENATE("Poste de Sectionnement n°",TEXT(A645,"00")," ",O645)</f>
        <v>Poste de Sectionnement n°09 GZ4</v>
      </c>
      <c r="G645" s="19">
        <v>39838</v>
      </c>
      <c r="H645" s="19">
        <v>39838</v>
      </c>
      <c r="I645" s="41" t="s">
        <v>20</v>
      </c>
      <c r="J645" s="41">
        <v>1</v>
      </c>
      <c r="K645" s="41" t="s">
        <v>3557</v>
      </c>
      <c r="L645" s="41">
        <v>16</v>
      </c>
      <c r="M645" s="41"/>
      <c r="N645" s="41"/>
      <c r="O645" s="41" t="s">
        <v>642</v>
      </c>
      <c r="P645" s="41" t="s">
        <v>1987</v>
      </c>
      <c r="Q645" s="43">
        <f t="shared" si="78"/>
        <v>990</v>
      </c>
      <c r="R645" s="43">
        <f t="shared" si="79"/>
        <v>204.69900000000001</v>
      </c>
      <c r="S645" s="41" t="s">
        <v>2017</v>
      </c>
      <c r="T645" s="48" t="str">
        <f t="shared" si="82"/>
        <v>(9,'PS-09-GZ4','Poste de Sectionnement n°09 GZ4','Sunday-01-jj','Sunday-01-jj',NULL,1,),</v>
      </c>
    </row>
    <row r="646" spans="1:20" ht="20.100000000000001" customHeight="1" x14ac:dyDescent="0.25">
      <c r="A646" s="38">
        <v>3</v>
      </c>
      <c r="B646" s="38">
        <v>651</v>
      </c>
      <c r="C646" s="38" t="s">
        <v>642</v>
      </c>
      <c r="D646" s="38">
        <v>15</v>
      </c>
      <c r="E646" s="39" t="str">
        <f>CONCATENATE("PPUR-",TEXT(A646,"00"),"-",O646)</f>
        <v>PPUR-03-GZ4</v>
      </c>
      <c r="F646" s="48" t="str">
        <f>CONCATENATE("Poste de Purge n°",TEXT(A646,"00")," ",O646)</f>
        <v>Poste de Purge n°03 GZ4</v>
      </c>
      <c r="G646" s="19">
        <v>39838</v>
      </c>
      <c r="H646" s="19">
        <v>39838</v>
      </c>
      <c r="I646" s="41" t="s">
        <v>20</v>
      </c>
      <c r="J646" s="41">
        <v>1</v>
      </c>
      <c r="K646" s="41" t="s">
        <v>3558</v>
      </c>
      <c r="L646" s="41">
        <v>17</v>
      </c>
      <c r="M646" s="41"/>
      <c r="N646" s="41"/>
      <c r="O646" s="41" t="s">
        <v>642</v>
      </c>
      <c r="P646" s="41" t="s">
        <v>2980</v>
      </c>
      <c r="Q646" s="49">
        <f t="shared" si="78"/>
        <v>969</v>
      </c>
      <c r="R646" s="43">
        <f t="shared" si="79"/>
        <v>224.9</v>
      </c>
      <c r="S646" s="41" t="s">
        <v>2983</v>
      </c>
      <c r="T646" s="48" t="str">
        <f t="shared" si="82"/>
        <v>(3,'PPUR-03-GZ4','Poste de Purge n°03 GZ4','Sunday-01-jj','Sunday-01-jj',NULL,1,),</v>
      </c>
    </row>
    <row r="647" spans="1:20" ht="20.100000000000001" customHeight="1" x14ac:dyDescent="0.25">
      <c r="A647" s="38">
        <v>3</v>
      </c>
      <c r="B647" s="38">
        <v>652</v>
      </c>
      <c r="C647" s="38" t="s">
        <v>642</v>
      </c>
      <c r="D647" s="38">
        <v>15</v>
      </c>
      <c r="E647" s="39" t="str">
        <f>CONCATENATE("PC-",TEXT(A647,"00"),"-",O647)</f>
        <v>PC-03-GZ4</v>
      </c>
      <c r="F647" s="48" t="str">
        <f>CONCATENATE("Poste de Coupure n°",TEXT(A647,"00")," ",O647)</f>
        <v>Poste de Coupure n°03 GZ4</v>
      </c>
      <c r="G647" s="19">
        <v>39838</v>
      </c>
      <c r="H647" s="19">
        <v>39838</v>
      </c>
      <c r="I647" s="41" t="s">
        <v>20</v>
      </c>
      <c r="J647" s="41">
        <v>1</v>
      </c>
      <c r="K647" s="41" t="s">
        <v>3556</v>
      </c>
      <c r="L647" s="41">
        <v>15</v>
      </c>
      <c r="M647" s="41"/>
      <c r="N647" s="41"/>
      <c r="O647" s="41" t="s">
        <v>642</v>
      </c>
      <c r="P647" s="41" t="s">
        <v>2976</v>
      </c>
      <c r="Q647" s="49">
        <f t="shared" si="78"/>
        <v>970</v>
      </c>
      <c r="R647" s="43">
        <f t="shared" si="79"/>
        <v>225.51</v>
      </c>
      <c r="S647" s="41" t="s">
        <v>2825</v>
      </c>
      <c r="T647" s="48" t="str">
        <f t="shared" si="82"/>
        <v>(3,'PC-03-GZ4','Poste de Coupure n°03 GZ4','Sunday-01-jj','Sunday-01-jj',NULL,1,),</v>
      </c>
    </row>
    <row r="648" spans="1:20" ht="20.100000000000001" customHeight="1" x14ac:dyDescent="0.25">
      <c r="A648" s="38">
        <v>10</v>
      </c>
      <c r="B648" s="38">
        <v>653</v>
      </c>
      <c r="C648" s="38" t="s">
        <v>642</v>
      </c>
      <c r="D648" s="38">
        <v>15</v>
      </c>
      <c r="E648" s="39" t="str">
        <f>CONCATENATE("PS-",TEXT(A648,"00"),"-",O648)</f>
        <v>PS-10-GZ4</v>
      </c>
      <c r="F648" s="48" t="str">
        <f>CONCATENATE("Poste de Sectionnement n°",TEXT(A648,"00")," ",O648)</f>
        <v>Poste de Sectionnement n°10 GZ4</v>
      </c>
      <c r="G648" s="19">
        <v>39838</v>
      </c>
      <c r="H648" s="19">
        <v>39838</v>
      </c>
      <c r="I648" s="41" t="s">
        <v>20</v>
      </c>
      <c r="J648" s="41">
        <v>1</v>
      </c>
      <c r="K648" s="41" t="s">
        <v>3557</v>
      </c>
      <c r="L648" s="41">
        <v>16</v>
      </c>
      <c r="M648" s="41"/>
      <c r="N648" s="41"/>
      <c r="O648" s="41" t="s">
        <v>642</v>
      </c>
      <c r="P648" s="41" t="s">
        <v>1988</v>
      </c>
      <c r="Q648" s="43">
        <f t="shared" ref="Q648:Q680" si="83">VALUE(RIGHT(P648,LEN(P648)-SEARCH("/",P648)))</f>
        <v>990</v>
      </c>
      <c r="R648" s="43">
        <f t="shared" ref="R648:R680" si="84">VALUE(SUBSTITUTE(LEFT(P648,SEARCH("/",P648)-1),"+",","))</f>
        <v>243.28100000000001</v>
      </c>
      <c r="S648" s="41" t="s">
        <v>1867</v>
      </c>
      <c r="T648" s="48" t="str">
        <f t="shared" si="82"/>
        <v>(10,'PS-10-GZ4','Poste de Sectionnement n°10 GZ4','Sunday-01-jj','Sunday-01-jj',NULL,1,),</v>
      </c>
    </row>
    <row r="649" spans="1:20" ht="20.100000000000001" customHeight="1" x14ac:dyDescent="0.25">
      <c r="A649" s="38">
        <v>11</v>
      </c>
      <c r="B649" s="38">
        <v>654</v>
      </c>
      <c r="C649" s="38" t="s">
        <v>642</v>
      </c>
      <c r="D649" s="38">
        <v>15</v>
      </c>
      <c r="E649" s="39" t="str">
        <f>CONCATENATE("PS-",TEXT(A649,"00"),"-",O649)</f>
        <v>PS-11-GZ4</v>
      </c>
      <c r="F649" s="48" t="str">
        <f>CONCATENATE("Poste de Sectionnement n°",TEXT(A649,"00")," ",O649)</f>
        <v>Poste de Sectionnement n°11 GZ4</v>
      </c>
      <c r="G649" s="19">
        <v>39838</v>
      </c>
      <c r="H649" s="19">
        <v>39838</v>
      </c>
      <c r="I649" s="41" t="s">
        <v>20</v>
      </c>
      <c r="J649" s="41">
        <v>1</v>
      </c>
      <c r="K649" s="41" t="s">
        <v>3557</v>
      </c>
      <c r="L649" s="41">
        <v>16</v>
      </c>
      <c r="M649" s="41"/>
      <c r="N649" s="41"/>
      <c r="O649" s="41" t="s">
        <v>642</v>
      </c>
      <c r="P649" s="41" t="s">
        <v>1989</v>
      </c>
      <c r="Q649" s="43">
        <f t="shared" si="83"/>
        <v>1025</v>
      </c>
      <c r="R649" s="43">
        <f t="shared" si="84"/>
        <v>260.57100000000003</v>
      </c>
      <c r="S649" s="41" t="s">
        <v>1867</v>
      </c>
      <c r="T649" s="48" t="str">
        <f t="shared" si="82"/>
        <v>(11,'PS-11-GZ4','Poste de Sectionnement n°11 GZ4','Sunday-01-jj','Sunday-01-jj',NULL,1,),</v>
      </c>
    </row>
    <row r="650" spans="1:20" ht="20.100000000000001" customHeight="1" x14ac:dyDescent="0.25">
      <c r="A650" s="38">
        <v>12</v>
      </c>
      <c r="B650" s="38">
        <v>655</v>
      </c>
      <c r="C650" s="38" t="s">
        <v>642</v>
      </c>
      <c r="D650" s="38">
        <v>15</v>
      </c>
      <c r="E650" s="39" t="str">
        <f>CONCATENATE("PS-",TEXT(A650,"00"),"-",O650)</f>
        <v>PS-12-GZ4</v>
      </c>
      <c r="F650" s="48" t="str">
        <f>CONCATENATE("Poste de Sectionnement n°",TEXT(A650,"00")," ",O650)</f>
        <v>Poste de Sectionnement n°12 GZ4</v>
      </c>
      <c r="G650" s="19">
        <v>39838</v>
      </c>
      <c r="H650" s="19">
        <v>39838</v>
      </c>
      <c r="I650" s="41" t="s">
        <v>20</v>
      </c>
      <c r="J650" s="41">
        <v>1</v>
      </c>
      <c r="K650" s="41" t="s">
        <v>3557</v>
      </c>
      <c r="L650" s="41">
        <v>16</v>
      </c>
      <c r="M650" s="41"/>
      <c r="N650" s="41"/>
      <c r="O650" s="41" t="s">
        <v>642</v>
      </c>
      <c r="P650" s="41" t="s">
        <v>1990</v>
      </c>
      <c r="Q650" s="43">
        <f t="shared" si="83"/>
        <v>1029</v>
      </c>
      <c r="R650" s="43">
        <f t="shared" si="84"/>
        <v>277.84899999999999</v>
      </c>
      <c r="S650" s="41" t="s">
        <v>1867</v>
      </c>
      <c r="T650" s="48" t="str">
        <f t="shared" si="82"/>
        <v>(12,'PS-12-GZ4','Poste de Sectionnement n°12 GZ4','Sunday-01-jj','Sunday-01-jj',NULL,1,),</v>
      </c>
    </row>
    <row r="651" spans="1:20" ht="20.100000000000001" customHeight="1" x14ac:dyDescent="0.25">
      <c r="A651" s="38">
        <v>4</v>
      </c>
      <c r="B651" s="38">
        <v>656</v>
      </c>
      <c r="C651" s="38" t="s">
        <v>642</v>
      </c>
      <c r="D651" s="38">
        <v>15</v>
      </c>
      <c r="E651" s="39" t="str">
        <f>CONCATENATE("PPUR-",TEXT(A651,"00"),"-",O651)</f>
        <v>PPUR-04-GZ4</v>
      </c>
      <c r="F651" s="48" t="str">
        <f>CONCATENATE("Poste de Purge n°",TEXT(A651,"00")," ",O651)</f>
        <v>Poste de Purge n°04 GZ4</v>
      </c>
      <c r="G651" s="19">
        <v>39838</v>
      </c>
      <c r="H651" s="19">
        <v>39838</v>
      </c>
      <c r="I651" s="41" t="s">
        <v>20</v>
      </c>
      <c r="J651" s="41">
        <v>1</v>
      </c>
      <c r="K651" s="41" t="s">
        <v>3558</v>
      </c>
      <c r="L651" s="41">
        <v>17</v>
      </c>
      <c r="M651" s="41"/>
      <c r="N651" s="41"/>
      <c r="O651" s="41" t="s">
        <v>642</v>
      </c>
      <c r="P651" s="41" t="s">
        <v>2981</v>
      </c>
      <c r="Q651" s="49">
        <f t="shared" si="83"/>
        <v>1287</v>
      </c>
      <c r="R651" s="43">
        <f t="shared" si="84"/>
        <v>297</v>
      </c>
      <c r="S651" s="41" t="s">
        <v>1743</v>
      </c>
      <c r="T651" s="48" t="str">
        <f t="shared" si="82"/>
        <v>(4,'PPUR-04-GZ4','Poste de Purge n°04 GZ4','Sunday-01-jj','Sunday-01-jj',NULL,1,),</v>
      </c>
    </row>
    <row r="652" spans="1:20" ht="20.100000000000001" customHeight="1" x14ac:dyDescent="0.25">
      <c r="A652" s="38">
        <v>4</v>
      </c>
      <c r="B652" s="38">
        <v>657</v>
      </c>
      <c r="C652" s="38" t="s">
        <v>642</v>
      </c>
      <c r="D652" s="38">
        <v>15</v>
      </c>
      <c r="E652" s="39" t="str">
        <f>CONCATENATE("PC-",TEXT(A652,"00"),"-",O652)</f>
        <v>PC-04-GZ4</v>
      </c>
      <c r="F652" s="48" t="str">
        <f>CONCATENATE("Poste de Coupure n°",TEXT(A652,"00")," ",O652)</f>
        <v>Poste de Coupure n°04 GZ4</v>
      </c>
      <c r="G652" s="19">
        <v>39838</v>
      </c>
      <c r="H652" s="19">
        <v>39838</v>
      </c>
      <c r="I652" s="41" t="s">
        <v>20</v>
      </c>
      <c r="J652" s="41">
        <v>1</v>
      </c>
      <c r="K652" s="41" t="s">
        <v>3556</v>
      </c>
      <c r="L652" s="41">
        <v>15</v>
      </c>
      <c r="M652" s="41"/>
      <c r="N652" s="41"/>
      <c r="O652" s="41" t="s">
        <v>642</v>
      </c>
      <c r="P652" s="41" t="s">
        <v>2977</v>
      </c>
      <c r="Q652" s="49">
        <f t="shared" si="83"/>
        <v>1235</v>
      </c>
      <c r="R652" s="43">
        <f t="shared" si="84"/>
        <v>297.202</v>
      </c>
      <c r="S652" s="41" t="s">
        <v>2918</v>
      </c>
      <c r="T652" s="48" t="str">
        <f t="shared" si="82"/>
        <v>(4,'PC-04-GZ4','Poste de Coupure n°04 GZ4','Sunday-01-jj','Sunday-01-jj',NULL,1,),</v>
      </c>
    </row>
    <row r="653" spans="1:20" ht="20.100000000000001" customHeight="1" x14ac:dyDescent="0.25">
      <c r="A653" s="38">
        <v>13</v>
      </c>
      <c r="B653" s="38">
        <v>658</v>
      </c>
      <c r="C653" s="38" t="s">
        <v>642</v>
      </c>
      <c r="D653" s="38">
        <v>15</v>
      </c>
      <c r="E653" s="39" t="str">
        <f t="shared" ref="E653:E661" si="85">CONCATENATE("PS-",TEXT(A653,"00"),"-",O653)</f>
        <v>PS-13-GZ4</v>
      </c>
      <c r="F653" s="48" t="str">
        <f t="shared" ref="F653:F661" si="86">CONCATENATE("Poste de Sectionnement n°",TEXT(A653,"00")," ",O653)</f>
        <v>Poste de Sectionnement n°13 GZ4</v>
      </c>
      <c r="G653" s="19">
        <v>40021</v>
      </c>
      <c r="H653" s="19">
        <v>40021</v>
      </c>
      <c r="I653" s="41" t="s">
        <v>20</v>
      </c>
      <c r="J653" s="41">
        <v>1</v>
      </c>
      <c r="K653" s="41" t="s">
        <v>3557</v>
      </c>
      <c r="L653" s="41">
        <v>16</v>
      </c>
      <c r="M653" s="41"/>
      <c r="N653" s="41"/>
      <c r="O653" s="41" t="s">
        <v>642</v>
      </c>
      <c r="P653" s="41" t="s">
        <v>1991</v>
      </c>
      <c r="Q653" s="43">
        <f t="shared" si="83"/>
        <v>990</v>
      </c>
      <c r="R653" s="43">
        <f t="shared" si="84"/>
        <v>309.88099999999997</v>
      </c>
      <c r="S653" s="41" t="s">
        <v>753</v>
      </c>
      <c r="T653" s="48" t="str">
        <f t="shared" si="82"/>
        <v>(13,'PS-13-GZ4','Poste de Sectionnement n°13 GZ4','Monday-07-jj','Monday-07-jj',NULL,1,),</v>
      </c>
    </row>
    <row r="654" spans="1:20" ht="20.100000000000001" customHeight="1" x14ac:dyDescent="0.25">
      <c r="A654" s="38">
        <v>14</v>
      </c>
      <c r="B654" s="38">
        <v>659</v>
      </c>
      <c r="C654" s="38" t="s">
        <v>642</v>
      </c>
      <c r="D654" s="38">
        <v>15</v>
      </c>
      <c r="E654" s="39" t="str">
        <f t="shared" si="85"/>
        <v>PS-14-GZ4</v>
      </c>
      <c r="F654" s="48" t="str">
        <f t="shared" si="86"/>
        <v>Poste de Sectionnement n°14 GZ4</v>
      </c>
      <c r="G654" s="19">
        <v>40021</v>
      </c>
      <c r="H654" s="19">
        <v>40021</v>
      </c>
      <c r="I654" s="41" t="s">
        <v>20</v>
      </c>
      <c r="J654" s="41">
        <v>1</v>
      </c>
      <c r="K654" s="41" t="s">
        <v>3557</v>
      </c>
      <c r="L654" s="41">
        <v>16</v>
      </c>
      <c r="M654" s="41"/>
      <c r="N654" s="41"/>
      <c r="O654" s="41" t="s">
        <v>642</v>
      </c>
      <c r="P654" s="41" t="s">
        <v>1992</v>
      </c>
      <c r="Q654" s="43">
        <f t="shared" si="83"/>
        <v>1000</v>
      </c>
      <c r="R654" s="43">
        <f t="shared" si="84"/>
        <v>320.28199999999998</v>
      </c>
      <c r="S654" s="41" t="s">
        <v>753</v>
      </c>
      <c r="T654" s="48" t="str">
        <f t="shared" si="82"/>
        <v>(14,'PS-14-GZ4','Poste de Sectionnement n°14 GZ4','Monday-07-jj','Monday-07-jj',NULL,1,),</v>
      </c>
    </row>
    <row r="655" spans="1:20" ht="20.100000000000001" customHeight="1" x14ac:dyDescent="0.25">
      <c r="A655" s="38">
        <v>15</v>
      </c>
      <c r="B655" s="38">
        <v>660</v>
      </c>
      <c r="C655" s="38" t="s">
        <v>642</v>
      </c>
      <c r="D655" s="38">
        <v>15</v>
      </c>
      <c r="E655" s="39" t="str">
        <f t="shared" si="85"/>
        <v>PS-15-GZ4</v>
      </c>
      <c r="F655" s="48" t="str">
        <f t="shared" si="86"/>
        <v>Poste de Sectionnement n°15 GZ4</v>
      </c>
      <c r="G655" s="19">
        <v>40021</v>
      </c>
      <c r="H655" s="19">
        <v>40021</v>
      </c>
      <c r="I655" s="41" t="s">
        <v>20</v>
      </c>
      <c r="J655" s="41">
        <v>1</v>
      </c>
      <c r="K655" s="41" t="s">
        <v>3557</v>
      </c>
      <c r="L655" s="41">
        <v>16</v>
      </c>
      <c r="M655" s="41"/>
      <c r="N655" s="41"/>
      <c r="O655" s="41" t="s">
        <v>642</v>
      </c>
      <c r="P655" s="41" t="s">
        <v>1993</v>
      </c>
      <c r="Q655" s="43">
        <f t="shared" si="83"/>
        <v>996</v>
      </c>
      <c r="R655" s="43">
        <f t="shared" si="84"/>
        <v>329.40300000000002</v>
      </c>
      <c r="S655" s="41" t="s">
        <v>2024</v>
      </c>
      <c r="T655" s="48" t="str">
        <f t="shared" si="82"/>
        <v>(15,'PS-15-GZ4','Poste de Sectionnement n°15 GZ4','Monday-07-jj','Monday-07-jj',NULL,1,),</v>
      </c>
    </row>
    <row r="656" spans="1:20" ht="20.100000000000001" customHeight="1" x14ac:dyDescent="0.25">
      <c r="A656" s="38">
        <v>16</v>
      </c>
      <c r="B656" s="38">
        <v>661</v>
      </c>
      <c r="C656" s="38" t="s">
        <v>642</v>
      </c>
      <c r="D656" s="38">
        <v>15</v>
      </c>
      <c r="E656" s="39" t="str">
        <f t="shared" si="85"/>
        <v>PS-16-GZ4</v>
      </c>
      <c r="F656" s="48" t="str">
        <f t="shared" si="86"/>
        <v>Poste de Sectionnement n°16 GZ4</v>
      </c>
      <c r="G656" s="19">
        <v>40021</v>
      </c>
      <c r="H656" s="19">
        <v>40021</v>
      </c>
      <c r="I656" s="41" t="s">
        <v>20</v>
      </c>
      <c r="J656" s="41">
        <v>1</v>
      </c>
      <c r="K656" s="41" t="s">
        <v>3557</v>
      </c>
      <c r="L656" s="41">
        <v>16</v>
      </c>
      <c r="M656" s="41"/>
      <c r="N656" s="41"/>
      <c r="O656" s="41" t="s">
        <v>642</v>
      </c>
      <c r="P656" s="41" t="s">
        <v>1994</v>
      </c>
      <c r="Q656" s="43">
        <f t="shared" si="83"/>
        <v>997</v>
      </c>
      <c r="R656" s="43">
        <f t="shared" si="84"/>
        <v>337.40699999999998</v>
      </c>
      <c r="S656" s="41" t="s">
        <v>754</v>
      </c>
      <c r="T656" s="48" t="str">
        <f t="shared" si="82"/>
        <v>(16,'PS-16-GZ4','Poste de Sectionnement n°16 GZ4','Monday-07-jj','Monday-07-jj',NULL,1,),</v>
      </c>
    </row>
    <row r="657" spans="1:20" ht="20.100000000000001" customHeight="1" x14ac:dyDescent="0.25">
      <c r="A657" s="38">
        <v>17</v>
      </c>
      <c r="B657" s="38">
        <v>662</v>
      </c>
      <c r="C657" s="38" t="s">
        <v>642</v>
      </c>
      <c r="D657" s="38">
        <v>15</v>
      </c>
      <c r="E657" s="39" t="str">
        <f t="shared" si="85"/>
        <v>PS-17-GZ4</v>
      </c>
      <c r="F657" s="48" t="str">
        <f t="shared" si="86"/>
        <v>Poste de Sectionnement n°17 GZ4</v>
      </c>
      <c r="G657" s="19">
        <v>40021</v>
      </c>
      <c r="H657" s="19">
        <v>40021</v>
      </c>
      <c r="I657" s="41" t="s">
        <v>20</v>
      </c>
      <c r="J657" s="41">
        <v>1</v>
      </c>
      <c r="K657" s="41" t="s">
        <v>3557</v>
      </c>
      <c r="L657" s="41">
        <v>16</v>
      </c>
      <c r="M657" s="41"/>
      <c r="N657" s="41"/>
      <c r="O657" s="41" t="s">
        <v>642</v>
      </c>
      <c r="P657" s="41" t="s">
        <v>1995</v>
      </c>
      <c r="Q657" s="43">
        <f t="shared" si="83"/>
        <v>1000</v>
      </c>
      <c r="R657" s="43">
        <f t="shared" si="84"/>
        <v>351.58199999999999</v>
      </c>
      <c r="S657" s="41" t="s">
        <v>798</v>
      </c>
      <c r="T657" s="48" t="str">
        <f t="shared" si="82"/>
        <v>(17,'PS-17-GZ4','Poste de Sectionnement n°17 GZ4','Monday-07-jj','Monday-07-jj',NULL,1,),</v>
      </c>
    </row>
    <row r="658" spans="1:20" ht="20.100000000000001" customHeight="1" x14ac:dyDescent="0.25">
      <c r="A658" s="38">
        <v>18</v>
      </c>
      <c r="B658" s="38">
        <v>663</v>
      </c>
      <c r="C658" s="38" t="s">
        <v>642</v>
      </c>
      <c r="D658" s="38">
        <v>15</v>
      </c>
      <c r="E658" s="39" t="str">
        <f t="shared" si="85"/>
        <v>PS-18-GZ4</v>
      </c>
      <c r="F658" s="48" t="str">
        <f t="shared" si="86"/>
        <v>Poste de Sectionnement n°18 GZ4</v>
      </c>
      <c r="G658" s="19">
        <v>40021</v>
      </c>
      <c r="H658" s="19">
        <v>40021</v>
      </c>
      <c r="I658" s="41" t="s">
        <v>20</v>
      </c>
      <c r="J658" s="41">
        <v>1</v>
      </c>
      <c r="K658" s="41" t="s">
        <v>3557</v>
      </c>
      <c r="L658" s="41">
        <v>16</v>
      </c>
      <c r="M658" s="41"/>
      <c r="N658" s="41"/>
      <c r="O658" s="41" t="s">
        <v>642</v>
      </c>
      <c r="P658" s="41" t="s">
        <v>1996</v>
      </c>
      <c r="Q658" s="43">
        <f t="shared" si="83"/>
        <v>1200</v>
      </c>
      <c r="R658" s="43">
        <f t="shared" si="84"/>
        <v>360.36799999999999</v>
      </c>
      <c r="S658" s="41" t="s">
        <v>755</v>
      </c>
      <c r="T658" s="48" t="str">
        <f t="shared" si="82"/>
        <v>(18,'PS-18-GZ4','Poste de Sectionnement n°18 GZ4','Monday-07-jj','Monday-07-jj',NULL,1,),</v>
      </c>
    </row>
    <row r="659" spans="1:20" ht="20.100000000000001" customHeight="1" x14ac:dyDescent="0.25">
      <c r="A659" s="38">
        <v>19</v>
      </c>
      <c r="B659" s="38">
        <v>664</v>
      </c>
      <c r="C659" s="38" t="s">
        <v>642</v>
      </c>
      <c r="D659" s="38">
        <v>15</v>
      </c>
      <c r="E659" s="39" t="str">
        <f t="shared" si="85"/>
        <v>PS-19-GZ4</v>
      </c>
      <c r="F659" s="48" t="str">
        <f t="shared" si="86"/>
        <v>Poste de Sectionnement n°19 GZ4</v>
      </c>
      <c r="G659" s="19">
        <v>40021</v>
      </c>
      <c r="H659" s="19">
        <v>40021</v>
      </c>
      <c r="I659" s="41" t="s">
        <v>20</v>
      </c>
      <c r="J659" s="41">
        <v>1</v>
      </c>
      <c r="K659" s="41" t="s">
        <v>3557</v>
      </c>
      <c r="L659" s="41">
        <v>16</v>
      </c>
      <c r="M659" s="41"/>
      <c r="N659" s="41"/>
      <c r="O659" s="41" t="s">
        <v>642</v>
      </c>
      <c r="P659" s="41" t="s">
        <v>1997</v>
      </c>
      <c r="Q659" s="43">
        <f t="shared" si="83"/>
        <v>1129</v>
      </c>
      <c r="R659" s="43">
        <f t="shared" si="84"/>
        <v>369.49799999999999</v>
      </c>
      <c r="S659" s="41" t="s">
        <v>755</v>
      </c>
      <c r="T659" s="48" t="str">
        <f t="shared" si="82"/>
        <v>(19,'PS-19-GZ4','Poste de Sectionnement n°19 GZ4','Monday-07-jj','Monday-07-jj',NULL,1,),</v>
      </c>
    </row>
    <row r="660" spans="1:20" ht="20.100000000000001" customHeight="1" x14ac:dyDescent="0.25">
      <c r="A660" s="38">
        <v>20</v>
      </c>
      <c r="B660" s="38">
        <v>665</v>
      </c>
      <c r="C660" s="38" t="s">
        <v>642</v>
      </c>
      <c r="D660" s="38">
        <v>15</v>
      </c>
      <c r="E660" s="39" t="str">
        <f t="shared" si="85"/>
        <v>PS-20-GZ4</v>
      </c>
      <c r="F660" s="48" t="str">
        <f t="shared" si="86"/>
        <v>Poste de Sectionnement n°20 GZ4</v>
      </c>
      <c r="G660" s="19">
        <v>40021</v>
      </c>
      <c r="H660" s="19">
        <v>40021</v>
      </c>
      <c r="I660" s="41" t="s">
        <v>20</v>
      </c>
      <c r="J660" s="41">
        <v>1</v>
      </c>
      <c r="K660" s="41" t="s">
        <v>3557</v>
      </c>
      <c r="L660" s="41">
        <v>16</v>
      </c>
      <c r="M660" s="41"/>
      <c r="N660" s="41"/>
      <c r="O660" s="41" t="s">
        <v>642</v>
      </c>
      <c r="P660" s="41" t="s">
        <v>1998</v>
      </c>
      <c r="Q660" s="43">
        <f t="shared" si="83"/>
        <v>1000</v>
      </c>
      <c r="R660" s="43">
        <f t="shared" si="84"/>
        <v>381.10899999999998</v>
      </c>
      <c r="S660" s="41" t="s">
        <v>2025</v>
      </c>
      <c r="T660" s="48" t="str">
        <f t="shared" si="82"/>
        <v>(20,'PS-20-GZ4','Poste de Sectionnement n°20 GZ4','Monday-07-jj','Monday-07-jj',NULL,1,),</v>
      </c>
    </row>
    <row r="661" spans="1:20" ht="20.100000000000001" customHeight="1" x14ac:dyDescent="0.25">
      <c r="A661" s="38">
        <v>21</v>
      </c>
      <c r="B661" s="38">
        <v>666</v>
      </c>
      <c r="C661" s="38" t="s">
        <v>642</v>
      </c>
      <c r="D661" s="38">
        <v>15</v>
      </c>
      <c r="E661" s="39" t="str">
        <f t="shared" si="85"/>
        <v>PS-21-GZ4</v>
      </c>
      <c r="F661" s="48" t="str">
        <f t="shared" si="86"/>
        <v>Poste de Sectionnement n°21 GZ4</v>
      </c>
      <c r="G661" s="19">
        <v>40021</v>
      </c>
      <c r="H661" s="19">
        <v>40021</v>
      </c>
      <c r="I661" s="41" t="s">
        <v>20</v>
      </c>
      <c r="J661" s="41">
        <v>1</v>
      </c>
      <c r="K661" s="41" t="s">
        <v>3557</v>
      </c>
      <c r="L661" s="41">
        <v>16</v>
      </c>
      <c r="M661" s="41"/>
      <c r="N661" s="41"/>
      <c r="O661" s="41" t="s">
        <v>642</v>
      </c>
      <c r="P661" s="41" t="s">
        <v>1999</v>
      </c>
      <c r="Q661" s="43">
        <f t="shared" si="83"/>
        <v>880</v>
      </c>
      <c r="R661" s="43">
        <f t="shared" si="84"/>
        <v>391.81200000000001</v>
      </c>
      <c r="S661" s="41" t="s">
        <v>2026</v>
      </c>
      <c r="T661" s="48" t="str">
        <f t="shared" si="82"/>
        <v>(21,'PS-21-GZ4','Poste de Sectionnement n°21 GZ4','Monday-07-jj','Monday-07-jj',NULL,1,),</v>
      </c>
    </row>
    <row r="662" spans="1:20" ht="20.100000000000001" customHeight="1" x14ac:dyDescent="0.25">
      <c r="A662" s="38">
        <v>5</v>
      </c>
      <c r="B662" s="38">
        <v>667</v>
      </c>
      <c r="C662" s="38" t="s">
        <v>642</v>
      </c>
      <c r="D662" s="38">
        <v>15</v>
      </c>
      <c r="E662" s="39" t="str">
        <f>CONCATENATE("PPUR-",TEXT(A662,"00"),"-",O662)</f>
        <v>PPUR-05-GZ4</v>
      </c>
      <c r="F662" s="48" t="str">
        <f>CONCATENATE("Poste de Purge n°",TEXT(A662,"00")," ",O662)</f>
        <v>Poste de Purge n°05 GZ4</v>
      </c>
      <c r="G662" s="19">
        <v>39838</v>
      </c>
      <c r="H662" s="19">
        <v>39838</v>
      </c>
      <c r="I662" s="41" t="s">
        <v>20</v>
      </c>
      <c r="J662" s="41">
        <v>1</v>
      </c>
      <c r="K662" s="41" t="s">
        <v>3558</v>
      </c>
      <c r="L662" s="41">
        <v>17</v>
      </c>
      <c r="M662" s="41"/>
      <c r="N662" s="41"/>
      <c r="O662" s="41" t="s">
        <v>642</v>
      </c>
      <c r="P662" s="41" t="s">
        <v>2987</v>
      </c>
      <c r="Q662" s="49">
        <f t="shared" si="83"/>
        <v>498.4</v>
      </c>
      <c r="R662" s="43">
        <f t="shared" si="84"/>
        <v>399.68299999999999</v>
      </c>
      <c r="S662" s="41" t="s">
        <v>2984</v>
      </c>
      <c r="T662" s="48" t="str">
        <f t="shared" si="82"/>
        <v>(5,'PPUR-05-GZ4','Poste de Purge n°05 GZ4','Sunday-01-jj','Sunday-01-jj',NULL,1,),</v>
      </c>
    </row>
    <row r="663" spans="1:20" ht="20.100000000000001" customHeight="1" x14ac:dyDescent="0.25">
      <c r="A663" s="38">
        <v>5</v>
      </c>
      <c r="B663" s="38">
        <v>668</v>
      </c>
      <c r="C663" s="38" t="s">
        <v>642</v>
      </c>
      <c r="D663" s="38">
        <v>15</v>
      </c>
      <c r="E663" s="39" t="str">
        <f>CONCATENATE("PC-",TEXT(A663,"00"),"-",O663)</f>
        <v>PC-05-GZ4</v>
      </c>
      <c r="F663" s="48" t="str">
        <f>CONCATENATE("Poste de Coupure n°",TEXT(A663,"00")," ",O663)</f>
        <v>Poste de Coupure n°05 GZ4</v>
      </c>
      <c r="G663" s="19">
        <v>40021</v>
      </c>
      <c r="H663" s="19">
        <v>40021</v>
      </c>
      <c r="I663" s="41" t="s">
        <v>20</v>
      </c>
      <c r="J663" s="41">
        <v>1</v>
      </c>
      <c r="K663" s="41" t="s">
        <v>3556</v>
      </c>
      <c r="L663" s="41">
        <v>15</v>
      </c>
      <c r="M663" s="41"/>
      <c r="N663" s="41"/>
      <c r="O663" s="41" t="s">
        <v>642</v>
      </c>
      <c r="P663" s="41" t="s">
        <v>2978</v>
      </c>
      <c r="Q663" s="49">
        <f t="shared" si="83"/>
        <v>506</v>
      </c>
      <c r="R663" s="43">
        <f t="shared" si="84"/>
        <v>399.89600000000002</v>
      </c>
      <c r="S663" s="41" t="s">
        <v>2919</v>
      </c>
      <c r="T663" s="48" t="str">
        <f t="shared" si="82"/>
        <v>(5,'PC-05-GZ4','Poste de Coupure n°05 GZ4','Monday-07-jj','Monday-07-jj',NULL,1,),</v>
      </c>
    </row>
    <row r="664" spans="1:20" ht="20.100000000000001" customHeight="1" x14ac:dyDescent="0.25">
      <c r="A664" s="38">
        <v>22</v>
      </c>
      <c r="B664" s="38">
        <v>669</v>
      </c>
      <c r="C664" s="38" t="s">
        <v>642</v>
      </c>
      <c r="D664" s="38">
        <v>15</v>
      </c>
      <c r="E664" s="39" t="str">
        <f t="shared" ref="E664:E673" si="87">CONCATENATE("PS-",TEXT(A664,"00"),"-",O664)</f>
        <v>PS-22-GZ4</v>
      </c>
      <c r="F664" s="48" t="str">
        <f t="shared" ref="F664:F673" si="88">CONCATENATE("Poste de Sectionnement n°",TEXT(A664,"00")," ",O664)</f>
        <v>Poste de Sectionnement n°22 GZ4</v>
      </c>
      <c r="G664" s="19">
        <v>39841</v>
      </c>
      <c r="H664" s="19">
        <v>39841</v>
      </c>
      <c r="I664" s="41" t="s">
        <v>20</v>
      </c>
      <c r="J664" s="41">
        <v>1</v>
      </c>
      <c r="K664" s="41" t="s">
        <v>3557</v>
      </c>
      <c r="L664" s="41">
        <v>16</v>
      </c>
      <c r="M664" s="41"/>
      <c r="N664" s="41"/>
      <c r="O664" s="41" t="s">
        <v>642</v>
      </c>
      <c r="P664" s="41" t="s">
        <v>2000</v>
      </c>
      <c r="Q664" s="43">
        <f t="shared" si="83"/>
        <v>700</v>
      </c>
      <c r="R664" s="43">
        <f t="shared" si="84"/>
        <v>410.69799999999998</v>
      </c>
      <c r="S664" s="41" t="s">
        <v>2027</v>
      </c>
      <c r="T664" s="48" t="str">
        <f t="shared" ref="T664:T727" si="89">CONCATENATE("(",A664,",'",E664,"','",F664,"','",TEXT(G664,"aaaa-mm-jj"),"','",TEXT(H664,"aaaa-mm-jj"),"',",I664,",",J664,",",M664,"),")</f>
        <v>(22,'PS-22-GZ4','Poste de Sectionnement n°22 GZ4','Wednesday-01-jj','Wednesday-01-jj',NULL,1,),</v>
      </c>
    </row>
    <row r="665" spans="1:20" ht="20.100000000000001" customHeight="1" x14ac:dyDescent="0.25">
      <c r="A665" s="38">
        <v>23</v>
      </c>
      <c r="B665" s="38">
        <v>670</v>
      </c>
      <c r="C665" s="38" t="s">
        <v>642</v>
      </c>
      <c r="D665" s="38">
        <v>15</v>
      </c>
      <c r="E665" s="39" t="str">
        <f t="shared" si="87"/>
        <v>PS-23-GZ4</v>
      </c>
      <c r="F665" s="48" t="str">
        <f t="shared" si="88"/>
        <v>Poste de Sectionnement n°23 GZ4</v>
      </c>
      <c r="G665" s="19">
        <v>39841</v>
      </c>
      <c r="H665" s="19">
        <v>39841</v>
      </c>
      <c r="I665" s="41" t="s">
        <v>20</v>
      </c>
      <c r="J665" s="41">
        <v>1</v>
      </c>
      <c r="K665" s="41" t="s">
        <v>3557</v>
      </c>
      <c r="L665" s="41">
        <v>16</v>
      </c>
      <c r="M665" s="41"/>
      <c r="N665" s="41"/>
      <c r="O665" s="41" t="s">
        <v>642</v>
      </c>
      <c r="P665" s="41" t="s">
        <v>2001</v>
      </c>
      <c r="Q665" s="43">
        <f t="shared" si="83"/>
        <v>570</v>
      </c>
      <c r="R665" s="43">
        <f t="shared" si="84"/>
        <v>421.29500000000002</v>
      </c>
      <c r="S665" s="41" t="s">
        <v>1939</v>
      </c>
      <c r="T665" s="48" t="str">
        <f t="shared" si="89"/>
        <v>(23,'PS-23-GZ4','Poste de Sectionnement n°23 GZ4','Wednesday-01-jj','Wednesday-01-jj',NULL,1,),</v>
      </c>
    </row>
    <row r="666" spans="1:20" ht="20.100000000000001" customHeight="1" x14ac:dyDescent="0.25">
      <c r="A666" s="38">
        <v>24</v>
      </c>
      <c r="B666" s="38">
        <v>671</v>
      </c>
      <c r="C666" s="38" t="s">
        <v>642</v>
      </c>
      <c r="D666" s="38">
        <v>15</v>
      </c>
      <c r="E666" s="39" t="str">
        <f t="shared" si="87"/>
        <v>PS-24-GZ4</v>
      </c>
      <c r="F666" s="48" t="str">
        <f t="shared" si="88"/>
        <v>Poste de Sectionnement n°24 GZ4</v>
      </c>
      <c r="G666" s="19">
        <v>39841</v>
      </c>
      <c r="H666" s="19">
        <v>39841</v>
      </c>
      <c r="I666" s="41" t="s">
        <v>20</v>
      </c>
      <c r="J666" s="41">
        <v>1</v>
      </c>
      <c r="K666" s="41" t="s">
        <v>3557</v>
      </c>
      <c r="L666" s="41">
        <v>16</v>
      </c>
      <c r="M666" s="41"/>
      <c r="N666" s="41"/>
      <c r="O666" s="41" t="s">
        <v>642</v>
      </c>
      <c r="P666" s="41" t="s">
        <v>2002</v>
      </c>
      <c r="Q666" s="43">
        <f t="shared" si="83"/>
        <v>505</v>
      </c>
      <c r="R666" s="43">
        <f t="shared" si="84"/>
        <v>432.74</v>
      </c>
      <c r="S666" s="41" t="s">
        <v>2028</v>
      </c>
      <c r="T666" s="48" t="str">
        <f t="shared" si="89"/>
        <v>(24,'PS-24-GZ4','Poste de Sectionnement n°24 GZ4','Wednesday-01-jj','Wednesday-01-jj',NULL,1,),</v>
      </c>
    </row>
    <row r="667" spans="1:20" ht="20.100000000000001" customHeight="1" x14ac:dyDescent="0.25">
      <c r="A667" s="38">
        <v>25</v>
      </c>
      <c r="B667" s="38">
        <v>672</v>
      </c>
      <c r="C667" s="38" t="s">
        <v>642</v>
      </c>
      <c r="D667" s="38">
        <v>15</v>
      </c>
      <c r="E667" s="39" t="str">
        <f t="shared" si="87"/>
        <v>PS-25-GZ4</v>
      </c>
      <c r="F667" s="48" t="str">
        <f t="shared" si="88"/>
        <v>Poste de Sectionnement n°25 GZ4</v>
      </c>
      <c r="G667" s="19">
        <v>39841</v>
      </c>
      <c r="H667" s="19">
        <v>39841</v>
      </c>
      <c r="I667" s="41" t="s">
        <v>20</v>
      </c>
      <c r="J667" s="41">
        <v>1</v>
      </c>
      <c r="K667" s="41" t="s">
        <v>3557</v>
      </c>
      <c r="L667" s="41">
        <v>16</v>
      </c>
      <c r="M667" s="41"/>
      <c r="N667" s="41"/>
      <c r="O667" s="41" t="s">
        <v>642</v>
      </c>
      <c r="P667" s="41" t="s">
        <v>2003</v>
      </c>
      <c r="Q667" s="43">
        <f t="shared" si="83"/>
        <v>522</v>
      </c>
      <c r="R667" s="43">
        <f t="shared" si="84"/>
        <v>440.709</v>
      </c>
      <c r="S667" s="41" t="s">
        <v>800</v>
      </c>
      <c r="T667" s="48" t="str">
        <f t="shared" si="89"/>
        <v>(25,'PS-25-GZ4','Poste de Sectionnement n°25 GZ4','Wednesday-01-jj','Wednesday-01-jj',NULL,1,),</v>
      </c>
    </row>
    <row r="668" spans="1:20" ht="20.100000000000001" customHeight="1" x14ac:dyDescent="0.25">
      <c r="A668" s="38">
        <v>26</v>
      </c>
      <c r="B668" s="38">
        <v>673</v>
      </c>
      <c r="C668" s="38" t="s">
        <v>642</v>
      </c>
      <c r="D668" s="38">
        <v>15</v>
      </c>
      <c r="E668" s="39" t="str">
        <f t="shared" si="87"/>
        <v>PS-26-GZ4</v>
      </c>
      <c r="F668" s="48" t="str">
        <f t="shared" si="88"/>
        <v>Poste de Sectionnement n°26 GZ4</v>
      </c>
      <c r="G668" s="19">
        <v>39841</v>
      </c>
      <c r="H668" s="19">
        <v>39841</v>
      </c>
      <c r="I668" s="41" t="s">
        <v>20</v>
      </c>
      <c r="J668" s="41">
        <v>1</v>
      </c>
      <c r="K668" s="41" t="s">
        <v>3557</v>
      </c>
      <c r="L668" s="41">
        <v>16</v>
      </c>
      <c r="M668" s="41"/>
      <c r="N668" s="41"/>
      <c r="O668" s="41" t="s">
        <v>642</v>
      </c>
      <c r="P668" s="41" t="s">
        <v>2004</v>
      </c>
      <c r="Q668" s="43">
        <f t="shared" si="83"/>
        <v>544</v>
      </c>
      <c r="R668" s="43">
        <f t="shared" si="84"/>
        <v>450.80500000000001</v>
      </c>
      <c r="S668" s="41" t="s">
        <v>2029</v>
      </c>
      <c r="T668" s="48" t="str">
        <f t="shared" si="89"/>
        <v>(26,'PS-26-GZ4','Poste de Sectionnement n°26 GZ4','Wednesday-01-jj','Wednesday-01-jj',NULL,1,),</v>
      </c>
    </row>
    <row r="669" spans="1:20" ht="20.100000000000001" customHeight="1" x14ac:dyDescent="0.25">
      <c r="A669" s="38">
        <v>27</v>
      </c>
      <c r="B669" s="38">
        <v>674</v>
      </c>
      <c r="C669" s="38" t="s">
        <v>642</v>
      </c>
      <c r="D669" s="38">
        <v>15</v>
      </c>
      <c r="E669" s="39" t="str">
        <f t="shared" si="87"/>
        <v>PS-27-GZ4</v>
      </c>
      <c r="F669" s="48" t="str">
        <f t="shared" si="88"/>
        <v>Poste de Sectionnement n°27 GZ4</v>
      </c>
      <c r="G669" s="19">
        <v>39841</v>
      </c>
      <c r="H669" s="19">
        <v>39841</v>
      </c>
      <c r="I669" s="41" t="s">
        <v>20</v>
      </c>
      <c r="J669" s="41">
        <v>1</v>
      </c>
      <c r="K669" s="41" t="s">
        <v>3557</v>
      </c>
      <c r="L669" s="41">
        <v>16</v>
      </c>
      <c r="M669" s="41"/>
      <c r="N669" s="41"/>
      <c r="O669" s="41" t="s">
        <v>642</v>
      </c>
      <c r="P669" s="41" t="s">
        <v>2005</v>
      </c>
      <c r="Q669" s="43">
        <f t="shared" si="83"/>
        <v>550</v>
      </c>
      <c r="R669" s="43">
        <f t="shared" si="84"/>
        <v>460.97300000000001</v>
      </c>
      <c r="S669" s="41" t="s">
        <v>1748</v>
      </c>
      <c r="T669" s="48" t="str">
        <f t="shared" si="89"/>
        <v>(27,'PS-27-GZ4','Poste de Sectionnement n°27 GZ4','Wednesday-01-jj','Wednesday-01-jj',NULL,1,),</v>
      </c>
    </row>
    <row r="670" spans="1:20" ht="20.100000000000001" customHeight="1" x14ac:dyDescent="0.25">
      <c r="A670" s="38">
        <v>28</v>
      </c>
      <c r="B670" s="38">
        <v>675</v>
      </c>
      <c r="C670" s="38" t="s">
        <v>642</v>
      </c>
      <c r="D670" s="38">
        <v>15</v>
      </c>
      <c r="E670" s="39" t="str">
        <f t="shared" si="87"/>
        <v>PS-28-GZ4</v>
      </c>
      <c r="F670" s="48" t="str">
        <f t="shared" si="88"/>
        <v>Poste de Sectionnement n°28 GZ4</v>
      </c>
      <c r="G670" s="19">
        <v>39841</v>
      </c>
      <c r="H670" s="19">
        <v>39841</v>
      </c>
      <c r="I670" s="41" t="s">
        <v>20</v>
      </c>
      <c r="J670" s="41">
        <v>1</v>
      </c>
      <c r="K670" s="41" t="s">
        <v>3557</v>
      </c>
      <c r="L670" s="41">
        <v>16</v>
      </c>
      <c r="M670" s="41"/>
      <c r="N670" s="41"/>
      <c r="O670" s="41" t="s">
        <v>642</v>
      </c>
      <c r="P670" s="41" t="s">
        <v>2006</v>
      </c>
      <c r="Q670" s="43">
        <f t="shared" si="83"/>
        <v>555</v>
      </c>
      <c r="R670" s="43">
        <f t="shared" si="84"/>
        <v>470.84100000000001</v>
      </c>
      <c r="S670" s="41" t="s">
        <v>2030</v>
      </c>
      <c r="T670" s="48" t="str">
        <f t="shared" si="89"/>
        <v>(28,'PS-28-GZ4','Poste de Sectionnement n°28 GZ4','Wednesday-01-jj','Wednesday-01-jj',NULL,1,),</v>
      </c>
    </row>
    <row r="671" spans="1:20" ht="20.100000000000001" customHeight="1" x14ac:dyDescent="0.25">
      <c r="A671" s="38">
        <v>29</v>
      </c>
      <c r="B671" s="38">
        <v>676</v>
      </c>
      <c r="C671" s="38" t="s">
        <v>642</v>
      </c>
      <c r="D671" s="38">
        <v>15</v>
      </c>
      <c r="E671" s="39" t="str">
        <f t="shared" si="87"/>
        <v>PS-29-GZ4</v>
      </c>
      <c r="F671" s="48" t="str">
        <f t="shared" si="88"/>
        <v>Poste de Sectionnement n°29 GZ4</v>
      </c>
      <c r="G671" s="19">
        <v>39841</v>
      </c>
      <c r="H671" s="19">
        <v>39841</v>
      </c>
      <c r="I671" s="41" t="s">
        <v>20</v>
      </c>
      <c r="J671" s="41">
        <v>1</v>
      </c>
      <c r="K671" s="41" t="s">
        <v>3557</v>
      </c>
      <c r="L671" s="41">
        <v>16</v>
      </c>
      <c r="M671" s="41"/>
      <c r="N671" s="41"/>
      <c r="O671" s="41" t="s">
        <v>642</v>
      </c>
      <c r="P671" s="41" t="s">
        <v>2007</v>
      </c>
      <c r="Q671" s="43">
        <f t="shared" si="83"/>
        <v>560</v>
      </c>
      <c r="R671" s="43">
        <f t="shared" si="84"/>
        <v>479.399</v>
      </c>
      <c r="S671" s="41" t="s">
        <v>2031</v>
      </c>
      <c r="T671" s="48" t="str">
        <f t="shared" si="89"/>
        <v>(29,'PS-29-GZ4','Poste de Sectionnement n°29 GZ4','Wednesday-01-jj','Wednesday-01-jj',NULL,1,),</v>
      </c>
    </row>
    <row r="672" spans="1:20" ht="20.100000000000001" customHeight="1" x14ac:dyDescent="0.25">
      <c r="A672" s="38">
        <v>30</v>
      </c>
      <c r="B672" s="38">
        <v>677</v>
      </c>
      <c r="C672" s="38" t="s">
        <v>642</v>
      </c>
      <c r="D672" s="38">
        <v>15</v>
      </c>
      <c r="E672" s="39" t="str">
        <f t="shared" si="87"/>
        <v>PS-30-GZ4</v>
      </c>
      <c r="F672" s="48" t="str">
        <f t="shared" si="88"/>
        <v>Poste de Sectionnement n°30 GZ4</v>
      </c>
      <c r="G672" s="19">
        <v>39841</v>
      </c>
      <c r="H672" s="19">
        <v>39841</v>
      </c>
      <c r="I672" s="41" t="s">
        <v>20</v>
      </c>
      <c r="J672" s="41">
        <v>1</v>
      </c>
      <c r="K672" s="41" t="s">
        <v>3557</v>
      </c>
      <c r="L672" s="41">
        <v>16</v>
      </c>
      <c r="M672" s="41"/>
      <c r="N672" s="41"/>
      <c r="O672" s="41" t="s">
        <v>642</v>
      </c>
      <c r="P672" s="41" t="s">
        <v>2008</v>
      </c>
      <c r="Q672" s="43">
        <f t="shared" si="83"/>
        <v>577</v>
      </c>
      <c r="R672" s="43">
        <f t="shared" si="84"/>
        <v>491.27499999999998</v>
      </c>
      <c r="S672" s="41" t="s">
        <v>801</v>
      </c>
      <c r="T672" s="48" t="str">
        <f t="shared" si="89"/>
        <v>(30,'PS-30-GZ4','Poste de Sectionnement n°30 GZ4','Wednesday-01-jj','Wednesday-01-jj',NULL,1,),</v>
      </c>
    </row>
    <row r="673" spans="1:20" ht="20.100000000000001" customHeight="1" x14ac:dyDescent="0.25">
      <c r="A673" s="38">
        <v>31</v>
      </c>
      <c r="B673" s="38">
        <v>678</v>
      </c>
      <c r="C673" s="38" t="s">
        <v>642</v>
      </c>
      <c r="D673" s="38">
        <v>15</v>
      </c>
      <c r="E673" s="39" t="str">
        <f t="shared" si="87"/>
        <v>PS-31-GZ4</v>
      </c>
      <c r="F673" s="48" t="str">
        <f t="shared" si="88"/>
        <v>Poste de Sectionnement n°31 GZ4</v>
      </c>
      <c r="G673" s="19">
        <v>39841</v>
      </c>
      <c r="H673" s="19">
        <v>39841</v>
      </c>
      <c r="I673" s="41" t="s">
        <v>20</v>
      </c>
      <c r="J673" s="41">
        <v>1</v>
      </c>
      <c r="K673" s="41" t="s">
        <v>3557</v>
      </c>
      <c r="L673" s="41">
        <v>16</v>
      </c>
      <c r="M673" s="41"/>
      <c r="N673" s="41"/>
      <c r="O673" s="41" t="s">
        <v>642</v>
      </c>
      <c r="P673" s="41" t="s">
        <v>2009</v>
      </c>
      <c r="Q673" s="43">
        <f t="shared" si="83"/>
        <v>592</v>
      </c>
      <c r="R673" s="43">
        <f t="shared" si="84"/>
        <v>501.851</v>
      </c>
      <c r="S673" s="41" t="s">
        <v>801</v>
      </c>
      <c r="T673" s="48" t="str">
        <f t="shared" si="89"/>
        <v>(31,'PS-31-GZ4','Poste de Sectionnement n°31 GZ4','Wednesday-01-jj','Wednesday-01-jj',NULL,1,),</v>
      </c>
    </row>
    <row r="674" spans="1:20" ht="20.100000000000001" customHeight="1" x14ac:dyDescent="0.25">
      <c r="A674" s="38">
        <v>6</v>
      </c>
      <c r="B674" s="38">
        <v>679</v>
      </c>
      <c r="C674" s="38" t="s">
        <v>642</v>
      </c>
      <c r="D674" s="38">
        <v>15</v>
      </c>
      <c r="E674" s="39" t="str">
        <f>CONCATENATE("PPUR-",TEXT(A674,"00"),"-",O674)</f>
        <v>PPUR-06-GZ4</v>
      </c>
      <c r="F674" s="48" t="str">
        <f>CONCATENATE("Poste de Purge n°",TEXT(A674,"00")," ",O674)</f>
        <v>Poste de Purge n°06 GZ4</v>
      </c>
      <c r="G674" s="19">
        <v>39838</v>
      </c>
      <c r="H674" s="19">
        <v>39838</v>
      </c>
      <c r="I674" s="41" t="s">
        <v>20</v>
      </c>
      <c r="J674" s="41">
        <v>1</v>
      </c>
      <c r="K674" s="41" t="s">
        <v>3558</v>
      </c>
      <c r="L674" s="41">
        <v>17</v>
      </c>
      <c r="M674" s="41"/>
      <c r="N674" s="41"/>
      <c r="O674" s="41" t="s">
        <v>642</v>
      </c>
      <c r="P674" s="41" t="s">
        <v>2982</v>
      </c>
      <c r="Q674" s="49">
        <f t="shared" si="83"/>
        <v>61</v>
      </c>
      <c r="R674" s="43">
        <f t="shared" si="84"/>
        <v>503.57799999999997</v>
      </c>
      <c r="S674" s="41" t="s">
        <v>2985</v>
      </c>
      <c r="T674" s="48" t="str">
        <f t="shared" si="89"/>
        <v>(6,'PPUR-06-GZ4','Poste de Purge n°06 GZ4','Sunday-01-jj','Sunday-01-jj',NULL,1,),</v>
      </c>
    </row>
    <row r="675" spans="1:20" ht="20.100000000000001" customHeight="1" x14ac:dyDescent="0.25">
      <c r="A675" s="38">
        <v>1</v>
      </c>
      <c r="B675" s="38">
        <v>680</v>
      </c>
      <c r="C675" s="38" t="s">
        <v>642</v>
      </c>
      <c r="D675" s="38">
        <v>15</v>
      </c>
      <c r="E675" s="39" t="str">
        <f t="shared" ref="E675:E684" si="90">CONCATENATE("PS-",TEXT(A675,"00"),"-",O675)</f>
        <v>PS-01-GZ4 Bis</v>
      </c>
      <c r="F675" s="48" t="str">
        <f t="shared" ref="F675:F684" si="91">CONCATENATE("Poste de Sectionnement n°",TEXT(A675,"00")," ",O675)</f>
        <v>Poste de Sectionnement n°01 GZ4 Bis</v>
      </c>
      <c r="G675" s="19">
        <v>40284</v>
      </c>
      <c r="H675" s="19">
        <v>40284</v>
      </c>
      <c r="I675" s="41" t="s">
        <v>20</v>
      </c>
      <c r="J675" s="41">
        <v>1</v>
      </c>
      <c r="K675" s="41" t="s">
        <v>3557</v>
      </c>
      <c r="L675" s="41">
        <v>16</v>
      </c>
      <c r="M675" s="41"/>
      <c r="N675" s="41"/>
      <c r="O675" s="41" t="s">
        <v>1001</v>
      </c>
      <c r="P675" s="41" t="s">
        <v>2018</v>
      </c>
      <c r="Q675" s="43">
        <f t="shared" si="83"/>
        <v>48.76</v>
      </c>
      <c r="R675" s="43">
        <f t="shared" si="84"/>
        <v>17.28</v>
      </c>
      <c r="S675" s="41" t="s">
        <v>2010</v>
      </c>
      <c r="T675" s="48" t="str">
        <f t="shared" si="89"/>
        <v>(1,'PS-01-GZ4 Bis','Poste de Sectionnement n°01 GZ4 Bis','Friday-04-jj','Friday-04-jj',NULL,1,),</v>
      </c>
    </row>
    <row r="676" spans="1:20" ht="20.100000000000001" customHeight="1" x14ac:dyDescent="0.25">
      <c r="A676" s="38">
        <v>2</v>
      </c>
      <c r="B676" s="38">
        <v>681</v>
      </c>
      <c r="C676" s="38" t="s">
        <v>642</v>
      </c>
      <c r="D676" s="38">
        <v>15</v>
      </c>
      <c r="E676" s="39" t="str">
        <f t="shared" si="90"/>
        <v>PS-02-GZ4 Bis</v>
      </c>
      <c r="F676" s="48" t="str">
        <f t="shared" si="91"/>
        <v>Poste de Sectionnement n°02 GZ4 Bis</v>
      </c>
      <c r="G676" s="19">
        <v>40284</v>
      </c>
      <c r="H676" s="19">
        <v>40284</v>
      </c>
      <c r="I676" s="41" t="s">
        <v>20</v>
      </c>
      <c r="J676" s="41">
        <v>1</v>
      </c>
      <c r="K676" s="41" t="s">
        <v>3557</v>
      </c>
      <c r="L676" s="41">
        <v>16</v>
      </c>
      <c r="M676" s="41"/>
      <c r="N676" s="41"/>
      <c r="O676" s="41" t="s">
        <v>1001</v>
      </c>
      <c r="P676" s="41" t="s">
        <v>2019</v>
      </c>
      <c r="Q676" s="43">
        <f t="shared" si="83"/>
        <v>164.84</v>
      </c>
      <c r="R676" s="43">
        <f t="shared" si="84"/>
        <v>35.6</v>
      </c>
      <c r="S676" s="41" t="s">
        <v>2011</v>
      </c>
      <c r="T676" s="48" t="str">
        <f t="shared" si="89"/>
        <v>(2,'PS-02-GZ4 Bis','Poste de Sectionnement n°02 GZ4 Bis','Friday-04-jj','Friday-04-jj',NULL,1,),</v>
      </c>
    </row>
    <row r="677" spans="1:20" ht="20.100000000000001" customHeight="1" x14ac:dyDescent="0.25">
      <c r="A677" s="38">
        <v>3</v>
      </c>
      <c r="B677" s="38">
        <v>682</v>
      </c>
      <c r="C677" s="38" t="s">
        <v>642</v>
      </c>
      <c r="D677" s="38">
        <v>15</v>
      </c>
      <c r="E677" s="39" t="str">
        <f t="shared" si="90"/>
        <v>PS-03-GZ4 Bis</v>
      </c>
      <c r="F677" s="48" t="str">
        <f t="shared" si="91"/>
        <v>Poste de Sectionnement n°03 GZ4 Bis</v>
      </c>
      <c r="G677" s="19">
        <v>40284</v>
      </c>
      <c r="H677" s="19">
        <v>40284</v>
      </c>
      <c r="I677" s="41" t="s">
        <v>20</v>
      </c>
      <c r="J677" s="41">
        <v>1</v>
      </c>
      <c r="K677" s="41" t="s">
        <v>3557</v>
      </c>
      <c r="L677" s="41">
        <v>16</v>
      </c>
      <c r="M677" s="41"/>
      <c r="N677" s="41"/>
      <c r="O677" s="41" t="s">
        <v>1001</v>
      </c>
      <c r="P677" s="41" t="s">
        <v>2020</v>
      </c>
      <c r="Q677" s="43">
        <f t="shared" si="83"/>
        <v>110.38</v>
      </c>
      <c r="R677" s="43">
        <f t="shared" si="84"/>
        <v>54.66</v>
      </c>
      <c r="S677" s="41" t="s">
        <v>2012</v>
      </c>
      <c r="T677" s="48" t="str">
        <f t="shared" si="89"/>
        <v>(3,'PS-03-GZ4 Bis','Poste de Sectionnement n°03 GZ4 Bis','Friday-04-jj','Friday-04-jj',NULL,1,),</v>
      </c>
    </row>
    <row r="678" spans="1:20" ht="20.100000000000001" customHeight="1" x14ac:dyDescent="0.25">
      <c r="A678" s="38">
        <v>4</v>
      </c>
      <c r="B678" s="38">
        <v>683</v>
      </c>
      <c r="C678" s="38" t="s">
        <v>642</v>
      </c>
      <c r="D678" s="38">
        <v>15</v>
      </c>
      <c r="E678" s="39" t="str">
        <f t="shared" si="90"/>
        <v>PS-04-GZ4 Bis</v>
      </c>
      <c r="F678" s="48" t="str">
        <f t="shared" si="91"/>
        <v>Poste de Sectionnement n°04 GZ4 Bis</v>
      </c>
      <c r="G678" s="19">
        <v>40284</v>
      </c>
      <c r="H678" s="19">
        <v>40284</v>
      </c>
      <c r="I678" s="41" t="s">
        <v>20</v>
      </c>
      <c r="J678" s="41">
        <v>1</v>
      </c>
      <c r="K678" s="41" t="s">
        <v>3557</v>
      </c>
      <c r="L678" s="41">
        <v>16</v>
      </c>
      <c r="M678" s="41"/>
      <c r="N678" s="41"/>
      <c r="O678" s="41" t="s">
        <v>1001</v>
      </c>
      <c r="P678" s="41" t="s">
        <v>2021</v>
      </c>
      <c r="Q678" s="43">
        <f t="shared" si="83"/>
        <v>142.69</v>
      </c>
      <c r="R678" s="43">
        <f t="shared" si="84"/>
        <v>74.25</v>
      </c>
      <c r="S678" s="41" t="s">
        <v>2013</v>
      </c>
      <c r="T678" s="48" t="str">
        <f t="shared" si="89"/>
        <v>(4,'PS-04-GZ4 Bis','Poste de Sectionnement n°04 GZ4 Bis','Friday-04-jj','Friday-04-jj',NULL,1,),</v>
      </c>
    </row>
    <row r="679" spans="1:20" ht="20.100000000000001" customHeight="1" x14ac:dyDescent="0.25">
      <c r="A679" s="38">
        <v>5</v>
      </c>
      <c r="B679" s="38">
        <v>684</v>
      </c>
      <c r="C679" s="38" t="s">
        <v>642</v>
      </c>
      <c r="D679" s="38">
        <v>15</v>
      </c>
      <c r="E679" s="39" t="str">
        <f t="shared" si="90"/>
        <v>PS-05-GZ4 Bis</v>
      </c>
      <c r="F679" s="48" t="str">
        <f t="shared" si="91"/>
        <v>Poste de Sectionnement n°05 GZ4 Bis</v>
      </c>
      <c r="G679" s="19">
        <v>40284</v>
      </c>
      <c r="H679" s="19">
        <v>40284</v>
      </c>
      <c r="I679" s="41" t="s">
        <v>20</v>
      </c>
      <c r="J679" s="41">
        <v>1</v>
      </c>
      <c r="K679" s="41" t="s">
        <v>3557</v>
      </c>
      <c r="L679" s="41">
        <v>16</v>
      </c>
      <c r="M679" s="41"/>
      <c r="N679" s="41"/>
      <c r="O679" s="41" t="s">
        <v>1001</v>
      </c>
      <c r="P679" s="41" t="s">
        <v>2022</v>
      </c>
      <c r="Q679" s="43">
        <f t="shared" si="83"/>
        <v>205.11</v>
      </c>
      <c r="R679" s="43">
        <f t="shared" si="84"/>
        <v>85.58</v>
      </c>
      <c r="S679" s="41" t="s">
        <v>2014</v>
      </c>
      <c r="T679" s="48" t="str">
        <f t="shared" si="89"/>
        <v>(5,'PS-05-GZ4 Bis','Poste de Sectionnement n°05 GZ4 Bis','Friday-04-jj','Friday-04-jj',NULL,1,),</v>
      </c>
    </row>
    <row r="680" spans="1:20" ht="20.100000000000001" customHeight="1" x14ac:dyDescent="0.25">
      <c r="A680" s="38">
        <v>6</v>
      </c>
      <c r="B680" s="38">
        <v>685</v>
      </c>
      <c r="C680" s="38" t="s">
        <v>642</v>
      </c>
      <c r="D680" s="38">
        <v>15</v>
      </c>
      <c r="E680" s="39" t="str">
        <f t="shared" si="90"/>
        <v>PS-06-GZ4 Bis</v>
      </c>
      <c r="F680" s="48" t="str">
        <f t="shared" si="91"/>
        <v>Poste de Sectionnement n°06 GZ4 Bis</v>
      </c>
      <c r="G680" s="19">
        <v>40284</v>
      </c>
      <c r="H680" s="19">
        <v>40284</v>
      </c>
      <c r="I680" s="41" t="s">
        <v>20</v>
      </c>
      <c r="J680" s="41">
        <v>1</v>
      </c>
      <c r="K680" s="41" t="s">
        <v>3557</v>
      </c>
      <c r="L680" s="41">
        <v>16</v>
      </c>
      <c r="M680" s="41"/>
      <c r="N680" s="41"/>
      <c r="O680" s="41" t="s">
        <v>1001</v>
      </c>
      <c r="P680" s="41" t="s">
        <v>2023</v>
      </c>
      <c r="Q680" s="43">
        <f t="shared" si="83"/>
        <v>184.73</v>
      </c>
      <c r="R680" s="43">
        <f t="shared" si="84"/>
        <v>105.79</v>
      </c>
      <c r="S680" s="41" t="s">
        <v>2015</v>
      </c>
      <c r="T680" s="48" t="str">
        <f t="shared" si="89"/>
        <v>(6,'PS-06-GZ4 Bis','Poste de Sectionnement n°06 GZ4 Bis','Friday-04-jj','Friday-04-jj',NULL,1,),</v>
      </c>
    </row>
    <row r="681" spans="1:20" ht="20.100000000000001" customHeight="1" x14ac:dyDescent="0.25">
      <c r="A681" s="38">
        <v>1</v>
      </c>
      <c r="B681" s="38">
        <v>686</v>
      </c>
      <c r="C681" s="38" t="s">
        <v>434</v>
      </c>
      <c r="D681" s="38">
        <v>16</v>
      </c>
      <c r="E681" s="39" t="str">
        <f t="shared" si="90"/>
        <v>PS-01-EGPDF</v>
      </c>
      <c r="F681" s="48" t="str">
        <f t="shared" si="91"/>
        <v>Poste de Sectionnement n°01 EGPDF</v>
      </c>
      <c r="G681" s="19">
        <v>44197</v>
      </c>
      <c r="H681" s="19">
        <v>44197</v>
      </c>
      <c r="I681" s="41" t="s">
        <v>20</v>
      </c>
      <c r="J681" s="41">
        <v>1</v>
      </c>
      <c r="K681" s="41" t="s">
        <v>3557</v>
      </c>
      <c r="L681" s="41">
        <v>16</v>
      </c>
      <c r="M681" s="41"/>
      <c r="N681" s="41"/>
      <c r="O681" s="41" t="s">
        <v>436</v>
      </c>
      <c r="P681" s="41" t="s">
        <v>2337</v>
      </c>
      <c r="Q681" s="43">
        <v>1228</v>
      </c>
      <c r="R681" s="43">
        <f>VALUE(SUBSTITUTE(P681,"+",","))</f>
        <v>19.745000000000001</v>
      </c>
      <c r="S681" s="41" t="s">
        <v>2346</v>
      </c>
      <c r="T681" s="48" t="str">
        <f t="shared" si="89"/>
        <v>(1,'PS-01-EGPDF','Poste de Sectionnement n°01 EGPDF','Friday-01-jj','Friday-01-jj',NULL,1,),</v>
      </c>
    </row>
    <row r="682" spans="1:20" ht="20.100000000000001" customHeight="1" x14ac:dyDescent="0.25">
      <c r="A682" s="38">
        <v>2</v>
      </c>
      <c r="B682" s="38">
        <v>687</v>
      </c>
      <c r="C682" s="38" t="s">
        <v>434</v>
      </c>
      <c r="D682" s="38">
        <v>16</v>
      </c>
      <c r="E682" s="39" t="str">
        <f t="shared" si="90"/>
        <v>PS-02-EGPDF</v>
      </c>
      <c r="F682" s="48" t="str">
        <f t="shared" si="91"/>
        <v>Poste de Sectionnement n°02 EGPDF</v>
      </c>
      <c r="G682" s="19">
        <v>44197</v>
      </c>
      <c r="H682" s="19">
        <v>44197</v>
      </c>
      <c r="I682" s="41" t="s">
        <v>20</v>
      </c>
      <c r="J682" s="41">
        <v>1</v>
      </c>
      <c r="K682" s="41" t="s">
        <v>3557</v>
      </c>
      <c r="L682" s="41">
        <v>16</v>
      </c>
      <c r="M682" s="41"/>
      <c r="N682" s="41"/>
      <c r="O682" s="41" t="s">
        <v>436</v>
      </c>
      <c r="P682" s="41" t="s">
        <v>2338</v>
      </c>
      <c r="Q682" s="43">
        <v>1238</v>
      </c>
      <c r="R682" s="43">
        <f>VALUE(SUBSTITUTE(P682,"+",","))</f>
        <v>40.497</v>
      </c>
      <c r="S682" s="41" t="s">
        <v>2347</v>
      </c>
      <c r="T682" s="48" t="str">
        <f t="shared" si="89"/>
        <v>(2,'PS-02-EGPDF','Poste de Sectionnement n°02 EGPDF','Friday-01-jj','Friday-01-jj',NULL,1,),</v>
      </c>
    </row>
    <row r="683" spans="1:20" ht="20.100000000000001" customHeight="1" x14ac:dyDescent="0.25">
      <c r="A683" s="38">
        <v>3</v>
      </c>
      <c r="B683" s="38">
        <v>688</v>
      </c>
      <c r="C683" s="38" t="s">
        <v>434</v>
      </c>
      <c r="D683" s="38">
        <v>16</v>
      </c>
      <c r="E683" s="39" t="str">
        <f t="shared" si="90"/>
        <v>PS-03-EGPDF</v>
      </c>
      <c r="F683" s="48" t="str">
        <f t="shared" si="91"/>
        <v>Poste de Sectionnement n°03 EGPDF</v>
      </c>
      <c r="G683" s="19">
        <v>44197</v>
      </c>
      <c r="H683" s="19">
        <v>44197</v>
      </c>
      <c r="I683" s="41" t="s">
        <v>20</v>
      </c>
      <c r="J683" s="41">
        <v>1</v>
      </c>
      <c r="K683" s="41" t="s">
        <v>3557</v>
      </c>
      <c r="L683" s="41">
        <v>16</v>
      </c>
      <c r="M683" s="41"/>
      <c r="N683" s="41"/>
      <c r="O683" s="41" t="s">
        <v>436</v>
      </c>
      <c r="P683" s="41" t="s">
        <v>2339</v>
      </c>
      <c r="Q683" s="43">
        <v>1134</v>
      </c>
      <c r="R683" s="43">
        <f>VALUE(SUBSTITUTE(P683,"+",","))</f>
        <v>61.808</v>
      </c>
      <c r="S683" s="41" t="s">
        <v>2347</v>
      </c>
      <c r="T683" s="48" t="str">
        <f t="shared" si="89"/>
        <v>(3,'PS-03-EGPDF','Poste de Sectionnement n°03 EGPDF','Friday-01-jj','Friday-01-jj',NULL,1,),</v>
      </c>
    </row>
    <row r="684" spans="1:20" ht="20.100000000000001" customHeight="1" x14ac:dyDescent="0.25">
      <c r="A684" s="38">
        <v>4</v>
      </c>
      <c r="B684" s="38">
        <v>689</v>
      </c>
      <c r="C684" s="38" t="s">
        <v>434</v>
      </c>
      <c r="D684" s="38">
        <v>16</v>
      </c>
      <c r="E684" s="39" t="str">
        <f t="shared" si="90"/>
        <v>PS-04-EGPDF</v>
      </c>
      <c r="F684" s="48" t="str">
        <f t="shared" si="91"/>
        <v>Poste de Sectionnement n°04 EGPDF</v>
      </c>
      <c r="G684" s="19">
        <v>44197</v>
      </c>
      <c r="H684" s="19">
        <v>44197</v>
      </c>
      <c r="I684" s="41" t="s">
        <v>20</v>
      </c>
      <c r="J684" s="41">
        <v>1</v>
      </c>
      <c r="K684" s="41" t="s">
        <v>3557</v>
      </c>
      <c r="L684" s="41">
        <v>16</v>
      </c>
      <c r="M684" s="41"/>
      <c r="N684" s="41"/>
      <c r="O684" s="41" t="s">
        <v>436</v>
      </c>
      <c r="P684" s="41" t="s">
        <v>2340</v>
      </c>
      <c r="Q684" s="43">
        <v>1126</v>
      </c>
      <c r="R684" s="43">
        <f>VALUE(SUBSTITUTE(P684,"+",","))</f>
        <v>81.701999999999998</v>
      </c>
      <c r="S684" s="41" t="s">
        <v>2347</v>
      </c>
      <c r="T684" s="48" t="str">
        <f t="shared" si="89"/>
        <v>(4,'PS-04-EGPDF','Poste de Sectionnement n°04 EGPDF','Friday-01-jj','Friday-01-jj',NULL,1,),</v>
      </c>
    </row>
    <row r="685" spans="1:20" ht="20.100000000000001" customHeight="1" x14ac:dyDescent="0.25">
      <c r="A685" s="38">
        <v>1</v>
      </c>
      <c r="B685" s="38">
        <v>690</v>
      </c>
      <c r="C685" s="38" t="s">
        <v>434</v>
      </c>
      <c r="D685" s="38">
        <v>16</v>
      </c>
      <c r="E685" s="45" t="str">
        <f>CONCATENATE("PPUR-",TEXT(A685,"00"),"-",O685)</f>
        <v>PPUR-01-EGPDF</v>
      </c>
      <c r="F685" s="48" t="str">
        <f>CONCATENATE("Poste de Purge n°",TEXT(A685,"00")," ",O685)</f>
        <v>Poste de Purge n°01 EGPDF</v>
      </c>
      <c r="G685" s="19">
        <v>44197</v>
      </c>
      <c r="H685" s="19">
        <v>44197</v>
      </c>
      <c r="I685" s="41" t="s">
        <v>20</v>
      </c>
      <c r="J685" s="41">
        <v>1</v>
      </c>
      <c r="K685" s="41" t="s">
        <v>3558</v>
      </c>
      <c r="L685" s="41">
        <v>17</v>
      </c>
      <c r="M685" s="41"/>
      <c r="N685" s="41"/>
      <c r="O685" s="41" t="s">
        <v>436</v>
      </c>
      <c r="P685" s="41" t="s">
        <v>2362</v>
      </c>
      <c r="Q685" s="49">
        <f>VALUE(RIGHT(P685,LEN(P685)-SEARCH("/",P685)))</f>
        <v>1246</v>
      </c>
      <c r="R685" s="43">
        <f>VALUE(SUBSTITUTE(LEFT(P685,SEARCH("/",P685)-1),"+",","))</f>
        <v>93.736999999999995</v>
      </c>
      <c r="S685" s="41" t="s">
        <v>2347</v>
      </c>
      <c r="T685" s="48" t="str">
        <f t="shared" si="89"/>
        <v>(1,'PPUR-01-EGPDF','Poste de Purge n°01 EGPDF','Friday-01-jj','Friday-01-jj',NULL,1,),</v>
      </c>
    </row>
    <row r="686" spans="1:20" ht="20.100000000000001" customHeight="1" x14ac:dyDescent="0.25">
      <c r="A686" s="38">
        <v>1</v>
      </c>
      <c r="B686" s="38">
        <v>691</v>
      </c>
      <c r="C686" s="38" t="s">
        <v>434</v>
      </c>
      <c r="D686" s="38">
        <v>16</v>
      </c>
      <c r="E686" s="45" t="str">
        <f>CONCATENATE("PC-",TEXT(A686,"00"),"-",O686)</f>
        <v>PC-01-EGPDF</v>
      </c>
      <c r="F686" s="48" t="str">
        <f>CONCATENATE("Poste de Coupure n°",TEXT(A686,"00")," ",O686)</f>
        <v>Poste de Coupure n°01 EGPDF</v>
      </c>
      <c r="G686" s="19">
        <v>44197</v>
      </c>
      <c r="H686" s="19">
        <v>44197</v>
      </c>
      <c r="I686" s="41" t="s">
        <v>20</v>
      </c>
      <c r="J686" s="41">
        <v>1</v>
      </c>
      <c r="K686" s="41" t="s">
        <v>3556</v>
      </c>
      <c r="L686" s="41">
        <v>15</v>
      </c>
      <c r="M686" s="41"/>
      <c r="N686" s="41"/>
      <c r="O686" s="41" t="s">
        <v>436</v>
      </c>
      <c r="P686" s="41" t="s">
        <v>2359</v>
      </c>
      <c r="Q686" s="49" t="e">
        <f>VALUE(RIGHT(P686,LEN(P686)-SEARCH("/",P686)))</f>
        <v>#VALUE!</v>
      </c>
      <c r="R686" s="43">
        <f>VALUE(SUBSTITUTE(LEFT(P686,SEARCH("/",P686)-1),"+",","))</f>
        <v>103.121</v>
      </c>
      <c r="S686" s="41" t="s">
        <v>2360</v>
      </c>
      <c r="T686" s="48" t="str">
        <f t="shared" si="89"/>
        <v>(1,'PC-01-EGPDF','Poste de Coupure n°01 EGPDF','Friday-01-jj','Friday-01-jj',NULL,1,),</v>
      </c>
    </row>
    <row r="687" spans="1:20" ht="20.100000000000001" customHeight="1" x14ac:dyDescent="0.25">
      <c r="A687" s="38">
        <v>5</v>
      </c>
      <c r="B687" s="38">
        <v>692</v>
      </c>
      <c r="C687" s="38" t="s">
        <v>434</v>
      </c>
      <c r="D687" s="38">
        <v>16</v>
      </c>
      <c r="E687" s="39" t="str">
        <f>CONCATENATE("PS-",TEXT(A687,"00"),"-",O687)</f>
        <v>PS-05-EGPDF</v>
      </c>
      <c r="F687" s="48" t="str">
        <f>CONCATENATE("Poste de Sectionnement n°",TEXT(A687,"00")," ",O687)</f>
        <v>Poste de Sectionnement n°05 EGPDF</v>
      </c>
      <c r="G687" s="19">
        <v>44197</v>
      </c>
      <c r="H687" s="19">
        <v>44197</v>
      </c>
      <c r="I687" s="41" t="s">
        <v>20</v>
      </c>
      <c r="J687" s="41">
        <v>1</v>
      </c>
      <c r="K687" s="41" t="s">
        <v>3557</v>
      </c>
      <c r="L687" s="41">
        <v>16</v>
      </c>
      <c r="M687" s="41"/>
      <c r="N687" s="41"/>
      <c r="O687" s="41" t="s">
        <v>436</v>
      </c>
      <c r="P687" s="41" t="s">
        <v>2341</v>
      </c>
      <c r="Q687" s="43">
        <v>1016</v>
      </c>
      <c r="R687" s="43">
        <f>VALUE(SUBSTITUTE(P687,"+",","))</f>
        <v>123.54300000000001</v>
      </c>
      <c r="S687" s="41" t="s">
        <v>2348</v>
      </c>
      <c r="T687" s="48" t="str">
        <f t="shared" si="89"/>
        <v>(5,'PS-05-EGPDF','Poste de Sectionnement n°05 EGPDF','Friday-01-jj','Friday-01-jj',NULL,1,),</v>
      </c>
    </row>
    <row r="688" spans="1:20" ht="20.100000000000001" customHeight="1" x14ac:dyDescent="0.25">
      <c r="A688" s="38">
        <v>2</v>
      </c>
      <c r="B688" s="38">
        <v>693</v>
      </c>
      <c r="C688" s="38" t="s">
        <v>434</v>
      </c>
      <c r="D688" s="38">
        <v>16</v>
      </c>
      <c r="E688" s="45" t="str">
        <f>CONCATENATE("PPUR-",TEXT(A688,"00"),"-",O688)</f>
        <v>PPUR-02-EGPDF</v>
      </c>
      <c r="F688" s="48" t="str">
        <f>CONCATENATE("Poste de Purge n°",TEXT(A688,"00")," ",O688)</f>
        <v>Poste de Purge n°02 EGPDF</v>
      </c>
      <c r="G688" s="19">
        <v>44197</v>
      </c>
      <c r="H688" s="19">
        <v>44197</v>
      </c>
      <c r="I688" s="41" t="s">
        <v>20</v>
      </c>
      <c r="J688" s="41">
        <v>1</v>
      </c>
      <c r="K688" s="41" t="s">
        <v>3558</v>
      </c>
      <c r="L688" s="41">
        <v>17</v>
      </c>
      <c r="M688" s="41"/>
      <c r="N688" s="41"/>
      <c r="O688" s="41" t="s">
        <v>436</v>
      </c>
      <c r="P688" s="41" t="s">
        <v>2363</v>
      </c>
      <c r="Q688" s="49">
        <f>VALUE(RIGHT(P688,LEN(P688)-SEARCH("/",P688)))</f>
        <v>782</v>
      </c>
      <c r="R688" s="43">
        <f>VALUE(SUBSTITUTE(LEFT(P688,SEARCH("/",P688)-1),"+",","))</f>
        <v>133.14699999999999</v>
      </c>
      <c r="S688" s="41" t="s">
        <v>2365</v>
      </c>
      <c r="T688" s="48" t="str">
        <f t="shared" si="89"/>
        <v>(2,'PPUR-02-EGPDF','Poste de Purge n°02 EGPDF','Friday-01-jj','Friday-01-jj',NULL,1,),</v>
      </c>
    </row>
    <row r="689" spans="1:20" ht="20.100000000000001" customHeight="1" x14ac:dyDescent="0.25">
      <c r="A689" s="38">
        <v>6</v>
      </c>
      <c r="B689" s="38">
        <v>694</v>
      </c>
      <c r="C689" s="38" t="s">
        <v>434</v>
      </c>
      <c r="D689" s="38">
        <v>16</v>
      </c>
      <c r="E689" s="39" t="str">
        <f>CONCATENATE("PS-",TEXT(A689,"00"),"-",O689)</f>
        <v>PS-06-EGPDF</v>
      </c>
      <c r="F689" s="48" t="str">
        <f>CONCATENATE("Poste de Sectionnement n°",TEXT(A689,"00")," ",O689)</f>
        <v>Poste de Sectionnement n°06 EGPDF</v>
      </c>
      <c r="G689" s="19">
        <v>44197</v>
      </c>
      <c r="H689" s="19">
        <v>44197</v>
      </c>
      <c r="I689" s="41" t="s">
        <v>20</v>
      </c>
      <c r="J689" s="41">
        <v>1</v>
      </c>
      <c r="K689" s="41" t="s">
        <v>3557</v>
      </c>
      <c r="L689" s="41">
        <v>16</v>
      </c>
      <c r="M689" s="41"/>
      <c r="N689" s="41"/>
      <c r="O689" s="41" t="s">
        <v>436</v>
      </c>
      <c r="P689" s="41" t="s">
        <v>2342</v>
      </c>
      <c r="Q689" s="43">
        <v>664</v>
      </c>
      <c r="R689" s="43">
        <f>VALUE(SUBSTITUTE(P689,"+",","))</f>
        <v>142.55600000000001</v>
      </c>
      <c r="S689" s="41" t="s">
        <v>2349</v>
      </c>
      <c r="T689" s="48" t="str">
        <f t="shared" si="89"/>
        <v>(6,'PS-06-EGPDF','Poste de Sectionnement n°06 EGPDF','Friday-01-jj','Friday-01-jj',NULL,1,),</v>
      </c>
    </row>
    <row r="690" spans="1:20" ht="20.100000000000001" customHeight="1" x14ac:dyDescent="0.25">
      <c r="A690" s="38">
        <v>7</v>
      </c>
      <c r="B690" s="38">
        <v>695</v>
      </c>
      <c r="C690" s="38" t="s">
        <v>434</v>
      </c>
      <c r="D690" s="38">
        <v>16</v>
      </c>
      <c r="E690" s="39" t="str">
        <f>CONCATENATE("PS-",TEXT(A690,"00"),"-",O690)</f>
        <v>PS-07-EGPDF</v>
      </c>
      <c r="F690" s="48" t="str">
        <f>CONCATENATE("Poste de Sectionnement n°",TEXT(A690,"00")," ",O690)</f>
        <v>Poste de Sectionnement n°07 EGPDF</v>
      </c>
      <c r="G690" s="19">
        <v>44197</v>
      </c>
      <c r="H690" s="19">
        <v>44197</v>
      </c>
      <c r="I690" s="41" t="s">
        <v>20</v>
      </c>
      <c r="J690" s="41">
        <v>1</v>
      </c>
      <c r="K690" s="41" t="s">
        <v>3557</v>
      </c>
      <c r="L690" s="41">
        <v>16</v>
      </c>
      <c r="M690" s="41"/>
      <c r="N690" s="41"/>
      <c r="O690" s="41" t="s">
        <v>436</v>
      </c>
      <c r="P690" s="41" t="s">
        <v>2343</v>
      </c>
      <c r="Q690" s="43">
        <v>579</v>
      </c>
      <c r="R690" s="43">
        <f>VALUE(SUBSTITUTE(P690,"+",","))</f>
        <v>162.51300000000001</v>
      </c>
      <c r="S690" s="41" t="s">
        <v>2350</v>
      </c>
      <c r="T690" s="48" t="str">
        <f t="shared" si="89"/>
        <v>(7,'PS-07-EGPDF','Poste de Sectionnement n°07 EGPDF','Friday-01-jj','Friday-01-jj',NULL,1,),</v>
      </c>
    </row>
    <row r="691" spans="1:20" ht="20.100000000000001" customHeight="1" x14ac:dyDescent="0.25">
      <c r="A691" s="38">
        <v>8</v>
      </c>
      <c r="B691" s="38">
        <v>696</v>
      </c>
      <c r="C691" s="38" t="s">
        <v>434</v>
      </c>
      <c r="D691" s="38">
        <v>16</v>
      </c>
      <c r="E691" s="39" t="str">
        <f>CONCATENATE("PS-",TEXT(A691,"00"),"-",O691)</f>
        <v>PS-08-EGPDF</v>
      </c>
      <c r="F691" s="48" t="str">
        <f>CONCATENATE("Poste de Sectionnement n°",TEXT(A691,"00")," ",O691)</f>
        <v>Poste de Sectionnement n°08 EGPDF</v>
      </c>
      <c r="G691" s="19">
        <v>44197</v>
      </c>
      <c r="H691" s="19">
        <v>44197</v>
      </c>
      <c r="I691" s="41" t="s">
        <v>20</v>
      </c>
      <c r="J691" s="41">
        <v>1</v>
      </c>
      <c r="K691" s="41" t="s">
        <v>3557</v>
      </c>
      <c r="L691" s="41">
        <v>16</v>
      </c>
      <c r="M691" s="41"/>
      <c r="N691" s="41"/>
      <c r="O691" s="41" t="s">
        <v>436</v>
      </c>
      <c r="P691" s="41" t="s">
        <v>2344</v>
      </c>
      <c r="Q691" s="43">
        <v>561</v>
      </c>
      <c r="R691" s="43">
        <f>VALUE(SUBSTITUTE(P691,"+",","))</f>
        <v>173.44</v>
      </c>
      <c r="S691" s="41" t="s">
        <v>2351</v>
      </c>
      <c r="T691" s="48" t="str">
        <f t="shared" si="89"/>
        <v>(8,'PS-08-EGPDF','Poste de Sectionnement n°08 EGPDF','Friday-01-jj','Friday-01-jj',NULL,1,),</v>
      </c>
    </row>
    <row r="692" spans="1:20" ht="20.100000000000001" customHeight="1" x14ac:dyDescent="0.25">
      <c r="A692" s="38">
        <v>3</v>
      </c>
      <c r="B692" s="38">
        <v>697</v>
      </c>
      <c r="C692" s="38" t="s">
        <v>434</v>
      </c>
      <c r="D692" s="38">
        <v>16</v>
      </c>
      <c r="E692" s="45" t="str">
        <f>CONCATENATE("PPUR-",TEXT(A692,"00"),"-",O692)</f>
        <v>PPUR-03-EGPDF</v>
      </c>
      <c r="F692" s="48" t="str">
        <f>CONCATENATE("Poste de Purge n°",TEXT(A692,"00")," ",O692)</f>
        <v>Poste de Purge n°03 EGPDF</v>
      </c>
      <c r="G692" s="19">
        <v>44197</v>
      </c>
      <c r="H692" s="19">
        <v>44197</v>
      </c>
      <c r="I692" s="41" t="s">
        <v>20</v>
      </c>
      <c r="J692" s="41">
        <v>1</v>
      </c>
      <c r="K692" s="41" t="s">
        <v>3558</v>
      </c>
      <c r="L692" s="41">
        <v>17</v>
      </c>
      <c r="M692" s="41"/>
      <c r="N692" s="41"/>
      <c r="O692" s="41" t="s">
        <v>436</v>
      </c>
      <c r="P692" s="41" t="s">
        <v>2364</v>
      </c>
      <c r="Q692" s="49">
        <f>VALUE(RIGHT(P692,LEN(P692)-SEARCH("/",P692)))</f>
        <v>390</v>
      </c>
      <c r="R692" s="43">
        <f>VALUE(SUBSTITUTE(LEFT(P692,SEARCH("/",P692)-1),"+",","))</f>
        <v>178.59200000000001</v>
      </c>
      <c r="S692" s="41" t="s">
        <v>2352</v>
      </c>
      <c r="T692" s="48" t="str">
        <f t="shared" si="89"/>
        <v>(3,'PPUR-03-EGPDF','Poste de Purge n°03 EGPDF','Friday-01-jj','Friday-01-jj',NULL,1,),</v>
      </c>
    </row>
    <row r="693" spans="1:20" ht="20.100000000000001" customHeight="1" x14ac:dyDescent="0.25">
      <c r="A693" s="38">
        <v>9</v>
      </c>
      <c r="B693" s="38">
        <v>698</v>
      </c>
      <c r="C693" s="38" t="s">
        <v>434</v>
      </c>
      <c r="D693" s="38">
        <v>16</v>
      </c>
      <c r="E693" s="39" t="str">
        <f>CONCATENATE("PS-",TEXT(A693,"00"),"-",O693)</f>
        <v>PS-09-EGPDF</v>
      </c>
      <c r="F693" s="48" t="str">
        <f>CONCATENATE("Poste de Sectionnement n°",TEXT(A693,"00")," ",O693)</f>
        <v>Poste de Sectionnement n°09 EGPDF</v>
      </c>
      <c r="G693" s="19">
        <v>44197</v>
      </c>
      <c r="H693" s="19">
        <v>44197</v>
      </c>
      <c r="I693" s="41" t="s">
        <v>20</v>
      </c>
      <c r="J693" s="41">
        <v>1</v>
      </c>
      <c r="K693" s="41" t="s">
        <v>3557</v>
      </c>
      <c r="L693" s="41">
        <v>16</v>
      </c>
      <c r="M693" s="41"/>
      <c r="N693" s="41"/>
      <c r="O693" s="41" t="s">
        <v>436</v>
      </c>
      <c r="P693" s="41" t="s">
        <v>2345</v>
      </c>
      <c r="Q693" s="43">
        <v>273</v>
      </c>
      <c r="R693" s="43">
        <f>VALUE(SUBSTITUTE(P693,"+",","))</f>
        <v>186.155</v>
      </c>
      <c r="S693" s="41" t="s">
        <v>2352</v>
      </c>
      <c r="T693" s="48" t="str">
        <f t="shared" si="89"/>
        <v>(9,'PS-09-EGPDF','Poste de Sectionnement n°09 EGPDF','Friday-01-jj','Friday-01-jj',NULL,1,),</v>
      </c>
    </row>
    <row r="694" spans="1:20" ht="20.100000000000001" customHeight="1" x14ac:dyDescent="0.25">
      <c r="A694" s="38">
        <v>1</v>
      </c>
      <c r="B694" s="38">
        <v>699</v>
      </c>
      <c r="C694" s="38" t="s">
        <v>434</v>
      </c>
      <c r="D694" s="38">
        <v>16</v>
      </c>
      <c r="E694" s="39" t="str">
        <f>CONCATENATE("PS-",TEXT(A694,"00"),"-",O694)</f>
        <v>PS-01-GPDF</v>
      </c>
      <c r="F694" s="48" t="str">
        <f>CONCATENATE("Poste de Sectionnement n°",TEXT(A694,"00")," ",O694)</f>
        <v>Poste de Sectionnement n°01 GPDF</v>
      </c>
      <c r="G694" s="19">
        <v>35065</v>
      </c>
      <c r="H694" s="19">
        <v>35065</v>
      </c>
      <c r="I694" s="41" t="s">
        <v>20</v>
      </c>
      <c r="J694" s="41">
        <v>1</v>
      </c>
      <c r="K694" s="41" t="s">
        <v>3557</v>
      </c>
      <c r="L694" s="41">
        <v>16</v>
      </c>
      <c r="M694" s="41"/>
      <c r="N694" s="41"/>
      <c r="O694" s="41" t="s">
        <v>434</v>
      </c>
      <c r="P694" s="41" t="s">
        <v>2307</v>
      </c>
      <c r="Q694" s="43">
        <f t="shared" ref="Q694:Q757" si="92">VALUE(RIGHT(P694,LEN(P694)-SEARCH("/",P694)))</f>
        <v>743.68</v>
      </c>
      <c r="R694" s="43">
        <f t="shared" ref="R694:R757" si="93">VALUE(SUBSTITUTE(LEFT(P694,SEARCH("/",P694)-1),"+",","))</f>
        <v>19.006</v>
      </c>
      <c r="S694" s="41" t="s">
        <v>790</v>
      </c>
      <c r="T694" s="48" t="str">
        <f t="shared" si="89"/>
        <v>(1,'PS-01-GPDF','Poste de Sectionnement n°01 GPDF','Monday-01-jj','Monday-01-jj',NULL,1,),</v>
      </c>
    </row>
    <row r="695" spans="1:20" ht="20.100000000000001" customHeight="1" x14ac:dyDescent="0.25">
      <c r="A695" s="38">
        <v>2</v>
      </c>
      <c r="B695" s="38">
        <v>700</v>
      </c>
      <c r="C695" s="38" t="s">
        <v>434</v>
      </c>
      <c r="D695" s="38">
        <v>16</v>
      </c>
      <c r="E695" s="39" t="str">
        <f>CONCATENATE("PS-",TEXT(A695,"00"),"-",O695)</f>
        <v>PS-02-GPDF</v>
      </c>
      <c r="F695" s="48" t="str">
        <f>CONCATENATE("Poste de Sectionnement n°",TEXT(A695,"00")," ",O695)</f>
        <v>Poste de Sectionnement n°02 GPDF</v>
      </c>
      <c r="G695" s="19">
        <v>35065</v>
      </c>
      <c r="H695" s="19">
        <v>35065</v>
      </c>
      <c r="I695" s="41" t="s">
        <v>20</v>
      </c>
      <c r="J695" s="41">
        <v>1</v>
      </c>
      <c r="K695" s="41" t="s">
        <v>3557</v>
      </c>
      <c r="L695" s="41">
        <v>16</v>
      </c>
      <c r="M695" s="41"/>
      <c r="N695" s="41"/>
      <c r="O695" s="41" t="s">
        <v>434</v>
      </c>
      <c r="P695" s="41" t="s">
        <v>2308</v>
      </c>
      <c r="Q695" s="43">
        <f t="shared" si="92"/>
        <v>740.2</v>
      </c>
      <c r="R695" s="43">
        <f t="shared" si="93"/>
        <v>36.006</v>
      </c>
      <c r="S695" s="41" t="s">
        <v>790</v>
      </c>
      <c r="T695" s="48" t="str">
        <f t="shared" si="89"/>
        <v>(2,'PS-02-GPDF','Poste de Sectionnement n°02 GPDF','Monday-01-jj','Monday-01-jj',NULL,1,),</v>
      </c>
    </row>
    <row r="696" spans="1:20" ht="20.100000000000001" customHeight="1" x14ac:dyDescent="0.25">
      <c r="A696" s="38">
        <v>3</v>
      </c>
      <c r="B696" s="38">
        <v>701</v>
      </c>
      <c r="C696" s="38" t="s">
        <v>434</v>
      </c>
      <c r="D696" s="38">
        <v>16</v>
      </c>
      <c r="E696" s="39" t="str">
        <f>CONCATENATE("PS-",TEXT(A696,"00"),"-",O696)</f>
        <v>PS-03-GPDF</v>
      </c>
      <c r="F696" s="48" t="str">
        <f>CONCATENATE("Poste de Sectionnement n°",TEXT(A696,"00")," ",O696)</f>
        <v>Poste de Sectionnement n°03 GPDF</v>
      </c>
      <c r="G696" s="19">
        <v>35065</v>
      </c>
      <c r="H696" s="19">
        <v>35065</v>
      </c>
      <c r="I696" s="41" t="s">
        <v>20</v>
      </c>
      <c r="J696" s="41">
        <v>1</v>
      </c>
      <c r="K696" s="41" t="s">
        <v>3557</v>
      </c>
      <c r="L696" s="41">
        <v>16</v>
      </c>
      <c r="M696" s="41"/>
      <c r="N696" s="41"/>
      <c r="O696" s="41" t="s">
        <v>434</v>
      </c>
      <c r="P696" s="41" t="s">
        <v>2309</v>
      </c>
      <c r="Q696" s="43">
        <f t="shared" si="92"/>
        <v>743.94</v>
      </c>
      <c r="R696" s="43">
        <f t="shared" si="93"/>
        <v>54.006</v>
      </c>
      <c r="S696" s="41" t="s">
        <v>2329</v>
      </c>
      <c r="T696" s="48" t="str">
        <f t="shared" si="89"/>
        <v>(3,'PS-03-GPDF','Poste de Sectionnement n°03 GPDF','Monday-01-jj','Monday-01-jj',NULL,1,),</v>
      </c>
    </row>
    <row r="697" spans="1:20" ht="20.100000000000001" customHeight="1" x14ac:dyDescent="0.25">
      <c r="A697" s="38">
        <v>4</v>
      </c>
      <c r="B697" s="38">
        <v>702</v>
      </c>
      <c r="C697" s="38" t="s">
        <v>434</v>
      </c>
      <c r="D697" s="38">
        <v>16</v>
      </c>
      <c r="E697" s="39" t="str">
        <f>CONCATENATE("PS-",TEXT(A697,"00"),"-",O697)</f>
        <v>PS-04-GPDF</v>
      </c>
      <c r="F697" s="48" t="str">
        <f>CONCATENATE("Poste de Sectionnement n°",TEXT(A697,"00")," ",O697)</f>
        <v>Poste de Sectionnement n°04 GPDF</v>
      </c>
      <c r="G697" s="19">
        <v>35065</v>
      </c>
      <c r="H697" s="19">
        <v>35065</v>
      </c>
      <c r="I697" s="41" t="s">
        <v>20</v>
      </c>
      <c r="J697" s="41">
        <v>1</v>
      </c>
      <c r="K697" s="41" t="s">
        <v>3557</v>
      </c>
      <c r="L697" s="41">
        <v>16</v>
      </c>
      <c r="M697" s="41"/>
      <c r="N697" s="41"/>
      <c r="O697" s="41" t="s">
        <v>434</v>
      </c>
      <c r="P697" s="41" t="s">
        <v>2310</v>
      </c>
      <c r="Q697" s="43">
        <f t="shared" si="92"/>
        <v>766.8</v>
      </c>
      <c r="R697" s="43">
        <f t="shared" si="93"/>
        <v>71.006</v>
      </c>
      <c r="S697" s="41" t="s">
        <v>2329</v>
      </c>
      <c r="T697" s="48" t="str">
        <f t="shared" si="89"/>
        <v>(4,'PS-04-GPDF','Poste de Sectionnement n°04 GPDF','Monday-01-jj','Monday-01-jj',NULL,1,),</v>
      </c>
    </row>
    <row r="698" spans="1:20" ht="20.100000000000001" customHeight="1" x14ac:dyDescent="0.25">
      <c r="A698" s="38">
        <v>1</v>
      </c>
      <c r="B698" s="38">
        <v>703</v>
      </c>
      <c r="C698" s="38" t="s">
        <v>434</v>
      </c>
      <c r="D698" s="38">
        <v>16</v>
      </c>
      <c r="E698" s="45" t="str">
        <f>CONCATENATE("PC-",TEXT(A698,"00"),"-",O698)</f>
        <v>PC-01-GPDF</v>
      </c>
      <c r="F698" s="48" t="str">
        <f>CONCATENATE("Poste de Coupure n°",TEXT(A698,"00")," ",O698)</f>
        <v>Poste de Coupure n°01 GPDF</v>
      </c>
      <c r="G698" s="19">
        <v>35065</v>
      </c>
      <c r="H698" s="19">
        <v>35065</v>
      </c>
      <c r="I698" s="41" t="s">
        <v>20</v>
      </c>
      <c r="J698" s="41">
        <v>1</v>
      </c>
      <c r="K698" s="41" t="s">
        <v>3556</v>
      </c>
      <c r="L698" s="41">
        <v>15</v>
      </c>
      <c r="M698" s="41"/>
      <c r="N698" s="41"/>
      <c r="O698" s="41" t="s">
        <v>434</v>
      </c>
      <c r="P698" s="41" t="s">
        <v>2353</v>
      </c>
      <c r="Q698" s="49">
        <f t="shared" si="92"/>
        <v>787.79</v>
      </c>
      <c r="R698" s="43">
        <f t="shared" si="93"/>
        <v>87.963999999999999</v>
      </c>
      <c r="S698" s="41" t="s">
        <v>2329</v>
      </c>
      <c r="T698" s="48" t="str">
        <f t="shared" si="89"/>
        <v>(1,'PC-01-GPDF','Poste de Coupure n°01 GPDF','Monday-01-jj','Monday-01-jj',NULL,1,),</v>
      </c>
    </row>
    <row r="699" spans="1:20" ht="20.100000000000001" customHeight="1" x14ac:dyDescent="0.25">
      <c r="A699" s="38">
        <v>5</v>
      </c>
      <c r="B699" s="38">
        <v>704</v>
      </c>
      <c r="C699" s="38" t="s">
        <v>434</v>
      </c>
      <c r="D699" s="38">
        <v>16</v>
      </c>
      <c r="E699" s="39" t="str">
        <f>CONCATENATE("PS-",TEXT(A699,"00"),"-",O699)</f>
        <v>PS-05-GPDF</v>
      </c>
      <c r="F699" s="48" t="str">
        <f>CONCATENATE("Poste de Sectionnement n°",TEXT(A699,"00")," ",O699)</f>
        <v>Poste de Sectionnement n°05 GPDF</v>
      </c>
      <c r="G699" s="19">
        <v>35065</v>
      </c>
      <c r="H699" s="19">
        <v>35065</v>
      </c>
      <c r="I699" s="41" t="s">
        <v>20</v>
      </c>
      <c r="J699" s="41">
        <v>1</v>
      </c>
      <c r="K699" s="41" t="s">
        <v>3557</v>
      </c>
      <c r="L699" s="41">
        <v>16</v>
      </c>
      <c r="M699" s="41"/>
      <c r="N699" s="41"/>
      <c r="O699" s="41" t="s">
        <v>434</v>
      </c>
      <c r="P699" s="41" t="s">
        <v>2311</v>
      </c>
      <c r="Q699" s="43">
        <f t="shared" si="92"/>
        <v>775</v>
      </c>
      <c r="R699" s="43">
        <f t="shared" si="93"/>
        <v>106.84399999999999</v>
      </c>
      <c r="S699" s="41" t="s">
        <v>2329</v>
      </c>
      <c r="T699" s="48" t="str">
        <f t="shared" si="89"/>
        <v>(5,'PS-05-GPDF','Poste de Sectionnement n°05 GPDF','Monday-01-jj','Monday-01-jj',NULL,1,),</v>
      </c>
    </row>
    <row r="700" spans="1:20" ht="20.100000000000001" customHeight="1" x14ac:dyDescent="0.25">
      <c r="A700" s="38">
        <v>6</v>
      </c>
      <c r="B700" s="38">
        <v>705</v>
      </c>
      <c r="C700" s="38" t="s">
        <v>434</v>
      </c>
      <c r="D700" s="38">
        <v>16</v>
      </c>
      <c r="E700" s="39" t="str">
        <f>CONCATENATE("PS-",TEXT(A700,"00"),"-",O700)</f>
        <v>PS-06-GPDF</v>
      </c>
      <c r="F700" s="48" t="str">
        <f>CONCATENATE("Poste de Sectionnement n°",TEXT(A700,"00")," ",O700)</f>
        <v>Poste de Sectionnement n°06 GPDF</v>
      </c>
      <c r="G700" s="19">
        <v>35065</v>
      </c>
      <c r="H700" s="19">
        <v>35065</v>
      </c>
      <c r="I700" s="41" t="s">
        <v>20</v>
      </c>
      <c r="J700" s="41">
        <v>1</v>
      </c>
      <c r="K700" s="41" t="s">
        <v>3557</v>
      </c>
      <c r="L700" s="41">
        <v>16</v>
      </c>
      <c r="M700" s="41"/>
      <c r="N700" s="41"/>
      <c r="O700" s="41" t="s">
        <v>434</v>
      </c>
      <c r="P700" s="41" t="s">
        <v>2312</v>
      </c>
      <c r="Q700" s="43">
        <f t="shared" si="92"/>
        <v>812</v>
      </c>
      <c r="R700" s="43">
        <f t="shared" si="93"/>
        <v>125.6</v>
      </c>
      <c r="S700" s="41" t="s">
        <v>2330</v>
      </c>
      <c r="T700" s="48" t="str">
        <f t="shared" si="89"/>
        <v>(6,'PS-06-GPDF','Poste de Sectionnement n°06 GPDF','Monday-01-jj','Monday-01-jj',NULL,1,),</v>
      </c>
    </row>
    <row r="701" spans="1:20" ht="20.100000000000001" customHeight="1" x14ac:dyDescent="0.25">
      <c r="A701" s="38">
        <v>7</v>
      </c>
      <c r="B701" s="38">
        <v>706</v>
      </c>
      <c r="C701" s="38" t="s">
        <v>434</v>
      </c>
      <c r="D701" s="38">
        <v>16</v>
      </c>
      <c r="E701" s="39" t="str">
        <f>CONCATENATE("PS-",TEXT(A701,"00"),"-",O701)</f>
        <v>PS-07-GPDF</v>
      </c>
      <c r="F701" s="48" t="str">
        <f>CONCATENATE("Poste de Sectionnement n°",TEXT(A701,"00")," ",O701)</f>
        <v>Poste de Sectionnement n°07 GPDF</v>
      </c>
      <c r="G701" s="19">
        <v>35065</v>
      </c>
      <c r="H701" s="19">
        <v>35065</v>
      </c>
      <c r="I701" s="41" t="s">
        <v>20</v>
      </c>
      <c r="J701" s="41">
        <v>1</v>
      </c>
      <c r="K701" s="41" t="s">
        <v>3557</v>
      </c>
      <c r="L701" s="41">
        <v>16</v>
      </c>
      <c r="M701" s="41"/>
      <c r="N701" s="41"/>
      <c r="O701" s="41" t="s">
        <v>434</v>
      </c>
      <c r="P701" s="41" t="s">
        <v>2313</v>
      </c>
      <c r="Q701" s="43">
        <f t="shared" si="92"/>
        <v>760.1</v>
      </c>
      <c r="R701" s="43">
        <f t="shared" si="93"/>
        <v>143.02000000000001</v>
      </c>
      <c r="S701" s="41" t="s">
        <v>2330</v>
      </c>
      <c r="T701" s="48" t="str">
        <f t="shared" si="89"/>
        <v>(7,'PS-07-GPDF','Poste de Sectionnement n°07 GPDF','Monday-01-jj','Monday-01-jj',NULL,1,),</v>
      </c>
    </row>
    <row r="702" spans="1:20" ht="20.100000000000001" customHeight="1" x14ac:dyDescent="0.25">
      <c r="A702" s="38">
        <v>8</v>
      </c>
      <c r="B702" s="38">
        <v>707</v>
      </c>
      <c r="C702" s="38" t="s">
        <v>434</v>
      </c>
      <c r="D702" s="38">
        <v>16</v>
      </c>
      <c r="E702" s="39" t="str">
        <f>CONCATENATE("PS-",TEXT(A702,"00"),"-",O702)</f>
        <v>PS-08-GPDF</v>
      </c>
      <c r="F702" s="48" t="str">
        <f>CONCATENATE("Poste de Sectionnement n°",TEXT(A702,"00")," ",O702)</f>
        <v>Poste de Sectionnement n°08 GPDF</v>
      </c>
      <c r="G702" s="19">
        <v>35065</v>
      </c>
      <c r="H702" s="19">
        <v>35065</v>
      </c>
      <c r="I702" s="41" t="s">
        <v>20</v>
      </c>
      <c r="J702" s="41">
        <v>1</v>
      </c>
      <c r="K702" s="41" t="s">
        <v>3557</v>
      </c>
      <c r="L702" s="41">
        <v>16</v>
      </c>
      <c r="M702" s="41"/>
      <c r="N702" s="41"/>
      <c r="O702" s="41" t="s">
        <v>434</v>
      </c>
      <c r="P702" s="41" t="s">
        <v>2314</v>
      </c>
      <c r="Q702" s="43">
        <f t="shared" si="92"/>
        <v>818</v>
      </c>
      <c r="R702" s="43">
        <f t="shared" si="93"/>
        <v>160.44</v>
      </c>
      <c r="S702" s="41" t="s">
        <v>2330</v>
      </c>
      <c r="T702" s="48" t="str">
        <f t="shared" si="89"/>
        <v>(8,'PS-08-GPDF','Poste de Sectionnement n°08 GPDF','Monday-01-jj','Monday-01-jj',NULL,1,),</v>
      </c>
    </row>
    <row r="703" spans="1:20" ht="20.100000000000001" customHeight="1" x14ac:dyDescent="0.25">
      <c r="A703" s="38">
        <v>2</v>
      </c>
      <c r="B703" s="38">
        <v>708</v>
      </c>
      <c r="C703" s="38" t="s">
        <v>434</v>
      </c>
      <c r="D703" s="38">
        <v>16</v>
      </c>
      <c r="E703" s="45" t="str">
        <f>CONCATENATE("PC-",TEXT(A703,"00"),"-",O703)</f>
        <v>PC-02-GPDF</v>
      </c>
      <c r="F703" s="48" t="str">
        <f>CONCATENATE("Poste de Coupure n°",TEXT(A703,"00")," ",O703)</f>
        <v>Poste de Coupure n°02 GPDF</v>
      </c>
      <c r="G703" s="19">
        <v>35065</v>
      </c>
      <c r="H703" s="19">
        <v>35065</v>
      </c>
      <c r="I703" s="41" t="s">
        <v>20</v>
      </c>
      <c r="J703" s="41">
        <v>1</v>
      </c>
      <c r="K703" s="41" t="s">
        <v>3556</v>
      </c>
      <c r="L703" s="41">
        <v>15</v>
      </c>
      <c r="M703" s="41"/>
      <c r="N703" s="41"/>
      <c r="O703" s="41" t="s">
        <v>434</v>
      </c>
      <c r="P703" s="41" t="s">
        <v>2354</v>
      </c>
      <c r="Q703" s="49">
        <f t="shared" si="92"/>
        <v>807</v>
      </c>
      <c r="R703" s="43">
        <f t="shared" si="93"/>
        <v>175.97800000000001</v>
      </c>
      <c r="S703" s="41" t="s">
        <v>2358</v>
      </c>
      <c r="T703" s="48" t="str">
        <f t="shared" si="89"/>
        <v>(2,'PC-02-GPDF','Poste de Coupure n°02 GPDF','Monday-01-jj','Monday-01-jj',NULL,1,),</v>
      </c>
    </row>
    <row r="704" spans="1:20" ht="20.100000000000001" customHeight="1" x14ac:dyDescent="0.25">
      <c r="A704" s="38">
        <v>9</v>
      </c>
      <c r="B704" s="38">
        <v>709</v>
      </c>
      <c r="C704" s="38" t="s">
        <v>434</v>
      </c>
      <c r="D704" s="38">
        <v>16</v>
      </c>
      <c r="E704" s="39" t="str">
        <f>CONCATENATE("PS-",TEXT(A704,"00"),"-",O704)</f>
        <v>PS-09-GPDF</v>
      </c>
      <c r="F704" s="48" t="str">
        <f>CONCATENATE("Poste de Sectionnement n°",TEXT(A704,"00")," ",O704)</f>
        <v>Poste de Sectionnement n°09 GPDF</v>
      </c>
      <c r="G704" s="19">
        <v>35065</v>
      </c>
      <c r="H704" s="19">
        <v>35065</v>
      </c>
      <c r="I704" s="41" t="s">
        <v>20</v>
      </c>
      <c r="J704" s="41">
        <v>1</v>
      </c>
      <c r="K704" s="41" t="s">
        <v>3557</v>
      </c>
      <c r="L704" s="41">
        <v>16</v>
      </c>
      <c r="M704" s="41"/>
      <c r="N704" s="41"/>
      <c r="O704" s="41" t="s">
        <v>434</v>
      </c>
      <c r="P704" s="41" t="s">
        <v>2315</v>
      </c>
      <c r="Q704" s="43">
        <f t="shared" si="92"/>
        <v>778</v>
      </c>
      <c r="R704" s="43">
        <f t="shared" si="93"/>
        <v>194.60599999999999</v>
      </c>
      <c r="S704" s="41" t="s">
        <v>2330</v>
      </c>
      <c r="T704" s="48" t="str">
        <f t="shared" si="89"/>
        <v>(9,'PS-09-GPDF','Poste de Sectionnement n°09 GPDF','Monday-01-jj','Monday-01-jj',NULL,1,),</v>
      </c>
    </row>
    <row r="705" spans="1:20" ht="20.100000000000001" customHeight="1" x14ac:dyDescent="0.25">
      <c r="A705" s="38">
        <v>10</v>
      </c>
      <c r="B705" s="38">
        <v>710</v>
      </c>
      <c r="C705" s="38" t="s">
        <v>434</v>
      </c>
      <c r="D705" s="38">
        <v>16</v>
      </c>
      <c r="E705" s="39" t="str">
        <f>CONCATENATE("PS-",TEXT(A705,"00"),"-",O705)</f>
        <v>PS-10-GPDF</v>
      </c>
      <c r="F705" s="48" t="str">
        <f>CONCATENATE("Poste de Sectionnement n°",TEXT(A705,"00")," ",O705)</f>
        <v>Poste de Sectionnement n°10 GPDF</v>
      </c>
      <c r="G705" s="19">
        <v>35065</v>
      </c>
      <c r="H705" s="19">
        <v>35065</v>
      </c>
      <c r="I705" s="41" t="s">
        <v>20</v>
      </c>
      <c r="J705" s="41">
        <v>1</v>
      </c>
      <c r="K705" s="41" t="s">
        <v>3557</v>
      </c>
      <c r="L705" s="41">
        <v>16</v>
      </c>
      <c r="M705" s="41"/>
      <c r="N705" s="41"/>
      <c r="O705" s="41" t="s">
        <v>434</v>
      </c>
      <c r="P705" s="41" t="s">
        <v>2316</v>
      </c>
      <c r="Q705" s="43">
        <f t="shared" si="92"/>
        <v>840.5</v>
      </c>
      <c r="R705" s="43">
        <f t="shared" si="93"/>
        <v>213.04499999999999</v>
      </c>
      <c r="S705" s="41" t="s">
        <v>2330</v>
      </c>
      <c r="T705" s="48" t="str">
        <f t="shared" si="89"/>
        <v>(10,'PS-10-GPDF','Poste de Sectionnement n°10 GPDF','Monday-01-jj','Monday-01-jj',NULL,1,),</v>
      </c>
    </row>
    <row r="706" spans="1:20" ht="20.100000000000001" customHeight="1" x14ac:dyDescent="0.25">
      <c r="A706" s="38">
        <v>11</v>
      </c>
      <c r="B706" s="38">
        <v>711</v>
      </c>
      <c r="C706" s="38" t="s">
        <v>434</v>
      </c>
      <c r="D706" s="38">
        <v>16</v>
      </c>
      <c r="E706" s="39" t="str">
        <f>CONCATENATE("PS-",TEXT(A706,"00"),"-",O706)</f>
        <v>PS-11-GPDF</v>
      </c>
      <c r="F706" s="48" t="str">
        <f>CONCATENATE("Poste de Sectionnement n°",TEXT(A706,"00")," ",O706)</f>
        <v>Poste de Sectionnement n°11 GPDF</v>
      </c>
      <c r="G706" s="19">
        <v>35065</v>
      </c>
      <c r="H706" s="19">
        <v>35065</v>
      </c>
      <c r="I706" s="41" t="s">
        <v>20</v>
      </c>
      <c r="J706" s="41">
        <v>1</v>
      </c>
      <c r="K706" s="41" t="s">
        <v>3557</v>
      </c>
      <c r="L706" s="41">
        <v>16</v>
      </c>
      <c r="M706" s="41"/>
      <c r="N706" s="41"/>
      <c r="O706" s="41" t="s">
        <v>434</v>
      </c>
      <c r="P706" s="41" t="s">
        <v>2317</v>
      </c>
      <c r="Q706" s="43">
        <f t="shared" si="92"/>
        <v>900</v>
      </c>
      <c r="R706" s="43">
        <f t="shared" si="93"/>
        <v>232.345</v>
      </c>
      <c r="S706" s="41" t="s">
        <v>2330</v>
      </c>
      <c r="T706" s="48" t="str">
        <f t="shared" si="89"/>
        <v>(11,'PS-11-GPDF','Poste de Sectionnement n°11 GPDF','Monday-01-jj','Monday-01-jj',NULL,1,),</v>
      </c>
    </row>
    <row r="707" spans="1:20" ht="20.100000000000001" customHeight="1" x14ac:dyDescent="0.25">
      <c r="A707" s="38">
        <v>12</v>
      </c>
      <c r="B707" s="38">
        <v>712</v>
      </c>
      <c r="C707" s="38" t="s">
        <v>434</v>
      </c>
      <c r="D707" s="38">
        <v>16</v>
      </c>
      <c r="E707" s="39" t="str">
        <f>CONCATENATE("PS-",TEXT(A707,"00"),"-",O707)</f>
        <v>PS-12-GPDF</v>
      </c>
      <c r="F707" s="48" t="str">
        <f>CONCATENATE("Poste de Sectionnement n°",TEXT(A707,"00")," ",O707)</f>
        <v>Poste de Sectionnement n°12 GPDF</v>
      </c>
      <c r="G707" s="19">
        <v>35065</v>
      </c>
      <c r="H707" s="19">
        <v>35065</v>
      </c>
      <c r="I707" s="41" t="s">
        <v>20</v>
      </c>
      <c r="J707" s="41">
        <v>1</v>
      </c>
      <c r="K707" s="41" t="s">
        <v>3557</v>
      </c>
      <c r="L707" s="41">
        <v>16</v>
      </c>
      <c r="M707" s="41"/>
      <c r="N707" s="41"/>
      <c r="O707" s="41" t="s">
        <v>434</v>
      </c>
      <c r="P707" s="41" t="s">
        <v>2318</v>
      </c>
      <c r="Q707" s="43">
        <f t="shared" si="92"/>
        <v>956</v>
      </c>
      <c r="R707" s="43">
        <f t="shared" si="93"/>
        <v>249.97200000000001</v>
      </c>
      <c r="S707" s="41" t="s">
        <v>2331</v>
      </c>
      <c r="T707" s="48" t="str">
        <f t="shared" si="89"/>
        <v>(12,'PS-12-GPDF','Poste de Sectionnement n°12 GPDF','Monday-01-jj','Monday-01-jj',NULL,1,),</v>
      </c>
    </row>
    <row r="708" spans="1:20" ht="20.100000000000001" customHeight="1" x14ac:dyDescent="0.25">
      <c r="A708" s="38">
        <v>3</v>
      </c>
      <c r="B708" s="38">
        <v>713</v>
      </c>
      <c r="C708" s="38" t="s">
        <v>434</v>
      </c>
      <c r="D708" s="38">
        <v>16</v>
      </c>
      <c r="E708" s="45" t="str">
        <f>CONCATENATE("PC-",TEXT(A708,"00"),"-",O708)</f>
        <v>PC-03-GPDF</v>
      </c>
      <c r="F708" s="48" t="str">
        <f>CONCATENATE("Poste de Coupure n°",TEXT(A708,"00")," ",O708)</f>
        <v>Poste de Coupure n°03 GPDF</v>
      </c>
      <c r="G708" s="19">
        <v>35065</v>
      </c>
      <c r="H708" s="19">
        <v>35065</v>
      </c>
      <c r="I708" s="41" t="s">
        <v>20</v>
      </c>
      <c r="J708" s="41">
        <v>1</v>
      </c>
      <c r="K708" s="41" t="s">
        <v>3556</v>
      </c>
      <c r="L708" s="41">
        <v>15</v>
      </c>
      <c r="M708" s="41"/>
      <c r="N708" s="41"/>
      <c r="O708" s="41" t="s">
        <v>434</v>
      </c>
      <c r="P708" s="41" t="s">
        <v>2355</v>
      </c>
      <c r="Q708" s="49">
        <f t="shared" si="92"/>
        <v>965.96</v>
      </c>
      <c r="R708" s="43">
        <f t="shared" si="93"/>
        <v>267.59899999999999</v>
      </c>
      <c r="S708" s="41" t="s">
        <v>2331</v>
      </c>
      <c r="T708" s="48" t="str">
        <f t="shared" si="89"/>
        <v>(3,'PC-03-GPDF','Poste de Coupure n°03 GPDF','Monday-01-jj','Monday-01-jj',NULL,1,),</v>
      </c>
    </row>
    <row r="709" spans="1:20" ht="20.100000000000001" customHeight="1" x14ac:dyDescent="0.25">
      <c r="A709" s="38">
        <v>1</v>
      </c>
      <c r="B709" s="38">
        <v>714</v>
      </c>
      <c r="C709" s="38" t="s">
        <v>434</v>
      </c>
      <c r="D709" s="38">
        <v>16</v>
      </c>
      <c r="E709" s="39" t="s">
        <v>208</v>
      </c>
      <c r="F709" s="48" t="str">
        <f>CONCATENATE("Station de Compression ",E709)</f>
        <v>Station de Compression SC3-GPDF</v>
      </c>
      <c r="G709" s="19">
        <v>38031</v>
      </c>
      <c r="H709" s="19">
        <v>38031</v>
      </c>
      <c r="I709" s="41" t="s">
        <v>20</v>
      </c>
      <c r="J709" s="41">
        <v>1</v>
      </c>
      <c r="K709" s="41" t="s">
        <v>3554</v>
      </c>
      <c r="L709" s="41">
        <v>8</v>
      </c>
      <c r="M709" s="41">
        <v>10</v>
      </c>
      <c r="N709" s="41"/>
      <c r="O709" s="41" t="s">
        <v>434</v>
      </c>
      <c r="P709" s="41" t="s">
        <v>2355</v>
      </c>
      <c r="Q709" s="49">
        <f t="shared" si="92"/>
        <v>965.96</v>
      </c>
      <c r="R709" s="43">
        <f t="shared" si="93"/>
        <v>267.59899999999999</v>
      </c>
      <c r="S709" s="41" t="s">
        <v>2331</v>
      </c>
      <c r="T709" s="48" t="str">
        <f t="shared" si="89"/>
        <v>(1,'SC3-GPDF','Station de Compression SC3-GPDF','Saturday-02-jj','Saturday-02-jj',NULL,1,10),</v>
      </c>
    </row>
    <row r="710" spans="1:20" ht="20.100000000000001" customHeight="1" x14ac:dyDescent="0.25">
      <c r="A710" s="38">
        <v>13</v>
      </c>
      <c r="B710" s="38">
        <v>715</v>
      </c>
      <c r="C710" s="38" t="s">
        <v>434</v>
      </c>
      <c r="D710" s="38">
        <v>16</v>
      </c>
      <c r="E710" s="39" t="str">
        <f>CONCATENATE("PS-",TEXT(A710,"00"),"-",O710)</f>
        <v>PS-13-GPDF</v>
      </c>
      <c r="F710" s="48" t="str">
        <f>CONCATENATE("Poste de Sectionnement n°",TEXT(A710,"00")," ",O710)</f>
        <v>Poste de Sectionnement n°13 GPDF</v>
      </c>
      <c r="G710" s="19">
        <v>35065</v>
      </c>
      <c r="H710" s="19">
        <v>35065</v>
      </c>
      <c r="I710" s="41" t="s">
        <v>20</v>
      </c>
      <c r="J710" s="41">
        <v>1</v>
      </c>
      <c r="K710" s="41" t="s">
        <v>3557</v>
      </c>
      <c r="L710" s="41">
        <v>16</v>
      </c>
      <c r="M710" s="41"/>
      <c r="N710" s="41"/>
      <c r="O710" s="41" t="s">
        <v>434</v>
      </c>
      <c r="P710" s="41" t="s">
        <v>2319</v>
      </c>
      <c r="Q710" s="43">
        <f t="shared" si="92"/>
        <v>1082</v>
      </c>
      <c r="R710" s="43">
        <f t="shared" si="93"/>
        <v>293.90100000000001</v>
      </c>
      <c r="S710" s="41" t="s">
        <v>2332</v>
      </c>
      <c r="T710" s="48" t="str">
        <f t="shared" si="89"/>
        <v>(13,'PS-13-GPDF','Poste de Sectionnement n°13 GPDF','Monday-01-jj','Monday-01-jj',NULL,1,),</v>
      </c>
    </row>
    <row r="711" spans="1:20" ht="20.100000000000001" customHeight="1" x14ac:dyDescent="0.25">
      <c r="A711" s="38">
        <v>14</v>
      </c>
      <c r="B711" s="38">
        <v>716</v>
      </c>
      <c r="C711" s="38" t="s">
        <v>434</v>
      </c>
      <c r="D711" s="38">
        <v>16</v>
      </c>
      <c r="E711" s="39" t="str">
        <f>CONCATENATE("PS-",TEXT(A711,"00"),"-",O711)</f>
        <v>PS-14-GPDF</v>
      </c>
      <c r="F711" s="48" t="str">
        <f>CONCATENATE("Poste de Sectionnement n°",TEXT(A711,"00")," ",O711)</f>
        <v>Poste de Sectionnement n°14 GPDF</v>
      </c>
      <c r="G711" s="19">
        <v>35065</v>
      </c>
      <c r="H711" s="19">
        <v>35065</v>
      </c>
      <c r="I711" s="41" t="s">
        <v>20</v>
      </c>
      <c r="J711" s="41">
        <v>1</v>
      </c>
      <c r="K711" s="41" t="s">
        <v>3557</v>
      </c>
      <c r="L711" s="41">
        <v>16</v>
      </c>
      <c r="M711" s="41"/>
      <c r="N711" s="41"/>
      <c r="O711" s="41" t="s">
        <v>434</v>
      </c>
      <c r="P711" s="41" t="s">
        <v>2320</v>
      </c>
      <c r="Q711" s="43">
        <f t="shared" si="92"/>
        <v>1241</v>
      </c>
      <c r="R711" s="43">
        <f t="shared" si="93"/>
        <v>314.53300000000002</v>
      </c>
      <c r="S711" s="41" t="s">
        <v>2333</v>
      </c>
      <c r="T711" s="48" t="str">
        <f t="shared" si="89"/>
        <v>(14,'PS-14-GPDF','Poste de Sectionnement n°14 GPDF','Monday-01-jj','Monday-01-jj',NULL,1,),</v>
      </c>
    </row>
    <row r="712" spans="1:20" ht="20.100000000000001" customHeight="1" x14ac:dyDescent="0.25">
      <c r="A712" s="38">
        <v>15</v>
      </c>
      <c r="B712" s="38">
        <v>717</v>
      </c>
      <c r="C712" s="38" t="s">
        <v>434</v>
      </c>
      <c r="D712" s="38">
        <v>16</v>
      </c>
      <c r="E712" s="39" t="str">
        <f>CONCATENATE("PS-",TEXT(A712,"00"),"-",O712)</f>
        <v>PS-15-GPDF</v>
      </c>
      <c r="F712" s="48" t="str">
        <f>CONCATENATE("Poste de Sectionnement n°",TEXT(A712,"00")," ",O712)</f>
        <v>Poste de Sectionnement n°15 GPDF</v>
      </c>
      <c r="G712" s="19">
        <v>35065</v>
      </c>
      <c r="H712" s="19">
        <v>35065</v>
      </c>
      <c r="I712" s="41" t="s">
        <v>20</v>
      </c>
      <c r="J712" s="41">
        <v>1</v>
      </c>
      <c r="K712" s="41" t="s">
        <v>3557</v>
      </c>
      <c r="L712" s="41">
        <v>16</v>
      </c>
      <c r="M712" s="41"/>
      <c r="N712" s="41"/>
      <c r="O712" s="41" t="s">
        <v>434</v>
      </c>
      <c r="P712" s="41" t="s">
        <v>2321</v>
      </c>
      <c r="Q712" s="43">
        <f t="shared" si="92"/>
        <v>1253.5</v>
      </c>
      <c r="R712" s="43">
        <f t="shared" si="93"/>
        <v>326.21699999999998</v>
      </c>
      <c r="S712" s="41" t="s">
        <v>2333</v>
      </c>
      <c r="T712" s="48" t="str">
        <f t="shared" si="89"/>
        <v>(15,'PS-15-GPDF','Poste de Sectionnement n°15 GPDF','Monday-01-jj','Monday-01-jj',NULL,1,),</v>
      </c>
    </row>
    <row r="713" spans="1:20" ht="20.100000000000001" customHeight="1" x14ac:dyDescent="0.25">
      <c r="A713" s="38">
        <v>4</v>
      </c>
      <c r="B713" s="38">
        <v>718</v>
      </c>
      <c r="C713" s="38" t="s">
        <v>434</v>
      </c>
      <c r="D713" s="38">
        <v>16</v>
      </c>
      <c r="E713" s="45" t="str">
        <f>CONCATENATE("PC-",TEXT(A713,"00"),"-",O713)</f>
        <v>PC-04-GPDF</v>
      </c>
      <c r="F713" s="48" t="str">
        <f>CONCATENATE("Poste de Coupure n°",TEXT(A713,"00")," ",O713)</f>
        <v>Poste de Coupure n°04 GPDF</v>
      </c>
      <c r="G713" s="19">
        <v>35065</v>
      </c>
      <c r="H713" s="19">
        <v>35065</v>
      </c>
      <c r="I713" s="41" t="s">
        <v>20</v>
      </c>
      <c r="J713" s="41">
        <v>1</v>
      </c>
      <c r="K713" s="41" t="s">
        <v>3556</v>
      </c>
      <c r="L713" s="41">
        <v>15</v>
      </c>
      <c r="M713" s="41"/>
      <c r="N713" s="41"/>
      <c r="O713" s="41" t="s">
        <v>434</v>
      </c>
      <c r="P713" s="41" t="s">
        <v>2356</v>
      </c>
      <c r="Q713" s="49">
        <f t="shared" si="92"/>
        <v>1225.5999999999999</v>
      </c>
      <c r="R713" s="43">
        <f t="shared" si="93"/>
        <v>341.91699999999997</v>
      </c>
      <c r="S713" s="41" t="s">
        <v>2334</v>
      </c>
      <c r="T713" s="48" t="str">
        <f t="shared" si="89"/>
        <v>(4,'PC-04-GPDF','Poste de Coupure n°04 GPDF','Monday-01-jj','Monday-01-jj',NULL,1,),</v>
      </c>
    </row>
    <row r="714" spans="1:20" ht="20.100000000000001" customHeight="1" x14ac:dyDescent="0.25">
      <c r="A714" s="38">
        <v>16</v>
      </c>
      <c r="B714" s="38">
        <v>719</v>
      </c>
      <c r="C714" s="38" t="s">
        <v>434</v>
      </c>
      <c r="D714" s="38">
        <v>16</v>
      </c>
      <c r="E714" s="39" t="str">
        <f>CONCATENATE("PS-",TEXT(A714,"00"),"-",O714)</f>
        <v>PS-16-GPDF</v>
      </c>
      <c r="F714" s="48" t="str">
        <f>CONCATENATE("Poste de Sectionnement n°",TEXT(A714,"00")," ",O714)</f>
        <v>Poste de Sectionnement n°16 GPDF</v>
      </c>
      <c r="G714" s="19">
        <v>35065</v>
      </c>
      <c r="H714" s="19">
        <v>35065</v>
      </c>
      <c r="I714" s="41" t="s">
        <v>20</v>
      </c>
      <c r="J714" s="41">
        <v>1</v>
      </c>
      <c r="K714" s="41" t="s">
        <v>3557</v>
      </c>
      <c r="L714" s="41">
        <v>16</v>
      </c>
      <c r="M714" s="41"/>
      <c r="N714" s="41"/>
      <c r="O714" s="41" t="s">
        <v>434</v>
      </c>
      <c r="P714" s="41" t="s">
        <v>2322</v>
      </c>
      <c r="Q714" s="43">
        <f t="shared" si="92"/>
        <v>1165.5899999999999</v>
      </c>
      <c r="R714" s="43">
        <f t="shared" si="93"/>
        <v>361.74</v>
      </c>
      <c r="S714" s="41" t="s">
        <v>2334</v>
      </c>
      <c r="T714" s="48" t="str">
        <f t="shared" si="89"/>
        <v>(16,'PS-16-GPDF','Poste de Sectionnement n°16 GPDF','Monday-01-jj','Monday-01-jj',NULL,1,),</v>
      </c>
    </row>
    <row r="715" spans="1:20" ht="20.100000000000001" customHeight="1" x14ac:dyDescent="0.25">
      <c r="A715" s="38">
        <v>17</v>
      </c>
      <c r="B715" s="38">
        <v>720</v>
      </c>
      <c r="C715" s="38" t="s">
        <v>434</v>
      </c>
      <c r="D715" s="38">
        <v>16</v>
      </c>
      <c r="E715" s="39" t="str">
        <f>CONCATENATE("PS-",TEXT(A715,"00"),"-",O715)</f>
        <v>PS-17-GPDF</v>
      </c>
      <c r="F715" s="48" t="str">
        <f>CONCATENATE("Poste de Sectionnement n°",TEXT(A715,"00")," ",O715)</f>
        <v>Poste de Sectionnement n°17 GPDF</v>
      </c>
      <c r="G715" s="19">
        <v>35065</v>
      </c>
      <c r="H715" s="19">
        <v>35065</v>
      </c>
      <c r="I715" s="41" t="s">
        <v>20</v>
      </c>
      <c r="J715" s="41">
        <v>1</v>
      </c>
      <c r="K715" s="41" t="s">
        <v>3557</v>
      </c>
      <c r="L715" s="41">
        <v>16</v>
      </c>
      <c r="M715" s="41"/>
      <c r="N715" s="41"/>
      <c r="O715" s="41" t="s">
        <v>434</v>
      </c>
      <c r="P715" s="41" t="s">
        <v>2323</v>
      </c>
      <c r="Q715" s="43">
        <f t="shared" si="92"/>
        <v>1126.5899999999999</v>
      </c>
      <c r="R715" s="43">
        <f t="shared" si="93"/>
        <v>381.459</v>
      </c>
      <c r="S715" s="41" t="s">
        <v>2335</v>
      </c>
      <c r="T715" s="48" t="str">
        <f t="shared" si="89"/>
        <v>(17,'PS-17-GPDF','Poste de Sectionnement n°17 GPDF','Monday-01-jj','Monday-01-jj',NULL,1,),</v>
      </c>
    </row>
    <row r="716" spans="1:20" ht="20.100000000000001" customHeight="1" x14ac:dyDescent="0.25">
      <c r="A716" s="38">
        <v>18</v>
      </c>
      <c r="B716" s="38">
        <v>721</v>
      </c>
      <c r="C716" s="38" t="s">
        <v>434</v>
      </c>
      <c r="D716" s="38">
        <v>16</v>
      </c>
      <c r="E716" s="39" t="str">
        <f>CONCATENATE("PS-",TEXT(A716,"00"),"-",O716)</f>
        <v>PS-18-GPDF</v>
      </c>
      <c r="F716" s="48" t="str">
        <f>CONCATENATE("Poste de Sectionnement n°",TEXT(A716,"00")," ",O716)</f>
        <v>Poste de Sectionnement n°18 GPDF</v>
      </c>
      <c r="G716" s="19">
        <v>35065</v>
      </c>
      <c r="H716" s="19">
        <v>35065</v>
      </c>
      <c r="I716" s="41" t="s">
        <v>20</v>
      </c>
      <c r="J716" s="41">
        <v>1</v>
      </c>
      <c r="K716" s="41" t="s">
        <v>3557</v>
      </c>
      <c r="L716" s="41">
        <v>16</v>
      </c>
      <c r="M716" s="41"/>
      <c r="N716" s="41"/>
      <c r="O716" s="41" t="s">
        <v>434</v>
      </c>
      <c r="P716" s="41" t="s">
        <v>2324</v>
      </c>
      <c r="Q716" s="43">
        <f t="shared" si="92"/>
        <v>1092.5899999999999</v>
      </c>
      <c r="R716" s="43">
        <f t="shared" si="93"/>
        <v>401.37900000000002</v>
      </c>
      <c r="S716" s="41" t="s">
        <v>2335</v>
      </c>
      <c r="T716" s="48" t="str">
        <f t="shared" si="89"/>
        <v>(18,'PS-18-GPDF','Poste de Sectionnement n°18 GPDF','Monday-01-jj','Monday-01-jj',NULL,1,),</v>
      </c>
    </row>
    <row r="717" spans="1:20" ht="20.100000000000001" customHeight="1" x14ac:dyDescent="0.25">
      <c r="A717" s="38">
        <v>19</v>
      </c>
      <c r="B717" s="38">
        <v>722</v>
      </c>
      <c r="C717" s="38" t="s">
        <v>434</v>
      </c>
      <c r="D717" s="38">
        <v>16</v>
      </c>
      <c r="E717" s="39" t="str">
        <f>CONCATENATE("PS-",TEXT(A717,"00"),"-",O717)</f>
        <v>PS-19-GPDF</v>
      </c>
      <c r="F717" s="48" t="str">
        <f>CONCATENATE("Poste de Sectionnement n°",TEXT(A717,"00")," ",O717)</f>
        <v>Poste de Sectionnement n°19 GPDF</v>
      </c>
      <c r="G717" s="19">
        <v>35065</v>
      </c>
      <c r="H717" s="19">
        <v>35065</v>
      </c>
      <c r="I717" s="41" t="s">
        <v>20</v>
      </c>
      <c r="J717" s="41">
        <v>1</v>
      </c>
      <c r="K717" s="41" t="s">
        <v>3557</v>
      </c>
      <c r="L717" s="41">
        <v>16</v>
      </c>
      <c r="M717" s="41"/>
      <c r="N717" s="41"/>
      <c r="O717" s="41" t="s">
        <v>434</v>
      </c>
      <c r="P717" s="41" t="s">
        <v>2325</v>
      </c>
      <c r="Q717" s="43">
        <f t="shared" si="92"/>
        <v>1084.1199999999999</v>
      </c>
      <c r="R717" s="43">
        <f t="shared" si="93"/>
        <v>421.19</v>
      </c>
      <c r="S717" s="41" t="s">
        <v>2335</v>
      </c>
      <c r="T717" s="48" t="str">
        <f t="shared" si="89"/>
        <v>(19,'PS-19-GPDF','Poste de Sectionnement n°19 GPDF','Monday-01-jj','Monday-01-jj',NULL,1,),</v>
      </c>
    </row>
    <row r="718" spans="1:20" ht="20.100000000000001" customHeight="1" x14ac:dyDescent="0.25">
      <c r="A718" s="38">
        <v>5</v>
      </c>
      <c r="B718" s="38">
        <v>723</v>
      </c>
      <c r="C718" s="38" t="s">
        <v>434</v>
      </c>
      <c r="D718" s="38">
        <v>16</v>
      </c>
      <c r="E718" s="45" t="str">
        <f>CONCATENATE("PC-",TEXT(A718,"00"),"-",O718)</f>
        <v>PC-05-GPDF</v>
      </c>
      <c r="F718" s="48" t="str">
        <f>CONCATENATE("Poste de Coupure n°",TEXT(A718,"00")," ",O718)</f>
        <v>Poste de Coupure n°05 GPDF</v>
      </c>
      <c r="G718" s="19">
        <v>35065</v>
      </c>
      <c r="H718" s="19">
        <v>35065</v>
      </c>
      <c r="I718" s="41" t="s">
        <v>20</v>
      </c>
      <c r="J718" s="41">
        <v>1</v>
      </c>
      <c r="K718" s="41" t="s">
        <v>3556</v>
      </c>
      <c r="L718" s="41">
        <v>15</v>
      </c>
      <c r="M718" s="41"/>
      <c r="N718" s="41"/>
      <c r="O718" s="41" t="s">
        <v>434</v>
      </c>
      <c r="P718" s="41" t="s">
        <v>2357</v>
      </c>
      <c r="Q718" s="49">
        <f t="shared" si="92"/>
        <v>1077.31</v>
      </c>
      <c r="R718" s="43">
        <f t="shared" si="93"/>
        <v>441.01600000000002</v>
      </c>
      <c r="S718" s="41" t="s">
        <v>2335</v>
      </c>
      <c r="T718" s="48" t="str">
        <f t="shared" si="89"/>
        <v>(5,'PC-05-GPDF','Poste de Coupure n°05 GPDF','Monday-01-jj','Monday-01-jj',NULL,1,),</v>
      </c>
    </row>
    <row r="719" spans="1:20" ht="20.100000000000001" customHeight="1" x14ac:dyDescent="0.25">
      <c r="A719" s="38">
        <v>20</v>
      </c>
      <c r="B719" s="38">
        <v>724</v>
      </c>
      <c r="C719" s="38" t="s">
        <v>434</v>
      </c>
      <c r="D719" s="38">
        <v>16</v>
      </c>
      <c r="E719" s="39" t="str">
        <f>CONCATENATE("PS-",TEXT(A719,"00"),"-",O719)</f>
        <v>PS-20-GPDF</v>
      </c>
      <c r="F719" s="48" t="str">
        <f>CONCATENATE("Poste de Sectionnement n°",TEXT(A719,"00")," ",O719)</f>
        <v>Poste de Sectionnement n°20 GPDF</v>
      </c>
      <c r="G719" s="19">
        <v>35065</v>
      </c>
      <c r="H719" s="19">
        <v>35065</v>
      </c>
      <c r="I719" s="41" t="s">
        <v>20</v>
      </c>
      <c r="J719" s="41">
        <v>1</v>
      </c>
      <c r="K719" s="41" t="s">
        <v>3557</v>
      </c>
      <c r="L719" s="41">
        <v>16</v>
      </c>
      <c r="M719" s="41"/>
      <c r="N719" s="41"/>
      <c r="O719" s="41" t="s">
        <v>434</v>
      </c>
      <c r="P719" s="41" t="s">
        <v>2326</v>
      </c>
      <c r="Q719" s="43">
        <f t="shared" si="92"/>
        <v>1090.8</v>
      </c>
      <c r="R719" s="43">
        <f t="shared" si="93"/>
        <v>460.99900000000002</v>
      </c>
      <c r="S719" s="41" t="s">
        <v>2336</v>
      </c>
      <c r="T719" s="48" t="str">
        <f t="shared" si="89"/>
        <v>(20,'PS-20-GPDF','Poste de Sectionnement n°20 GPDF','Monday-01-jj','Monday-01-jj',NULL,1,),</v>
      </c>
    </row>
    <row r="720" spans="1:20" ht="20.100000000000001" customHeight="1" x14ac:dyDescent="0.25">
      <c r="A720" s="38">
        <v>21</v>
      </c>
      <c r="B720" s="38">
        <v>725</v>
      </c>
      <c r="C720" s="38" t="s">
        <v>434</v>
      </c>
      <c r="D720" s="38">
        <v>16</v>
      </c>
      <c r="E720" s="39" t="str">
        <f>CONCATENATE("PS-",TEXT(A720,"00"),"-",O720)</f>
        <v>PS-21-GPDF</v>
      </c>
      <c r="F720" s="48" t="str">
        <f>CONCATENATE("Poste de Sectionnement n°",TEXT(A720,"00")," ",O720)</f>
        <v>Poste de Sectionnement n°21 GPDF</v>
      </c>
      <c r="G720" s="19">
        <v>35065</v>
      </c>
      <c r="H720" s="19">
        <v>35065</v>
      </c>
      <c r="I720" s="41" t="s">
        <v>20</v>
      </c>
      <c r="J720" s="41">
        <v>1</v>
      </c>
      <c r="K720" s="41" t="s">
        <v>3557</v>
      </c>
      <c r="L720" s="41">
        <v>16</v>
      </c>
      <c r="M720" s="41"/>
      <c r="N720" s="41"/>
      <c r="O720" s="41" t="s">
        <v>434</v>
      </c>
      <c r="P720" s="41" t="s">
        <v>2327</v>
      </c>
      <c r="Q720" s="43">
        <f t="shared" si="92"/>
        <v>1133.0999999999999</v>
      </c>
      <c r="R720" s="43">
        <f t="shared" si="93"/>
        <v>480.98399999999998</v>
      </c>
      <c r="S720" s="41" t="s">
        <v>2336</v>
      </c>
      <c r="T720" s="48" t="str">
        <f t="shared" si="89"/>
        <v>(21,'PS-21-GPDF','Poste de Sectionnement n°21 GPDF','Monday-01-jj','Monday-01-jj',NULL,1,),</v>
      </c>
    </row>
    <row r="721" spans="1:20" ht="20.100000000000001" customHeight="1" x14ac:dyDescent="0.25">
      <c r="A721" s="38">
        <v>22</v>
      </c>
      <c r="B721" s="38">
        <v>726</v>
      </c>
      <c r="C721" s="38" t="s">
        <v>434</v>
      </c>
      <c r="D721" s="38">
        <v>16</v>
      </c>
      <c r="E721" s="39" t="str">
        <f>CONCATENATE("PS-",TEXT(A721,"00"),"-",O721)</f>
        <v>PS-22-GPDF</v>
      </c>
      <c r="F721" s="48" t="str">
        <f>CONCATENATE("Poste de Sectionnement n°",TEXT(A721,"00")," ",O721)</f>
        <v>Poste de Sectionnement n°22 GPDF</v>
      </c>
      <c r="G721" s="19">
        <v>35065</v>
      </c>
      <c r="H721" s="19">
        <v>35065</v>
      </c>
      <c r="I721" s="41" t="s">
        <v>20</v>
      </c>
      <c r="J721" s="41">
        <v>1</v>
      </c>
      <c r="K721" s="41" t="s">
        <v>3557</v>
      </c>
      <c r="L721" s="41">
        <v>16</v>
      </c>
      <c r="M721" s="41"/>
      <c r="N721" s="41"/>
      <c r="O721" s="41" t="s">
        <v>434</v>
      </c>
      <c r="P721" s="41" t="s">
        <v>2328</v>
      </c>
      <c r="Q721" s="43">
        <f t="shared" si="92"/>
        <v>1159.27</v>
      </c>
      <c r="R721" s="43">
        <f t="shared" si="93"/>
        <v>500.697</v>
      </c>
      <c r="S721" s="41" t="s">
        <v>2336</v>
      </c>
      <c r="T721" s="48" t="str">
        <f t="shared" si="89"/>
        <v>(22,'PS-22-GPDF','Poste de Sectionnement n°22 GPDF','Monday-01-jj','Monday-01-jj',NULL,1,),</v>
      </c>
    </row>
    <row r="722" spans="1:20" ht="20.100000000000001" customHeight="1" x14ac:dyDescent="0.25">
      <c r="A722" s="38">
        <v>1</v>
      </c>
      <c r="B722" s="38">
        <v>727</v>
      </c>
      <c r="C722" s="38" t="s">
        <v>434</v>
      </c>
      <c r="D722" s="38">
        <v>16</v>
      </c>
      <c r="E722" s="45" t="str">
        <f>CONCATENATE("PPUR-",TEXT(A722,"00"),"-",O722)</f>
        <v>PPUR-01-GPDF</v>
      </c>
      <c r="F722" s="48" t="str">
        <f>CONCATENATE("Poste de Purge n°",TEXT(A722,"00")," ",O722)</f>
        <v>Poste de Purge n°01 GPDF</v>
      </c>
      <c r="G722" s="19">
        <v>35065</v>
      </c>
      <c r="H722" s="19">
        <v>35065</v>
      </c>
      <c r="I722" s="41" t="s">
        <v>20</v>
      </c>
      <c r="J722" s="41">
        <v>1</v>
      </c>
      <c r="K722" s="41" t="s">
        <v>3558</v>
      </c>
      <c r="L722" s="41">
        <v>17</v>
      </c>
      <c r="M722" s="41"/>
      <c r="N722" s="41"/>
      <c r="O722" s="41" t="s">
        <v>434</v>
      </c>
      <c r="P722" s="41" t="s">
        <v>2361</v>
      </c>
      <c r="Q722" s="49">
        <f t="shared" si="92"/>
        <v>1165</v>
      </c>
      <c r="R722" s="43">
        <f t="shared" si="93"/>
        <v>518.55499999999995</v>
      </c>
      <c r="S722" s="41" t="s">
        <v>2346</v>
      </c>
      <c r="T722" s="48" t="str">
        <f t="shared" si="89"/>
        <v>(1,'PPUR-01-GPDF','Poste de Purge n°01 GPDF','Monday-01-jj','Monday-01-jj',NULL,1,),</v>
      </c>
    </row>
    <row r="723" spans="1:20" ht="20.100000000000001" customHeight="1" x14ac:dyDescent="0.25">
      <c r="A723" s="38">
        <v>1</v>
      </c>
      <c r="B723" s="38">
        <v>728</v>
      </c>
      <c r="C723" s="38" t="s">
        <v>650</v>
      </c>
      <c r="D723" s="38">
        <v>17</v>
      </c>
      <c r="E723" s="39" t="str">
        <f>CONCATENATE("PS-",TEXT(A723,"00"),"-",O723)</f>
        <v>PS-01-GK1</v>
      </c>
      <c r="F723" s="48" t="str">
        <f>CONCATENATE("Poste de Sectionnement n°",TEXT(A723,"00")," ",O723)</f>
        <v>Poste de Sectionnement n°01 GK1</v>
      </c>
      <c r="G723" s="19">
        <v>25934</v>
      </c>
      <c r="H723" s="19">
        <v>28491</v>
      </c>
      <c r="I723" s="41" t="s">
        <v>20</v>
      </c>
      <c r="J723" s="41">
        <v>1</v>
      </c>
      <c r="K723" s="41" t="s">
        <v>3557</v>
      </c>
      <c r="L723" s="41">
        <v>16</v>
      </c>
      <c r="M723" s="41"/>
      <c r="N723" s="41"/>
      <c r="O723" s="41" t="s">
        <v>394</v>
      </c>
      <c r="P723" s="41" t="s">
        <v>2032</v>
      </c>
      <c r="Q723" s="43">
        <f t="shared" si="92"/>
        <v>695</v>
      </c>
      <c r="R723" s="43">
        <f t="shared" si="93"/>
        <v>41.554000000000002</v>
      </c>
      <c r="S723" s="41" t="s">
        <v>790</v>
      </c>
      <c r="T723" s="48" t="str">
        <f t="shared" si="89"/>
        <v>(1,'PS-01-GK1','Poste de Sectionnement n°01 GK1','Friday-01-jj','Sunday-01-jj',NULL,1,),</v>
      </c>
    </row>
    <row r="724" spans="1:20" ht="20.100000000000001" customHeight="1" x14ac:dyDescent="0.25">
      <c r="A724" s="38">
        <v>1</v>
      </c>
      <c r="B724" s="38">
        <v>729</v>
      </c>
      <c r="C724" s="38" t="s">
        <v>650</v>
      </c>
      <c r="D724" s="38">
        <v>17</v>
      </c>
      <c r="E724" s="45" t="str">
        <f>CONCATENATE("PPUR-",TEXT(A724,"00"),"-",O724)</f>
        <v>PPUR-01-GK1</v>
      </c>
      <c r="F724" s="48" t="str">
        <f>CONCATENATE("Poste de Purge n°",TEXT(A724,"00")," ",O724)</f>
        <v>Poste de Purge n°01 GK1</v>
      </c>
      <c r="G724" s="19">
        <v>25934</v>
      </c>
      <c r="H724" s="19">
        <v>28491</v>
      </c>
      <c r="I724" s="41" t="s">
        <v>20</v>
      </c>
      <c r="J724" s="41">
        <v>1</v>
      </c>
      <c r="K724" s="41" t="s">
        <v>3558</v>
      </c>
      <c r="L724" s="41">
        <v>17</v>
      </c>
      <c r="M724" s="41"/>
      <c r="N724" s="41"/>
      <c r="O724" s="41" t="s">
        <v>394</v>
      </c>
      <c r="P724" s="41" t="s">
        <v>2091</v>
      </c>
      <c r="Q724" s="49">
        <f t="shared" si="92"/>
        <v>690</v>
      </c>
      <c r="R724" s="43">
        <f t="shared" si="93"/>
        <v>45.564</v>
      </c>
      <c r="S724" s="41" t="s">
        <v>2070</v>
      </c>
      <c r="T724" s="48" t="str">
        <f t="shared" si="89"/>
        <v>(1,'PPUR-01-GK1','Poste de Purge n°01 GK1','Friday-01-jj','Sunday-01-jj',NULL,1,),</v>
      </c>
    </row>
    <row r="725" spans="1:20" ht="20.100000000000001" customHeight="1" x14ac:dyDescent="0.25">
      <c r="A725" s="38">
        <v>1</v>
      </c>
      <c r="B725" s="38">
        <v>730</v>
      </c>
      <c r="C725" s="38" t="s">
        <v>650</v>
      </c>
      <c r="D725" s="38">
        <v>17</v>
      </c>
      <c r="E725" s="39" t="str">
        <f>CONCATENATE("PC-",TEXT(A725,"00"),"-",O725)</f>
        <v>PC-01-GK1</v>
      </c>
      <c r="F725" s="48" t="str">
        <f>CONCATENATE("Poste de Coupure n°",TEXT(A725,"00")," ",O725)</f>
        <v>Poste de Coupure n°01 GK1</v>
      </c>
      <c r="G725" s="19">
        <v>28491</v>
      </c>
      <c r="H725" s="19">
        <v>28491</v>
      </c>
      <c r="I725" s="41" t="s">
        <v>20</v>
      </c>
      <c r="J725" s="41">
        <v>1</v>
      </c>
      <c r="K725" s="41" t="s">
        <v>3556</v>
      </c>
      <c r="L725" s="41">
        <v>15</v>
      </c>
      <c r="M725" s="41"/>
      <c r="N725" s="41"/>
      <c r="O725" s="41" t="s">
        <v>394</v>
      </c>
      <c r="P725" s="41" t="s">
        <v>3005</v>
      </c>
      <c r="Q725" s="49">
        <f t="shared" si="92"/>
        <v>715.5</v>
      </c>
      <c r="R725" s="43">
        <f t="shared" si="93"/>
        <v>83.215000000000003</v>
      </c>
      <c r="S725" s="41" t="s">
        <v>2070</v>
      </c>
      <c r="T725" s="48" t="str">
        <f t="shared" si="89"/>
        <v>(1,'PC-01-GK1','Poste de Coupure n°01 GK1','Sunday-01-jj','Sunday-01-jj',NULL,1,),</v>
      </c>
    </row>
    <row r="726" spans="1:20" ht="20.100000000000001" customHeight="1" x14ac:dyDescent="0.25">
      <c r="A726" s="38">
        <v>1</v>
      </c>
      <c r="B726" s="38">
        <v>731</v>
      </c>
      <c r="C726" s="38" t="s">
        <v>650</v>
      </c>
      <c r="D726" s="38">
        <v>17</v>
      </c>
      <c r="E726" s="39" t="s">
        <v>3518</v>
      </c>
      <c r="F726" s="48" t="str">
        <f>CONCATENATE("Station de Compression ",E726)</f>
        <v>Station de Compression SCA-GK1</v>
      </c>
      <c r="G726" s="19">
        <v>28856</v>
      </c>
      <c r="H726" s="19">
        <v>28856</v>
      </c>
      <c r="I726" s="41" t="s">
        <v>20</v>
      </c>
      <c r="J726" s="41">
        <v>1</v>
      </c>
      <c r="K726" s="41" t="s">
        <v>3554</v>
      </c>
      <c r="L726" s="41">
        <v>8</v>
      </c>
      <c r="M726" s="41">
        <v>10</v>
      </c>
      <c r="N726" s="41"/>
      <c r="O726" s="41" t="s">
        <v>394</v>
      </c>
      <c r="P726" s="41" t="s">
        <v>3005</v>
      </c>
      <c r="Q726" s="49">
        <f t="shared" si="92"/>
        <v>715.5</v>
      </c>
      <c r="R726" s="43">
        <f t="shared" si="93"/>
        <v>83.215000000000003</v>
      </c>
      <c r="S726" s="41" t="s">
        <v>2070</v>
      </c>
      <c r="T726" s="48" t="str">
        <f t="shared" si="89"/>
        <v>(1,'SCA-GK1','Station de Compression SCA-GK1','Monday-01-jj','Monday-01-jj',NULL,1,10),</v>
      </c>
    </row>
    <row r="727" spans="1:20" ht="20.100000000000001" customHeight="1" x14ac:dyDescent="0.25">
      <c r="A727" s="38">
        <v>2</v>
      </c>
      <c r="B727" s="38">
        <v>732</v>
      </c>
      <c r="C727" s="38" t="s">
        <v>650</v>
      </c>
      <c r="D727" s="38">
        <v>17</v>
      </c>
      <c r="E727" s="39" t="str">
        <f>CONCATENATE("PS-",TEXT(A727,"00"),"-",O727)</f>
        <v>PS-02-GK1</v>
      </c>
      <c r="F727" s="48" t="str">
        <f>CONCATENATE("Poste de Sectionnement n°",TEXT(A727,"00")," ",O727)</f>
        <v>Poste de Sectionnement n°02 GK1</v>
      </c>
      <c r="G727" s="19">
        <v>25934</v>
      </c>
      <c r="H727" s="19">
        <v>28491</v>
      </c>
      <c r="I727" s="41" t="s">
        <v>20</v>
      </c>
      <c r="J727" s="41">
        <v>1</v>
      </c>
      <c r="K727" s="41" t="s">
        <v>3557</v>
      </c>
      <c r="L727" s="41">
        <v>16</v>
      </c>
      <c r="M727" s="41"/>
      <c r="N727" s="41"/>
      <c r="O727" s="41" t="s">
        <v>394</v>
      </c>
      <c r="P727" s="41" t="s">
        <v>2033</v>
      </c>
      <c r="Q727" s="43">
        <f t="shared" si="92"/>
        <v>630</v>
      </c>
      <c r="R727" s="43">
        <f t="shared" si="93"/>
        <v>133.82</v>
      </c>
      <c r="S727" s="41" t="s">
        <v>2070</v>
      </c>
      <c r="T727" s="48" t="str">
        <f t="shared" si="89"/>
        <v>(2,'PS-02-GK1','Poste de Sectionnement n°02 GK1','Friday-01-jj','Sunday-01-jj',NULL,1,),</v>
      </c>
    </row>
    <row r="728" spans="1:20" ht="20.100000000000001" customHeight="1" x14ac:dyDescent="0.25">
      <c r="A728" s="38">
        <v>2</v>
      </c>
      <c r="B728" s="38">
        <v>733</v>
      </c>
      <c r="C728" s="38" t="s">
        <v>650</v>
      </c>
      <c r="D728" s="38">
        <v>17</v>
      </c>
      <c r="E728" s="39" t="str">
        <f>CONCATENATE("PC-",TEXT(A728,"00"),"-",O728)</f>
        <v>PC-02-GK1</v>
      </c>
      <c r="F728" s="48" t="str">
        <f>CONCATENATE("Poste de Coupure n°",TEXT(A728,"00")," ",O728)</f>
        <v>Poste de Coupure n°02 GK1</v>
      </c>
      <c r="G728" s="19">
        <v>28491</v>
      </c>
      <c r="H728" s="19">
        <v>28491</v>
      </c>
      <c r="I728" s="41" t="s">
        <v>20</v>
      </c>
      <c r="J728" s="41">
        <v>1</v>
      </c>
      <c r="K728" s="41" t="s">
        <v>3556</v>
      </c>
      <c r="L728" s="41">
        <v>15</v>
      </c>
      <c r="M728" s="41"/>
      <c r="N728" s="41"/>
      <c r="O728" s="41" t="s">
        <v>394</v>
      </c>
      <c r="P728" s="41" t="s">
        <v>3006</v>
      </c>
      <c r="Q728" s="49">
        <f t="shared" si="92"/>
        <v>397</v>
      </c>
      <c r="R728" s="43">
        <f t="shared" si="93"/>
        <v>179.37299999999999</v>
      </c>
      <c r="S728" s="41" t="s">
        <v>3010</v>
      </c>
      <c r="T728" s="48" t="str">
        <f t="shared" ref="T728:T791" si="94">CONCATENATE("(",A728,",'",E728,"','",F728,"','",TEXT(G728,"aaaa-mm-jj"),"','",TEXT(H728,"aaaa-mm-jj"),"',",I728,",",J728,",",M728,"),")</f>
        <v>(2,'PC-02-GK1','Poste de Coupure n°02 GK1','Sunday-01-jj','Sunday-01-jj',NULL,1,),</v>
      </c>
    </row>
    <row r="729" spans="1:20" ht="20.100000000000001" customHeight="1" x14ac:dyDescent="0.25">
      <c r="A729" s="38">
        <v>2</v>
      </c>
      <c r="B729" s="38">
        <v>734</v>
      </c>
      <c r="C729" s="38" t="s">
        <v>650</v>
      </c>
      <c r="D729" s="38">
        <v>17</v>
      </c>
      <c r="E729" s="39" t="s">
        <v>3519</v>
      </c>
      <c r="F729" s="48" t="str">
        <f>CONCATENATE("Station de Compression ",E729)</f>
        <v>Station de Compression SCB-GK1</v>
      </c>
      <c r="G729" s="19">
        <v>28491</v>
      </c>
      <c r="H729" s="19">
        <v>28491</v>
      </c>
      <c r="I729" s="41" t="s">
        <v>20</v>
      </c>
      <c r="J729" s="41">
        <v>1</v>
      </c>
      <c r="K729" s="41" t="s">
        <v>3554</v>
      </c>
      <c r="L729" s="41">
        <v>8</v>
      </c>
      <c r="M729" s="41">
        <v>10</v>
      </c>
      <c r="N729" s="41"/>
      <c r="O729" s="41" t="s">
        <v>394</v>
      </c>
      <c r="P729" s="41" t="s">
        <v>3006</v>
      </c>
      <c r="Q729" s="49">
        <f t="shared" si="92"/>
        <v>397</v>
      </c>
      <c r="R729" s="43">
        <f t="shared" si="93"/>
        <v>179.37299999999999</v>
      </c>
      <c r="S729" s="41" t="s">
        <v>3010</v>
      </c>
      <c r="T729" s="48" t="str">
        <f t="shared" si="94"/>
        <v>(2,'SCB-GK1','Station de Compression SCB-GK1','Sunday-01-jj','Sunday-01-jj',NULL,1,10),</v>
      </c>
    </row>
    <row r="730" spans="1:20" ht="20.100000000000001" customHeight="1" x14ac:dyDescent="0.25">
      <c r="A730" s="38">
        <v>3</v>
      </c>
      <c r="B730" s="38">
        <v>735</v>
      </c>
      <c r="C730" s="38" t="s">
        <v>650</v>
      </c>
      <c r="D730" s="38">
        <v>17</v>
      </c>
      <c r="E730" s="39" t="str">
        <f>CONCATENATE("PS-",TEXT(A730,"00"),"-",O730)</f>
        <v>PS-03-GK1</v>
      </c>
      <c r="F730" s="48" t="str">
        <f>CONCATENATE("Poste de Sectionnement n°",TEXT(A730,"00")," ",O730)</f>
        <v>Poste de Sectionnement n°03 GK1</v>
      </c>
      <c r="G730" s="19">
        <v>25934</v>
      </c>
      <c r="H730" s="19">
        <v>28491</v>
      </c>
      <c r="I730" s="41" t="s">
        <v>20</v>
      </c>
      <c r="J730" s="41">
        <v>1</v>
      </c>
      <c r="K730" s="41" t="s">
        <v>3557</v>
      </c>
      <c r="L730" s="41">
        <v>16</v>
      </c>
      <c r="M730" s="41"/>
      <c r="N730" s="41"/>
      <c r="O730" s="41" t="s">
        <v>394</v>
      </c>
      <c r="P730" s="41" t="s">
        <v>2034</v>
      </c>
      <c r="Q730" s="43">
        <f t="shared" si="92"/>
        <v>327</v>
      </c>
      <c r="R730" s="43">
        <f t="shared" si="93"/>
        <v>224.084</v>
      </c>
      <c r="S730" s="41" t="s">
        <v>2071</v>
      </c>
      <c r="T730" s="48" t="str">
        <f t="shared" si="94"/>
        <v>(3,'PS-03-GK1','Poste de Sectionnement n°03 GK1','Friday-01-jj','Sunday-01-jj',NULL,1,),</v>
      </c>
    </row>
    <row r="731" spans="1:20" ht="20.100000000000001" customHeight="1" x14ac:dyDescent="0.25">
      <c r="A731" s="38">
        <v>2</v>
      </c>
      <c r="B731" s="38">
        <v>736</v>
      </c>
      <c r="C731" s="38" t="s">
        <v>650</v>
      </c>
      <c r="D731" s="38">
        <v>17</v>
      </c>
      <c r="E731" s="45" t="str">
        <f>CONCATENATE("PPUR-",TEXT(A731,"00"),"-",O731)</f>
        <v>PPUR-02-GK1</v>
      </c>
      <c r="F731" s="48" t="str">
        <f>CONCATENATE("Poste de Purge n°",TEXT(A731,"00")," ",O731)</f>
        <v>Poste de Purge n°02 GK1</v>
      </c>
      <c r="G731" s="19">
        <v>25934</v>
      </c>
      <c r="H731" s="19">
        <v>28491</v>
      </c>
      <c r="I731" s="41" t="s">
        <v>20</v>
      </c>
      <c r="J731" s="41">
        <v>1</v>
      </c>
      <c r="K731" s="41" t="s">
        <v>3558</v>
      </c>
      <c r="L731" s="41">
        <v>17</v>
      </c>
      <c r="M731" s="41"/>
      <c r="N731" s="41"/>
      <c r="O731" s="41" t="s">
        <v>394</v>
      </c>
      <c r="P731" s="41" t="s">
        <v>2092</v>
      </c>
      <c r="Q731" s="49">
        <f t="shared" si="92"/>
        <v>264</v>
      </c>
      <c r="R731" s="43">
        <f t="shared" si="93"/>
        <v>249.256</v>
      </c>
      <c r="S731" s="41" t="s">
        <v>2071</v>
      </c>
      <c r="T731" s="48" t="str">
        <f t="shared" si="94"/>
        <v>(2,'PPUR-02-GK1','Poste de Purge n°02 GK1','Friday-01-jj','Sunday-01-jj',NULL,1,),</v>
      </c>
    </row>
    <row r="732" spans="1:20" ht="20.100000000000001" customHeight="1" x14ac:dyDescent="0.25">
      <c r="A732" s="38">
        <v>3</v>
      </c>
      <c r="B732" s="38">
        <v>737</v>
      </c>
      <c r="C732" s="38" t="s">
        <v>650</v>
      </c>
      <c r="D732" s="38">
        <v>17</v>
      </c>
      <c r="E732" s="39" t="str">
        <f>CONCATENATE("PC-",TEXT(A732,"00"),"-",O732)</f>
        <v>PC-03-GK1</v>
      </c>
      <c r="F732" s="48" t="str">
        <f>CONCATENATE("Poste de Coupure n°",TEXT(A732,"00")," ",O732)</f>
        <v>Poste de Coupure n°03 GK1</v>
      </c>
      <c r="G732" s="19">
        <v>28491</v>
      </c>
      <c r="H732" s="19">
        <v>28491</v>
      </c>
      <c r="I732" s="41" t="s">
        <v>20</v>
      </c>
      <c r="J732" s="41">
        <v>1</v>
      </c>
      <c r="K732" s="41" t="s">
        <v>3556</v>
      </c>
      <c r="L732" s="41">
        <v>15</v>
      </c>
      <c r="M732" s="41"/>
      <c r="N732" s="41"/>
      <c r="O732" s="41" t="s">
        <v>394</v>
      </c>
      <c r="P732" s="41" t="s">
        <v>3007</v>
      </c>
      <c r="Q732" s="49">
        <f t="shared" si="92"/>
        <v>389</v>
      </c>
      <c r="R732" s="43">
        <f t="shared" si="93"/>
        <v>270.78500000000003</v>
      </c>
      <c r="S732" s="41" t="s">
        <v>2071</v>
      </c>
      <c r="T732" s="48" t="str">
        <f t="shared" si="94"/>
        <v>(3,'PC-03-GK1','Poste de Coupure n°03 GK1','Sunday-01-jj','Sunday-01-jj',NULL,1,),</v>
      </c>
    </row>
    <row r="733" spans="1:20" ht="20.100000000000001" customHeight="1" x14ac:dyDescent="0.25">
      <c r="A733" s="38">
        <v>3</v>
      </c>
      <c r="B733" s="38">
        <v>738</v>
      </c>
      <c r="C733" s="38" t="s">
        <v>650</v>
      </c>
      <c r="D733" s="38">
        <v>17</v>
      </c>
      <c r="E733" s="39" t="s">
        <v>3520</v>
      </c>
      <c r="F733" s="48" t="str">
        <f>CONCATENATE("Station de Compression ",E733)</f>
        <v>Station de Compression SCC-GK1</v>
      </c>
      <c r="G733" s="19">
        <v>28856</v>
      </c>
      <c r="H733" s="19">
        <v>28856</v>
      </c>
      <c r="I733" s="41" t="s">
        <v>20</v>
      </c>
      <c r="J733" s="41">
        <v>1</v>
      </c>
      <c r="K733" s="41" t="s">
        <v>3554</v>
      </c>
      <c r="L733" s="41">
        <v>8</v>
      </c>
      <c r="M733" s="41">
        <v>10</v>
      </c>
      <c r="N733" s="41"/>
      <c r="O733" s="41" t="s">
        <v>394</v>
      </c>
      <c r="P733" s="41" t="s">
        <v>3007</v>
      </c>
      <c r="Q733" s="49">
        <f t="shared" si="92"/>
        <v>389</v>
      </c>
      <c r="R733" s="43">
        <f t="shared" si="93"/>
        <v>270.78500000000003</v>
      </c>
      <c r="S733" s="41" t="s">
        <v>2071</v>
      </c>
      <c r="T733" s="48" t="str">
        <f t="shared" si="94"/>
        <v>(3,'SCC-GK1','Station de Compression SCC-GK1','Monday-01-jj','Monday-01-jj',NULL,1,10),</v>
      </c>
    </row>
    <row r="734" spans="1:20" ht="20.100000000000001" customHeight="1" x14ac:dyDescent="0.25">
      <c r="A734" s="38">
        <v>3</v>
      </c>
      <c r="B734" s="38">
        <v>739</v>
      </c>
      <c r="C734" s="38" t="s">
        <v>650</v>
      </c>
      <c r="D734" s="38">
        <v>17</v>
      </c>
      <c r="E734" s="45" t="str">
        <f>CONCATENATE("PPUR-",TEXT(A734,"00"),"-",O734)</f>
        <v>PPUR-03-GK1</v>
      </c>
      <c r="F734" s="48" t="str">
        <f>CONCATENATE("Poste de Purge n°",TEXT(A734,"00")," ",O734)</f>
        <v>Poste de Purge n°03 GK1</v>
      </c>
      <c r="G734" s="19">
        <v>25934</v>
      </c>
      <c r="H734" s="19">
        <v>28491</v>
      </c>
      <c r="I734" s="41" t="s">
        <v>20</v>
      </c>
      <c r="J734" s="41">
        <v>1</v>
      </c>
      <c r="K734" s="41" t="s">
        <v>3558</v>
      </c>
      <c r="L734" s="41">
        <v>17</v>
      </c>
      <c r="M734" s="41"/>
      <c r="N734" s="41"/>
      <c r="O734" s="41" t="s">
        <v>394</v>
      </c>
      <c r="P734" s="41" t="s">
        <v>2093</v>
      </c>
      <c r="Q734" s="49">
        <f t="shared" si="92"/>
        <v>330</v>
      </c>
      <c r="R734" s="43">
        <f t="shared" si="93"/>
        <v>282.48700000000002</v>
      </c>
      <c r="S734" s="41" t="s">
        <v>2071</v>
      </c>
      <c r="T734" s="48" t="str">
        <f t="shared" si="94"/>
        <v>(3,'PPUR-03-GK1','Poste de Purge n°03 GK1','Friday-01-jj','Sunday-01-jj',NULL,1,),</v>
      </c>
    </row>
    <row r="735" spans="1:20" ht="20.100000000000001" customHeight="1" x14ac:dyDescent="0.25">
      <c r="A735" s="38">
        <v>4</v>
      </c>
      <c r="B735" s="38">
        <v>740</v>
      </c>
      <c r="C735" s="38" t="s">
        <v>650</v>
      </c>
      <c r="D735" s="38">
        <v>17</v>
      </c>
      <c r="E735" s="39" t="str">
        <f>CONCATENATE("PS-",TEXT(A735,"00"),"-",O735)</f>
        <v>PS-04-GK1</v>
      </c>
      <c r="F735" s="48" t="str">
        <f>CONCATENATE("Poste de Sectionnement n°",TEXT(A735,"00")," ",O735)</f>
        <v>Poste de Sectionnement n°04 GK1</v>
      </c>
      <c r="G735" s="19">
        <v>25934</v>
      </c>
      <c r="H735" s="19">
        <v>28491</v>
      </c>
      <c r="I735" s="41" t="s">
        <v>20</v>
      </c>
      <c r="J735" s="41">
        <v>1</v>
      </c>
      <c r="K735" s="41" t="s">
        <v>3557</v>
      </c>
      <c r="L735" s="41">
        <v>16</v>
      </c>
      <c r="M735" s="41"/>
      <c r="N735" s="41"/>
      <c r="O735" s="41" t="s">
        <v>394</v>
      </c>
      <c r="P735" s="41" t="s">
        <v>2035</v>
      </c>
      <c r="Q735" s="43">
        <f t="shared" si="92"/>
        <v>438</v>
      </c>
      <c r="R735" s="43">
        <f t="shared" si="93"/>
        <v>296.90100000000001</v>
      </c>
      <c r="S735" s="41" t="s">
        <v>941</v>
      </c>
      <c r="T735" s="48" t="str">
        <f t="shared" si="94"/>
        <v>(4,'PS-04-GK1','Poste de Sectionnement n°04 GK1','Friday-01-jj','Sunday-01-jj',NULL,1,),</v>
      </c>
    </row>
    <row r="736" spans="1:20" ht="20.100000000000001" customHeight="1" x14ac:dyDescent="0.25">
      <c r="A736" s="38">
        <v>4</v>
      </c>
      <c r="B736" s="38">
        <v>741</v>
      </c>
      <c r="C736" s="38" t="s">
        <v>650</v>
      </c>
      <c r="D736" s="38">
        <v>17</v>
      </c>
      <c r="E736" s="45" t="str">
        <f>CONCATENATE("PPUR-",TEXT(A736,"00"),"-",O736)</f>
        <v>PPUR-04-GK1</v>
      </c>
      <c r="F736" s="48" t="str">
        <f>CONCATENATE("Poste de Purge n°",TEXT(A736,"00")," ",O736)</f>
        <v>Poste de Purge n°04 GK1</v>
      </c>
      <c r="G736" s="19">
        <v>25934</v>
      </c>
      <c r="H736" s="19">
        <v>28491</v>
      </c>
      <c r="I736" s="41" t="s">
        <v>20</v>
      </c>
      <c r="J736" s="41">
        <v>1</v>
      </c>
      <c r="K736" s="41" t="s">
        <v>3558</v>
      </c>
      <c r="L736" s="41">
        <v>17</v>
      </c>
      <c r="M736" s="41"/>
      <c r="N736" s="41"/>
      <c r="O736" s="41" t="s">
        <v>394</v>
      </c>
      <c r="P736" s="41" t="s">
        <v>2094</v>
      </c>
      <c r="Q736" s="49">
        <f t="shared" si="92"/>
        <v>328</v>
      </c>
      <c r="R736" s="43">
        <f t="shared" si="93"/>
        <v>299.08800000000002</v>
      </c>
      <c r="S736" s="41" t="s">
        <v>2072</v>
      </c>
      <c r="T736" s="48" t="str">
        <f t="shared" si="94"/>
        <v>(4,'PPUR-04-GK1','Poste de Purge n°04 GK1','Friday-01-jj','Sunday-01-jj',NULL,1,),</v>
      </c>
    </row>
    <row r="737" spans="1:20" ht="20.100000000000001" customHeight="1" x14ac:dyDescent="0.25">
      <c r="A737" s="38">
        <v>5</v>
      </c>
      <c r="B737" s="38">
        <v>742</v>
      </c>
      <c r="C737" s="38" t="s">
        <v>650</v>
      </c>
      <c r="D737" s="38">
        <v>17</v>
      </c>
      <c r="E737" s="39" t="str">
        <f>CONCATENATE("PS-",TEXT(A737,"00"),"-",O737)</f>
        <v>PS-05-GK1</v>
      </c>
      <c r="F737" s="48" t="str">
        <f>CONCATENATE("Poste de Sectionnement n°",TEXT(A737,"00")," ",O737)</f>
        <v>Poste de Sectionnement n°05 GK1</v>
      </c>
      <c r="G737" s="19">
        <v>25934</v>
      </c>
      <c r="H737" s="19">
        <v>28491</v>
      </c>
      <c r="I737" s="41" t="s">
        <v>20</v>
      </c>
      <c r="J737" s="41">
        <v>1</v>
      </c>
      <c r="K737" s="41" t="s">
        <v>3557</v>
      </c>
      <c r="L737" s="41">
        <v>16</v>
      </c>
      <c r="M737" s="41"/>
      <c r="N737" s="41"/>
      <c r="O737" s="41" t="s">
        <v>394</v>
      </c>
      <c r="P737" s="41" t="s">
        <v>2036</v>
      </c>
      <c r="Q737" s="43">
        <f t="shared" si="92"/>
        <v>431</v>
      </c>
      <c r="R737" s="43">
        <f t="shared" si="93"/>
        <v>328.21499999999997</v>
      </c>
      <c r="S737" s="41" t="s">
        <v>2072</v>
      </c>
      <c r="T737" s="48" t="str">
        <f t="shared" si="94"/>
        <v>(5,'PS-05-GK1','Poste de Sectionnement n°05 GK1','Friday-01-jj','Sunday-01-jj',NULL,1,),</v>
      </c>
    </row>
    <row r="738" spans="1:20" ht="20.100000000000001" customHeight="1" x14ac:dyDescent="0.25">
      <c r="A738" s="38">
        <v>4</v>
      </c>
      <c r="B738" s="38">
        <v>743</v>
      </c>
      <c r="C738" s="38" t="s">
        <v>650</v>
      </c>
      <c r="D738" s="38">
        <v>17</v>
      </c>
      <c r="E738" s="39" t="str">
        <f>CONCATENATE("PC-",TEXT(A738,"00"),"-",O738)</f>
        <v>PC-04-GK1</v>
      </c>
      <c r="F738" s="48" t="str">
        <f>CONCATENATE("Poste de Coupure n°",TEXT(A738,"00")," ",O738)</f>
        <v>Poste de Coupure n°04 GK1</v>
      </c>
      <c r="G738" s="19">
        <v>28491</v>
      </c>
      <c r="H738" s="19">
        <v>28491</v>
      </c>
      <c r="I738" s="41" t="s">
        <v>20</v>
      </c>
      <c r="J738" s="41">
        <v>1</v>
      </c>
      <c r="K738" s="41" t="s">
        <v>3556</v>
      </c>
      <c r="L738" s="41">
        <v>15</v>
      </c>
      <c r="M738" s="41"/>
      <c r="N738" s="41"/>
      <c r="O738" s="41" t="s">
        <v>394</v>
      </c>
      <c r="P738" s="41" t="s">
        <v>3008</v>
      </c>
      <c r="Q738" s="49">
        <f t="shared" si="92"/>
        <v>575</v>
      </c>
      <c r="R738" s="43">
        <f t="shared" si="93"/>
        <v>354.89</v>
      </c>
      <c r="S738" s="41" t="s">
        <v>2073</v>
      </c>
      <c r="T738" s="48" t="str">
        <f t="shared" si="94"/>
        <v>(4,'PC-04-GK1','Poste de Coupure n°04 GK1','Sunday-01-jj','Sunday-01-jj',NULL,1,),</v>
      </c>
    </row>
    <row r="739" spans="1:20" ht="20.100000000000001" customHeight="1" x14ac:dyDescent="0.25">
      <c r="A739" s="38">
        <v>4</v>
      </c>
      <c r="B739" s="38">
        <v>744</v>
      </c>
      <c r="C739" s="38" t="s">
        <v>650</v>
      </c>
      <c r="D739" s="38">
        <v>17</v>
      </c>
      <c r="E739" s="39" t="s">
        <v>3521</v>
      </c>
      <c r="F739" s="48" t="str">
        <f>CONCATENATE("Station de Compression ",E739)</f>
        <v>Station de Compression SCD-GK1</v>
      </c>
      <c r="G739" s="19">
        <v>28491</v>
      </c>
      <c r="H739" s="19">
        <v>28491</v>
      </c>
      <c r="I739" s="41" t="s">
        <v>20</v>
      </c>
      <c r="J739" s="41">
        <v>1</v>
      </c>
      <c r="K739" s="41" t="s">
        <v>3554</v>
      </c>
      <c r="L739" s="41">
        <v>8</v>
      </c>
      <c r="M739" s="41">
        <v>10</v>
      </c>
      <c r="N739" s="41"/>
      <c r="O739" s="41" t="s">
        <v>394</v>
      </c>
      <c r="P739" s="41" t="s">
        <v>3008</v>
      </c>
      <c r="Q739" s="49">
        <f t="shared" si="92"/>
        <v>575</v>
      </c>
      <c r="R739" s="43">
        <f t="shared" si="93"/>
        <v>354.89</v>
      </c>
      <c r="S739" s="41" t="s">
        <v>2073</v>
      </c>
      <c r="T739" s="48" t="str">
        <f t="shared" si="94"/>
        <v>(4,'SCD-GK1','Station de Compression SCD-GK1','Sunday-01-jj','Sunday-01-jj',NULL,1,10),</v>
      </c>
    </row>
    <row r="740" spans="1:20" ht="20.100000000000001" customHeight="1" x14ac:dyDescent="0.25">
      <c r="A740" s="38">
        <v>6</v>
      </c>
      <c r="B740" s="38">
        <v>745</v>
      </c>
      <c r="C740" s="38" t="s">
        <v>650</v>
      </c>
      <c r="D740" s="38">
        <v>17</v>
      </c>
      <c r="E740" s="39" t="str">
        <f>CONCATENATE("PS-",TEXT(A740,"00"),"-",O740)</f>
        <v>PS-06-GK1</v>
      </c>
      <c r="F740" s="48" t="str">
        <f>CONCATENATE("Poste de Sectionnement n°",TEXT(A740,"00")," ",O740)</f>
        <v>Poste de Sectionnement n°06 GK1</v>
      </c>
      <c r="G740" s="19">
        <v>25934</v>
      </c>
      <c r="H740" s="19">
        <v>28491</v>
      </c>
      <c r="I740" s="41" t="s">
        <v>20</v>
      </c>
      <c r="J740" s="41">
        <v>1</v>
      </c>
      <c r="K740" s="41" t="s">
        <v>3557</v>
      </c>
      <c r="L740" s="41">
        <v>16</v>
      </c>
      <c r="M740" s="41"/>
      <c r="N740" s="41"/>
      <c r="O740" s="41" t="s">
        <v>394</v>
      </c>
      <c r="P740" s="41" t="s">
        <v>2037</v>
      </c>
      <c r="Q740" s="43">
        <f t="shared" si="92"/>
        <v>754</v>
      </c>
      <c r="R740" s="43">
        <f t="shared" si="93"/>
        <v>380.71300000000002</v>
      </c>
      <c r="S740" s="41" t="s">
        <v>2073</v>
      </c>
      <c r="T740" s="48" t="str">
        <f t="shared" si="94"/>
        <v>(6,'PS-06-GK1','Poste de Sectionnement n°06 GK1','Friday-01-jj','Sunday-01-jj',NULL,1,),</v>
      </c>
    </row>
    <row r="741" spans="1:20" ht="20.100000000000001" customHeight="1" x14ac:dyDescent="0.25">
      <c r="A741" s="38">
        <v>7</v>
      </c>
      <c r="B741" s="38">
        <v>746</v>
      </c>
      <c r="C741" s="38" t="s">
        <v>650</v>
      </c>
      <c r="D741" s="38">
        <v>17</v>
      </c>
      <c r="E741" s="39" t="str">
        <f>CONCATENATE("PS-",TEXT(A741,"00"),"-",O741)</f>
        <v>PS-07-GK1</v>
      </c>
      <c r="F741" s="48" t="str">
        <f>CONCATENATE("Poste de Sectionnement n°",TEXT(A741,"00")," ",O741)</f>
        <v>Poste de Sectionnement n°07 GK1</v>
      </c>
      <c r="G741" s="19">
        <v>25934</v>
      </c>
      <c r="H741" s="19">
        <v>28491</v>
      </c>
      <c r="I741" s="41" t="s">
        <v>20</v>
      </c>
      <c r="J741" s="41">
        <v>1</v>
      </c>
      <c r="K741" s="41" t="s">
        <v>3557</v>
      </c>
      <c r="L741" s="41">
        <v>16</v>
      </c>
      <c r="M741" s="41"/>
      <c r="N741" s="41"/>
      <c r="O741" s="41" t="s">
        <v>394</v>
      </c>
      <c r="P741" s="41" t="s">
        <v>2038</v>
      </c>
      <c r="Q741" s="43">
        <f t="shared" si="92"/>
        <v>932</v>
      </c>
      <c r="R741" s="43">
        <f t="shared" si="93"/>
        <v>405.11799999999999</v>
      </c>
      <c r="S741" s="41" t="s">
        <v>2074</v>
      </c>
      <c r="T741" s="48" t="str">
        <f t="shared" si="94"/>
        <v>(7,'PS-07-GK1','Poste de Sectionnement n°07 GK1','Friday-01-jj','Sunday-01-jj',NULL,1,),</v>
      </c>
    </row>
    <row r="742" spans="1:20" ht="20.100000000000001" customHeight="1" x14ac:dyDescent="0.25">
      <c r="A742" s="38">
        <v>5</v>
      </c>
      <c r="B742" s="38">
        <v>747</v>
      </c>
      <c r="C742" s="38" t="s">
        <v>650</v>
      </c>
      <c r="D742" s="38">
        <v>17</v>
      </c>
      <c r="E742" s="45" t="str">
        <f>CONCATENATE("PPUR-",TEXT(A742,"00"),"-",O742)</f>
        <v>PPUR-05-GK1</v>
      </c>
      <c r="F742" s="48" t="str">
        <f>CONCATENATE("Poste de Purge n°",TEXT(A742,"00")," ",O742)</f>
        <v>Poste de Purge n°05 GK1</v>
      </c>
      <c r="G742" s="19">
        <v>25934</v>
      </c>
      <c r="H742" s="19">
        <v>28491</v>
      </c>
      <c r="I742" s="41" t="s">
        <v>20</v>
      </c>
      <c r="J742" s="41">
        <v>1</v>
      </c>
      <c r="K742" s="41" t="s">
        <v>3558</v>
      </c>
      <c r="L742" s="41">
        <v>17</v>
      </c>
      <c r="M742" s="41"/>
      <c r="N742" s="41"/>
      <c r="O742" s="41" t="s">
        <v>394</v>
      </c>
      <c r="P742" s="41" t="s">
        <v>2095</v>
      </c>
      <c r="Q742" s="49">
        <f t="shared" si="92"/>
        <v>863</v>
      </c>
      <c r="R742" s="43">
        <f t="shared" si="93"/>
        <v>422.66899999999998</v>
      </c>
      <c r="S742" s="41" t="s">
        <v>2099</v>
      </c>
      <c r="T742" s="48" t="str">
        <f t="shared" si="94"/>
        <v>(5,'PPUR-05-GK1','Poste de Purge n°05 GK1','Friday-01-jj','Sunday-01-jj',NULL,1,),</v>
      </c>
    </row>
    <row r="743" spans="1:20" ht="20.100000000000001" customHeight="1" x14ac:dyDescent="0.25">
      <c r="A743" s="38">
        <v>5</v>
      </c>
      <c r="B743" s="38">
        <v>748</v>
      </c>
      <c r="C743" s="38" t="s">
        <v>650</v>
      </c>
      <c r="D743" s="38">
        <v>17</v>
      </c>
      <c r="E743" s="39" t="str">
        <f>CONCATENATE("PC-",TEXT(A743,"00"),"-",O743)</f>
        <v>PC-05-GK1</v>
      </c>
      <c r="F743" s="48" t="str">
        <f>CONCATENATE("Poste de Coupure n°",TEXT(A743,"00")," ",O743)</f>
        <v>Poste de Coupure n°05 GK1</v>
      </c>
      <c r="G743" s="19">
        <v>28491</v>
      </c>
      <c r="H743" s="19">
        <v>28491</v>
      </c>
      <c r="I743" s="41" t="s">
        <v>20</v>
      </c>
      <c r="J743" s="41">
        <v>1</v>
      </c>
      <c r="K743" s="41" t="s">
        <v>3556</v>
      </c>
      <c r="L743" s="41">
        <v>15</v>
      </c>
      <c r="M743" s="41"/>
      <c r="N743" s="41"/>
      <c r="O743" s="41" t="s">
        <v>394</v>
      </c>
      <c r="P743" s="41" t="s">
        <v>3009</v>
      </c>
      <c r="Q743" s="49">
        <f t="shared" si="92"/>
        <v>926</v>
      </c>
      <c r="R743" s="43">
        <f t="shared" si="93"/>
        <v>430.79</v>
      </c>
      <c r="S743" s="41" t="s">
        <v>3011</v>
      </c>
      <c r="T743" s="48" t="str">
        <f t="shared" si="94"/>
        <v>(5,'PC-05-GK1','Poste de Coupure n°05 GK1','Sunday-01-jj','Sunday-01-jj',NULL,1,),</v>
      </c>
    </row>
    <row r="744" spans="1:20" ht="20.100000000000001" customHeight="1" x14ac:dyDescent="0.25">
      <c r="A744" s="38">
        <v>5</v>
      </c>
      <c r="B744" s="38">
        <v>749</v>
      </c>
      <c r="C744" s="38" t="s">
        <v>650</v>
      </c>
      <c r="D744" s="38">
        <v>17</v>
      </c>
      <c r="E744" s="39" t="s">
        <v>3522</v>
      </c>
      <c r="F744" s="48" t="str">
        <f>CONCATENATE("Station de Compression ",E744)</f>
        <v>Station de Compression SCE-GK1</v>
      </c>
      <c r="G744" s="19">
        <v>28856</v>
      </c>
      <c r="H744" s="19">
        <v>28856</v>
      </c>
      <c r="I744" s="41" t="s">
        <v>20</v>
      </c>
      <c r="J744" s="41">
        <v>1</v>
      </c>
      <c r="K744" s="41" t="s">
        <v>3554</v>
      </c>
      <c r="L744" s="41">
        <v>8</v>
      </c>
      <c r="M744" s="41">
        <v>10</v>
      </c>
      <c r="N744" s="41"/>
      <c r="O744" s="41" t="s">
        <v>394</v>
      </c>
      <c r="P744" s="41" t="s">
        <v>3009</v>
      </c>
      <c r="Q744" s="49">
        <f t="shared" si="92"/>
        <v>926</v>
      </c>
      <c r="R744" s="43">
        <f t="shared" si="93"/>
        <v>430.79</v>
      </c>
      <c r="S744" s="41" t="s">
        <v>3011</v>
      </c>
      <c r="T744" s="48" t="str">
        <f t="shared" si="94"/>
        <v>(5,'SCE-GK1','Station de Compression SCE-GK1','Monday-01-jj','Monday-01-jj',NULL,1,10),</v>
      </c>
    </row>
    <row r="745" spans="1:20" ht="20.100000000000001" customHeight="1" x14ac:dyDescent="0.25">
      <c r="A745" s="38">
        <v>8</v>
      </c>
      <c r="B745" s="38">
        <v>750</v>
      </c>
      <c r="C745" s="38" t="s">
        <v>650</v>
      </c>
      <c r="D745" s="38">
        <v>17</v>
      </c>
      <c r="E745" s="39" t="str">
        <f>CONCATENATE("PS-",TEXT(A745,"00"),"-",O745)</f>
        <v>PS-08-GK1</v>
      </c>
      <c r="F745" s="48" t="str">
        <f>CONCATENATE("Poste de Sectionnement n°",TEXT(A745,"00")," ",O745)</f>
        <v>Poste de Sectionnement n°08 GK1</v>
      </c>
      <c r="G745" s="19">
        <v>25934</v>
      </c>
      <c r="H745" s="19">
        <v>28491</v>
      </c>
      <c r="I745" s="41" t="s">
        <v>20</v>
      </c>
      <c r="J745" s="41">
        <v>1</v>
      </c>
      <c r="K745" s="41" t="s">
        <v>3557</v>
      </c>
      <c r="L745" s="41">
        <v>16</v>
      </c>
      <c r="M745" s="41"/>
      <c r="N745" s="41"/>
      <c r="O745" s="41" t="s">
        <v>394</v>
      </c>
      <c r="P745" s="41" t="s">
        <v>2039</v>
      </c>
      <c r="Q745" s="43">
        <f t="shared" si="92"/>
        <v>793</v>
      </c>
      <c r="R745" s="43">
        <f t="shared" si="93"/>
        <v>458.52</v>
      </c>
      <c r="S745" s="41" t="s">
        <v>2075</v>
      </c>
      <c r="T745" s="48" t="str">
        <f t="shared" si="94"/>
        <v>(8,'PS-08-GK1','Poste de Sectionnement n°08 GK1','Friday-01-jj','Sunday-01-jj',NULL,1,),</v>
      </c>
    </row>
    <row r="746" spans="1:20" ht="20.100000000000001" customHeight="1" x14ac:dyDescent="0.25">
      <c r="A746" s="38">
        <v>9</v>
      </c>
      <c r="B746" s="38">
        <v>751</v>
      </c>
      <c r="C746" s="38" t="s">
        <v>650</v>
      </c>
      <c r="D746" s="38">
        <v>17</v>
      </c>
      <c r="E746" s="39" t="str">
        <f>CONCATENATE("PS-",TEXT(A746,"00"),"-",O746)</f>
        <v>PS-09-GK1</v>
      </c>
      <c r="F746" s="48" t="str">
        <f>CONCATENATE("Poste de Sectionnement n°",TEXT(A746,"00")," ",O746)</f>
        <v>Poste de Sectionnement n°09 GK1</v>
      </c>
      <c r="G746" s="19">
        <v>25934</v>
      </c>
      <c r="H746" s="19">
        <v>28491</v>
      </c>
      <c r="I746" s="41" t="s">
        <v>20</v>
      </c>
      <c r="J746" s="41">
        <v>1</v>
      </c>
      <c r="K746" s="41" t="s">
        <v>3557</v>
      </c>
      <c r="L746" s="41">
        <v>16</v>
      </c>
      <c r="M746" s="41"/>
      <c r="N746" s="41"/>
      <c r="O746" s="41" t="s">
        <v>394</v>
      </c>
      <c r="P746" s="41" t="s">
        <v>2040</v>
      </c>
      <c r="Q746" s="43">
        <f t="shared" si="92"/>
        <v>678</v>
      </c>
      <c r="R746" s="43">
        <f t="shared" si="93"/>
        <v>476.40300000000002</v>
      </c>
      <c r="S746" s="41" t="s">
        <v>2076</v>
      </c>
      <c r="T746" s="48" t="str">
        <f t="shared" si="94"/>
        <v>(9,'PS-09-GK1','Poste de Sectionnement n°09 GK1','Friday-01-jj','Sunday-01-jj',NULL,1,),</v>
      </c>
    </row>
    <row r="747" spans="1:20" ht="20.100000000000001" customHeight="1" x14ac:dyDescent="0.25">
      <c r="A747" s="38" t="s">
        <v>2068</v>
      </c>
      <c r="B747" s="38">
        <v>752</v>
      </c>
      <c r="C747" s="38" t="s">
        <v>650</v>
      </c>
      <c r="D747" s="38">
        <v>17</v>
      </c>
      <c r="E747" s="39" t="str">
        <f>CONCATENATE("PS-",TEXT(A747,"00"),"-",O747)</f>
        <v>PS-10A-GK1</v>
      </c>
      <c r="F747" s="48" t="str">
        <f>CONCATENATE("Poste de Sectionnement n°",TEXT(A747,"00")," ",O747)</f>
        <v>Poste de Sectionnement n°10A GK1</v>
      </c>
      <c r="G747" s="19">
        <v>25934</v>
      </c>
      <c r="H747" s="19">
        <v>28491</v>
      </c>
      <c r="I747" s="41" t="s">
        <v>20</v>
      </c>
      <c r="J747" s="41">
        <v>1</v>
      </c>
      <c r="K747" s="41" t="s">
        <v>3557</v>
      </c>
      <c r="L747" s="41">
        <v>16</v>
      </c>
      <c r="M747" s="41"/>
      <c r="N747" s="41"/>
      <c r="O747" s="41" t="s">
        <v>394</v>
      </c>
      <c r="P747" s="41" t="s">
        <v>2041</v>
      </c>
      <c r="Q747" s="43">
        <f t="shared" si="92"/>
        <v>700</v>
      </c>
      <c r="R747" s="43">
        <f t="shared" si="93"/>
        <v>498.209</v>
      </c>
      <c r="S747" s="41" t="s">
        <v>2077</v>
      </c>
      <c r="T747" s="48" t="str">
        <f t="shared" si="94"/>
        <v>(10A,'PS-10A-GK1','Poste de Sectionnement n°10A GK1','Friday-01-jj','Sunday-01-jj',NULL,1,),</v>
      </c>
    </row>
    <row r="748" spans="1:20" ht="20.100000000000001" customHeight="1" x14ac:dyDescent="0.25">
      <c r="A748" s="38" t="s">
        <v>2067</v>
      </c>
      <c r="B748" s="38">
        <v>753</v>
      </c>
      <c r="C748" s="38" t="s">
        <v>650</v>
      </c>
      <c r="D748" s="38">
        <v>17</v>
      </c>
      <c r="E748" s="39" t="str">
        <f>CONCATENATE("PS-",TEXT(A748,"00"),"-",O748)</f>
        <v>PS-10B-GK1</v>
      </c>
      <c r="F748" s="48" t="str">
        <f>CONCATENATE("Poste de Sectionnement n°",TEXT(A748,"00")," ",O748)</f>
        <v>Poste de Sectionnement n°10B GK1</v>
      </c>
      <c r="G748" s="19">
        <v>25934</v>
      </c>
      <c r="H748" s="19">
        <v>28491</v>
      </c>
      <c r="I748" s="41" t="s">
        <v>20</v>
      </c>
      <c r="J748" s="41">
        <v>1</v>
      </c>
      <c r="K748" s="41" t="s">
        <v>3557</v>
      </c>
      <c r="L748" s="41">
        <v>16</v>
      </c>
      <c r="M748" s="41"/>
      <c r="N748" s="41"/>
      <c r="O748" s="41" t="s">
        <v>394</v>
      </c>
      <c r="P748" s="41" t="s">
        <v>2042</v>
      </c>
      <c r="Q748" s="43">
        <f t="shared" si="92"/>
        <v>461</v>
      </c>
      <c r="R748" s="43">
        <f t="shared" si="93"/>
        <v>514.52800000000002</v>
      </c>
      <c r="S748" s="41" t="s">
        <v>2078</v>
      </c>
      <c r="T748" s="48" t="str">
        <f t="shared" si="94"/>
        <v>(10B,'PS-10B-GK1','Poste de Sectionnement n°10B GK1','Friday-01-jj','Sunday-01-jj',NULL,1,),</v>
      </c>
    </row>
    <row r="749" spans="1:20" ht="20.100000000000001" customHeight="1" x14ac:dyDescent="0.25">
      <c r="A749" s="38">
        <v>6</v>
      </c>
      <c r="B749" s="38">
        <v>754</v>
      </c>
      <c r="C749" s="38" t="s">
        <v>650</v>
      </c>
      <c r="D749" s="38">
        <v>17</v>
      </c>
      <c r="E749" s="45" t="str">
        <f>CONCATENATE("PPUR-",TEXT(A749,"00"),"-",O749)</f>
        <v>PPUR-06-GK1</v>
      </c>
      <c r="F749" s="48" t="str">
        <f>CONCATENATE("Poste de Purge n°",TEXT(A749,"00")," ",O749)</f>
        <v>Poste de Purge n°06 GK1</v>
      </c>
      <c r="G749" s="19">
        <v>25934</v>
      </c>
      <c r="H749" s="19">
        <v>28491</v>
      </c>
      <c r="I749" s="41" t="s">
        <v>20</v>
      </c>
      <c r="J749" s="41">
        <v>1</v>
      </c>
      <c r="K749" s="41" t="s">
        <v>3558</v>
      </c>
      <c r="L749" s="41">
        <v>17</v>
      </c>
      <c r="M749" s="41"/>
      <c r="N749" s="41"/>
      <c r="O749" s="41" t="s">
        <v>394</v>
      </c>
      <c r="P749" s="41" t="s">
        <v>2096</v>
      </c>
      <c r="Q749" s="49">
        <f t="shared" si="92"/>
        <v>485</v>
      </c>
      <c r="R749" s="43">
        <f t="shared" si="93"/>
        <v>523.45399999999995</v>
      </c>
      <c r="S749" s="41" t="s">
        <v>2079</v>
      </c>
      <c r="T749" s="48" t="str">
        <f t="shared" si="94"/>
        <v>(6,'PPUR-06-GK1','Poste de Purge n°06 GK1','Friday-01-jj','Sunday-01-jj',NULL,1,),</v>
      </c>
    </row>
    <row r="750" spans="1:20" ht="20.100000000000001" customHeight="1" x14ac:dyDescent="0.25">
      <c r="A750" s="38">
        <v>11</v>
      </c>
      <c r="B750" s="38">
        <v>755</v>
      </c>
      <c r="C750" s="38" t="s">
        <v>650</v>
      </c>
      <c r="D750" s="38">
        <v>17</v>
      </c>
      <c r="E750" s="39" t="str">
        <f>CONCATENATE("PS-",TEXT(A750,"00"),"-",O750)</f>
        <v>PS-11-GK1</v>
      </c>
      <c r="F750" s="48" t="str">
        <f>CONCATENATE("Poste de Sectionnement n°",TEXT(A750,"00")," ",O750)</f>
        <v>Poste de Sectionnement n°11 GK1</v>
      </c>
      <c r="G750" s="19">
        <v>25934</v>
      </c>
      <c r="H750" s="19">
        <v>28491</v>
      </c>
      <c r="I750" s="41" t="s">
        <v>20</v>
      </c>
      <c r="J750" s="41">
        <v>1</v>
      </c>
      <c r="K750" s="41" t="s">
        <v>3557</v>
      </c>
      <c r="L750" s="41">
        <v>16</v>
      </c>
      <c r="M750" s="41"/>
      <c r="N750" s="41"/>
      <c r="O750" s="41" t="s">
        <v>394</v>
      </c>
      <c r="P750" s="41" t="s">
        <v>2043</v>
      </c>
      <c r="Q750" s="43">
        <f t="shared" si="92"/>
        <v>600</v>
      </c>
      <c r="R750" s="43">
        <f t="shared" si="93"/>
        <v>526.34400000000005</v>
      </c>
      <c r="S750" s="41" t="s">
        <v>2079</v>
      </c>
      <c r="T750" s="48" t="str">
        <f t="shared" si="94"/>
        <v>(11,'PS-11-GK1','Poste de Sectionnement n°11 GK1','Friday-01-jj','Sunday-01-jj',NULL,1,),</v>
      </c>
    </row>
    <row r="751" spans="1:20" ht="20.100000000000001" customHeight="1" x14ac:dyDescent="0.25">
      <c r="A751" s="38" t="s">
        <v>2069</v>
      </c>
      <c r="B751" s="38">
        <v>756</v>
      </c>
      <c r="C751" s="38" t="s">
        <v>650</v>
      </c>
      <c r="D751" s="38">
        <v>17</v>
      </c>
      <c r="E751" s="39" t="str">
        <f>CONCATENATE("PS-",TEXT(A751,"00"),"-",O751)</f>
        <v>PS-11A-GK1</v>
      </c>
      <c r="F751" s="48" t="str">
        <f>CONCATENATE("Poste de Sectionnement n°",TEXT(A751,"00")," ",O751)</f>
        <v>Poste de Sectionnement n°11A GK1</v>
      </c>
      <c r="G751" s="19">
        <v>25934</v>
      </c>
      <c r="H751" s="19">
        <v>28491</v>
      </c>
      <c r="I751" s="41" t="s">
        <v>20</v>
      </c>
      <c r="J751" s="41">
        <v>1</v>
      </c>
      <c r="K751" s="41" t="s">
        <v>3557</v>
      </c>
      <c r="L751" s="41">
        <v>16</v>
      </c>
      <c r="M751" s="41"/>
      <c r="N751" s="41"/>
      <c r="O751" s="41" t="s">
        <v>394</v>
      </c>
      <c r="P751" s="41" t="s">
        <v>2044</v>
      </c>
      <c r="Q751" s="43">
        <f t="shared" si="92"/>
        <v>135</v>
      </c>
      <c r="R751" s="43">
        <f t="shared" si="93"/>
        <v>545.51499999999999</v>
      </c>
      <c r="S751" s="41" t="s">
        <v>2080</v>
      </c>
      <c r="T751" s="48" t="str">
        <f t="shared" si="94"/>
        <v>(11A,'PS-11A-GK1','Poste de Sectionnement n°11A GK1','Friday-01-jj','Sunday-01-jj',NULL,1,),</v>
      </c>
    </row>
    <row r="752" spans="1:20" ht="20.100000000000001" customHeight="1" x14ac:dyDescent="0.25">
      <c r="A752" s="38">
        <v>12</v>
      </c>
      <c r="B752" s="38">
        <v>757</v>
      </c>
      <c r="C752" s="38" t="s">
        <v>650</v>
      </c>
      <c r="D752" s="38">
        <v>17</v>
      </c>
      <c r="E752" s="39" t="str">
        <f>CONCATENATE("PS-",TEXT(A752,"00"),"-",O752)</f>
        <v>PS-12-GK1</v>
      </c>
      <c r="F752" s="48" t="str">
        <f>CONCATENATE("Poste de Sectionnement n°",TEXT(A752,"00")," ",O752)</f>
        <v>Poste de Sectionnement n°12 GK1</v>
      </c>
      <c r="G752" s="19">
        <v>25934</v>
      </c>
      <c r="H752" s="19">
        <v>28491</v>
      </c>
      <c r="I752" s="41" t="s">
        <v>20</v>
      </c>
      <c r="J752" s="41">
        <v>1</v>
      </c>
      <c r="K752" s="41" t="s">
        <v>3557</v>
      </c>
      <c r="L752" s="41">
        <v>16</v>
      </c>
      <c r="M752" s="41"/>
      <c r="N752" s="41"/>
      <c r="O752" s="41" t="s">
        <v>394</v>
      </c>
      <c r="P752" s="41" t="s">
        <v>2045</v>
      </c>
      <c r="Q752" s="43">
        <f t="shared" si="92"/>
        <v>149</v>
      </c>
      <c r="R752" s="43">
        <f t="shared" si="93"/>
        <v>554.98099999999999</v>
      </c>
      <c r="S752" s="41" t="s">
        <v>2081</v>
      </c>
      <c r="T752" s="48" t="str">
        <f t="shared" si="94"/>
        <v>(12,'PS-12-GK1','Poste de Sectionnement n°12 GK1','Friday-01-jj','Sunday-01-jj',NULL,1,),</v>
      </c>
    </row>
    <row r="753" spans="1:20" ht="20.100000000000001" customHeight="1" x14ac:dyDescent="0.25">
      <c r="A753" s="38">
        <v>7</v>
      </c>
      <c r="B753" s="38">
        <v>758</v>
      </c>
      <c r="C753" s="38" t="s">
        <v>650</v>
      </c>
      <c r="D753" s="38">
        <v>17</v>
      </c>
      <c r="E753" s="45" t="str">
        <f>CONCATENATE("PPUR-",TEXT(A753,"00"),"-",O753)</f>
        <v>PPUR-07-GK1</v>
      </c>
      <c r="F753" s="48" t="str">
        <f>CONCATENATE("Poste de Purge n°",TEXT(A753,"00")," ",O753)</f>
        <v>Poste de Purge n°07 GK1</v>
      </c>
      <c r="G753" s="19">
        <v>25934</v>
      </c>
      <c r="H753" s="19">
        <v>28491</v>
      </c>
      <c r="I753" s="41" t="s">
        <v>20</v>
      </c>
      <c r="J753" s="41">
        <v>1</v>
      </c>
      <c r="K753" s="41" t="s">
        <v>3558</v>
      </c>
      <c r="L753" s="41">
        <v>17</v>
      </c>
      <c r="M753" s="41"/>
      <c r="N753" s="41"/>
      <c r="O753" s="41" t="s">
        <v>394</v>
      </c>
      <c r="P753" s="41" t="s">
        <v>2097</v>
      </c>
      <c r="Q753" s="49">
        <f t="shared" si="92"/>
        <v>50</v>
      </c>
      <c r="R753" s="43">
        <f t="shared" si="93"/>
        <v>556.95000000000005</v>
      </c>
      <c r="S753" s="41" t="s">
        <v>2082</v>
      </c>
      <c r="T753" s="48" t="str">
        <f t="shared" si="94"/>
        <v>(7,'PPUR-07-GK1','Poste de Purge n°07 GK1','Friday-01-jj','Sunday-01-jj',NULL,1,),</v>
      </c>
    </row>
    <row r="754" spans="1:20" ht="20.100000000000001" customHeight="1" x14ac:dyDescent="0.25">
      <c r="A754" s="38">
        <v>8</v>
      </c>
      <c r="B754" s="38">
        <v>759</v>
      </c>
      <c r="C754" s="38" t="s">
        <v>650</v>
      </c>
      <c r="D754" s="38">
        <v>17</v>
      </c>
      <c r="E754" s="45" t="str">
        <f>CONCATENATE("PPUR-",TEXT(A754,"00"),"-",O754)</f>
        <v>PPUR-08-GK1</v>
      </c>
      <c r="F754" s="48" t="str">
        <f>CONCATENATE("Poste de Purge n°",TEXT(A754,"00")," ",O754)</f>
        <v>Poste de Purge n°08 GK1</v>
      </c>
      <c r="G754" s="19">
        <v>25934</v>
      </c>
      <c r="H754" s="19">
        <v>28491</v>
      </c>
      <c r="I754" s="41" t="s">
        <v>20</v>
      </c>
      <c r="J754" s="41">
        <v>1</v>
      </c>
      <c r="K754" s="41" t="s">
        <v>3558</v>
      </c>
      <c r="L754" s="41">
        <v>17</v>
      </c>
      <c r="M754" s="41"/>
      <c r="N754" s="41"/>
      <c r="O754" s="41" t="s">
        <v>394</v>
      </c>
      <c r="P754" s="41" t="s">
        <v>2098</v>
      </c>
      <c r="Q754" s="49">
        <f t="shared" si="92"/>
        <v>52</v>
      </c>
      <c r="R754" s="43">
        <f t="shared" si="93"/>
        <v>561.96400000000006</v>
      </c>
      <c r="S754" s="41" t="s">
        <v>2082</v>
      </c>
      <c r="T754" s="48" t="str">
        <f t="shared" si="94"/>
        <v>(8,'PPUR-08-GK1','Poste de Purge n°08 GK1','Friday-01-jj','Sunday-01-jj',NULL,1,),</v>
      </c>
    </row>
    <row r="755" spans="1:20" ht="20.100000000000001" customHeight="1" x14ac:dyDescent="0.25">
      <c r="A755" s="38">
        <v>13</v>
      </c>
      <c r="B755" s="38">
        <v>760</v>
      </c>
      <c r="C755" s="38" t="s">
        <v>650</v>
      </c>
      <c r="D755" s="38">
        <v>17</v>
      </c>
      <c r="E755" s="39" t="str">
        <f>CONCATENATE("PS-",TEXT(A755,"00"),"-",O755)</f>
        <v>PS-13-GK1</v>
      </c>
      <c r="F755" s="48" t="str">
        <f>CONCATENATE("Poste de Sectionnement n°",TEXT(A755,"00")," ",O755)</f>
        <v>Poste de Sectionnement n°13 GK1</v>
      </c>
      <c r="G755" s="19">
        <v>25934</v>
      </c>
      <c r="H755" s="19">
        <v>28491</v>
      </c>
      <c r="I755" s="41" t="s">
        <v>20</v>
      </c>
      <c r="J755" s="41">
        <v>1</v>
      </c>
      <c r="K755" s="41" t="s">
        <v>3557</v>
      </c>
      <c r="L755" s="41">
        <v>16</v>
      </c>
      <c r="M755" s="41"/>
      <c r="N755" s="41"/>
      <c r="O755" s="41" t="s">
        <v>394</v>
      </c>
      <c r="P755" s="41" t="s">
        <v>2046</v>
      </c>
      <c r="Q755" s="43">
        <f t="shared" si="92"/>
        <v>196</v>
      </c>
      <c r="R755" s="43">
        <f t="shared" si="93"/>
        <v>565</v>
      </c>
      <c r="S755" s="41" t="s">
        <v>2082</v>
      </c>
      <c r="T755" s="48" t="str">
        <f t="shared" si="94"/>
        <v>(13,'PS-13-GK1','Poste de Sectionnement n°13 GK1','Friday-01-jj','Sunday-01-jj',NULL,1,),</v>
      </c>
    </row>
    <row r="756" spans="1:20" ht="20.100000000000001" customHeight="1" x14ac:dyDescent="0.25">
      <c r="A756" s="38">
        <v>1</v>
      </c>
      <c r="B756" s="38">
        <v>761</v>
      </c>
      <c r="C756" s="38" t="s">
        <v>650</v>
      </c>
      <c r="D756" s="38">
        <v>17</v>
      </c>
      <c r="E756" s="39" t="str">
        <f>CONCATENATE("PS-",TEXT(A756,"00"),"-",O756)</f>
        <v>PS-01-GK2</v>
      </c>
      <c r="F756" s="48" t="str">
        <f>CONCATENATE("Poste de Sectionnement n°",TEXT(A756,"00")," ",O756)</f>
        <v>Poste de Sectionnement n°01 GK2</v>
      </c>
      <c r="G756" s="19">
        <v>35796</v>
      </c>
      <c r="H756" s="19">
        <v>36892</v>
      </c>
      <c r="I756" s="41" t="s">
        <v>20</v>
      </c>
      <c r="J756" s="41">
        <v>1</v>
      </c>
      <c r="K756" s="41" t="s">
        <v>3557</v>
      </c>
      <c r="L756" s="41">
        <v>16</v>
      </c>
      <c r="M756" s="41"/>
      <c r="N756" s="41"/>
      <c r="O756" s="41" t="s">
        <v>398</v>
      </c>
      <c r="P756" s="41" t="s">
        <v>2047</v>
      </c>
      <c r="Q756" s="43">
        <f t="shared" si="92"/>
        <v>780</v>
      </c>
      <c r="R756" s="43">
        <f t="shared" si="93"/>
        <v>27.838000000000001</v>
      </c>
      <c r="S756" s="41" t="s">
        <v>790</v>
      </c>
      <c r="T756" s="48" t="str">
        <f t="shared" si="94"/>
        <v>(1,'PS-01-GK2','Poste de Sectionnement n°01 GK2','Thursday-01-jj','Monday-01-jj',NULL,1,),</v>
      </c>
    </row>
    <row r="757" spans="1:20" ht="20.100000000000001" customHeight="1" x14ac:dyDescent="0.25">
      <c r="A757" s="38">
        <v>1</v>
      </c>
      <c r="B757" s="38">
        <v>762</v>
      </c>
      <c r="C757" s="38" t="s">
        <v>650</v>
      </c>
      <c r="D757" s="38">
        <v>17</v>
      </c>
      <c r="E757" s="45" t="str">
        <f>CONCATENATE("PPUR-",TEXT(A757,"00"),"-",O757)</f>
        <v>PPUR-01-GK2</v>
      </c>
      <c r="F757" s="48" t="str">
        <f>CONCATENATE("Poste de Purge n°",TEXT(A757,"00")," ",O757)</f>
        <v>Poste de Purge n°01 GK2</v>
      </c>
      <c r="G757" s="19">
        <v>35796</v>
      </c>
      <c r="H757" s="19">
        <v>36892</v>
      </c>
      <c r="I757" s="41" t="s">
        <v>20</v>
      </c>
      <c r="J757" s="41">
        <v>1</v>
      </c>
      <c r="K757" s="41" t="s">
        <v>3558</v>
      </c>
      <c r="L757" s="41">
        <v>17</v>
      </c>
      <c r="M757" s="41"/>
      <c r="N757" s="41"/>
      <c r="O757" s="41" t="s">
        <v>398</v>
      </c>
      <c r="P757" s="41" t="s">
        <v>2100</v>
      </c>
      <c r="Q757" s="49">
        <f t="shared" si="92"/>
        <v>697</v>
      </c>
      <c r="R757" s="43">
        <f t="shared" si="93"/>
        <v>45.478000000000002</v>
      </c>
      <c r="S757" s="41" t="s">
        <v>2070</v>
      </c>
      <c r="T757" s="48" t="str">
        <f t="shared" si="94"/>
        <v>(1,'PPUR-01-GK2','Poste de Purge n°01 GK2','Thursday-01-jj','Monday-01-jj',NULL,1,),</v>
      </c>
    </row>
    <row r="758" spans="1:20" ht="20.100000000000001" customHeight="1" x14ac:dyDescent="0.25">
      <c r="A758" s="38">
        <v>2</v>
      </c>
      <c r="B758" s="38">
        <v>763</v>
      </c>
      <c r="C758" s="38" t="s">
        <v>650</v>
      </c>
      <c r="D758" s="38">
        <v>17</v>
      </c>
      <c r="E758" s="39" t="str">
        <f>CONCATENATE("PS-",TEXT(A758,"00"),"-",O758)</f>
        <v>PS-02-GK2</v>
      </c>
      <c r="F758" s="48" t="str">
        <f>CONCATENATE("Poste de Sectionnement n°",TEXT(A758,"00")," ",O758)</f>
        <v>Poste de Sectionnement n°02 GK2</v>
      </c>
      <c r="G758" s="19">
        <v>35796</v>
      </c>
      <c r="H758" s="19">
        <v>36892</v>
      </c>
      <c r="I758" s="41" t="s">
        <v>20</v>
      </c>
      <c r="J758" s="41">
        <v>1</v>
      </c>
      <c r="K758" s="41" t="s">
        <v>3557</v>
      </c>
      <c r="L758" s="41">
        <v>16</v>
      </c>
      <c r="M758" s="41"/>
      <c r="N758" s="41"/>
      <c r="O758" s="41" t="s">
        <v>398</v>
      </c>
      <c r="P758" s="41" t="s">
        <v>2048</v>
      </c>
      <c r="Q758" s="43">
        <f t="shared" ref="Q758:Q821" si="95">VALUE(RIGHT(P758,LEN(P758)-SEARCH("/",P758)))</f>
        <v>767</v>
      </c>
      <c r="R758" s="43">
        <f t="shared" ref="R758:R821" si="96">VALUE(SUBSTITUTE(LEFT(P758,SEARCH("/",P758)-1),"+",","))</f>
        <v>55.947000000000003</v>
      </c>
      <c r="S758" s="41" t="s">
        <v>2070</v>
      </c>
      <c r="T758" s="48" t="str">
        <f t="shared" si="94"/>
        <v>(2,'PS-02-GK2','Poste de Sectionnement n°02 GK2','Thursday-01-jj','Monday-01-jj',NULL,1,),</v>
      </c>
    </row>
    <row r="759" spans="1:20" ht="20.100000000000001" customHeight="1" x14ac:dyDescent="0.25">
      <c r="A759" s="38">
        <v>3</v>
      </c>
      <c r="B759" s="38">
        <v>764</v>
      </c>
      <c r="C759" s="38" t="s">
        <v>650</v>
      </c>
      <c r="D759" s="38">
        <v>17</v>
      </c>
      <c r="E759" s="39" t="str">
        <f>CONCATENATE("PS-",TEXT(A759,"00"),"-",O759)</f>
        <v>PS-03-GK2</v>
      </c>
      <c r="F759" s="48" t="str">
        <f>CONCATENATE("Poste de Sectionnement n°",TEXT(A759,"00")," ",O759)</f>
        <v>Poste de Sectionnement n°03 GK2</v>
      </c>
      <c r="G759" s="19">
        <v>35796</v>
      </c>
      <c r="H759" s="19">
        <v>36892</v>
      </c>
      <c r="I759" s="41" t="s">
        <v>20</v>
      </c>
      <c r="J759" s="41">
        <v>1</v>
      </c>
      <c r="K759" s="41" t="s">
        <v>3557</v>
      </c>
      <c r="L759" s="41">
        <v>16</v>
      </c>
      <c r="M759" s="41"/>
      <c r="N759" s="41"/>
      <c r="O759" s="41" t="s">
        <v>398</v>
      </c>
      <c r="P759" s="41" t="s">
        <v>2049</v>
      </c>
      <c r="Q759" s="43">
        <f t="shared" si="95"/>
        <v>712</v>
      </c>
      <c r="R759" s="43">
        <f t="shared" si="96"/>
        <v>115.636</v>
      </c>
      <c r="S759" s="41" t="s">
        <v>2083</v>
      </c>
      <c r="T759" s="48" t="str">
        <f t="shared" si="94"/>
        <v>(3,'PS-03-GK2','Poste de Sectionnement n°03 GK2','Thursday-01-jj','Monday-01-jj',NULL,1,),</v>
      </c>
    </row>
    <row r="760" spans="1:20" ht="20.100000000000001" customHeight="1" x14ac:dyDescent="0.25">
      <c r="A760" s="38">
        <v>4</v>
      </c>
      <c r="B760" s="38">
        <v>765</v>
      </c>
      <c r="C760" s="38" t="s">
        <v>650</v>
      </c>
      <c r="D760" s="38">
        <v>17</v>
      </c>
      <c r="E760" s="39" t="str">
        <f>CONCATENATE("PS-",TEXT(A760,"00"),"-",O760)</f>
        <v>PS-04-GK2</v>
      </c>
      <c r="F760" s="48" t="str">
        <f>CONCATENATE("Poste de Sectionnement n°",TEXT(A760,"00")," ",O760)</f>
        <v>Poste de Sectionnement n°04 GK2</v>
      </c>
      <c r="G760" s="19">
        <v>35796</v>
      </c>
      <c r="H760" s="19">
        <v>36892</v>
      </c>
      <c r="I760" s="41" t="s">
        <v>20</v>
      </c>
      <c r="J760" s="41">
        <v>1</v>
      </c>
      <c r="K760" s="41" t="s">
        <v>3557</v>
      </c>
      <c r="L760" s="41">
        <v>16</v>
      </c>
      <c r="M760" s="41"/>
      <c r="N760" s="41"/>
      <c r="O760" s="41" t="s">
        <v>398</v>
      </c>
      <c r="P760" s="41" t="s">
        <v>2050</v>
      </c>
      <c r="Q760" s="43">
        <f t="shared" si="95"/>
        <v>544</v>
      </c>
      <c r="R760" s="43">
        <f t="shared" si="96"/>
        <v>148.86699999999999</v>
      </c>
      <c r="S760" s="41" t="s">
        <v>2083</v>
      </c>
      <c r="T760" s="48" t="str">
        <f t="shared" si="94"/>
        <v>(4,'PS-04-GK2','Poste de Sectionnement n°04 GK2','Thursday-01-jj','Monday-01-jj',NULL,1,),</v>
      </c>
    </row>
    <row r="761" spans="1:20" ht="20.100000000000001" customHeight="1" x14ac:dyDescent="0.25">
      <c r="A761" s="38">
        <v>5</v>
      </c>
      <c r="B761" s="38">
        <v>766</v>
      </c>
      <c r="C761" s="38" t="s">
        <v>650</v>
      </c>
      <c r="D761" s="38">
        <v>17</v>
      </c>
      <c r="E761" s="39" t="str">
        <f>CONCATENATE("PS-",TEXT(A761,"00"),"-",O761)</f>
        <v>PS-05-GK2</v>
      </c>
      <c r="F761" s="48" t="str">
        <f>CONCATENATE("Poste de Sectionnement n°",TEXT(A761,"00")," ",O761)</f>
        <v>Poste de Sectionnement n°05 GK2</v>
      </c>
      <c r="G761" s="19">
        <v>35796</v>
      </c>
      <c r="H761" s="19">
        <v>36892</v>
      </c>
      <c r="I761" s="41" t="s">
        <v>20</v>
      </c>
      <c r="J761" s="41">
        <v>1</v>
      </c>
      <c r="K761" s="41" t="s">
        <v>3557</v>
      </c>
      <c r="L761" s="41">
        <v>16</v>
      </c>
      <c r="M761" s="41"/>
      <c r="N761" s="41"/>
      <c r="O761" s="41" t="s">
        <v>398</v>
      </c>
      <c r="P761" s="41" t="s">
        <v>2051</v>
      </c>
      <c r="Q761" s="43">
        <f t="shared" si="95"/>
        <v>287</v>
      </c>
      <c r="R761" s="43">
        <f t="shared" si="96"/>
        <v>208.93799999999999</v>
      </c>
      <c r="S761" s="41" t="s">
        <v>2084</v>
      </c>
      <c r="T761" s="48" t="str">
        <f t="shared" si="94"/>
        <v>(5,'PS-05-GK2','Poste de Sectionnement n°05 GK2','Thursday-01-jj','Monday-01-jj',NULL,1,),</v>
      </c>
    </row>
    <row r="762" spans="1:20" ht="20.100000000000001" customHeight="1" x14ac:dyDescent="0.25">
      <c r="A762" s="38">
        <v>6</v>
      </c>
      <c r="B762" s="38">
        <v>767</v>
      </c>
      <c r="C762" s="38" t="s">
        <v>650</v>
      </c>
      <c r="D762" s="38">
        <v>17</v>
      </c>
      <c r="E762" s="39" t="str">
        <f>CONCATENATE("PS-",TEXT(A762,"00"),"-",O762)</f>
        <v>PS-06-GK2</v>
      </c>
      <c r="F762" s="48" t="str">
        <f>CONCATENATE("Poste de Sectionnement n°",TEXT(A762,"00")," ",O762)</f>
        <v>Poste de Sectionnement n°06 GK2</v>
      </c>
      <c r="G762" s="19">
        <v>35796</v>
      </c>
      <c r="H762" s="19">
        <v>36892</v>
      </c>
      <c r="I762" s="41" t="s">
        <v>20</v>
      </c>
      <c r="J762" s="41">
        <v>1</v>
      </c>
      <c r="K762" s="41" t="s">
        <v>3557</v>
      </c>
      <c r="L762" s="41">
        <v>16</v>
      </c>
      <c r="M762" s="41"/>
      <c r="N762" s="41"/>
      <c r="O762" s="41" t="s">
        <v>398</v>
      </c>
      <c r="P762" s="41" t="s">
        <v>2052</v>
      </c>
      <c r="Q762" s="43">
        <f t="shared" si="95"/>
        <v>300</v>
      </c>
      <c r="R762" s="43">
        <f t="shared" si="96"/>
        <v>239.13200000000001</v>
      </c>
      <c r="S762" s="41" t="s">
        <v>2071</v>
      </c>
      <c r="T762" s="48" t="str">
        <f t="shared" si="94"/>
        <v>(6,'PS-06-GK2','Poste de Sectionnement n°06 GK2','Thursday-01-jj','Monday-01-jj',NULL,1,),</v>
      </c>
    </row>
    <row r="763" spans="1:20" ht="20.100000000000001" customHeight="1" x14ac:dyDescent="0.25">
      <c r="A763" s="38">
        <v>2</v>
      </c>
      <c r="B763" s="38">
        <v>768</v>
      </c>
      <c r="C763" s="38" t="s">
        <v>650</v>
      </c>
      <c r="D763" s="38">
        <v>17</v>
      </c>
      <c r="E763" s="45" t="str">
        <f>CONCATENATE("PPUR-",TEXT(A763,"00"),"-",O763)</f>
        <v>PPUR-02-GK2</v>
      </c>
      <c r="F763" s="48" t="str">
        <f>CONCATENATE("Poste de Purge n°",TEXT(A763,"00")," ",O763)</f>
        <v>Poste de Purge n°02 GK2</v>
      </c>
      <c r="G763" s="19">
        <v>35796</v>
      </c>
      <c r="H763" s="19">
        <v>36892</v>
      </c>
      <c r="I763" s="41" t="s">
        <v>20</v>
      </c>
      <c r="J763" s="41">
        <v>1</v>
      </c>
      <c r="K763" s="41" t="s">
        <v>3558</v>
      </c>
      <c r="L763" s="41">
        <v>17</v>
      </c>
      <c r="M763" s="41"/>
      <c r="N763" s="41"/>
      <c r="O763" s="41" t="s">
        <v>398</v>
      </c>
      <c r="P763" s="41" t="s">
        <v>2101</v>
      </c>
      <c r="Q763" s="49">
        <f t="shared" si="95"/>
        <v>244</v>
      </c>
      <c r="R763" s="43">
        <f t="shared" si="96"/>
        <v>249.29400000000001</v>
      </c>
      <c r="S763" s="41" t="s">
        <v>2071</v>
      </c>
      <c r="T763" s="48" t="str">
        <f t="shared" si="94"/>
        <v>(2,'PPUR-02-GK2','Poste de Purge n°02 GK2','Thursday-01-jj','Monday-01-jj',NULL,1,),</v>
      </c>
    </row>
    <row r="764" spans="1:20" ht="20.100000000000001" customHeight="1" x14ac:dyDescent="0.25">
      <c r="A764" s="38">
        <v>3</v>
      </c>
      <c r="B764" s="38">
        <v>769</v>
      </c>
      <c r="C764" s="38" t="s">
        <v>650</v>
      </c>
      <c r="D764" s="38">
        <v>17</v>
      </c>
      <c r="E764" s="45" t="str">
        <f>CONCATENATE("PPUR-",TEXT(A764,"00"),"-",O764)</f>
        <v>PPUR-03-GK2</v>
      </c>
      <c r="F764" s="48" t="str">
        <f>CONCATENATE("Poste de Purge n°",TEXT(A764,"00")," ",O764)</f>
        <v>Poste de Purge n°03 GK2</v>
      </c>
      <c r="G764" s="19">
        <v>35796</v>
      </c>
      <c r="H764" s="19">
        <v>36892</v>
      </c>
      <c r="I764" s="41" t="s">
        <v>20</v>
      </c>
      <c r="J764" s="41">
        <v>1</v>
      </c>
      <c r="K764" s="41" t="s">
        <v>3558</v>
      </c>
      <c r="L764" s="41">
        <v>17</v>
      </c>
      <c r="M764" s="41"/>
      <c r="N764" s="41"/>
      <c r="O764" s="41" t="s">
        <v>398</v>
      </c>
      <c r="P764" s="41" t="s">
        <v>2102</v>
      </c>
      <c r="Q764" s="49">
        <f t="shared" si="95"/>
        <v>288</v>
      </c>
      <c r="R764" s="43">
        <f t="shared" si="96"/>
        <v>282.48700000000002</v>
      </c>
      <c r="S764" s="41" t="s">
        <v>2071</v>
      </c>
      <c r="T764" s="48" t="str">
        <f t="shared" si="94"/>
        <v>(3,'PPUR-03-GK2','Poste de Purge n°03 GK2','Thursday-01-jj','Monday-01-jj',NULL,1,),</v>
      </c>
    </row>
    <row r="765" spans="1:20" ht="20.100000000000001" customHeight="1" x14ac:dyDescent="0.25">
      <c r="A765" s="38">
        <v>7</v>
      </c>
      <c r="B765" s="38">
        <v>770</v>
      </c>
      <c r="C765" s="38" t="s">
        <v>650</v>
      </c>
      <c r="D765" s="38">
        <v>17</v>
      </c>
      <c r="E765" s="39" t="str">
        <f>CONCATENATE("PS-",TEXT(A765,"00"),"-",O765)</f>
        <v>PS-07-GK2</v>
      </c>
      <c r="F765" s="48" t="str">
        <f>CONCATENATE("Poste de Sectionnement n°",TEXT(A765,"00")," ",O765)</f>
        <v>Poste de Sectionnement n°07 GK2</v>
      </c>
      <c r="G765" s="19">
        <v>35796</v>
      </c>
      <c r="H765" s="19">
        <v>36892</v>
      </c>
      <c r="I765" s="41" t="s">
        <v>20</v>
      </c>
      <c r="J765" s="41">
        <v>1</v>
      </c>
      <c r="K765" s="41" t="s">
        <v>3557</v>
      </c>
      <c r="L765" s="41">
        <v>16</v>
      </c>
      <c r="M765" s="41"/>
      <c r="N765" s="41"/>
      <c r="O765" s="41" t="s">
        <v>398</v>
      </c>
      <c r="P765" s="41" t="s">
        <v>2053</v>
      </c>
      <c r="Q765" s="43">
        <f t="shared" si="95"/>
        <v>421</v>
      </c>
      <c r="R765" s="43">
        <f t="shared" si="96"/>
        <v>296.78800000000001</v>
      </c>
      <c r="S765" s="41" t="s">
        <v>2071</v>
      </c>
      <c r="T765" s="48" t="str">
        <f t="shared" si="94"/>
        <v>(7,'PS-07-GK2','Poste de Sectionnement n°07 GK2','Thursday-01-jj','Monday-01-jj',NULL,1,),</v>
      </c>
    </row>
    <row r="766" spans="1:20" ht="20.100000000000001" customHeight="1" x14ac:dyDescent="0.25">
      <c r="A766" s="38">
        <v>4</v>
      </c>
      <c r="B766" s="38">
        <v>771</v>
      </c>
      <c r="C766" s="38" t="s">
        <v>650</v>
      </c>
      <c r="D766" s="38">
        <v>17</v>
      </c>
      <c r="E766" s="45" t="str">
        <f>CONCATENATE("PPUR-",TEXT(A766,"00"),"-",O766)</f>
        <v>PPUR-04-GK2</v>
      </c>
      <c r="F766" s="48" t="str">
        <f>CONCATENATE("Poste de Purge n°",TEXT(A766,"00")," ",O766)</f>
        <v>Poste de Purge n°04 GK2</v>
      </c>
      <c r="G766" s="19">
        <v>35796</v>
      </c>
      <c r="H766" s="19">
        <v>36892</v>
      </c>
      <c r="I766" s="41" t="s">
        <v>20</v>
      </c>
      <c r="J766" s="41">
        <v>1</v>
      </c>
      <c r="K766" s="41" t="s">
        <v>3558</v>
      </c>
      <c r="L766" s="41">
        <v>17</v>
      </c>
      <c r="M766" s="41"/>
      <c r="N766" s="41"/>
      <c r="O766" s="41" t="s">
        <v>398</v>
      </c>
      <c r="P766" s="41" t="s">
        <v>2103</v>
      </c>
      <c r="Q766" s="49">
        <f t="shared" si="95"/>
        <v>316</v>
      </c>
      <c r="R766" s="43">
        <f t="shared" si="96"/>
        <v>299.18799999999999</v>
      </c>
      <c r="S766" s="41" t="s">
        <v>2072</v>
      </c>
      <c r="T766" s="48" t="str">
        <f t="shared" si="94"/>
        <v>(4,'PPUR-04-GK2','Poste de Purge n°04 GK2','Thursday-01-jj','Monday-01-jj',NULL,1,),</v>
      </c>
    </row>
    <row r="767" spans="1:20" ht="20.100000000000001" customHeight="1" x14ac:dyDescent="0.25">
      <c r="A767" s="38">
        <v>8</v>
      </c>
      <c r="B767" s="38">
        <v>772</v>
      </c>
      <c r="C767" s="38" t="s">
        <v>650</v>
      </c>
      <c r="D767" s="38">
        <v>17</v>
      </c>
      <c r="E767" s="39" t="str">
        <f>CONCATENATE("PS-",TEXT(A767,"00"),"-",O767)</f>
        <v>PS-08-GK2</v>
      </c>
      <c r="F767" s="48" t="str">
        <f>CONCATENATE("Poste de Sectionnement n°",TEXT(A767,"00")," ",O767)</f>
        <v>Poste de Sectionnement n°08 GK2</v>
      </c>
      <c r="G767" s="19">
        <v>35796</v>
      </c>
      <c r="H767" s="19">
        <v>36892</v>
      </c>
      <c r="I767" s="41" t="s">
        <v>20</v>
      </c>
      <c r="J767" s="41">
        <v>1</v>
      </c>
      <c r="K767" s="41" t="s">
        <v>3557</v>
      </c>
      <c r="L767" s="41">
        <v>16</v>
      </c>
      <c r="M767" s="41"/>
      <c r="N767" s="41"/>
      <c r="O767" s="41" t="s">
        <v>398</v>
      </c>
      <c r="P767" s="41" t="s">
        <v>2054</v>
      </c>
      <c r="Q767" s="43">
        <f t="shared" si="95"/>
        <v>424</v>
      </c>
      <c r="R767" s="43">
        <f t="shared" si="96"/>
        <v>327.61200000000002</v>
      </c>
      <c r="S767" s="41" t="s">
        <v>943</v>
      </c>
      <c r="T767" s="48" t="str">
        <f t="shared" si="94"/>
        <v>(8,'PS-08-GK2','Poste de Sectionnement n°08 GK2','Thursday-01-jj','Monday-01-jj',NULL,1,),</v>
      </c>
    </row>
    <row r="768" spans="1:20" ht="20.100000000000001" customHeight="1" x14ac:dyDescent="0.25">
      <c r="A768" s="38">
        <v>9</v>
      </c>
      <c r="B768" s="38">
        <v>773</v>
      </c>
      <c r="C768" s="38" t="s">
        <v>650</v>
      </c>
      <c r="D768" s="38">
        <v>17</v>
      </c>
      <c r="E768" s="39" t="str">
        <f>CONCATENATE("PS-",TEXT(A768,"00"),"-",O768)</f>
        <v>PS-09-GK2</v>
      </c>
      <c r="F768" s="48" t="str">
        <f>CONCATENATE("Poste de Sectionnement n°",TEXT(A768,"00")," ",O768)</f>
        <v>Poste de Sectionnement n°09 GK2</v>
      </c>
      <c r="G768" s="19">
        <v>35796</v>
      </c>
      <c r="H768" s="19">
        <v>36892</v>
      </c>
      <c r="I768" s="41" t="s">
        <v>20</v>
      </c>
      <c r="J768" s="41">
        <v>1</v>
      </c>
      <c r="K768" s="41" t="s">
        <v>3557</v>
      </c>
      <c r="L768" s="41">
        <v>16</v>
      </c>
      <c r="M768" s="41"/>
      <c r="N768" s="41"/>
      <c r="O768" s="41" t="s">
        <v>398</v>
      </c>
      <c r="P768" s="41" t="s">
        <v>2055</v>
      </c>
      <c r="Q768" s="43">
        <f t="shared" si="95"/>
        <v>697</v>
      </c>
      <c r="R768" s="43">
        <f t="shared" si="96"/>
        <v>375.017</v>
      </c>
      <c r="S768" s="41" t="s">
        <v>2085</v>
      </c>
      <c r="T768" s="48" t="str">
        <f t="shared" si="94"/>
        <v>(9,'PS-09-GK2','Poste de Sectionnement n°09 GK2','Thursday-01-jj','Monday-01-jj',NULL,1,),</v>
      </c>
    </row>
    <row r="769" spans="1:20" ht="20.100000000000001" customHeight="1" x14ac:dyDescent="0.25">
      <c r="A769" s="38">
        <v>10</v>
      </c>
      <c r="B769" s="38">
        <v>774</v>
      </c>
      <c r="C769" s="38" t="s">
        <v>650</v>
      </c>
      <c r="D769" s="38">
        <v>17</v>
      </c>
      <c r="E769" s="39" t="str">
        <f>CONCATENATE("PS-",TEXT(A769,"00"),"-",O769)</f>
        <v>PS-10-GK2</v>
      </c>
      <c r="F769" s="48" t="str">
        <f>CONCATENATE("Poste de Sectionnement n°",TEXT(A769,"00")," ",O769)</f>
        <v>Poste de Sectionnement n°10 GK2</v>
      </c>
      <c r="G769" s="19">
        <v>35796</v>
      </c>
      <c r="H769" s="19">
        <v>36892</v>
      </c>
      <c r="I769" s="41" t="s">
        <v>20</v>
      </c>
      <c r="J769" s="41">
        <v>1</v>
      </c>
      <c r="K769" s="41" t="s">
        <v>3557</v>
      </c>
      <c r="L769" s="41">
        <v>16</v>
      </c>
      <c r="M769" s="41"/>
      <c r="N769" s="41"/>
      <c r="O769" s="41" t="s">
        <v>398</v>
      </c>
      <c r="P769" s="41" t="s">
        <v>2056</v>
      </c>
      <c r="Q769" s="43">
        <f t="shared" si="95"/>
        <v>936</v>
      </c>
      <c r="R769" s="43">
        <f t="shared" si="96"/>
        <v>405.39299999999997</v>
      </c>
      <c r="S769" s="41" t="s">
        <v>2086</v>
      </c>
      <c r="T769" s="48" t="str">
        <f t="shared" si="94"/>
        <v>(10,'PS-10-GK2','Poste de Sectionnement n°10 GK2','Thursday-01-jj','Monday-01-jj',NULL,1,),</v>
      </c>
    </row>
    <row r="770" spans="1:20" ht="20.100000000000001" customHeight="1" x14ac:dyDescent="0.25">
      <c r="A770" s="38">
        <v>5</v>
      </c>
      <c r="B770" s="38">
        <v>775</v>
      </c>
      <c r="C770" s="38" t="s">
        <v>650</v>
      </c>
      <c r="D770" s="38">
        <v>17</v>
      </c>
      <c r="E770" s="45" t="str">
        <f>CONCATENATE("PPUR-",TEXT(A770,"00"),"-",O770)</f>
        <v>PPUR-05-GK2</v>
      </c>
      <c r="F770" s="48" t="str">
        <f>CONCATENATE("Poste de Purge n°",TEXT(A770,"00")," ",O770)</f>
        <v>Poste de Purge n°05 GK2</v>
      </c>
      <c r="G770" s="19">
        <v>35796</v>
      </c>
      <c r="H770" s="19">
        <v>36892</v>
      </c>
      <c r="I770" s="41" t="s">
        <v>20</v>
      </c>
      <c r="J770" s="41">
        <v>1</v>
      </c>
      <c r="K770" s="41" t="s">
        <v>3558</v>
      </c>
      <c r="L770" s="41">
        <v>17</v>
      </c>
      <c r="M770" s="41"/>
      <c r="N770" s="41"/>
      <c r="O770" s="41" t="s">
        <v>398</v>
      </c>
      <c r="P770" s="41" t="s">
        <v>2104</v>
      </c>
      <c r="Q770" s="49">
        <f t="shared" si="95"/>
        <v>872</v>
      </c>
      <c r="R770" s="43">
        <f t="shared" si="96"/>
        <v>422.976</v>
      </c>
      <c r="S770" s="41" t="s">
        <v>2099</v>
      </c>
      <c r="T770" s="48" t="str">
        <f t="shared" si="94"/>
        <v>(5,'PPUR-05-GK2','Poste de Purge n°05 GK2','Thursday-01-jj','Monday-01-jj',NULL,1,),</v>
      </c>
    </row>
    <row r="771" spans="1:20" ht="20.100000000000001" customHeight="1" x14ac:dyDescent="0.25">
      <c r="A771" s="38">
        <v>11</v>
      </c>
      <c r="B771" s="38">
        <v>776</v>
      </c>
      <c r="C771" s="38" t="s">
        <v>650</v>
      </c>
      <c r="D771" s="38">
        <v>17</v>
      </c>
      <c r="E771" s="39" t="str">
        <f>CONCATENATE("PS-",TEXT(A771,"00"),"-",O771)</f>
        <v>PS-11-GK2</v>
      </c>
      <c r="F771" s="48" t="str">
        <f>CONCATENATE("Poste de Sectionnement n°",TEXT(A771,"00")," ",O771)</f>
        <v>Poste de Sectionnement n°11 GK2</v>
      </c>
      <c r="G771" s="19">
        <v>35796</v>
      </c>
      <c r="H771" s="19">
        <v>36892</v>
      </c>
      <c r="I771" s="41" t="s">
        <v>20</v>
      </c>
      <c r="J771" s="41">
        <v>1</v>
      </c>
      <c r="K771" s="41" t="s">
        <v>3557</v>
      </c>
      <c r="L771" s="41">
        <v>16</v>
      </c>
      <c r="M771" s="41"/>
      <c r="N771" s="41"/>
      <c r="O771" s="41" t="s">
        <v>398</v>
      </c>
      <c r="P771" s="41" t="s">
        <v>2057</v>
      </c>
      <c r="Q771" s="43">
        <f t="shared" si="95"/>
        <v>948</v>
      </c>
      <c r="R771" s="43">
        <f t="shared" si="96"/>
        <v>445.48599999999999</v>
      </c>
      <c r="S771" s="41" t="s">
        <v>2087</v>
      </c>
      <c r="T771" s="48" t="str">
        <f t="shared" si="94"/>
        <v>(11,'PS-11-GK2','Poste de Sectionnement n°11 GK2','Thursday-01-jj','Monday-01-jj',NULL,1,),</v>
      </c>
    </row>
    <row r="772" spans="1:20" ht="20.100000000000001" customHeight="1" x14ac:dyDescent="0.25">
      <c r="A772" s="38">
        <v>12</v>
      </c>
      <c r="B772" s="38">
        <v>777</v>
      </c>
      <c r="C772" s="38" t="s">
        <v>650</v>
      </c>
      <c r="D772" s="38">
        <v>17</v>
      </c>
      <c r="E772" s="39" t="str">
        <f>CONCATENATE("PS-",TEXT(A772,"00"),"-",O772)</f>
        <v>PS-12-GK2</v>
      </c>
      <c r="F772" s="48" t="str">
        <f>CONCATENATE("Poste de Sectionnement n°",TEXT(A772,"00")," ",O772)</f>
        <v>Poste de Sectionnement n°12 GK2</v>
      </c>
      <c r="G772" s="19">
        <v>35796</v>
      </c>
      <c r="H772" s="19">
        <v>36892</v>
      </c>
      <c r="I772" s="41" t="s">
        <v>20</v>
      </c>
      <c r="J772" s="41">
        <v>1</v>
      </c>
      <c r="K772" s="41" t="s">
        <v>3557</v>
      </c>
      <c r="L772" s="41">
        <v>16</v>
      </c>
      <c r="M772" s="41"/>
      <c r="N772" s="41"/>
      <c r="O772" s="41" t="s">
        <v>398</v>
      </c>
      <c r="P772" s="41" t="s">
        <v>2058</v>
      </c>
      <c r="Q772" s="43">
        <f t="shared" si="95"/>
        <v>814</v>
      </c>
      <c r="R772" s="43">
        <f t="shared" si="96"/>
        <v>458.654</v>
      </c>
      <c r="S772" s="41" t="s">
        <v>2075</v>
      </c>
      <c r="T772" s="48" t="str">
        <f t="shared" si="94"/>
        <v>(12,'PS-12-GK2','Poste de Sectionnement n°12 GK2','Thursday-01-jj','Monday-01-jj',NULL,1,),</v>
      </c>
    </row>
    <row r="773" spans="1:20" ht="20.100000000000001" customHeight="1" x14ac:dyDescent="0.25">
      <c r="A773" s="38">
        <v>13</v>
      </c>
      <c r="B773" s="38">
        <v>778</v>
      </c>
      <c r="C773" s="38" t="s">
        <v>650</v>
      </c>
      <c r="D773" s="38">
        <v>17</v>
      </c>
      <c r="E773" s="39" t="str">
        <f>CONCATENATE("PS-",TEXT(A773,"00"),"-",O773)</f>
        <v>PS-13-GK2</v>
      </c>
      <c r="F773" s="48" t="str">
        <f>CONCATENATE("Poste de Sectionnement n°",TEXT(A773,"00")," ",O773)</f>
        <v>Poste de Sectionnement n°13 GK2</v>
      </c>
      <c r="G773" s="19">
        <v>35796</v>
      </c>
      <c r="H773" s="19">
        <v>36892</v>
      </c>
      <c r="I773" s="41" t="s">
        <v>20</v>
      </c>
      <c r="J773" s="41">
        <v>1</v>
      </c>
      <c r="K773" s="41" t="s">
        <v>3557</v>
      </c>
      <c r="L773" s="41">
        <v>16</v>
      </c>
      <c r="M773" s="41"/>
      <c r="N773" s="41"/>
      <c r="O773" s="41" t="s">
        <v>398</v>
      </c>
      <c r="P773" s="41" t="s">
        <v>2059</v>
      </c>
      <c r="Q773" s="43">
        <f t="shared" si="95"/>
        <v>697</v>
      </c>
      <c r="R773" s="43">
        <f t="shared" si="96"/>
        <v>476.40899999999999</v>
      </c>
      <c r="S773" s="41" t="s">
        <v>2088</v>
      </c>
      <c r="T773" s="48" t="str">
        <f t="shared" si="94"/>
        <v>(13,'PS-13-GK2','Poste de Sectionnement n°13 GK2','Thursday-01-jj','Monday-01-jj',NULL,1,),</v>
      </c>
    </row>
    <row r="774" spans="1:20" ht="20.100000000000001" customHeight="1" x14ac:dyDescent="0.25">
      <c r="A774" s="38">
        <v>6</v>
      </c>
      <c r="B774" s="38">
        <v>779</v>
      </c>
      <c r="C774" s="38" t="s">
        <v>650</v>
      </c>
      <c r="D774" s="38">
        <v>17</v>
      </c>
      <c r="E774" s="45" t="str">
        <f>CONCATENATE("PPUR-",TEXT(A774,"00"),"-",O774)</f>
        <v>PPUR-06-GK2</v>
      </c>
      <c r="F774" s="48" t="str">
        <f>CONCATENATE("Poste de Purge n°",TEXT(A774,"00")," ",O774)</f>
        <v>Poste de Purge n°06 GK2</v>
      </c>
      <c r="G774" s="19">
        <v>35796</v>
      </c>
      <c r="H774" s="19">
        <v>36892</v>
      </c>
      <c r="I774" s="41" t="s">
        <v>20</v>
      </c>
      <c r="J774" s="41">
        <v>1</v>
      </c>
      <c r="K774" s="41" t="s">
        <v>3558</v>
      </c>
      <c r="L774" s="41">
        <v>17</v>
      </c>
      <c r="M774" s="41"/>
      <c r="N774" s="41"/>
      <c r="O774" s="41" t="s">
        <v>398</v>
      </c>
      <c r="P774" s="41" t="s">
        <v>2105</v>
      </c>
      <c r="Q774" s="49">
        <f t="shared" si="95"/>
        <v>663</v>
      </c>
      <c r="R774" s="43">
        <f t="shared" si="96"/>
        <v>485.04</v>
      </c>
      <c r="S774" s="41" t="s">
        <v>2109</v>
      </c>
      <c r="T774" s="48" t="str">
        <f t="shared" si="94"/>
        <v>(6,'PPUR-06-GK2','Poste de Purge n°06 GK2','Thursday-01-jj','Monday-01-jj',NULL,1,),</v>
      </c>
    </row>
    <row r="775" spans="1:20" ht="20.100000000000001" customHeight="1" x14ac:dyDescent="0.25">
      <c r="A775" s="38">
        <v>14</v>
      </c>
      <c r="B775" s="38">
        <v>780</v>
      </c>
      <c r="C775" s="38" t="s">
        <v>650</v>
      </c>
      <c r="D775" s="38">
        <v>17</v>
      </c>
      <c r="E775" s="39" t="str">
        <f>CONCATENATE("PS-",TEXT(A775,"00"),"-",O775)</f>
        <v>PS-14-GK2</v>
      </c>
      <c r="F775" s="48" t="str">
        <f>CONCATENATE("Poste de Sectionnement n°",TEXT(A775,"00")," ",O775)</f>
        <v>Poste de Sectionnement n°14 GK2</v>
      </c>
      <c r="G775" s="19">
        <v>35796</v>
      </c>
      <c r="H775" s="19">
        <v>36892</v>
      </c>
      <c r="I775" s="41" t="s">
        <v>20</v>
      </c>
      <c r="J775" s="41">
        <v>1</v>
      </c>
      <c r="K775" s="41" t="s">
        <v>3557</v>
      </c>
      <c r="L775" s="41">
        <v>16</v>
      </c>
      <c r="M775" s="41"/>
      <c r="N775" s="41"/>
      <c r="O775" s="41" t="s">
        <v>398</v>
      </c>
      <c r="P775" s="41" t="s">
        <v>2060</v>
      </c>
      <c r="Q775" s="43">
        <f t="shared" si="95"/>
        <v>720</v>
      </c>
      <c r="R775" s="43">
        <f t="shared" si="96"/>
        <v>498.91899999999998</v>
      </c>
      <c r="S775" s="41" t="s">
        <v>2077</v>
      </c>
      <c r="T775" s="48" t="str">
        <f t="shared" si="94"/>
        <v>(14,'PS-14-GK2','Poste de Sectionnement n°14 GK2','Thursday-01-jj','Monday-01-jj',NULL,1,),</v>
      </c>
    </row>
    <row r="776" spans="1:20" ht="20.100000000000001" customHeight="1" x14ac:dyDescent="0.25">
      <c r="A776" s="38">
        <v>15</v>
      </c>
      <c r="B776" s="38">
        <v>781</v>
      </c>
      <c r="C776" s="38" t="s">
        <v>650</v>
      </c>
      <c r="D776" s="38">
        <v>17</v>
      </c>
      <c r="E776" s="39" t="str">
        <f>CONCATENATE("PS-",TEXT(A776,"00"),"-",O776)</f>
        <v>PS-15-GK2</v>
      </c>
      <c r="F776" s="48" t="str">
        <f>CONCATENATE("Poste de Sectionnement n°",TEXT(A776,"00")," ",O776)</f>
        <v>Poste de Sectionnement n°15 GK2</v>
      </c>
      <c r="G776" s="19">
        <v>35796</v>
      </c>
      <c r="H776" s="19">
        <v>36892</v>
      </c>
      <c r="I776" s="41" t="s">
        <v>20</v>
      </c>
      <c r="J776" s="41">
        <v>1</v>
      </c>
      <c r="K776" s="41" t="s">
        <v>3557</v>
      </c>
      <c r="L776" s="41">
        <v>16</v>
      </c>
      <c r="M776" s="41"/>
      <c r="N776" s="41"/>
      <c r="O776" s="41" t="s">
        <v>398</v>
      </c>
      <c r="P776" s="41" t="s">
        <v>2061</v>
      </c>
      <c r="Q776" s="43">
        <f t="shared" si="95"/>
        <v>720</v>
      </c>
      <c r="R776" s="43">
        <f t="shared" si="96"/>
        <v>515.07000000000005</v>
      </c>
      <c r="S776" s="41" t="s">
        <v>2089</v>
      </c>
      <c r="T776" s="48" t="str">
        <f t="shared" si="94"/>
        <v>(15,'PS-15-GK2','Poste de Sectionnement n°15 GK2','Thursday-01-jj','Monday-01-jj',NULL,1,),</v>
      </c>
    </row>
    <row r="777" spans="1:20" ht="20.100000000000001" customHeight="1" x14ac:dyDescent="0.25">
      <c r="A777" s="38">
        <v>7</v>
      </c>
      <c r="B777" s="38">
        <v>782</v>
      </c>
      <c r="C777" s="38" t="s">
        <v>650</v>
      </c>
      <c r="D777" s="38">
        <v>17</v>
      </c>
      <c r="E777" s="45" t="str">
        <f>CONCATENATE("PPUR-",TEXT(A777,"00"),"-",O777)</f>
        <v>PPUR-07-GK2</v>
      </c>
      <c r="F777" s="48" t="str">
        <f>CONCATENATE("Poste de Purge n°",TEXT(A777,"00")," ",O777)</f>
        <v>Poste de Purge n°07 GK2</v>
      </c>
      <c r="G777" s="19">
        <v>35796</v>
      </c>
      <c r="H777" s="19">
        <v>36892</v>
      </c>
      <c r="I777" s="41" t="s">
        <v>20</v>
      </c>
      <c r="J777" s="41">
        <v>1</v>
      </c>
      <c r="K777" s="41" t="s">
        <v>3558</v>
      </c>
      <c r="L777" s="41">
        <v>17</v>
      </c>
      <c r="M777" s="41"/>
      <c r="N777" s="41"/>
      <c r="O777" s="41" t="s">
        <v>398</v>
      </c>
      <c r="P777" s="41" t="s">
        <v>2106</v>
      </c>
      <c r="Q777" s="49">
        <f t="shared" si="95"/>
        <v>422</v>
      </c>
      <c r="R777" s="43">
        <f t="shared" si="96"/>
        <v>523.92700000000002</v>
      </c>
      <c r="S777" s="41" t="s">
        <v>2079</v>
      </c>
      <c r="T777" s="48" t="str">
        <f t="shared" si="94"/>
        <v>(7,'PPUR-07-GK2','Poste de Purge n°07 GK2','Thursday-01-jj','Monday-01-jj',NULL,1,),</v>
      </c>
    </row>
    <row r="778" spans="1:20" ht="20.100000000000001" customHeight="1" x14ac:dyDescent="0.25">
      <c r="A778" s="38">
        <v>16</v>
      </c>
      <c r="B778" s="38">
        <v>783</v>
      </c>
      <c r="C778" s="38" t="s">
        <v>650</v>
      </c>
      <c r="D778" s="38">
        <v>17</v>
      </c>
      <c r="E778" s="39" t="str">
        <f>CONCATENATE("PS-",TEXT(A778,"00"),"-",O778)</f>
        <v>PS-16-GK2</v>
      </c>
      <c r="F778" s="48" t="str">
        <f>CONCATENATE("Poste de Sectionnement n°",TEXT(A778,"00")," ",O778)</f>
        <v>Poste de Sectionnement n°16 GK2</v>
      </c>
      <c r="G778" s="19">
        <v>35796</v>
      </c>
      <c r="H778" s="19">
        <v>36892</v>
      </c>
      <c r="I778" s="41" t="s">
        <v>20</v>
      </c>
      <c r="J778" s="41">
        <v>1</v>
      </c>
      <c r="K778" s="41" t="s">
        <v>3557</v>
      </c>
      <c r="L778" s="41">
        <v>16</v>
      </c>
      <c r="M778" s="41"/>
      <c r="N778" s="41"/>
      <c r="O778" s="41" t="s">
        <v>398</v>
      </c>
      <c r="P778" s="41" t="s">
        <v>2062</v>
      </c>
      <c r="Q778" s="43">
        <f t="shared" si="95"/>
        <v>589</v>
      </c>
      <c r="R778" s="43">
        <f t="shared" si="96"/>
        <v>527.14300000000003</v>
      </c>
      <c r="S778" s="41" t="s">
        <v>2079</v>
      </c>
      <c r="T778" s="48" t="str">
        <f t="shared" si="94"/>
        <v>(16,'PS-16-GK2','Poste de Sectionnement n°16 GK2','Thursday-01-jj','Monday-01-jj',NULL,1,),</v>
      </c>
    </row>
    <row r="779" spans="1:20" ht="20.100000000000001" customHeight="1" x14ac:dyDescent="0.25">
      <c r="A779" s="38">
        <v>17</v>
      </c>
      <c r="B779" s="38">
        <v>784</v>
      </c>
      <c r="C779" s="38" t="s">
        <v>650</v>
      </c>
      <c r="D779" s="38">
        <v>17</v>
      </c>
      <c r="E779" s="39" t="str">
        <f>CONCATENATE("PS-",TEXT(A779,"00"),"-",O779)</f>
        <v>PS-17-GK2</v>
      </c>
      <c r="F779" s="48" t="str">
        <f>CONCATENATE("Poste de Sectionnement n°",TEXT(A779,"00")," ",O779)</f>
        <v>Poste de Sectionnement n°17 GK2</v>
      </c>
      <c r="G779" s="19">
        <v>35796</v>
      </c>
      <c r="H779" s="19">
        <v>36892</v>
      </c>
      <c r="I779" s="41" t="s">
        <v>20</v>
      </c>
      <c r="J779" s="41">
        <v>1</v>
      </c>
      <c r="K779" s="41" t="s">
        <v>3557</v>
      </c>
      <c r="L779" s="41">
        <v>16</v>
      </c>
      <c r="M779" s="41"/>
      <c r="N779" s="41"/>
      <c r="O779" s="41" t="s">
        <v>398</v>
      </c>
      <c r="P779" s="41" t="s">
        <v>2063</v>
      </c>
      <c r="Q779" s="43">
        <f t="shared" si="95"/>
        <v>565</v>
      </c>
      <c r="R779" s="43">
        <f t="shared" si="96"/>
        <v>537.66499999999996</v>
      </c>
      <c r="S779" s="41" t="s">
        <v>2090</v>
      </c>
      <c r="T779" s="48" t="str">
        <f t="shared" si="94"/>
        <v>(17,'PS-17-GK2','Poste de Sectionnement n°17 GK2','Thursday-01-jj','Monday-01-jj',NULL,1,),</v>
      </c>
    </row>
    <row r="780" spans="1:20" ht="20.100000000000001" customHeight="1" x14ac:dyDescent="0.25">
      <c r="A780" s="38">
        <v>18</v>
      </c>
      <c r="B780" s="38">
        <v>785</v>
      </c>
      <c r="C780" s="38" t="s">
        <v>650</v>
      </c>
      <c r="D780" s="38">
        <v>17</v>
      </c>
      <c r="E780" s="39" t="str">
        <f>CONCATENATE("PS-",TEXT(A780,"00"),"-",O780)</f>
        <v>PS-18-GK2</v>
      </c>
      <c r="F780" s="48" t="str">
        <f>CONCATENATE("Poste de Sectionnement n°",TEXT(A780,"00")," ",O780)</f>
        <v>Poste de Sectionnement n°18 GK2</v>
      </c>
      <c r="G780" s="19">
        <v>35796</v>
      </c>
      <c r="H780" s="19">
        <v>36892</v>
      </c>
      <c r="I780" s="41" t="s">
        <v>20</v>
      </c>
      <c r="J780" s="41">
        <v>1</v>
      </c>
      <c r="K780" s="41" t="s">
        <v>3557</v>
      </c>
      <c r="L780" s="41">
        <v>16</v>
      </c>
      <c r="M780" s="41"/>
      <c r="N780" s="41"/>
      <c r="O780" s="41" t="s">
        <v>398</v>
      </c>
      <c r="P780" s="41" t="s">
        <v>2064</v>
      </c>
      <c r="Q780" s="43">
        <f t="shared" si="95"/>
        <v>161</v>
      </c>
      <c r="R780" s="43">
        <f t="shared" si="96"/>
        <v>545.45399999999995</v>
      </c>
      <c r="S780" s="41" t="s">
        <v>2080</v>
      </c>
      <c r="T780" s="48" t="str">
        <f t="shared" si="94"/>
        <v>(18,'PS-18-GK2','Poste de Sectionnement n°18 GK2','Thursday-01-jj','Monday-01-jj',NULL,1,),</v>
      </c>
    </row>
    <row r="781" spans="1:20" ht="20.100000000000001" customHeight="1" x14ac:dyDescent="0.25">
      <c r="A781" s="38">
        <v>19</v>
      </c>
      <c r="B781" s="38">
        <v>786</v>
      </c>
      <c r="C781" s="38" t="s">
        <v>650</v>
      </c>
      <c r="D781" s="38">
        <v>17</v>
      </c>
      <c r="E781" s="39" t="str">
        <f>CONCATENATE("PS-",TEXT(A781,"00"),"-",O781)</f>
        <v>PS-19-GK2</v>
      </c>
      <c r="F781" s="48" t="str">
        <f>CONCATENATE("Poste de Sectionnement n°",TEXT(A781,"00")," ",O781)</f>
        <v>Poste de Sectionnement n°19 GK2</v>
      </c>
      <c r="G781" s="19">
        <v>35796</v>
      </c>
      <c r="H781" s="19">
        <v>36892</v>
      </c>
      <c r="I781" s="41" t="s">
        <v>20</v>
      </c>
      <c r="J781" s="41">
        <v>1</v>
      </c>
      <c r="K781" s="41" t="s">
        <v>3557</v>
      </c>
      <c r="L781" s="41">
        <v>16</v>
      </c>
      <c r="M781" s="41"/>
      <c r="N781" s="41"/>
      <c r="O781" s="41" t="s">
        <v>398</v>
      </c>
      <c r="P781" s="41" t="s">
        <v>2065</v>
      </c>
      <c r="Q781" s="43">
        <f t="shared" si="95"/>
        <v>60</v>
      </c>
      <c r="R781" s="43">
        <f t="shared" si="96"/>
        <v>556.62</v>
      </c>
      <c r="S781" s="41" t="s">
        <v>2081</v>
      </c>
      <c r="T781" s="48" t="str">
        <f t="shared" si="94"/>
        <v>(19,'PS-19-GK2','Poste de Sectionnement n°19 GK2','Thursday-01-jj','Monday-01-jj',NULL,1,),</v>
      </c>
    </row>
    <row r="782" spans="1:20" ht="20.100000000000001" customHeight="1" x14ac:dyDescent="0.25">
      <c r="A782" s="38">
        <v>8</v>
      </c>
      <c r="B782" s="38">
        <v>787</v>
      </c>
      <c r="C782" s="38" t="s">
        <v>650</v>
      </c>
      <c r="D782" s="38">
        <v>17</v>
      </c>
      <c r="E782" s="45" t="str">
        <f>CONCATENATE("PPUR-",TEXT(A782,"00"),"-",O782)</f>
        <v>PPUR-08-GK2</v>
      </c>
      <c r="F782" s="48" t="str">
        <f>CONCATENATE("Poste de Purge n°",TEXT(A782,"00")," ",O782)</f>
        <v>Poste de Purge n°08 GK2</v>
      </c>
      <c r="G782" s="19">
        <v>35796</v>
      </c>
      <c r="H782" s="19">
        <v>36892</v>
      </c>
      <c r="I782" s="41" t="s">
        <v>20</v>
      </c>
      <c r="J782" s="41">
        <v>1</v>
      </c>
      <c r="K782" s="41" t="s">
        <v>3558</v>
      </c>
      <c r="L782" s="41">
        <v>17</v>
      </c>
      <c r="M782" s="41"/>
      <c r="N782" s="41"/>
      <c r="O782" s="41" t="s">
        <v>398</v>
      </c>
      <c r="P782" s="41" t="s">
        <v>2107</v>
      </c>
      <c r="Q782" s="49">
        <f t="shared" si="95"/>
        <v>50</v>
      </c>
      <c r="R782" s="43">
        <f t="shared" si="96"/>
        <v>558.25400000000002</v>
      </c>
      <c r="S782" s="41" t="s">
        <v>2082</v>
      </c>
      <c r="T782" s="48" t="str">
        <f t="shared" si="94"/>
        <v>(8,'PPUR-08-GK2','Poste de Purge n°08 GK2','Thursday-01-jj','Monday-01-jj',NULL,1,),</v>
      </c>
    </row>
    <row r="783" spans="1:20" ht="20.100000000000001" customHeight="1" x14ac:dyDescent="0.25">
      <c r="A783" s="38">
        <v>9</v>
      </c>
      <c r="B783" s="38">
        <v>788</v>
      </c>
      <c r="C783" s="38" t="s">
        <v>650</v>
      </c>
      <c r="D783" s="38">
        <v>17</v>
      </c>
      <c r="E783" s="45" t="str">
        <f>CONCATENATE("PPUR-",TEXT(A783,"00"),"-",O783)</f>
        <v>PPUR-09-GK2</v>
      </c>
      <c r="F783" s="48" t="str">
        <f>CONCATENATE("Poste de Purge n°",TEXT(A783,"00")," ",O783)</f>
        <v>Poste de Purge n°09 GK2</v>
      </c>
      <c r="G783" s="19">
        <v>35796</v>
      </c>
      <c r="H783" s="19">
        <v>36892</v>
      </c>
      <c r="I783" s="41" t="s">
        <v>20</v>
      </c>
      <c r="J783" s="41">
        <v>1</v>
      </c>
      <c r="K783" s="41" t="s">
        <v>3558</v>
      </c>
      <c r="L783" s="41">
        <v>17</v>
      </c>
      <c r="M783" s="41"/>
      <c r="N783" s="41"/>
      <c r="O783" s="41" t="s">
        <v>398</v>
      </c>
      <c r="P783" s="41" t="s">
        <v>2108</v>
      </c>
      <c r="Q783" s="49">
        <f t="shared" si="95"/>
        <v>72</v>
      </c>
      <c r="R783" s="43">
        <f t="shared" si="96"/>
        <v>562.91399999999999</v>
      </c>
      <c r="S783" s="41" t="s">
        <v>2082</v>
      </c>
      <c r="T783" s="48" t="str">
        <f t="shared" si="94"/>
        <v>(9,'PPUR-09-GK2','Poste de Purge n°09 GK2','Thursday-01-jj','Monday-01-jj',NULL,1,),</v>
      </c>
    </row>
    <row r="784" spans="1:20" ht="20.100000000000001" customHeight="1" x14ac:dyDescent="0.25">
      <c r="A784" s="38">
        <v>20</v>
      </c>
      <c r="B784" s="38">
        <v>789</v>
      </c>
      <c r="C784" s="38" t="s">
        <v>650</v>
      </c>
      <c r="D784" s="38">
        <v>17</v>
      </c>
      <c r="E784" s="39" t="str">
        <f>CONCATENATE("PS-",TEXT(A784,"00"),"-",O784)</f>
        <v>PS-20-GK2</v>
      </c>
      <c r="F784" s="48" t="str">
        <f>CONCATENATE("Poste de Sectionnement n°",TEXT(A784,"00")," ",O784)</f>
        <v>Poste de Sectionnement n°20 GK2</v>
      </c>
      <c r="G784" s="19">
        <v>35796</v>
      </c>
      <c r="H784" s="19">
        <v>36892</v>
      </c>
      <c r="I784" s="41" t="s">
        <v>20</v>
      </c>
      <c r="J784" s="41">
        <v>1</v>
      </c>
      <c r="K784" s="41" t="s">
        <v>3557</v>
      </c>
      <c r="L784" s="41">
        <v>16</v>
      </c>
      <c r="M784" s="41"/>
      <c r="N784" s="41"/>
      <c r="O784" s="41" t="s">
        <v>398</v>
      </c>
      <c r="P784" s="41" t="s">
        <v>2066</v>
      </c>
      <c r="Q784" s="43">
        <f t="shared" si="95"/>
        <v>231</v>
      </c>
      <c r="R784" s="43">
        <f t="shared" si="96"/>
        <v>565.78099999999995</v>
      </c>
      <c r="S784" s="41" t="s">
        <v>2082</v>
      </c>
      <c r="T784" s="48" t="str">
        <f t="shared" si="94"/>
        <v>(20,'PS-20-GK2','Poste de Sectionnement n°20 GK2','Thursday-01-jj','Monday-01-jj',NULL,1,),</v>
      </c>
    </row>
    <row r="785" spans="1:20" ht="20.100000000000001" customHeight="1" x14ac:dyDescent="0.25">
      <c r="A785" s="38">
        <v>1</v>
      </c>
      <c r="B785" s="38">
        <v>790</v>
      </c>
      <c r="C785" s="38" t="s">
        <v>655</v>
      </c>
      <c r="D785" s="38">
        <v>18</v>
      </c>
      <c r="E785" s="39" t="str">
        <f>CONCATENATE("PS-",TEXT(A785,"00"),"-",O785)</f>
        <v>PS-01-GK3</v>
      </c>
      <c r="F785" s="48" t="str">
        <f>CONCATENATE("Poste de Sectionnement n°",TEXT(A785,"00")," ",O785)</f>
        <v>Poste de Sectionnement n°01 GK3</v>
      </c>
      <c r="G785" s="19">
        <v>40909</v>
      </c>
      <c r="H785" s="19">
        <v>40909</v>
      </c>
      <c r="I785" s="41" t="s">
        <v>20</v>
      </c>
      <c r="J785" s="41">
        <v>1</v>
      </c>
      <c r="K785" s="41" t="s">
        <v>3557</v>
      </c>
      <c r="L785" s="41">
        <v>16</v>
      </c>
      <c r="M785" s="41"/>
      <c r="N785" s="41"/>
      <c r="O785" s="41" t="s">
        <v>655</v>
      </c>
      <c r="P785" s="41" t="s">
        <v>2110</v>
      </c>
      <c r="Q785" s="43">
        <f t="shared" si="95"/>
        <v>749.01</v>
      </c>
      <c r="R785" s="43">
        <f t="shared" si="96"/>
        <v>11.37</v>
      </c>
      <c r="S785" s="41" t="s">
        <v>2165</v>
      </c>
      <c r="T785" s="48" t="str">
        <f t="shared" si="94"/>
        <v>(1,'PS-01-GK3','Poste de Sectionnement n°01 GK3','Sunday-01-jj','Sunday-01-jj',NULL,1,),</v>
      </c>
    </row>
    <row r="786" spans="1:20" ht="20.100000000000001" customHeight="1" x14ac:dyDescent="0.25">
      <c r="A786" s="38">
        <v>2</v>
      </c>
      <c r="B786" s="38">
        <v>791</v>
      </c>
      <c r="C786" s="38" t="s">
        <v>655</v>
      </c>
      <c r="D786" s="38">
        <v>18</v>
      </c>
      <c r="E786" s="39" t="str">
        <f>CONCATENATE("PS-",TEXT(A786,"00"),"-",O786)</f>
        <v>PS-02-GK3</v>
      </c>
      <c r="F786" s="48" t="str">
        <f>CONCATENATE("Poste de Sectionnement n°",TEXT(A786,"00")," ",O786)</f>
        <v>Poste de Sectionnement n°02 GK3</v>
      </c>
      <c r="G786" s="19">
        <v>40909</v>
      </c>
      <c r="H786" s="19">
        <v>40909</v>
      </c>
      <c r="I786" s="41" t="s">
        <v>20</v>
      </c>
      <c r="J786" s="41">
        <v>1</v>
      </c>
      <c r="K786" s="41" t="s">
        <v>3557</v>
      </c>
      <c r="L786" s="41">
        <v>16</v>
      </c>
      <c r="M786" s="41"/>
      <c r="N786" s="41"/>
      <c r="O786" s="41" t="s">
        <v>655</v>
      </c>
      <c r="P786" s="41" t="s">
        <v>2111</v>
      </c>
      <c r="Q786" s="43">
        <f t="shared" si="95"/>
        <v>785.2</v>
      </c>
      <c r="R786" s="43">
        <f t="shared" si="96"/>
        <v>23.373000000000001</v>
      </c>
      <c r="S786" s="41" t="s">
        <v>2165</v>
      </c>
      <c r="T786" s="48" t="str">
        <f t="shared" si="94"/>
        <v>(2,'PS-02-GK3','Poste de Sectionnement n°02 GK3','Sunday-01-jj','Sunday-01-jj',NULL,1,),</v>
      </c>
    </row>
    <row r="787" spans="1:20" ht="20.100000000000001" customHeight="1" x14ac:dyDescent="0.25">
      <c r="A787" s="38">
        <v>3</v>
      </c>
      <c r="B787" s="38">
        <v>792</v>
      </c>
      <c r="C787" s="38" t="s">
        <v>655</v>
      </c>
      <c r="D787" s="38">
        <v>18</v>
      </c>
      <c r="E787" s="39" t="str">
        <f>CONCATENATE("PS-",TEXT(A787,"00"),"-",O787)</f>
        <v>PS-03-GK3</v>
      </c>
      <c r="F787" s="48" t="str">
        <f>CONCATENATE("Poste de Sectionnement n°",TEXT(A787,"00")," ",O787)</f>
        <v>Poste de Sectionnement n°03 GK3</v>
      </c>
      <c r="G787" s="19">
        <v>40909</v>
      </c>
      <c r="H787" s="19">
        <v>40909</v>
      </c>
      <c r="I787" s="41" t="s">
        <v>20</v>
      </c>
      <c r="J787" s="41">
        <v>1</v>
      </c>
      <c r="K787" s="41" t="s">
        <v>3557</v>
      </c>
      <c r="L787" s="41">
        <v>16</v>
      </c>
      <c r="M787" s="41"/>
      <c r="N787" s="41"/>
      <c r="O787" s="41" t="s">
        <v>655</v>
      </c>
      <c r="P787" s="41" t="s">
        <v>2112</v>
      </c>
      <c r="Q787" s="43">
        <f t="shared" si="95"/>
        <v>698.2</v>
      </c>
      <c r="R787" s="43">
        <f t="shared" si="96"/>
        <v>44.05</v>
      </c>
      <c r="S787" s="41" t="s">
        <v>2070</v>
      </c>
      <c r="T787" s="48" t="str">
        <f t="shared" si="94"/>
        <v>(3,'PS-03-GK3','Poste de Sectionnement n°03 GK3','Sunday-01-jj','Sunday-01-jj',NULL,1,),</v>
      </c>
    </row>
    <row r="788" spans="1:20" ht="20.100000000000001" customHeight="1" x14ac:dyDescent="0.25">
      <c r="A788" s="38">
        <v>4</v>
      </c>
      <c r="B788" s="38">
        <v>793</v>
      </c>
      <c r="C788" s="38" t="s">
        <v>655</v>
      </c>
      <c r="D788" s="38">
        <v>18</v>
      </c>
      <c r="E788" s="39" t="str">
        <f>CONCATENATE("PS-",TEXT(A788,"00"),"-",O788)</f>
        <v>PS-04-GK3</v>
      </c>
      <c r="F788" s="48" t="str">
        <f>CONCATENATE("Poste de Sectionnement n°",TEXT(A788,"00")," ",O788)</f>
        <v>Poste de Sectionnement n°04 GK3</v>
      </c>
      <c r="G788" s="19">
        <v>40909</v>
      </c>
      <c r="H788" s="19">
        <v>40909</v>
      </c>
      <c r="I788" s="41" t="s">
        <v>20</v>
      </c>
      <c r="J788" s="41">
        <v>1</v>
      </c>
      <c r="K788" s="41" t="s">
        <v>3557</v>
      </c>
      <c r="L788" s="41">
        <v>16</v>
      </c>
      <c r="M788" s="41"/>
      <c r="N788" s="41"/>
      <c r="O788" s="41" t="s">
        <v>655</v>
      </c>
      <c r="P788" s="41" t="s">
        <v>2113</v>
      </c>
      <c r="Q788" s="43">
        <f t="shared" si="95"/>
        <v>729.3</v>
      </c>
      <c r="R788" s="43">
        <f t="shared" si="96"/>
        <v>63.195999999999998</v>
      </c>
      <c r="S788" s="41" t="s">
        <v>2070</v>
      </c>
      <c r="T788" s="48" t="str">
        <f t="shared" si="94"/>
        <v>(4,'PS-04-GK3','Poste de Sectionnement n°04 GK3','Sunday-01-jj','Sunday-01-jj',NULL,1,),</v>
      </c>
    </row>
    <row r="789" spans="1:20" ht="20.100000000000001" customHeight="1" x14ac:dyDescent="0.25">
      <c r="A789" s="38">
        <v>1</v>
      </c>
      <c r="B789" s="38">
        <v>794</v>
      </c>
      <c r="C789" s="38" t="s">
        <v>655</v>
      </c>
      <c r="D789" s="38">
        <v>18</v>
      </c>
      <c r="E789" s="45" t="str">
        <f>CONCATENATE("PC-",TEXT(A789,"00"),"-",O789)</f>
        <v>PC-01-GK3</v>
      </c>
      <c r="F789" s="48" t="str">
        <f>CONCATENATE("Poste de Coupure n°",TEXT(A789,"00")," ",O789)</f>
        <v>Poste de Coupure n°01 GK3</v>
      </c>
      <c r="G789" s="19">
        <v>40909</v>
      </c>
      <c r="H789" s="19">
        <v>40909</v>
      </c>
      <c r="I789" s="41" t="s">
        <v>20</v>
      </c>
      <c r="J789" s="41">
        <v>1</v>
      </c>
      <c r="K789" s="41" t="s">
        <v>3556</v>
      </c>
      <c r="L789" s="41">
        <v>15</v>
      </c>
      <c r="M789" s="41"/>
      <c r="N789" s="41"/>
      <c r="O789" s="41" t="s">
        <v>655</v>
      </c>
      <c r="P789" s="41" t="s">
        <v>2202</v>
      </c>
      <c r="Q789" s="49">
        <f t="shared" si="95"/>
        <v>744.7</v>
      </c>
      <c r="R789" s="43">
        <f t="shared" si="96"/>
        <v>81.8</v>
      </c>
      <c r="S789" s="41" t="s">
        <v>2070</v>
      </c>
      <c r="T789" s="48" t="str">
        <f t="shared" si="94"/>
        <v>(1,'PC-01-GK3','Poste de Coupure n°01 GK3','Sunday-01-jj','Sunday-01-jj',NULL,1,),</v>
      </c>
    </row>
    <row r="790" spans="1:20" ht="20.100000000000001" customHeight="1" x14ac:dyDescent="0.25">
      <c r="A790" s="38">
        <v>5</v>
      </c>
      <c r="B790" s="38">
        <v>795</v>
      </c>
      <c r="C790" s="38" t="s">
        <v>655</v>
      </c>
      <c r="D790" s="38">
        <v>18</v>
      </c>
      <c r="E790" s="39" t="str">
        <f>CONCATENATE("PS-",TEXT(A790,"00"),"-",O790)</f>
        <v>PS-05-GK3</v>
      </c>
      <c r="F790" s="48" t="str">
        <f>CONCATENATE("Poste de Sectionnement n°",TEXT(A790,"00")," ",O790)</f>
        <v>Poste de Sectionnement n°05 GK3</v>
      </c>
      <c r="G790" s="19">
        <v>40909</v>
      </c>
      <c r="H790" s="19">
        <v>40909</v>
      </c>
      <c r="I790" s="41" t="s">
        <v>20</v>
      </c>
      <c r="J790" s="41">
        <v>1</v>
      </c>
      <c r="K790" s="41" t="s">
        <v>3557</v>
      </c>
      <c r="L790" s="41">
        <v>16</v>
      </c>
      <c r="M790" s="41"/>
      <c r="N790" s="41"/>
      <c r="O790" s="41" t="s">
        <v>655</v>
      </c>
      <c r="P790" s="41" t="s">
        <v>2114</v>
      </c>
      <c r="Q790" s="43">
        <f t="shared" si="95"/>
        <v>712.1</v>
      </c>
      <c r="R790" s="43">
        <f t="shared" si="96"/>
        <v>97.795000000000002</v>
      </c>
      <c r="S790" s="41" t="s">
        <v>2166</v>
      </c>
      <c r="T790" s="48" t="str">
        <f t="shared" si="94"/>
        <v>(5,'PS-05-GK3','Poste de Sectionnement n°05 GK3','Sunday-01-jj','Sunday-01-jj',NULL,1,),</v>
      </c>
    </row>
    <row r="791" spans="1:20" ht="20.100000000000001" customHeight="1" x14ac:dyDescent="0.25">
      <c r="A791" s="38">
        <v>6</v>
      </c>
      <c r="B791" s="38">
        <v>796</v>
      </c>
      <c r="C791" s="38" t="s">
        <v>655</v>
      </c>
      <c r="D791" s="38">
        <v>18</v>
      </c>
      <c r="E791" s="45" t="str">
        <f>CONCATENATE("PC-",TEXT(A791,"00"),"-",O791)</f>
        <v>PC-06-GK3</v>
      </c>
      <c r="F791" s="48" t="str">
        <f>CONCATENATE("Poste de Coupure n°",TEXT(A791,"00")," ",O791)</f>
        <v>Poste de Coupure n°06 GK3</v>
      </c>
      <c r="G791" s="19">
        <v>40909</v>
      </c>
      <c r="H791" s="19">
        <v>40909</v>
      </c>
      <c r="I791" s="41" t="s">
        <v>20</v>
      </c>
      <c r="J791" s="41">
        <v>1</v>
      </c>
      <c r="K791" s="41" t="s">
        <v>3556</v>
      </c>
      <c r="L791" s="41">
        <v>15</v>
      </c>
      <c r="M791" s="41"/>
      <c r="N791" s="41"/>
      <c r="O791" s="41" t="s">
        <v>655</v>
      </c>
      <c r="P791" s="41" t="s">
        <v>2207</v>
      </c>
      <c r="Q791" s="49">
        <f t="shared" si="95"/>
        <v>1007.13</v>
      </c>
      <c r="R791" s="43">
        <f t="shared" si="96"/>
        <v>102.274</v>
      </c>
      <c r="S791" s="41" t="s">
        <v>2186</v>
      </c>
      <c r="T791" s="48" t="str">
        <f t="shared" si="94"/>
        <v>(6,'PC-06-GK3','Poste de Coupure n°06 GK3','Sunday-01-jj','Sunday-01-jj',NULL,1,),</v>
      </c>
    </row>
    <row r="792" spans="1:20" ht="20.100000000000001" customHeight="1" x14ac:dyDescent="0.25">
      <c r="A792" s="38">
        <v>6</v>
      </c>
      <c r="B792" s="38">
        <v>797</v>
      </c>
      <c r="C792" s="38" t="s">
        <v>655</v>
      </c>
      <c r="D792" s="38">
        <v>18</v>
      </c>
      <c r="E792" s="39" t="str">
        <f>CONCATENATE("PS-",TEXT(A792,"00"),"-",O792)</f>
        <v>PS-06-GK3</v>
      </c>
      <c r="F792" s="48" t="str">
        <f>CONCATENATE("Poste de Sectionnement n°",TEXT(A792,"00")," ",O792)</f>
        <v>Poste de Sectionnement n°06 GK3</v>
      </c>
      <c r="G792" s="19">
        <v>40909</v>
      </c>
      <c r="H792" s="19">
        <v>40909</v>
      </c>
      <c r="I792" s="41" t="s">
        <v>20</v>
      </c>
      <c r="J792" s="41">
        <v>1</v>
      </c>
      <c r="K792" s="41" t="s">
        <v>3557</v>
      </c>
      <c r="L792" s="41">
        <v>16</v>
      </c>
      <c r="M792" s="41"/>
      <c r="N792" s="41"/>
      <c r="O792" s="41" t="s">
        <v>655</v>
      </c>
      <c r="P792" s="41" t="s">
        <v>2115</v>
      </c>
      <c r="Q792" s="43">
        <f t="shared" si="95"/>
        <v>714.01</v>
      </c>
      <c r="R792" s="43">
        <f t="shared" si="96"/>
        <v>114.9</v>
      </c>
      <c r="S792" s="41" t="s">
        <v>2166</v>
      </c>
      <c r="T792" s="48" t="str">
        <f t="shared" ref="T792:T855" si="97">CONCATENATE("(",A792,",'",E792,"','",F792,"','",TEXT(G792,"aaaa-mm-jj"),"','",TEXT(H792,"aaaa-mm-jj"),"',",I792,",",J792,",",M792,"),")</f>
        <v>(6,'PS-06-GK3','Poste de Sectionnement n°06 GK3','Sunday-01-jj','Sunday-01-jj',NULL,1,),</v>
      </c>
    </row>
    <row r="793" spans="1:20" ht="20.100000000000001" customHeight="1" x14ac:dyDescent="0.25">
      <c r="A793" s="38">
        <v>7</v>
      </c>
      <c r="B793" s="38">
        <v>798</v>
      </c>
      <c r="C793" s="38" t="s">
        <v>655</v>
      </c>
      <c r="D793" s="38">
        <v>18</v>
      </c>
      <c r="E793" s="39" t="str">
        <f>CONCATENATE("PS-",TEXT(A793,"00"),"-",O793)</f>
        <v>PS-07-GK3</v>
      </c>
      <c r="F793" s="48" t="str">
        <f>CONCATENATE("Poste de Sectionnement n°",TEXT(A793,"00")," ",O793)</f>
        <v>Poste de Sectionnement n°07 GK3</v>
      </c>
      <c r="G793" s="19">
        <v>40909</v>
      </c>
      <c r="H793" s="19">
        <v>40909</v>
      </c>
      <c r="I793" s="41" t="s">
        <v>20</v>
      </c>
      <c r="J793" s="41">
        <v>1</v>
      </c>
      <c r="K793" s="41" t="s">
        <v>3557</v>
      </c>
      <c r="L793" s="41">
        <v>16</v>
      </c>
      <c r="M793" s="41"/>
      <c r="N793" s="41"/>
      <c r="O793" s="41" t="s">
        <v>655</v>
      </c>
      <c r="P793" s="41" t="s">
        <v>2116</v>
      </c>
      <c r="Q793" s="43">
        <f t="shared" si="95"/>
        <v>644.73</v>
      </c>
      <c r="R793" s="43">
        <f t="shared" si="96"/>
        <v>133.07599999999999</v>
      </c>
      <c r="S793" s="41" t="s">
        <v>2167</v>
      </c>
      <c r="T793" s="48" t="str">
        <f t="shared" si="97"/>
        <v>(7,'PS-07-GK3','Poste de Sectionnement n°07 GK3','Sunday-01-jj','Sunday-01-jj',NULL,1,),</v>
      </c>
    </row>
    <row r="794" spans="1:20" ht="20.100000000000001" customHeight="1" x14ac:dyDescent="0.25">
      <c r="A794" s="38">
        <v>8</v>
      </c>
      <c r="B794" s="38">
        <v>799</v>
      </c>
      <c r="C794" s="38" t="s">
        <v>655</v>
      </c>
      <c r="D794" s="38">
        <v>18</v>
      </c>
      <c r="E794" s="39" t="str">
        <f>CONCATENATE("PS-",TEXT(A794,"00"),"-",O794)</f>
        <v>PS-08-GK3</v>
      </c>
      <c r="F794" s="48" t="str">
        <f>CONCATENATE("Poste de Sectionnement n°",TEXT(A794,"00")," ",O794)</f>
        <v>Poste de Sectionnement n°08 GK3</v>
      </c>
      <c r="G794" s="19">
        <v>40909</v>
      </c>
      <c r="H794" s="19">
        <v>40909</v>
      </c>
      <c r="I794" s="41" t="s">
        <v>20</v>
      </c>
      <c r="J794" s="41">
        <v>1</v>
      </c>
      <c r="K794" s="41" t="s">
        <v>3557</v>
      </c>
      <c r="L794" s="41">
        <v>16</v>
      </c>
      <c r="M794" s="41"/>
      <c r="N794" s="41"/>
      <c r="O794" s="41" t="s">
        <v>655</v>
      </c>
      <c r="P794" s="41" t="s">
        <v>2117</v>
      </c>
      <c r="Q794" s="43">
        <f t="shared" si="95"/>
        <v>547.62</v>
      </c>
      <c r="R794" s="43">
        <f t="shared" si="96"/>
        <v>148.42099999999999</v>
      </c>
      <c r="S794" s="41" t="s">
        <v>2167</v>
      </c>
      <c r="T794" s="48" t="str">
        <f t="shared" si="97"/>
        <v>(8,'PS-08-GK3','Poste de Sectionnement n°08 GK3','Sunday-01-jj','Sunday-01-jj',NULL,1,),</v>
      </c>
    </row>
    <row r="795" spans="1:20" ht="20.100000000000001" customHeight="1" x14ac:dyDescent="0.25">
      <c r="A795" s="38">
        <v>9</v>
      </c>
      <c r="B795" s="38">
        <v>800</v>
      </c>
      <c r="C795" s="38" t="s">
        <v>655</v>
      </c>
      <c r="D795" s="38">
        <v>18</v>
      </c>
      <c r="E795" s="39" t="str">
        <f>CONCATENATE("PS-",TEXT(A795,"00"),"-",O795)</f>
        <v>PS-09-GK3</v>
      </c>
      <c r="F795" s="48" t="str">
        <f>CONCATENATE("Poste de Sectionnement n°",TEXT(A795,"00")," ",O795)</f>
        <v>Poste de Sectionnement n°09 GK3</v>
      </c>
      <c r="G795" s="19">
        <v>40909</v>
      </c>
      <c r="H795" s="19">
        <v>40909</v>
      </c>
      <c r="I795" s="41" t="s">
        <v>20</v>
      </c>
      <c r="J795" s="41">
        <v>1</v>
      </c>
      <c r="K795" s="41" t="s">
        <v>3557</v>
      </c>
      <c r="L795" s="41">
        <v>16</v>
      </c>
      <c r="M795" s="41"/>
      <c r="N795" s="41"/>
      <c r="O795" s="41" t="s">
        <v>655</v>
      </c>
      <c r="P795" s="41" t="s">
        <v>2118</v>
      </c>
      <c r="Q795" s="43">
        <f t="shared" si="95"/>
        <v>452.57</v>
      </c>
      <c r="R795" s="43">
        <f t="shared" si="96"/>
        <v>166.578</v>
      </c>
      <c r="S795" s="41" t="s">
        <v>2168</v>
      </c>
      <c r="T795" s="48" t="str">
        <f t="shared" si="97"/>
        <v>(9,'PS-09-GK3','Poste de Sectionnement n°09 GK3','Sunday-01-jj','Sunday-01-jj',NULL,1,),</v>
      </c>
    </row>
    <row r="796" spans="1:20" ht="20.100000000000001" customHeight="1" x14ac:dyDescent="0.25">
      <c r="A796" s="38">
        <v>2</v>
      </c>
      <c r="B796" s="38">
        <v>801</v>
      </c>
      <c r="C796" s="38" t="s">
        <v>655</v>
      </c>
      <c r="D796" s="38">
        <v>18</v>
      </c>
      <c r="E796" s="45" t="str">
        <f>CONCATENATE("PC-",TEXT(A796,"00"),"-",O796)</f>
        <v>PC-02-GK3</v>
      </c>
      <c r="F796" s="48" t="str">
        <f>CONCATENATE("Poste de Coupure n°",TEXT(A796,"00")," ",O796)</f>
        <v>Poste de Coupure n°02 GK3</v>
      </c>
      <c r="G796" s="19">
        <v>40909</v>
      </c>
      <c r="H796" s="19">
        <v>40909</v>
      </c>
      <c r="I796" s="41" t="s">
        <v>20</v>
      </c>
      <c r="J796" s="41">
        <v>1</v>
      </c>
      <c r="K796" s="41" t="s">
        <v>3556</v>
      </c>
      <c r="L796" s="41">
        <v>15</v>
      </c>
      <c r="M796" s="41"/>
      <c r="N796" s="41"/>
      <c r="O796" s="41" t="s">
        <v>655</v>
      </c>
      <c r="P796" s="41" t="s">
        <v>2203</v>
      </c>
      <c r="Q796" s="49">
        <f t="shared" si="95"/>
        <v>398.32</v>
      </c>
      <c r="R796" s="43">
        <f t="shared" si="96"/>
        <v>178.31800000000001</v>
      </c>
      <c r="S796" s="41" t="s">
        <v>2209</v>
      </c>
      <c r="T796" s="48" t="str">
        <f t="shared" si="97"/>
        <v>(2,'PC-02-GK3','Poste de Coupure n°02 GK3','Sunday-01-jj','Sunday-01-jj',NULL,1,),</v>
      </c>
    </row>
    <row r="797" spans="1:20" ht="20.100000000000001" customHeight="1" x14ac:dyDescent="0.25">
      <c r="A797" s="38">
        <v>7</v>
      </c>
      <c r="B797" s="38">
        <v>802</v>
      </c>
      <c r="C797" s="38" t="s">
        <v>655</v>
      </c>
      <c r="D797" s="38">
        <v>18</v>
      </c>
      <c r="E797" s="45" t="str">
        <f>CONCATENATE("PC-",TEXT(A797,"00"),"-",O797)</f>
        <v>PC-07-GK3</v>
      </c>
      <c r="F797" s="48" t="str">
        <f>CONCATENATE("Poste de Coupure n°",TEXT(A797,"00")," ",O797)</f>
        <v>Poste de Coupure n°07 GK3</v>
      </c>
      <c r="G797" s="19">
        <v>40909</v>
      </c>
      <c r="H797" s="19">
        <v>40909</v>
      </c>
      <c r="I797" s="41" t="s">
        <v>20</v>
      </c>
      <c r="J797" s="41">
        <v>1</v>
      </c>
      <c r="K797" s="41" t="s">
        <v>3556</v>
      </c>
      <c r="L797" s="41">
        <v>15</v>
      </c>
      <c r="M797" s="41"/>
      <c r="N797" s="41"/>
      <c r="O797" s="41" t="s">
        <v>655</v>
      </c>
      <c r="P797" s="41" t="s">
        <v>2208</v>
      </c>
      <c r="Q797" s="49">
        <f t="shared" si="95"/>
        <v>136.01</v>
      </c>
      <c r="R797" s="43">
        <f t="shared" si="96"/>
        <v>181.59399999999999</v>
      </c>
      <c r="S797" s="41" t="s">
        <v>2212</v>
      </c>
      <c r="T797" s="48" t="str">
        <f t="shared" si="97"/>
        <v>(7,'PC-07-GK3','Poste de Coupure n°07 GK3','Sunday-01-jj','Sunday-01-jj',NULL,1,),</v>
      </c>
    </row>
    <row r="798" spans="1:20" ht="20.100000000000001" customHeight="1" x14ac:dyDescent="0.25">
      <c r="A798" s="38">
        <v>10</v>
      </c>
      <c r="B798" s="38">
        <v>803</v>
      </c>
      <c r="C798" s="38" t="s">
        <v>655</v>
      </c>
      <c r="D798" s="38">
        <v>18</v>
      </c>
      <c r="E798" s="39" t="str">
        <f>CONCATENATE("PS-",TEXT(A798,"00"),"-",O798)</f>
        <v>PS-10-GK3</v>
      </c>
      <c r="F798" s="48" t="str">
        <f>CONCATENATE("Poste de Sectionnement n°",TEXT(A798,"00")," ",O798)</f>
        <v>Poste de Sectionnement n°10 GK3</v>
      </c>
      <c r="G798" s="19">
        <v>40909</v>
      </c>
      <c r="H798" s="19">
        <v>40909</v>
      </c>
      <c r="I798" s="41" t="s">
        <v>20</v>
      </c>
      <c r="J798" s="41">
        <v>1</v>
      </c>
      <c r="K798" s="41" t="s">
        <v>3557</v>
      </c>
      <c r="L798" s="41">
        <v>16</v>
      </c>
      <c r="M798" s="41"/>
      <c r="N798" s="41"/>
      <c r="O798" s="41" t="s">
        <v>655</v>
      </c>
      <c r="P798" s="41" t="s">
        <v>2119</v>
      </c>
      <c r="Q798" s="43">
        <f t="shared" si="95"/>
        <v>321.83</v>
      </c>
      <c r="R798" s="43">
        <f t="shared" si="96"/>
        <v>195.506</v>
      </c>
      <c r="S798" s="41" t="s">
        <v>2168</v>
      </c>
      <c r="T798" s="48" t="str">
        <f t="shared" si="97"/>
        <v>(10,'PS-10-GK3','Poste de Sectionnement n°10 GK3','Sunday-01-jj','Sunday-01-jj',NULL,1,),</v>
      </c>
    </row>
    <row r="799" spans="1:20" ht="20.100000000000001" customHeight="1" x14ac:dyDescent="0.25">
      <c r="A799" s="38">
        <v>11</v>
      </c>
      <c r="B799" s="38">
        <v>804</v>
      </c>
      <c r="C799" s="38" t="s">
        <v>655</v>
      </c>
      <c r="D799" s="38">
        <v>18</v>
      </c>
      <c r="E799" s="39" t="str">
        <f>CONCATENATE("PS-",TEXT(A799,"00"),"-",O799)</f>
        <v>PS-11-GK3</v>
      </c>
      <c r="F799" s="48" t="str">
        <f>CONCATENATE("Poste de Sectionnement n°",TEXT(A799,"00")," ",O799)</f>
        <v>Poste de Sectionnement n°11 GK3</v>
      </c>
      <c r="G799" s="19">
        <v>40909</v>
      </c>
      <c r="H799" s="19">
        <v>40909</v>
      </c>
      <c r="I799" s="41" t="s">
        <v>20</v>
      </c>
      <c r="J799" s="41">
        <v>1</v>
      </c>
      <c r="K799" s="41" t="s">
        <v>3557</v>
      </c>
      <c r="L799" s="41">
        <v>16</v>
      </c>
      <c r="M799" s="41"/>
      <c r="N799" s="41"/>
      <c r="O799" s="41" t="s">
        <v>655</v>
      </c>
      <c r="P799" s="41" t="s">
        <v>2120</v>
      </c>
      <c r="Q799" s="43">
        <f t="shared" si="95"/>
        <v>279.07</v>
      </c>
      <c r="R799" s="43">
        <f t="shared" si="96"/>
        <v>211.7</v>
      </c>
      <c r="S799" s="41" t="s">
        <v>2169</v>
      </c>
      <c r="T799" s="48" t="str">
        <f t="shared" si="97"/>
        <v>(11,'PS-11-GK3','Poste de Sectionnement n°11 GK3','Sunday-01-jj','Sunday-01-jj',NULL,1,),</v>
      </c>
    </row>
    <row r="800" spans="1:20" ht="20.100000000000001" customHeight="1" x14ac:dyDescent="0.25">
      <c r="A800" s="38">
        <v>12</v>
      </c>
      <c r="B800" s="38">
        <v>805</v>
      </c>
      <c r="C800" s="38" t="s">
        <v>655</v>
      </c>
      <c r="D800" s="38">
        <v>18</v>
      </c>
      <c r="E800" s="39" t="str">
        <f>CONCATENATE("PS-",TEXT(A800,"00"),"-",O800)</f>
        <v>PS-12-GK3</v>
      </c>
      <c r="F800" s="48" t="str">
        <f>CONCATENATE("Poste de Sectionnement n°",TEXT(A800,"00")," ",O800)</f>
        <v>Poste de Sectionnement n°12 GK3</v>
      </c>
      <c r="G800" s="19">
        <v>40909</v>
      </c>
      <c r="H800" s="19">
        <v>40909</v>
      </c>
      <c r="I800" s="41" t="s">
        <v>20</v>
      </c>
      <c r="J800" s="41">
        <v>1</v>
      </c>
      <c r="K800" s="41" t="s">
        <v>3557</v>
      </c>
      <c r="L800" s="41">
        <v>16</v>
      </c>
      <c r="M800" s="41"/>
      <c r="N800" s="41"/>
      <c r="O800" s="41" t="s">
        <v>655</v>
      </c>
      <c r="P800" s="41" t="s">
        <v>2121</v>
      </c>
      <c r="Q800" s="43">
        <f t="shared" si="95"/>
        <v>274.75</v>
      </c>
      <c r="R800" s="43">
        <f t="shared" si="96"/>
        <v>231.30600000000001</v>
      </c>
      <c r="S800" s="41" t="s">
        <v>2071</v>
      </c>
      <c r="T800" s="48" t="str">
        <f t="shared" si="97"/>
        <v>(12,'PS-12-GK3','Poste de Sectionnement n°12 GK3','Sunday-01-jj','Sunday-01-jj',NULL,1,),</v>
      </c>
    </row>
    <row r="801" spans="1:20" ht="20.100000000000001" customHeight="1" x14ac:dyDescent="0.25">
      <c r="A801" s="38">
        <v>1</v>
      </c>
      <c r="B801" s="38">
        <v>806</v>
      </c>
      <c r="C801" s="38" t="s">
        <v>655</v>
      </c>
      <c r="D801" s="38">
        <v>18</v>
      </c>
      <c r="E801" s="45" t="str">
        <f>CONCATENATE("PPUR-",TEXT(A801,"00"),"-",O801)</f>
        <v>PPUR-01-GK3</v>
      </c>
      <c r="F801" s="48" t="str">
        <f>CONCATENATE("Poste de Purge n°",TEXT(A801,"00")," ",O801)</f>
        <v>Poste de Purge n°01 GK3</v>
      </c>
      <c r="G801" s="19">
        <v>40909</v>
      </c>
      <c r="H801" s="19">
        <v>40909</v>
      </c>
      <c r="I801" s="41" t="s">
        <v>20</v>
      </c>
      <c r="J801" s="41">
        <v>1</v>
      </c>
      <c r="K801" s="41" t="s">
        <v>3558</v>
      </c>
      <c r="L801" s="41">
        <v>17</v>
      </c>
      <c r="M801" s="41"/>
      <c r="N801" s="41"/>
      <c r="O801" s="41" t="s">
        <v>655</v>
      </c>
      <c r="P801" s="41" t="s">
        <v>2213</v>
      </c>
      <c r="Q801" s="49">
        <f t="shared" si="95"/>
        <v>246.64</v>
      </c>
      <c r="R801" s="43">
        <f t="shared" si="96"/>
        <v>248.441</v>
      </c>
      <c r="S801" s="41" t="s">
        <v>2071</v>
      </c>
      <c r="T801" s="48" t="str">
        <f t="shared" si="97"/>
        <v>(1,'PPUR-01-GK3','Poste de Purge n°01 GK3','Sunday-01-jj','Sunday-01-jj',NULL,1,),</v>
      </c>
    </row>
    <row r="802" spans="1:20" ht="20.100000000000001" customHeight="1" x14ac:dyDescent="0.25">
      <c r="A802" s="38">
        <v>13</v>
      </c>
      <c r="B802" s="38">
        <v>807</v>
      </c>
      <c r="C802" s="38" t="s">
        <v>655</v>
      </c>
      <c r="D802" s="38">
        <v>18</v>
      </c>
      <c r="E802" s="39" t="str">
        <f>CONCATENATE("PS-",TEXT(A802,"00"),"-",O802)</f>
        <v>PS-13-GK3</v>
      </c>
      <c r="F802" s="48" t="str">
        <f>CONCATENATE("Poste de Sectionnement n°",TEXT(A802,"00")," ",O802)</f>
        <v>Poste de Sectionnement n°13 GK3</v>
      </c>
      <c r="G802" s="19">
        <v>40909</v>
      </c>
      <c r="H802" s="19">
        <v>40909</v>
      </c>
      <c r="I802" s="41" t="s">
        <v>20</v>
      </c>
      <c r="J802" s="41">
        <v>1</v>
      </c>
      <c r="K802" s="41" t="s">
        <v>3557</v>
      </c>
      <c r="L802" s="41">
        <v>16</v>
      </c>
      <c r="M802" s="41"/>
      <c r="N802" s="41"/>
      <c r="O802" s="41" t="s">
        <v>655</v>
      </c>
      <c r="P802" s="41" t="s">
        <v>2122</v>
      </c>
      <c r="Q802" s="43">
        <f t="shared" si="95"/>
        <v>272.11</v>
      </c>
      <c r="R802" s="43">
        <f t="shared" si="96"/>
        <v>250.726</v>
      </c>
      <c r="S802" s="41" t="s">
        <v>2071</v>
      </c>
      <c r="T802" s="48" t="str">
        <f t="shared" si="97"/>
        <v>(13,'PS-13-GK3','Poste de Sectionnement n°13 GK3','Sunday-01-jj','Sunday-01-jj',NULL,1,),</v>
      </c>
    </row>
    <row r="803" spans="1:20" ht="20.100000000000001" customHeight="1" x14ac:dyDescent="0.25">
      <c r="A803" s="38">
        <v>3</v>
      </c>
      <c r="B803" s="38">
        <v>808</v>
      </c>
      <c r="C803" s="38" t="s">
        <v>655</v>
      </c>
      <c r="D803" s="38">
        <v>18</v>
      </c>
      <c r="E803" s="45" t="str">
        <f>CONCATENATE("PC-",TEXT(A803,"00"),"-",O803)</f>
        <v>PC-03-GK3</v>
      </c>
      <c r="F803" s="48" t="str">
        <f>CONCATENATE("Poste de Coupure n°",TEXT(A803,"00")," ",O803)</f>
        <v>Poste de Coupure n°03 GK3</v>
      </c>
      <c r="G803" s="19">
        <v>40909</v>
      </c>
      <c r="H803" s="19">
        <v>40909</v>
      </c>
      <c r="I803" s="41" t="s">
        <v>20</v>
      </c>
      <c r="J803" s="41">
        <v>1</v>
      </c>
      <c r="K803" s="41" t="s">
        <v>3556</v>
      </c>
      <c r="L803" s="41">
        <v>15</v>
      </c>
      <c r="M803" s="41"/>
      <c r="N803" s="41"/>
      <c r="O803" s="41" t="s">
        <v>655</v>
      </c>
      <c r="P803" s="41" t="s">
        <v>2204</v>
      </c>
      <c r="Q803" s="49">
        <f t="shared" si="95"/>
        <v>358.13</v>
      </c>
      <c r="R803" s="43">
        <f t="shared" si="96"/>
        <v>269.44400000000002</v>
      </c>
      <c r="S803" s="41" t="s">
        <v>2071</v>
      </c>
      <c r="T803" s="48" t="str">
        <f t="shared" si="97"/>
        <v>(3,'PC-03-GK3','Poste de Coupure n°03 GK3','Sunday-01-jj','Sunday-01-jj',NULL,1,),</v>
      </c>
    </row>
    <row r="804" spans="1:20" ht="20.100000000000001" customHeight="1" x14ac:dyDescent="0.25">
      <c r="A804" s="38">
        <v>2</v>
      </c>
      <c r="B804" s="38">
        <v>809</v>
      </c>
      <c r="C804" s="38" t="s">
        <v>655</v>
      </c>
      <c r="D804" s="38">
        <v>18</v>
      </c>
      <c r="E804" s="45" t="str">
        <f>CONCATENATE("PPUR-",TEXT(A804,"00"),"-",O804)</f>
        <v>PPUR-02-GK3</v>
      </c>
      <c r="F804" s="48" t="str">
        <f>CONCATENATE("Poste de Purge n°",TEXT(A804,"00")," ",O804)</f>
        <v>Poste de Purge n°02 GK3</v>
      </c>
      <c r="G804" s="19">
        <v>40909</v>
      </c>
      <c r="H804" s="19">
        <v>40909</v>
      </c>
      <c r="I804" s="41" t="s">
        <v>20</v>
      </c>
      <c r="J804" s="41">
        <v>1</v>
      </c>
      <c r="K804" s="41" t="s">
        <v>3558</v>
      </c>
      <c r="L804" s="41">
        <v>17</v>
      </c>
      <c r="M804" s="41"/>
      <c r="N804" s="41"/>
      <c r="O804" s="41" t="s">
        <v>655</v>
      </c>
      <c r="P804" s="41" t="s">
        <v>2214</v>
      </c>
      <c r="Q804" s="49">
        <f t="shared" si="95"/>
        <v>297.69</v>
      </c>
      <c r="R804" s="43">
        <f t="shared" si="96"/>
        <v>281.464</v>
      </c>
      <c r="S804" s="41" t="s">
        <v>941</v>
      </c>
      <c r="T804" s="48" t="str">
        <f t="shared" si="97"/>
        <v>(2,'PPUR-02-GK3','Poste de Purge n°02 GK3','Sunday-01-jj','Sunday-01-jj',NULL,1,),</v>
      </c>
    </row>
    <row r="805" spans="1:20" ht="20.100000000000001" customHeight="1" x14ac:dyDescent="0.25">
      <c r="A805" s="38">
        <v>14</v>
      </c>
      <c r="B805" s="38">
        <v>810</v>
      </c>
      <c r="C805" s="38" t="s">
        <v>655</v>
      </c>
      <c r="D805" s="38">
        <v>18</v>
      </c>
      <c r="E805" s="39" t="str">
        <f>CONCATENATE("PS-",TEXT(A805,"00"),"-",O805)</f>
        <v>PS-14-GK3</v>
      </c>
      <c r="F805" s="48" t="str">
        <f>CONCATENATE("Poste de Sectionnement n°",TEXT(A805,"00")," ",O805)</f>
        <v>Poste de Sectionnement n°14 GK3</v>
      </c>
      <c r="G805" s="19">
        <v>40909</v>
      </c>
      <c r="H805" s="19">
        <v>40909</v>
      </c>
      <c r="I805" s="41" t="s">
        <v>20</v>
      </c>
      <c r="J805" s="41">
        <v>1</v>
      </c>
      <c r="K805" s="41" t="s">
        <v>3557</v>
      </c>
      <c r="L805" s="41">
        <v>16</v>
      </c>
      <c r="M805" s="41"/>
      <c r="N805" s="41"/>
      <c r="O805" s="41" t="s">
        <v>655</v>
      </c>
      <c r="P805" s="41" t="s">
        <v>2123</v>
      </c>
      <c r="Q805" s="43">
        <f t="shared" si="95"/>
        <v>325.39999999999998</v>
      </c>
      <c r="R805" s="43">
        <f t="shared" si="96"/>
        <v>284.16000000000003</v>
      </c>
      <c r="S805" s="41" t="s">
        <v>941</v>
      </c>
      <c r="T805" s="48" t="str">
        <f t="shared" si="97"/>
        <v>(14,'PS-14-GK3','Poste de Sectionnement n°14 GK3','Sunday-01-jj','Sunday-01-jj',NULL,1,),</v>
      </c>
    </row>
    <row r="806" spans="1:20" ht="20.100000000000001" customHeight="1" x14ac:dyDescent="0.25">
      <c r="A806" s="38">
        <v>3</v>
      </c>
      <c r="B806" s="38">
        <v>811</v>
      </c>
      <c r="C806" s="38" t="s">
        <v>655</v>
      </c>
      <c r="D806" s="38">
        <v>18</v>
      </c>
      <c r="E806" s="45" t="str">
        <f>CONCATENATE("PPUR-",TEXT(A806,"00"),"-",O806)</f>
        <v>PPUR-03-GK3</v>
      </c>
      <c r="F806" s="48" t="str">
        <f>CONCATENATE("Poste de Purge n°",TEXT(A806,"00")," ",O806)</f>
        <v>Poste de Purge n°03 GK3</v>
      </c>
      <c r="G806" s="19">
        <v>40909</v>
      </c>
      <c r="H806" s="19">
        <v>40909</v>
      </c>
      <c r="I806" s="41" t="s">
        <v>20</v>
      </c>
      <c r="J806" s="41">
        <v>1</v>
      </c>
      <c r="K806" s="41" t="s">
        <v>3558</v>
      </c>
      <c r="L806" s="41">
        <v>17</v>
      </c>
      <c r="M806" s="41"/>
      <c r="N806" s="41"/>
      <c r="O806" s="41" t="s">
        <v>655</v>
      </c>
      <c r="P806" s="41" t="s">
        <v>2215</v>
      </c>
      <c r="Q806" s="49">
        <f t="shared" si="95"/>
        <v>343.77</v>
      </c>
      <c r="R806" s="43">
        <f t="shared" si="96"/>
        <v>298.72500000000002</v>
      </c>
      <c r="S806" s="41" t="s">
        <v>2072</v>
      </c>
      <c r="T806" s="48" t="str">
        <f t="shared" si="97"/>
        <v>(3,'PPUR-03-GK3','Poste de Purge n°03 GK3','Sunday-01-jj','Sunday-01-jj',NULL,1,),</v>
      </c>
    </row>
    <row r="807" spans="1:20" ht="20.100000000000001" customHeight="1" x14ac:dyDescent="0.25">
      <c r="A807" s="38">
        <v>15</v>
      </c>
      <c r="B807" s="38">
        <v>812</v>
      </c>
      <c r="C807" s="38" t="s">
        <v>655</v>
      </c>
      <c r="D807" s="38">
        <v>18</v>
      </c>
      <c r="E807" s="39" t="str">
        <f>CONCATENATE("PS-",TEXT(A807,"00"),"-",O807)</f>
        <v>PS-15-GK3</v>
      </c>
      <c r="F807" s="48" t="str">
        <f>CONCATENATE("Poste de Sectionnement n°",TEXT(A807,"00")," ",O807)</f>
        <v>Poste de Sectionnement n°15 GK3</v>
      </c>
      <c r="G807" s="19">
        <v>40909</v>
      </c>
      <c r="H807" s="19">
        <v>40909</v>
      </c>
      <c r="I807" s="41" t="s">
        <v>20</v>
      </c>
      <c r="J807" s="41">
        <v>1</v>
      </c>
      <c r="K807" s="41" t="s">
        <v>3557</v>
      </c>
      <c r="L807" s="41">
        <v>16</v>
      </c>
      <c r="M807" s="41"/>
      <c r="N807" s="41"/>
      <c r="O807" s="41" t="s">
        <v>655</v>
      </c>
      <c r="P807" s="41" t="s">
        <v>2124</v>
      </c>
      <c r="Q807" s="43">
        <f t="shared" si="95"/>
        <v>384.04</v>
      </c>
      <c r="R807" s="43">
        <f t="shared" si="96"/>
        <v>303.27</v>
      </c>
      <c r="S807" s="41" t="s">
        <v>2072</v>
      </c>
      <c r="T807" s="48" t="str">
        <f t="shared" si="97"/>
        <v>(15,'PS-15-GK3','Poste de Sectionnement n°15 GK3','Sunday-01-jj','Sunday-01-jj',NULL,1,),</v>
      </c>
    </row>
    <row r="808" spans="1:20" ht="20.100000000000001" customHeight="1" x14ac:dyDescent="0.25">
      <c r="A808" s="38">
        <v>16</v>
      </c>
      <c r="B808" s="38">
        <v>813</v>
      </c>
      <c r="C808" s="38" t="s">
        <v>655</v>
      </c>
      <c r="D808" s="38">
        <v>18</v>
      </c>
      <c r="E808" s="39" t="str">
        <f>CONCATENATE("PS-",TEXT(A808,"00"),"-",O808)</f>
        <v>PS-16-GK3</v>
      </c>
      <c r="F808" s="48" t="str">
        <f>CONCATENATE("Poste de Sectionnement n°",TEXT(A808,"00")," ",O808)</f>
        <v>Poste de Sectionnement n°16 GK3</v>
      </c>
      <c r="G808" s="19">
        <v>40909</v>
      </c>
      <c r="H808" s="19">
        <v>40909</v>
      </c>
      <c r="I808" s="41" t="s">
        <v>20</v>
      </c>
      <c r="J808" s="41">
        <v>1</v>
      </c>
      <c r="K808" s="41" t="s">
        <v>3557</v>
      </c>
      <c r="L808" s="41">
        <v>16</v>
      </c>
      <c r="M808" s="41"/>
      <c r="N808" s="41"/>
      <c r="O808" s="41" t="s">
        <v>655</v>
      </c>
      <c r="P808" s="41" t="s">
        <v>2125</v>
      </c>
      <c r="Q808" s="43">
        <f t="shared" si="95"/>
        <v>433.66</v>
      </c>
      <c r="R808" s="43">
        <f t="shared" si="96"/>
        <v>325.27</v>
      </c>
      <c r="S808" s="41" t="s">
        <v>2170</v>
      </c>
      <c r="T808" s="48" t="str">
        <f t="shared" si="97"/>
        <v>(16,'PS-16-GK3','Poste de Sectionnement n°16 GK3','Sunday-01-jj','Sunday-01-jj',NULL,1,),</v>
      </c>
    </row>
    <row r="809" spans="1:20" ht="20.100000000000001" customHeight="1" x14ac:dyDescent="0.25">
      <c r="A809" s="38">
        <v>17</v>
      </c>
      <c r="B809" s="38">
        <v>814</v>
      </c>
      <c r="C809" s="38" t="s">
        <v>655</v>
      </c>
      <c r="D809" s="38">
        <v>18</v>
      </c>
      <c r="E809" s="39" t="str">
        <f>CONCATENATE("PS-",TEXT(A809,"00"),"-",O809)</f>
        <v>PS-17-GK3</v>
      </c>
      <c r="F809" s="48" t="str">
        <f>CONCATENATE("Poste de Sectionnement n°",TEXT(A809,"00")," ",O809)</f>
        <v>Poste de Sectionnement n°17 GK3</v>
      </c>
      <c r="G809" s="19">
        <v>40909</v>
      </c>
      <c r="H809" s="19">
        <v>40909</v>
      </c>
      <c r="I809" s="41" t="s">
        <v>20</v>
      </c>
      <c r="J809" s="41">
        <v>1</v>
      </c>
      <c r="K809" s="41" t="s">
        <v>3557</v>
      </c>
      <c r="L809" s="41">
        <v>16</v>
      </c>
      <c r="M809" s="41"/>
      <c r="N809" s="41"/>
      <c r="O809" s="41" t="s">
        <v>655</v>
      </c>
      <c r="P809" s="41" t="s">
        <v>2126</v>
      </c>
      <c r="Q809" s="43">
        <f t="shared" si="95"/>
        <v>502.56</v>
      </c>
      <c r="R809" s="43">
        <f t="shared" si="96"/>
        <v>342.95299999999997</v>
      </c>
      <c r="S809" s="41" t="s">
        <v>2171</v>
      </c>
      <c r="T809" s="48" t="str">
        <f t="shared" si="97"/>
        <v>(17,'PS-17-GK3','Poste de Sectionnement n°17 GK3','Sunday-01-jj','Sunday-01-jj',NULL,1,),</v>
      </c>
    </row>
    <row r="810" spans="1:20" ht="20.100000000000001" customHeight="1" x14ac:dyDescent="0.25">
      <c r="A810" s="38">
        <v>4</v>
      </c>
      <c r="B810" s="38">
        <v>815</v>
      </c>
      <c r="C810" s="38" t="s">
        <v>655</v>
      </c>
      <c r="D810" s="38">
        <v>18</v>
      </c>
      <c r="E810" s="45" t="str">
        <f>CONCATENATE("PC-",TEXT(A810,"00"),"-",O810)</f>
        <v>PC-04-GK3</v>
      </c>
      <c r="F810" s="48" t="str">
        <f>CONCATENATE("Poste de Coupure n°",TEXT(A810,"00")," ",O810)</f>
        <v>Poste de Coupure n°04 GK3</v>
      </c>
      <c r="G810" s="19">
        <v>40909</v>
      </c>
      <c r="H810" s="19">
        <v>40909</v>
      </c>
      <c r="I810" s="41" t="s">
        <v>20</v>
      </c>
      <c r="J810" s="41">
        <v>1</v>
      </c>
      <c r="K810" s="41" t="s">
        <v>3556</v>
      </c>
      <c r="L810" s="41">
        <v>15</v>
      </c>
      <c r="M810" s="41"/>
      <c r="N810" s="41"/>
      <c r="O810" s="41" t="s">
        <v>655</v>
      </c>
      <c r="P810" s="41" t="s">
        <v>2205</v>
      </c>
      <c r="Q810" s="49">
        <f t="shared" si="95"/>
        <v>599.75</v>
      </c>
      <c r="R810" s="43">
        <f t="shared" si="96"/>
        <v>354.55200000000002</v>
      </c>
      <c r="S810" s="41" t="s">
        <v>2210</v>
      </c>
      <c r="T810" s="48" t="str">
        <f t="shared" si="97"/>
        <v>(4,'PC-04-GK3','Poste de Coupure n°04 GK3','Sunday-01-jj','Sunday-01-jj',NULL,1,),</v>
      </c>
    </row>
    <row r="811" spans="1:20" ht="20.100000000000001" customHeight="1" x14ac:dyDescent="0.25">
      <c r="A811" s="38">
        <v>18</v>
      </c>
      <c r="B811" s="38">
        <v>816</v>
      </c>
      <c r="C811" s="38" t="s">
        <v>655</v>
      </c>
      <c r="D811" s="38">
        <v>18</v>
      </c>
      <c r="E811" s="39" t="str">
        <f t="shared" ref="E811:E816" si="98">CONCATENATE("PS-",TEXT(A811,"00"),"-",O811)</f>
        <v>PS-18-GK3</v>
      </c>
      <c r="F811" s="48" t="str">
        <f t="shared" ref="F811:F816" si="99">CONCATENATE("Poste de Sectionnement n°",TEXT(A811,"00")," ",O811)</f>
        <v>Poste de Sectionnement n°18 GK3</v>
      </c>
      <c r="G811" s="19">
        <v>40909</v>
      </c>
      <c r="H811" s="19">
        <v>40909</v>
      </c>
      <c r="I811" s="41" t="s">
        <v>20</v>
      </c>
      <c r="J811" s="41">
        <v>1</v>
      </c>
      <c r="K811" s="41" t="s">
        <v>3557</v>
      </c>
      <c r="L811" s="41">
        <v>16</v>
      </c>
      <c r="M811" s="41"/>
      <c r="N811" s="41"/>
      <c r="O811" s="41" t="s">
        <v>655</v>
      </c>
      <c r="P811" s="41" t="s">
        <v>2127</v>
      </c>
      <c r="Q811" s="43">
        <f t="shared" si="95"/>
        <v>644.85</v>
      </c>
      <c r="R811" s="43">
        <f t="shared" si="96"/>
        <v>362.88200000000001</v>
      </c>
      <c r="S811" s="41" t="s">
        <v>2172</v>
      </c>
      <c r="T811" s="48" t="str">
        <f t="shared" si="97"/>
        <v>(18,'PS-18-GK3','Poste de Sectionnement n°18 GK3','Sunday-01-jj','Sunday-01-jj',NULL,1,),</v>
      </c>
    </row>
    <row r="812" spans="1:20" ht="20.100000000000001" customHeight="1" x14ac:dyDescent="0.25">
      <c r="A812" s="38">
        <v>19</v>
      </c>
      <c r="B812" s="38">
        <v>817</v>
      </c>
      <c r="C812" s="38" t="s">
        <v>655</v>
      </c>
      <c r="D812" s="38">
        <v>18</v>
      </c>
      <c r="E812" s="39" t="str">
        <f t="shared" si="98"/>
        <v>PS-19-GK3</v>
      </c>
      <c r="F812" s="48" t="str">
        <f t="shared" si="99"/>
        <v>Poste de Sectionnement n°19 GK3</v>
      </c>
      <c r="G812" s="19">
        <v>40909</v>
      </c>
      <c r="H812" s="19">
        <v>40909</v>
      </c>
      <c r="I812" s="41" t="s">
        <v>20</v>
      </c>
      <c r="J812" s="41">
        <v>1</v>
      </c>
      <c r="K812" s="41" t="s">
        <v>3557</v>
      </c>
      <c r="L812" s="41">
        <v>16</v>
      </c>
      <c r="M812" s="41"/>
      <c r="N812" s="41"/>
      <c r="O812" s="41" t="s">
        <v>655</v>
      </c>
      <c r="P812" s="41" t="s">
        <v>2128</v>
      </c>
      <c r="Q812" s="43">
        <f t="shared" si="95"/>
        <v>704.92</v>
      </c>
      <c r="R812" s="43">
        <f t="shared" si="96"/>
        <v>374.37599999999998</v>
      </c>
      <c r="S812" s="41" t="s">
        <v>2173</v>
      </c>
      <c r="T812" s="48" t="str">
        <f t="shared" si="97"/>
        <v>(19,'PS-19-GK3','Poste de Sectionnement n°19 GK3','Sunday-01-jj','Sunday-01-jj',NULL,1,),</v>
      </c>
    </row>
    <row r="813" spans="1:20" ht="20.100000000000001" customHeight="1" x14ac:dyDescent="0.25">
      <c r="A813" s="38">
        <v>20</v>
      </c>
      <c r="B813" s="38">
        <v>818</v>
      </c>
      <c r="C813" s="38" t="s">
        <v>655</v>
      </c>
      <c r="D813" s="38">
        <v>18</v>
      </c>
      <c r="E813" s="39" t="str">
        <f t="shared" si="98"/>
        <v>PS-20-GK3</v>
      </c>
      <c r="F813" s="48" t="str">
        <f t="shared" si="99"/>
        <v>Poste de Sectionnement n°20 GK3</v>
      </c>
      <c r="G813" s="19">
        <v>40909</v>
      </c>
      <c r="H813" s="19">
        <v>40909</v>
      </c>
      <c r="I813" s="41" t="s">
        <v>20</v>
      </c>
      <c r="J813" s="41">
        <v>1</v>
      </c>
      <c r="K813" s="41" t="s">
        <v>3557</v>
      </c>
      <c r="L813" s="41">
        <v>16</v>
      </c>
      <c r="M813" s="41"/>
      <c r="N813" s="41"/>
      <c r="O813" s="41" t="s">
        <v>655</v>
      </c>
      <c r="P813" s="41" t="s">
        <v>2129</v>
      </c>
      <c r="Q813" s="43">
        <f t="shared" si="95"/>
        <v>768.92</v>
      </c>
      <c r="R813" s="43">
        <f t="shared" si="96"/>
        <v>382.35399999999998</v>
      </c>
      <c r="S813" s="41" t="s">
        <v>2174</v>
      </c>
      <c r="T813" s="48" t="str">
        <f t="shared" si="97"/>
        <v>(20,'PS-20-GK3','Poste de Sectionnement n°20 GK3','Sunday-01-jj','Sunday-01-jj',NULL,1,),</v>
      </c>
    </row>
    <row r="814" spans="1:20" ht="20.100000000000001" customHeight="1" x14ac:dyDescent="0.25">
      <c r="A814" s="38">
        <v>21</v>
      </c>
      <c r="B814" s="38">
        <v>819</v>
      </c>
      <c r="C814" s="38" t="s">
        <v>655</v>
      </c>
      <c r="D814" s="38">
        <v>18</v>
      </c>
      <c r="E814" s="39" t="str">
        <f t="shared" si="98"/>
        <v>PS-21-GK3</v>
      </c>
      <c r="F814" s="48" t="str">
        <f t="shared" si="99"/>
        <v>Poste de Sectionnement n°21 GK3</v>
      </c>
      <c r="G814" s="19">
        <v>40909</v>
      </c>
      <c r="H814" s="19">
        <v>40909</v>
      </c>
      <c r="I814" s="41" t="s">
        <v>20</v>
      </c>
      <c r="J814" s="41">
        <v>1</v>
      </c>
      <c r="K814" s="41" t="s">
        <v>3557</v>
      </c>
      <c r="L814" s="41">
        <v>16</v>
      </c>
      <c r="M814" s="41"/>
      <c r="N814" s="41"/>
      <c r="O814" s="41" t="s">
        <v>655</v>
      </c>
      <c r="P814" s="41" t="s">
        <v>2130</v>
      </c>
      <c r="Q814" s="43">
        <f t="shared" si="95"/>
        <v>882.5</v>
      </c>
      <c r="R814" s="43">
        <f t="shared" si="96"/>
        <v>393.33300000000003</v>
      </c>
      <c r="S814" s="41" t="s">
        <v>2174</v>
      </c>
      <c r="T814" s="48" t="str">
        <f t="shared" si="97"/>
        <v>(21,'PS-21-GK3','Poste de Sectionnement n°21 GK3','Sunday-01-jj','Sunday-01-jj',NULL,1,),</v>
      </c>
    </row>
    <row r="815" spans="1:20" ht="20.100000000000001" customHeight="1" x14ac:dyDescent="0.25">
      <c r="A815" s="38">
        <v>22</v>
      </c>
      <c r="B815" s="38">
        <v>820</v>
      </c>
      <c r="C815" s="38" t="s">
        <v>655</v>
      </c>
      <c r="D815" s="38">
        <v>18</v>
      </c>
      <c r="E815" s="39" t="str">
        <f t="shared" si="98"/>
        <v>PS-22-GK3</v>
      </c>
      <c r="F815" s="48" t="str">
        <f t="shared" si="99"/>
        <v>Poste de Sectionnement n°22 GK3</v>
      </c>
      <c r="G815" s="19">
        <v>40909</v>
      </c>
      <c r="H815" s="19">
        <v>40909</v>
      </c>
      <c r="I815" s="41" t="s">
        <v>20</v>
      </c>
      <c r="J815" s="41">
        <v>1</v>
      </c>
      <c r="K815" s="41" t="s">
        <v>3557</v>
      </c>
      <c r="L815" s="41">
        <v>16</v>
      </c>
      <c r="M815" s="41"/>
      <c r="N815" s="41"/>
      <c r="O815" s="41" t="s">
        <v>655</v>
      </c>
      <c r="P815" s="41" t="s">
        <v>2131</v>
      </c>
      <c r="Q815" s="43">
        <f t="shared" si="95"/>
        <v>938.05</v>
      </c>
      <c r="R815" s="43">
        <f t="shared" si="96"/>
        <v>401.94200000000001</v>
      </c>
      <c r="S815" s="41" t="s">
        <v>2175</v>
      </c>
      <c r="T815" s="48" t="str">
        <f t="shared" si="97"/>
        <v>(22,'PS-22-GK3','Poste de Sectionnement n°22 GK3','Sunday-01-jj','Sunday-01-jj',NULL,1,),</v>
      </c>
    </row>
    <row r="816" spans="1:20" ht="20.100000000000001" customHeight="1" x14ac:dyDescent="0.25">
      <c r="A816" s="38">
        <v>23</v>
      </c>
      <c r="B816" s="38">
        <v>821</v>
      </c>
      <c r="C816" s="38" t="s">
        <v>655</v>
      </c>
      <c r="D816" s="38">
        <v>18</v>
      </c>
      <c r="E816" s="39" t="str">
        <f t="shared" si="98"/>
        <v>PS-23-GK3</v>
      </c>
      <c r="F816" s="48" t="str">
        <f t="shared" si="99"/>
        <v>Poste de Sectionnement n°23 GK3</v>
      </c>
      <c r="G816" s="19">
        <v>40909</v>
      </c>
      <c r="H816" s="19">
        <v>40909</v>
      </c>
      <c r="I816" s="41" t="s">
        <v>20</v>
      </c>
      <c r="J816" s="41">
        <v>1</v>
      </c>
      <c r="K816" s="41" t="s">
        <v>3557</v>
      </c>
      <c r="L816" s="41">
        <v>16</v>
      </c>
      <c r="M816" s="41"/>
      <c r="N816" s="41"/>
      <c r="O816" s="41" t="s">
        <v>655</v>
      </c>
      <c r="P816" s="41" t="s">
        <v>2132</v>
      </c>
      <c r="Q816" s="43">
        <f t="shared" si="95"/>
        <v>892.53</v>
      </c>
      <c r="R816" s="43">
        <f t="shared" si="96"/>
        <v>411.93599999999998</v>
      </c>
      <c r="S816" s="41" t="s">
        <v>2176</v>
      </c>
      <c r="T816" s="48" t="str">
        <f t="shared" si="97"/>
        <v>(23,'PS-23-GK3','Poste de Sectionnement n°23 GK3','Sunday-01-jj','Sunday-01-jj',NULL,1,),</v>
      </c>
    </row>
    <row r="817" spans="1:20" ht="20.100000000000001" customHeight="1" x14ac:dyDescent="0.25">
      <c r="A817" s="38">
        <v>4</v>
      </c>
      <c r="B817" s="38">
        <v>822</v>
      </c>
      <c r="C817" s="38" t="s">
        <v>655</v>
      </c>
      <c r="D817" s="38">
        <v>18</v>
      </c>
      <c r="E817" s="45" t="str">
        <f>CONCATENATE("PPUR-",TEXT(A817,"00"),"-",O817)</f>
        <v>PPUR-04-GK3</v>
      </c>
      <c r="F817" s="48" t="str">
        <f>CONCATENATE("Poste de Purge n°",TEXT(A817,"00")," ",O817)</f>
        <v>Poste de Purge n°04 GK3</v>
      </c>
      <c r="G817" s="19">
        <v>40909</v>
      </c>
      <c r="H817" s="19">
        <v>40909</v>
      </c>
      <c r="I817" s="41" t="s">
        <v>20</v>
      </c>
      <c r="J817" s="41">
        <v>1</v>
      </c>
      <c r="K817" s="41" t="s">
        <v>3558</v>
      </c>
      <c r="L817" s="41">
        <v>17</v>
      </c>
      <c r="M817" s="41"/>
      <c r="N817" s="41"/>
      <c r="O817" s="41" t="s">
        <v>655</v>
      </c>
      <c r="P817" s="41" t="s">
        <v>2216</v>
      </c>
      <c r="Q817" s="49">
        <f t="shared" si="95"/>
        <v>888.6</v>
      </c>
      <c r="R817" s="43">
        <f t="shared" si="96"/>
        <v>421.1</v>
      </c>
      <c r="S817" s="41" t="s">
        <v>2177</v>
      </c>
      <c r="T817" s="48" t="str">
        <f t="shared" si="97"/>
        <v>(4,'PPUR-04-GK3','Poste de Purge n°04 GK3','Sunday-01-jj','Sunday-01-jj',NULL,1,),</v>
      </c>
    </row>
    <row r="818" spans="1:20" ht="20.100000000000001" customHeight="1" x14ac:dyDescent="0.25">
      <c r="A818" s="38">
        <v>24</v>
      </c>
      <c r="B818" s="38">
        <v>823</v>
      </c>
      <c r="C818" s="38" t="s">
        <v>655</v>
      </c>
      <c r="D818" s="38">
        <v>18</v>
      </c>
      <c r="E818" s="39" t="str">
        <f>CONCATENATE("PS-",TEXT(A818,"00"),"-",O818)</f>
        <v>PS-24-GK3</v>
      </c>
      <c r="F818" s="48" t="str">
        <f>CONCATENATE("Poste de Sectionnement n°",TEXT(A818,"00")," ",O818)</f>
        <v>Poste de Sectionnement n°24 GK3</v>
      </c>
      <c r="G818" s="19">
        <v>40909</v>
      </c>
      <c r="H818" s="19">
        <v>40909</v>
      </c>
      <c r="I818" s="41" t="s">
        <v>20</v>
      </c>
      <c r="J818" s="41">
        <v>1</v>
      </c>
      <c r="K818" s="41" t="s">
        <v>3557</v>
      </c>
      <c r="L818" s="41">
        <v>16</v>
      </c>
      <c r="M818" s="41"/>
      <c r="N818" s="41"/>
      <c r="O818" s="41" t="s">
        <v>655</v>
      </c>
      <c r="P818" s="41" t="s">
        <v>2133</v>
      </c>
      <c r="Q818" s="43">
        <f t="shared" si="95"/>
        <v>875.71</v>
      </c>
      <c r="R818" s="43">
        <f t="shared" si="96"/>
        <v>425.48899999999998</v>
      </c>
      <c r="S818" s="41" t="s">
        <v>2177</v>
      </c>
      <c r="T818" s="48" t="str">
        <f t="shared" si="97"/>
        <v>(24,'PS-24-GK3','Poste de Sectionnement n°24 GK3','Sunday-01-jj','Sunday-01-jj',NULL,1,),</v>
      </c>
    </row>
    <row r="819" spans="1:20" ht="20.100000000000001" customHeight="1" x14ac:dyDescent="0.25">
      <c r="A819" s="38">
        <v>5</v>
      </c>
      <c r="B819" s="38">
        <v>824</v>
      </c>
      <c r="C819" s="38" t="s">
        <v>655</v>
      </c>
      <c r="D819" s="38">
        <v>18</v>
      </c>
      <c r="E819" s="45" t="str">
        <f>CONCATENATE("PC-",TEXT(A819,"00"),"-",O819)</f>
        <v>PC-05-GK3</v>
      </c>
      <c r="F819" s="48" t="str">
        <f>CONCATENATE("Poste de Coupure n°",TEXT(A819,"00")," ",O819)</f>
        <v>Poste de Coupure n°05 GK3</v>
      </c>
      <c r="G819" s="19">
        <v>40909</v>
      </c>
      <c r="H819" s="19">
        <v>40909</v>
      </c>
      <c r="I819" s="41" t="s">
        <v>20</v>
      </c>
      <c r="J819" s="41">
        <v>1</v>
      </c>
      <c r="K819" s="41" t="s">
        <v>3556</v>
      </c>
      <c r="L819" s="41">
        <v>15</v>
      </c>
      <c r="M819" s="41"/>
      <c r="N819" s="41"/>
      <c r="O819" s="41" t="s">
        <v>655</v>
      </c>
      <c r="P819" s="41" t="s">
        <v>2206</v>
      </c>
      <c r="Q819" s="49">
        <f t="shared" si="95"/>
        <v>934.86</v>
      </c>
      <c r="R819" s="43">
        <f t="shared" si="96"/>
        <v>431.71899999999999</v>
      </c>
      <c r="S819" s="41" t="s">
        <v>2211</v>
      </c>
      <c r="T819" s="48" t="str">
        <f t="shared" si="97"/>
        <v>(5,'PC-05-GK3','Poste de Coupure n°05 GK3','Sunday-01-jj','Sunday-01-jj',NULL,1,),</v>
      </c>
    </row>
    <row r="820" spans="1:20" ht="20.100000000000001" customHeight="1" x14ac:dyDescent="0.25">
      <c r="A820" s="38">
        <v>25</v>
      </c>
      <c r="B820" s="38">
        <v>825</v>
      </c>
      <c r="C820" s="38" t="s">
        <v>655</v>
      </c>
      <c r="D820" s="38">
        <v>18</v>
      </c>
      <c r="E820" s="39" t="str">
        <f t="shared" ref="E820:E826" si="100">CONCATENATE("PS-",TEXT(A820,"00"),"-",O820)</f>
        <v>PS-25-GK3 Bis</v>
      </c>
      <c r="F820" s="48" t="str">
        <f t="shared" ref="F820:F826" si="101">CONCATENATE("Poste de Sectionnement n°",TEXT(A820,"00")," ",O820)</f>
        <v>Poste de Sectionnement n°25 GK3 Bis</v>
      </c>
      <c r="G820" s="19">
        <v>40909</v>
      </c>
      <c r="H820" s="19">
        <v>40909</v>
      </c>
      <c r="I820" s="41" t="s">
        <v>20</v>
      </c>
      <c r="J820" s="41">
        <v>1</v>
      </c>
      <c r="K820" s="41" t="s">
        <v>3557</v>
      </c>
      <c r="L820" s="41">
        <v>16</v>
      </c>
      <c r="M820" s="41"/>
      <c r="N820" s="41"/>
      <c r="O820" s="41" t="s">
        <v>1002</v>
      </c>
      <c r="P820" s="41" t="s">
        <v>2134</v>
      </c>
      <c r="Q820" s="43">
        <f t="shared" si="95"/>
        <v>992.54</v>
      </c>
      <c r="R820" s="43">
        <f t="shared" si="96"/>
        <v>10.590999999999999</v>
      </c>
      <c r="S820" s="41" t="s">
        <v>2178</v>
      </c>
      <c r="T820" s="48" t="str">
        <f t="shared" si="97"/>
        <v>(25,'PS-25-GK3 Bis','Poste de Sectionnement n°25 GK3 Bis','Sunday-01-jj','Sunday-01-jj',NULL,1,),</v>
      </c>
    </row>
    <row r="821" spans="1:20" ht="20.100000000000001" customHeight="1" x14ac:dyDescent="0.25">
      <c r="A821" s="38">
        <v>26</v>
      </c>
      <c r="B821" s="38">
        <v>826</v>
      </c>
      <c r="C821" s="38" t="s">
        <v>655</v>
      </c>
      <c r="D821" s="38">
        <v>18</v>
      </c>
      <c r="E821" s="39" t="str">
        <f t="shared" si="100"/>
        <v>PS-26-GK3 Bis</v>
      </c>
      <c r="F821" s="48" t="str">
        <f t="shared" si="101"/>
        <v>Poste de Sectionnement n°26 GK3 Bis</v>
      </c>
      <c r="G821" s="19">
        <v>40909</v>
      </c>
      <c r="H821" s="19">
        <v>40909</v>
      </c>
      <c r="I821" s="41" t="s">
        <v>20</v>
      </c>
      <c r="J821" s="41">
        <v>1</v>
      </c>
      <c r="K821" s="41" t="s">
        <v>3557</v>
      </c>
      <c r="L821" s="41">
        <v>16</v>
      </c>
      <c r="M821" s="41"/>
      <c r="N821" s="41"/>
      <c r="O821" s="41" t="s">
        <v>1002</v>
      </c>
      <c r="P821" s="41" t="s">
        <v>2135</v>
      </c>
      <c r="Q821" s="43">
        <f t="shared" si="95"/>
        <v>875.25</v>
      </c>
      <c r="R821" s="43">
        <f t="shared" si="96"/>
        <v>20.408999999999999</v>
      </c>
      <c r="S821" s="41" t="s">
        <v>2179</v>
      </c>
      <c r="T821" s="48" t="str">
        <f t="shared" si="97"/>
        <v>(26,'PS-26-GK3 Bis','Poste de Sectionnement n°26 GK3 Bis','Sunday-01-jj','Sunday-01-jj',NULL,1,),</v>
      </c>
    </row>
    <row r="822" spans="1:20" ht="20.100000000000001" customHeight="1" x14ac:dyDescent="0.25">
      <c r="A822" s="38">
        <v>27</v>
      </c>
      <c r="B822" s="38">
        <v>827</v>
      </c>
      <c r="C822" s="38" t="s">
        <v>655</v>
      </c>
      <c r="D822" s="38">
        <v>18</v>
      </c>
      <c r="E822" s="39" t="str">
        <f t="shared" si="100"/>
        <v>PS-27-GK3 Bis</v>
      </c>
      <c r="F822" s="48" t="str">
        <f t="shared" si="101"/>
        <v>Poste de Sectionnement n°27 GK3 Bis</v>
      </c>
      <c r="G822" s="19">
        <v>40909</v>
      </c>
      <c r="H822" s="19">
        <v>40909</v>
      </c>
      <c r="I822" s="41" t="s">
        <v>20</v>
      </c>
      <c r="J822" s="41">
        <v>1</v>
      </c>
      <c r="K822" s="41" t="s">
        <v>3557</v>
      </c>
      <c r="L822" s="41">
        <v>16</v>
      </c>
      <c r="M822" s="41"/>
      <c r="N822" s="41"/>
      <c r="O822" s="41" t="s">
        <v>1002</v>
      </c>
      <c r="P822" s="41" t="s">
        <v>2136</v>
      </c>
      <c r="Q822" s="43">
        <f t="shared" ref="Q822:Q885" si="102">VALUE(RIGHT(P822,LEN(P822)-SEARCH("/",P822)))</f>
        <v>851.93</v>
      </c>
      <c r="R822" s="43">
        <f t="shared" ref="R822:R885" si="103">VALUE(SUBSTITUTE(LEFT(P822,SEARCH("/",P822)-1),"+",","))</f>
        <v>30.302</v>
      </c>
      <c r="S822" s="41" t="s">
        <v>2180</v>
      </c>
      <c r="T822" s="48" t="str">
        <f t="shared" si="97"/>
        <v>(27,'PS-27-GK3 Bis','Poste de Sectionnement n°27 GK3 Bis','Sunday-01-jj','Sunday-01-jj',NULL,1,),</v>
      </c>
    </row>
    <row r="823" spans="1:20" ht="20.100000000000001" customHeight="1" x14ac:dyDescent="0.25">
      <c r="A823" s="38">
        <v>28</v>
      </c>
      <c r="B823" s="38">
        <v>828</v>
      </c>
      <c r="C823" s="38" t="s">
        <v>655</v>
      </c>
      <c r="D823" s="38">
        <v>18</v>
      </c>
      <c r="E823" s="39" t="str">
        <f t="shared" si="100"/>
        <v>PS-28-GK3 Bis</v>
      </c>
      <c r="F823" s="48" t="str">
        <f t="shared" si="101"/>
        <v>Poste de Sectionnement n°28 GK3 Bis</v>
      </c>
      <c r="G823" s="19">
        <v>40909</v>
      </c>
      <c r="H823" s="19">
        <v>40909</v>
      </c>
      <c r="I823" s="41" t="s">
        <v>20</v>
      </c>
      <c r="J823" s="41">
        <v>1</v>
      </c>
      <c r="K823" s="41" t="s">
        <v>3557</v>
      </c>
      <c r="L823" s="41">
        <v>16</v>
      </c>
      <c r="M823" s="41"/>
      <c r="N823" s="41"/>
      <c r="O823" s="41" t="s">
        <v>1002</v>
      </c>
      <c r="P823" s="41" t="s">
        <v>2137</v>
      </c>
      <c r="Q823" s="43">
        <f t="shared" si="102"/>
        <v>832.07</v>
      </c>
      <c r="R823" s="43">
        <f t="shared" si="103"/>
        <v>40.99</v>
      </c>
      <c r="S823" s="41" t="s">
        <v>2181</v>
      </c>
      <c r="T823" s="48" t="str">
        <f t="shared" si="97"/>
        <v>(28,'PS-28-GK3 Bis','Poste de Sectionnement n°28 GK3 Bis','Sunday-01-jj','Sunday-01-jj',NULL,1,),</v>
      </c>
    </row>
    <row r="824" spans="1:20" ht="20.100000000000001" customHeight="1" x14ac:dyDescent="0.25">
      <c r="A824" s="38">
        <v>29</v>
      </c>
      <c r="B824" s="38">
        <v>829</v>
      </c>
      <c r="C824" s="38" t="s">
        <v>655</v>
      </c>
      <c r="D824" s="38">
        <v>18</v>
      </c>
      <c r="E824" s="39" t="str">
        <f t="shared" si="100"/>
        <v>PS-29-GK3 Bis</v>
      </c>
      <c r="F824" s="48" t="str">
        <f t="shared" si="101"/>
        <v>Poste de Sectionnement n°29 GK3 Bis</v>
      </c>
      <c r="G824" s="19">
        <v>40909</v>
      </c>
      <c r="H824" s="19">
        <v>40909</v>
      </c>
      <c r="I824" s="41" t="s">
        <v>20</v>
      </c>
      <c r="J824" s="41">
        <v>1</v>
      </c>
      <c r="K824" s="41" t="s">
        <v>3557</v>
      </c>
      <c r="L824" s="41">
        <v>16</v>
      </c>
      <c r="M824" s="41"/>
      <c r="N824" s="41"/>
      <c r="O824" s="41" t="s">
        <v>1002</v>
      </c>
      <c r="P824" s="41" t="s">
        <v>2138</v>
      </c>
      <c r="Q824" s="43">
        <f t="shared" si="102"/>
        <v>900.97</v>
      </c>
      <c r="R824" s="43">
        <f t="shared" si="103"/>
        <v>50.301000000000002</v>
      </c>
      <c r="S824" s="41" t="s">
        <v>2182</v>
      </c>
      <c r="T824" s="48" t="str">
        <f t="shared" si="97"/>
        <v>(29,'PS-29-GK3 Bis','Poste de Sectionnement n°29 GK3 Bis','Sunday-01-jj','Sunday-01-jj',NULL,1,),</v>
      </c>
    </row>
    <row r="825" spans="1:20" ht="20.100000000000001" customHeight="1" x14ac:dyDescent="0.25">
      <c r="A825" s="38">
        <v>30</v>
      </c>
      <c r="B825" s="38">
        <v>830</v>
      </c>
      <c r="C825" s="38" t="s">
        <v>655</v>
      </c>
      <c r="D825" s="38">
        <v>18</v>
      </c>
      <c r="E825" s="39" t="str">
        <f t="shared" si="100"/>
        <v>PS-30-GK3 Bis</v>
      </c>
      <c r="F825" s="48" t="str">
        <f t="shared" si="101"/>
        <v>Poste de Sectionnement n°30 GK3 Bis</v>
      </c>
      <c r="G825" s="19">
        <v>40909</v>
      </c>
      <c r="H825" s="19">
        <v>40909</v>
      </c>
      <c r="I825" s="41" t="s">
        <v>20</v>
      </c>
      <c r="J825" s="41">
        <v>1</v>
      </c>
      <c r="K825" s="41" t="s">
        <v>3557</v>
      </c>
      <c r="L825" s="41">
        <v>16</v>
      </c>
      <c r="M825" s="41"/>
      <c r="N825" s="41"/>
      <c r="O825" s="41" t="s">
        <v>1002</v>
      </c>
      <c r="P825" s="41" t="s">
        <v>2139</v>
      </c>
      <c r="Q825" s="43">
        <f t="shared" si="102"/>
        <v>903.18</v>
      </c>
      <c r="R825" s="43">
        <f t="shared" si="103"/>
        <v>59.216000000000001</v>
      </c>
      <c r="S825" s="41" t="s">
        <v>2183</v>
      </c>
      <c r="T825" s="48" t="str">
        <f t="shared" si="97"/>
        <v>(30,'PS-30-GK3 Bis','Poste de Sectionnement n°30 GK3 Bis','Sunday-01-jj','Sunday-01-jj',NULL,1,),</v>
      </c>
    </row>
    <row r="826" spans="1:20" ht="20.100000000000001" customHeight="1" x14ac:dyDescent="0.25">
      <c r="A826" s="38">
        <v>31</v>
      </c>
      <c r="B826" s="38">
        <v>831</v>
      </c>
      <c r="C826" s="38" t="s">
        <v>655</v>
      </c>
      <c r="D826" s="38">
        <v>18</v>
      </c>
      <c r="E826" s="39" t="str">
        <f t="shared" si="100"/>
        <v>PS-31-GK3 Bis</v>
      </c>
      <c r="F826" s="48" t="str">
        <f t="shared" si="101"/>
        <v>Poste de Sectionnement n°31 GK3 Bis</v>
      </c>
      <c r="G826" s="19">
        <v>40909</v>
      </c>
      <c r="H826" s="19">
        <v>40909</v>
      </c>
      <c r="I826" s="41" t="s">
        <v>20</v>
      </c>
      <c r="J826" s="41">
        <v>1</v>
      </c>
      <c r="K826" s="41" t="s">
        <v>3557</v>
      </c>
      <c r="L826" s="41">
        <v>16</v>
      </c>
      <c r="M826" s="41"/>
      <c r="N826" s="41"/>
      <c r="O826" s="41" t="s">
        <v>1002</v>
      </c>
      <c r="P826" s="41" t="s">
        <v>2140</v>
      </c>
      <c r="Q826" s="43">
        <f t="shared" si="102"/>
        <v>731.37</v>
      </c>
      <c r="R826" s="43">
        <f t="shared" si="103"/>
        <v>71.391999999999996</v>
      </c>
      <c r="S826" s="41" t="s">
        <v>2183</v>
      </c>
      <c r="T826" s="48" t="str">
        <f t="shared" si="97"/>
        <v>(31,'PS-31-GK3 Bis','Poste de Sectionnement n°31 GK3 Bis','Sunday-01-jj','Sunday-01-jj',NULL,1,),</v>
      </c>
    </row>
    <row r="827" spans="1:20" ht="20.100000000000001" customHeight="1" x14ac:dyDescent="0.25">
      <c r="A827" s="38">
        <v>1</v>
      </c>
      <c r="B827" s="38">
        <v>832</v>
      </c>
      <c r="C827" s="38" t="s">
        <v>655</v>
      </c>
      <c r="D827" s="38">
        <v>18</v>
      </c>
      <c r="E827" s="45" t="str">
        <f>CONCATENATE("PPUR-",TEXT(A827,"00"),"-",O827)</f>
        <v>PPUR-01-GK3 Bis</v>
      </c>
      <c r="F827" s="48" t="str">
        <f>CONCATENATE("Poste de Purge n°",TEXT(A827,"00")," ",O827)</f>
        <v>Poste de Purge n°01 GK3 Bis</v>
      </c>
      <c r="G827" s="19">
        <v>40909</v>
      </c>
      <c r="H827" s="19">
        <v>40909</v>
      </c>
      <c r="I827" s="41" t="s">
        <v>20</v>
      </c>
      <c r="J827" s="41">
        <v>1</v>
      </c>
      <c r="K827" s="41" t="s">
        <v>3558</v>
      </c>
      <c r="L827" s="41">
        <v>17</v>
      </c>
      <c r="M827" s="41"/>
      <c r="N827" s="41"/>
      <c r="O827" s="41" t="s">
        <v>1002</v>
      </c>
      <c r="P827" s="41" t="s">
        <v>2217</v>
      </c>
      <c r="Q827" s="49">
        <f t="shared" si="102"/>
        <v>731.37</v>
      </c>
      <c r="R827" s="43">
        <f t="shared" si="103"/>
        <v>71.432000000000002</v>
      </c>
      <c r="S827" s="41" t="s">
        <v>2183</v>
      </c>
      <c r="T827" s="48" t="str">
        <f t="shared" si="97"/>
        <v>(1,'PPUR-01-GK3 Bis','Poste de Purge n°01 GK3 Bis','Sunday-01-jj','Sunday-01-jj',NULL,1,),</v>
      </c>
    </row>
    <row r="828" spans="1:20" ht="20.100000000000001" customHeight="1" x14ac:dyDescent="0.25">
      <c r="A828" s="38">
        <v>32</v>
      </c>
      <c r="B828" s="38">
        <v>833</v>
      </c>
      <c r="C828" s="38" t="s">
        <v>655</v>
      </c>
      <c r="D828" s="38">
        <v>18</v>
      </c>
      <c r="E828" s="39" t="str">
        <f>CONCATENATE("PS-",TEXT(A828,"00"),"-",O828)</f>
        <v>PS-32-GK3 Bis</v>
      </c>
      <c r="F828" s="48" t="str">
        <f>CONCATENATE("Poste de Sectionnement n°",TEXT(A828,"00")," ",O828)</f>
        <v>Poste de Sectionnement n°32 GK3 Bis</v>
      </c>
      <c r="G828" s="19">
        <v>40909</v>
      </c>
      <c r="H828" s="19">
        <v>40909</v>
      </c>
      <c r="I828" s="41" t="s">
        <v>20</v>
      </c>
      <c r="J828" s="41">
        <v>1</v>
      </c>
      <c r="K828" s="41" t="s">
        <v>3557</v>
      </c>
      <c r="L828" s="41">
        <v>16</v>
      </c>
      <c r="M828" s="41"/>
      <c r="N828" s="41"/>
      <c r="O828" s="41" t="s">
        <v>1002</v>
      </c>
      <c r="P828" s="41" t="s">
        <v>2141</v>
      </c>
      <c r="Q828" s="43">
        <f t="shared" si="102"/>
        <v>896.12</v>
      </c>
      <c r="R828" s="43">
        <f t="shared" si="103"/>
        <v>81.590999999999994</v>
      </c>
      <c r="S828" s="41" t="s">
        <v>2184</v>
      </c>
      <c r="T828" s="48" t="str">
        <f t="shared" si="97"/>
        <v>(32,'PS-32-GK3 Bis','Poste de Sectionnement n°32 GK3 Bis','Sunday-01-jj','Sunday-01-jj',NULL,1,),</v>
      </c>
    </row>
    <row r="829" spans="1:20" ht="20.100000000000001" customHeight="1" x14ac:dyDescent="0.25">
      <c r="A829" s="38">
        <v>33</v>
      </c>
      <c r="B829" s="38">
        <v>834</v>
      </c>
      <c r="C829" s="38" t="s">
        <v>655</v>
      </c>
      <c r="D829" s="38">
        <v>18</v>
      </c>
      <c r="E829" s="39" t="str">
        <f>CONCATENATE("PS-",TEXT(A829,"00"),"-",O829)</f>
        <v>PS-33-GK3 Bis</v>
      </c>
      <c r="F829" s="48" t="str">
        <f>CONCATENATE("Poste de Sectionnement n°",TEXT(A829,"00")," ",O829)</f>
        <v>Poste de Sectionnement n°33 GK3 Bis</v>
      </c>
      <c r="G829" s="19">
        <v>40909</v>
      </c>
      <c r="H829" s="19">
        <v>40909</v>
      </c>
      <c r="I829" s="41" t="s">
        <v>20</v>
      </c>
      <c r="J829" s="41">
        <v>1</v>
      </c>
      <c r="K829" s="41" t="s">
        <v>3557</v>
      </c>
      <c r="L829" s="41">
        <v>16</v>
      </c>
      <c r="M829" s="41"/>
      <c r="N829" s="41"/>
      <c r="O829" s="41" t="s">
        <v>1002</v>
      </c>
      <c r="P829" s="41" t="s">
        <v>2142</v>
      </c>
      <c r="Q829" s="43">
        <f t="shared" si="102"/>
        <v>964.08</v>
      </c>
      <c r="R829" s="43">
        <f t="shared" si="103"/>
        <v>91.983000000000004</v>
      </c>
      <c r="S829" s="41" t="s">
        <v>2185</v>
      </c>
      <c r="T829" s="48" t="str">
        <f t="shared" si="97"/>
        <v>(33,'PS-33-GK3 Bis','Poste de Sectionnement n°33 GK3 Bis','Sunday-01-jj','Sunday-01-jj',NULL,1,),</v>
      </c>
    </row>
    <row r="830" spans="1:20" ht="20.100000000000001" customHeight="1" x14ac:dyDescent="0.25">
      <c r="A830" s="38">
        <v>34</v>
      </c>
      <c r="B830" s="38">
        <v>835</v>
      </c>
      <c r="C830" s="38" t="s">
        <v>655</v>
      </c>
      <c r="D830" s="38">
        <v>18</v>
      </c>
      <c r="E830" s="39" t="str">
        <f>CONCATENATE("PS-",TEXT(A830,"00"),"-",O830)</f>
        <v>PS-34-GK3 Bis</v>
      </c>
      <c r="F830" s="48" t="str">
        <f>CONCATENATE("Poste de Sectionnement n°",TEXT(A830,"00")," ",O830)</f>
        <v>Poste de Sectionnement n°34 GK3 Bis</v>
      </c>
      <c r="G830" s="19">
        <v>40909</v>
      </c>
      <c r="H830" s="19">
        <v>40909</v>
      </c>
      <c r="I830" s="41" t="s">
        <v>20</v>
      </c>
      <c r="J830" s="41">
        <v>1</v>
      </c>
      <c r="K830" s="41" t="s">
        <v>3557</v>
      </c>
      <c r="L830" s="41">
        <v>16</v>
      </c>
      <c r="M830" s="41"/>
      <c r="N830" s="41"/>
      <c r="O830" s="41" t="s">
        <v>1002</v>
      </c>
      <c r="P830" s="41" t="s">
        <v>2143</v>
      </c>
      <c r="Q830" s="43">
        <f t="shared" si="102"/>
        <v>832.9</v>
      </c>
      <c r="R830" s="43">
        <f t="shared" si="103"/>
        <v>112.404</v>
      </c>
      <c r="S830" s="41" t="s">
        <v>2186</v>
      </c>
      <c r="T830" s="48" t="str">
        <f t="shared" si="97"/>
        <v>(34,'PS-34-GK3 Bis','Poste de Sectionnement n°34 GK3 Bis','Sunday-01-jj','Sunday-01-jj',NULL,1,),</v>
      </c>
    </row>
    <row r="831" spans="1:20" ht="20.100000000000001" customHeight="1" x14ac:dyDescent="0.25">
      <c r="A831" s="38">
        <v>35</v>
      </c>
      <c r="B831" s="38">
        <v>836</v>
      </c>
      <c r="C831" s="38" t="s">
        <v>655</v>
      </c>
      <c r="D831" s="38">
        <v>18</v>
      </c>
      <c r="E831" s="39" t="str">
        <f>CONCATENATE("PS-",TEXT(A831,"00"),"-",O831)</f>
        <v>PS-35-GK3 Bis</v>
      </c>
      <c r="F831" s="48" t="str">
        <f>CONCATENATE("Poste de Sectionnement n°",TEXT(A831,"00")," ",O831)</f>
        <v>Poste de Sectionnement n°35 GK3 Bis</v>
      </c>
      <c r="G831" s="19">
        <v>40909</v>
      </c>
      <c r="H831" s="19">
        <v>40909</v>
      </c>
      <c r="I831" s="41" t="s">
        <v>20</v>
      </c>
      <c r="J831" s="41">
        <v>1</v>
      </c>
      <c r="K831" s="41" t="s">
        <v>3557</v>
      </c>
      <c r="L831" s="41">
        <v>16</v>
      </c>
      <c r="M831" s="41"/>
      <c r="N831" s="41"/>
      <c r="O831" s="41" t="s">
        <v>1002</v>
      </c>
      <c r="P831" s="41" t="s">
        <v>2144</v>
      </c>
      <c r="Q831" s="43">
        <f t="shared" si="102"/>
        <v>793.85</v>
      </c>
      <c r="R831" s="43">
        <f t="shared" si="103"/>
        <v>123.092</v>
      </c>
      <c r="S831" s="41" t="s">
        <v>2187</v>
      </c>
      <c r="T831" s="48" t="str">
        <f t="shared" si="97"/>
        <v>(35,'PS-35-GK3 Bis','Poste de Sectionnement n°35 GK3 Bis','Sunday-01-jj','Sunday-01-jj',NULL,1,),</v>
      </c>
    </row>
    <row r="832" spans="1:20" ht="20.100000000000001" customHeight="1" x14ac:dyDescent="0.25">
      <c r="A832" s="38">
        <v>36</v>
      </c>
      <c r="B832" s="38">
        <v>837</v>
      </c>
      <c r="C832" s="38" t="s">
        <v>655</v>
      </c>
      <c r="D832" s="38">
        <v>18</v>
      </c>
      <c r="E832" s="39" t="str">
        <f>CONCATENATE("PS-",TEXT(A832,"00"),"-",O832)</f>
        <v>PS-36-GK3 Bis</v>
      </c>
      <c r="F832" s="48" t="str">
        <f>CONCATENATE("Poste de Sectionnement n°",TEXT(A832,"00")," ",O832)</f>
        <v>Poste de Sectionnement n°36 GK3 Bis</v>
      </c>
      <c r="G832" s="19">
        <v>40909</v>
      </c>
      <c r="H832" s="19">
        <v>40909</v>
      </c>
      <c r="I832" s="41" t="s">
        <v>20</v>
      </c>
      <c r="J832" s="41">
        <v>1</v>
      </c>
      <c r="K832" s="41" t="s">
        <v>3557</v>
      </c>
      <c r="L832" s="41">
        <v>16</v>
      </c>
      <c r="M832" s="41"/>
      <c r="N832" s="41"/>
      <c r="O832" s="41" t="s">
        <v>1002</v>
      </c>
      <c r="P832" s="41" t="s">
        <v>2145</v>
      </c>
      <c r="Q832" s="43">
        <f t="shared" si="102"/>
        <v>779.45</v>
      </c>
      <c r="R832" s="43">
        <f t="shared" si="103"/>
        <v>130.82900000000001</v>
      </c>
      <c r="S832" s="41" t="s">
        <v>2188</v>
      </c>
      <c r="T832" s="48" t="str">
        <f t="shared" si="97"/>
        <v>(36,'PS-36-GK3 Bis','Poste de Sectionnement n°36 GK3 Bis','Sunday-01-jj','Sunday-01-jj',NULL,1,),</v>
      </c>
    </row>
    <row r="833" spans="1:20" ht="20.100000000000001" customHeight="1" x14ac:dyDescent="0.25">
      <c r="A833" s="38">
        <v>2</v>
      </c>
      <c r="B833" s="38">
        <v>838</v>
      </c>
      <c r="C833" s="38" t="s">
        <v>655</v>
      </c>
      <c r="D833" s="38">
        <v>18</v>
      </c>
      <c r="E833" s="45" t="str">
        <f>CONCATENATE("PPUR-",TEXT(A833,"00"),"-",O833)</f>
        <v>PPUR-02-GK3 Bis</v>
      </c>
      <c r="F833" s="48" t="str">
        <f>CONCATENATE("Poste de Purge n°",TEXT(A833,"00")," ",O833)</f>
        <v>Poste de Purge n°02 GK3 Bis</v>
      </c>
      <c r="G833" s="19">
        <v>40909</v>
      </c>
      <c r="H833" s="19">
        <v>40909</v>
      </c>
      <c r="I833" s="41" t="s">
        <v>20</v>
      </c>
      <c r="J833" s="41">
        <v>1</v>
      </c>
      <c r="K833" s="41" t="s">
        <v>3558</v>
      </c>
      <c r="L833" s="41">
        <v>17</v>
      </c>
      <c r="M833" s="41"/>
      <c r="N833" s="41"/>
      <c r="O833" s="41" t="s">
        <v>1002</v>
      </c>
      <c r="P833" s="41" t="s">
        <v>2218</v>
      </c>
      <c r="Q833" s="49">
        <f t="shared" si="102"/>
        <v>768.74</v>
      </c>
      <c r="R833" s="43">
        <f t="shared" si="103"/>
        <v>135.893</v>
      </c>
      <c r="S833" s="41" t="s">
        <v>2188</v>
      </c>
      <c r="T833" s="48" t="str">
        <f t="shared" si="97"/>
        <v>(2,'PPUR-02-GK3 Bis','Poste de Purge n°02 GK3 Bis','Sunday-01-jj','Sunday-01-jj',NULL,1,),</v>
      </c>
    </row>
    <row r="834" spans="1:20" ht="20.100000000000001" customHeight="1" x14ac:dyDescent="0.25">
      <c r="A834" s="38">
        <v>37</v>
      </c>
      <c r="B834" s="38">
        <v>839</v>
      </c>
      <c r="C834" s="38" t="s">
        <v>655</v>
      </c>
      <c r="D834" s="38">
        <v>18</v>
      </c>
      <c r="E834" s="39" t="str">
        <f>CONCATENATE("PS-",TEXT(A834,"00"),"-",O834)</f>
        <v>PS-37-GK3 Bis</v>
      </c>
      <c r="F834" s="48" t="str">
        <f>CONCATENATE("Poste de Sectionnement n°",TEXT(A834,"00")," ",O834)</f>
        <v>Poste de Sectionnement n°37 GK3 Bis</v>
      </c>
      <c r="G834" s="19">
        <v>40909</v>
      </c>
      <c r="H834" s="19">
        <v>40909</v>
      </c>
      <c r="I834" s="41" t="s">
        <v>20</v>
      </c>
      <c r="J834" s="41">
        <v>1</v>
      </c>
      <c r="K834" s="41" t="s">
        <v>3557</v>
      </c>
      <c r="L834" s="41">
        <v>16</v>
      </c>
      <c r="M834" s="41"/>
      <c r="N834" s="41"/>
      <c r="O834" s="41" t="s">
        <v>1002</v>
      </c>
      <c r="P834" s="41" t="s">
        <v>2146</v>
      </c>
      <c r="Q834" s="43">
        <f t="shared" si="102"/>
        <v>896.85</v>
      </c>
      <c r="R834" s="43">
        <f t="shared" si="103"/>
        <v>142.75299999999999</v>
      </c>
      <c r="S834" s="41" t="s">
        <v>2188</v>
      </c>
      <c r="T834" s="48" t="str">
        <f t="shared" si="97"/>
        <v>(37,'PS-37-GK3 Bis','Poste de Sectionnement n°37 GK3 Bis','Sunday-01-jj','Sunday-01-jj',NULL,1,),</v>
      </c>
    </row>
    <row r="835" spans="1:20" ht="20.100000000000001" customHeight="1" x14ac:dyDescent="0.25">
      <c r="A835" s="38">
        <v>38</v>
      </c>
      <c r="B835" s="38">
        <v>840</v>
      </c>
      <c r="C835" s="38" t="s">
        <v>655</v>
      </c>
      <c r="D835" s="38">
        <v>18</v>
      </c>
      <c r="E835" s="39" t="str">
        <f>CONCATENATE("PS-",TEXT(A835,"00"),"-",O835)</f>
        <v>PS-38-GK3 Bis</v>
      </c>
      <c r="F835" s="48" t="str">
        <f>CONCATENATE("Poste de Sectionnement n°",TEXT(A835,"00")," ",O835)</f>
        <v>Poste de Sectionnement n°38 GK3 Bis</v>
      </c>
      <c r="G835" s="19">
        <v>40909</v>
      </c>
      <c r="H835" s="19">
        <v>40909</v>
      </c>
      <c r="I835" s="41" t="s">
        <v>20</v>
      </c>
      <c r="J835" s="41">
        <v>1</v>
      </c>
      <c r="K835" s="41" t="s">
        <v>3557</v>
      </c>
      <c r="L835" s="41">
        <v>16</v>
      </c>
      <c r="M835" s="41"/>
      <c r="N835" s="41"/>
      <c r="O835" s="41" t="s">
        <v>1002</v>
      </c>
      <c r="P835" s="41" t="s">
        <v>2147</v>
      </c>
      <c r="Q835" s="43">
        <f t="shared" si="102"/>
        <v>732.26</v>
      </c>
      <c r="R835" s="43">
        <f t="shared" si="103"/>
        <v>148.816</v>
      </c>
      <c r="S835" s="41" t="s">
        <v>2189</v>
      </c>
      <c r="T835" s="48" t="str">
        <f t="shared" si="97"/>
        <v>(38,'PS-38-GK3 Bis','Poste de Sectionnement n°38 GK3 Bis','Sunday-01-jj','Sunday-01-jj',NULL,1,),</v>
      </c>
    </row>
    <row r="836" spans="1:20" ht="20.100000000000001" customHeight="1" x14ac:dyDescent="0.25">
      <c r="A836" s="38">
        <v>39</v>
      </c>
      <c r="B836" s="38">
        <v>841</v>
      </c>
      <c r="C836" s="38" t="s">
        <v>655</v>
      </c>
      <c r="D836" s="38">
        <v>18</v>
      </c>
      <c r="E836" s="39" t="str">
        <f>CONCATENATE("PS-",TEXT(A836,"00"),"-",O836)</f>
        <v>PS-39-GK3 Bis</v>
      </c>
      <c r="F836" s="48" t="str">
        <f>CONCATENATE("Poste de Sectionnement n°",TEXT(A836,"00")," ",O836)</f>
        <v>Poste de Sectionnement n°39 GK3 Bis</v>
      </c>
      <c r="G836" s="19">
        <v>40909</v>
      </c>
      <c r="H836" s="19">
        <v>40909</v>
      </c>
      <c r="I836" s="41" t="s">
        <v>20</v>
      </c>
      <c r="J836" s="41">
        <v>1</v>
      </c>
      <c r="K836" s="41" t="s">
        <v>3557</v>
      </c>
      <c r="L836" s="41">
        <v>16</v>
      </c>
      <c r="M836" s="41"/>
      <c r="N836" s="41"/>
      <c r="O836" s="41" t="s">
        <v>1002</v>
      </c>
      <c r="P836" s="41" t="s">
        <v>2148</v>
      </c>
      <c r="Q836" s="43">
        <f t="shared" si="102"/>
        <v>424.24</v>
      </c>
      <c r="R836" s="43">
        <f t="shared" si="103"/>
        <v>159.435</v>
      </c>
      <c r="S836" s="41" t="s">
        <v>2189</v>
      </c>
      <c r="T836" s="48" t="str">
        <f t="shared" si="97"/>
        <v>(39,'PS-39-GK3 Bis','Poste de Sectionnement n°39 GK3 Bis','Sunday-01-jj','Sunday-01-jj',NULL,1,),</v>
      </c>
    </row>
    <row r="837" spans="1:20" ht="20.100000000000001" customHeight="1" x14ac:dyDescent="0.25">
      <c r="A837" s="38">
        <v>40</v>
      </c>
      <c r="B837" s="38">
        <v>842</v>
      </c>
      <c r="C837" s="38" t="s">
        <v>655</v>
      </c>
      <c r="D837" s="38">
        <v>18</v>
      </c>
      <c r="E837" s="39" t="str">
        <f>CONCATENATE("PS-",TEXT(A837,"00"),"-",O837)</f>
        <v>PS-40-GK3 Bis</v>
      </c>
      <c r="F837" s="48" t="str">
        <f>CONCATENATE("Poste de Sectionnement n°",TEXT(A837,"00")," ",O837)</f>
        <v>Poste de Sectionnement n°40 GK3 Bis</v>
      </c>
      <c r="G837" s="19">
        <v>40909</v>
      </c>
      <c r="H837" s="19">
        <v>40909</v>
      </c>
      <c r="I837" s="41" t="s">
        <v>20</v>
      </c>
      <c r="J837" s="41">
        <v>1</v>
      </c>
      <c r="K837" s="41" t="s">
        <v>3557</v>
      </c>
      <c r="L837" s="41">
        <v>16</v>
      </c>
      <c r="M837" s="41"/>
      <c r="N837" s="41"/>
      <c r="O837" s="41" t="s">
        <v>1002</v>
      </c>
      <c r="P837" s="41" t="s">
        <v>2149</v>
      </c>
      <c r="Q837" s="43">
        <f t="shared" si="102"/>
        <v>277.63</v>
      </c>
      <c r="R837" s="43">
        <f t="shared" si="103"/>
        <v>172.64599999999999</v>
      </c>
      <c r="S837" s="41" t="s">
        <v>2190</v>
      </c>
      <c r="T837" s="48" t="str">
        <f t="shared" si="97"/>
        <v>(40,'PS-40-GK3 Bis','Poste de Sectionnement n°40 GK3 Bis','Sunday-01-jj','Sunday-01-jj',NULL,1,),</v>
      </c>
    </row>
    <row r="838" spans="1:20" ht="20.100000000000001" customHeight="1" x14ac:dyDescent="0.25">
      <c r="A838" s="38">
        <v>3</v>
      </c>
      <c r="B838" s="38">
        <v>843</v>
      </c>
      <c r="C838" s="38" t="s">
        <v>655</v>
      </c>
      <c r="D838" s="38">
        <v>18</v>
      </c>
      <c r="E838" s="45" t="str">
        <f>CONCATENATE("PPUR-",TEXT(A838,"00"),"-",O838)</f>
        <v>PPUR-03-GK3 Bis</v>
      </c>
      <c r="F838" s="48" t="str">
        <f>CONCATENATE("Poste de Purge n°",TEXT(A838,"00")," ",O838)</f>
        <v>Poste de Purge n°03 GK3 Bis</v>
      </c>
      <c r="G838" s="19">
        <v>40909</v>
      </c>
      <c r="H838" s="19">
        <v>40909</v>
      </c>
      <c r="I838" s="41" t="s">
        <v>20</v>
      </c>
      <c r="J838" s="41">
        <v>1</v>
      </c>
      <c r="K838" s="41" t="s">
        <v>3558</v>
      </c>
      <c r="L838" s="41">
        <v>17</v>
      </c>
      <c r="M838" s="41"/>
      <c r="N838" s="41"/>
      <c r="O838" s="41" t="s">
        <v>1002</v>
      </c>
      <c r="P838" s="41" t="s">
        <v>2219</v>
      </c>
      <c r="Q838" s="49">
        <f t="shared" si="102"/>
        <v>104.98</v>
      </c>
      <c r="R838" s="43">
        <f t="shared" si="103"/>
        <v>189.976</v>
      </c>
      <c r="S838" s="41" t="s">
        <v>2191</v>
      </c>
      <c r="T838" s="48" t="str">
        <f t="shared" si="97"/>
        <v>(3,'PPUR-03-GK3 Bis','Poste de Purge n°03 GK3 Bis','Sunday-01-jj','Sunday-01-jj',NULL,1,),</v>
      </c>
    </row>
    <row r="839" spans="1:20" ht="20.100000000000001" customHeight="1" x14ac:dyDescent="0.25">
      <c r="A839" s="38">
        <v>41</v>
      </c>
      <c r="B839" s="38">
        <v>844</v>
      </c>
      <c r="C839" s="38" t="s">
        <v>655</v>
      </c>
      <c r="D839" s="38">
        <v>18</v>
      </c>
      <c r="E839" s="39" t="str">
        <f>CONCATENATE("PS-",TEXT(A839,"00"),"-",O839)</f>
        <v>PS-41-GK3 Bis</v>
      </c>
      <c r="F839" s="48" t="str">
        <f>CONCATENATE("Poste de Sectionnement n°",TEXT(A839,"00")," ",O839)</f>
        <v>Poste de Sectionnement n°41 GK3 Bis</v>
      </c>
      <c r="G839" s="19">
        <v>40909</v>
      </c>
      <c r="H839" s="19">
        <v>40909</v>
      </c>
      <c r="I839" s="41" t="s">
        <v>20</v>
      </c>
      <c r="J839" s="41">
        <v>1</v>
      </c>
      <c r="K839" s="41" t="s">
        <v>3557</v>
      </c>
      <c r="L839" s="41">
        <v>16</v>
      </c>
      <c r="M839" s="41"/>
      <c r="N839" s="41"/>
      <c r="O839" s="41" t="s">
        <v>1002</v>
      </c>
      <c r="P839" s="41" t="s">
        <v>2150</v>
      </c>
      <c r="Q839" s="43">
        <f t="shared" si="102"/>
        <v>257.16000000000003</v>
      </c>
      <c r="R839" s="43">
        <f t="shared" si="103"/>
        <v>191.33600000000001</v>
      </c>
      <c r="S839" s="41" t="s">
        <v>2191</v>
      </c>
      <c r="T839" s="48" t="str">
        <f t="shared" si="97"/>
        <v>(41,'PS-41-GK3 Bis','Poste de Sectionnement n°41 GK3 Bis','Sunday-01-jj','Sunday-01-jj',NULL,1,),</v>
      </c>
    </row>
    <row r="840" spans="1:20" ht="20.100000000000001" customHeight="1" x14ac:dyDescent="0.25">
      <c r="A840" s="38">
        <v>42</v>
      </c>
      <c r="B840" s="38">
        <v>845</v>
      </c>
      <c r="C840" s="38" t="s">
        <v>655</v>
      </c>
      <c r="D840" s="38">
        <v>18</v>
      </c>
      <c r="E840" s="39" t="str">
        <f>CONCATENATE("PS-",TEXT(A840,"00"),"-",O840)</f>
        <v>PS-42-GK3 Bis</v>
      </c>
      <c r="F840" s="48" t="str">
        <f>CONCATENATE("Poste de Sectionnement n°",TEXT(A840,"00")," ",O840)</f>
        <v>Poste de Sectionnement n°42 GK3 Bis</v>
      </c>
      <c r="G840" s="19">
        <v>40909</v>
      </c>
      <c r="H840" s="19">
        <v>40909</v>
      </c>
      <c r="I840" s="41" t="s">
        <v>20</v>
      </c>
      <c r="J840" s="41">
        <v>1</v>
      </c>
      <c r="K840" s="41" t="s">
        <v>3557</v>
      </c>
      <c r="L840" s="41">
        <v>16</v>
      </c>
      <c r="M840" s="41"/>
      <c r="N840" s="41"/>
      <c r="O840" s="41" t="s">
        <v>1002</v>
      </c>
      <c r="P840" s="41" t="s">
        <v>2151</v>
      </c>
      <c r="Q840" s="43">
        <f t="shared" si="102"/>
        <v>187.6</v>
      </c>
      <c r="R840" s="43">
        <f t="shared" si="103"/>
        <v>201.64599999999999</v>
      </c>
      <c r="S840" s="41" t="s">
        <v>2192</v>
      </c>
      <c r="T840" s="48" t="str">
        <f t="shared" si="97"/>
        <v>(42,'PS-42-GK3 Bis','Poste de Sectionnement n°42 GK3 Bis','Sunday-01-jj','Sunday-01-jj',NULL,1,),</v>
      </c>
    </row>
    <row r="841" spans="1:20" ht="20.100000000000001" customHeight="1" x14ac:dyDescent="0.25">
      <c r="A841" s="38">
        <v>43</v>
      </c>
      <c r="B841" s="38">
        <v>846</v>
      </c>
      <c r="C841" s="38" t="s">
        <v>655</v>
      </c>
      <c r="D841" s="38">
        <v>18</v>
      </c>
      <c r="E841" s="39" t="str">
        <f>CONCATENATE("PS-",TEXT(A841,"00"),"-",O841)</f>
        <v>PS-43-GK3 Bis</v>
      </c>
      <c r="F841" s="48" t="str">
        <f>CONCATENATE("Poste de Sectionnement n°",TEXT(A841,"00")," ",O841)</f>
        <v>Poste de Sectionnement n°43 GK3 Bis</v>
      </c>
      <c r="G841" s="19">
        <v>40909</v>
      </c>
      <c r="H841" s="19">
        <v>40909</v>
      </c>
      <c r="I841" s="41" t="s">
        <v>20</v>
      </c>
      <c r="J841" s="41">
        <v>1</v>
      </c>
      <c r="K841" s="41" t="s">
        <v>3557</v>
      </c>
      <c r="L841" s="41">
        <v>16</v>
      </c>
      <c r="M841" s="41"/>
      <c r="N841" s="41"/>
      <c r="O841" s="41" t="s">
        <v>1002</v>
      </c>
      <c r="P841" s="41" t="s">
        <v>2152</v>
      </c>
      <c r="Q841" s="43">
        <f t="shared" si="102"/>
        <v>66.900000000000006</v>
      </c>
      <c r="R841" s="43">
        <f t="shared" si="103"/>
        <v>212.33099999999999</v>
      </c>
      <c r="S841" s="41" t="s">
        <v>2193</v>
      </c>
      <c r="T841" s="48" t="str">
        <f t="shared" si="97"/>
        <v>(43,'PS-43-GK3 Bis','Poste de Sectionnement n°43 GK3 Bis','Sunday-01-jj','Sunday-01-jj',NULL,1,),</v>
      </c>
    </row>
    <row r="842" spans="1:20" ht="20.100000000000001" customHeight="1" x14ac:dyDescent="0.25">
      <c r="A842" s="38">
        <v>4</v>
      </c>
      <c r="B842" s="38">
        <v>847</v>
      </c>
      <c r="C842" s="38" t="s">
        <v>655</v>
      </c>
      <c r="D842" s="38">
        <v>18</v>
      </c>
      <c r="E842" s="45" t="str">
        <f>CONCATENATE("PPUR-",TEXT(A842,"00"),"-",O842)</f>
        <v>PPUR-04-GK3 Bis</v>
      </c>
      <c r="F842" s="48" t="str">
        <f>CONCATENATE("Poste de Purge n°",TEXT(A842,"00")," ",O842)</f>
        <v>Poste de Purge n°04 GK3 Bis</v>
      </c>
      <c r="G842" s="19">
        <v>40909</v>
      </c>
      <c r="H842" s="19">
        <v>40909</v>
      </c>
      <c r="I842" s="41" t="s">
        <v>20</v>
      </c>
      <c r="J842" s="41">
        <v>1</v>
      </c>
      <c r="K842" s="41" t="s">
        <v>3558</v>
      </c>
      <c r="L842" s="41">
        <v>17</v>
      </c>
      <c r="M842" s="41"/>
      <c r="N842" s="41"/>
      <c r="O842" s="41" t="s">
        <v>1002</v>
      </c>
      <c r="P842" s="41" t="s">
        <v>2220</v>
      </c>
      <c r="Q842" s="49">
        <f t="shared" si="102"/>
        <v>67.16</v>
      </c>
      <c r="R842" s="43">
        <f t="shared" si="103"/>
        <v>212.37100000000001</v>
      </c>
      <c r="S842" s="41" t="s">
        <v>2193</v>
      </c>
      <c r="T842" s="48" t="str">
        <f t="shared" si="97"/>
        <v>(4,'PPUR-04-GK3 Bis','Poste de Purge n°04 GK3 Bis','Sunday-01-jj','Sunday-01-jj',NULL,1,),</v>
      </c>
    </row>
    <row r="843" spans="1:20" ht="20.100000000000001" customHeight="1" x14ac:dyDescent="0.25">
      <c r="A843" s="38">
        <v>44</v>
      </c>
      <c r="B843" s="38">
        <v>848</v>
      </c>
      <c r="C843" s="38" t="s">
        <v>655</v>
      </c>
      <c r="D843" s="38">
        <v>18</v>
      </c>
      <c r="E843" s="39" t="str">
        <f>CONCATENATE("PS-",TEXT(A843,"00"),"-",O843)</f>
        <v>PS-44-GK3 Bis</v>
      </c>
      <c r="F843" s="48" t="str">
        <f>CONCATENATE("Poste de Sectionnement n°",TEXT(A843,"00")," ",O843)</f>
        <v>Poste de Sectionnement n°44 GK3 Bis</v>
      </c>
      <c r="G843" s="19">
        <v>40909</v>
      </c>
      <c r="H843" s="19">
        <v>40909</v>
      </c>
      <c r="I843" s="41" t="s">
        <v>20</v>
      </c>
      <c r="J843" s="41">
        <v>1</v>
      </c>
      <c r="K843" s="41" t="s">
        <v>3557</v>
      </c>
      <c r="L843" s="41">
        <v>16</v>
      </c>
      <c r="M843" s="41"/>
      <c r="N843" s="41"/>
      <c r="O843" s="41" t="s">
        <v>1002</v>
      </c>
      <c r="P843" s="41" t="s">
        <v>2153</v>
      </c>
      <c r="Q843" s="43">
        <f t="shared" si="102"/>
        <v>255.05</v>
      </c>
      <c r="R843" s="43">
        <f t="shared" si="103"/>
        <v>222.76499999999999</v>
      </c>
      <c r="S843" s="41" t="s">
        <v>2194</v>
      </c>
      <c r="T843" s="48" t="str">
        <f t="shared" si="97"/>
        <v>(44,'PS-44-GK3 Bis','Poste de Sectionnement n°44 GK3 Bis','Sunday-01-jj','Sunday-01-jj',NULL,1,),</v>
      </c>
    </row>
    <row r="844" spans="1:20" ht="20.100000000000001" customHeight="1" x14ac:dyDescent="0.25">
      <c r="A844" s="38">
        <v>45</v>
      </c>
      <c r="B844" s="38">
        <v>849</v>
      </c>
      <c r="C844" s="38" t="s">
        <v>655</v>
      </c>
      <c r="D844" s="38">
        <v>18</v>
      </c>
      <c r="E844" s="39" t="str">
        <f>CONCATENATE("PS-",TEXT(A844,"00"),"-",O844)</f>
        <v>PS-45-GK3 Bis</v>
      </c>
      <c r="F844" s="48" t="str">
        <f>CONCATENATE("Poste de Sectionnement n°",TEXT(A844,"00")," ",O844)</f>
        <v>Poste de Sectionnement n°45 GK3 Bis</v>
      </c>
      <c r="G844" s="19">
        <v>40909</v>
      </c>
      <c r="H844" s="19">
        <v>40909</v>
      </c>
      <c r="I844" s="41" t="s">
        <v>20</v>
      </c>
      <c r="J844" s="41">
        <v>1</v>
      </c>
      <c r="K844" s="41" t="s">
        <v>3557</v>
      </c>
      <c r="L844" s="41">
        <v>16</v>
      </c>
      <c r="M844" s="41"/>
      <c r="N844" s="41"/>
      <c r="O844" s="41" t="s">
        <v>1002</v>
      </c>
      <c r="P844" s="41" t="s">
        <v>2154</v>
      </c>
      <c r="Q844" s="43">
        <f t="shared" si="102"/>
        <v>93.18</v>
      </c>
      <c r="R844" s="43">
        <f t="shared" si="103"/>
        <v>234.70400000000001</v>
      </c>
      <c r="S844" s="41" t="s">
        <v>2194</v>
      </c>
      <c r="T844" s="48" t="str">
        <f t="shared" si="97"/>
        <v>(45,'PS-45-GK3 Bis','Poste de Sectionnement n°45 GK3 Bis','Sunday-01-jj','Sunday-01-jj',NULL,1,),</v>
      </c>
    </row>
    <row r="845" spans="1:20" ht="20.100000000000001" customHeight="1" x14ac:dyDescent="0.25">
      <c r="A845" s="38">
        <v>5</v>
      </c>
      <c r="B845" s="38">
        <v>850</v>
      </c>
      <c r="C845" s="38" t="s">
        <v>655</v>
      </c>
      <c r="D845" s="38">
        <v>18</v>
      </c>
      <c r="E845" s="45" t="str">
        <f>CONCATENATE("PPUR-",TEXT(A845,"00"),"-",O845)</f>
        <v>PPUR-05-GK3 Bis</v>
      </c>
      <c r="F845" s="48" t="str">
        <f>CONCATENATE("Poste de Purge n°",TEXT(A845,"00")," ",O845)</f>
        <v>Poste de Purge n°05 GK3 Bis</v>
      </c>
      <c r="G845" s="19">
        <v>40909</v>
      </c>
      <c r="H845" s="19">
        <v>40909</v>
      </c>
      <c r="I845" s="41" t="s">
        <v>20</v>
      </c>
      <c r="J845" s="41">
        <v>1</v>
      </c>
      <c r="K845" s="41" t="s">
        <v>3558</v>
      </c>
      <c r="L845" s="41">
        <v>17</v>
      </c>
      <c r="M845" s="41"/>
      <c r="N845" s="41"/>
      <c r="O845" s="41" t="s">
        <v>1002</v>
      </c>
      <c r="P845" s="41" t="s">
        <v>2221</v>
      </c>
      <c r="Q845" s="49">
        <f t="shared" si="102"/>
        <v>75</v>
      </c>
      <c r="R845" s="43">
        <f t="shared" si="103"/>
        <v>236.55099999999999</v>
      </c>
      <c r="S845" s="41" t="s">
        <v>2195</v>
      </c>
      <c r="T845" s="48" t="str">
        <f t="shared" si="97"/>
        <v>(5,'PPUR-05-GK3 Bis','Poste de Purge n°05 GK3 Bis','Sunday-01-jj','Sunday-01-jj',NULL,1,),</v>
      </c>
    </row>
    <row r="846" spans="1:20" ht="20.100000000000001" customHeight="1" x14ac:dyDescent="0.25">
      <c r="A846" s="38">
        <v>46</v>
      </c>
      <c r="B846" s="38">
        <v>851</v>
      </c>
      <c r="C846" s="38" t="s">
        <v>655</v>
      </c>
      <c r="D846" s="38">
        <v>18</v>
      </c>
      <c r="E846" s="39" t="str">
        <f>CONCATENATE("PS-",TEXT(A846,"00"),"-",O846)</f>
        <v>PS-46-GK3 Bis</v>
      </c>
      <c r="F846" s="48" t="str">
        <f>CONCATENATE("Poste de Sectionnement n°",TEXT(A846,"00")," ",O846)</f>
        <v>Poste de Sectionnement n°46 GK3 Bis</v>
      </c>
      <c r="G846" s="19">
        <v>40909</v>
      </c>
      <c r="H846" s="19">
        <v>40909</v>
      </c>
      <c r="I846" s="41" t="s">
        <v>20</v>
      </c>
      <c r="J846" s="41">
        <v>1</v>
      </c>
      <c r="K846" s="41" t="s">
        <v>3557</v>
      </c>
      <c r="L846" s="41">
        <v>16</v>
      </c>
      <c r="M846" s="41"/>
      <c r="N846" s="41"/>
      <c r="O846" s="41" t="s">
        <v>1002</v>
      </c>
      <c r="P846" s="41" t="s">
        <v>2155</v>
      </c>
      <c r="Q846" s="43">
        <f t="shared" si="102"/>
        <v>97.09</v>
      </c>
      <c r="R846" s="43">
        <f t="shared" si="103"/>
        <v>241.92599999999999</v>
      </c>
      <c r="S846" s="41" t="s">
        <v>2195</v>
      </c>
      <c r="T846" s="48" t="str">
        <f t="shared" si="97"/>
        <v>(46,'PS-46-GK3 Bis','Poste de Sectionnement n°46 GK3 Bis','Sunday-01-jj','Sunday-01-jj',NULL,1,),</v>
      </c>
    </row>
    <row r="847" spans="1:20" ht="20.100000000000001" customHeight="1" x14ac:dyDescent="0.25">
      <c r="A847" s="38">
        <v>47</v>
      </c>
      <c r="B847" s="38">
        <v>852</v>
      </c>
      <c r="C847" s="38" t="s">
        <v>655</v>
      </c>
      <c r="D847" s="38">
        <v>18</v>
      </c>
      <c r="E847" s="39" t="str">
        <f>CONCATENATE("PS-",TEXT(A847,"00"),"-",O847)</f>
        <v>PS-47-GK3 Bis</v>
      </c>
      <c r="F847" s="48" t="str">
        <f>CONCATENATE("Poste de Sectionnement n°",TEXT(A847,"00")," ",O847)</f>
        <v>Poste de Sectionnement n°47 GK3 Bis</v>
      </c>
      <c r="G847" s="19">
        <v>40909</v>
      </c>
      <c r="H847" s="19">
        <v>40909</v>
      </c>
      <c r="I847" s="41" t="s">
        <v>20</v>
      </c>
      <c r="J847" s="41">
        <v>1</v>
      </c>
      <c r="K847" s="41" t="s">
        <v>3557</v>
      </c>
      <c r="L847" s="41">
        <v>16</v>
      </c>
      <c r="M847" s="41"/>
      <c r="N847" s="41"/>
      <c r="O847" s="41" t="s">
        <v>1002</v>
      </c>
      <c r="P847" s="41" t="s">
        <v>2156</v>
      </c>
      <c r="Q847" s="43">
        <f t="shared" si="102"/>
        <v>83.32</v>
      </c>
      <c r="R847" s="43">
        <f t="shared" si="103"/>
        <v>256.18200000000002</v>
      </c>
      <c r="S847" s="41" t="s">
        <v>2196</v>
      </c>
      <c r="T847" s="48" t="str">
        <f t="shared" si="97"/>
        <v>(47,'PS-47-GK3 Bis','Poste de Sectionnement n°47 GK3 Bis','Sunday-01-jj','Sunday-01-jj',NULL,1,),</v>
      </c>
    </row>
    <row r="848" spans="1:20" ht="20.100000000000001" customHeight="1" x14ac:dyDescent="0.25">
      <c r="A848" s="38">
        <v>6</v>
      </c>
      <c r="B848" s="38">
        <v>853</v>
      </c>
      <c r="C848" s="38" t="s">
        <v>655</v>
      </c>
      <c r="D848" s="38">
        <v>18</v>
      </c>
      <c r="E848" s="45" t="str">
        <f>CONCATENATE("PPUR-",TEXT(A848,"00"),"-",O848)</f>
        <v>PPUR-06-GK3 Bis</v>
      </c>
      <c r="F848" s="48" t="str">
        <f>CONCATENATE("Poste de Purge n°",TEXT(A848,"00")," ",O848)</f>
        <v>Poste de Purge n°06 GK3 Bis</v>
      </c>
      <c r="G848" s="19">
        <v>40909</v>
      </c>
      <c r="H848" s="19">
        <v>40909</v>
      </c>
      <c r="I848" s="41" t="s">
        <v>20</v>
      </c>
      <c r="J848" s="41">
        <v>1</v>
      </c>
      <c r="K848" s="41" t="s">
        <v>3558</v>
      </c>
      <c r="L848" s="41">
        <v>17</v>
      </c>
      <c r="M848" s="41"/>
      <c r="N848" s="41"/>
      <c r="O848" s="41" t="s">
        <v>1002</v>
      </c>
      <c r="P848" s="41" t="s">
        <v>2222</v>
      </c>
      <c r="Q848" s="49">
        <f t="shared" si="102"/>
        <v>77.290000000000006</v>
      </c>
      <c r="R848" s="43">
        <f t="shared" si="103"/>
        <v>264.738</v>
      </c>
      <c r="S848" s="41" t="s">
        <v>2196</v>
      </c>
      <c r="T848" s="48" t="str">
        <f t="shared" si="97"/>
        <v>(6,'PPUR-06-GK3 Bis','Poste de Purge n°06 GK3 Bis','Sunday-01-jj','Sunday-01-jj',NULL,1,),</v>
      </c>
    </row>
    <row r="849" spans="1:20" ht="20.100000000000001" customHeight="1" x14ac:dyDescent="0.25">
      <c r="A849" s="38">
        <v>48</v>
      </c>
      <c r="B849" s="38">
        <v>854</v>
      </c>
      <c r="C849" s="38" t="s">
        <v>655</v>
      </c>
      <c r="D849" s="38">
        <v>18</v>
      </c>
      <c r="E849" s="39" t="str">
        <f>CONCATENATE("PS-",TEXT(A849,"00"),"-",O849)</f>
        <v>PS-48-GK3 Ter</v>
      </c>
      <c r="F849" s="48" t="str">
        <f>CONCATENATE("Poste de Sectionnement n°",TEXT(A849,"00")," ",O849)</f>
        <v>Poste de Sectionnement n°48 GK3 Ter</v>
      </c>
      <c r="G849" s="19">
        <v>40909</v>
      </c>
      <c r="H849" s="19">
        <v>40909</v>
      </c>
      <c r="I849" s="41" t="s">
        <v>20</v>
      </c>
      <c r="J849" s="41">
        <v>1</v>
      </c>
      <c r="K849" s="41" t="s">
        <v>3557</v>
      </c>
      <c r="L849" s="41">
        <v>16</v>
      </c>
      <c r="M849" s="41"/>
      <c r="N849" s="41"/>
      <c r="O849" s="41" t="s">
        <v>2227</v>
      </c>
      <c r="P849" s="41" t="s">
        <v>2157</v>
      </c>
      <c r="Q849" s="43">
        <f t="shared" si="102"/>
        <v>896.83699999999999</v>
      </c>
      <c r="R849" s="43">
        <f t="shared" si="103"/>
        <v>10.164</v>
      </c>
      <c r="S849" s="41" t="s">
        <v>2185</v>
      </c>
      <c r="T849" s="48" t="str">
        <f t="shared" si="97"/>
        <v>(48,'PS-48-GK3 Ter','Poste de Sectionnement n°48 GK3 Ter','Sunday-01-jj','Sunday-01-jj',NULL,1,),</v>
      </c>
    </row>
    <row r="850" spans="1:20" ht="20.100000000000001" customHeight="1" x14ac:dyDescent="0.25">
      <c r="A850" s="38">
        <v>49</v>
      </c>
      <c r="B850" s="38">
        <v>855</v>
      </c>
      <c r="C850" s="38" t="s">
        <v>655</v>
      </c>
      <c r="D850" s="38">
        <v>18</v>
      </c>
      <c r="E850" s="39" t="str">
        <f>CONCATENATE("PS-",TEXT(A850,"00"),"-",O850)</f>
        <v>PS-49-GK3 Ter</v>
      </c>
      <c r="F850" s="48" t="str">
        <f>CONCATENATE("Poste de Sectionnement n°",TEXT(A850,"00")," ",O850)</f>
        <v>Poste de Sectionnement n°49 GK3 Ter</v>
      </c>
      <c r="G850" s="19">
        <v>40909</v>
      </c>
      <c r="H850" s="19">
        <v>40909</v>
      </c>
      <c r="I850" s="41" t="s">
        <v>20</v>
      </c>
      <c r="J850" s="41">
        <v>1</v>
      </c>
      <c r="K850" s="41" t="s">
        <v>3557</v>
      </c>
      <c r="L850" s="41">
        <v>16</v>
      </c>
      <c r="M850" s="41"/>
      <c r="N850" s="41"/>
      <c r="O850" s="41" t="s">
        <v>2227</v>
      </c>
      <c r="P850" s="41" t="s">
        <v>2158</v>
      </c>
      <c r="Q850" s="43">
        <f t="shared" si="102"/>
        <v>892.96400000000006</v>
      </c>
      <c r="R850" s="43">
        <f t="shared" si="103"/>
        <v>19.710999999999999</v>
      </c>
      <c r="S850" s="41" t="s">
        <v>2197</v>
      </c>
      <c r="T850" s="48" t="str">
        <f t="shared" si="97"/>
        <v>(49,'PS-49-GK3 Ter','Poste de Sectionnement n°49 GK3 Ter','Sunday-01-jj','Sunday-01-jj',NULL,1,),</v>
      </c>
    </row>
    <row r="851" spans="1:20" ht="20.100000000000001" customHeight="1" x14ac:dyDescent="0.25">
      <c r="A851" s="38">
        <v>50</v>
      </c>
      <c r="B851" s="38">
        <v>856</v>
      </c>
      <c r="C851" s="38" t="s">
        <v>655</v>
      </c>
      <c r="D851" s="38">
        <v>18</v>
      </c>
      <c r="E851" s="39" t="str">
        <f>CONCATENATE("PS-",TEXT(A851,"00"),"-",O851)</f>
        <v>PS-50-GK3 Ter</v>
      </c>
      <c r="F851" s="48" t="str">
        <f>CONCATENATE("Poste de Sectionnement n°",TEXT(A851,"00")," ",O851)</f>
        <v>Poste de Sectionnement n°50 GK3 Ter</v>
      </c>
      <c r="G851" s="19">
        <v>40909</v>
      </c>
      <c r="H851" s="19">
        <v>40909</v>
      </c>
      <c r="I851" s="41" t="s">
        <v>20</v>
      </c>
      <c r="J851" s="41">
        <v>1</v>
      </c>
      <c r="K851" s="41" t="s">
        <v>3557</v>
      </c>
      <c r="L851" s="41">
        <v>16</v>
      </c>
      <c r="M851" s="41"/>
      <c r="N851" s="41"/>
      <c r="O851" s="41" t="s">
        <v>2227</v>
      </c>
      <c r="P851" s="41" t="s">
        <v>2159</v>
      </c>
      <c r="Q851" s="43">
        <f t="shared" si="102"/>
        <v>780.55600000000004</v>
      </c>
      <c r="R851" s="43">
        <f t="shared" si="103"/>
        <v>30.777000000000001</v>
      </c>
      <c r="S851" s="41" t="s">
        <v>2197</v>
      </c>
      <c r="T851" s="48" t="str">
        <f t="shared" si="97"/>
        <v>(50,'PS-50-GK3 Ter','Poste de Sectionnement n°50 GK3 Ter','Sunday-01-jj','Sunday-01-jj',NULL,1,),</v>
      </c>
    </row>
    <row r="852" spans="1:20" ht="20.100000000000001" customHeight="1" x14ac:dyDescent="0.25">
      <c r="A852" s="38">
        <v>1</v>
      </c>
      <c r="B852" s="38">
        <v>857</v>
      </c>
      <c r="C852" s="38" t="s">
        <v>655</v>
      </c>
      <c r="D852" s="38">
        <v>18</v>
      </c>
      <c r="E852" s="45" t="str">
        <f>CONCATENATE("PPUR-",TEXT(A852,"00"),"-",O852)</f>
        <v>PPUR-01-GK3 Ter</v>
      </c>
      <c r="F852" s="48" t="str">
        <f>CONCATENATE("Poste de Purge n°",TEXT(A852,"00")," ",O852)</f>
        <v>Poste de Purge n°01 GK3 Ter</v>
      </c>
      <c r="G852" s="19">
        <v>40909</v>
      </c>
      <c r="H852" s="19">
        <v>40909</v>
      </c>
      <c r="I852" s="41" t="s">
        <v>20</v>
      </c>
      <c r="J852" s="41">
        <v>1</v>
      </c>
      <c r="K852" s="41" t="s">
        <v>3558</v>
      </c>
      <c r="L852" s="41">
        <v>17</v>
      </c>
      <c r="M852" s="41"/>
      <c r="N852" s="41"/>
      <c r="O852" s="41" t="s">
        <v>2227</v>
      </c>
      <c r="P852" s="41" t="s">
        <v>2223</v>
      </c>
      <c r="Q852" s="49">
        <f t="shared" si="102"/>
        <v>738.89300000000003</v>
      </c>
      <c r="R852" s="43">
        <f t="shared" si="103"/>
        <v>31.844999999999999</v>
      </c>
      <c r="S852" s="41" t="s">
        <v>2197</v>
      </c>
      <c r="T852" s="48" t="str">
        <f t="shared" si="97"/>
        <v>(1,'PPUR-01-GK3 Ter','Poste de Purge n°01 GK3 Ter','Sunday-01-jj','Sunday-01-jj',NULL,1,),</v>
      </c>
    </row>
    <row r="853" spans="1:20" ht="20.100000000000001" customHeight="1" x14ac:dyDescent="0.25">
      <c r="A853" s="38">
        <v>51</v>
      </c>
      <c r="B853" s="38">
        <v>858</v>
      </c>
      <c r="C853" s="38" t="s">
        <v>655</v>
      </c>
      <c r="D853" s="38">
        <v>18</v>
      </c>
      <c r="E853" s="39" t="str">
        <f>CONCATENATE("PS-",TEXT(A853,"00"),"-",O853)</f>
        <v>PS-51-GK3 Ter</v>
      </c>
      <c r="F853" s="48" t="str">
        <f>CONCATENATE("Poste de Sectionnement n°",TEXT(A853,"00")," ",O853)</f>
        <v>Poste de Sectionnement n°51 GK3 Ter</v>
      </c>
      <c r="G853" s="19">
        <v>40909</v>
      </c>
      <c r="H853" s="19">
        <v>40909</v>
      </c>
      <c r="I853" s="41" t="s">
        <v>20</v>
      </c>
      <c r="J853" s="41">
        <v>1</v>
      </c>
      <c r="K853" s="41" t="s">
        <v>3557</v>
      </c>
      <c r="L853" s="41">
        <v>16</v>
      </c>
      <c r="M853" s="41"/>
      <c r="N853" s="41"/>
      <c r="O853" s="41" t="s">
        <v>2227</v>
      </c>
      <c r="P853" s="41" t="s">
        <v>2160</v>
      </c>
      <c r="Q853" s="43">
        <f t="shared" si="102"/>
        <v>740.24400000000003</v>
      </c>
      <c r="R853" s="43">
        <f t="shared" si="103"/>
        <v>39.354999999999997</v>
      </c>
      <c r="S853" s="41" t="s">
        <v>2198</v>
      </c>
      <c r="T853" s="48" t="str">
        <f t="shared" si="97"/>
        <v>(51,'PS-51-GK3 Ter','Poste de Sectionnement n°51 GK3 Ter','Sunday-01-jj','Sunday-01-jj',NULL,1,),</v>
      </c>
    </row>
    <row r="854" spans="1:20" ht="20.100000000000001" customHeight="1" x14ac:dyDescent="0.25">
      <c r="A854" s="38">
        <v>2</v>
      </c>
      <c r="B854" s="38">
        <v>859</v>
      </c>
      <c r="C854" s="38" t="s">
        <v>655</v>
      </c>
      <c r="D854" s="38">
        <v>18</v>
      </c>
      <c r="E854" s="45" t="str">
        <f>CONCATENATE("PPUR-",TEXT(A854,"00"),"-",O854)</f>
        <v>PPUR-02-GK3 Ter</v>
      </c>
      <c r="F854" s="48" t="str">
        <f>CONCATENATE("Poste de Purge n°",TEXT(A854,"00")," ",O854)</f>
        <v>Poste de Purge n°02 GK3 Ter</v>
      </c>
      <c r="G854" s="19">
        <v>40909</v>
      </c>
      <c r="H854" s="19">
        <v>40909</v>
      </c>
      <c r="I854" s="41" t="s">
        <v>20</v>
      </c>
      <c r="J854" s="41">
        <v>1</v>
      </c>
      <c r="K854" s="41" t="s">
        <v>3558</v>
      </c>
      <c r="L854" s="41">
        <v>17</v>
      </c>
      <c r="M854" s="41"/>
      <c r="N854" s="41"/>
      <c r="O854" s="41" t="s">
        <v>2227</v>
      </c>
      <c r="P854" s="41" t="s">
        <v>2224</v>
      </c>
      <c r="Q854" s="49">
        <f t="shared" si="102"/>
        <v>667.29600000000005</v>
      </c>
      <c r="R854" s="43">
        <f t="shared" si="103"/>
        <v>42.594000000000001</v>
      </c>
      <c r="S854" s="41" t="s">
        <v>2198</v>
      </c>
      <c r="T854" s="48" t="str">
        <f t="shared" si="97"/>
        <v>(2,'PPUR-02-GK3 Ter','Poste de Purge n°02 GK3 Ter','Sunday-01-jj','Sunday-01-jj',NULL,1,),</v>
      </c>
    </row>
    <row r="855" spans="1:20" ht="20.100000000000001" customHeight="1" x14ac:dyDescent="0.25">
      <c r="A855" s="38">
        <v>52</v>
      </c>
      <c r="B855" s="38">
        <v>860</v>
      </c>
      <c r="C855" s="38" t="s">
        <v>655</v>
      </c>
      <c r="D855" s="38">
        <v>18</v>
      </c>
      <c r="E855" s="39" t="str">
        <f>CONCATENATE("PS-",TEXT(A855,"00"),"-",O855)</f>
        <v>PS-52-GK3 Ter</v>
      </c>
      <c r="F855" s="48" t="str">
        <f>CONCATENATE("Poste de Sectionnement n°",TEXT(A855,"00")," ",O855)</f>
        <v>Poste de Sectionnement n°52 GK3 Ter</v>
      </c>
      <c r="G855" s="19">
        <v>40909</v>
      </c>
      <c r="H855" s="19">
        <v>40909</v>
      </c>
      <c r="I855" s="41" t="s">
        <v>20</v>
      </c>
      <c r="J855" s="41">
        <v>1</v>
      </c>
      <c r="K855" s="41" t="s">
        <v>3557</v>
      </c>
      <c r="L855" s="41">
        <v>16</v>
      </c>
      <c r="M855" s="41"/>
      <c r="N855" s="41"/>
      <c r="O855" s="41" t="s">
        <v>2227</v>
      </c>
      <c r="P855" s="41" t="s">
        <v>2161</v>
      </c>
      <c r="Q855" s="43">
        <f t="shared" si="102"/>
        <v>513.16700000000003</v>
      </c>
      <c r="R855" s="43">
        <f t="shared" si="103"/>
        <v>49.634999999999998</v>
      </c>
      <c r="S855" s="41" t="s">
        <v>2199</v>
      </c>
      <c r="T855" s="48" t="str">
        <f t="shared" si="97"/>
        <v>(52,'PS-52-GK3 Ter','Poste de Sectionnement n°52 GK3 Ter','Sunday-01-jj','Sunday-01-jj',NULL,1,),</v>
      </c>
    </row>
    <row r="856" spans="1:20" ht="20.100000000000001" customHeight="1" x14ac:dyDescent="0.25">
      <c r="A856" s="38">
        <v>53</v>
      </c>
      <c r="B856" s="38">
        <v>861</v>
      </c>
      <c r="C856" s="38" t="s">
        <v>655</v>
      </c>
      <c r="D856" s="38">
        <v>18</v>
      </c>
      <c r="E856" s="39" t="str">
        <f>CONCATENATE("PS-",TEXT(A856,"00"),"-",O856)</f>
        <v>PS-53-GK3 Ter</v>
      </c>
      <c r="F856" s="48" t="str">
        <f>CONCATENATE("Poste de Sectionnement n°",TEXT(A856,"00")," ",O856)</f>
        <v>Poste de Sectionnement n°53 GK3 Ter</v>
      </c>
      <c r="G856" s="19">
        <v>40909</v>
      </c>
      <c r="H856" s="19">
        <v>40909</v>
      </c>
      <c r="I856" s="41" t="s">
        <v>20</v>
      </c>
      <c r="J856" s="41">
        <v>1</v>
      </c>
      <c r="K856" s="41" t="s">
        <v>3557</v>
      </c>
      <c r="L856" s="41">
        <v>16</v>
      </c>
      <c r="M856" s="41"/>
      <c r="N856" s="41"/>
      <c r="O856" s="41" t="s">
        <v>2227</v>
      </c>
      <c r="P856" s="41" t="s">
        <v>2162</v>
      </c>
      <c r="Q856" s="43">
        <f t="shared" si="102"/>
        <v>229.82300000000001</v>
      </c>
      <c r="R856" s="43">
        <f t="shared" si="103"/>
        <v>60.99</v>
      </c>
      <c r="S856" s="41" t="s">
        <v>2200</v>
      </c>
      <c r="T856" s="48" t="str">
        <f t="shared" ref="T856:T919" si="104">CONCATENATE("(",A856,",'",E856,"','",F856,"','",TEXT(G856,"aaaa-mm-jj"),"','",TEXT(H856,"aaaa-mm-jj"),"',",I856,",",J856,",",M856,"),")</f>
        <v>(53,'PS-53-GK3 Ter','Poste de Sectionnement n°53 GK3 Ter','Sunday-01-jj','Sunday-01-jj',NULL,1,),</v>
      </c>
    </row>
    <row r="857" spans="1:20" ht="20.100000000000001" customHeight="1" x14ac:dyDescent="0.25">
      <c r="A857" s="38">
        <v>3</v>
      </c>
      <c r="B857" s="38">
        <v>862</v>
      </c>
      <c r="C857" s="38" t="s">
        <v>655</v>
      </c>
      <c r="D857" s="38">
        <v>18</v>
      </c>
      <c r="E857" s="45" t="str">
        <f>CONCATENATE("PPUR-",TEXT(A857,"00"),"-",O857)</f>
        <v>PPUR-03-GK3 Ter</v>
      </c>
      <c r="F857" s="48" t="str">
        <f>CONCATENATE("Poste de Purge n°",TEXT(A857,"00")," ",O857)</f>
        <v>Poste de Purge n°03 GK3 Ter</v>
      </c>
      <c r="G857" s="19">
        <v>40909</v>
      </c>
      <c r="H857" s="19">
        <v>40909</v>
      </c>
      <c r="I857" s="41" t="s">
        <v>20</v>
      </c>
      <c r="J857" s="41">
        <v>1</v>
      </c>
      <c r="K857" s="41" t="s">
        <v>3558</v>
      </c>
      <c r="L857" s="41">
        <v>17</v>
      </c>
      <c r="M857" s="41"/>
      <c r="N857" s="41"/>
      <c r="O857" s="41" t="s">
        <v>2227</v>
      </c>
      <c r="P857" s="41" t="s">
        <v>2225</v>
      </c>
      <c r="Q857" s="49">
        <f t="shared" si="102"/>
        <v>170.94800000000001</v>
      </c>
      <c r="R857" s="43">
        <f t="shared" si="103"/>
        <v>68.311999999999998</v>
      </c>
      <c r="S857" s="41" t="s">
        <v>2082</v>
      </c>
      <c r="T857" s="48" t="str">
        <f t="shared" si="104"/>
        <v>(3,'PPUR-03-GK3 Ter','Poste de Purge n°03 GK3 Ter','Sunday-01-jj','Sunday-01-jj',NULL,1,),</v>
      </c>
    </row>
    <row r="858" spans="1:20" ht="20.100000000000001" customHeight="1" x14ac:dyDescent="0.25">
      <c r="A858" s="38">
        <v>54</v>
      </c>
      <c r="B858" s="38">
        <v>863</v>
      </c>
      <c r="C858" s="38" t="s">
        <v>655</v>
      </c>
      <c r="D858" s="38">
        <v>18</v>
      </c>
      <c r="E858" s="39" t="str">
        <f>CONCATENATE("PS-",TEXT(A858,"00"),"-",O858)</f>
        <v>PS-54-GK3 Ter</v>
      </c>
      <c r="F858" s="48" t="str">
        <f>CONCATENATE("Poste de Sectionnement n°",TEXT(A858,"00")," ",O858)</f>
        <v>Poste de Sectionnement n°54 GK3 Ter</v>
      </c>
      <c r="G858" s="19">
        <v>40909</v>
      </c>
      <c r="H858" s="19">
        <v>40909</v>
      </c>
      <c r="I858" s="41" t="s">
        <v>20</v>
      </c>
      <c r="J858" s="41">
        <v>1</v>
      </c>
      <c r="K858" s="41" t="s">
        <v>3557</v>
      </c>
      <c r="L858" s="41">
        <v>16</v>
      </c>
      <c r="M858" s="41"/>
      <c r="N858" s="41"/>
      <c r="O858" s="41" t="s">
        <v>2227</v>
      </c>
      <c r="P858" s="41" t="s">
        <v>2163</v>
      </c>
      <c r="Q858" s="43">
        <f t="shared" si="102"/>
        <v>215.35300000000001</v>
      </c>
      <c r="R858" s="43">
        <f t="shared" si="103"/>
        <v>72.91</v>
      </c>
      <c r="S858" s="41" t="s">
        <v>2082</v>
      </c>
      <c r="T858" s="48" t="str">
        <f t="shared" si="104"/>
        <v>(54,'PS-54-GK3 Ter','Poste de Sectionnement n°54 GK3 Ter','Sunday-01-jj','Sunday-01-jj',NULL,1,),</v>
      </c>
    </row>
    <row r="859" spans="1:20" ht="20.100000000000001" customHeight="1" x14ac:dyDescent="0.25">
      <c r="A859" s="38">
        <v>55</v>
      </c>
      <c r="B859" s="38">
        <v>864</v>
      </c>
      <c r="C859" s="38" t="s">
        <v>655</v>
      </c>
      <c r="D859" s="38">
        <v>18</v>
      </c>
      <c r="E859" s="39" t="str">
        <f>CONCATENATE("PS-",TEXT(A859,"00"),"-",O859)</f>
        <v>PS-55-GK3 Ter</v>
      </c>
      <c r="F859" s="48" t="str">
        <f>CONCATENATE("Poste de Sectionnement n°",TEXT(A859,"00")," ",O859)</f>
        <v>Poste de Sectionnement n°55 GK3 Ter</v>
      </c>
      <c r="G859" s="19">
        <v>40909</v>
      </c>
      <c r="H859" s="19">
        <v>40909</v>
      </c>
      <c r="I859" s="41" t="s">
        <v>20</v>
      </c>
      <c r="J859" s="41">
        <v>1</v>
      </c>
      <c r="K859" s="41" t="s">
        <v>3557</v>
      </c>
      <c r="L859" s="41">
        <v>16</v>
      </c>
      <c r="M859" s="41"/>
      <c r="N859" s="41"/>
      <c r="O859" s="41" t="s">
        <v>2227</v>
      </c>
      <c r="P859" s="41" t="s">
        <v>2164</v>
      </c>
      <c r="Q859" s="43">
        <f t="shared" si="102"/>
        <v>177.88</v>
      </c>
      <c r="R859" s="43">
        <f t="shared" si="103"/>
        <v>80.89</v>
      </c>
      <c r="S859" s="41" t="s">
        <v>2201</v>
      </c>
      <c r="T859" s="48" t="str">
        <f t="shared" si="104"/>
        <v>(55,'PS-55-GK3 Ter','Poste de Sectionnement n°55 GK3 Ter','Sunday-01-jj','Sunday-01-jj',NULL,1,),</v>
      </c>
    </row>
    <row r="860" spans="1:20" ht="20.100000000000001" customHeight="1" x14ac:dyDescent="0.25">
      <c r="A860" s="38">
        <v>4</v>
      </c>
      <c r="B860" s="38">
        <v>865</v>
      </c>
      <c r="C860" s="38" t="s">
        <v>655</v>
      </c>
      <c r="D860" s="38">
        <v>18</v>
      </c>
      <c r="E860" s="45" t="str">
        <f>CONCATENATE("PPUR-",TEXT(A860,"00"),"-",O860)</f>
        <v>PPUR-04-GK3 Ter</v>
      </c>
      <c r="F860" s="48" t="str">
        <f>CONCATENATE("Poste de Purge n°",TEXT(A860,"00")," ",O860)</f>
        <v>Poste de Purge n°04 GK3 Ter</v>
      </c>
      <c r="G860" s="19">
        <v>40909</v>
      </c>
      <c r="H860" s="19">
        <v>40909</v>
      </c>
      <c r="I860" s="41" t="s">
        <v>20</v>
      </c>
      <c r="J860" s="41">
        <v>1</v>
      </c>
      <c r="K860" s="41" t="s">
        <v>3558</v>
      </c>
      <c r="L860" s="41">
        <v>17</v>
      </c>
      <c r="M860" s="41"/>
      <c r="N860" s="41"/>
      <c r="O860" s="41" t="s">
        <v>2227</v>
      </c>
      <c r="P860" s="41" t="s">
        <v>2226</v>
      </c>
      <c r="Q860" s="49">
        <f t="shared" si="102"/>
        <v>58.326000000000001</v>
      </c>
      <c r="R860" s="43">
        <f t="shared" si="103"/>
        <v>85.97</v>
      </c>
      <c r="S860" s="41" t="s">
        <v>2228</v>
      </c>
      <c r="T860" s="48" t="str">
        <f t="shared" si="104"/>
        <v>(4,'PPUR-04-GK3 Ter','Poste de Purge n°04 GK3 Ter','Sunday-01-jj','Sunday-01-jj',NULL,1,),</v>
      </c>
    </row>
    <row r="861" spans="1:20" ht="20.100000000000001" customHeight="1" x14ac:dyDescent="0.25">
      <c r="A861" s="38">
        <v>1</v>
      </c>
      <c r="B861" s="38">
        <v>866</v>
      </c>
      <c r="C861" s="38" t="s">
        <v>685</v>
      </c>
      <c r="D861" s="38">
        <v>19</v>
      </c>
      <c r="E861" s="39" t="str">
        <f>CONCATENATE("PS-",TEXT(A861,"00"),"-",O861)</f>
        <v>PS-01-GO1</v>
      </c>
      <c r="F861" s="48" t="str">
        <f>CONCATENATE("Poste de Sectionnement n°",TEXT(A861,"00")," ",O861)</f>
        <v>Poste de Sectionnement n°01 GO1</v>
      </c>
      <c r="G861" s="19">
        <v>29952</v>
      </c>
      <c r="H861" s="19">
        <v>29952</v>
      </c>
      <c r="I861" s="41" t="s">
        <v>20</v>
      </c>
      <c r="J861" s="41">
        <v>1</v>
      </c>
      <c r="K861" s="41" t="s">
        <v>3557</v>
      </c>
      <c r="L861" s="41">
        <v>16</v>
      </c>
      <c r="M861" s="41"/>
      <c r="N861" s="41"/>
      <c r="O861" s="41" t="s">
        <v>439</v>
      </c>
      <c r="P861" s="41" t="s">
        <v>2387</v>
      </c>
      <c r="Q861" s="43">
        <f t="shared" si="102"/>
        <v>714.55</v>
      </c>
      <c r="R861" s="43">
        <f t="shared" si="103"/>
        <v>40.036999999999999</v>
      </c>
      <c r="S861" s="41" t="s">
        <v>2070</v>
      </c>
      <c r="T861" s="48" t="str">
        <f t="shared" si="104"/>
        <v>(1,'PS-01-GO1','Poste de Sectionnement n°01 GO1','Friday-01-jj','Friday-01-jj',NULL,1,),</v>
      </c>
    </row>
    <row r="862" spans="1:20" ht="20.100000000000001" customHeight="1" x14ac:dyDescent="0.25">
      <c r="A862" s="38">
        <v>2</v>
      </c>
      <c r="B862" s="38">
        <v>867</v>
      </c>
      <c r="C862" s="38" t="s">
        <v>685</v>
      </c>
      <c r="D862" s="38">
        <v>19</v>
      </c>
      <c r="E862" s="39" t="str">
        <f>CONCATENATE("PS-",TEXT(A862,"00"),"-",O862)</f>
        <v>PS-02-GO1</v>
      </c>
      <c r="F862" s="48" t="str">
        <f>CONCATENATE("Poste de Sectionnement n°",TEXT(A862,"00")," ",O862)</f>
        <v>Poste de Sectionnement n°02 GO1</v>
      </c>
      <c r="G862" s="19">
        <v>29952</v>
      </c>
      <c r="H862" s="19">
        <v>29952</v>
      </c>
      <c r="I862" s="41" t="s">
        <v>20</v>
      </c>
      <c r="J862" s="41">
        <v>1</v>
      </c>
      <c r="K862" s="41" t="s">
        <v>3557</v>
      </c>
      <c r="L862" s="41">
        <v>16</v>
      </c>
      <c r="M862" s="41"/>
      <c r="N862" s="41"/>
      <c r="O862" s="41" t="s">
        <v>439</v>
      </c>
      <c r="P862" s="41" t="s">
        <v>2388</v>
      </c>
      <c r="Q862" s="43">
        <f t="shared" si="102"/>
        <v>740.74</v>
      </c>
      <c r="R862" s="43">
        <f t="shared" si="103"/>
        <v>75.981999999999999</v>
      </c>
      <c r="S862" s="41" t="s">
        <v>2070</v>
      </c>
      <c r="T862" s="48" t="str">
        <f t="shared" si="104"/>
        <v>(2,'PS-02-GO1','Poste de Sectionnement n°02 GO1','Friday-01-jj','Friday-01-jj',NULL,1,),</v>
      </c>
    </row>
    <row r="863" spans="1:20" ht="20.100000000000001" customHeight="1" x14ac:dyDescent="0.25">
      <c r="A863" s="38">
        <v>3</v>
      </c>
      <c r="B863" s="38">
        <v>868</v>
      </c>
      <c r="C863" s="38" t="s">
        <v>685</v>
      </c>
      <c r="D863" s="38">
        <v>19</v>
      </c>
      <c r="E863" s="39" t="str">
        <f>CONCATENATE("PS-",TEXT(A863,"00"),"-",O863)</f>
        <v>PS-03-GO1</v>
      </c>
      <c r="F863" s="48" t="str">
        <f>CONCATENATE("Poste de Sectionnement n°",TEXT(A863,"00")," ",O863)</f>
        <v>Poste de Sectionnement n°03 GO1</v>
      </c>
      <c r="G863" s="19">
        <v>29952</v>
      </c>
      <c r="H863" s="19">
        <v>29952</v>
      </c>
      <c r="I863" s="41" t="s">
        <v>20</v>
      </c>
      <c r="J863" s="41">
        <v>1</v>
      </c>
      <c r="K863" s="41" t="s">
        <v>3557</v>
      </c>
      <c r="L863" s="41">
        <v>16</v>
      </c>
      <c r="M863" s="41"/>
      <c r="N863" s="41"/>
      <c r="O863" s="41" t="s">
        <v>439</v>
      </c>
      <c r="P863" s="41" t="s">
        <v>2389</v>
      </c>
      <c r="Q863" s="43">
        <f t="shared" si="102"/>
        <v>742.12</v>
      </c>
      <c r="R863" s="43">
        <f t="shared" si="103"/>
        <v>112.2</v>
      </c>
      <c r="S863" s="41" t="s">
        <v>2166</v>
      </c>
      <c r="T863" s="48" t="str">
        <f t="shared" si="104"/>
        <v>(3,'PS-03-GO1','Poste de Sectionnement n°03 GO1','Friday-01-jj','Friday-01-jj',NULL,1,),</v>
      </c>
    </row>
    <row r="864" spans="1:20" ht="20.100000000000001" customHeight="1" x14ac:dyDescent="0.25">
      <c r="A864" s="38">
        <v>4</v>
      </c>
      <c r="B864" s="38">
        <v>869</v>
      </c>
      <c r="C864" s="38" t="s">
        <v>685</v>
      </c>
      <c r="D864" s="38">
        <v>19</v>
      </c>
      <c r="E864" s="39" t="str">
        <f>CONCATENATE("PS-",TEXT(A864,"00"),"-",O864)</f>
        <v>PS-04-GO1</v>
      </c>
      <c r="F864" s="48" t="str">
        <f>CONCATENATE("Poste de Sectionnement n°",TEXT(A864,"00")," ",O864)</f>
        <v>Poste de Sectionnement n°04 GO1</v>
      </c>
      <c r="G864" s="19">
        <v>29952</v>
      </c>
      <c r="H864" s="19">
        <v>29952</v>
      </c>
      <c r="I864" s="41" t="s">
        <v>20</v>
      </c>
      <c r="J864" s="41">
        <v>1</v>
      </c>
      <c r="K864" s="41" t="s">
        <v>3557</v>
      </c>
      <c r="L864" s="41">
        <v>16</v>
      </c>
      <c r="M864" s="41"/>
      <c r="N864" s="41"/>
      <c r="O864" s="41" t="s">
        <v>439</v>
      </c>
      <c r="P864" s="41" t="s">
        <v>2390</v>
      </c>
      <c r="Q864" s="43">
        <f t="shared" si="102"/>
        <v>566.24</v>
      </c>
      <c r="R864" s="43">
        <f t="shared" si="103"/>
        <v>146.94200000000001</v>
      </c>
      <c r="S864" s="41" t="s">
        <v>2431</v>
      </c>
      <c r="T864" s="48" t="str">
        <f t="shared" si="104"/>
        <v>(4,'PS-04-GO1','Poste de Sectionnement n°04 GO1','Friday-01-jj','Friday-01-jj',NULL,1,),</v>
      </c>
    </row>
    <row r="865" spans="1:20" ht="20.100000000000001" customHeight="1" x14ac:dyDescent="0.25">
      <c r="A865" s="38">
        <v>1</v>
      </c>
      <c r="B865" s="38">
        <v>870</v>
      </c>
      <c r="C865" s="38" t="s">
        <v>685</v>
      </c>
      <c r="D865" s="38">
        <v>19</v>
      </c>
      <c r="E865" s="45" t="str">
        <f>CONCATENATE("PPUR-",TEXT(A865,"00"),"-",O865)</f>
        <v>PPUR-01-GO1</v>
      </c>
      <c r="F865" s="48" t="str">
        <f>CONCATENATE("Poste de Purge n°",TEXT(A865,"00")," ",O865)</f>
        <v>Poste de Purge n°01 GO1</v>
      </c>
      <c r="G865" s="19">
        <v>29952</v>
      </c>
      <c r="H865" s="19">
        <v>29952</v>
      </c>
      <c r="I865" s="41" t="s">
        <v>20</v>
      </c>
      <c r="J865" s="41">
        <v>1</v>
      </c>
      <c r="K865" s="41" t="s">
        <v>3558</v>
      </c>
      <c r="L865" s="41">
        <v>17</v>
      </c>
      <c r="M865" s="41"/>
      <c r="N865" s="41"/>
      <c r="O865" s="41" t="s">
        <v>439</v>
      </c>
      <c r="P865" s="41" t="s">
        <v>2439</v>
      </c>
      <c r="Q865" s="49">
        <f t="shared" si="102"/>
        <v>450.92</v>
      </c>
      <c r="R865" s="43">
        <f t="shared" si="103"/>
        <v>166.93100000000001</v>
      </c>
      <c r="S865" s="41"/>
      <c r="T865" s="48" t="str">
        <f t="shared" si="104"/>
        <v>(1,'PPUR-01-GO1','Poste de Purge n°01 GO1','Friday-01-jj','Friday-01-jj',NULL,1,),</v>
      </c>
    </row>
    <row r="866" spans="1:20" ht="20.100000000000001" customHeight="1" x14ac:dyDescent="0.25">
      <c r="A866" s="38">
        <v>1</v>
      </c>
      <c r="B866" s="38">
        <v>871</v>
      </c>
      <c r="C866" s="38" t="s">
        <v>685</v>
      </c>
      <c r="D866" s="38">
        <v>19</v>
      </c>
      <c r="E866" s="45" t="str">
        <f>CONCATENATE("PC-",TEXT(A866,"00"),"-",O866)</f>
        <v>PC-01-GO1</v>
      </c>
      <c r="F866" s="48" t="str">
        <f>CONCATENATE("Poste de Coupure n°",TEXT(A866,"00")," ",O866)</f>
        <v>Poste de Coupure n°01 GO1</v>
      </c>
      <c r="G866" s="19">
        <v>29952</v>
      </c>
      <c r="H866" s="19">
        <v>29952</v>
      </c>
      <c r="I866" s="41" t="s">
        <v>20</v>
      </c>
      <c r="J866" s="41">
        <v>1</v>
      </c>
      <c r="K866" s="41" t="s">
        <v>3556</v>
      </c>
      <c r="L866" s="41">
        <v>15</v>
      </c>
      <c r="M866" s="41"/>
      <c r="N866" s="41"/>
      <c r="O866" s="41" t="s">
        <v>439</v>
      </c>
      <c r="P866" s="41" t="s">
        <v>2375</v>
      </c>
      <c r="Q866" s="49">
        <f t="shared" si="102"/>
        <v>449.5</v>
      </c>
      <c r="R866" s="43">
        <f t="shared" si="103"/>
        <v>168.29900000000001</v>
      </c>
      <c r="S866" s="41" t="s">
        <v>2384</v>
      </c>
      <c r="T866" s="48" t="str">
        <f t="shared" si="104"/>
        <v>(1,'PC-01-GO1','Poste de Coupure n°01 GO1','Friday-01-jj','Friday-01-jj',NULL,1,),</v>
      </c>
    </row>
    <row r="867" spans="1:20" ht="20.100000000000001" customHeight="1" x14ac:dyDescent="0.25">
      <c r="A867" s="38">
        <v>2</v>
      </c>
      <c r="B867" s="38">
        <v>872</v>
      </c>
      <c r="C867" s="38" t="s">
        <v>685</v>
      </c>
      <c r="D867" s="38">
        <v>19</v>
      </c>
      <c r="E867" s="45" t="str">
        <f>CONCATENATE("PPUR-",TEXT(A867,"00"),"-",O867)</f>
        <v>PPUR-02-GO1</v>
      </c>
      <c r="F867" s="48" t="str">
        <f>CONCATENATE("Poste de Purge n°",TEXT(A867,"00")," ",O867)</f>
        <v>Poste de Purge n°02 GO1</v>
      </c>
      <c r="G867" s="19">
        <v>29952</v>
      </c>
      <c r="H867" s="19">
        <v>29952</v>
      </c>
      <c r="I867" s="41" t="s">
        <v>20</v>
      </c>
      <c r="J867" s="41">
        <v>1</v>
      </c>
      <c r="K867" s="41" t="s">
        <v>3558</v>
      </c>
      <c r="L867" s="41">
        <v>17</v>
      </c>
      <c r="M867" s="41"/>
      <c r="N867" s="41"/>
      <c r="O867" s="41" t="s">
        <v>439</v>
      </c>
      <c r="P867" s="41" t="s">
        <v>2440</v>
      </c>
      <c r="Q867" s="49">
        <f t="shared" si="102"/>
        <v>448.13</v>
      </c>
      <c r="R867" s="43">
        <f t="shared" si="103"/>
        <v>168.78</v>
      </c>
      <c r="S867" s="41"/>
      <c r="T867" s="48" t="str">
        <f t="shared" si="104"/>
        <v>(2,'PPUR-02-GO1','Poste de Purge n°02 GO1','Friday-01-jj','Friday-01-jj',NULL,1,),</v>
      </c>
    </row>
    <row r="868" spans="1:20" ht="20.100000000000001" customHeight="1" x14ac:dyDescent="0.25">
      <c r="A868" s="38">
        <v>5</v>
      </c>
      <c r="B868" s="38">
        <v>873</v>
      </c>
      <c r="C868" s="38" t="s">
        <v>685</v>
      </c>
      <c r="D868" s="38">
        <v>19</v>
      </c>
      <c r="E868" s="39" t="str">
        <f>CONCATENATE("PS-",TEXT(A868,"00"),"-",O868)</f>
        <v>PS-05-GO1</v>
      </c>
      <c r="F868" s="48" t="str">
        <f>CONCATENATE("Poste de Sectionnement n°",TEXT(A868,"00")," ",O868)</f>
        <v>Poste de Sectionnement n°05 GO1</v>
      </c>
      <c r="G868" s="19">
        <v>29952</v>
      </c>
      <c r="H868" s="19">
        <v>29952</v>
      </c>
      <c r="I868" s="41" t="s">
        <v>20</v>
      </c>
      <c r="J868" s="41">
        <v>1</v>
      </c>
      <c r="K868" s="41" t="s">
        <v>3557</v>
      </c>
      <c r="L868" s="41">
        <v>16</v>
      </c>
      <c r="M868" s="41"/>
      <c r="N868" s="41"/>
      <c r="O868" s="41" t="s">
        <v>439</v>
      </c>
      <c r="P868" s="41" t="s">
        <v>2391</v>
      </c>
      <c r="Q868" s="43">
        <f t="shared" si="102"/>
        <v>351.21</v>
      </c>
      <c r="R868" s="43">
        <f t="shared" si="103"/>
        <v>208.33</v>
      </c>
      <c r="S868" s="41" t="s">
        <v>2084</v>
      </c>
      <c r="T868" s="48" t="str">
        <f t="shared" si="104"/>
        <v>(5,'PS-05-GO1','Poste de Sectionnement n°05 GO1','Friday-01-jj','Friday-01-jj',NULL,1,),</v>
      </c>
    </row>
    <row r="869" spans="1:20" ht="20.100000000000001" customHeight="1" x14ac:dyDescent="0.25">
      <c r="A869" s="38">
        <v>6</v>
      </c>
      <c r="B869" s="38">
        <v>874</v>
      </c>
      <c r="C869" s="38" t="s">
        <v>685</v>
      </c>
      <c r="D869" s="38">
        <v>19</v>
      </c>
      <c r="E869" s="39" t="str">
        <f>CONCATENATE("PS-",TEXT(A869,"00"),"-",O869)</f>
        <v>PS-06-GO1</v>
      </c>
      <c r="F869" s="48" t="str">
        <f>CONCATENATE("Poste de Sectionnement n°",TEXT(A869,"00")," ",O869)</f>
        <v>Poste de Sectionnement n°06 GO1</v>
      </c>
      <c r="G869" s="19">
        <v>29952</v>
      </c>
      <c r="H869" s="19">
        <v>29952</v>
      </c>
      <c r="I869" s="41" t="s">
        <v>20</v>
      </c>
      <c r="J869" s="41">
        <v>1</v>
      </c>
      <c r="K869" s="41" t="s">
        <v>3557</v>
      </c>
      <c r="L869" s="41">
        <v>16</v>
      </c>
      <c r="M869" s="41"/>
      <c r="N869" s="41"/>
      <c r="O869" s="41" t="s">
        <v>439</v>
      </c>
      <c r="P869" s="41" t="s">
        <v>2392</v>
      </c>
      <c r="Q869" s="43">
        <f t="shared" si="102"/>
        <v>225.5</v>
      </c>
      <c r="R869" s="43">
        <f t="shared" si="103"/>
        <v>246.458</v>
      </c>
      <c r="S869" s="41" t="s">
        <v>2084</v>
      </c>
      <c r="T869" s="48" t="str">
        <f t="shared" si="104"/>
        <v>(6,'PS-06-GO1','Poste de Sectionnement n°06 GO1','Friday-01-jj','Friday-01-jj',NULL,1,),</v>
      </c>
    </row>
    <row r="870" spans="1:20" ht="20.100000000000001" customHeight="1" x14ac:dyDescent="0.25">
      <c r="A870" s="38">
        <v>7</v>
      </c>
      <c r="B870" s="38">
        <v>875</v>
      </c>
      <c r="C870" s="38" t="s">
        <v>685</v>
      </c>
      <c r="D870" s="38">
        <v>19</v>
      </c>
      <c r="E870" s="39" t="str">
        <f>CONCATENATE("PS-",TEXT(A870,"00"),"-",O870)</f>
        <v>PS-07-GO1</v>
      </c>
      <c r="F870" s="48" t="str">
        <f>CONCATENATE("Poste de Sectionnement n°",TEXT(A870,"00")," ",O870)</f>
        <v>Poste de Sectionnement n°07 GO1</v>
      </c>
      <c r="G870" s="19">
        <v>29952</v>
      </c>
      <c r="H870" s="19">
        <v>29952</v>
      </c>
      <c r="I870" s="41" t="s">
        <v>20</v>
      </c>
      <c r="J870" s="41">
        <v>1</v>
      </c>
      <c r="K870" s="41" t="s">
        <v>3557</v>
      </c>
      <c r="L870" s="41">
        <v>16</v>
      </c>
      <c r="M870" s="41"/>
      <c r="N870" s="41"/>
      <c r="O870" s="41" t="s">
        <v>439</v>
      </c>
      <c r="P870" s="41" t="s">
        <v>2393</v>
      </c>
      <c r="Q870" s="43">
        <f t="shared" si="102"/>
        <v>101.16</v>
      </c>
      <c r="R870" s="43">
        <f t="shared" si="103"/>
        <v>283.96499999999997</v>
      </c>
      <c r="S870" s="41" t="s">
        <v>2432</v>
      </c>
      <c r="T870" s="48" t="str">
        <f t="shared" si="104"/>
        <v>(7,'PS-07-GO1','Poste de Sectionnement n°07 GO1','Friday-01-jj','Friday-01-jj',NULL,1,),</v>
      </c>
    </row>
    <row r="871" spans="1:20" ht="20.100000000000001" customHeight="1" x14ac:dyDescent="0.25">
      <c r="A871" s="38">
        <v>8</v>
      </c>
      <c r="B871" s="38">
        <v>876</v>
      </c>
      <c r="C871" s="38" t="s">
        <v>685</v>
      </c>
      <c r="D871" s="38">
        <v>19</v>
      </c>
      <c r="E871" s="39" t="str">
        <f>CONCATENATE("PS-",TEXT(A871,"00"),"-",O871)</f>
        <v>PS-08-GO1</v>
      </c>
      <c r="F871" s="48" t="str">
        <f>CONCATENATE("Poste de Sectionnement n°",TEXT(A871,"00")," ",O871)</f>
        <v>Poste de Sectionnement n°08 GO1</v>
      </c>
      <c r="G871" s="19">
        <v>29952</v>
      </c>
      <c r="H871" s="19">
        <v>29952</v>
      </c>
      <c r="I871" s="41" t="s">
        <v>20</v>
      </c>
      <c r="J871" s="41">
        <v>1</v>
      </c>
      <c r="K871" s="41" t="s">
        <v>3557</v>
      </c>
      <c r="L871" s="41">
        <v>16</v>
      </c>
      <c r="M871" s="41"/>
      <c r="N871" s="41"/>
      <c r="O871" s="41" t="s">
        <v>439</v>
      </c>
      <c r="P871" s="41" t="s">
        <v>2394</v>
      </c>
      <c r="Q871" s="43">
        <f t="shared" si="102"/>
        <v>19.03</v>
      </c>
      <c r="R871" s="43">
        <f t="shared" si="103"/>
        <v>319.20499999999998</v>
      </c>
      <c r="S871" s="41" t="s">
        <v>853</v>
      </c>
      <c r="T871" s="48" t="str">
        <f t="shared" si="104"/>
        <v>(8,'PS-08-GO1','Poste de Sectionnement n°08 GO1','Friday-01-jj','Friday-01-jj',NULL,1,),</v>
      </c>
    </row>
    <row r="872" spans="1:20" ht="20.100000000000001" customHeight="1" x14ac:dyDescent="0.25">
      <c r="A872" s="38">
        <v>3</v>
      </c>
      <c r="B872" s="38">
        <v>877</v>
      </c>
      <c r="C872" s="38" t="s">
        <v>685</v>
      </c>
      <c r="D872" s="38">
        <v>19</v>
      </c>
      <c r="E872" s="45" t="str">
        <f>CONCATENATE("PPUR-",TEXT(A872,"00"),"-",O872)</f>
        <v>PPUR-03-GO1</v>
      </c>
      <c r="F872" s="48" t="str">
        <f>CONCATENATE("Poste de Purge n°",TEXT(A872,"00")," ",O872)</f>
        <v>Poste de Purge n°03 GO1</v>
      </c>
      <c r="G872" s="19">
        <v>29952</v>
      </c>
      <c r="H872" s="19">
        <v>29952</v>
      </c>
      <c r="I872" s="41" t="s">
        <v>20</v>
      </c>
      <c r="J872" s="41">
        <v>1</v>
      </c>
      <c r="K872" s="41" t="s">
        <v>3558</v>
      </c>
      <c r="L872" s="41">
        <v>17</v>
      </c>
      <c r="M872" s="41"/>
      <c r="N872" s="41"/>
      <c r="O872" s="41" t="s">
        <v>439</v>
      </c>
      <c r="P872" s="41" t="s">
        <v>2441</v>
      </c>
      <c r="Q872" s="49">
        <f t="shared" si="102"/>
        <v>-10.33</v>
      </c>
      <c r="R872" s="43">
        <f t="shared" si="103"/>
        <v>342.37</v>
      </c>
      <c r="S872" s="41"/>
      <c r="T872" s="48" t="str">
        <f t="shared" si="104"/>
        <v>(3,'PPUR-03-GO1','Poste de Purge n°03 GO1','Friday-01-jj','Friday-01-jj',NULL,1,),</v>
      </c>
    </row>
    <row r="873" spans="1:20" ht="20.100000000000001" customHeight="1" x14ac:dyDescent="0.25">
      <c r="A873" s="38">
        <v>2</v>
      </c>
      <c r="B873" s="38">
        <v>878</v>
      </c>
      <c r="C873" s="38" t="s">
        <v>685</v>
      </c>
      <c r="D873" s="38">
        <v>19</v>
      </c>
      <c r="E873" s="45" t="str">
        <f>CONCATENATE("PC-",TEXT(A873,"00"),"-",O873)</f>
        <v>PC-02-GO1</v>
      </c>
      <c r="F873" s="48" t="str">
        <f>CONCATENATE("Poste de Coupure n°",TEXT(A873,"00")," ",O873)</f>
        <v>Poste de Coupure n°02 GO1</v>
      </c>
      <c r="G873" s="19">
        <v>29952</v>
      </c>
      <c r="H873" s="19">
        <v>29952</v>
      </c>
      <c r="I873" s="41" t="s">
        <v>20</v>
      </c>
      <c r="J873" s="41">
        <v>1</v>
      </c>
      <c r="K873" s="41" t="s">
        <v>3556</v>
      </c>
      <c r="L873" s="41">
        <v>15</v>
      </c>
      <c r="M873" s="41"/>
      <c r="N873" s="41"/>
      <c r="O873" s="41" t="s">
        <v>439</v>
      </c>
      <c r="P873" s="41" t="s">
        <v>2376</v>
      </c>
      <c r="Q873" s="49">
        <f t="shared" si="102"/>
        <v>-1.6</v>
      </c>
      <c r="R873" s="43">
        <f t="shared" si="103"/>
        <v>348.38099999999997</v>
      </c>
      <c r="S873" s="41" t="s">
        <v>2385</v>
      </c>
      <c r="T873" s="48" t="str">
        <f t="shared" si="104"/>
        <v>(2,'PC-02-GO1','Poste de Coupure n°02 GO1','Friday-01-jj','Friday-01-jj',NULL,1,),</v>
      </c>
    </row>
    <row r="874" spans="1:20" ht="20.100000000000001" customHeight="1" x14ac:dyDescent="0.25">
      <c r="A874" s="38">
        <v>4</v>
      </c>
      <c r="B874" s="38">
        <v>879</v>
      </c>
      <c r="C874" s="38" t="s">
        <v>685</v>
      </c>
      <c r="D874" s="38">
        <v>19</v>
      </c>
      <c r="E874" s="45" t="str">
        <f>CONCATENATE("PPUR-",TEXT(A874,"00"),"-",O874)</f>
        <v>PPUR-04-GO1</v>
      </c>
      <c r="F874" s="48" t="str">
        <f>CONCATENATE("Poste de Purge n°",TEXT(A874,"00")," ",O874)</f>
        <v>Poste de Purge n°04 GO1</v>
      </c>
      <c r="G874" s="19">
        <v>29952</v>
      </c>
      <c r="H874" s="19">
        <v>29952</v>
      </c>
      <c r="I874" s="41" t="s">
        <v>20</v>
      </c>
      <c r="J874" s="41">
        <v>1</v>
      </c>
      <c r="K874" s="41" t="s">
        <v>3558</v>
      </c>
      <c r="L874" s="41">
        <v>17</v>
      </c>
      <c r="M874" s="41"/>
      <c r="N874" s="41"/>
      <c r="O874" s="41" t="s">
        <v>439</v>
      </c>
      <c r="P874" s="41" t="s">
        <v>2442</v>
      </c>
      <c r="Q874" s="49">
        <f t="shared" si="102"/>
        <v>-0.28000000000000003</v>
      </c>
      <c r="R874" s="43">
        <f t="shared" si="103"/>
        <v>349.02</v>
      </c>
      <c r="S874" s="41"/>
      <c r="T874" s="48" t="str">
        <f t="shared" si="104"/>
        <v>(4,'PPUR-04-GO1','Poste de Purge n°04 GO1','Friday-01-jj','Friday-01-jj',NULL,1,),</v>
      </c>
    </row>
    <row r="875" spans="1:20" ht="20.100000000000001" customHeight="1" x14ac:dyDescent="0.25">
      <c r="A875" s="38">
        <v>6</v>
      </c>
      <c r="B875" s="38">
        <v>880</v>
      </c>
      <c r="C875" s="38" t="s">
        <v>685</v>
      </c>
      <c r="D875" s="38">
        <v>19</v>
      </c>
      <c r="E875" s="45" t="str">
        <f>CONCATENATE("PPUR-",TEXT(A875,"00"),"-",O875)</f>
        <v>PPUR-06-GO1</v>
      </c>
      <c r="F875" s="48" t="str">
        <f>CONCATENATE("Poste de Purge n°",TEXT(A875,"00")," ",O875)</f>
        <v>Poste de Purge n°06 GO1</v>
      </c>
      <c r="G875" s="19">
        <v>29952</v>
      </c>
      <c r="H875" s="19">
        <v>29952</v>
      </c>
      <c r="I875" s="41" t="s">
        <v>20</v>
      </c>
      <c r="J875" s="41">
        <v>1</v>
      </c>
      <c r="K875" s="41" t="s">
        <v>3558</v>
      </c>
      <c r="L875" s="41">
        <v>17</v>
      </c>
      <c r="M875" s="41"/>
      <c r="N875" s="41"/>
      <c r="O875" s="41" t="s">
        <v>439</v>
      </c>
      <c r="P875" s="41" t="s">
        <v>2444</v>
      </c>
      <c r="Q875" s="49">
        <f t="shared" si="102"/>
        <v>26.69</v>
      </c>
      <c r="R875" s="43">
        <f t="shared" si="103"/>
        <v>362.71699999999998</v>
      </c>
      <c r="S875" s="41"/>
      <c r="T875" s="48" t="str">
        <f t="shared" si="104"/>
        <v>(6,'PPUR-06-GO1','Poste de Purge n°06 GO1','Friday-01-jj','Friday-01-jj',NULL,1,),</v>
      </c>
    </row>
    <row r="876" spans="1:20" ht="20.100000000000001" customHeight="1" x14ac:dyDescent="0.25">
      <c r="A876" s="38">
        <v>9</v>
      </c>
      <c r="B876" s="38">
        <v>881</v>
      </c>
      <c r="C876" s="38" t="s">
        <v>685</v>
      </c>
      <c r="D876" s="38">
        <v>19</v>
      </c>
      <c r="E876" s="39" t="str">
        <f>CONCATENATE("PS-",TEXT(A876,"00"),"-",O876)</f>
        <v>PS-09-GO1</v>
      </c>
      <c r="F876" s="48" t="str">
        <f>CONCATENATE("Poste de Sectionnement n°",TEXT(A876,"00")," ",O876)</f>
        <v>Poste de Sectionnement n°09 GO1</v>
      </c>
      <c r="G876" s="19">
        <v>29952</v>
      </c>
      <c r="H876" s="19">
        <v>29952</v>
      </c>
      <c r="I876" s="41" t="s">
        <v>20</v>
      </c>
      <c r="J876" s="41">
        <v>1</v>
      </c>
      <c r="K876" s="41" t="s">
        <v>3557</v>
      </c>
      <c r="L876" s="41">
        <v>16</v>
      </c>
      <c r="M876" s="41"/>
      <c r="N876" s="41"/>
      <c r="O876" s="41" t="s">
        <v>439</v>
      </c>
      <c r="P876" s="41" t="s">
        <v>2395</v>
      </c>
      <c r="Q876" s="43">
        <f t="shared" si="102"/>
        <v>35.29</v>
      </c>
      <c r="R876" s="43">
        <f t="shared" si="103"/>
        <v>375.601</v>
      </c>
      <c r="S876" s="41" t="s">
        <v>2433</v>
      </c>
      <c r="T876" s="48" t="str">
        <f t="shared" si="104"/>
        <v>(9,'PS-09-GO1','Poste de Sectionnement n°09 GO1','Friday-01-jj','Friday-01-jj',NULL,1,),</v>
      </c>
    </row>
    <row r="877" spans="1:20" ht="20.100000000000001" customHeight="1" x14ac:dyDescent="0.25">
      <c r="A877" s="38">
        <v>10</v>
      </c>
      <c r="B877" s="38">
        <v>882</v>
      </c>
      <c r="C877" s="38" t="s">
        <v>685</v>
      </c>
      <c r="D877" s="38">
        <v>19</v>
      </c>
      <c r="E877" s="39" t="str">
        <f>CONCATENATE("PS-",TEXT(A877,"00"),"-",O877)</f>
        <v>PS-10-GO1</v>
      </c>
      <c r="F877" s="48" t="str">
        <f>CONCATENATE("Poste de Sectionnement n°",TEXT(A877,"00")," ",O877)</f>
        <v>Poste de Sectionnement n°10 GO1</v>
      </c>
      <c r="G877" s="19">
        <v>29952</v>
      </c>
      <c r="H877" s="19">
        <v>29952</v>
      </c>
      <c r="I877" s="41" t="s">
        <v>20</v>
      </c>
      <c r="J877" s="41">
        <v>1</v>
      </c>
      <c r="K877" s="41" t="s">
        <v>3557</v>
      </c>
      <c r="L877" s="41">
        <v>16</v>
      </c>
      <c r="M877" s="41"/>
      <c r="N877" s="41"/>
      <c r="O877" s="41" t="s">
        <v>439</v>
      </c>
      <c r="P877" s="41" t="s">
        <v>2396</v>
      </c>
      <c r="Q877" s="43">
        <f t="shared" si="102"/>
        <v>59.32</v>
      </c>
      <c r="R877" s="43">
        <f t="shared" si="103"/>
        <v>403.90899999999999</v>
      </c>
      <c r="S877" s="41" t="s">
        <v>2434</v>
      </c>
      <c r="T877" s="48" t="str">
        <f t="shared" si="104"/>
        <v>(10,'PS-10-GO1','Poste de Sectionnement n°10 GO1','Friday-01-jj','Friday-01-jj',NULL,1,),</v>
      </c>
    </row>
    <row r="878" spans="1:20" ht="20.100000000000001" customHeight="1" x14ac:dyDescent="0.25">
      <c r="A878" s="38">
        <v>11</v>
      </c>
      <c r="B878" s="38">
        <v>883</v>
      </c>
      <c r="C878" s="38" t="s">
        <v>685</v>
      </c>
      <c r="D878" s="38">
        <v>19</v>
      </c>
      <c r="E878" s="39" t="str">
        <f>CONCATENATE("PS-",TEXT(A878,"00"),"-",O878)</f>
        <v>PS-11-GO1</v>
      </c>
      <c r="F878" s="48" t="str">
        <f>CONCATENATE("Poste de Sectionnement n°",TEXT(A878,"00")," ",O878)</f>
        <v>Poste de Sectionnement n°11 GO1</v>
      </c>
      <c r="G878" s="19">
        <v>29952</v>
      </c>
      <c r="H878" s="19">
        <v>29952</v>
      </c>
      <c r="I878" s="41" t="s">
        <v>20</v>
      </c>
      <c r="J878" s="41">
        <v>1</v>
      </c>
      <c r="K878" s="41" t="s">
        <v>3557</v>
      </c>
      <c r="L878" s="41">
        <v>16</v>
      </c>
      <c r="M878" s="41"/>
      <c r="N878" s="41"/>
      <c r="O878" s="41" t="s">
        <v>439</v>
      </c>
      <c r="P878" s="41" t="s">
        <v>2397</v>
      </c>
      <c r="Q878" s="43">
        <f t="shared" si="102"/>
        <v>135.97</v>
      </c>
      <c r="R878" s="43">
        <f t="shared" si="103"/>
        <v>432.95</v>
      </c>
      <c r="S878" s="41" t="s">
        <v>2434</v>
      </c>
      <c r="T878" s="48" t="str">
        <f t="shared" si="104"/>
        <v>(11,'PS-11-GO1','Poste de Sectionnement n°11 GO1','Friday-01-jj','Friday-01-jj',NULL,1,),</v>
      </c>
    </row>
    <row r="879" spans="1:20" ht="20.100000000000001" customHeight="1" x14ac:dyDescent="0.25">
      <c r="A879" s="38">
        <v>5</v>
      </c>
      <c r="B879" s="38">
        <v>884</v>
      </c>
      <c r="C879" s="38" t="s">
        <v>685</v>
      </c>
      <c r="D879" s="38">
        <v>19</v>
      </c>
      <c r="E879" s="45" t="str">
        <f>CONCATENATE("PPUR-",TEXT(A879,"00"),"-",O879)</f>
        <v>PPUR-05-GO1</v>
      </c>
      <c r="F879" s="48" t="str">
        <f>CONCATENATE("Poste de Purge n°",TEXT(A879,"00")," ",O879)</f>
        <v>Poste de Purge n°05 GO1</v>
      </c>
      <c r="G879" s="19">
        <v>29952</v>
      </c>
      <c r="H879" s="19">
        <v>29952</v>
      </c>
      <c r="I879" s="41" t="s">
        <v>20</v>
      </c>
      <c r="J879" s="41">
        <v>1</v>
      </c>
      <c r="K879" s="41" t="s">
        <v>3558</v>
      </c>
      <c r="L879" s="41">
        <v>17</v>
      </c>
      <c r="M879" s="41"/>
      <c r="N879" s="41"/>
      <c r="O879" s="41" t="s">
        <v>439</v>
      </c>
      <c r="P879" s="41" t="s">
        <v>2443</v>
      </c>
      <c r="Q879" s="49">
        <f t="shared" si="102"/>
        <v>8.7100000000000009</v>
      </c>
      <c r="R879" s="43">
        <f t="shared" si="103"/>
        <v>453.67500000000001</v>
      </c>
      <c r="S879" s="41"/>
      <c r="T879" s="48" t="str">
        <f t="shared" si="104"/>
        <v>(5,'PPUR-05-GO1','Poste de Purge n°05 GO1','Friday-01-jj','Friday-01-jj',NULL,1,),</v>
      </c>
    </row>
    <row r="880" spans="1:20" ht="20.100000000000001" customHeight="1" x14ac:dyDescent="0.25">
      <c r="A880" s="38">
        <v>3</v>
      </c>
      <c r="B880" s="38">
        <v>885</v>
      </c>
      <c r="C880" s="38" t="s">
        <v>685</v>
      </c>
      <c r="D880" s="38">
        <v>19</v>
      </c>
      <c r="E880" s="45" t="str">
        <f>CONCATENATE("PC-",TEXT(A880,"00"),"-",O880)</f>
        <v>PC-03-GO1</v>
      </c>
      <c r="F880" s="48" t="str">
        <f>CONCATENATE("Poste de Coupure n°",TEXT(A880,"00")," ",O880)</f>
        <v>Poste de Coupure n°03 GO1</v>
      </c>
      <c r="G880" s="19">
        <v>29952</v>
      </c>
      <c r="H880" s="19">
        <v>29952</v>
      </c>
      <c r="I880" s="41" t="s">
        <v>20</v>
      </c>
      <c r="J880" s="41">
        <v>1</v>
      </c>
      <c r="K880" s="41" t="s">
        <v>3556</v>
      </c>
      <c r="L880" s="41">
        <v>15</v>
      </c>
      <c r="M880" s="41"/>
      <c r="N880" s="41"/>
      <c r="O880" s="41" t="s">
        <v>439</v>
      </c>
      <c r="P880" s="41" t="s">
        <v>2377</v>
      </c>
      <c r="Q880" s="49">
        <f t="shared" si="102"/>
        <v>305</v>
      </c>
      <c r="R880" s="43">
        <f t="shared" si="103"/>
        <v>461.03199999999998</v>
      </c>
      <c r="S880" s="41" t="s">
        <v>2386</v>
      </c>
      <c r="T880" s="48" t="str">
        <f t="shared" si="104"/>
        <v>(3,'PC-03-GO1','Poste de Coupure n°03 GO1','Friday-01-jj','Friday-01-jj',NULL,1,),</v>
      </c>
    </row>
    <row r="881" spans="1:20" ht="20.100000000000001" customHeight="1" x14ac:dyDescent="0.25">
      <c r="A881" s="38">
        <v>12</v>
      </c>
      <c r="B881" s="38">
        <v>886</v>
      </c>
      <c r="C881" s="38" t="s">
        <v>685</v>
      </c>
      <c r="D881" s="38">
        <v>19</v>
      </c>
      <c r="E881" s="39" t="str">
        <f>CONCATENATE("PS-",TEXT(A881,"00"),"-",O881)</f>
        <v>PS-12-GO1</v>
      </c>
      <c r="F881" s="48" t="str">
        <f>CONCATENATE("Poste de Sectionnement n°",TEXT(A881,"00")," ",O881)</f>
        <v>Poste de Sectionnement n°12 GO1</v>
      </c>
      <c r="G881" s="19">
        <v>29952</v>
      </c>
      <c r="H881" s="19">
        <v>29952</v>
      </c>
      <c r="I881" s="41" t="s">
        <v>20</v>
      </c>
      <c r="J881" s="41">
        <v>1</v>
      </c>
      <c r="K881" s="41" t="s">
        <v>3557</v>
      </c>
      <c r="L881" s="41">
        <v>16</v>
      </c>
      <c r="M881" s="41"/>
      <c r="N881" s="41"/>
      <c r="O881" s="41" t="s">
        <v>439</v>
      </c>
      <c r="P881" s="41" t="s">
        <v>2398</v>
      </c>
      <c r="Q881" s="43">
        <f t="shared" si="102"/>
        <v>425.85</v>
      </c>
      <c r="R881" s="43">
        <f t="shared" si="103"/>
        <v>489.82499999999999</v>
      </c>
      <c r="S881" s="41" t="s">
        <v>2435</v>
      </c>
      <c r="T881" s="48" t="str">
        <f t="shared" si="104"/>
        <v>(12,'PS-12-GO1','Poste de Sectionnement n°12 GO1','Friday-01-jj','Friday-01-jj',NULL,1,),</v>
      </c>
    </row>
    <row r="882" spans="1:20" ht="20.100000000000001" customHeight="1" x14ac:dyDescent="0.25">
      <c r="A882" s="38">
        <v>13</v>
      </c>
      <c r="B882" s="38">
        <v>887</v>
      </c>
      <c r="C882" s="38" t="s">
        <v>685</v>
      </c>
      <c r="D882" s="38">
        <v>19</v>
      </c>
      <c r="E882" s="39" t="str">
        <f>CONCATENATE("PS-",TEXT(A882,"00"),"-",O882)</f>
        <v>PS-13-GO1</v>
      </c>
      <c r="F882" s="48" t="str">
        <f>CONCATENATE("Poste de Sectionnement n°",TEXT(A882,"00")," ",O882)</f>
        <v>Poste de Sectionnement n°13 GO1</v>
      </c>
      <c r="G882" s="19">
        <v>29952</v>
      </c>
      <c r="H882" s="19">
        <v>29952</v>
      </c>
      <c r="I882" s="41" t="s">
        <v>20</v>
      </c>
      <c r="J882" s="41">
        <v>1</v>
      </c>
      <c r="K882" s="41" t="s">
        <v>3557</v>
      </c>
      <c r="L882" s="41">
        <v>16</v>
      </c>
      <c r="M882" s="41"/>
      <c r="N882" s="41"/>
      <c r="O882" s="41" t="s">
        <v>439</v>
      </c>
      <c r="P882" s="41" t="s">
        <v>2399</v>
      </c>
      <c r="Q882" s="43">
        <f t="shared" si="102"/>
        <v>704.82</v>
      </c>
      <c r="R882" s="43">
        <f t="shared" si="103"/>
        <v>519.673</v>
      </c>
      <c r="S882" s="41" t="s">
        <v>2436</v>
      </c>
      <c r="T882" s="48" t="str">
        <f t="shared" si="104"/>
        <v>(13,'PS-13-GO1','Poste de Sectionnement n°13 GO1','Friday-01-jj','Friday-01-jj',NULL,1,),</v>
      </c>
    </row>
    <row r="883" spans="1:20" ht="20.100000000000001" customHeight="1" x14ac:dyDescent="0.25">
      <c r="A883" s="38">
        <v>7</v>
      </c>
      <c r="B883" s="38">
        <v>888</v>
      </c>
      <c r="C883" s="38" t="s">
        <v>685</v>
      </c>
      <c r="D883" s="38">
        <v>19</v>
      </c>
      <c r="E883" s="45" t="str">
        <f>CONCATENATE("PPUR-",TEXT(A883,"00"),"-",O883)</f>
        <v>PPUR-07-GO1</v>
      </c>
      <c r="F883" s="48" t="str">
        <f>CONCATENATE("Poste de Purge n°",TEXT(A883,"00")," ",O883)</f>
        <v>Poste de Purge n°07 GO1</v>
      </c>
      <c r="G883" s="19">
        <v>29952</v>
      </c>
      <c r="H883" s="19">
        <v>29952</v>
      </c>
      <c r="I883" s="41" t="s">
        <v>20</v>
      </c>
      <c r="J883" s="41">
        <v>1</v>
      </c>
      <c r="K883" s="41" t="s">
        <v>3558</v>
      </c>
      <c r="L883" s="41">
        <v>17</v>
      </c>
      <c r="M883" s="41"/>
      <c r="N883" s="41"/>
      <c r="O883" s="41" t="s">
        <v>439</v>
      </c>
      <c r="P883" s="41" t="s">
        <v>2445</v>
      </c>
      <c r="Q883" s="49">
        <f t="shared" si="102"/>
        <v>669.2</v>
      </c>
      <c r="R883" s="43">
        <f t="shared" si="103"/>
        <v>546.90300000000002</v>
      </c>
      <c r="S883" s="41"/>
      <c r="T883" s="48" t="str">
        <f t="shared" si="104"/>
        <v>(7,'PPUR-07-GO1','Poste de Purge n°07 GO1','Friday-01-jj','Friday-01-jj',NULL,1,),</v>
      </c>
    </row>
    <row r="884" spans="1:20" ht="20.100000000000001" customHeight="1" x14ac:dyDescent="0.25">
      <c r="A884" s="38">
        <v>1</v>
      </c>
      <c r="B884" s="38">
        <v>889</v>
      </c>
      <c r="C884" s="38" t="s">
        <v>685</v>
      </c>
      <c r="D884" s="38">
        <v>19</v>
      </c>
      <c r="E884" s="39" t="str">
        <f>CONCATENATE("PS-",TEXT(A884,"00"),"-",O884)</f>
        <v>PS-01-GO2</v>
      </c>
      <c r="F884" s="48" t="str">
        <f>CONCATENATE("Poste de Sectionnement n°",TEXT(A884,"00")," ",O884)</f>
        <v>Poste de Sectionnement n°01 GO2</v>
      </c>
      <c r="G884" s="19">
        <v>31778</v>
      </c>
      <c r="H884" s="19">
        <v>31778</v>
      </c>
      <c r="I884" s="41" t="s">
        <v>20</v>
      </c>
      <c r="J884" s="41">
        <v>1</v>
      </c>
      <c r="K884" s="41" t="s">
        <v>3557</v>
      </c>
      <c r="L884" s="41">
        <v>16</v>
      </c>
      <c r="M884" s="41"/>
      <c r="N884" s="41"/>
      <c r="O884" s="41" t="s">
        <v>441</v>
      </c>
      <c r="P884" s="41" t="s">
        <v>2400</v>
      </c>
      <c r="Q884" s="43">
        <f t="shared" si="102"/>
        <v>786.68</v>
      </c>
      <c r="R884" s="43">
        <f t="shared" si="103"/>
        <v>20.369</v>
      </c>
      <c r="S884" s="41" t="s">
        <v>790</v>
      </c>
      <c r="T884" s="48" t="str">
        <f t="shared" si="104"/>
        <v>(1,'PS-01-GO2','Poste de Sectionnement n°01 GO2','Thursday-01-jj','Thursday-01-jj',NULL,1,),</v>
      </c>
    </row>
    <row r="885" spans="1:20" ht="20.100000000000001" customHeight="1" x14ac:dyDescent="0.25">
      <c r="A885" s="38">
        <v>1</v>
      </c>
      <c r="B885" s="38">
        <v>890</v>
      </c>
      <c r="C885" s="38" t="s">
        <v>685</v>
      </c>
      <c r="D885" s="38">
        <v>19</v>
      </c>
      <c r="E885" s="39" t="str">
        <f>CONCATENATE("PS-",TEXT(A885,"00"),"-",O885)</f>
        <v>PS-01-GO2</v>
      </c>
      <c r="F885" s="48" t="str">
        <f>CONCATENATE("Poste de Sectionnement n°",TEXT(A885,"00")," ",O885)</f>
        <v>Poste de Sectionnement n°01 GO2</v>
      </c>
      <c r="G885" s="19">
        <v>31778</v>
      </c>
      <c r="H885" s="19">
        <v>31778</v>
      </c>
      <c r="I885" s="41" t="s">
        <v>20</v>
      </c>
      <c r="J885" s="41">
        <v>1</v>
      </c>
      <c r="K885" s="41" t="s">
        <v>3557</v>
      </c>
      <c r="L885" s="41">
        <v>16</v>
      </c>
      <c r="M885" s="41"/>
      <c r="N885" s="41"/>
      <c r="O885" s="41" t="s">
        <v>441</v>
      </c>
      <c r="P885" s="41" t="s">
        <v>2401</v>
      </c>
      <c r="Q885" s="43">
        <f t="shared" si="102"/>
        <v>719.48</v>
      </c>
      <c r="R885" s="43">
        <f t="shared" si="103"/>
        <v>39.887</v>
      </c>
      <c r="S885" s="41" t="s">
        <v>2070</v>
      </c>
      <c r="T885" s="48" t="str">
        <f t="shared" si="104"/>
        <v>(1,'PS-01-GO2','Poste de Sectionnement n°01 GO2','Thursday-01-jj','Thursday-01-jj',NULL,1,),</v>
      </c>
    </row>
    <row r="886" spans="1:20" ht="20.100000000000001" customHeight="1" x14ac:dyDescent="0.25">
      <c r="A886" s="38">
        <v>2</v>
      </c>
      <c r="B886" s="38">
        <v>891</v>
      </c>
      <c r="C886" s="38" t="s">
        <v>685</v>
      </c>
      <c r="D886" s="38">
        <v>19</v>
      </c>
      <c r="E886" s="39" t="str">
        <f>CONCATENATE("PS-",TEXT(A886,"00"),"-",O886)</f>
        <v>PS-02-GO2</v>
      </c>
      <c r="F886" s="48" t="str">
        <f>CONCATENATE("Poste de Sectionnement n°",TEXT(A886,"00")," ",O886)</f>
        <v>Poste de Sectionnement n°02 GO2</v>
      </c>
      <c r="G886" s="19">
        <v>31778</v>
      </c>
      <c r="H886" s="19">
        <v>31778</v>
      </c>
      <c r="I886" s="41" t="s">
        <v>20</v>
      </c>
      <c r="J886" s="41">
        <v>1</v>
      </c>
      <c r="K886" s="41" t="s">
        <v>3557</v>
      </c>
      <c r="L886" s="41">
        <v>16</v>
      </c>
      <c r="M886" s="41"/>
      <c r="N886" s="41"/>
      <c r="O886" s="41" t="s">
        <v>441</v>
      </c>
      <c r="P886" s="41" t="s">
        <v>2402</v>
      </c>
      <c r="Q886" s="43">
        <f t="shared" ref="Q886:Q949" si="105">VALUE(RIGHT(P886,LEN(P886)-SEARCH("/",P886)))</f>
        <v>738.9</v>
      </c>
      <c r="R886" s="43">
        <f t="shared" ref="R886:R949" si="106">VALUE(SUBSTITUTE(LEFT(P886,SEARCH("/",P886)-1),"+",","))</f>
        <v>75.831999999999994</v>
      </c>
      <c r="S886" s="41" t="s">
        <v>2070</v>
      </c>
      <c r="T886" s="48" t="str">
        <f t="shared" si="104"/>
        <v>(2,'PS-02-GO2','Poste de Sectionnement n°02 GO2','Thursday-01-jj','Thursday-01-jj',NULL,1,),</v>
      </c>
    </row>
    <row r="887" spans="1:20" ht="20.100000000000001" customHeight="1" x14ac:dyDescent="0.25">
      <c r="A887" s="38">
        <v>3</v>
      </c>
      <c r="B887" s="38">
        <v>892</v>
      </c>
      <c r="C887" s="38" t="s">
        <v>685</v>
      </c>
      <c r="D887" s="38">
        <v>19</v>
      </c>
      <c r="E887" s="39" t="str">
        <f>CONCATENATE("PS-",TEXT(A887,"00"),"-",O887)</f>
        <v>PS-03-GO2</v>
      </c>
      <c r="F887" s="48" t="str">
        <f>CONCATENATE("Poste de Sectionnement n°",TEXT(A887,"00")," ",O887)</f>
        <v>Poste de Sectionnement n°03 GO2</v>
      </c>
      <c r="G887" s="19">
        <v>31778</v>
      </c>
      <c r="H887" s="19">
        <v>31778</v>
      </c>
      <c r="I887" s="41" t="s">
        <v>20</v>
      </c>
      <c r="J887" s="41">
        <v>1</v>
      </c>
      <c r="K887" s="41" t="s">
        <v>3557</v>
      </c>
      <c r="L887" s="41">
        <v>16</v>
      </c>
      <c r="M887" s="41"/>
      <c r="N887" s="41"/>
      <c r="O887" s="41" t="s">
        <v>441</v>
      </c>
      <c r="P887" s="41" t="s">
        <v>2403</v>
      </c>
      <c r="Q887" s="43">
        <f t="shared" si="105"/>
        <v>741.89</v>
      </c>
      <c r="R887" s="43">
        <f t="shared" si="106"/>
        <v>112.35</v>
      </c>
      <c r="S887" s="41" t="s">
        <v>2166</v>
      </c>
      <c r="T887" s="48" t="str">
        <f t="shared" si="104"/>
        <v>(3,'PS-03-GO2','Poste de Sectionnement n°03 GO2','Thursday-01-jj','Thursday-01-jj',NULL,1,),</v>
      </c>
    </row>
    <row r="888" spans="1:20" ht="20.100000000000001" customHeight="1" x14ac:dyDescent="0.25">
      <c r="A888" s="38">
        <v>4</v>
      </c>
      <c r="B888" s="38">
        <v>893</v>
      </c>
      <c r="C888" s="38" t="s">
        <v>685</v>
      </c>
      <c r="D888" s="38">
        <v>19</v>
      </c>
      <c r="E888" s="39" t="str">
        <f>CONCATENATE("PS-",TEXT(A888,"00"),"-",O888)</f>
        <v>PS-04-GO2</v>
      </c>
      <c r="F888" s="48" t="str">
        <f>CONCATENATE("Poste de Sectionnement n°",TEXT(A888,"00")," ",O888)</f>
        <v>Poste de Sectionnement n°04 GO2</v>
      </c>
      <c r="G888" s="19">
        <v>31778</v>
      </c>
      <c r="H888" s="19">
        <v>31778</v>
      </c>
      <c r="I888" s="41" t="s">
        <v>20</v>
      </c>
      <c r="J888" s="41">
        <v>1</v>
      </c>
      <c r="K888" s="41" t="s">
        <v>3557</v>
      </c>
      <c r="L888" s="41">
        <v>16</v>
      </c>
      <c r="M888" s="41"/>
      <c r="N888" s="41"/>
      <c r="O888" s="41" t="s">
        <v>441</v>
      </c>
      <c r="P888" s="41" t="s">
        <v>2404</v>
      </c>
      <c r="Q888" s="43">
        <f t="shared" si="105"/>
        <v>564.30999999999995</v>
      </c>
      <c r="R888" s="43">
        <f t="shared" si="106"/>
        <v>147.09200000000001</v>
      </c>
      <c r="S888" s="41" t="s">
        <v>2431</v>
      </c>
      <c r="T888" s="48" t="str">
        <f t="shared" si="104"/>
        <v>(4,'PS-04-GO2','Poste de Sectionnement n°04 GO2','Thursday-01-jj','Thursday-01-jj',NULL,1,),</v>
      </c>
    </row>
    <row r="889" spans="1:20" ht="20.100000000000001" customHeight="1" x14ac:dyDescent="0.25">
      <c r="A889" s="38">
        <v>1</v>
      </c>
      <c r="B889" s="38">
        <v>894</v>
      </c>
      <c r="C889" s="38" t="s">
        <v>685</v>
      </c>
      <c r="D889" s="38">
        <v>19</v>
      </c>
      <c r="E889" s="45" t="str">
        <f>CONCATENATE("PPUR-",TEXT(A889,"00"),"-",O889)</f>
        <v>PPUR-01-GO2</v>
      </c>
      <c r="F889" s="48" t="str">
        <f>CONCATENATE("Poste de Purge n°",TEXT(A889,"00")," ",O889)</f>
        <v>Poste de Purge n°01 GO2</v>
      </c>
      <c r="G889" s="19">
        <v>31778</v>
      </c>
      <c r="H889" s="19">
        <v>31778</v>
      </c>
      <c r="I889" s="41" t="s">
        <v>20</v>
      </c>
      <c r="J889" s="41">
        <v>1</v>
      </c>
      <c r="K889" s="41" t="s">
        <v>3558</v>
      </c>
      <c r="L889" s="41">
        <v>17</v>
      </c>
      <c r="M889" s="41"/>
      <c r="N889" s="41"/>
      <c r="O889" s="41" t="s">
        <v>441</v>
      </c>
      <c r="P889" s="41" t="s">
        <v>2446</v>
      </c>
      <c r="Q889" s="49">
        <f t="shared" si="105"/>
        <v>451.9</v>
      </c>
      <c r="R889" s="43">
        <f t="shared" si="106"/>
        <v>166.96600000000001</v>
      </c>
      <c r="S889" s="41"/>
      <c r="T889" s="48" t="str">
        <f t="shared" si="104"/>
        <v>(1,'PPUR-01-GO2','Poste de Purge n°01 GO2','Thursday-01-jj','Thursday-01-jj',NULL,1,),</v>
      </c>
    </row>
    <row r="890" spans="1:20" ht="20.100000000000001" customHeight="1" x14ac:dyDescent="0.25">
      <c r="A890" s="38">
        <v>1</v>
      </c>
      <c r="B890" s="38">
        <v>895</v>
      </c>
      <c r="C890" s="38" t="s">
        <v>685</v>
      </c>
      <c r="D890" s="38">
        <v>19</v>
      </c>
      <c r="E890" s="45" t="str">
        <f>CONCATENATE("PC-",TEXT(A890,"00"),"-",O890)</f>
        <v>PC-01-GO2</v>
      </c>
      <c r="F890" s="48" t="str">
        <f>CONCATENATE("Poste de Coupure n°",TEXT(A890,"00")," ",O890)</f>
        <v>Poste de Coupure n°01 GO2</v>
      </c>
      <c r="G890" s="19">
        <v>31778</v>
      </c>
      <c r="H890" s="19">
        <v>31778</v>
      </c>
      <c r="I890" s="41" t="s">
        <v>20</v>
      </c>
      <c r="J890" s="41">
        <v>1</v>
      </c>
      <c r="K890" s="41" t="s">
        <v>3556</v>
      </c>
      <c r="L890" s="41">
        <v>15</v>
      </c>
      <c r="M890" s="41"/>
      <c r="N890" s="41"/>
      <c r="O890" s="41" t="s">
        <v>441</v>
      </c>
      <c r="P890" s="41" t="s">
        <v>2378</v>
      </c>
      <c r="Q890" s="49">
        <f t="shared" si="105"/>
        <v>449.5</v>
      </c>
      <c r="R890" s="43">
        <f t="shared" si="106"/>
        <v>168.49100000000001</v>
      </c>
      <c r="S890" s="41" t="s">
        <v>2384</v>
      </c>
      <c r="T890" s="48" t="str">
        <f t="shared" si="104"/>
        <v>(1,'PC-01-GO2','Poste de Coupure n°01 GO2','Thursday-01-jj','Thursday-01-jj',NULL,1,),</v>
      </c>
    </row>
    <row r="891" spans="1:20" ht="20.100000000000001" customHeight="1" x14ac:dyDescent="0.25">
      <c r="A891" s="38">
        <v>2</v>
      </c>
      <c r="B891" s="38">
        <v>896</v>
      </c>
      <c r="C891" s="38" t="s">
        <v>685</v>
      </c>
      <c r="D891" s="38">
        <v>19</v>
      </c>
      <c r="E891" s="45" t="str">
        <f>CONCATENATE("PPUR-",TEXT(A891,"00"),"-",O891)</f>
        <v>PPUR-02-GO2</v>
      </c>
      <c r="F891" s="48" t="str">
        <f>CONCATENATE("Poste de Purge n°",TEXT(A891,"00")," ",O891)</f>
        <v>Poste de Purge n°02 GO2</v>
      </c>
      <c r="G891" s="19">
        <v>31778</v>
      </c>
      <c r="H891" s="19">
        <v>31778</v>
      </c>
      <c r="I891" s="41" t="s">
        <v>20</v>
      </c>
      <c r="J891" s="41">
        <v>1</v>
      </c>
      <c r="K891" s="41" t="s">
        <v>3558</v>
      </c>
      <c r="L891" s="41">
        <v>17</v>
      </c>
      <c r="M891" s="41"/>
      <c r="N891" s="41"/>
      <c r="O891" s="41" t="s">
        <v>441</v>
      </c>
      <c r="P891" s="41" t="s">
        <v>2447</v>
      </c>
      <c r="Q891" s="49">
        <f t="shared" si="105"/>
        <v>448.13</v>
      </c>
      <c r="R891" s="43">
        <f t="shared" si="106"/>
        <v>168.81</v>
      </c>
      <c r="S891" s="41"/>
      <c r="T891" s="48" t="str">
        <f t="shared" si="104"/>
        <v>(2,'PPUR-02-GO2','Poste de Purge n°02 GO2','Thursday-01-jj','Thursday-01-jj',NULL,1,),</v>
      </c>
    </row>
    <row r="892" spans="1:20" ht="20.100000000000001" customHeight="1" x14ac:dyDescent="0.25">
      <c r="A892" s="38">
        <v>5</v>
      </c>
      <c r="B892" s="38">
        <v>897</v>
      </c>
      <c r="C892" s="38" t="s">
        <v>685</v>
      </c>
      <c r="D892" s="38">
        <v>19</v>
      </c>
      <c r="E892" s="39" t="str">
        <f>CONCATENATE("PS-",TEXT(A892,"00"),"-",O892)</f>
        <v>PS-05-GO2</v>
      </c>
      <c r="F892" s="48" t="str">
        <f>CONCATENATE("Poste de Sectionnement n°",TEXT(A892,"00")," ",O892)</f>
        <v>Poste de Sectionnement n°05 GO2</v>
      </c>
      <c r="G892" s="19">
        <v>31778</v>
      </c>
      <c r="H892" s="19">
        <v>31778</v>
      </c>
      <c r="I892" s="41" t="s">
        <v>20</v>
      </c>
      <c r="J892" s="41">
        <v>1</v>
      </c>
      <c r="K892" s="41" t="s">
        <v>3557</v>
      </c>
      <c r="L892" s="41">
        <v>16</v>
      </c>
      <c r="M892" s="41"/>
      <c r="N892" s="41"/>
      <c r="O892" s="41" t="s">
        <v>441</v>
      </c>
      <c r="P892" s="41" t="s">
        <v>2391</v>
      </c>
      <c r="Q892" s="43">
        <f t="shared" si="105"/>
        <v>351.21</v>
      </c>
      <c r="R892" s="43">
        <f t="shared" si="106"/>
        <v>208.33</v>
      </c>
      <c r="S892" s="41" t="s">
        <v>2084</v>
      </c>
      <c r="T892" s="48" t="str">
        <f t="shared" si="104"/>
        <v>(5,'PS-05-GO2','Poste de Sectionnement n°05 GO2','Thursday-01-jj','Thursday-01-jj',NULL,1,),</v>
      </c>
    </row>
    <row r="893" spans="1:20" ht="20.100000000000001" customHeight="1" x14ac:dyDescent="0.25">
      <c r="A893" s="38">
        <v>6</v>
      </c>
      <c r="B893" s="38">
        <v>898</v>
      </c>
      <c r="C893" s="38" t="s">
        <v>685</v>
      </c>
      <c r="D893" s="38">
        <v>19</v>
      </c>
      <c r="E893" s="39" t="str">
        <f>CONCATENATE("PS-",TEXT(A893,"00"),"-",O893)</f>
        <v>PS-06-GO2</v>
      </c>
      <c r="F893" s="48" t="str">
        <f>CONCATENATE("Poste de Sectionnement n°",TEXT(A893,"00")," ",O893)</f>
        <v>Poste de Sectionnement n°06 GO2</v>
      </c>
      <c r="G893" s="19">
        <v>31778</v>
      </c>
      <c r="H893" s="19">
        <v>31778</v>
      </c>
      <c r="I893" s="41" t="s">
        <v>20</v>
      </c>
      <c r="J893" s="41">
        <v>1</v>
      </c>
      <c r="K893" s="41" t="s">
        <v>3557</v>
      </c>
      <c r="L893" s="41">
        <v>16</v>
      </c>
      <c r="M893" s="41"/>
      <c r="N893" s="41"/>
      <c r="O893" s="41" t="s">
        <v>441</v>
      </c>
      <c r="P893" s="41" t="s">
        <v>2405</v>
      </c>
      <c r="Q893" s="43">
        <f t="shared" si="105"/>
        <v>224.98</v>
      </c>
      <c r="R893" s="43">
        <f t="shared" si="106"/>
        <v>246.608</v>
      </c>
      <c r="S893" s="41" t="s">
        <v>2084</v>
      </c>
      <c r="T893" s="48" t="str">
        <f t="shared" si="104"/>
        <v>(6,'PS-06-GO2','Poste de Sectionnement n°06 GO2','Thursday-01-jj','Thursday-01-jj',NULL,1,),</v>
      </c>
    </row>
    <row r="894" spans="1:20" ht="20.100000000000001" customHeight="1" x14ac:dyDescent="0.25">
      <c r="A894" s="38">
        <v>7</v>
      </c>
      <c r="B894" s="38">
        <v>899</v>
      </c>
      <c r="C894" s="38" t="s">
        <v>685</v>
      </c>
      <c r="D894" s="38">
        <v>19</v>
      </c>
      <c r="E894" s="39" t="str">
        <f>CONCATENATE("PS-",TEXT(A894,"00"),"-",O894)</f>
        <v>PS-07-GO2</v>
      </c>
      <c r="F894" s="48" t="str">
        <f>CONCATENATE("Poste de Sectionnement n°",TEXT(A894,"00")," ",O894)</f>
        <v>Poste de Sectionnement n°07 GO2</v>
      </c>
      <c r="G894" s="19">
        <v>31778</v>
      </c>
      <c r="H894" s="19">
        <v>31778</v>
      </c>
      <c r="I894" s="41" t="s">
        <v>20</v>
      </c>
      <c r="J894" s="41">
        <v>1</v>
      </c>
      <c r="K894" s="41" t="s">
        <v>3557</v>
      </c>
      <c r="L894" s="41">
        <v>16</v>
      </c>
      <c r="M894" s="41"/>
      <c r="N894" s="41"/>
      <c r="O894" s="41" t="s">
        <v>441</v>
      </c>
      <c r="P894" s="41" t="s">
        <v>2406</v>
      </c>
      <c r="Q894" s="43">
        <f t="shared" si="105"/>
        <v>101.45</v>
      </c>
      <c r="R894" s="43">
        <f t="shared" si="106"/>
        <v>284.11500000000001</v>
      </c>
      <c r="S894" s="41" t="s">
        <v>2432</v>
      </c>
      <c r="T894" s="48" t="str">
        <f t="shared" si="104"/>
        <v>(7,'PS-07-GO2','Poste de Sectionnement n°07 GO2','Thursday-01-jj','Thursday-01-jj',NULL,1,),</v>
      </c>
    </row>
    <row r="895" spans="1:20" ht="20.100000000000001" customHeight="1" x14ac:dyDescent="0.25">
      <c r="A895" s="38">
        <v>8</v>
      </c>
      <c r="B895" s="38">
        <v>900</v>
      </c>
      <c r="C895" s="38" t="s">
        <v>685</v>
      </c>
      <c r="D895" s="38">
        <v>19</v>
      </c>
      <c r="E895" s="39" t="str">
        <f>CONCATENATE("PS-",TEXT(A895,"00"),"-",O895)</f>
        <v>PS-08-GO2</v>
      </c>
      <c r="F895" s="48" t="str">
        <f>CONCATENATE("Poste de Sectionnement n°",TEXT(A895,"00")," ",O895)</f>
        <v>Poste de Sectionnement n°08 GO2</v>
      </c>
      <c r="G895" s="19">
        <v>31778</v>
      </c>
      <c r="H895" s="19">
        <v>31778</v>
      </c>
      <c r="I895" s="41" t="s">
        <v>20</v>
      </c>
      <c r="J895" s="41">
        <v>1</v>
      </c>
      <c r="K895" s="41" t="s">
        <v>3557</v>
      </c>
      <c r="L895" s="41">
        <v>16</v>
      </c>
      <c r="M895" s="41"/>
      <c r="N895" s="41"/>
      <c r="O895" s="41" t="s">
        <v>441</v>
      </c>
      <c r="P895" s="41" t="s">
        <v>2407</v>
      </c>
      <c r="Q895" s="43">
        <f t="shared" si="105"/>
        <v>19.03</v>
      </c>
      <c r="R895" s="43">
        <f t="shared" si="106"/>
        <v>319.255</v>
      </c>
      <c r="S895" s="41" t="s">
        <v>853</v>
      </c>
      <c r="T895" s="48" t="str">
        <f t="shared" si="104"/>
        <v>(8,'PS-08-GO2','Poste de Sectionnement n°08 GO2','Thursday-01-jj','Thursday-01-jj',NULL,1,),</v>
      </c>
    </row>
    <row r="896" spans="1:20" ht="20.100000000000001" customHeight="1" x14ac:dyDescent="0.25">
      <c r="A896" s="38">
        <v>3</v>
      </c>
      <c r="B896" s="38">
        <v>901</v>
      </c>
      <c r="C896" s="38" t="s">
        <v>685</v>
      </c>
      <c r="D896" s="38">
        <v>19</v>
      </c>
      <c r="E896" s="45" t="str">
        <f>CONCATENATE("PPUR-",TEXT(A896,"00"),"-",O896)</f>
        <v>PPUR-03-GO2</v>
      </c>
      <c r="F896" s="48" t="str">
        <f>CONCATENATE("Poste de Purge n°",TEXT(A896,"00")," ",O896)</f>
        <v>Poste de Purge n°03 GO2</v>
      </c>
      <c r="G896" s="19">
        <v>31778</v>
      </c>
      <c r="H896" s="19">
        <v>31778</v>
      </c>
      <c r="I896" s="41" t="s">
        <v>20</v>
      </c>
      <c r="J896" s="41">
        <v>1</v>
      </c>
      <c r="K896" s="41" t="s">
        <v>3558</v>
      </c>
      <c r="L896" s="41">
        <v>17</v>
      </c>
      <c r="M896" s="41"/>
      <c r="N896" s="41"/>
      <c r="O896" s="41" t="s">
        <v>441</v>
      </c>
      <c r="P896" s="41" t="s">
        <v>2448</v>
      </c>
      <c r="Q896" s="49">
        <f t="shared" si="105"/>
        <v>-10.33</v>
      </c>
      <c r="R896" s="43">
        <f t="shared" si="106"/>
        <v>342.30500000000001</v>
      </c>
      <c r="S896" s="41"/>
      <c r="T896" s="48" t="str">
        <f t="shared" si="104"/>
        <v>(3,'PPUR-03-GO2','Poste de Purge n°03 GO2','Thursday-01-jj','Thursday-01-jj',NULL,1,),</v>
      </c>
    </row>
    <row r="897" spans="1:20" ht="20.100000000000001" customHeight="1" x14ac:dyDescent="0.25">
      <c r="A897" s="38">
        <v>2</v>
      </c>
      <c r="B897" s="38">
        <v>902</v>
      </c>
      <c r="C897" s="38" t="s">
        <v>685</v>
      </c>
      <c r="D897" s="38">
        <v>19</v>
      </c>
      <c r="E897" s="45" t="str">
        <f>CONCATENATE("PC-",TEXT(A897,"00"),"-",O897)</f>
        <v>PC-02-GO2</v>
      </c>
      <c r="F897" s="48" t="str">
        <f>CONCATENATE("Poste de Coupure n°",TEXT(A897,"00")," ",O897)</f>
        <v>Poste de Coupure n°02 GO2</v>
      </c>
      <c r="G897" s="19">
        <v>31778</v>
      </c>
      <c r="H897" s="19">
        <v>31778</v>
      </c>
      <c r="I897" s="41" t="s">
        <v>20</v>
      </c>
      <c r="J897" s="41">
        <v>1</v>
      </c>
      <c r="K897" s="41" t="s">
        <v>3556</v>
      </c>
      <c r="L897" s="41">
        <v>15</v>
      </c>
      <c r="M897" s="41"/>
      <c r="N897" s="41"/>
      <c r="O897" s="41" t="s">
        <v>441</v>
      </c>
      <c r="P897" s="41" t="s">
        <v>2379</v>
      </c>
      <c r="Q897" s="49">
        <f t="shared" si="105"/>
        <v>-1.6</v>
      </c>
      <c r="R897" s="43">
        <f t="shared" si="106"/>
        <v>348.18900000000002</v>
      </c>
      <c r="S897" s="41" t="s">
        <v>2385</v>
      </c>
      <c r="T897" s="48" t="str">
        <f t="shared" si="104"/>
        <v>(2,'PC-02-GO2','Poste de Coupure n°02 GO2','Thursday-01-jj','Thursday-01-jj',NULL,1,),</v>
      </c>
    </row>
    <row r="898" spans="1:20" ht="20.100000000000001" customHeight="1" x14ac:dyDescent="0.25">
      <c r="A898" s="38">
        <v>1</v>
      </c>
      <c r="B898" s="38">
        <v>903</v>
      </c>
      <c r="C898" s="38" t="s">
        <v>685</v>
      </c>
      <c r="D898" s="38">
        <v>19</v>
      </c>
      <c r="E898" s="39" t="s">
        <v>2458</v>
      </c>
      <c r="F898" s="48" t="str">
        <f>CONCATENATE("Station de Compression ",E898)</f>
        <v>Station de Compression SC2-GO2</v>
      </c>
      <c r="G898" s="19">
        <v>35065</v>
      </c>
      <c r="H898" s="19">
        <v>35065</v>
      </c>
      <c r="I898" s="41" t="s">
        <v>20</v>
      </c>
      <c r="J898" s="41">
        <v>1</v>
      </c>
      <c r="K898" s="41" t="s">
        <v>3554</v>
      </c>
      <c r="L898" s="41">
        <v>8</v>
      </c>
      <c r="M898" s="41">
        <v>10</v>
      </c>
      <c r="N898" s="41"/>
      <c r="O898" s="41" t="s">
        <v>441</v>
      </c>
      <c r="P898" s="41" t="s">
        <v>2376</v>
      </c>
      <c r="Q898" s="49">
        <f t="shared" si="105"/>
        <v>-1.6</v>
      </c>
      <c r="R898" s="43">
        <f t="shared" si="106"/>
        <v>348.38099999999997</v>
      </c>
      <c r="S898" s="41" t="s">
        <v>2385</v>
      </c>
      <c r="T898" s="48" t="str">
        <f t="shared" si="104"/>
        <v>(1,'SC2-GO2','Station de Compression SC2-GO2','Monday-01-jj','Monday-01-jj',NULL,1,10),</v>
      </c>
    </row>
    <row r="899" spans="1:20" ht="20.100000000000001" customHeight="1" x14ac:dyDescent="0.25">
      <c r="A899" s="38">
        <v>4</v>
      </c>
      <c r="B899" s="38">
        <v>904</v>
      </c>
      <c r="C899" s="38" t="s">
        <v>685</v>
      </c>
      <c r="D899" s="38">
        <v>19</v>
      </c>
      <c r="E899" s="45" t="str">
        <f>CONCATENATE("PPUR-",TEXT(A899,"00"),"-",O899)</f>
        <v>PPUR-04-GO2</v>
      </c>
      <c r="F899" s="48" t="str">
        <f>CONCATENATE("Poste de Purge n°",TEXT(A899,"00")," ",O899)</f>
        <v>Poste de Purge n°04 GO2</v>
      </c>
      <c r="G899" s="19">
        <v>31778</v>
      </c>
      <c r="H899" s="19">
        <v>31778</v>
      </c>
      <c r="I899" s="41" t="s">
        <v>20</v>
      </c>
      <c r="J899" s="41">
        <v>1</v>
      </c>
      <c r="K899" s="41" t="s">
        <v>3558</v>
      </c>
      <c r="L899" s="41">
        <v>17</v>
      </c>
      <c r="M899" s="41"/>
      <c r="N899" s="41"/>
      <c r="O899" s="41" t="s">
        <v>441</v>
      </c>
      <c r="P899" s="41" t="s">
        <v>2449</v>
      </c>
      <c r="Q899" s="49">
        <f t="shared" si="105"/>
        <v>-0.28000000000000003</v>
      </c>
      <c r="R899" s="43">
        <f t="shared" si="106"/>
        <v>349.08499999999998</v>
      </c>
      <c r="S899" s="41"/>
      <c r="T899" s="48" t="str">
        <f t="shared" si="104"/>
        <v>(4,'PPUR-04-GO2','Poste de Purge n°04 GO2','Thursday-01-jj','Thursday-01-jj',NULL,1,),</v>
      </c>
    </row>
    <row r="900" spans="1:20" ht="20.100000000000001" customHeight="1" x14ac:dyDescent="0.25">
      <c r="A900" s="38">
        <v>9</v>
      </c>
      <c r="B900" s="38">
        <v>905</v>
      </c>
      <c r="C900" s="38" t="s">
        <v>685</v>
      </c>
      <c r="D900" s="38">
        <v>19</v>
      </c>
      <c r="E900" s="39" t="str">
        <f>CONCATENATE("PS-",TEXT(A900,"00"),"-",O900)</f>
        <v>PS-09-GO2</v>
      </c>
      <c r="F900" s="48" t="str">
        <f>CONCATENATE("Poste de Sectionnement n°",TEXT(A900,"00")," ",O900)</f>
        <v>Poste de Sectionnement n°09 GO2</v>
      </c>
      <c r="G900" s="19">
        <v>31778</v>
      </c>
      <c r="H900" s="19">
        <v>31778</v>
      </c>
      <c r="I900" s="41" t="s">
        <v>20</v>
      </c>
      <c r="J900" s="41">
        <v>1</v>
      </c>
      <c r="K900" s="41" t="s">
        <v>3557</v>
      </c>
      <c r="L900" s="41">
        <v>16</v>
      </c>
      <c r="M900" s="41"/>
      <c r="N900" s="41"/>
      <c r="O900" s="41" t="s">
        <v>441</v>
      </c>
      <c r="P900" s="41" t="s">
        <v>2408</v>
      </c>
      <c r="Q900" s="43">
        <f t="shared" si="105"/>
        <v>35.29</v>
      </c>
      <c r="R900" s="43">
        <f t="shared" si="106"/>
        <v>375.45100000000002</v>
      </c>
      <c r="S900" s="41" t="s">
        <v>2433</v>
      </c>
      <c r="T900" s="48" t="str">
        <f t="shared" si="104"/>
        <v>(9,'PS-09-GO2','Poste de Sectionnement n°09 GO2','Thursday-01-jj','Thursday-01-jj',NULL,1,),</v>
      </c>
    </row>
    <row r="901" spans="1:20" ht="20.100000000000001" customHeight="1" x14ac:dyDescent="0.25">
      <c r="A901" s="38">
        <v>10</v>
      </c>
      <c r="B901" s="38">
        <v>906</v>
      </c>
      <c r="C901" s="38" t="s">
        <v>685</v>
      </c>
      <c r="D901" s="38">
        <v>19</v>
      </c>
      <c r="E901" s="39" t="str">
        <f>CONCATENATE("PS-",TEXT(A901,"00"),"-",O901)</f>
        <v>PS-10-GO2</v>
      </c>
      <c r="F901" s="48" t="str">
        <f>CONCATENATE("Poste de Sectionnement n°",TEXT(A901,"00")," ",O901)</f>
        <v>Poste de Sectionnement n°10 GO2</v>
      </c>
      <c r="G901" s="19">
        <v>31778</v>
      </c>
      <c r="H901" s="19">
        <v>31778</v>
      </c>
      <c r="I901" s="41" t="s">
        <v>20</v>
      </c>
      <c r="J901" s="41">
        <v>1</v>
      </c>
      <c r="K901" s="41" t="s">
        <v>3557</v>
      </c>
      <c r="L901" s="41">
        <v>16</v>
      </c>
      <c r="M901" s="41"/>
      <c r="N901" s="41"/>
      <c r="O901" s="41" t="s">
        <v>441</v>
      </c>
      <c r="P901" s="41" t="s">
        <v>2409</v>
      </c>
      <c r="Q901" s="43">
        <f t="shared" si="105"/>
        <v>58.44</v>
      </c>
      <c r="R901" s="43">
        <f t="shared" si="106"/>
        <v>403.75900000000001</v>
      </c>
      <c r="S901" s="41" t="s">
        <v>2434</v>
      </c>
      <c r="T901" s="48" t="str">
        <f t="shared" si="104"/>
        <v>(10,'PS-10-GO2','Poste de Sectionnement n°10 GO2','Thursday-01-jj','Thursday-01-jj',NULL,1,),</v>
      </c>
    </row>
    <row r="902" spans="1:20" ht="20.100000000000001" customHeight="1" x14ac:dyDescent="0.25">
      <c r="A902" s="38">
        <v>11</v>
      </c>
      <c r="B902" s="38">
        <v>907</v>
      </c>
      <c r="C902" s="38" t="s">
        <v>685</v>
      </c>
      <c r="D902" s="38">
        <v>19</v>
      </c>
      <c r="E902" s="39" t="str">
        <f>CONCATENATE("PS-",TEXT(A902,"00"),"-",O902)</f>
        <v>PS-11-GO2</v>
      </c>
      <c r="F902" s="48" t="str">
        <f>CONCATENATE("Poste de Sectionnement n°",TEXT(A902,"00")," ",O902)</f>
        <v>Poste de Sectionnement n°11 GO2</v>
      </c>
      <c r="G902" s="19">
        <v>31778</v>
      </c>
      <c r="H902" s="19">
        <v>31778</v>
      </c>
      <c r="I902" s="41" t="s">
        <v>20</v>
      </c>
      <c r="J902" s="41">
        <v>1</v>
      </c>
      <c r="K902" s="41" t="s">
        <v>3557</v>
      </c>
      <c r="L902" s="41">
        <v>16</v>
      </c>
      <c r="M902" s="41"/>
      <c r="N902" s="41"/>
      <c r="O902" s="41" t="s">
        <v>441</v>
      </c>
      <c r="P902" s="41" t="s">
        <v>2410</v>
      </c>
      <c r="Q902" s="43">
        <f t="shared" si="105"/>
        <v>136.15</v>
      </c>
      <c r="R902" s="43">
        <f t="shared" si="106"/>
        <v>433.08</v>
      </c>
      <c r="S902" s="41" t="s">
        <v>2434</v>
      </c>
      <c r="T902" s="48" t="str">
        <f t="shared" si="104"/>
        <v>(11,'PS-11-GO2','Poste de Sectionnement n°11 GO2','Thursday-01-jj','Thursday-01-jj',NULL,1,),</v>
      </c>
    </row>
    <row r="903" spans="1:20" ht="20.100000000000001" customHeight="1" x14ac:dyDescent="0.25">
      <c r="A903" s="38">
        <v>5</v>
      </c>
      <c r="B903" s="38">
        <v>908</v>
      </c>
      <c r="C903" s="38" t="s">
        <v>685</v>
      </c>
      <c r="D903" s="38">
        <v>19</v>
      </c>
      <c r="E903" s="45" t="str">
        <f>CONCATENATE("PPUR-",TEXT(A903,"00"),"-",O903)</f>
        <v>PPUR-05-GO2</v>
      </c>
      <c r="F903" s="48" t="str">
        <f>CONCATENATE("Poste de Purge n°",TEXT(A903,"00")," ",O903)</f>
        <v>Poste de Purge n°05 GO2</v>
      </c>
      <c r="G903" s="19">
        <v>31778</v>
      </c>
      <c r="H903" s="19">
        <v>31778</v>
      </c>
      <c r="I903" s="41" t="s">
        <v>20</v>
      </c>
      <c r="J903" s="41">
        <v>1</v>
      </c>
      <c r="K903" s="41" t="s">
        <v>3558</v>
      </c>
      <c r="L903" s="41">
        <v>17</v>
      </c>
      <c r="M903" s="41"/>
      <c r="N903" s="41"/>
      <c r="O903" s="41" t="s">
        <v>441</v>
      </c>
      <c r="P903" s="41" t="s">
        <v>2450</v>
      </c>
      <c r="Q903" s="49">
        <f t="shared" si="105"/>
        <v>8.7100000000000009</v>
      </c>
      <c r="R903" s="43">
        <f t="shared" si="106"/>
        <v>453.72500000000002</v>
      </c>
      <c r="S903" s="41"/>
      <c r="T903" s="48" t="str">
        <f t="shared" si="104"/>
        <v>(5,'PPUR-05-GO2','Poste de Purge n°05 GO2','Thursday-01-jj','Thursday-01-jj',NULL,1,),</v>
      </c>
    </row>
    <row r="904" spans="1:20" ht="20.100000000000001" customHeight="1" x14ac:dyDescent="0.25">
      <c r="A904" s="38">
        <v>3</v>
      </c>
      <c r="B904" s="38">
        <v>909</v>
      </c>
      <c r="C904" s="38" t="s">
        <v>685</v>
      </c>
      <c r="D904" s="38">
        <v>19</v>
      </c>
      <c r="E904" s="45" t="str">
        <f>CONCATENATE("PC-",TEXT(A904,"00"),"-",O904)</f>
        <v>PC-03-GO2</v>
      </c>
      <c r="F904" s="48" t="str">
        <f>CONCATENATE("Poste de Coupure n°",TEXT(A904,"00")," ",O904)</f>
        <v>Poste de Coupure n°03 GO2</v>
      </c>
      <c r="G904" s="19">
        <v>31778</v>
      </c>
      <c r="H904" s="19">
        <v>31778</v>
      </c>
      <c r="I904" s="41" t="s">
        <v>20</v>
      </c>
      <c r="J904" s="41">
        <v>1</v>
      </c>
      <c r="K904" s="41" t="s">
        <v>3556</v>
      </c>
      <c r="L904" s="41">
        <v>15</v>
      </c>
      <c r="M904" s="41"/>
      <c r="N904" s="41"/>
      <c r="O904" s="41" t="s">
        <v>441</v>
      </c>
      <c r="P904" s="41" t="s">
        <v>2380</v>
      </c>
      <c r="Q904" s="49">
        <f t="shared" si="105"/>
        <v>305</v>
      </c>
      <c r="R904" s="43">
        <f t="shared" si="106"/>
        <v>460.87200000000001</v>
      </c>
      <c r="S904" s="41" t="s">
        <v>2386</v>
      </c>
      <c r="T904" s="48" t="str">
        <f t="shared" si="104"/>
        <v>(3,'PC-03-GO2','Poste de Coupure n°03 GO2','Thursday-01-jj','Thursday-01-jj',NULL,1,),</v>
      </c>
    </row>
    <row r="905" spans="1:20" ht="20.100000000000001" customHeight="1" x14ac:dyDescent="0.25">
      <c r="A905" s="38">
        <v>6</v>
      </c>
      <c r="B905" s="38">
        <v>910</v>
      </c>
      <c r="C905" s="38" t="s">
        <v>685</v>
      </c>
      <c r="D905" s="38">
        <v>19</v>
      </c>
      <c r="E905" s="45" t="str">
        <f>CONCATENATE("PPUR-",TEXT(A905,"00"),"-",O905)</f>
        <v>PPUR-06-GO2</v>
      </c>
      <c r="F905" s="48" t="str">
        <f>CONCATENATE("Poste de Purge n°",TEXT(A905,"00")," ",O905)</f>
        <v>Poste de Purge n°06 GO2</v>
      </c>
      <c r="G905" s="19">
        <v>31778</v>
      </c>
      <c r="H905" s="19">
        <v>31778</v>
      </c>
      <c r="I905" s="41" t="s">
        <v>20</v>
      </c>
      <c r="J905" s="41">
        <v>1</v>
      </c>
      <c r="K905" s="41" t="s">
        <v>3558</v>
      </c>
      <c r="L905" s="41">
        <v>17</v>
      </c>
      <c r="M905" s="41"/>
      <c r="N905" s="41"/>
      <c r="O905" s="41" t="s">
        <v>441</v>
      </c>
      <c r="P905" s="41" t="s">
        <v>2451</v>
      </c>
      <c r="Q905" s="49">
        <f t="shared" si="105"/>
        <v>26.69</v>
      </c>
      <c r="R905" s="43">
        <f t="shared" si="106"/>
        <v>462.82</v>
      </c>
      <c r="S905" s="41"/>
      <c r="T905" s="48" t="str">
        <f t="shared" si="104"/>
        <v>(6,'PPUR-06-GO2','Poste de Purge n°06 GO2','Thursday-01-jj','Thursday-01-jj',NULL,1,),</v>
      </c>
    </row>
    <row r="906" spans="1:20" ht="20.100000000000001" customHeight="1" x14ac:dyDescent="0.25">
      <c r="A906" s="38">
        <v>12</v>
      </c>
      <c r="B906" s="38">
        <v>911</v>
      </c>
      <c r="C906" s="38" t="s">
        <v>685</v>
      </c>
      <c r="D906" s="38">
        <v>19</v>
      </c>
      <c r="E906" s="39" t="str">
        <f>CONCATENATE("PS-",TEXT(A906,"00"),"-",O906)</f>
        <v>PS-12-GO2</v>
      </c>
      <c r="F906" s="48" t="str">
        <f>CONCATENATE("Poste de Sectionnement n°",TEXT(A906,"00")," ",O906)</f>
        <v>Poste de Sectionnement n°12 GO2</v>
      </c>
      <c r="G906" s="19">
        <v>31778</v>
      </c>
      <c r="H906" s="19">
        <v>31778</v>
      </c>
      <c r="I906" s="41" t="s">
        <v>20</v>
      </c>
      <c r="J906" s="41">
        <v>1</v>
      </c>
      <c r="K906" s="41" t="s">
        <v>3557</v>
      </c>
      <c r="L906" s="41">
        <v>16</v>
      </c>
      <c r="M906" s="41"/>
      <c r="N906" s="41"/>
      <c r="O906" s="41" t="s">
        <v>441</v>
      </c>
      <c r="P906" s="41" t="s">
        <v>2411</v>
      </c>
      <c r="Q906" s="43">
        <f t="shared" si="105"/>
        <v>427.56</v>
      </c>
      <c r="R906" s="43">
        <f t="shared" si="106"/>
        <v>489.93599999999998</v>
      </c>
      <c r="S906" s="41" t="s">
        <v>2435</v>
      </c>
      <c r="T906" s="48" t="str">
        <f t="shared" si="104"/>
        <v>(12,'PS-12-GO2','Poste de Sectionnement n°12 GO2','Thursday-01-jj','Thursday-01-jj',NULL,1,),</v>
      </c>
    </row>
    <row r="907" spans="1:20" ht="20.100000000000001" customHeight="1" x14ac:dyDescent="0.25">
      <c r="A907" s="38">
        <v>13</v>
      </c>
      <c r="B907" s="38">
        <v>912</v>
      </c>
      <c r="C907" s="38" t="s">
        <v>685</v>
      </c>
      <c r="D907" s="38">
        <v>19</v>
      </c>
      <c r="E907" s="39" t="str">
        <f>CONCATENATE("PS-",TEXT(A907,"00"),"-",O907)</f>
        <v>PS-13-GO2</v>
      </c>
      <c r="F907" s="48" t="str">
        <f>CONCATENATE("Poste de Sectionnement n°",TEXT(A907,"00")," ",O907)</f>
        <v>Poste de Sectionnement n°13 GO2</v>
      </c>
      <c r="G907" s="19">
        <v>31778</v>
      </c>
      <c r="H907" s="19">
        <v>31778</v>
      </c>
      <c r="I907" s="41" t="s">
        <v>20</v>
      </c>
      <c r="J907" s="41">
        <v>1</v>
      </c>
      <c r="K907" s="41" t="s">
        <v>3557</v>
      </c>
      <c r="L907" s="41">
        <v>16</v>
      </c>
      <c r="M907" s="41"/>
      <c r="N907" s="41"/>
      <c r="O907" s="41" t="s">
        <v>441</v>
      </c>
      <c r="P907" s="41" t="s">
        <v>2412</v>
      </c>
      <c r="Q907" s="43">
        <f t="shared" si="105"/>
        <v>700</v>
      </c>
      <c r="R907" s="43">
        <f t="shared" si="106"/>
        <v>519.57299999999998</v>
      </c>
      <c r="S907" s="41" t="s">
        <v>2436</v>
      </c>
      <c r="T907" s="48" t="str">
        <f t="shared" si="104"/>
        <v>(13,'PS-13-GO2','Poste de Sectionnement n°13 GO2','Thursday-01-jj','Thursday-01-jj',NULL,1,),</v>
      </c>
    </row>
    <row r="908" spans="1:20" ht="20.100000000000001" customHeight="1" x14ac:dyDescent="0.25">
      <c r="A908" s="38">
        <v>7</v>
      </c>
      <c r="B908" s="38">
        <v>913</v>
      </c>
      <c r="C908" s="38" t="s">
        <v>685</v>
      </c>
      <c r="D908" s="38">
        <v>19</v>
      </c>
      <c r="E908" s="45" t="str">
        <f>CONCATENATE("PPUR-",TEXT(A908,"00"),"-",O908)</f>
        <v>PPUR-07-GO2</v>
      </c>
      <c r="F908" s="48" t="str">
        <f>CONCATENATE("Poste de Purge n°",TEXT(A908,"00")," ",O908)</f>
        <v>Poste de Purge n°07 GO2</v>
      </c>
      <c r="G908" s="19">
        <v>31778</v>
      </c>
      <c r="H908" s="19">
        <v>31778</v>
      </c>
      <c r="I908" s="41" t="s">
        <v>20</v>
      </c>
      <c r="J908" s="41">
        <v>1</v>
      </c>
      <c r="K908" s="41" t="s">
        <v>3558</v>
      </c>
      <c r="L908" s="41">
        <v>17</v>
      </c>
      <c r="M908" s="41"/>
      <c r="N908" s="41"/>
      <c r="O908" s="41" t="s">
        <v>441</v>
      </c>
      <c r="P908" s="41" t="s">
        <v>2452</v>
      </c>
      <c r="Q908" s="49">
        <f t="shared" si="105"/>
        <v>669.2</v>
      </c>
      <c r="R908" s="43">
        <f t="shared" si="106"/>
        <v>546.952</v>
      </c>
      <c r="S908" s="41"/>
      <c r="T908" s="48" t="str">
        <f t="shared" si="104"/>
        <v>(7,'PPUR-07-GO2','Poste de Purge n°07 GO2','Thursday-01-jj','Thursday-01-jj',NULL,1,),</v>
      </c>
    </row>
    <row r="909" spans="1:20" ht="20.100000000000001" customHeight="1" x14ac:dyDescent="0.25">
      <c r="A909" s="38">
        <v>1</v>
      </c>
      <c r="B909" s="38">
        <v>914</v>
      </c>
      <c r="C909" s="38" t="s">
        <v>685</v>
      </c>
      <c r="D909" s="38">
        <v>19</v>
      </c>
      <c r="E909" s="39" t="str">
        <f t="shared" ref="E909:E915" si="107">CONCATENATE("PS-",TEXT(A909,"00"),"-",O909)</f>
        <v>PS-01-GO3</v>
      </c>
      <c r="F909" s="48" t="str">
        <f t="shared" ref="F909:F915" si="108">CONCATENATE("Poste de Sectionnement n°",TEXT(A909,"00")," ",O909)</f>
        <v>Poste de Sectionnement n°01 GO3</v>
      </c>
      <c r="G909" s="19">
        <v>39448</v>
      </c>
      <c r="H909" s="19">
        <v>39448</v>
      </c>
      <c r="I909" s="41" t="s">
        <v>20</v>
      </c>
      <c r="J909" s="41">
        <v>1</v>
      </c>
      <c r="K909" s="41" t="s">
        <v>3557</v>
      </c>
      <c r="L909" s="41">
        <v>16</v>
      </c>
      <c r="M909" s="41"/>
      <c r="N909" s="41"/>
      <c r="O909" s="41" t="s">
        <v>444</v>
      </c>
      <c r="P909" s="41" t="s">
        <v>2413</v>
      </c>
      <c r="Q909" s="43">
        <f t="shared" si="105"/>
        <v>786.68</v>
      </c>
      <c r="R909" s="43">
        <f t="shared" si="106"/>
        <v>20.356000000000002</v>
      </c>
      <c r="S909" s="41" t="s">
        <v>790</v>
      </c>
      <c r="T909" s="48" t="str">
        <f t="shared" si="104"/>
        <v>(1,'PS-01-GO3','Poste de Sectionnement n°01 GO3','Tuesday-01-jj','Tuesday-01-jj',NULL,1,),</v>
      </c>
    </row>
    <row r="910" spans="1:20" ht="20.100000000000001" customHeight="1" x14ac:dyDescent="0.25">
      <c r="A910" s="38">
        <v>2</v>
      </c>
      <c r="B910" s="38">
        <v>915</v>
      </c>
      <c r="C910" s="38" t="s">
        <v>685</v>
      </c>
      <c r="D910" s="38">
        <v>19</v>
      </c>
      <c r="E910" s="39" t="str">
        <f t="shared" si="107"/>
        <v>PS-02-GO3</v>
      </c>
      <c r="F910" s="48" t="str">
        <f t="shared" si="108"/>
        <v>Poste de Sectionnement n°02 GO3</v>
      </c>
      <c r="G910" s="19">
        <v>39448</v>
      </c>
      <c r="H910" s="19">
        <v>39448</v>
      </c>
      <c r="I910" s="41" t="s">
        <v>20</v>
      </c>
      <c r="J910" s="41">
        <v>1</v>
      </c>
      <c r="K910" s="41" t="s">
        <v>3557</v>
      </c>
      <c r="L910" s="41">
        <v>16</v>
      </c>
      <c r="M910" s="41"/>
      <c r="N910" s="41"/>
      <c r="O910" s="41" t="s">
        <v>444</v>
      </c>
      <c r="P910" s="41" t="s">
        <v>2414</v>
      </c>
      <c r="Q910" s="43">
        <f t="shared" si="105"/>
        <v>718.03</v>
      </c>
      <c r="R910" s="43">
        <f t="shared" si="106"/>
        <v>39.938000000000002</v>
      </c>
      <c r="S910" s="41" t="s">
        <v>2070</v>
      </c>
      <c r="T910" s="48" t="str">
        <f t="shared" si="104"/>
        <v>(2,'PS-02-GO3','Poste de Sectionnement n°02 GO3','Tuesday-01-jj','Tuesday-01-jj',NULL,1,),</v>
      </c>
    </row>
    <row r="911" spans="1:20" ht="20.100000000000001" customHeight="1" x14ac:dyDescent="0.25">
      <c r="A911" s="38">
        <v>3</v>
      </c>
      <c r="B911" s="38">
        <v>916</v>
      </c>
      <c r="C911" s="38" t="s">
        <v>685</v>
      </c>
      <c r="D911" s="38">
        <v>19</v>
      </c>
      <c r="E911" s="39" t="str">
        <f t="shared" si="107"/>
        <v>PS-03-GO3</v>
      </c>
      <c r="F911" s="48" t="str">
        <f t="shared" si="108"/>
        <v>Poste de Sectionnement n°03 GO3</v>
      </c>
      <c r="G911" s="19">
        <v>39448</v>
      </c>
      <c r="H911" s="19">
        <v>39448</v>
      </c>
      <c r="I911" s="41" t="s">
        <v>20</v>
      </c>
      <c r="J911" s="41">
        <v>1</v>
      </c>
      <c r="K911" s="41" t="s">
        <v>3557</v>
      </c>
      <c r="L911" s="41">
        <v>16</v>
      </c>
      <c r="M911" s="41"/>
      <c r="N911" s="41"/>
      <c r="O911" s="41" t="s">
        <v>444</v>
      </c>
      <c r="P911" s="41" t="s">
        <v>2415</v>
      </c>
      <c r="Q911" s="43">
        <f t="shared" si="105"/>
        <v>742.66</v>
      </c>
      <c r="R911" s="43">
        <f t="shared" si="106"/>
        <v>61.075000000000003</v>
      </c>
      <c r="S911" s="41" t="s">
        <v>2070</v>
      </c>
      <c r="T911" s="48" t="str">
        <f t="shared" si="104"/>
        <v>(3,'PS-03-GO3','Poste de Sectionnement n°03 GO3','Tuesday-01-jj','Tuesday-01-jj',NULL,1,),</v>
      </c>
    </row>
    <row r="912" spans="1:20" ht="20.100000000000001" customHeight="1" x14ac:dyDescent="0.25">
      <c r="A912" s="38">
        <v>4</v>
      </c>
      <c r="B912" s="38">
        <v>917</v>
      </c>
      <c r="C912" s="38" t="s">
        <v>685</v>
      </c>
      <c r="D912" s="38">
        <v>19</v>
      </c>
      <c r="E912" s="39" t="str">
        <f t="shared" si="107"/>
        <v>PS-04-GO3</v>
      </c>
      <c r="F912" s="48" t="str">
        <f t="shared" si="108"/>
        <v>Poste de Sectionnement n°04 GO3</v>
      </c>
      <c r="G912" s="19">
        <v>39448</v>
      </c>
      <c r="H912" s="19">
        <v>39448</v>
      </c>
      <c r="I912" s="41" t="s">
        <v>20</v>
      </c>
      <c r="J912" s="41">
        <v>1</v>
      </c>
      <c r="K912" s="41" t="s">
        <v>3557</v>
      </c>
      <c r="L912" s="41">
        <v>16</v>
      </c>
      <c r="M912" s="41"/>
      <c r="N912" s="41"/>
      <c r="O912" s="41" t="s">
        <v>444</v>
      </c>
      <c r="P912" s="41" t="s">
        <v>2416</v>
      </c>
      <c r="Q912" s="43">
        <f t="shared" si="105"/>
        <v>742.85</v>
      </c>
      <c r="R912" s="43">
        <f t="shared" si="106"/>
        <v>83.2</v>
      </c>
      <c r="S912" s="41" t="s">
        <v>2070</v>
      </c>
      <c r="T912" s="48" t="str">
        <f t="shared" si="104"/>
        <v>(4,'PS-04-GO3','Poste de Sectionnement n°04 GO3','Tuesday-01-jj','Tuesday-01-jj',NULL,1,),</v>
      </c>
    </row>
    <row r="913" spans="1:20" ht="20.100000000000001" customHeight="1" x14ac:dyDescent="0.25">
      <c r="A913" s="38">
        <v>5</v>
      </c>
      <c r="B913" s="38">
        <v>918</v>
      </c>
      <c r="C913" s="38" t="s">
        <v>685</v>
      </c>
      <c r="D913" s="38">
        <v>19</v>
      </c>
      <c r="E913" s="39" t="str">
        <f t="shared" si="107"/>
        <v>PS-05-GO3</v>
      </c>
      <c r="F913" s="48" t="str">
        <f t="shared" si="108"/>
        <v>Poste de Sectionnement n°05 GO3</v>
      </c>
      <c r="G913" s="19">
        <v>39448</v>
      </c>
      <c r="H913" s="19">
        <v>39448</v>
      </c>
      <c r="I913" s="41" t="s">
        <v>20</v>
      </c>
      <c r="J913" s="41">
        <v>1</v>
      </c>
      <c r="K913" s="41" t="s">
        <v>3557</v>
      </c>
      <c r="L913" s="41">
        <v>16</v>
      </c>
      <c r="M913" s="41"/>
      <c r="N913" s="41"/>
      <c r="O913" s="41" t="s">
        <v>444</v>
      </c>
      <c r="P913" s="41" t="s">
        <v>2417</v>
      </c>
      <c r="Q913" s="43">
        <f t="shared" si="105"/>
        <v>726.85</v>
      </c>
      <c r="R913" s="43">
        <f t="shared" si="106"/>
        <v>103</v>
      </c>
      <c r="S913" s="41" t="s">
        <v>2166</v>
      </c>
      <c r="T913" s="48" t="str">
        <f t="shared" si="104"/>
        <v>(5,'PS-05-GO3','Poste de Sectionnement n°05 GO3','Tuesday-01-jj','Tuesday-01-jj',NULL,1,),</v>
      </c>
    </row>
    <row r="914" spans="1:20" ht="20.100000000000001" customHeight="1" x14ac:dyDescent="0.25">
      <c r="A914" s="38">
        <v>6</v>
      </c>
      <c r="B914" s="38">
        <v>919</v>
      </c>
      <c r="C914" s="38" t="s">
        <v>685</v>
      </c>
      <c r="D914" s="38">
        <v>19</v>
      </c>
      <c r="E914" s="39" t="str">
        <f t="shared" si="107"/>
        <v>PS-06-GO3</v>
      </c>
      <c r="F914" s="48" t="str">
        <f t="shared" si="108"/>
        <v>Poste de Sectionnement n°06 GO3</v>
      </c>
      <c r="G914" s="19">
        <v>39448</v>
      </c>
      <c r="H914" s="19">
        <v>39448</v>
      </c>
      <c r="I914" s="41" t="s">
        <v>20</v>
      </c>
      <c r="J914" s="41">
        <v>1</v>
      </c>
      <c r="K914" s="41" t="s">
        <v>3557</v>
      </c>
      <c r="L914" s="41">
        <v>16</v>
      </c>
      <c r="M914" s="41"/>
      <c r="N914" s="41"/>
      <c r="O914" s="41" t="s">
        <v>444</v>
      </c>
      <c r="P914" s="41" t="s">
        <v>2418</v>
      </c>
      <c r="Q914" s="43">
        <f t="shared" si="105"/>
        <v>672.96</v>
      </c>
      <c r="R914" s="43">
        <f t="shared" si="106"/>
        <v>124.63</v>
      </c>
      <c r="S914" s="41" t="s">
        <v>2431</v>
      </c>
      <c r="T914" s="48" t="str">
        <f t="shared" si="104"/>
        <v>(6,'PS-06-GO3','Poste de Sectionnement n°06 GO3','Tuesday-01-jj','Tuesday-01-jj',NULL,1,),</v>
      </c>
    </row>
    <row r="915" spans="1:20" ht="20.100000000000001" customHeight="1" x14ac:dyDescent="0.25">
      <c r="A915" s="38">
        <v>7</v>
      </c>
      <c r="B915" s="38">
        <v>920</v>
      </c>
      <c r="C915" s="38" t="s">
        <v>685</v>
      </c>
      <c r="D915" s="38">
        <v>19</v>
      </c>
      <c r="E915" s="39" t="str">
        <f t="shared" si="107"/>
        <v>PS-07-GO3</v>
      </c>
      <c r="F915" s="48" t="str">
        <f t="shared" si="108"/>
        <v>Poste de Sectionnement n°07 GO3</v>
      </c>
      <c r="G915" s="19">
        <v>39448</v>
      </c>
      <c r="H915" s="19">
        <v>39448</v>
      </c>
      <c r="I915" s="41" t="s">
        <v>20</v>
      </c>
      <c r="J915" s="41">
        <v>1</v>
      </c>
      <c r="K915" s="41" t="s">
        <v>3557</v>
      </c>
      <c r="L915" s="41">
        <v>16</v>
      </c>
      <c r="M915" s="41"/>
      <c r="N915" s="41"/>
      <c r="O915" s="41" t="s">
        <v>444</v>
      </c>
      <c r="P915" s="41" t="s">
        <v>2419</v>
      </c>
      <c r="Q915" s="43">
        <f t="shared" si="105"/>
        <v>566.24</v>
      </c>
      <c r="R915" s="43">
        <f t="shared" si="106"/>
        <v>147.024</v>
      </c>
      <c r="S915" s="41" t="s">
        <v>2431</v>
      </c>
      <c r="T915" s="48" t="str">
        <f t="shared" si="104"/>
        <v>(7,'PS-07-GO3','Poste de Sectionnement n°07 GO3','Tuesday-01-jj','Tuesday-01-jj',NULL,1,),</v>
      </c>
    </row>
    <row r="916" spans="1:20" ht="20.100000000000001" customHeight="1" x14ac:dyDescent="0.25">
      <c r="A916" s="38">
        <v>1</v>
      </c>
      <c r="B916" s="38">
        <v>921</v>
      </c>
      <c r="C916" s="38" t="s">
        <v>685</v>
      </c>
      <c r="D916" s="38">
        <v>19</v>
      </c>
      <c r="E916" s="45" t="str">
        <f>CONCATENATE("PPUR-",TEXT(A916,"00"),"-",O916)</f>
        <v>PPUR-01-GO3</v>
      </c>
      <c r="F916" s="48" t="str">
        <f>CONCATENATE("Poste de Purge n°",TEXT(A916,"00")," ",O916)</f>
        <v>Poste de Purge n°01 GO3</v>
      </c>
      <c r="G916" s="19">
        <v>39448</v>
      </c>
      <c r="H916" s="19">
        <v>39448</v>
      </c>
      <c r="I916" s="41" t="s">
        <v>20</v>
      </c>
      <c r="J916" s="41">
        <v>1</v>
      </c>
      <c r="K916" s="41" t="s">
        <v>3558</v>
      </c>
      <c r="L916" s="41">
        <v>17</v>
      </c>
      <c r="M916" s="41"/>
      <c r="N916" s="41"/>
      <c r="O916" s="41" t="s">
        <v>444</v>
      </c>
      <c r="P916" s="41" t="s">
        <v>2453</v>
      </c>
      <c r="Q916" s="49">
        <f t="shared" si="105"/>
        <v>452.34</v>
      </c>
      <c r="R916" s="43">
        <f t="shared" si="106"/>
        <v>167.42</v>
      </c>
      <c r="S916" s="41"/>
      <c r="T916" s="48" t="str">
        <f t="shared" si="104"/>
        <v>(1,'PPUR-01-GO3','Poste de Purge n°01 GO3','Tuesday-01-jj','Tuesday-01-jj',NULL,1,),</v>
      </c>
    </row>
    <row r="917" spans="1:20" ht="20.100000000000001" customHeight="1" x14ac:dyDescent="0.25">
      <c r="A917" s="38">
        <v>1</v>
      </c>
      <c r="B917" s="38">
        <v>922</v>
      </c>
      <c r="C917" s="38" t="s">
        <v>685</v>
      </c>
      <c r="D917" s="38">
        <v>19</v>
      </c>
      <c r="E917" s="45" t="str">
        <f>CONCATENATE("PC-",TEXT(A917,"00"),"-",O917)</f>
        <v>PC-01-GO3</v>
      </c>
      <c r="F917" s="48" t="str">
        <f>CONCATENATE("Poste de Coupure n°",TEXT(A917,"00")," ",O917)</f>
        <v>Poste de Coupure n°01 GO3</v>
      </c>
      <c r="G917" s="19">
        <v>39448</v>
      </c>
      <c r="H917" s="19">
        <v>39448</v>
      </c>
      <c r="I917" s="41" t="s">
        <v>20</v>
      </c>
      <c r="J917" s="41">
        <v>1</v>
      </c>
      <c r="K917" s="41" t="s">
        <v>3556</v>
      </c>
      <c r="L917" s="41">
        <v>15</v>
      </c>
      <c r="M917" s="41"/>
      <c r="N917" s="41"/>
      <c r="O917" s="41" t="s">
        <v>444</v>
      </c>
      <c r="P917" s="41" t="s">
        <v>2381</v>
      </c>
      <c r="Q917" s="49">
        <f t="shared" si="105"/>
        <v>449.5</v>
      </c>
      <c r="R917" s="43">
        <f t="shared" si="106"/>
        <v>168.73099999999999</v>
      </c>
      <c r="S917" s="41" t="s">
        <v>2384</v>
      </c>
      <c r="T917" s="48" t="str">
        <f t="shared" si="104"/>
        <v>(1,'PC-01-GO3','Poste de Coupure n°01 GO3','Tuesday-01-jj','Tuesday-01-jj',NULL,1,),</v>
      </c>
    </row>
    <row r="918" spans="1:20" ht="20.100000000000001" customHeight="1" x14ac:dyDescent="0.25">
      <c r="A918" s="38">
        <v>8</v>
      </c>
      <c r="B918" s="38">
        <v>923</v>
      </c>
      <c r="C918" s="38" t="s">
        <v>685</v>
      </c>
      <c r="D918" s="38">
        <v>19</v>
      </c>
      <c r="E918" s="39" t="str">
        <f>CONCATENATE("PS-",TEXT(A918,"00"),"-",O918)</f>
        <v>PS-08-GO3</v>
      </c>
      <c r="F918" s="48" t="str">
        <f>CONCATENATE("Poste de Sectionnement n°",TEXT(A918,"00")," ",O918)</f>
        <v>Poste de Sectionnement n°08 GO3</v>
      </c>
      <c r="G918" s="19">
        <v>39448</v>
      </c>
      <c r="H918" s="19">
        <v>39448</v>
      </c>
      <c r="I918" s="41" t="s">
        <v>20</v>
      </c>
      <c r="J918" s="41">
        <v>1</v>
      </c>
      <c r="K918" s="41" t="s">
        <v>3557</v>
      </c>
      <c r="L918" s="41">
        <v>16</v>
      </c>
      <c r="M918" s="41"/>
      <c r="N918" s="41"/>
      <c r="O918" s="41" t="s">
        <v>444</v>
      </c>
      <c r="P918" s="41" t="s">
        <v>2420</v>
      </c>
      <c r="Q918" s="43">
        <f t="shared" si="105"/>
        <v>351.21</v>
      </c>
      <c r="R918" s="43">
        <f t="shared" si="106"/>
        <v>208.35</v>
      </c>
      <c r="S918" s="41" t="s">
        <v>2084</v>
      </c>
      <c r="T918" s="48" t="str">
        <f t="shared" si="104"/>
        <v>(8,'PS-08-GO3','Poste de Sectionnement n°08 GO3','Tuesday-01-jj','Tuesday-01-jj',NULL,1,),</v>
      </c>
    </row>
    <row r="919" spans="1:20" ht="20.100000000000001" customHeight="1" x14ac:dyDescent="0.25">
      <c r="A919" s="38">
        <v>9</v>
      </c>
      <c r="B919" s="38">
        <v>924</v>
      </c>
      <c r="C919" s="38" t="s">
        <v>685</v>
      </c>
      <c r="D919" s="38">
        <v>19</v>
      </c>
      <c r="E919" s="39" t="str">
        <f>CONCATENATE("PS-",TEXT(A919,"00"),"-",O919)</f>
        <v>PS-09-GO3</v>
      </c>
      <c r="F919" s="48" t="str">
        <f>CONCATENATE("Poste de Sectionnement n°",TEXT(A919,"00")," ",O919)</f>
        <v>Poste de Sectionnement n°09 GO3</v>
      </c>
      <c r="G919" s="19">
        <v>39448</v>
      </c>
      <c r="H919" s="19">
        <v>39448</v>
      </c>
      <c r="I919" s="41" t="s">
        <v>20</v>
      </c>
      <c r="J919" s="41">
        <v>1</v>
      </c>
      <c r="K919" s="41" t="s">
        <v>3557</v>
      </c>
      <c r="L919" s="41">
        <v>16</v>
      </c>
      <c r="M919" s="41"/>
      <c r="N919" s="41"/>
      <c r="O919" s="41" t="s">
        <v>444</v>
      </c>
      <c r="P919" s="41" t="s">
        <v>2421</v>
      </c>
      <c r="Q919" s="43">
        <f t="shared" si="105"/>
        <v>224.98</v>
      </c>
      <c r="R919" s="43">
        <f t="shared" si="106"/>
        <v>246.50800000000001</v>
      </c>
      <c r="S919" s="41" t="s">
        <v>2084</v>
      </c>
      <c r="T919" s="48" t="str">
        <f t="shared" si="104"/>
        <v>(9,'PS-09-GO3','Poste de Sectionnement n°09 GO3','Tuesday-01-jj','Tuesday-01-jj',NULL,1,),</v>
      </c>
    </row>
    <row r="920" spans="1:20" ht="20.100000000000001" customHeight="1" x14ac:dyDescent="0.25">
      <c r="A920" s="38">
        <v>10</v>
      </c>
      <c r="B920" s="38">
        <v>925</v>
      </c>
      <c r="C920" s="38" t="s">
        <v>685</v>
      </c>
      <c r="D920" s="38">
        <v>19</v>
      </c>
      <c r="E920" s="39" t="str">
        <f>CONCATENATE("PS-",TEXT(A920,"00"),"-",O920)</f>
        <v>PS-10-GO3</v>
      </c>
      <c r="F920" s="48" t="str">
        <f>CONCATENATE("Poste de Sectionnement n°",TEXT(A920,"00")," ",O920)</f>
        <v>Poste de Sectionnement n°10 GO3</v>
      </c>
      <c r="G920" s="19">
        <v>39448</v>
      </c>
      <c r="H920" s="19">
        <v>39448</v>
      </c>
      <c r="I920" s="41" t="s">
        <v>20</v>
      </c>
      <c r="J920" s="41">
        <v>1</v>
      </c>
      <c r="K920" s="41" t="s">
        <v>3557</v>
      </c>
      <c r="L920" s="41">
        <v>16</v>
      </c>
      <c r="M920" s="41"/>
      <c r="N920" s="41"/>
      <c r="O920" s="41" t="s">
        <v>444</v>
      </c>
      <c r="P920" s="41" t="s">
        <v>2422</v>
      </c>
      <c r="Q920" s="43">
        <f t="shared" si="105"/>
        <v>108.52</v>
      </c>
      <c r="R920" s="43">
        <f t="shared" si="106"/>
        <v>283.05200000000002</v>
      </c>
      <c r="S920" s="41" t="s">
        <v>2432</v>
      </c>
      <c r="T920" s="48" t="str">
        <f t="shared" ref="T920:T983" si="109">CONCATENATE("(",A920,",'",E920,"','",F920,"','",TEXT(G920,"aaaa-mm-jj"),"','",TEXT(H920,"aaaa-mm-jj"),"',",I920,",",J920,",",M920,"),")</f>
        <v>(10,'PS-10-GO3','Poste de Sectionnement n°10 GO3','Tuesday-01-jj','Tuesday-01-jj',NULL,1,),</v>
      </c>
    </row>
    <row r="921" spans="1:20" ht="20.100000000000001" customHeight="1" x14ac:dyDescent="0.25">
      <c r="A921" s="38">
        <v>11</v>
      </c>
      <c r="B921" s="38">
        <v>926</v>
      </c>
      <c r="C921" s="38" t="s">
        <v>685</v>
      </c>
      <c r="D921" s="38">
        <v>19</v>
      </c>
      <c r="E921" s="39" t="str">
        <f>CONCATENATE("PS-",TEXT(A921,"00"),"-",O921)</f>
        <v>PS-11-GO3</v>
      </c>
      <c r="F921" s="48" t="str">
        <f>CONCATENATE("Poste de Sectionnement n°",TEXT(A921,"00")," ",O921)</f>
        <v>Poste de Sectionnement n°11 GO3</v>
      </c>
      <c r="G921" s="19">
        <v>39448</v>
      </c>
      <c r="H921" s="19">
        <v>39448</v>
      </c>
      <c r="I921" s="41" t="s">
        <v>20</v>
      </c>
      <c r="J921" s="41">
        <v>1</v>
      </c>
      <c r="K921" s="41" t="s">
        <v>3557</v>
      </c>
      <c r="L921" s="41">
        <v>16</v>
      </c>
      <c r="M921" s="41"/>
      <c r="N921" s="41"/>
      <c r="O921" s="41" t="s">
        <v>444</v>
      </c>
      <c r="P921" s="41" t="s">
        <v>2423</v>
      </c>
      <c r="Q921" s="43">
        <f t="shared" si="105"/>
        <v>18.59</v>
      </c>
      <c r="R921" s="43">
        <f t="shared" si="106"/>
        <v>319.22800000000001</v>
      </c>
      <c r="S921" s="41" t="s">
        <v>853</v>
      </c>
      <c r="T921" s="48" t="str">
        <f t="shared" si="109"/>
        <v>(11,'PS-11-GO3','Poste de Sectionnement n°11 GO3','Tuesday-01-jj','Tuesday-01-jj',NULL,1,),</v>
      </c>
    </row>
    <row r="922" spans="1:20" ht="20.100000000000001" customHeight="1" x14ac:dyDescent="0.25">
      <c r="A922" s="38">
        <v>3</v>
      </c>
      <c r="B922" s="38">
        <v>927</v>
      </c>
      <c r="C922" s="38" t="s">
        <v>685</v>
      </c>
      <c r="D922" s="38">
        <v>19</v>
      </c>
      <c r="E922" s="45" t="str">
        <f>CONCATENATE("PPUR-",TEXT(A922,"00"),"-",O922)</f>
        <v>PPUR-03-GO3</v>
      </c>
      <c r="F922" s="48" t="str">
        <f>CONCATENATE("Poste de Purge n°",TEXT(A922,"00")," ",O922)</f>
        <v>Poste de Purge n°03 GO3</v>
      </c>
      <c r="G922" s="19">
        <v>39448</v>
      </c>
      <c r="H922" s="19">
        <v>39448</v>
      </c>
      <c r="I922" s="41" t="s">
        <v>20</v>
      </c>
      <c r="J922" s="41">
        <v>1</v>
      </c>
      <c r="K922" s="41" t="s">
        <v>3558</v>
      </c>
      <c r="L922" s="41">
        <v>17</v>
      </c>
      <c r="M922" s="41"/>
      <c r="N922" s="41"/>
      <c r="O922" s="41" t="s">
        <v>444</v>
      </c>
      <c r="P922" s="41" t="s">
        <v>2454</v>
      </c>
      <c r="Q922" s="49">
        <f t="shared" si="105"/>
        <v>-10.57</v>
      </c>
      <c r="R922" s="43">
        <f t="shared" si="106"/>
        <v>342.86</v>
      </c>
      <c r="S922" s="41"/>
      <c r="T922" s="48" t="str">
        <f t="shared" si="109"/>
        <v>(3,'PPUR-03-GO3','Poste de Purge n°03 GO3','Tuesday-01-jj','Tuesday-01-jj',NULL,1,),</v>
      </c>
    </row>
    <row r="923" spans="1:20" ht="20.100000000000001" customHeight="1" x14ac:dyDescent="0.25">
      <c r="A923" s="38">
        <v>2</v>
      </c>
      <c r="B923" s="38">
        <v>928</v>
      </c>
      <c r="C923" s="38" t="s">
        <v>685</v>
      </c>
      <c r="D923" s="38">
        <v>19</v>
      </c>
      <c r="E923" s="45" t="str">
        <f>CONCATENATE("PC-",TEXT(A923,"00"),"-",O923)</f>
        <v>PC-02-GO3</v>
      </c>
      <c r="F923" s="48" t="str">
        <f>CONCATENATE("Poste de Coupure n°",TEXT(A923,"00")," ",O923)</f>
        <v>Poste de Coupure n°02 GO3</v>
      </c>
      <c r="G923" s="19">
        <v>39448</v>
      </c>
      <c r="H923" s="19">
        <v>39448</v>
      </c>
      <c r="I923" s="41" t="s">
        <v>20</v>
      </c>
      <c r="J923" s="41">
        <v>1</v>
      </c>
      <c r="K923" s="41" t="s">
        <v>3556</v>
      </c>
      <c r="L923" s="41">
        <v>15</v>
      </c>
      <c r="M923" s="41"/>
      <c r="N923" s="41"/>
      <c r="O923" s="41" t="s">
        <v>444</v>
      </c>
      <c r="P923" s="41" t="s">
        <v>2382</v>
      </c>
      <c r="Q923" s="49">
        <f t="shared" si="105"/>
        <v>-1.6</v>
      </c>
      <c r="R923" s="43">
        <f t="shared" si="106"/>
        <v>348.56</v>
      </c>
      <c r="S923" s="41" t="s">
        <v>2385</v>
      </c>
      <c r="T923" s="48" t="str">
        <f t="shared" si="109"/>
        <v>(2,'PC-02-GO3','Poste de Coupure n°02 GO3','Tuesday-01-jj','Tuesday-01-jj',NULL,1,),</v>
      </c>
    </row>
    <row r="924" spans="1:20" ht="20.100000000000001" customHeight="1" x14ac:dyDescent="0.25">
      <c r="A924" s="38">
        <v>4</v>
      </c>
      <c r="B924" s="38">
        <v>929</v>
      </c>
      <c r="C924" s="38" t="s">
        <v>685</v>
      </c>
      <c r="D924" s="38">
        <v>19</v>
      </c>
      <c r="E924" s="45" t="str">
        <f>CONCATENATE("PPUR-",TEXT(A924,"00"),"-",O924)</f>
        <v>PPUR-04-GO3</v>
      </c>
      <c r="F924" s="48" t="str">
        <f>CONCATENATE("Poste de Purge n°",TEXT(A924,"00")," ",O924)</f>
        <v>Poste de Purge n°04 GO3</v>
      </c>
      <c r="G924" s="19">
        <v>39448</v>
      </c>
      <c r="H924" s="19">
        <v>39448</v>
      </c>
      <c r="I924" s="41" t="s">
        <v>20</v>
      </c>
      <c r="J924" s="41">
        <v>1</v>
      </c>
      <c r="K924" s="41" t="s">
        <v>3558</v>
      </c>
      <c r="L924" s="41">
        <v>17</v>
      </c>
      <c r="M924" s="41"/>
      <c r="N924" s="41"/>
      <c r="O924" s="41" t="s">
        <v>444</v>
      </c>
      <c r="P924" s="41" t="s">
        <v>2455</v>
      </c>
      <c r="Q924" s="49">
        <f t="shared" si="105"/>
        <v>-0.28000000000000003</v>
      </c>
      <c r="R924" s="43">
        <f t="shared" si="106"/>
        <v>349.12</v>
      </c>
      <c r="S924" s="41"/>
      <c r="T924" s="48" t="str">
        <f t="shared" si="109"/>
        <v>(4,'PPUR-04-GO3','Poste de Purge n°04 GO3','Tuesday-01-jj','Tuesday-01-jj',NULL,1,),</v>
      </c>
    </row>
    <row r="925" spans="1:20" ht="20.100000000000001" customHeight="1" x14ac:dyDescent="0.25">
      <c r="A925" s="38">
        <v>12</v>
      </c>
      <c r="B925" s="38">
        <v>930</v>
      </c>
      <c r="C925" s="38" t="s">
        <v>685</v>
      </c>
      <c r="D925" s="38">
        <v>19</v>
      </c>
      <c r="E925" s="39" t="str">
        <f>CONCATENATE("PS-",TEXT(A925,"00"),"-",O925)</f>
        <v>PS-12-GO3</v>
      </c>
      <c r="F925" s="48" t="str">
        <f>CONCATENATE("Poste de Sectionnement n°",TEXT(A925,"00")," ",O925)</f>
        <v>Poste de Sectionnement n°12 GO3</v>
      </c>
      <c r="G925" s="19">
        <v>39448</v>
      </c>
      <c r="H925" s="19">
        <v>39448</v>
      </c>
      <c r="I925" s="41" t="s">
        <v>20</v>
      </c>
      <c r="J925" s="41">
        <v>1</v>
      </c>
      <c r="K925" s="41" t="s">
        <v>3557</v>
      </c>
      <c r="L925" s="41">
        <v>16</v>
      </c>
      <c r="M925" s="41"/>
      <c r="N925" s="41"/>
      <c r="O925" s="41" t="s">
        <v>444</v>
      </c>
      <c r="P925" s="41" t="s">
        <v>2424</v>
      </c>
      <c r="Q925" s="43">
        <f t="shared" si="105"/>
        <v>35.29</v>
      </c>
      <c r="R925" s="43">
        <f t="shared" si="106"/>
        <v>375.52</v>
      </c>
      <c r="S925" s="41" t="s">
        <v>2433</v>
      </c>
      <c r="T925" s="48" t="str">
        <f t="shared" si="109"/>
        <v>(12,'PS-12-GO3','Poste de Sectionnement n°12 GO3','Tuesday-01-jj','Tuesday-01-jj',NULL,1,),</v>
      </c>
    </row>
    <row r="926" spans="1:20" ht="20.100000000000001" customHeight="1" x14ac:dyDescent="0.25">
      <c r="A926" s="38">
        <v>13</v>
      </c>
      <c r="B926" s="38">
        <v>931</v>
      </c>
      <c r="C926" s="38" t="s">
        <v>685</v>
      </c>
      <c r="D926" s="38">
        <v>19</v>
      </c>
      <c r="E926" s="39" t="str">
        <f>CONCATENATE("PS-",TEXT(A926,"00"),"-",O926)</f>
        <v>PS-13-GO3</v>
      </c>
      <c r="F926" s="48" t="str">
        <f>CONCATENATE("Poste de Sectionnement n°",TEXT(A926,"00")," ",O926)</f>
        <v>Poste de Sectionnement n°13 GO3</v>
      </c>
      <c r="G926" s="19">
        <v>39448</v>
      </c>
      <c r="H926" s="19">
        <v>39448</v>
      </c>
      <c r="I926" s="41" t="s">
        <v>20</v>
      </c>
      <c r="J926" s="41">
        <v>1</v>
      </c>
      <c r="K926" s="41" t="s">
        <v>3557</v>
      </c>
      <c r="L926" s="41">
        <v>16</v>
      </c>
      <c r="M926" s="41"/>
      <c r="N926" s="41"/>
      <c r="O926" s="41" t="s">
        <v>444</v>
      </c>
      <c r="P926" s="41" t="s">
        <v>2425</v>
      </c>
      <c r="Q926" s="43">
        <f t="shared" si="105"/>
        <v>58.44</v>
      </c>
      <c r="R926" s="43">
        <f t="shared" si="106"/>
        <v>403.85</v>
      </c>
      <c r="S926" s="41" t="s">
        <v>2437</v>
      </c>
      <c r="T926" s="48" t="str">
        <f t="shared" si="109"/>
        <v>(13,'PS-13-GO3','Poste de Sectionnement n°13 GO3','Tuesday-01-jj','Tuesday-01-jj',NULL,1,),</v>
      </c>
    </row>
    <row r="927" spans="1:20" ht="20.100000000000001" customHeight="1" x14ac:dyDescent="0.25">
      <c r="A927" s="38">
        <v>14</v>
      </c>
      <c r="B927" s="38">
        <v>932</v>
      </c>
      <c r="C927" s="38" t="s">
        <v>685</v>
      </c>
      <c r="D927" s="38">
        <v>19</v>
      </c>
      <c r="E927" s="39" t="str">
        <f>CONCATENATE("PS-",TEXT(A927,"00"),"-",O927)</f>
        <v>PS-14-GO3</v>
      </c>
      <c r="F927" s="48" t="str">
        <f>CONCATENATE("Poste de Sectionnement n°",TEXT(A927,"00")," ",O927)</f>
        <v>Poste de Sectionnement n°14 GO3</v>
      </c>
      <c r="G927" s="19">
        <v>39448</v>
      </c>
      <c r="H927" s="19">
        <v>39448</v>
      </c>
      <c r="I927" s="41" t="s">
        <v>20</v>
      </c>
      <c r="J927" s="41">
        <v>1</v>
      </c>
      <c r="K927" s="41" t="s">
        <v>3557</v>
      </c>
      <c r="L927" s="41">
        <v>16</v>
      </c>
      <c r="M927" s="41"/>
      <c r="N927" s="41"/>
      <c r="O927" s="41" t="s">
        <v>444</v>
      </c>
      <c r="P927" s="41" t="s">
        <v>2426</v>
      </c>
      <c r="Q927" s="43">
        <f t="shared" si="105"/>
        <v>134.47999999999999</v>
      </c>
      <c r="R927" s="43">
        <f t="shared" si="106"/>
        <v>433</v>
      </c>
      <c r="S927" s="41" t="s">
        <v>2437</v>
      </c>
      <c r="T927" s="48" t="str">
        <f t="shared" si="109"/>
        <v>(14,'PS-14-GO3','Poste de Sectionnement n°14 GO3','Tuesday-01-jj','Tuesday-01-jj',NULL,1,),</v>
      </c>
    </row>
    <row r="928" spans="1:20" ht="20.100000000000001" customHeight="1" x14ac:dyDescent="0.25">
      <c r="A928" s="38">
        <v>3</v>
      </c>
      <c r="B928" s="38">
        <v>933</v>
      </c>
      <c r="C928" s="38" t="s">
        <v>685</v>
      </c>
      <c r="D928" s="38">
        <v>19</v>
      </c>
      <c r="E928" s="45" t="str">
        <f>CONCATENATE("PC-",TEXT(A928,"00"),"-",O928)</f>
        <v>PC-03-GO3</v>
      </c>
      <c r="F928" s="48" t="str">
        <f>CONCATENATE("Poste de Coupure n°",TEXT(A928,"00")," ",O928)</f>
        <v>Poste de Coupure n°03 GO3</v>
      </c>
      <c r="G928" s="19">
        <v>39448</v>
      </c>
      <c r="H928" s="19">
        <v>39448</v>
      </c>
      <c r="I928" s="41" t="s">
        <v>20</v>
      </c>
      <c r="J928" s="41">
        <v>1</v>
      </c>
      <c r="K928" s="41" t="s">
        <v>3556</v>
      </c>
      <c r="L928" s="41">
        <v>15</v>
      </c>
      <c r="M928" s="41"/>
      <c r="N928" s="41"/>
      <c r="O928" s="41" t="s">
        <v>444</v>
      </c>
      <c r="P928" s="41" t="s">
        <v>2383</v>
      </c>
      <c r="Q928" s="49">
        <f t="shared" si="105"/>
        <v>305</v>
      </c>
      <c r="R928" s="43">
        <f t="shared" si="106"/>
        <v>460.68</v>
      </c>
      <c r="S928" s="41" t="s">
        <v>2386</v>
      </c>
      <c r="T928" s="48" t="str">
        <f t="shared" si="109"/>
        <v>(3,'PC-03-GO3','Poste de Coupure n°03 GO3','Tuesday-01-jj','Tuesday-01-jj',NULL,1,),</v>
      </c>
    </row>
    <row r="929" spans="1:20" ht="20.100000000000001" customHeight="1" x14ac:dyDescent="0.25">
      <c r="A929" s="38">
        <v>6</v>
      </c>
      <c r="B929" s="38">
        <v>934</v>
      </c>
      <c r="C929" s="38" t="s">
        <v>685</v>
      </c>
      <c r="D929" s="38">
        <v>19</v>
      </c>
      <c r="E929" s="45" t="str">
        <f>CONCATENATE("PPUR-",TEXT(A929,"00"),"-",O929)</f>
        <v>PPUR-06-GO3</v>
      </c>
      <c r="F929" s="48" t="str">
        <f>CONCATENATE("Poste de Purge n°",TEXT(A929,"00")," ",O929)</f>
        <v>Poste de Purge n°06 GO3</v>
      </c>
      <c r="G929" s="19">
        <v>39448</v>
      </c>
      <c r="H929" s="19">
        <v>39448</v>
      </c>
      <c r="I929" s="41" t="s">
        <v>20</v>
      </c>
      <c r="J929" s="41">
        <v>1</v>
      </c>
      <c r="K929" s="41" t="s">
        <v>3558</v>
      </c>
      <c r="L929" s="41">
        <v>17</v>
      </c>
      <c r="M929" s="41"/>
      <c r="N929" s="41"/>
      <c r="O929" s="41" t="s">
        <v>444</v>
      </c>
      <c r="P929" s="41" t="s">
        <v>2456</v>
      </c>
      <c r="Q929" s="49">
        <f t="shared" si="105"/>
        <v>24.37</v>
      </c>
      <c r="R929" s="43">
        <f t="shared" si="106"/>
        <v>461.75</v>
      </c>
      <c r="S929" s="41"/>
      <c r="T929" s="48" t="str">
        <f t="shared" si="109"/>
        <v>(6,'PPUR-06-GO3','Poste de Purge n°06 GO3','Tuesday-01-jj','Tuesday-01-jj',NULL,1,),</v>
      </c>
    </row>
    <row r="930" spans="1:20" ht="20.100000000000001" customHeight="1" x14ac:dyDescent="0.25">
      <c r="A930" s="38">
        <v>15</v>
      </c>
      <c r="B930" s="38">
        <v>935</v>
      </c>
      <c r="C930" s="38" t="s">
        <v>685</v>
      </c>
      <c r="D930" s="38">
        <v>19</v>
      </c>
      <c r="E930" s="39" t="str">
        <f>CONCATENATE("PS-",TEXT(A930,"00"),"-",O930)</f>
        <v>PS-15-GO3</v>
      </c>
      <c r="F930" s="48" t="str">
        <f>CONCATENATE("Poste de Sectionnement n°",TEXT(A930,"00")," ",O930)</f>
        <v>Poste de Sectionnement n°15 GO3</v>
      </c>
      <c r="G930" s="19">
        <v>39448</v>
      </c>
      <c r="H930" s="19">
        <v>39448</v>
      </c>
      <c r="I930" s="41" t="s">
        <v>20</v>
      </c>
      <c r="J930" s="41">
        <v>1</v>
      </c>
      <c r="K930" s="41" t="s">
        <v>3557</v>
      </c>
      <c r="L930" s="41">
        <v>16</v>
      </c>
      <c r="M930" s="41"/>
      <c r="N930" s="41"/>
      <c r="O930" s="41" t="s">
        <v>444</v>
      </c>
      <c r="P930" s="41" t="s">
        <v>2427</v>
      </c>
      <c r="Q930" s="43">
        <f t="shared" si="105"/>
        <v>353.39</v>
      </c>
      <c r="R930" s="43">
        <f t="shared" si="106"/>
        <v>482.12</v>
      </c>
      <c r="S930" s="41" t="s">
        <v>2435</v>
      </c>
      <c r="T930" s="48" t="str">
        <f t="shared" si="109"/>
        <v>(15,'PS-15-GO3','Poste de Sectionnement n°15 GO3','Tuesday-01-jj','Tuesday-01-jj',NULL,1,),</v>
      </c>
    </row>
    <row r="931" spans="1:20" ht="20.100000000000001" customHeight="1" x14ac:dyDescent="0.25">
      <c r="A931" s="38">
        <v>16</v>
      </c>
      <c r="B931" s="38">
        <v>936</v>
      </c>
      <c r="C931" s="38" t="s">
        <v>685</v>
      </c>
      <c r="D931" s="38">
        <v>19</v>
      </c>
      <c r="E931" s="39" t="str">
        <f>CONCATENATE("PS-",TEXT(A931,"00"),"-",O931)</f>
        <v>PS-16-GO3</v>
      </c>
      <c r="F931" s="48" t="str">
        <f>CONCATENATE("Poste de Sectionnement n°",TEXT(A931,"00")," ",O931)</f>
        <v>Poste de Sectionnement n°16 GO3</v>
      </c>
      <c r="G931" s="19">
        <v>39448</v>
      </c>
      <c r="H931" s="19">
        <v>39448</v>
      </c>
      <c r="I931" s="41" t="s">
        <v>20</v>
      </c>
      <c r="J931" s="41">
        <v>1</v>
      </c>
      <c r="K931" s="41" t="s">
        <v>3557</v>
      </c>
      <c r="L931" s="41">
        <v>16</v>
      </c>
      <c r="M931" s="41"/>
      <c r="N931" s="41"/>
      <c r="O931" s="41" t="s">
        <v>444</v>
      </c>
      <c r="P931" s="41" t="s">
        <v>2428</v>
      </c>
      <c r="Q931" s="43">
        <f t="shared" si="105"/>
        <v>489.04</v>
      </c>
      <c r="R931" s="43">
        <f t="shared" si="106"/>
        <v>501.20299999999997</v>
      </c>
      <c r="S931" s="41" t="s">
        <v>2436</v>
      </c>
      <c r="T931" s="48" t="str">
        <f t="shared" si="109"/>
        <v>(16,'PS-16-GO3','Poste de Sectionnement n°16 GO3','Tuesday-01-jj','Tuesday-01-jj',NULL,1,),</v>
      </c>
    </row>
    <row r="932" spans="1:20" ht="20.100000000000001" customHeight="1" x14ac:dyDescent="0.25">
      <c r="A932" s="38">
        <v>17</v>
      </c>
      <c r="B932" s="38">
        <v>937</v>
      </c>
      <c r="C932" s="38" t="s">
        <v>685</v>
      </c>
      <c r="D932" s="38">
        <v>19</v>
      </c>
      <c r="E932" s="39" t="str">
        <f>CONCATENATE("PS-",TEXT(A932,"00"),"-",O932)</f>
        <v>PS-17-GO3</v>
      </c>
      <c r="F932" s="48" t="str">
        <f>CONCATENATE("Poste de Sectionnement n°",TEXT(A932,"00")," ",O932)</f>
        <v>Poste de Sectionnement n°17 GO3</v>
      </c>
      <c r="G932" s="19">
        <v>39448</v>
      </c>
      <c r="H932" s="19">
        <v>39448</v>
      </c>
      <c r="I932" s="41" t="s">
        <v>20</v>
      </c>
      <c r="J932" s="41">
        <v>1</v>
      </c>
      <c r="K932" s="41" t="s">
        <v>3557</v>
      </c>
      <c r="L932" s="41">
        <v>16</v>
      </c>
      <c r="M932" s="41"/>
      <c r="N932" s="41"/>
      <c r="O932" s="41" t="s">
        <v>444</v>
      </c>
      <c r="P932" s="41" t="s">
        <v>2429</v>
      </c>
      <c r="Q932" s="43">
        <f t="shared" si="105"/>
        <v>706.45</v>
      </c>
      <c r="R932" s="43">
        <f t="shared" si="106"/>
        <v>520</v>
      </c>
      <c r="S932" s="41" t="s">
        <v>2436</v>
      </c>
      <c r="T932" s="48" t="str">
        <f t="shared" si="109"/>
        <v>(17,'PS-17-GO3','Poste de Sectionnement n°17 GO3','Tuesday-01-jj','Tuesday-01-jj',NULL,1,),</v>
      </c>
    </row>
    <row r="933" spans="1:20" ht="20.100000000000001" customHeight="1" x14ac:dyDescent="0.25">
      <c r="A933" s="38">
        <v>18</v>
      </c>
      <c r="B933" s="38">
        <v>938</v>
      </c>
      <c r="C933" s="38" t="s">
        <v>685</v>
      </c>
      <c r="D933" s="38">
        <v>19</v>
      </c>
      <c r="E933" s="39" t="str">
        <f>CONCATENATE("PS-",TEXT(A933,"00"),"-",O933)</f>
        <v>PS-18-GO3</v>
      </c>
      <c r="F933" s="48" t="str">
        <f>CONCATENATE("Poste de Sectionnement n°",TEXT(A933,"00")," ",O933)</f>
        <v>Poste de Sectionnement n°18 GO3</v>
      </c>
      <c r="G933" s="19">
        <v>39448</v>
      </c>
      <c r="H933" s="19">
        <v>39448</v>
      </c>
      <c r="I933" s="41" t="s">
        <v>20</v>
      </c>
      <c r="J933" s="41">
        <v>1</v>
      </c>
      <c r="K933" s="41" t="s">
        <v>3557</v>
      </c>
      <c r="L933" s="41">
        <v>16</v>
      </c>
      <c r="M933" s="41"/>
      <c r="N933" s="41"/>
      <c r="O933" s="41" t="s">
        <v>444</v>
      </c>
      <c r="P933" s="41" t="s">
        <v>2430</v>
      </c>
      <c r="Q933" s="43">
        <f t="shared" si="105"/>
        <v>793.99</v>
      </c>
      <c r="R933" s="43">
        <f t="shared" si="106"/>
        <v>532.15</v>
      </c>
      <c r="S933" s="41" t="s">
        <v>2438</v>
      </c>
      <c r="T933" s="48" t="str">
        <f t="shared" si="109"/>
        <v>(18,'PS-18-GO3','Poste de Sectionnement n°18 GO3','Tuesday-01-jj','Tuesday-01-jj',NULL,1,),</v>
      </c>
    </row>
    <row r="934" spans="1:20" ht="20.100000000000001" customHeight="1" x14ac:dyDescent="0.25">
      <c r="A934" s="38">
        <v>7</v>
      </c>
      <c r="B934" s="38">
        <v>939</v>
      </c>
      <c r="C934" s="38" t="s">
        <v>685</v>
      </c>
      <c r="D934" s="38">
        <v>19</v>
      </c>
      <c r="E934" s="45" t="str">
        <f>CONCATENATE("PPUR-",TEXT(A934,"00"),"-",O934)</f>
        <v>PPUR-07-GO3</v>
      </c>
      <c r="F934" s="48" t="str">
        <f>CONCATENATE("Poste de Purge n°",TEXT(A934,"00")," ",O934)</f>
        <v>Poste de Purge n°07 GO3</v>
      </c>
      <c r="G934" s="19">
        <v>39448</v>
      </c>
      <c r="H934" s="19">
        <v>39448</v>
      </c>
      <c r="I934" s="41" t="s">
        <v>20</v>
      </c>
      <c r="J934" s="41">
        <v>1</v>
      </c>
      <c r="K934" s="41" t="s">
        <v>3558</v>
      </c>
      <c r="L934" s="41">
        <v>17</v>
      </c>
      <c r="M934" s="41"/>
      <c r="N934" s="41"/>
      <c r="O934" s="41" t="s">
        <v>444</v>
      </c>
      <c r="P934" s="41" t="s">
        <v>2457</v>
      </c>
      <c r="Q934" s="49">
        <f t="shared" si="105"/>
        <v>675.86</v>
      </c>
      <c r="R934" s="43">
        <f t="shared" si="106"/>
        <v>546.88</v>
      </c>
      <c r="S934" s="41"/>
      <c r="T934" s="48" t="str">
        <f t="shared" si="109"/>
        <v>(7,'PPUR-07-GO3','Poste de Purge n°07 GO3','Tuesday-01-jj','Tuesday-01-jj',NULL,1,),</v>
      </c>
    </row>
    <row r="935" spans="1:20" ht="20.100000000000001" customHeight="1" x14ac:dyDescent="0.25">
      <c r="A935" s="38">
        <v>1</v>
      </c>
      <c r="B935" s="38">
        <v>940</v>
      </c>
      <c r="C935" s="38" t="s">
        <v>407</v>
      </c>
      <c r="D935" s="38">
        <v>20</v>
      </c>
      <c r="E935" s="45" t="str">
        <f>CONCATENATE("PC-",TEXT(A935,"00"),"-",O935)</f>
        <v>PC-01-GG1</v>
      </c>
      <c r="F935" s="48" t="str">
        <f>CONCATENATE("Poste de Coupure n°",TEXT(A935,"00")," ",O935)</f>
        <v>Poste de Coupure n°01 GG1</v>
      </c>
      <c r="G935" s="19">
        <v>29587</v>
      </c>
      <c r="H935" s="19">
        <v>29587</v>
      </c>
      <c r="I935" s="41" t="s">
        <v>20</v>
      </c>
      <c r="J935" s="41">
        <v>1</v>
      </c>
      <c r="K935" s="41" t="s">
        <v>3556</v>
      </c>
      <c r="L935" s="41">
        <v>15</v>
      </c>
      <c r="M935" s="41"/>
      <c r="N935" s="41"/>
      <c r="O935" s="41" t="s">
        <v>407</v>
      </c>
      <c r="P935" s="41" t="s">
        <v>2229</v>
      </c>
      <c r="Q935" s="49">
        <f t="shared" si="105"/>
        <v>820</v>
      </c>
      <c r="R935" s="43">
        <f t="shared" si="106"/>
        <v>59.5</v>
      </c>
      <c r="S935" s="41" t="s">
        <v>2070</v>
      </c>
      <c r="T935" s="48" t="str">
        <f t="shared" si="109"/>
        <v>(1,'PC-01-GG1','Poste de Coupure n°01 GG1','Thursday-01-jj','Thursday-01-jj',NULL,1,),</v>
      </c>
    </row>
    <row r="936" spans="1:20" ht="20.100000000000001" customHeight="1" x14ac:dyDescent="0.25">
      <c r="A936" s="38">
        <v>1</v>
      </c>
      <c r="B936" s="38">
        <v>941</v>
      </c>
      <c r="C936" s="38" t="s">
        <v>407</v>
      </c>
      <c r="D936" s="38">
        <v>20</v>
      </c>
      <c r="E936" s="39" t="str">
        <f>CONCATENATE("PS-",TEXT(A936,"00"),"-",O936)</f>
        <v>PS-01-GG1</v>
      </c>
      <c r="F936" s="48" t="str">
        <f>CONCATENATE("Poste de Sectionnement n°",TEXT(A936,"00")," ",O936)</f>
        <v>Poste de Sectionnement n°01 GG1</v>
      </c>
      <c r="G936" s="19">
        <v>29587</v>
      </c>
      <c r="H936" s="19">
        <v>29587</v>
      </c>
      <c r="I936" s="41" t="s">
        <v>20</v>
      </c>
      <c r="J936" s="41">
        <v>1</v>
      </c>
      <c r="K936" s="41" t="s">
        <v>3557</v>
      </c>
      <c r="L936" s="41">
        <v>16</v>
      </c>
      <c r="M936" s="41"/>
      <c r="N936" s="41"/>
      <c r="O936" s="41" t="s">
        <v>407</v>
      </c>
      <c r="P936" s="41" t="s">
        <v>2237</v>
      </c>
      <c r="Q936" s="43">
        <f t="shared" si="105"/>
        <v>680</v>
      </c>
      <c r="R936" s="43">
        <f t="shared" si="106"/>
        <v>94.5</v>
      </c>
      <c r="S936" s="41" t="s">
        <v>2258</v>
      </c>
      <c r="T936" s="48" t="str">
        <f t="shared" si="109"/>
        <v>(1,'PS-01-GG1','Poste de Sectionnement n°01 GG1','Thursday-01-jj','Thursday-01-jj',NULL,1,),</v>
      </c>
    </row>
    <row r="937" spans="1:20" ht="20.100000000000001" customHeight="1" x14ac:dyDescent="0.25">
      <c r="A937" s="38">
        <v>1</v>
      </c>
      <c r="B937" s="38">
        <v>942</v>
      </c>
      <c r="C937" s="38" t="s">
        <v>407</v>
      </c>
      <c r="D937" s="38">
        <v>20</v>
      </c>
      <c r="E937" s="45" t="str">
        <f>CONCATENATE("PPUR-",TEXT(A937,"00"),"-",O937)</f>
        <v>PPUR-01-GG1</v>
      </c>
      <c r="F937" s="48" t="str">
        <f>CONCATENATE("Poste de Purge n°",TEXT(A937,"00")," ",O937)</f>
        <v>Poste de Purge n°01 GG1</v>
      </c>
      <c r="G937" s="19">
        <v>29587</v>
      </c>
      <c r="H937" s="19">
        <v>29587</v>
      </c>
      <c r="I937" s="41" t="s">
        <v>20</v>
      </c>
      <c r="J937" s="41">
        <v>1</v>
      </c>
      <c r="K937" s="41" t="s">
        <v>3558</v>
      </c>
      <c r="L937" s="41">
        <v>17</v>
      </c>
      <c r="M937" s="41"/>
      <c r="N937" s="41"/>
      <c r="O937" s="41" t="s">
        <v>407</v>
      </c>
      <c r="P937" s="41" t="s">
        <v>2276</v>
      </c>
      <c r="Q937" s="49">
        <f t="shared" si="105"/>
        <v>665</v>
      </c>
      <c r="R937" s="43">
        <f t="shared" si="106"/>
        <v>102.05</v>
      </c>
      <c r="S937" s="41" t="s">
        <v>2284</v>
      </c>
      <c r="T937" s="48" t="str">
        <f t="shared" si="109"/>
        <v>(1,'PPUR-01-GG1','Poste de Purge n°01 GG1','Thursday-01-jj','Thursday-01-jj',NULL,1,),</v>
      </c>
    </row>
    <row r="938" spans="1:20" ht="20.100000000000001" customHeight="1" x14ac:dyDescent="0.25">
      <c r="A938" s="38">
        <v>2</v>
      </c>
      <c r="B938" s="38">
        <v>943</v>
      </c>
      <c r="C938" s="38" t="s">
        <v>407</v>
      </c>
      <c r="D938" s="38">
        <v>20</v>
      </c>
      <c r="E938" s="45" t="str">
        <f>CONCATENATE("PC-",TEXT(A938,"00"),"-",O938)</f>
        <v>PC-02-GG1</v>
      </c>
      <c r="F938" s="48" t="str">
        <f>CONCATENATE("Poste de Coupure n°",TEXT(A938,"00")," ",O938)</f>
        <v>Poste de Coupure n°02 GG1</v>
      </c>
      <c r="G938" s="19">
        <v>29587</v>
      </c>
      <c r="H938" s="19">
        <v>29587</v>
      </c>
      <c r="I938" s="41" t="s">
        <v>20</v>
      </c>
      <c r="J938" s="41">
        <v>1</v>
      </c>
      <c r="K938" s="41" t="s">
        <v>3556</v>
      </c>
      <c r="L938" s="41">
        <v>15</v>
      </c>
      <c r="M938" s="41"/>
      <c r="N938" s="41"/>
      <c r="O938" s="41" t="s">
        <v>407</v>
      </c>
      <c r="P938" s="41" t="s">
        <v>2230</v>
      </c>
      <c r="Q938" s="49">
        <f t="shared" si="105"/>
        <v>860</v>
      </c>
      <c r="R938" s="43">
        <f t="shared" si="106"/>
        <v>126.7</v>
      </c>
      <c r="S938" s="41" t="s">
        <v>2233</v>
      </c>
      <c r="T938" s="48" t="str">
        <f t="shared" si="109"/>
        <v>(2,'PC-02-GG1','Poste de Coupure n°02 GG1','Thursday-01-jj','Thursday-01-jj',NULL,1,),</v>
      </c>
    </row>
    <row r="939" spans="1:20" ht="20.100000000000001" customHeight="1" x14ac:dyDescent="0.25">
      <c r="A939" s="38">
        <v>1</v>
      </c>
      <c r="B939" s="38">
        <v>944</v>
      </c>
      <c r="C939" s="38" t="s">
        <v>407</v>
      </c>
      <c r="D939" s="38">
        <v>20</v>
      </c>
      <c r="E939" s="39" t="s">
        <v>2288</v>
      </c>
      <c r="F939" s="48" t="str">
        <f>CONCATENATE("Station de Compression ",E939)</f>
        <v>Station de Compression SC3-GG1</v>
      </c>
      <c r="G939" s="19">
        <v>38961</v>
      </c>
      <c r="H939" s="19">
        <v>38961</v>
      </c>
      <c r="I939" s="41" t="s">
        <v>20</v>
      </c>
      <c r="J939" s="41">
        <v>1</v>
      </c>
      <c r="K939" s="41" t="s">
        <v>3554</v>
      </c>
      <c r="L939" s="41">
        <v>8</v>
      </c>
      <c r="M939" s="41">
        <v>10</v>
      </c>
      <c r="N939" s="41"/>
      <c r="O939" s="41" t="s">
        <v>407</v>
      </c>
      <c r="P939" s="41" t="s">
        <v>3586</v>
      </c>
      <c r="Q939" s="49">
        <f t="shared" si="105"/>
        <v>1100</v>
      </c>
      <c r="R939" s="43">
        <f t="shared" si="106"/>
        <v>181.3</v>
      </c>
      <c r="S939" s="41" t="s">
        <v>3587</v>
      </c>
      <c r="T939" s="48" t="str">
        <f t="shared" si="109"/>
        <v>(1,'SC3-GG1','Station de Compression SC3-GG1','Friday-09-jj','Friday-09-jj',NULL,1,10),</v>
      </c>
    </row>
    <row r="940" spans="1:20" ht="20.100000000000001" customHeight="1" x14ac:dyDescent="0.25">
      <c r="A940" s="38">
        <v>2</v>
      </c>
      <c r="B940" s="38">
        <v>945</v>
      </c>
      <c r="C940" s="38" t="s">
        <v>407</v>
      </c>
      <c r="D940" s="38">
        <v>20</v>
      </c>
      <c r="E940" s="39" t="str">
        <f>CONCATENATE("PS-",TEXT(A940,"00"),"-",O940)</f>
        <v>PS-02-GG1</v>
      </c>
      <c r="F940" s="48" t="str">
        <f>CONCATENATE("Poste de Sectionnement n°",TEXT(A940,"00")," ",O940)</f>
        <v>Poste de Sectionnement n°02 GG1</v>
      </c>
      <c r="G940" s="19">
        <v>29587</v>
      </c>
      <c r="H940" s="19">
        <v>29587</v>
      </c>
      <c r="I940" s="41" t="s">
        <v>20</v>
      </c>
      <c r="J940" s="41">
        <v>1</v>
      </c>
      <c r="K940" s="41" t="s">
        <v>3557</v>
      </c>
      <c r="L940" s="41">
        <v>16</v>
      </c>
      <c r="M940" s="41"/>
      <c r="N940" s="41"/>
      <c r="O940" s="41" t="s">
        <v>407</v>
      </c>
      <c r="P940" s="41" t="s">
        <v>2238</v>
      </c>
      <c r="Q940" s="43">
        <f t="shared" si="105"/>
        <v>1114</v>
      </c>
      <c r="R940" s="43">
        <f t="shared" si="106"/>
        <v>217</v>
      </c>
      <c r="S940" s="41" t="s">
        <v>2259</v>
      </c>
      <c r="T940" s="48" t="str">
        <f t="shared" si="109"/>
        <v>(2,'PS-02-GG1','Poste de Sectionnement n°02 GG1','Thursday-01-jj','Thursday-01-jj',NULL,1,),</v>
      </c>
    </row>
    <row r="941" spans="1:20" ht="20.100000000000001" customHeight="1" x14ac:dyDescent="0.25">
      <c r="A941" s="38">
        <v>4</v>
      </c>
      <c r="B941" s="38">
        <v>946</v>
      </c>
      <c r="C941" s="38" t="s">
        <v>407</v>
      </c>
      <c r="D941" s="38">
        <v>20</v>
      </c>
      <c r="E941" s="45" t="str">
        <f>CONCATENATE("PC-",TEXT(A941,"00"),"-",O941)</f>
        <v>PC-04-GG1</v>
      </c>
      <c r="F941" s="48" t="str">
        <f>CONCATENATE("Poste de Coupure n°",TEXT(A941,"00")," ",O941)</f>
        <v>Poste de Coupure n°04 GG1</v>
      </c>
      <c r="G941" s="19">
        <v>29587</v>
      </c>
      <c r="H941" s="19">
        <v>29587</v>
      </c>
      <c r="I941" s="41" t="s">
        <v>20</v>
      </c>
      <c r="J941" s="41">
        <v>1</v>
      </c>
      <c r="K941" s="41" t="s">
        <v>3556</v>
      </c>
      <c r="L941" s="41">
        <v>15</v>
      </c>
      <c r="M941" s="41"/>
      <c r="N941" s="41"/>
      <c r="O941" s="41" t="s">
        <v>407</v>
      </c>
      <c r="P941" s="41" t="s">
        <v>2231</v>
      </c>
      <c r="Q941" s="49">
        <f t="shared" si="105"/>
        <v>833</v>
      </c>
      <c r="R941" s="43">
        <f t="shared" si="106"/>
        <v>253.1</v>
      </c>
      <c r="S941" s="41" t="s">
        <v>2234</v>
      </c>
      <c r="T941" s="48" t="str">
        <f t="shared" si="109"/>
        <v>(4,'PC-04-GG1','Poste de Coupure n°04 GG1','Thursday-01-jj','Thursday-01-jj',NULL,1,),</v>
      </c>
    </row>
    <row r="942" spans="1:20" ht="20.100000000000001" customHeight="1" x14ac:dyDescent="0.25">
      <c r="A942" s="38">
        <v>3</v>
      </c>
      <c r="B942" s="38">
        <v>947</v>
      </c>
      <c r="C942" s="38" t="s">
        <v>407</v>
      </c>
      <c r="D942" s="38">
        <v>20</v>
      </c>
      <c r="E942" s="39" t="str">
        <f>CONCATENATE("PS-",TEXT(A942,"00"),"-",O942)</f>
        <v>PS-03-GG1</v>
      </c>
      <c r="F942" s="48" t="str">
        <f>CONCATENATE("Poste de Sectionnement n°",TEXT(A942,"00")," ",O942)</f>
        <v>Poste de Sectionnement n°03 GG1</v>
      </c>
      <c r="G942" s="19">
        <v>29587</v>
      </c>
      <c r="H942" s="19">
        <v>29587</v>
      </c>
      <c r="I942" s="41" t="s">
        <v>20</v>
      </c>
      <c r="J942" s="41">
        <v>1</v>
      </c>
      <c r="K942" s="41" t="s">
        <v>3557</v>
      </c>
      <c r="L942" s="41">
        <v>16</v>
      </c>
      <c r="M942" s="41"/>
      <c r="N942" s="41"/>
      <c r="O942" s="41" t="s">
        <v>407</v>
      </c>
      <c r="P942" s="41" t="s">
        <v>2239</v>
      </c>
      <c r="Q942" s="43">
        <f t="shared" si="105"/>
        <v>665</v>
      </c>
      <c r="R942" s="43">
        <f t="shared" si="106"/>
        <v>296</v>
      </c>
      <c r="S942" s="41" t="s">
        <v>2260</v>
      </c>
      <c r="T942" s="48" t="str">
        <f t="shared" si="109"/>
        <v>(3,'PS-03-GG1','Poste de Sectionnement n°03 GG1','Thursday-01-jj','Thursday-01-jj',NULL,1,),</v>
      </c>
    </row>
    <row r="943" spans="1:20" ht="20.100000000000001" customHeight="1" x14ac:dyDescent="0.25">
      <c r="A943" s="38">
        <v>2</v>
      </c>
      <c r="B943" s="38">
        <v>948</v>
      </c>
      <c r="C943" s="38" t="s">
        <v>407</v>
      </c>
      <c r="D943" s="38">
        <v>20</v>
      </c>
      <c r="E943" s="45" t="str">
        <f>CONCATENATE("PPUR-",TEXT(A943,"00"),"-",O943)</f>
        <v>PPUR-02-GG1</v>
      </c>
      <c r="F943" s="48" t="str">
        <f>CONCATENATE("Poste de Purge n°",TEXT(A943,"00")," ",O943)</f>
        <v>Poste de Purge n°02 GG1</v>
      </c>
      <c r="G943" s="19">
        <v>29587</v>
      </c>
      <c r="H943" s="19">
        <v>29587</v>
      </c>
      <c r="I943" s="41" t="s">
        <v>20</v>
      </c>
      <c r="J943" s="41">
        <v>1</v>
      </c>
      <c r="K943" s="41" t="s">
        <v>3558</v>
      </c>
      <c r="L943" s="41">
        <v>17</v>
      </c>
      <c r="M943" s="41"/>
      <c r="N943" s="41"/>
      <c r="O943" s="41" t="s">
        <v>407</v>
      </c>
      <c r="P943" s="41" t="s">
        <v>2277</v>
      </c>
      <c r="Q943" s="49">
        <f t="shared" si="105"/>
        <v>374</v>
      </c>
      <c r="R943" s="43">
        <f t="shared" si="106"/>
        <v>319.05</v>
      </c>
      <c r="S943" s="41" t="s">
        <v>2235</v>
      </c>
      <c r="T943" s="48" t="str">
        <f t="shared" si="109"/>
        <v>(2,'PPUR-02-GG1','Poste de Purge n°02 GG1','Thursday-01-jj','Thursday-01-jj',NULL,1,),</v>
      </c>
    </row>
    <row r="944" spans="1:20" ht="20.100000000000001" customHeight="1" x14ac:dyDescent="0.25">
      <c r="A944" s="38">
        <v>5</v>
      </c>
      <c r="B944" s="38">
        <v>949</v>
      </c>
      <c r="C944" s="38" t="s">
        <v>407</v>
      </c>
      <c r="D944" s="38">
        <v>20</v>
      </c>
      <c r="E944" s="45" t="str">
        <f>CONCATENATE("PC-",TEXT(A944,"00"),"-",O944)</f>
        <v>PC-05-GG1</v>
      </c>
      <c r="F944" s="48" t="str">
        <f>CONCATENATE("Poste de Coupure n°",TEXT(A944,"00")," ",O944)</f>
        <v>Poste de Coupure n°05 GG1</v>
      </c>
      <c r="G944" s="19">
        <v>29587</v>
      </c>
      <c r="H944" s="19">
        <v>29587</v>
      </c>
      <c r="I944" s="41" t="s">
        <v>20</v>
      </c>
      <c r="J944" s="41">
        <v>1</v>
      </c>
      <c r="K944" s="41" t="s">
        <v>3556</v>
      </c>
      <c r="L944" s="41">
        <v>15</v>
      </c>
      <c r="M944" s="41"/>
      <c r="N944" s="41"/>
      <c r="O944" s="41" t="s">
        <v>407</v>
      </c>
      <c r="P944" s="41" t="s">
        <v>2232</v>
      </c>
      <c r="Q944" s="49">
        <f t="shared" si="105"/>
        <v>591</v>
      </c>
      <c r="R944" s="43">
        <f t="shared" si="106"/>
        <v>325.89999999999998</v>
      </c>
      <c r="S944" s="41" t="s">
        <v>2235</v>
      </c>
      <c r="T944" s="48" t="str">
        <f t="shared" si="109"/>
        <v>(5,'PC-05-GG1','Poste de Coupure n°05 GG1','Thursday-01-jj','Thursday-01-jj',NULL,1,),</v>
      </c>
    </row>
    <row r="945" spans="1:20" ht="20.100000000000001" customHeight="1" x14ac:dyDescent="0.25">
      <c r="A945" s="38">
        <v>4</v>
      </c>
      <c r="B945" s="38">
        <v>950</v>
      </c>
      <c r="C945" s="38" t="s">
        <v>407</v>
      </c>
      <c r="D945" s="38">
        <v>20</v>
      </c>
      <c r="E945" s="39" t="str">
        <f>CONCATENATE("PS-",TEXT(A945,"00"),"-",O945)</f>
        <v>PS-04-GG1</v>
      </c>
      <c r="F945" s="48" t="str">
        <f>CONCATENATE("Poste de Sectionnement n°",TEXT(A945,"00")," ",O945)</f>
        <v>Poste de Sectionnement n°04 GG1</v>
      </c>
      <c r="G945" s="19">
        <v>29587</v>
      </c>
      <c r="H945" s="19">
        <v>29587</v>
      </c>
      <c r="I945" s="41" t="s">
        <v>20</v>
      </c>
      <c r="J945" s="41">
        <v>1</v>
      </c>
      <c r="K945" s="41" t="s">
        <v>3557</v>
      </c>
      <c r="L945" s="41">
        <v>16</v>
      </c>
      <c r="M945" s="41"/>
      <c r="N945" s="41"/>
      <c r="O945" s="41" t="s">
        <v>407</v>
      </c>
      <c r="P945" s="41" t="s">
        <v>2240</v>
      </c>
      <c r="Q945" s="43">
        <f t="shared" si="105"/>
        <v>800</v>
      </c>
      <c r="R945" s="43">
        <f t="shared" si="106"/>
        <v>349.25</v>
      </c>
      <c r="S945" s="41" t="s">
        <v>2261</v>
      </c>
      <c r="T945" s="48" t="str">
        <f t="shared" si="109"/>
        <v>(4,'PS-04-GG1','Poste de Sectionnement n°04 GG1','Thursday-01-jj','Thursday-01-jj',NULL,1,),</v>
      </c>
    </row>
    <row r="946" spans="1:20" ht="20.100000000000001" customHeight="1" x14ac:dyDescent="0.25">
      <c r="A946" s="38">
        <v>5</v>
      </c>
      <c r="B946" s="38">
        <v>951</v>
      </c>
      <c r="C946" s="38" t="s">
        <v>407</v>
      </c>
      <c r="D946" s="38">
        <v>20</v>
      </c>
      <c r="E946" s="39" t="str">
        <f>CONCATENATE("PS-",TEXT(A946,"00"),"-",O946)</f>
        <v>PS-05-GG1</v>
      </c>
      <c r="F946" s="48" t="str">
        <f>CONCATENATE("Poste de Sectionnement n°",TEXT(A946,"00")," ",O946)</f>
        <v>Poste de Sectionnement n°05 GG1</v>
      </c>
      <c r="G946" s="19">
        <v>29587</v>
      </c>
      <c r="H946" s="19">
        <v>29587</v>
      </c>
      <c r="I946" s="41" t="s">
        <v>20</v>
      </c>
      <c r="J946" s="41">
        <v>1</v>
      </c>
      <c r="K946" s="41" t="s">
        <v>3557</v>
      </c>
      <c r="L946" s="41">
        <v>16</v>
      </c>
      <c r="M946" s="41"/>
      <c r="N946" s="41"/>
      <c r="O946" s="41" t="s">
        <v>407</v>
      </c>
      <c r="P946" s="41" t="s">
        <v>2241</v>
      </c>
      <c r="Q946" s="43">
        <f t="shared" si="105"/>
        <v>717</v>
      </c>
      <c r="R946" s="43">
        <f t="shared" si="106"/>
        <v>375</v>
      </c>
      <c r="S946" s="41" t="s">
        <v>2262</v>
      </c>
      <c r="T946" s="48" t="str">
        <f t="shared" si="109"/>
        <v>(5,'PS-05-GG1','Poste de Sectionnement n°05 GG1','Thursday-01-jj','Thursday-01-jj',NULL,1,),</v>
      </c>
    </row>
    <row r="947" spans="1:20" ht="20.100000000000001" customHeight="1" x14ac:dyDescent="0.25">
      <c r="A947" s="38">
        <v>3</v>
      </c>
      <c r="B947" s="38">
        <v>952</v>
      </c>
      <c r="C947" s="38" t="s">
        <v>407</v>
      </c>
      <c r="D947" s="38">
        <v>20</v>
      </c>
      <c r="E947" s="45" t="str">
        <f>CONCATENATE("PPUR-",TEXT(A947,"00"),"-",O947)</f>
        <v>PPUR-03-GG1</v>
      </c>
      <c r="F947" s="48" t="str">
        <f>CONCATENATE("Poste de Purge n°",TEXT(A947,"00")," ",O947)</f>
        <v>Poste de Purge n°03 GG1</v>
      </c>
      <c r="G947" s="19">
        <v>29587</v>
      </c>
      <c r="H947" s="19">
        <v>29587</v>
      </c>
      <c r="I947" s="41" t="s">
        <v>20</v>
      </c>
      <c r="J947" s="41">
        <v>1</v>
      </c>
      <c r="K947" s="41" t="s">
        <v>3558</v>
      </c>
      <c r="L947" s="41">
        <v>17</v>
      </c>
      <c r="M947" s="41"/>
      <c r="N947" s="41"/>
      <c r="O947" s="41" t="s">
        <v>407</v>
      </c>
      <c r="P947" s="41" t="s">
        <v>2278</v>
      </c>
      <c r="Q947" s="49">
        <f t="shared" si="105"/>
        <v>558</v>
      </c>
      <c r="R947" s="43">
        <f t="shared" si="106"/>
        <v>387.5</v>
      </c>
      <c r="S947" s="41" t="s">
        <v>2271</v>
      </c>
      <c r="T947" s="48" t="str">
        <f t="shared" si="109"/>
        <v>(3,'PPUR-03-GG1','Poste de Purge n°03 GG1','Thursday-01-jj','Thursday-01-jj',NULL,1,),</v>
      </c>
    </row>
    <row r="948" spans="1:20" ht="20.100000000000001" customHeight="1" x14ac:dyDescent="0.25">
      <c r="A948" s="38">
        <v>6</v>
      </c>
      <c r="B948" s="38">
        <v>953</v>
      </c>
      <c r="C948" s="38" t="s">
        <v>407</v>
      </c>
      <c r="D948" s="38">
        <v>20</v>
      </c>
      <c r="E948" s="39" t="str">
        <f t="shared" ref="E948:E953" si="110">CONCATENATE("PS-",TEXT(A948,"00"),"-",O948)</f>
        <v>PS-06-GG1</v>
      </c>
      <c r="F948" s="48" t="str">
        <f t="shared" ref="F948:F953" si="111">CONCATENATE("Poste de Sectionnement n°",TEXT(A948,"00")," ",O948)</f>
        <v>Poste de Sectionnement n°06 GG1</v>
      </c>
      <c r="G948" s="19">
        <v>29587</v>
      </c>
      <c r="H948" s="19">
        <v>29587</v>
      </c>
      <c r="I948" s="41" t="s">
        <v>20</v>
      </c>
      <c r="J948" s="41">
        <v>1</v>
      </c>
      <c r="K948" s="41" t="s">
        <v>3557</v>
      </c>
      <c r="L948" s="41">
        <v>16</v>
      </c>
      <c r="M948" s="41"/>
      <c r="N948" s="41"/>
      <c r="O948" s="41" t="s">
        <v>407</v>
      </c>
      <c r="P948" s="41" t="s">
        <v>2242</v>
      </c>
      <c r="Q948" s="43">
        <f t="shared" si="105"/>
        <v>592</v>
      </c>
      <c r="R948" s="43">
        <f t="shared" si="106"/>
        <v>401</v>
      </c>
      <c r="S948" s="41" t="s">
        <v>2263</v>
      </c>
      <c r="T948" s="48" t="str">
        <f t="shared" si="109"/>
        <v>(6,'PS-06-GG1','Poste de Sectionnement n°06 GG1','Thursday-01-jj','Thursday-01-jj',NULL,1,),</v>
      </c>
    </row>
    <row r="949" spans="1:20" ht="20.100000000000001" customHeight="1" x14ac:dyDescent="0.25">
      <c r="A949" s="38">
        <v>7</v>
      </c>
      <c r="B949" s="38">
        <v>954</v>
      </c>
      <c r="C949" s="38" t="s">
        <v>407</v>
      </c>
      <c r="D949" s="38">
        <v>20</v>
      </c>
      <c r="E949" s="39" t="str">
        <f t="shared" si="110"/>
        <v>PS-07-GG1</v>
      </c>
      <c r="F949" s="48" t="str">
        <f t="shared" si="111"/>
        <v>Poste de Sectionnement n°07 GG1</v>
      </c>
      <c r="G949" s="19">
        <v>29587</v>
      </c>
      <c r="H949" s="19">
        <v>29587</v>
      </c>
      <c r="I949" s="41" t="s">
        <v>20</v>
      </c>
      <c r="J949" s="41">
        <v>1</v>
      </c>
      <c r="K949" s="41" t="s">
        <v>3557</v>
      </c>
      <c r="L949" s="41">
        <v>16</v>
      </c>
      <c r="M949" s="41"/>
      <c r="N949" s="41"/>
      <c r="O949" s="41" t="s">
        <v>407</v>
      </c>
      <c r="P949" s="41" t="s">
        <v>2243</v>
      </c>
      <c r="Q949" s="43">
        <f t="shared" si="105"/>
        <v>115</v>
      </c>
      <c r="R949" s="43">
        <f t="shared" si="106"/>
        <v>437</v>
      </c>
      <c r="S949" s="41" t="s">
        <v>2264</v>
      </c>
      <c r="T949" s="48" t="str">
        <f t="shared" si="109"/>
        <v>(7,'PS-07-GG1','Poste de Sectionnement n°07 GG1','Thursday-01-jj','Thursday-01-jj',NULL,1,),</v>
      </c>
    </row>
    <row r="950" spans="1:20" ht="20.100000000000001" customHeight="1" x14ac:dyDescent="0.25">
      <c r="A950" s="38">
        <v>1</v>
      </c>
      <c r="B950" s="38">
        <v>955</v>
      </c>
      <c r="C950" s="38" t="s">
        <v>407</v>
      </c>
      <c r="D950" s="38">
        <v>20</v>
      </c>
      <c r="E950" s="39" t="str">
        <f t="shared" si="110"/>
        <v>PS-01-RGG1</v>
      </c>
      <c r="F950" s="48" t="str">
        <f t="shared" si="111"/>
        <v>Poste de Sectionnement n°01 RGG1</v>
      </c>
      <c r="G950" s="19">
        <v>43466</v>
      </c>
      <c r="H950" s="19">
        <v>43466</v>
      </c>
      <c r="I950" s="41" t="s">
        <v>20</v>
      </c>
      <c r="J950" s="41">
        <v>1</v>
      </c>
      <c r="K950" s="41" t="s">
        <v>3557</v>
      </c>
      <c r="L950" s="41">
        <v>16</v>
      </c>
      <c r="M950" s="41"/>
      <c r="N950" s="41"/>
      <c r="O950" s="41" t="s">
        <v>410</v>
      </c>
      <c r="P950" s="41" t="s">
        <v>2244</v>
      </c>
      <c r="Q950" s="43">
        <f t="shared" ref="Q950:Q969" si="112">VALUE(RIGHT(P950,LEN(P950)-SEARCH("/",P950)))</f>
        <v>820</v>
      </c>
      <c r="R950" s="43">
        <f t="shared" ref="R950:R969" si="113">VALUE(SUBSTITUTE(LEFT(P950,SEARCH("/",P950)-1),"+",","))</f>
        <v>20.244</v>
      </c>
      <c r="S950" s="41" t="s">
        <v>2265</v>
      </c>
      <c r="T950" s="48" t="str">
        <f t="shared" si="109"/>
        <v>(1,'PS-01-RGG1','Poste de Sectionnement n°01 RGG1','Tuesday-01-jj','Tuesday-01-jj',NULL,1,),</v>
      </c>
    </row>
    <row r="951" spans="1:20" ht="20.100000000000001" customHeight="1" x14ac:dyDescent="0.25">
      <c r="A951" s="38">
        <v>2</v>
      </c>
      <c r="B951" s="38">
        <v>956</v>
      </c>
      <c r="C951" s="38" t="s">
        <v>407</v>
      </c>
      <c r="D951" s="38">
        <v>20</v>
      </c>
      <c r="E951" s="39" t="str">
        <f t="shared" si="110"/>
        <v>PS-02-RGG1</v>
      </c>
      <c r="F951" s="48" t="str">
        <f t="shared" si="111"/>
        <v>Poste de Sectionnement n°02 RGG1</v>
      </c>
      <c r="G951" s="19">
        <v>43466</v>
      </c>
      <c r="H951" s="19">
        <v>43466</v>
      </c>
      <c r="I951" s="41" t="s">
        <v>20</v>
      </c>
      <c r="J951" s="41">
        <v>1</v>
      </c>
      <c r="K951" s="41" t="s">
        <v>3557</v>
      </c>
      <c r="L951" s="41">
        <v>16</v>
      </c>
      <c r="M951" s="41"/>
      <c r="N951" s="41"/>
      <c r="O951" s="41" t="s">
        <v>410</v>
      </c>
      <c r="P951" s="41" t="s">
        <v>2245</v>
      </c>
      <c r="Q951" s="43">
        <f t="shared" si="112"/>
        <v>791</v>
      </c>
      <c r="R951" s="43">
        <f t="shared" si="113"/>
        <v>42.18</v>
      </c>
      <c r="S951" s="41" t="s">
        <v>2266</v>
      </c>
      <c r="T951" s="48" t="str">
        <f t="shared" si="109"/>
        <v>(2,'PS-02-RGG1','Poste de Sectionnement n°02 RGG1','Tuesday-01-jj','Tuesday-01-jj',NULL,1,),</v>
      </c>
    </row>
    <row r="952" spans="1:20" ht="20.100000000000001" customHeight="1" x14ac:dyDescent="0.25">
      <c r="A952" s="38">
        <v>3</v>
      </c>
      <c r="B952" s="38">
        <v>957</v>
      </c>
      <c r="C952" s="38" t="s">
        <v>407</v>
      </c>
      <c r="D952" s="38">
        <v>20</v>
      </c>
      <c r="E952" s="39" t="str">
        <f t="shared" si="110"/>
        <v>PS-03-RGG1</v>
      </c>
      <c r="F952" s="48" t="str">
        <f t="shared" si="111"/>
        <v>Poste de Sectionnement n°03 RGG1</v>
      </c>
      <c r="G952" s="19">
        <v>43466</v>
      </c>
      <c r="H952" s="19">
        <v>43466</v>
      </c>
      <c r="I952" s="41" t="s">
        <v>20</v>
      </c>
      <c r="J952" s="41">
        <v>1</v>
      </c>
      <c r="K952" s="41" t="s">
        <v>3557</v>
      </c>
      <c r="L952" s="41">
        <v>16</v>
      </c>
      <c r="M952" s="41"/>
      <c r="N952" s="41"/>
      <c r="O952" s="41" t="s">
        <v>410</v>
      </c>
      <c r="P952" s="41" t="s">
        <v>2246</v>
      </c>
      <c r="Q952" s="43">
        <f t="shared" si="112"/>
        <v>663</v>
      </c>
      <c r="R952" s="43">
        <f t="shared" si="113"/>
        <v>63.331000000000003</v>
      </c>
      <c r="S952" s="41" t="s">
        <v>2267</v>
      </c>
      <c r="T952" s="48" t="str">
        <f t="shared" si="109"/>
        <v>(3,'PS-03-RGG1','Poste de Sectionnement n°03 RGG1','Tuesday-01-jj','Tuesday-01-jj',NULL,1,),</v>
      </c>
    </row>
    <row r="953" spans="1:20" ht="20.100000000000001" customHeight="1" x14ac:dyDescent="0.25">
      <c r="A953" s="38">
        <v>4</v>
      </c>
      <c r="B953" s="38">
        <v>958</v>
      </c>
      <c r="C953" s="38" t="s">
        <v>407</v>
      </c>
      <c r="D953" s="38">
        <v>20</v>
      </c>
      <c r="E953" s="39" t="str">
        <f t="shared" si="110"/>
        <v>PS-04-RGG1</v>
      </c>
      <c r="F953" s="48" t="str">
        <f t="shared" si="111"/>
        <v>Poste de Sectionnement n°04 RGG1</v>
      </c>
      <c r="G953" s="19">
        <v>43466</v>
      </c>
      <c r="H953" s="19">
        <v>43466</v>
      </c>
      <c r="I953" s="41" t="s">
        <v>20</v>
      </c>
      <c r="J953" s="41">
        <v>1</v>
      </c>
      <c r="K953" s="41" t="s">
        <v>3557</v>
      </c>
      <c r="L953" s="41">
        <v>16</v>
      </c>
      <c r="M953" s="41"/>
      <c r="N953" s="41"/>
      <c r="O953" s="41" t="s">
        <v>410</v>
      </c>
      <c r="P953" s="41" t="s">
        <v>2247</v>
      </c>
      <c r="Q953" s="43">
        <f t="shared" si="112"/>
        <v>606</v>
      </c>
      <c r="R953" s="43">
        <f t="shared" si="113"/>
        <v>78.870999999999995</v>
      </c>
      <c r="S953" s="41" t="s">
        <v>2268</v>
      </c>
      <c r="T953" s="48" t="str">
        <f t="shared" si="109"/>
        <v>(4,'PS-04-RGG1','Poste de Sectionnement n°04 RGG1','Tuesday-01-jj','Tuesday-01-jj',NULL,1,),</v>
      </c>
    </row>
    <row r="954" spans="1:20" ht="20.100000000000001" customHeight="1" x14ac:dyDescent="0.25">
      <c r="A954" s="38">
        <v>1</v>
      </c>
      <c r="B954" s="38">
        <v>959</v>
      </c>
      <c r="C954" s="38" t="s">
        <v>407</v>
      </c>
      <c r="D954" s="38">
        <v>20</v>
      </c>
      <c r="E954" s="45" t="str">
        <f>CONCATENATE("PPUR-",TEXT(A954,"00"),"-",O954)</f>
        <v>PPUR-01-RGG1</v>
      </c>
      <c r="F954" s="48" t="str">
        <f>CONCATENATE("Poste de Purge n°",TEXT(A954,"00")," ",O954)</f>
        <v>Poste de Purge n°01 RGG1</v>
      </c>
      <c r="G954" s="19">
        <v>43466</v>
      </c>
      <c r="H954" s="19">
        <v>43466</v>
      </c>
      <c r="I954" s="41" t="s">
        <v>20</v>
      </c>
      <c r="J954" s="41">
        <v>1</v>
      </c>
      <c r="K954" s="41" t="s">
        <v>3558</v>
      </c>
      <c r="L954" s="41">
        <v>17</v>
      </c>
      <c r="M954" s="41"/>
      <c r="N954" s="41"/>
      <c r="O954" s="41" t="s">
        <v>410</v>
      </c>
      <c r="P954" s="41" t="s">
        <v>2279</v>
      </c>
      <c r="Q954" s="49">
        <f t="shared" si="112"/>
        <v>577</v>
      </c>
      <c r="R954" s="43">
        <f t="shared" si="113"/>
        <v>87.32</v>
      </c>
      <c r="S954" s="41" t="s">
        <v>2235</v>
      </c>
      <c r="T954" s="48" t="str">
        <f t="shared" si="109"/>
        <v>(1,'PPUR-01-RGG1','Poste de Purge n°01 RGG1','Tuesday-01-jj','Tuesday-01-jj',NULL,1,),</v>
      </c>
    </row>
    <row r="955" spans="1:20" ht="20.100000000000001" customHeight="1" x14ac:dyDescent="0.25">
      <c r="A955" s="38">
        <v>1</v>
      </c>
      <c r="B955" s="38">
        <v>960</v>
      </c>
      <c r="C955" s="38" t="s">
        <v>407</v>
      </c>
      <c r="D955" s="38">
        <v>20</v>
      </c>
      <c r="E955" s="45" t="str">
        <f>CONCATENATE("PC-",TEXT(A955,"00"),"-",O955)</f>
        <v>PC-01-RGG1</v>
      </c>
      <c r="F955" s="48" t="str">
        <f>CONCATENATE("Poste de Coupure n°",TEXT(A955,"00")," ",O955)</f>
        <v>Poste de Coupure n°01 RGG1</v>
      </c>
      <c r="G955" s="19">
        <v>43466</v>
      </c>
      <c r="H955" s="19">
        <v>43466</v>
      </c>
      <c r="I955" s="41" t="s">
        <v>20</v>
      </c>
      <c r="J955" s="41">
        <v>1</v>
      </c>
      <c r="K955" s="41" t="s">
        <v>3556</v>
      </c>
      <c r="L955" s="41">
        <v>15</v>
      </c>
      <c r="M955" s="41"/>
      <c r="N955" s="41"/>
      <c r="O955" s="41" t="s">
        <v>410</v>
      </c>
      <c r="P955" s="41" t="s">
        <v>2236</v>
      </c>
      <c r="Q955" s="49">
        <f t="shared" si="112"/>
        <v>584</v>
      </c>
      <c r="R955" s="43">
        <f t="shared" si="113"/>
        <v>92.977999999999994</v>
      </c>
      <c r="S955" s="41" t="s">
        <v>2235</v>
      </c>
      <c r="T955" s="48" t="str">
        <f t="shared" si="109"/>
        <v>(1,'PC-01-RGG1','Poste de Coupure n°01 RGG1','Tuesday-01-jj','Tuesday-01-jj',NULL,1,),</v>
      </c>
    </row>
    <row r="956" spans="1:20" ht="20.100000000000001" customHeight="1" x14ac:dyDescent="0.25">
      <c r="A956" s="38">
        <v>5</v>
      </c>
      <c r="B956" s="38">
        <v>961</v>
      </c>
      <c r="C956" s="38" t="s">
        <v>407</v>
      </c>
      <c r="D956" s="38">
        <v>20</v>
      </c>
      <c r="E956" s="39" t="str">
        <f>CONCATENATE("PS-",TEXT(A956,"00"),"-",O956)</f>
        <v>PS-05-RGG1</v>
      </c>
      <c r="F956" s="48" t="str">
        <f>CONCATENATE("Poste de Sectionnement n°",TEXT(A956,"00")," ",O956)</f>
        <v>Poste de Sectionnement n°05 RGG1</v>
      </c>
      <c r="G956" s="19">
        <v>43466</v>
      </c>
      <c r="H956" s="19">
        <v>43466</v>
      </c>
      <c r="I956" s="41" t="s">
        <v>20</v>
      </c>
      <c r="J956" s="41">
        <v>1</v>
      </c>
      <c r="K956" s="41" t="s">
        <v>3557</v>
      </c>
      <c r="L956" s="41">
        <v>16</v>
      </c>
      <c r="M956" s="41"/>
      <c r="N956" s="41"/>
      <c r="O956" s="41" t="s">
        <v>410</v>
      </c>
      <c r="P956" s="41" t="s">
        <v>2248</v>
      </c>
      <c r="Q956" s="43">
        <f t="shared" si="112"/>
        <v>711</v>
      </c>
      <c r="R956" s="43">
        <f t="shared" si="113"/>
        <v>102.614</v>
      </c>
      <c r="S956" s="41" t="s">
        <v>2235</v>
      </c>
      <c r="T956" s="48" t="str">
        <f t="shared" si="109"/>
        <v>(5,'PS-05-RGG1','Poste de Sectionnement n°05 RGG1','Tuesday-01-jj','Tuesday-01-jj',NULL,1,),</v>
      </c>
    </row>
    <row r="957" spans="1:20" ht="20.100000000000001" customHeight="1" x14ac:dyDescent="0.25">
      <c r="A957" s="38">
        <v>6</v>
      </c>
      <c r="B957" s="38">
        <v>962</v>
      </c>
      <c r="C957" s="38" t="s">
        <v>407</v>
      </c>
      <c r="D957" s="38">
        <v>20</v>
      </c>
      <c r="E957" s="39" t="str">
        <f>CONCATENATE("PS-",TEXT(A957,"00"),"-",O957)</f>
        <v>PS-06-RGG1</v>
      </c>
      <c r="F957" s="48" t="str">
        <f>CONCATENATE("Poste de Sectionnement n°",TEXT(A957,"00")," ",O957)</f>
        <v>Poste de Sectionnement n°06 RGG1</v>
      </c>
      <c r="G957" s="19">
        <v>43466</v>
      </c>
      <c r="H957" s="19">
        <v>43466</v>
      </c>
      <c r="I957" s="41" t="s">
        <v>20</v>
      </c>
      <c r="J957" s="41">
        <v>1</v>
      </c>
      <c r="K957" s="41" t="s">
        <v>3557</v>
      </c>
      <c r="L957" s="41">
        <v>16</v>
      </c>
      <c r="M957" s="41"/>
      <c r="N957" s="41"/>
      <c r="O957" s="41" t="s">
        <v>410</v>
      </c>
      <c r="P957" s="41" t="s">
        <v>2249</v>
      </c>
      <c r="Q957" s="43">
        <f t="shared" si="112"/>
        <v>824</v>
      </c>
      <c r="R957" s="43">
        <f t="shared" si="113"/>
        <v>116.648</v>
      </c>
      <c r="S957" s="41" t="s">
        <v>2261</v>
      </c>
      <c r="T957" s="48" t="str">
        <f t="shared" si="109"/>
        <v>(6,'PS-06-RGG1','Poste de Sectionnement n°06 RGG1','Tuesday-01-jj','Tuesday-01-jj',NULL,1,),</v>
      </c>
    </row>
    <row r="958" spans="1:20" ht="20.100000000000001" customHeight="1" x14ac:dyDescent="0.25">
      <c r="A958" s="38">
        <v>7</v>
      </c>
      <c r="B958" s="38">
        <v>963</v>
      </c>
      <c r="C958" s="38" t="s">
        <v>407</v>
      </c>
      <c r="D958" s="38">
        <v>20</v>
      </c>
      <c r="E958" s="39" t="str">
        <f>CONCATENATE("PS-",TEXT(A958,"00"),"-",O958)</f>
        <v>PS-07-RGG1</v>
      </c>
      <c r="F958" s="48" t="str">
        <f>CONCATENATE("Poste de Sectionnement n°",TEXT(A958,"00")," ",O958)</f>
        <v>Poste de Sectionnement n°07 RGG1</v>
      </c>
      <c r="G958" s="19">
        <v>43466</v>
      </c>
      <c r="H958" s="19">
        <v>43466</v>
      </c>
      <c r="I958" s="41" t="s">
        <v>20</v>
      </c>
      <c r="J958" s="41">
        <v>1</v>
      </c>
      <c r="K958" s="41" t="s">
        <v>3557</v>
      </c>
      <c r="L958" s="41">
        <v>16</v>
      </c>
      <c r="M958" s="41"/>
      <c r="N958" s="41"/>
      <c r="O958" s="41" t="s">
        <v>410</v>
      </c>
      <c r="P958" s="41" t="s">
        <v>2250</v>
      </c>
      <c r="Q958" s="43">
        <f t="shared" si="112"/>
        <v>1084</v>
      </c>
      <c r="R958" s="43">
        <f t="shared" si="113"/>
        <v>129.75299999999999</v>
      </c>
      <c r="S958" s="41" t="s">
        <v>2269</v>
      </c>
      <c r="T958" s="48" t="str">
        <f t="shared" si="109"/>
        <v>(7,'PS-07-RGG1','Poste de Sectionnement n°07 RGG1','Tuesday-01-jj','Tuesday-01-jj',NULL,1,),</v>
      </c>
    </row>
    <row r="959" spans="1:20" ht="20.100000000000001" customHeight="1" x14ac:dyDescent="0.25">
      <c r="A959" s="38">
        <v>2</v>
      </c>
      <c r="B959" s="38">
        <v>964</v>
      </c>
      <c r="C959" s="38" t="s">
        <v>407</v>
      </c>
      <c r="D959" s="38">
        <v>20</v>
      </c>
      <c r="E959" s="45" t="str">
        <f>CONCATENATE("PPUR-",TEXT(A959,"00"),"-",O959)</f>
        <v>PPUR-02-RGG1</v>
      </c>
      <c r="F959" s="48" t="str">
        <f>CONCATENATE("Poste de Purge n°",TEXT(A959,"00")," ",O959)</f>
        <v>Poste de Purge n°02 RGG1</v>
      </c>
      <c r="G959" s="19">
        <v>43466</v>
      </c>
      <c r="H959" s="19">
        <v>43466</v>
      </c>
      <c r="I959" s="41" t="s">
        <v>20</v>
      </c>
      <c r="J959" s="41">
        <v>1</v>
      </c>
      <c r="K959" s="41" t="s">
        <v>3558</v>
      </c>
      <c r="L959" s="41">
        <v>17</v>
      </c>
      <c r="M959" s="41"/>
      <c r="N959" s="41"/>
      <c r="O959" s="41" t="s">
        <v>410</v>
      </c>
      <c r="P959" s="41" t="s">
        <v>2280</v>
      </c>
      <c r="Q959" s="49">
        <f t="shared" si="112"/>
        <v>800</v>
      </c>
      <c r="R959" s="43">
        <f t="shared" si="113"/>
        <v>135.41200000000001</v>
      </c>
      <c r="S959" s="41" t="s">
        <v>2285</v>
      </c>
      <c r="T959" s="48" t="str">
        <f t="shared" si="109"/>
        <v>(2,'PPUR-02-RGG1','Poste de Purge n°02 RGG1','Tuesday-01-jj','Tuesday-01-jj',NULL,1,),</v>
      </c>
    </row>
    <row r="960" spans="1:20" ht="20.100000000000001" customHeight="1" x14ac:dyDescent="0.25">
      <c r="A960" s="38">
        <v>8</v>
      </c>
      <c r="B960" s="38">
        <v>965</v>
      </c>
      <c r="C960" s="38" t="s">
        <v>407</v>
      </c>
      <c r="D960" s="38">
        <v>20</v>
      </c>
      <c r="E960" s="39" t="str">
        <f>CONCATENATE("PS-",TEXT(A960,"00"),"-",O960)</f>
        <v>PS-08-RGG1</v>
      </c>
      <c r="F960" s="48" t="str">
        <f>CONCATENATE("Poste de Sectionnement n°",TEXT(A960,"00")," ",O960)</f>
        <v>Poste de Sectionnement n°08 RGG1</v>
      </c>
      <c r="G960" s="19">
        <v>43466</v>
      </c>
      <c r="H960" s="19">
        <v>43466</v>
      </c>
      <c r="I960" s="41" t="s">
        <v>20</v>
      </c>
      <c r="J960" s="41">
        <v>1</v>
      </c>
      <c r="K960" s="41" t="s">
        <v>3557</v>
      </c>
      <c r="L960" s="41">
        <v>16</v>
      </c>
      <c r="M960" s="41"/>
      <c r="N960" s="41"/>
      <c r="O960" s="41" t="s">
        <v>410</v>
      </c>
      <c r="P960" s="41" t="s">
        <v>2251</v>
      </c>
      <c r="Q960" s="43">
        <f t="shared" si="112"/>
        <v>873</v>
      </c>
      <c r="R960" s="43">
        <f t="shared" si="113"/>
        <v>140.04400000000001</v>
      </c>
      <c r="S960" s="41" t="s">
        <v>2270</v>
      </c>
      <c r="T960" s="48" t="str">
        <f t="shared" si="109"/>
        <v>(8,'PS-08-RGG1','Poste de Sectionnement n°08 RGG1','Tuesday-01-jj','Tuesday-01-jj',NULL,1,),</v>
      </c>
    </row>
    <row r="961" spans="1:20" ht="20.100000000000001" customHeight="1" x14ac:dyDescent="0.25">
      <c r="A961" s="38">
        <v>9</v>
      </c>
      <c r="B961" s="38">
        <v>966</v>
      </c>
      <c r="C961" s="38" t="s">
        <v>407</v>
      </c>
      <c r="D961" s="38">
        <v>20</v>
      </c>
      <c r="E961" s="39" t="str">
        <f>CONCATENATE("PS-",TEXT(A961,"00"),"-",O961)</f>
        <v>PS-09-RGG1</v>
      </c>
      <c r="F961" s="48" t="str">
        <f>CONCATENATE("Poste de Sectionnement n°",TEXT(A961,"00")," ",O961)</f>
        <v>Poste de Sectionnement n°09 RGG1</v>
      </c>
      <c r="G961" s="19">
        <v>43466</v>
      </c>
      <c r="H961" s="19">
        <v>43466</v>
      </c>
      <c r="I961" s="41" t="s">
        <v>20</v>
      </c>
      <c r="J961" s="41">
        <v>1</v>
      </c>
      <c r="K961" s="41" t="s">
        <v>3557</v>
      </c>
      <c r="L961" s="41">
        <v>16</v>
      </c>
      <c r="M961" s="41"/>
      <c r="N961" s="41"/>
      <c r="O961" s="41" t="s">
        <v>410</v>
      </c>
      <c r="P961" s="41" t="s">
        <v>2252</v>
      </c>
      <c r="Q961" s="43">
        <f t="shared" si="112"/>
        <v>658</v>
      </c>
      <c r="R961" s="43">
        <f t="shared" si="113"/>
        <v>151.75399999999999</v>
      </c>
      <c r="S961" s="41" t="s">
        <v>2270</v>
      </c>
      <c r="T961" s="48" t="str">
        <f t="shared" si="109"/>
        <v>(9,'PS-09-RGG1','Poste de Sectionnement n°09 RGG1','Tuesday-01-jj','Tuesday-01-jj',NULL,1,),</v>
      </c>
    </row>
    <row r="962" spans="1:20" ht="20.100000000000001" customHeight="1" x14ac:dyDescent="0.25">
      <c r="A962" s="38">
        <v>10</v>
      </c>
      <c r="B962" s="38">
        <v>967</v>
      </c>
      <c r="C962" s="38" t="s">
        <v>407</v>
      </c>
      <c r="D962" s="38">
        <v>20</v>
      </c>
      <c r="E962" s="39" t="str">
        <f>CONCATENATE("PS-",TEXT(A962,"00"),"-",O962)</f>
        <v>PS-10-RGG1</v>
      </c>
      <c r="F962" s="48" t="str">
        <f>CONCATENATE("Poste de Sectionnement n°",TEXT(A962,"00")," ",O962)</f>
        <v>Poste de Sectionnement n°10 RGG1</v>
      </c>
      <c r="G962" s="19">
        <v>43466</v>
      </c>
      <c r="H962" s="19">
        <v>43466</v>
      </c>
      <c r="I962" s="41" t="s">
        <v>20</v>
      </c>
      <c r="J962" s="41">
        <v>1</v>
      </c>
      <c r="K962" s="41" t="s">
        <v>3557</v>
      </c>
      <c r="L962" s="41">
        <v>16</v>
      </c>
      <c r="M962" s="41"/>
      <c r="N962" s="41"/>
      <c r="O962" s="41" t="s">
        <v>410</v>
      </c>
      <c r="P962" s="41" t="s">
        <v>2253</v>
      </c>
      <c r="Q962" s="43">
        <f t="shared" si="112"/>
        <v>573</v>
      </c>
      <c r="R962" s="43">
        <f t="shared" si="113"/>
        <v>160</v>
      </c>
      <c r="S962" s="41" t="s">
        <v>2271</v>
      </c>
      <c r="T962" s="48" t="str">
        <f t="shared" si="109"/>
        <v>(10,'PS-10-RGG1','Poste de Sectionnement n°10 RGG1','Tuesday-01-jj','Tuesday-01-jj',NULL,1,),</v>
      </c>
    </row>
    <row r="963" spans="1:20" ht="20.100000000000001" customHeight="1" x14ac:dyDescent="0.25">
      <c r="A963" s="38">
        <v>11</v>
      </c>
      <c r="B963" s="38">
        <v>968</v>
      </c>
      <c r="C963" s="38" t="s">
        <v>407</v>
      </c>
      <c r="D963" s="38">
        <v>20</v>
      </c>
      <c r="E963" s="39" t="str">
        <f>CONCATENATE("PS-",TEXT(A963,"00"),"-",O963)</f>
        <v>PS-11-RGG1</v>
      </c>
      <c r="F963" s="48" t="str">
        <f>CONCATENATE("Poste de Sectionnement n°",TEXT(A963,"00")," ",O963)</f>
        <v>Poste de Sectionnement n°11 RGG1</v>
      </c>
      <c r="G963" s="19">
        <v>43466</v>
      </c>
      <c r="H963" s="19">
        <v>43466</v>
      </c>
      <c r="I963" s="41" t="s">
        <v>20</v>
      </c>
      <c r="J963" s="41">
        <v>1</v>
      </c>
      <c r="K963" s="41" t="s">
        <v>3557</v>
      </c>
      <c r="L963" s="41">
        <v>16</v>
      </c>
      <c r="M963" s="41"/>
      <c r="N963" s="41"/>
      <c r="O963" s="41" t="s">
        <v>410</v>
      </c>
      <c r="P963" s="41" t="s">
        <v>2254</v>
      </c>
      <c r="Q963" s="43">
        <f t="shared" si="112"/>
        <v>566</v>
      </c>
      <c r="R963" s="43">
        <f t="shared" si="113"/>
        <v>167.44</v>
      </c>
      <c r="S963" s="41" t="s">
        <v>2272</v>
      </c>
      <c r="T963" s="48" t="str">
        <f t="shared" si="109"/>
        <v>(11,'PS-11-RGG1','Poste de Sectionnement n°11 RGG1','Tuesday-01-jj','Tuesday-01-jj',NULL,1,),</v>
      </c>
    </row>
    <row r="964" spans="1:20" ht="20.100000000000001" customHeight="1" x14ac:dyDescent="0.25">
      <c r="A964" s="38">
        <v>3</v>
      </c>
      <c r="B964" s="38">
        <v>969</v>
      </c>
      <c r="C964" s="38" t="s">
        <v>407</v>
      </c>
      <c r="D964" s="38">
        <v>20</v>
      </c>
      <c r="E964" s="45" t="str">
        <f>CONCATENATE("PPUR-",TEXT(A964,"00"),"-",O964)</f>
        <v>PPUR-03-RGG1</v>
      </c>
      <c r="F964" s="48" t="str">
        <f>CONCATENATE("Poste de Purge n°",TEXT(A964,"00")," ",O964)</f>
        <v>Poste de Purge n°03 RGG1</v>
      </c>
      <c r="G964" s="19">
        <v>43466</v>
      </c>
      <c r="H964" s="19">
        <v>43466</v>
      </c>
      <c r="I964" s="41" t="s">
        <v>20</v>
      </c>
      <c r="J964" s="41">
        <v>1</v>
      </c>
      <c r="K964" s="41" t="s">
        <v>3558</v>
      </c>
      <c r="L964" s="41">
        <v>17</v>
      </c>
      <c r="M964" s="41"/>
      <c r="N964" s="41"/>
      <c r="O964" s="41" t="s">
        <v>410</v>
      </c>
      <c r="P964" s="41" t="s">
        <v>2281</v>
      </c>
      <c r="Q964" s="49">
        <f t="shared" si="112"/>
        <v>394</v>
      </c>
      <c r="R964" s="43">
        <f t="shared" si="113"/>
        <v>172.255</v>
      </c>
      <c r="S964" s="41" t="s">
        <v>2273</v>
      </c>
      <c r="T964" s="48" t="str">
        <f t="shared" si="109"/>
        <v>(3,'PPUR-03-RGG1','Poste de Purge n°03 RGG1','Tuesday-01-jj','Tuesday-01-jj',NULL,1,),</v>
      </c>
    </row>
    <row r="965" spans="1:20" ht="20.100000000000001" customHeight="1" x14ac:dyDescent="0.25">
      <c r="A965" s="38">
        <v>12</v>
      </c>
      <c r="B965" s="38">
        <v>970</v>
      </c>
      <c r="C965" s="38" t="s">
        <v>407</v>
      </c>
      <c r="D965" s="38">
        <v>20</v>
      </c>
      <c r="E965" s="39" t="str">
        <f>CONCATENATE("PS-",TEXT(A965,"00"),"-",O965)</f>
        <v>PS-12-RGG1</v>
      </c>
      <c r="F965" s="48" t="str">
        <f>CONCATENATE("Poste de Sectionnement n°",TEXT(A965,"00")," ",O965)</f>
        <v>Poste de Sectionnement n°12 RGG1</v>
      </c>
      <c r="G965" s="19">
        <v>43466</v>
      </c>
      <c r="H965" s="19">
        <v>43466</v>
      </c>
      <c r="I965" s="41" t="s">
        <v>20</v>
      </c>
      <c r="J965" s="41">
        <v>1</v>
      </c>
      <c r="K965" s="41" t="s">
        <v>3557</v>
      </c>
      <c r="L965" s="41">
        <v>16</v>
      </c>
      <c r="M965" s="41"/>
      <c r="N965" s="41"/>
      <c r="O965" s="41" t="s">
        <v>410</v>
      </c>
      <c r="P965" s="41" t="s">
        <v>2255</v>
      </c>
      <c r="Q965" s="43">
        <f t="shared" si="112"/>
        <v>454</v>
      </c>
      <c r="R965" s="43">
        <f t="shared" si="113"/>
        <v>176.202</v>
      </c>
      <c r="S965" s="41" t="s">
        <v>2273</v>
      </c>
      <c r="T965" s="48" t="str">
        <f t="shared" si="109"/>
        <v>(12,'PS-12-RGG1','Poste de Sectionnement n°12 RGG1','Tuesday-01-jj','Tuesday-01-jj',NULL,1,),</v>
      </c>
    </row>
    <row r="966" spans="1:20" ht="20.100000000000001" customHeight="1" x14ac:dyDescent="0.25">
      <c r="A966" s="38">
        <v>4</v>
      </c>
      <c r="B966" s="38">
        <v>971</v>
      </c>
      <c r="C966" s="38" t="s">
        <v>407</v>
      </c>
      <c r="D966" s="38">
        <v>20</v>
      </c>
      <c r="E966" s="45" t="str">
        <f>CONCATENATE("PPUR-",TEXT(A966,"00"),"-",O966)</f>
        <v>PPUR-04-RGG1</v>
      </c>
      <c r="F966" s="48" t="str">
        <f>CONCATENATE("Poste de Purge n°",TEXT(A966,"00")," ",O966)</f>
        <v>Poste de Purge n°04 RGG1</v>
      </c>
      <c r="G966" s="19">
        <v>43466</v>
      </c>
      <c r="H966" s="19">
        <v>43466</v>
      </c>
      <c r="I966" s="41" t="s">
        <v>20</v>
      </c>
      <c r="J966" s="41">
        <v>1</v>
      </c>
      <c r="K966" s="41" t="s">
        <v>3558</v>
      </c>
      <c r="L966" s="41">
        <v>17</v>
      </c>
      <c r="M966" s="41"/>
      <c r="N966" s="41"/>
      <c r="O966" s="41" t="s">
        <v>410</v>
      </c>
      <c r="P966" s="41" t="s">
        <v>2282</v>
      </c>
      <c r="Q966" s="49">
        <f t="shared" si="112"/>
        <v>260</v>
      </c>
      <c r="R966" s="43">
        <f t="shared" si="113"/>
        <v>181.667</v>
      </c>
      <c r="S966" s="41" t="s">
        <v>2286</v>
      </c>
      <c r="T966" s="48" t="str">
        <f t="shared" si="109"/>
        <v>(4,'PPUR-04-RGG1','Poste de Purge n°04 RGG1','Tuesday-01-jj','Tuesday-01-jj',NULL,1,),</v>
      </c>
    </row>
    <row r="967" spans="1:20" ht="20.100000000000001" customHeight="1" x14ac:dyDescent="0.25">
      <c r="A967" s="38">
        <v>13</v>
      </c>
      <c r="B967" s="38">
        <v>972</v>
      </c>
      <c r="C967" s="38" t="s">
        <v>407</v>
      </c>
      <c r="D967" s="38">
        <v>20</v>
      </c>
      <c r="E967" s="39" t="str">
        <f>CONCATENATE("PS-",TEXT(A967,"00"),"-",O967)</f>
        <v>PS-13-RGG1</v>
      </c>
      <c r="F967" s="48" t="str">
        <f>CONCATENATE("Poste de Sectionnement n°",TEXT(A967,"00")," ",O967)</f>
        <v>Poste de Sectionnement n°13 RGG1</v>
      </c>
      <c r="G967" s="19">
        <v>43466</v>
      </c>
      <c r="H967" s="19">
        <v>43466</v>
      </c>
      <c r="I967" s="41" t="s">
        <v>20</v>
      </c>
      <c r="J967" s="41">
        <v>1</v>
      </c>
      <c r="K967" s="41" t="s">
        <v>3557</v>
      </c>
      <c r="L967" s="41">
        <v>16</v>
      </c>
      <c r="M967" s="41"/>
      <c r="N967" s="41"/>
      <c r="O967" s="41" t="s">
        <v>410</v>
      </c>
      <c r="P967" s="41" t="s">
        <v>2256</v>
      </c>
      <c r="Q967" s="43">
        <f t="shared" si="112"/>
        <v>442</v>
      </c>
      <c r="R967" s="43">
        <f t="shared" si="113"/>
        <v>184.215</v>
      </c>
      <c r="S967" s="41" t="s">
        <v>2274</v>
      </c>
      <c r="T967" s="48" t="str">
        <f t="shared" si="109"/>
        <v>(13,'PS-13-RGG1','Poste de Sectionnement n°13 RGG1','Tuesday-01-jj','Tuesday-01-jj',NULL,1,),</v>
      </c>
    </row>
    <row r="968" spans="1:20" ht="20.100000000000001" customHeight="1" x14ac:dyDescent="0.25">
      <c r="A968" s="38">
        <v>14</v>
      </c>
      <c r="B968" s="38">
        <v>973</v>
      </c>
      <c r="C968" s="38" t="s">
        <v>407</v>
      </c>
      <c r="D968" s="38">
        <v>20</v>
      </c>
      <c r="E968" s="39" t="str">
        <f>CONCATENATE("PS-",TEXT(A968,"00"),"-",O968)</f>
        <v>PS-14-RGG1</v>
      </c>
      <c r="F968" s="48" t="str">
        <f>CONCATENATE("Poste de Sectionnement n°",TEXT(A968,"00")," ",O968)</f>
        <v>Poste de Sectionnement n°14 RGG1</v>
      </c>
      <c r="G968" s="19">
        <v>43466</v>
      </c>
      <c r="H968" s="19">
        <v>43466</v>
      </c>
      <c r="I968" s="41" t="s">
        <v>20</v>
      </c>
      <c r="J968" s="41">
        <v>1</v>
      </c>
      <c r="K968" s="41" t="s">
        <v>3557</v>
      </c>
      <c r="L968" s="41">
        <v>16</v>
      </c>
      <c r="M968" s="41"/>
      <c r="N968" s="41"/>
      <c r="O968" s="41" t="s">
        <v>410</v>
      </c>
      <c r="P968" s="41" t="s">
        <v>2257</v>
      </c>
      <c r="Q968" s="43">
        <f t="shared" si="112"/>
        <v>165</v>
      </c>
      <c r="R968" s="43">
        <f t="shared" si="113"/>
        <v>196.297</v>
      </c>
      <c r="S968" s="41" t="s">
        <v>2275</v>
      </c>
      <c r="T968" s="48" t="str">
        <f t="shared" si="109"/>
        <v>(14,'PS-14-RGG1','Poste de Sectionnement n°14 RGG1','Tuesday-01-jj','Tuesday-01-jj',NULL,1,),</v>
      </c>
    </row>
    <row r="969" spans="1:20" ht="20.100000000000001" customHeight="1" x14ac:dyDescent="0.25">
      <c r="A969" s="38">
        <v>5</v>
      </c>
      <c r="B969" s="38">
        <v>974</v>
      </c>
      <c r="C969" s="38" t="s">
        <v>407</v>
      </c>
      <c r="D969" s="38">
        <v>20</v>
      </c>
      <c r="E969" s="45" t="str">
        <f>CONCATENATE("PPUR-",TEXT(A969,"00"),"-",O969)</f>
        <v>PPUR-05-RGG1</v>
      </c>
      <c r="F969" s="48" t="str">
        <f>CONCATENATE("Poste de Purge n°",TEXT(A969,"00")," ",O969)</f>
        <v>Poste de Purge n°05 RGG1</v>
      </c>
      <c r="G969" s="19">
        <v>43466</v>
      </c>
      <c r="H969" s="19">
        <v>43466</v>
      </c>
      <c r="I969" s="41" t="s">
        <v>20</v>
      </c>
      <c r="J969" s="41">
        <v>1</v>
      </c>
      <c r="K969" s="41" t="s">
        <v>3558</v>
      </c>
      <c r="L969" s="41">
        <v>17</v>
      </c>
      <c r="M969" s="41"/>
      <c r="N969" s="41"/>
      <c r="O969" s="41" t="s">
        <v>410</v>
      </c>
      <c r="P969" s="41" t="s">
        <v>2283</v>
      </c>
      <c r="Q969" s="49">
        <f t="shared" si="112"/>
        <v>89</v>
      </c>
      <c r="R969" s="43">
        <f t="shared" si="113"/>
        <v>206.72</v>
      </c>
      <c r="S969" s="41" t="s">
        <v>2287</v>
      </c>
      <c r="T969" s="48" t="str">
        <f t="shared" si="109"/>
        <v>(5,'PPUR-05-RGG1','Poste de Purge n°05 RGG1','Tuesday-01-jj','Tuesday-01-jj',NULL,1,),</v>
      </c>
    </row>
    <row r="970" spans="1:20" ht="20.100000000000001" customHeight="1" x14ac:dyDescent="0.25">
      <c r="A970" s="38">
        <v>1</v>
      </c>
      <c r="B970" s="38">
        <v>975</v>
      </c>
      <c r="C970" s="38" t="s">
        <v>664</v>
      </c>
      <c r="D970" s="38">
        <v>21</v>
      </c>
      <c r="E970" s="39" t="str">
        <f>CONCATENATE("PS-",TEXT(A970,"00"),"-",O970)</f>
        <v>PS-01-GR1</v>
      </c>
      <c r="F970" s="48" t="str">
        <f>CONCATENATE("Poste de Sectionnement n°",TEXT(A970,"00")," ",O970)</f>
        <v>Poste de Sectionnement n°01 GR1</v>
      </c>
      <c r="G970" s="19">
        <v>35065</v>
      </c>
      <c r="H970" s="19">
        <v>35065</v>
      </c>
      <c r="I970" s="41" t="s">
        <v>20</v>
      </c>
      <c r="J970" s="41">
        <v>1</v>
      </c>
      <c r="K970" s="41" t="s">
        <v>3557</v>
      </c>
      <c r="L970" s="41">
        <v>16</v>
      </c>
      <c r="M970" s="41"/>
      <c r="N970" s="41"/>
      <c r="O970" s="41" t="s">
        <v>415</v>
      </c>
      <c r="P970" s="41" t="s">
        <v>2505</v>
      </c>
      <c r="Q970" s="43">
        <v>711</v>
      </c>
      <c r="R970" s="43">
        <f>VALUE(SUBSTITUTE(P970,"+",","))</f>
        <v>19.96</v>
      </c>
      <c r="S970" s="41" t="s">
        <v>980</v>
      </c>
      <c r="T970" s="48" t="str">
        <f t="shared" si="109"/>
        <v>(1,'PS-01-GR1','Poste de Sectionnement n°01 GR1','Monday-01-jj','Monday-01-jj',NULL,1,),</v>
      </c>
    </row>
    <row r="971" spans="1:20" ht="20.100000000000001" customHeight="1" x14ac:dyDescent="0.25">
      <c r="A971" s="38">
        <v>2</v>
      </c>
      <c r="B971" s="38">
        <v>976</v>
      </c>
      <c r="C971" s="38" t="s">
        <v>664</v>
      </c>
      <c r="D971" s="38">
        <v>21</v>
      </c>
      <c r="E971" s="39" t="str">
        <f>CONCATENATE("PS-",TEXT(A971,"00"),"-",O971)</f>
        <v>PS-02-GR1</v>
      </c>
      <c r="F971" s="48" t="str">
        <f>CONCATENATE("Poste de Sectionnement n°",TEXT(A971,"00")," ",O971)</f>
        <v>Poste de Sectionnement n°02 GR1</v>
      </c>
      <c r="G971" s="19">
        <v>35065</v>
      </c>
      <c r="H971" s="19">
        <v>35065</v>
      </c>
      <c r="I971" s="41" t="s">
        <v>20</v>
      </c>
      <c r="J971" s="41">
        <v>1</v>
      </c>
      <c r="K971" s="41" t="s">
        <v>3557</v>
      </c>
      <c r="L971" s="41">
        <v>16</v>
      </c>
      <c r="M971" s="41"/>
      <c r="N971" s="41"/>
      <c r="O971" s="41" t="s">
        <v>415</v>
      </c>
      <c r="P971" s="41" t="s">
        <v>1622</v>
      </c>
      <c r="Q971" s="43">
        <v>695</v>
      </c>
      <c r="R971" s="43">
        <f>VALUE(SUBSTITUTE(P971,"+",","))</f>
        <v>40.130000000000003</v>
      </c>
      <c r="S971" s="41" t="s">
        <v>980</v>
      </c>
      <c r="T971" s="48" t="str">
        <f t="shared" si="109"/>
        <v>(2,'PS-02-GR1','Poste de Sectionnement n°02 GR1','Monday-01-jj','Monday-01-jj',NULL,1,),</v>
      </c>
    </row>
    <row r="972" spans="1:20" ht="20.100000000000001" customHeight="1" x14ac:dyDescent="0.25">
      <c r="A972" s="38">
        <v>3</v>
      </c>
      <c r="B972" s="38">
        <v>977</v>
      </c>
      <c r="C972" s="38" t="s">
        <v>664</v>
      </c>
      <c r="D972" s="38">
        <v>21</v>
      </c>
      <c r="E972" s="39" t="str">
        <f>CONCATENATE("PS-",TEXT(A972,"00"),"-",O972)</f>
        <v>PS-03-GR1</v>
      </c>
      <c r="F972" s="48" t="str">
        <f>CONCATENATE("Poste de Sectionnement n°",TEXT(A972,"00")," ",O972)</f>
        <v>Poste de Sectionnement n°03 GR1</v>
      </c>
      <c r="G972" s="19">
        <v>35065</v>
      </c>
      <c r="H972" s="19">
        <v>35065</v>
      </c>
      <c r="I972" s="41" t="s">
        <v>20</v>
      </c>
      <c r="J972" s="41">
        <v>1</v>
      </c>
      <c r="K972" s="41" t="s">
        <v>3557</v>
      </c>
      <c r="L972" s="41">
        <v>16</v>
      </c>
      <c r="M972" s="41"/>
      <c r="N972" s="41"/>
      <c r="O972" s="41" t="s">
        <v>415</v>
      </c>
      <c r="P972" s="41" t="s">
        <v>2506</v>
      </c>
      <c r="Q972" s="43">
        <v>663</v>
      </c>
      <c r="R972" s="43">
        <f>VALUE(SUBSTITUTE(P972,"+",","))</f>
        <v>60.33</v>
      </c>
      <c r="S972" s="41" t="s">
        <v>979</v>
      </c>
      <c r="T972" s="48" t="str">
        <f t="shared" si="109"/>
        <v>(3,'PS-03-GR1','Poste de Sectionnement n°03 GR1','Monday-01-jj','Monday-01-jj',NULL,1,),</v>
      </c>
    </row>
    <row r="973" spans="1:20" ht="20.100000000000001" customHeight="1" x14ac:dyDescent="0.25">
      <c r="A973" s="38">
        <v>4</v>
      </c>
      <c r="B973" s="38">
        <v>978</v>
      </c>
      <c r="C973" s="38" t="s">
        <v>664</v>
      </c>
      <c r="D973" s="38">
        <v>21</v>
      </c>
      <c r="E973" s="39" t="str">
        <f>CONCATENATE("PS-",TEXT(A973,"00"),"-",O973)</f>
        <v>PS-04-GR1</v>
      </c>
      <c r="F973" s="48" t="str">
        <f>CONCATENATE("Poste de Sectionnement n°",TEXT(A973,"00")," ",O973)</f>
        <v>Poste de Sectionnement n°04 GR1</v>
      </c>
      <c r="G973" s="19">
        <v>35065</v>
      </c>
      <c r="H973" s="19">
        <v>35065</v>
      </c>
      <c r="I973" s="41" t="s">
        <v>20</v>
      </c>
      <c r="J973" s="41">
        <v>1</v>
      </c>
      <c r="K973" s="41" t="s">
        <v>3557</v>
      </c>
      <c r="L973" s="41">
        <v>16</v>
      </c>
      <c r="M973" s="41"/>
      <c r="N973" s="41"/>
      <c r="O973" s="41" t="s">
        <v>415</v>
      </c>
      <c r="P973" s="41" t="s">
        <v>2507</v>
      </c>
      <c r="Q973" s="43">
        <v>587</v>
      </c>
      <c r="R973" s="43">
        <f>VALUE(SUBSTITUTE(P973,"+",","))</f>
        <v>80.23</v>
      </c>
      <c r="S973" s="41" t="s">
        <v>979</v>
      </c>
      <c r="T973" s="48" t="str">
        <f t="shared" si="109"/>
        <v>(4,'PS-04-GR1','Poste de Sectionnement n°04 GR1','Monday-01-jj','Monday-01-jj',NULL,1,),</v>
      </c>
    </row>
    <row r="974" spans="1:20" ht="20.100000000000001" customHeight="1" x14ac:dyDescent="0.25">
      <c r="A974" s="38">
        <v>1</v>
      </c>
      <c r="B974" s="38">
        <v>979</v>
      </c>
      <c r="C974" s="38" t="s">
        <v>664</v>
      </c>
      <c r="D974" s="38">
        <v>21</v>
      </c>
      <c r="E974" s="45" t="str">
        <f>CONCATENATE("PPUR-",TEXT(A974,"00"),"-",O974)</f>
        <v>PPUR-01-GR1</v>
      </c>
      <c r="F974" s="48" t="str">
        <f>CONCATENATE("Poste de Purge n°",TEXT(A974,"00")," ",O974)</f>
        <v>Poste de Purge n°01 GR1</v>
      </c>
      <c r="G974" s="19">
        <v>35065</v>
      </c>
      <c r="H974" s="19">
        <v>35065</v>
      </c>
      <c r="I974" s="41" t="s">
        <v>20</v>
      </c>
      <c r="J974" s="41">
        <v>1</v>
      </c>
      <c r="K974" s="41" t="s">
        <v>3558</v>
      </c>
      <c r="L974" s="41">
        <v>17</v>
      </c>
      <c r="M974" s="41"/>
      <c r="N974" s="41"/>
      <c r="O974" s="41" t="s">
        <v>415</v>
      </c>
      <c r="P974" s="41" t="s">
        <v>2631</v>
      </c>
      <c r="Q974" s="49">
        <f>VALUE(RIGHT(P974,LEN(P974)-SEARCH("/",P974)))</f>
        <v>570</v>
      </c>
      <c r="R974" s="43">
        <f>VALUE(SUBSTITUTE(LEFT(P974,SEARCH("/",P974)-1),"+",","))</f>
        <v>93.79</v>
      </c>
      <c r="S974" s="41" t="s">
        <v>979</v>
      </c>
      <c r="T974" s="48" t="str">
        <f t="shared" si="109"/>
        <v>(1,'PPUR-01-GR1','Poste de Purge n°01 GR1','Monday-01-jj','Monday-01-jj',NULL,1,),</v>
      </c>
    </row>
    <row r="975" spans="1:20" ht="20.100000000000001" customHeight="1" x14ac:dyDescent="0.25">
      <c r="A975" s="38">
        <v>1</v>
      </c>
      <c r="B975" s="38">
        <v>980</v>
      </c>
      <c r="C975" s="38" t="s">
        <v>664</v>
      </c>
      <c r="D975" s="38">
        <v>21</v>
      </c>
      <c r="E975" s="45" t="str">
        <f>CONCATENATE("PC-",TEXT(A975,"00"),"-",O975)</f>
        <v>PC-01-GR1</v>
      </c>
      <c r="F975" s="48" t="str">
        <f>CONCATENATE("Poste de Coupure n°",TEXT(A975,"00")," ",O975)</f>
        <v>Poste de Coupure n°01 GR1</v>
      </c>
      <c r="G975" s="19">
        <v>35065</v>
      </c>
      <c r="H975" s="19">
        <v>35065</v>
      </c>
      <c r="I975" s="41" t="s">
        <v>20</v>
      </c>
      <c r="J975" s="41">
        <v>1</v>
      </c>
      <c r="K975" s="41" t="s">
        <v>3556</v>
      </c>
      <c r="L975" s="41">
        <v>15</v>
      </c>
      <c r="M975" s="41"/>
      <c r="N975" s="41"/>
      <c r="O975" s="41" t="s">
        <v>415</v>
      </c>
      <c r="P975" s="41" t="s">
        <v>2474</v>
      </c>
      <c r="Q975" s="49">
        <f>VALUE(RIGHT(P975,LEN(P975)-SEARCH("/",P975)))</f>
        <v>555</v>
      </c>
      <c r="R975" s="43">
        <f>VALUE(SUBSTITUTE(LEFT(P975,SEARCH("/",P975)-1),"+",","))</f>
        <v>101.01</v>
      </c>
      <c r="S975" s="41" t="s">
        <v>2484</v>
      </c>
      <c r="T975" s="48" t="str">
        <f t="shared" si="109"/>
        <v>(1,'PC-01-GR1','Poste de Coupure n°01 GR1','Monday-01-jj','Monday-01-jj',NULL,1,),</v>
      </c>
    </row>
    <row r="976" spans="1:20" ht="20.100000000000001" customHeight="1" x14ac:dyDescent="0.25">
      <c r="A976" s="38">
        <v>5</v>
      </c>
      <c r="B976" s="38">
        <v>981</v>
      </c>
      <c r="C976" s="38" t="s">
        <v>664</v>
      </c>
      <c r="D976" s="38">
        <v>21</v>
      </c>
      <c r="E976" s="39" t="str">
        <f>CONCATENATE("PS-",TEXT(A976,"00"),"-",O976)</f>
        <v>PS-05-GR1</v>
      </c>
      <c r="F976" s="48" t="str">
        <f>CONCATENATE("Poste de Sectionnement n°",TEXT(A976,"00")," ",O976)</f>
        <v>Poste de Sectionnement n°05 GR1</v>
      </c>
      <c r="G976" s="19">
        <v>35065</v>
      </c>
      <c r="H976" s="19">
        <v>35065</v>
      </c>
      <c r="I976" s="41" t="s">
        <v>20</v>
      </c>
      <c r="J976" s="41">
        <v>1</v>
      </c>
      <c r="K976" s="41" t="s">
        <v>3557</v>
      </c>
      <c r="L976" s="41">
        <v>16</v>
      </c>
      <c r="M976" s="41"/>
      <c r="N976" s="41"/>
      <c r="O976" s="41" t="s">
        <v>415</v>
      </c>
      <c r="P976" s="41" t="s">
        <v>2508</v>
      </c>
      <c r="Q976" s="43">
        <v>558</v>
      </c>
      <c r="R976" s="43">
        <f>VALUE(SUBSTITUTE(P976,"+",","))</f>
        <v>118.16</v>
      </c>
      <c r="S976" s="41" t="s">
        <v>1804</v>
      </c>
      <c r="T976" s="48" t="str">
        <f t="shared" si="109"/>
        <v>(5,'PS-05-GR1','Poste de Sectionnement n°05 GR1','Monday-01-jj','Monday-01-jj',NULL,1,),</v>
      </c>
    </row>
    <row r="977" spans="1:20" ht="20.100000000000001" customHeight="1" x14ac:dyDescent="0.25">
      <c r="A977" s="38">
        <v>6</v>
      </c>
      <c r="B977" s="38">
        <v>982</v>
      </c>
      <c r="C977" s="38" t="s">
        <v>664</v>
      </c>
      <c r="D977" s="38">
        <v>21</v>
      </c>
      <c r="E977" s="39" t="str">
        <f>CONCATENATE("PS-",TEXT(A977,"00"),"-",O977)</f>
        <v>PS-06-GR1</v>
      </c>
      <c r="F977" s="48" t="str">
        <f>CONCATENATE("Poste de Sectionnement n°",TEXT(A977,"00")," ",O977)</f>
        <v>Poste de Sectionnement n°06 GR1</v>
      </c>
      <c r="G977" s="19">
        <v>35065</v>
      </c>
      <c r="H977" s="19">
        <v>35065</v>
      </c>
      <c r="I977" s="41" t="s">
        <v>20</v>
      </c>
      <c r="J977" s="41">
        <v>1</v>
      </c>
      <c r="K977" s="41" t="s">
        <v>3557</v>
      </c>
      <c r="L977" s="41">
        <v>16</v>
      </c>
      <c r="M977" s="41"/>
      <c r="N977" s="41"/>
      <c r="O977" s="41" t="s">
        <v>415</v>
      </c>
      <c r="P977" s="41" t="s">
        <v>2509</v>
      </c>
      <c r="Q977" s="43">
        <v>552</v>
      </c>
      <c r="R977" s="43">
        <f>VALUE(SUBSTITUTE(P977,"+",","))</f>
        <v>136.44999999999999</v>
      </c>
      <c r="S977" s="41" t="s">
        <v>1804</v>
      </c>
      <c r="T977" s="48" t="str">
        <f t="shared" si="109"/>
        <v>(6,'PS-06-GR1','Poste de Sectionnement n°06 GR1','Monday-01-jj','Monday-01-jj',NULL,1,),</v>
      </c>
    </row>
    <row r="978" spans="1:20" ht="20.100000000000001" customHeight="1" x14ac:dyDescent="0.25">
      <c r="A978" s="38">
        <v>7</v>
      </c>
      <c r="B978" s="38">
        <v>983</v>
      </c>
      <c r="C978" s="38" t="s">
        <v>664</v>
      </c>
      <c r="D978" s="38">
        <v>21</v>
      </c>
      <c r="E978" s="39" t="str">
        <f>CONCATENATE("PS-",TEXT(A978,"00"),"-",O978)</f>
        <v>PS-07-GR1</v>
      </c>
      <c r="F978" s="48" t="str">
        <f>CONCATENATE("Poste de Sectionnement n°",TEXT(A978,"00")," ",O978)</f>
        <v>Poste de Sectionnement n°07 GR1</v>
      </c>
      <c r="G978" s="19">
        <v>35065</v>
      </c>
      <c r="H978" s="19">
        <v>35065</v>
      </c>
      <c r="I978" s="41" t="s">
        <v>20</v>
      </c>
      <c r="J978" s="41">
        <v>1</v>
      </c>
      <c r="K978" s="41" t="s">
        <v>3557</v>
      </c>
      <c r="L978" s="41">
        <v>16</v>
      </c>
      <c r="M978" s="41"/>
      <c r="N978" s="41"/>
      <c r="O978" s="41" t="s">
        <v>415</v>
      </c>
      <c r="P978" s="41" t="s">
        <v>2510</v>
      </c>
      <c r="Q978" s="43">
        <v>569</v>
      </c>
      <c r="R978" s="43">
        <f>VALUE(SUBSTITUTE(P978,"+",","))</f>
        <v>156.34</v>
      </c>
      <c r="S978" s="41" t="s">
        <v>1804</v>
      </c>
      <c r="T978" s="48" t="str">
        <f t="shared" si="109"/>
        <v>(7,'PS-07-GR1','Poste de Sectionnement n°07 GR1','Monday-01-jj','Monday-01-jj',NULL,1,),</v>
      </c>
    </row>
    <row r="979" spans="1:20" ht="20.100000000000001" customHeight="1" x14ac:dyDescent="0.25">
      <c r="A979" s="38">
        <v>8</v>
      </c>
      <c r="B979" s="38">
        <v>984</v>
      </c>
      <c r="C979" s="38" t="s">
        <v>664</v>
      </c>
      <c r="D979" s="38">
        <v>21</v>
      </c>
      <c r="E979" s="39" t="str">
        <f>CONCATENATE("PS-",TEXT(A979,"00"),"-",O979)</f>
        <v>PS-08-GR1</v>
      </c>
      <c r="F979" s="48" t="str">
        <f>CONCATENATE("Poste de Sectionnement n°",TEXT(A979,"00")," ",O979)</f>
        <v>Poste de Sectionnement n°08 GR1</v>
      </c>
      <c r="G979" s="19">
        <v>35065</v>
      </c>
      <c r="H979" s="19">
        <v>35065</v>
      </c>
      <c r="I979" s="41" t="s">
        <v>20</v>
      </c>
      <c r="J979" s="41">
        <v>1</v>
      </c>
      <c r="K979" s="41" t="s">
        <v>3557</v>
      </c>
      <c r="L979" s="41">
        <v>16</v>
      </c>
      <c r="M979" s="41"/>
      <c r="N979" s="41"/>
      <c r="O979" s="41" t="s">
        <v>415</v>
      </c>
      <c r="P979" s="41" t="s">
        <v>2511</v>
      </c>
      <c r="Q979" s="43">
        <v>567</v>
      </c>
      <c r="R979" s="43">
        <f>VALUE(SUBSTITUTE(P979,"+",","))</f>
        <v>176.17</v>
      </c>
      <c r="S979" s="41" t="s">
        <v>1804</v>
      </c>
      <c r="T979" s="48" t="str">
        <f t="shared" si="109"/>
        <v>(8,'PS-08-GR1','Poste de Sectionnement n°08 GR1','Monday-01-jj','Monday-01-jj',NULL,1,),</v>
      </c>
    </row>
    <row r="980" spans="1:20" ht="20.100000000000001" customHeight="1" x14ac:dyDescent="0.25">
      <c r="A980" s="38">
        <v>9</v>
      </c>
      <c r="B980" s="38">
        <v>985</v>
      </c>
      <c r="C980" s="38" t="s">
        <v>664</v>
      </c>
      <c r="D980" s="38">
        <v>21</v>
      </c>
      <c r="E980" s="39" t="str">
        <f>CONCATENATE("PS-",TEXT(A980,"00"),"-",O980)</f>
        <v>PS-09-GR1</v>
      </c>
      <c r="F980" s="48" t="str">
        <f>CONCATENATE("Poste de Sectionnement n°",TEXT(A980,"00")," ",O980)</f>
        <v>Poste de Sectionnement n°09 GR1</v>
      </c>
      <c r="G980" s="19">
        <v>35065</v>
      </c>
      <c r="H980" s="19">
        <v>35065</v>
      </c>
      <c r="I980" s="41" t="s">
        <v>20</v>
      </c>
      <c r="J980" s="41">
        <v>1</v>
      </c>
      <c r="K980" s="41" t="s">
        <v>3557</v>
      </c>
      <c r="L980" s="41">
        <v>16</v>
      </c>
      <c r="M980" s="41"/>
      <c r="N980" s="41"/>
      <c r="O980" s="41" t="s">
        <v>415</v>
      </c>
      <c r="P980" s="41" t="s">
        <v>2512</v>
      </c>
      <c r="Q980" s="43">
        <v>540</v>
      </c>
      <c r="R980" s="43">
        <f>VALUE(SUBSTITUTE(P980,"+",","))</f>
        <v>195.77</v>
      </c>
      <c r="S980" s="41" t="s">
        <v>1804</v>
      </c>
      <c r="T980" s="48" t="str">
        <f t="shared" si="109"/>
        <v>(9,'PS-09-GR1','Poste de Sectionnement n°09 GR1','Monday-01-jj','Monday-01-jj',NULL,1,),</v>
      </c>
    </row>
    <row r="981" spans="1:20" ht="20.100000000000001" customHeight="1" x14ac:dyDescent="0.25">
      <c r="A981" s="38">
        <v>2</v>
      </c>
      <c r="B981" s="38">
        <v>986</v>
      </c>
      <c r="C981" s="38" t="s">
        <v>664</v>
      </c>
      <c r="D981" s="38">
        <v>21</v>
      </c>
      <c r="E981" s="45" t="str">
        <f>CONCATENATE("PPUR-",TEXT(A981,"00"),"-",O981)</f>
        <v>PPUR-02-GR1</v>
      </c>
      <c r="F981" s="48" t="str">
        <f>CONCATENATE("Poste de Purge n°",TEXT(A981,"00")," ",O981)</f>
        <v>Poste de Purge n°02 GR1</v>
      </c>
      <c r="G981" s="19">
        <v>35065</v>
      </c>
      <c r="H981" s="19">
        <v>35065</v>
      </c>
      <c r="I981" s="41" t="s">
        <v>20</v>
      </c>
      <c r="J981" s="41">
        <v>1</v>
      </c>
      <c r="K981" s="41" t="s">
        <v>3558</v>
      </c>
      <c r="L981" s="41">
        <v>17</v>
      </c>
      <c r="M981" s="41"/>
      <c r="N981" s="41"/>
      <c r="O981" s="41" t="s">
        <v>415</v>
      </c>
      <c r="P981" s="41" t="s">
        <v>2632</v>
      </c>
      <c r="Q981" s="49">
        <f>VALUE(RIGHT(P981,LEN(P981)-SEARCH("/",P981)))</f>
        <v>450</v>
      </c>
      <c r="R981" s="43">
        <f>VALUE(SUBSTITUTE(LEFT(P981,SEARCH("/",P981)-1),"+",","))</f>
        <v>200.27</v>
      </c>
      <c r="S981" s="41" t="s">
        <v>1804</v>
      </c>
      <c r="T981" s="48" t="str">
        <f t="shared" si="109"/>
        <v>(2,'PPUR-02-GR1','Poste de Purge n°02 GR1','Monday-01-jj','Monday-01-jj',NULL,1,),</v>
      </c>
    </row>
    <row r="982" spans="1:20" ht="20.100000000000001" customHeight="1" x14ac:dyDescent="0.25">
      <c r="A982" s="38">
        <v>10</v>
      </c>
      <c r="B982" s="38">
        <v>987</v>
      </c>
      <c r="C982" s="38" t="s">
        <v>664</v>
      </c>
      <c r="D982" s="38">
        <v>21</v>
      </c>
      <c r="E982" s="39" t="str">
        <f>CONCATENATE("PS-",TEXT(A982,"00"),"-",O982)</f>
        <v>PS-10-GR1</v>
      </c>
      <c r="F982" s="48" t="str">
        <f>CONCATENATE("Poste de Sectionnement n°",TEXT(A982,"00")," ",O982)</f>
        <v>Poste de Sectionnement n°10 GR1</v>
      </c>
      <c r="G982" s="19">
        <v>35065</v>
      </c>
      <c r="H982" s="19">
        <v>35065</v>
      </c>
      <c r="I982" s="41" t="s">
        <v>20</v>
      </c>
      <c r="J982" s="41">
        <v>1</v>
      </c>
      <c r="K982" s="41" t="s">
        <v>3557</v>
      </c>
      <c r="L982" s="41">
        <v>16</v>
      </c>
      <c r="M982" s="41"/>
      <c r="N982" s="41"/>
      <c r="O982" s="41" t="s">
        <v>415</v>
      </c>
      <c r="P982" s="41" t="s">
        <v>2513</v>
      </c>
      <c r="Q982" s="43">
        <v>497</v>
      </c>
      <c r="R982" s="43">
        <f>VALUE(SUBSTITUTE(P982,"+",","))</f>
        <v>214.14</v>
      </c>
      <c r="S982" s="41" t="s">
        <v>1804</v>
      </c>
      <c r="T982" s="48" t="str">
        <f t="shared" si="109"/>
        <v>(10,'PS-10-GR1','Poste de Sectionnement n°10 GR1','Monday-01-jj','Monday-01-jj',NULL,1,),</v>
      </c>
    </row>
    <row r="983" spans="1:20" ht="20.100000000000001" customHeight="1" x14ac:dyDescent="0.25">
      <c r="A983" s="38">
        <v>2</v>
      </c>
      <c r="B983" s="38">
        <v>988</v>
      </c>
      <c r="C983" s="38" t="s">
        <v>664</v>
      </c>
      <c r="D983" s="38">
        <v>21</v>
      </c>
      <c r="E983" s="45" t="str">
        <f>CONCATENATE("PC-",TEXT(A983,"00"),"-",O983)</f>
        <v>PC-02-GR1</v>
      </c>
      <c r="F983" s="48" t="str">
        <f>CONCATENATE("Poste de Coupure n°",TEXT(A983,"00")," ",O983)</f>
        <v>Poste de Coupure n°02 GR1</v>
      </c>
      <c r="G983" s="19">
        <v>35065</v>
      </c>
      <c r="H983" s="19">
        <v>35065</v>
      </c>
      <c r="I983" s="41" t="s">
        <v>20</v>
      </c>
      <c r="J983" s="41">
        <v>1</v>
      </c>
      <c r="K983" s="41" t="s">
        <v>3556</v>
      </c>
      <c r="L983" s="41">
        <v>15</v>
      </c>
      <c r="M983" s="41"/>
      <c r="N983" s="41"/>
      <c r="O983" s="41" t="s">
        <v>415</v>
      </c>
      <c r="P983" s="41" t="s">
        <v>2475</v>
      </c>
      <c r="Q983" s="49">
        <f>VALUE(RIGHT(P983,LEN(P983)-SEARCH("/",P983)))</f>
        <v>470</v>
      </c>
      <c r="R983" s="43">
        <f>VALUE(SUBSTITUTE(LEFT(P983,SEARCH("/",P983)-1),"+",","))</f>
        <v>232.38</v>
      </c>
      <c r="S983" s="41" t="s">
        <v>2485</v>
      </c>
      <c r="T983" s="48" t="str">
        <f t="shared" si="109"/>
        <v>(2,'PC-02-GR1','Poste de Coupure n°02 GR1','Monday-01-jj','Monday-01-jj',NULL,1,),</v>
      </c>
    </row>
    <row r="984" spans="1:20" ht="20.100000000000001" customHeight="1" x14ac:dyDescent="0.25">
      <c r="A984" s="38">
        <v>11</v>
      </c>
      <c r="B984" s="38">
        <v>989</v>
      </c>
      <c r="C984" s="38" t="s">
        <v>664</v>
      </c>
      <c r="D984" s="38">
        <v>21</v>
      </c>
      <c r="E984" s="39" t="str">
        <f>CONCATENATE("PS-",TEXT(A984,"00"),"-",O984)</f>
        <v>PS-11-GR1</v>
      </c>
      <c r="F984" s="48" t="str">
        <f>CONCATENATE("Poste de Sectionnement n°",TEXT(A984,"00")," ",O984)</f>
        <v>Poste de Sectionnement n°11 GR1</v>
      </c>
      <c r="G984" s="19">
        <v>35065</v>
      </c>
      <c r="H984" s="19">
        <v>35065</v>
      </c>
      <c r="I984" s="41" t="s">
        <v>20</v>
      </c>
      <c r="J984" s="41">
        <v>1</v>
      </c>
      <c r="K984" s="41" t="s">
        <v>3557</v>
      </c>
      <c r="L984" s="41">
        <v>16</v>
      </c>
      <c r="M984" s="41"/>
      <c r="N984" s="41"/>
      <c r="O984" s="41" t="s">
        <v>415</v>
      </c>
      <c r="P984" s="41" t="s">
        <v>2514</v>
      </c>
      <c r="Q984" s="43">
        <v>413</v>
      </c>
      <c r="R984" s="43">
        <f>VALUE(SUBSTITUTE(P984,"+",","))</f>
        <v>248.47</v>
      </c>
      <c r="S984" s="41" t="s">
        <v>1804</v>
      </c>
      <c r="T984" s="48" t="str">
        <f t="shared" ref="T984:T1047" si="114">CONCATENATE("(",A984,",'",E984,"','",F984,"','",TEXT(G984,"aaaa-mm-jj"),"','",TEXT(H984,"aaaa-mm-jj"),"',",I984,",",J984,",",M984,"),")</f>
        <v>(11,'PS-11-GR1','Poste de Sectionnement n°11 GR1','Monday-01-jj','Monday-01-jj',NULL,1,),</v>
      </c>
    </row>
    <row r="985" spans="1:20" ht="20.100000000000001" customHeight="1" x14ac:dyDescent="0.25">
      <c r="A985" s="38">
        <v>3</v>
      </c>
      <c r="B985" s="38">
        <v>990</v>
      </c>
      <c r="C985" s="38" t="s">
        <v>664</v>
      </c>
      <c r="D985" s="38">
        <v>21</v>
      </c>
      <c r="E985" s="45" t="str">
        <f>CONCATENATE("PPUR-",TEXT(A985,"00"),"-",O985)</f>
        <v>PPUR-03-GR1</v>
      </c>
      <c r="F985" s="48" t="str">
        <f>CONCATENATE("Poste de Purge n°",TEXT(A985,"00")," ",O985)</f>
        <v>Poste de Purge n°03 GR1</v>
      </c>
      <c r="G985" s="19">
        <v>35065</v>
      </c>
      <c r="H985" s="19">
        <v>35065</v>
      </c>
      <c r="I985" s="41" t="s">
        <v>20</v>
      </c>
      <c r="J985" s="41">
        <v>1</v>
      </c>
      <c r="K985" s="41" t="s">
        <v>3558</v>
      </c>
      <c r="L985" s="41">
        <v>17</v>
      </c>
      <c r="M985" s="41"/>
      <c r="N985" s="41"/>
      <c r="O985" s="41" t="s">
        <v>415</v>
      </c>
      <c r="P985" s="41" t="s">
        <v>2633</v>
      </c>
      <c r="Q985" s="49">
        <f>VALUE(RIGHT(P985,LEN(P985)-SEARCH("/",P985)))</f>
        <v>380</v>
      </c>
      <c r="R985" s="43">
        <f>VALUE(SUBSTITUTE(LEFT(P985,SEARCH("/",P985)-1),"+",","))</f>
        <v>251.99</v>
      </c>
      <c r="S985" s="41" t="s">
        <v>1804</v>
      </c>
      <c r="T985" s="48" t="str">
        <f t="shared" si="114"/>
        <v>(3,'PPUR-03-GR1','Poste de Purge n°03 GR1','Monday-01-jj','Monday-01-jj',NULL,1,),</v>
      </c>
    </row>
    <row r="986" spans="1:20" ht="20.100000000000001" customHeight="1" x14ac:dyDescent="0.25">
      <c r="A986" s="38">
        <v>12</v>
      </c>
      <c r="B986" s="38">
        <v>991</v>
      </c>
      <c r="C986" s="38" t="s">
        <v>664</v>
      </c>
      <c r="D986" s="38">
        <v>21</v>
      </c>
      <c r="E986" s="39" t="str">
        <f>CONCATENATE("PS-",TEXT(A986,"00"),"-",O986)</f>
        <v>PS-12-GR1</v>
      </c>
      <c r="F986" s="48" t="str">
        <f>CONCATENATE("Poste de Sectionnement n°",TEXT(A986,"00")," ",O986)</f>
        <v>Poste de Sectionnement n°12 GR1</v>
      </c>
      <c r="G986" s="19">
        <v>35065</v>
      </c>
      <c r="H986" s="19">
        <v>35065</v>
      </c>
      <c r="I986" s="41" t="s">
        <v>20</v>
      </c>
      <c r="J986" s="41">
        <v>1</v>
      </c>
      <c r="K986" s="41" t="s">
        <v>3557</v>
      </c>
      <c r="L986" s="41">
        <v>16</v>
      </c>
      <c r="M986" s="41"/>
      <c r="N986" s="41"/>
      <c r="O986" s="41" t="s">
        <v>415</v>
      </c>
      <c r="P986" s="41" t="s">
        <v>2515</v>
      </c>
      <c r="Q986" s="43">
        <v>423</v>
      </c>
      <c r="R986" s="43">
        <f>VALUE(SUBSTITUTE(P986,"+",","))</f>
        <v>263.67</v>
      </c>
      <c r="S986" s="41" t="s">
        <v>1804</v>
      </c>
      <c r="T986" s="48" t="str">
        <f t="shared" si="114"/>
        <v>(12,'PS-12-GR1','Poste de Sectionnement n°12 GR1','Monday-01-jj','Monday-01-jj',NULL,1,),</v>
      </c>
    </row>
    <row r="987" spans="1:20" ht="20.100000000000001" customHeight="1" x14ac:dyDescent="0.25">
      <c r="A987" s="38">
        <v>4</v>
      </c>
      <c r="B987" s="38">
        <v>992</v>
      </c>
      <c r="C987" s="38" t="s">
        <v>664</v>
      </c>
      <c r="D987" s="38">
        <v>21</v>
      </c>
      <c r="E987" s="45" t="str">
        <f>CONCATENATE("PPUR-",TEXT(A987,"00"),"-",O987)</f>
        <v>PPUR-04-GR1</v>
      </c>
      <c r="F987" s="48" t="str">
        <f>CONCATENATE("Poste de Purge n°",TEXT(A987,"00")," ",O987)</f>
        <v>Poste de Purge n°04 GR1</v>
      </c>
      <c r="G987" s="19">
        <v>35065</v>
      </c>
      <c r="H987" s="19">
        <v>35065</v>
      </c>
      <c r="I987" s="41" t="s">
        <v>20</v>
      </c>
      <c r="J987" s="41">
        <v>1</v>
      </c>
      <c r="K987" s="41" t="s">
        <v>3558</v>
      </c>
      <c r="L987" s="41">
        <v>17</v>
      </c>
      <c r="M987" s="41"/>
      <c r="N987" s="41"/>
      <c r="O987" s="41" t="s">
        <v>415</v>
      </c>
      <c r="P987" s="41" t="s">
        <v>2634</v>
      </c>
      <c r="Q987" s="49">
        <f>VALUE(RIGHT(P987,LEN(P987)-SEARCH("/",P987)))</f>
        <v>360</v>
      </c>
      <c r="R987" s="43">
        <f>VALUE(SUBSTITUTE(LEFT(P987,SEARCH("/",P987)-1),"+",","))</f>
        <v>281.27</v>
      </c>
      <c r="S987" s="41" t="s">
        <v>1804</v>
      </c>
      <c r="T987" s="48" t="str">
        <f t="shared" si="114"/>
        <v>(4,'PPUR-04-GR1','Poste de Purge n°04 GR1','Monday-01-jj','Monday-01-jj',NULL,1,),</v>
      </c>
    </row>
    <row r="988" spans="1:20" ht="20.100000000000001" customHeight="1" x14ac:dyDescent="0.25">
      <c r="A988" s="38">
        <v>13</v>
      </c>
      <c r="B988" s="38">
        <v>993</v>
      </c>
      <c r="C988" s="38" t="s">
        <v>664</v>
      </c>
      <c r="D988" s="38">
        <v>21</v>
      </c>
      <c r="E988" s="39" t="str">
        <f>CONCATENATE("PS-",TEXT(A988,"00"),"-",O988)</f>
        <v>PS-13-GR1</v>
      </c>
      <c r="F988" s="48" t="str">
        <f>CONCATENATE("Poste de Sectionnement n°",TEXT(A988,"00")," ",O988)</f>
        <v>Poste de Sectionnement n°13 GR1</v>
      </c>
      <c r="G988" s="19">
        <v>35065</v>
      </c>
      <c r="H988" s="19">
        <v>35065</v>
      </c>
      <c r="I988" s="41" t="s">
        <v>20</v>
      </c>
      <c r="J988" s="41">
        <v>1</v>
      </c>
      <c r="K988" s="41" t="s">
        <v>3557</v>
      </c>
      <c r="L988" s="41">
        <v>16</v>
      </c>
      <c r="M988" s="41"/>
      <c r="N988" s="41"/>
      <c r="O988" s="41" t="s">
        <v>415</v>
      </c>
      <c r="P988" s="41" t="s">
        <v>2516</v>
      </c>
      <c r="Q988" s="43">
        <v>350</v>
      </c>
      <c r="R988" s="43">
        <f>VALUE(SUBSTITUTE(P988,"+",","))</f>
        <v>281.57</v>
      </c>
      <c r="S988" s="41" t="s">
        <v>1804</v>
      </c>
      <c r="T988" s="48" t="str">
        <f t="shared" si="114"/>
        <v>(13,'PS-13-GR1','Poste de Sectionnement n°13 GR1','Monday-01-jj','Monday-01-jj',NULL,1,),</v>
      </c>
    </row>
    <row r="989" spans="1:20" ht="20.100000000000001" customHeight="1" x14ac:dyDescent="0.25">
      <c r="A989" s="38">
        <v>3</v>
      </c>
      <c r="B989" s="38">
        <v>994</v>
      </c>
      <c r="C989" s="38" t="s">
        <v>664</v>
      </c>
      <c r="D989" s="38">
        <v>21</v>
      </c>
      <c r="E989" s="45" t="str">
        <f>CONCATENATE("PC-",TEXT(A989,"00"),"-",O989)</f>
        <v>PC-03-GR1</v>
      </c>
      <c r="F989" s="48" t="str">
        <f>CONCATENATE("Poste de Coupure n°",TEXT(A989,"00")," ",O989)</f>
        <v>Poste de Coupure n°03 GR1</v>
      </c>
      <c r="G989" s="19">
        <v>35065</v>
      </c>
      <c r="H989" s="19">
        <v>35065</v>
      </c>
      <c r="I989" s="41" t="s">
        <v>20</v>
      </c>
      <c r="J989" s="41">
        <v>1</v>
      </c>
      <c r="K989" s="41" t="s">
        <v>3556</v>
      </c>
      <c r="L989" s="41">
        <v>15</v>
      </c>
      <c r="M989" s="41"/>
      <c r="N989" s="41"/>
      <c r="O989" s="41" t="s">
        <v>415</v>
      </c>
      <c r="P989" s="41" t="s">
        <v>2476</v>
      </c>
      <c r="Q989" s="49">
        <f>VALUE(RIGHT(P989,LEN(P989)-SEARCH("/",P989)))</f>
        <v>348</v>
      </c>
      <c r="R989" s="43">
        <f>VALUE(SUBSTITUTE(LEFT(P989,SEARCH("/",P989)-1),"+",","))</f>
        <v>298.375</v>
      </c>
      <c r="S989" s="41" t="s">
        <v>2486</v>
      </c>
      <c r="T989" s="48" t="str">
        <f t="shared" si="114"/>
        <v>(3,'PC-03-GR1','Poste de Coupure n°03 GR1','Monday-01-jj','Monday-01-jj',NULL,1,),</v>
      </c>
    </row>
    <row r="990" spans="1:20" ht="20.100000000000001" customHeight="1" x14ac:dyDescent="0.25">
      <c r="A990" s="38">
        <v>5</v>
      </c>
      <c r="B990" s="38">
        <v>995</v>
      </c>
      <c r="C990" s="38" t="s">
        <v>664</v>
      </c>
      <c r="D990" s="38">
        <v>21</v>
      </c>
      <c r="E990" s="45" t="str">
        <f>CONCATENATE("PPUR-",TEXT(A990,"00"),"-",O990)</f>
        <v>PPUR-05-GR1</v>
      </c>
      <c r="F990" s="48" t="str">
        <f>CONCATENATE("Poste de Purge n°",TEXT(A990,"00")," ",O990)</f>
        <v>Poste de Purge n°05 GR1</v>
      </c>
      <c r="G990" s="19">
        <v>35065</v>
      </c>
      <c r="H990" s="19">
        <v>35065</v>
      </c>
      <c r="I990" s="41" t="s">
        <v>20</v>
      </c>
      <c r="J990" s="41">
        <v>1</v>
      </c>
      <c r="K990" s="41" t="s">
        <v>3558</v>
      </c>
      <c r="L990" s="41">
        <v>17</v>
      </c>
      <c r="M990" s="41"/>
      <c r="N990" s="41"/>
      <c r="O990" s="41" t="s">
        <v>415</v>
      </c>
      <c r="P990" s="41" t="s">
        <v>2635</v>
      </c>
      <c r="Q990" s="49">
        <f>VALUE(RIGHT(P990,LEN(P990)-SEARCH("/",P990)))</f>
        <v>330</v>
      </c>
      <c r="R990" s="43">
        <f>VALUE(SUBSTITUTE(LEFT(P990,SEARCH("/",P990)-1),"+",","))</f>
        <v>309.10000000000002</v>
      </c>
      <c r="S990" s="41" t="s">
        <v>1804</v>
      </c>
      <c r="T990" s="48" t="str">
        <f t="shared" si="114"/>
        <v>(5,'PPUR-05-GR1','Poste de Purge n°05 GR1','Monday-01-jj','Monday-01-jj',NULL,1,),</v>
      </c>
    </row>
    <row r="991" spans="1:20" ht="20.100000000000001" customHeight="1" x14ac:dyDescent="0.25">
      <c r="A991" s="38">
        <v>14</v>
      </c>
      <c r="B991" s="38">
        <v>996</v>
      </c>
      <c r="C991" s="38" t="s">
        <v>664</v>
      </c>
      <c r="D991" s="38">
        <v>21</v>
      </c>
      <c r="E991" s="39" t="str">
        <f>CONCATENATE("PS-",TEXT(A991,"00"),"-",O991)</f>
        <v>PS-14-GR1</v>
      </c>
      <c r="F991" s="48" t="str">
        <f>CONCATENATE("Poste de Sectionnement n°",TEXT(A991,"00")," ",O991)</f>
        <v>Poste de Sectionnement n°14 GR1</v>
      </c>
      <c r="G991" s="19">
        <v>35065</v>
      </c>
      <c r="H991" s="19">
        <v>35065</v>
      </c>
      <c r="I991" s="41" t="s">
        <v>20</v>
      </c>
      <c r="J991" s="41">
        <v>1</v>
      </c>
      <c r="K991" s="41" t="s">
        <v>3557</v>
      </c>
      <c r="L991" s="41">
        <v>16</v>
      </c>
      <c r="M991" s="41"/>
      <c r="N991" s="41"/>
      <c r="O991" s="41" t="s">
        <v>415</v>
      </c>
      <c r="P991" s="41" t="s">
        <v>2517</v>
      </c>
      <c r="Q991" s="43">
        <v>316</v>
      </c>
      <c r="R991" s="43">
        <f>VALUE(SUBSTITUTE(P991,"+",","))</f>
        <v>317.10000000000002</v>
      </c>
      <c r="S991" s="41" t="s">
        <v>1804</v>
      </c>
      <c r="T991" s="48" t="str">
        <f t="shared" si="114"/>
        <v>(14,'PS-14-GR1','Poste de Sectionnement n°14 GR1','Monday-01-jj','Monday-01-jj',NULL,1,),</v>
      </c>
    </row>
    <row r="992" spans="1:20" ht="20.100000000000001" customHeight="1" x14ac:dyDescent="0.25">
      <c r="A992" s="38">
        <v>6</v>
      </c>
      <c r="B992" s="38">
        <v>997</v>
      </c>
      <c r="C992" s="38" t="s">
        <v>664</v>
      </c>
      <c r="D992" s="38">
        <v>21</v>
      </c>
      <c r="E992" s="45" t="str">
        <f>CONCATENATE("PPUR-",TEXT(A992,"00"),"-",O992)</f>
        <v>PPUR-06-GR1</v>
      </c>
      <c r="F992" s="48" t="str">
        <f>CONCATENATE("Poste de Purge n°",TEXT(A992,"00")," ",O992)</f>
        <v>Poste de Purge n°06 GR1</v>
      </c>
      <c r="G992" s="19">
        <v>35065</v>
      </c>
      <c r="H992" s="19">
        <v>35065</v>
      </c>
      <c r="I992" s="41" t="s">
        <v>20</v>
      </c>
      <c r="J992" s="41">
        <v>1</v>
      </c>
      <c r="K992" s="41" t="s">
        <v>3558</v>
      </c>
      <c r="L992" s="41">
        <v>17</v>
      </c>
      <c r="M992" s="41"/>
      <c r="N992" s="41"/>
      <c r="O992" s="41" t="s">
        <v>415</v>
      </c>
      <c r="P992" s="41" t="s">
        <v>2636</v>
      </c>
      <c r="Q992" s="49">
        <f>VALUE(RIGHT(P992,LEN(P992)-SEARCH("/",P992)))</f>
        <v>310</v>
      </c>
      <c r="R992" s="43">
        <f>VALUE(SUBSTITUTE(LEFT(P992,SEARCH("/",P992)-1),"+",","))</f>
        <v>330.92</v>
      </c>
      <c r="S992" s="41" t="s">
        <v>1804</v>
      </c>
      <c r="T992" s="48" t="str">
        <f t="shared" si="114"/>
        <v>(6,'PPUR-06-GR1','Poste de Purge n°06 GR1','Monday-01-jj','Monday-01-jj',NULL,1,),</v>
      </c>
    </row>
    <row r="993" spans="1:20" ht="20.100000000000001" customHeight="1" x14ac:dyDescent="0.25">
      <c r="A993" s="38">
        <v>15</v>
      </c>
      <c r="B993" s="38">
        <v>998</v>
      </c>
      <c r="C993" s="38" t="s">
        <v>664</v>
      </c>
      <c r="D993" s="38">
        <v>21</v>
      </c>
      <c r="E993" s="39" t="str">
        <f>CONCATENATE("PS-",TEXT(A993,"00"),"-",O993)</f>
        <v>PS-15-GR1</v>
      </c>
      <c r="F993" s="48" t="str">
        <f>CONCATENATE("Poste de Sectionnement n°",TEXT(A993,"00")," ",O993)</f>
        <v>Poste de Sectionnement n°15 GR1</v>
      </c>
      <c r="G993" s="19">
        <v>35065</v>
      </c>
      <c r="H993" s="19">
        <v>35065</v>
      </c>
      <c r="I993" s="41" t="s">
        <v>20</v>
      </c>
      <c r="J993" s="41">
        <v>1</v>
      </c>
      <c r="K993" s="41" t="s">
        <v>3557</v>
      </c>
      <c r="L993" s="41">
        <v>16</v>
      </c>
      <c r="M993" s="41"/>
      <c r="N993" s="41"/>
      <c r="O993" s="41" t="s">
        <v>415</v>
      </c>
      <c r="P993" s="41" t="s">
        <v>2518</v>
      </c>
      <c r="Q993" s="43">
        <v>316</v>
      </c>
      <c r="R993" s="43">
        <f>VALUE(SUBSTITUTE(P993,"+",","))</f>
        <v>336.05</v>
      </c>
      <c r="S993" s="41" t="s">
        <v>1804</v>
      </c>
      <c r="T993" s="48" t="str">
        <f t="shared" si="114"/>
        <v>(15,'PS-15-GR1','Poste de Sectionnement n°15 GR1','Monday-01-jj','Monday-01-jj',NULL,1,),</v>
      </c>
    </row>
    <row r="994" spans="1:20" ht="20.100000000000001" customHeight="1" x14ac:dyDescent="0.25">
      <c r="A994" s="38">
        <v>16</v>
      </c>
      <c r="B994" s="38">
        <v>999</v>
      </c>
      <c r="C994" s="38" t="s">
        <v>664</v>
      </c>
      <c r="D994" s="38">
        <v>21</v>
      </c>
      <c r="E994" s="39" t="str">
        <f>CONCATENATE("PS-",TEXT(A994,"00"),"-",O994)</f>
        <v>PS-16-GR1</v>
      </c>
      <c r="F994" s="48" t="str">
        <f>CONCATENATE("Poste de Sectionnement n°",TEXT(A994,"00")," ",O994)</f>
        <v>Poste de Sectionnement n°16 GR1</v>
      </c>
      <c r="G994" s="19">
        <v>35065</v>
      </c>
      <c r="H994" s="19">
        <v>35065</v>
      </c>
      <c r="I994" s="41" t="s">
        <v>20</v>
      </c>
      <c r="J994" s="41">
        <v>1</v>
      </c>
      <c r="K994" s="41" t="s">
        <v>3557</v>
      </c>
      <c r="L994" s="41">
        <v>16</v>
      </c>
      <c r="M994" s="41"/>
      <c r="N994" s="41"/>
      <c r="O994" s="41" t="s">
        <v>415</v>
      </c>
      <c r="P994" s="41" t="s">
        <v>2519</v>
      </c>
      <c r="Q994" s="43">
        <v>302</v>
      </c>
      <c r="R994" s="43">
        <f>VALUE(SUBSTITUTE(P994,"+",","))</f>
        <v>357.03</v>
      </c>
      <c r="S994" s="41" t="s">
        <v>1804</v>
      </c>
      <c r="T994" s="48" t="str">
        <f t="shared" si="114"/>
        <v>(16,'PS-16-GR1','Poste de Sectionnement n°16 GR1','Monday-01-jj','Monday-01-jj',NULL,1,),</v>
      </c>
    </row>
    <row r="995" spans="1:20" ht="20.100000000000001" customHeight="1" x14ac:dyDescent="0.25">
      <c r="A995" s="38">
        <v>17</v>
      </c>
      <c r="B995" s="38">
        <v>1000</v>
      </c>
      <c r="C995" s="38" t="s">
        <v>664</v>
      </c>
      <c r="D995" s="38">
        <v>21</v>
      </c>
      <c r="E995" s="39" t="str">
        <f>CONCATENATE("PS-",TEXT(A995,"00"),"-",O995)</f>
        <v>PS-17-GR1</v>
      </c>
      <c r="F995" s="48" t="str">
        <f>CONCATENATE("Poste de Sectionnement n°",TEXT(A995,"00")," ",O995)</f>
        <v>Poste de Sectionnement n°17 GR1</v>
      </c>
      <c r="G995" s="19">
        <v>35065</v>
      </c>
      <c r="H995" s="19">
        <v>35065</v>
      </c>
      <c r="I995" s="41" t="s">
        <v>20</v>
      </c>
      <c r="J995" s="41">
        <v>1</v>
      </c>
      <c r="K995" s="41" t="s">
        <v>3557</v>
      </c>
      <c r="L995" s="41">
        <v>16</v>
      </c>
      <c r="M995" s="41"/>
      <c r="N995" s="41"/>
      <c r="O995" s="41" t="s">
        <v>415</v>
      </c>
      <c r="P995" s="41" t="s">
        <v>2520</v>
      </c>
      <c r="Q995" s="43">
        <v>288</v>
      </c>
      <c r="R995" s="43">
        <f>VALUE(SUBSTITUTE(P995,"+",","))</f>
        <v>377.92</v>
      </c>
      <c r="S995" s="41" t="s">
        <v>1804</v>
      </c>
      <c r="T995" s="48" t="str">
        <f t="shared" si="114"/>
        <v>(17,'PS-17-GR1','Poste de Sectionnement n°17 GR1','Monday-01-jj','Monday-01-jj',NULL,1,),</v>
      </c>
    </row>
    <row r="996" spans="1:20" ht="20.100000000000001" customHeight="1" x14ac:dyDescent="0.25">
      <c r="A996" s="38">
        <v>18</v>
      </c>
      <c r="B996" s="38">
        <v>1001</v>
      </c>
      <c r="C996" s="38" t="s">
        <v>664</v>
      </c>
      <c r="D996" s="38">
        <v>21</v>
      </c>
      <c r="E996" s="39" t="str">
        <f>CONCATENATE("PS-",TEXT(A996,"00"),"-",O996)</f>
        <v>PS-18-GR1</v>
      </c>
      <c r="F996" s="48" t="str">
        <f>CONCATENATE("Poste de Sectionnement n°",TEXT(A996,"00")," ",O996)</f>
        <v>Poste de Sectionnement n°18 GR1</v>
      </c>
      <c r="G996" s="19">
        <v>35065</v>
      </c>
      <c r="H996" s="19">
        <v>35065</v>
      </c>
      <c r="I996" s="41" t="s">
        <v>20</v>
      </c>
      <c r="J996" s="41">
        <v>1</v>
      </c>
      <c r="K996" s="41" t="s">
        <v>3557</v>
      </c>
      <c r="L996" s="41">
        <v>16</v>
      </c>
      <c r="M996" s="41"/>
      <c r="N996" s="41"/>
      <c r="O996" s="41" t="s">
        <v>415</v>
      </c>
      <c r="P996" s="41" t="s">
        <v>2521</v>
      </c>
      <c r="Q996" s="43">
        <v>273</v>
      </c>
      <c r="R996" s="43">
        <f>VALUE(SUBSTITUTE(P996,"+",","))</f>
        <v>397.62</v>
      </c>
      <c r="S996" s="41" t="s">
        <v>1804</v>
      </c>
      <c r="T996" s="48" t="str">
        <f t="shared" si="114"/>
        <v>(18,'PS-18-GR1','Poste de Sectionnement n°18 GR1','Monday-01-jj','Monday-01-jj',NULL,1,),</v>
      </c>
    </row>
    <row r="997" spans="1:20" ht="20.100000000000001" customHeight="1" x14ac:dyDescent="0.25">
      <c r="A997" s="38">
        <v>19</v>
      </c>
      <c r="B997" s="38">
        <v>1002</v>
      </c>
      <c r="C997" s="38" t="s">
        <v>664</v>
      </c>
      <c r="D997" s="38">
        <v>21</v>
      </c>
      <c r="E997" s="39" t="str">
        <f>CONCATENATE("PS-",TEXT(A997,"00"),"-",O997)</f>
        <v>PS-19-GR1</v>
      </c>
      <c r="F997" s="48" t="str">
        <f>CONCATENATE("Poste de Sectionnement n°",TEXT(A997,"00")," ",O997)</f>
        <v>Poste de Sectionnement n°19 GR1</v>
      </c>
      <c r="G997" s="19">
        <v>35065</v>
      </c>
      <c r="H997" s="19">
        <v>35065</v>
      </c>
      <c r="I997" s="41" t="s">
        <v>20</v>
      </c>
      <c r="J997" s="41">
        <v>1</v>
      </c>
      <c r="K997" s="41" t="s">
        <v>3557</v>
      </c>
      <c r="L997" s="41">
        <v>16</v>
      </c>
      <c r="M997" s="41"/>
      <c r="N997" s="41"/>
      <c r="O997" s="41" t="s">
        <v>415</v>
      </c>
      <c r="P997" s="41" t="s">
        <v>2522</v>
      </c>
      <c r="Q997" s="43">
        <v>262</v>
      </c>
      <c r="R997" s="43">
        <f>VALUE(SUBSTITUTE(P997,"+",","))</f>
        <v>413.72</v>
      </c>
      <c r="S997" s="41" t="s">
        <v>1804</v>
      </c>
      <c r="T997" s="48" t="str">
        <f t="shared" si="114"/>
        <v>(19,'PS-19-GR1','Poste de Sectionnement n°19 GR1','Monday-01-jj','Monday-01-jj',NULL,1,),</v>
      </c>
    </row>
    <row r="998" spans="1:20" ht="20.100000000000001" customHeight="1" x14ac:dyDescent="0.25">
      <c r="A998" s="38">
        <v>4</v>
      </c>
      <c r="B998" s="38">
        <v>1003</v>
      </c>
      <c r="C998" s="38" t="s">
        <v>664</v>
      </c>
      <c r="D998" s="38">
        <v>21</v>
      </c>
      <c r="E998" s="45" t="str">
        <f>CONCATENATE("PC-",TEXT(A998,"00"),"-",O998)</f>
        <v>PC-04-GR1</v>
      </c>
      <c r="F998" s="48" t="str">
        <f>CONCATENATE("Poste de Coupure n°",TEXT(A998,"00")," ",O998)</f>
        <v>Poste de Coupure n°04 GR1</v>
      </c>
      <c r="G998" s="19">
        <v>35065</v>
      </c>
      <c r="H998" s="19">
        <v>35065</v>
      </c>
      <c r="I998" s="41" t="s">
        <v>20</v>
      </c>
      <c r="J998" s="41">
        <v>1</v>
      </c>
      <c r="K998" s="41" t="s">
        <v>3556</v>
      </c>
      <c r="L998" s="41">
        <v>15</v>
      </c>
      <c r="M998" s="41"/>
      <c r="N998" s="41"/>
      <c r="O998" s="41" t="s">
        <v>415</v>
      </c>
      <c r="P998" s="41" t="s">
        <v>2477</v>
      </c>
      <c r="Q998" s="49">
        <f>VALUE(RIGHT(P998,LEN(P998)-SEARCH("/",P998)))</f>
        <v>252</v>
      </c>
      <c r="R998" s="43">
        <f>VALUE(SUBSTITUTE(LEFT(P998,SEARCH("/",P998)-1),"+",","))</f>
        <v>432.72</v>
      </c>
      <c r="S998" s="41" t="s">
        <v>2487</v>
      </c>
      <c r="T998" s="48" t="str">
        <f t="shared" si="114"/>
        <v>(4,'PC-04-GR1','Poste de Coupure n°04 GR1','Monday-01-jj','Monday-01-jj',NULL,1,),</v>
      </c>
    </row>
    <row r="999" spans="1:20" ht="20.100000000000001" customHeight="1" x14ac:dyDescent="0.25">
      <c r="A999" s="38">
        <v>20</v>
      </c>
      <c r="B999" s="38">
        <v>1004</v>
      </c>
      <c r="C999" s="38" t="s">
        <v>664</v>
      </c>
      <c r="D999" s="38">
        <v>21</v>
      </c>
      <c r="E999" s="39" t="str">
        <f>CONCATENATE("PS-",TEXT(A999,"00"),"-",O999)</f>
        <v>PS-20-GR1</v>
      </c>
      <c r="F999" s="48" t="str">
        <f>CONCATENATE("Poste de Sectionnement n°",TEXT(A999,"00")," ",O999)</f>
        <v>Poste de Sectionnement n°20 GR1</v>
      </c>
      <c r="G999" s="19">
        <v>35065</v>
      </c>
      <c r="H999" s="19">
        <v>35065</v>
      </c>
      <c r="I999" s="41" t="s">
        <v>20</v>
      </c>
      <c r="J999" s="41">
        <v>1</v>
      </c>
      <c r="K999" s="41" t="s">
        <v>3557</v>
      </c>
      <c r="L999" s="41">
        <v>16</v>
      </c>
      <c r="M999" s="41"/>
      <c r="N999" s="41"/>
      <c r="O999" s="41" t="s">
        <v>415</v>
      </c>
      <c r="P999" s="41" t="s">
        <v>2523</v>
      </c>
      <c r="Q999" s="43">
        <v>239</v>
      </c>
      <c r="R999" s="43">
        <f>VALUE(SUBSTITUTE(P999,"+",","))</f>
        <v>450.81</v>
      </c>
      <c r="S999" s="41" t="s">
        <v>1804</v>
      </c>
      <c r="T999" s="48" t="str">
        <f t="shared" si="114"/>
        <v>(20,'PS-20-GR1','Poste de Sectionnement n°20 GR1','Monday-01-jj','Monday-01-jj',NULL,1,),</v>
      </c>
    </row>
    <row r="1000" spans="1:20" ht="20.100000000000001" customHeight="1" x14ac:dyDescent="0.25">
      <c r="A1000" s="38">
        <v>21</v>
      </c>
      <c r="B1000" s="38">
        <v>1005</v>
      </c>
      <c r="C1000" s="38" t="s">
        <v>664</v>
      </c>
      <c r="D1000" s="38">
        <v>21</v>
      </c>
      <c r="E1000" s="39" t="str">
        <f>CONCATENATE("PS-",TEXT(A1000,"00"),"-",O1000)</f>
        <v>PS-21-GR1</v>
      </c>
      <c r="F1000" s="48" t="str">
        <f>CONCATENATE("Poste de Sectionnement n°",TEXT(A1000,"00")," ",O1000)</f>
        <v>Poste de Sectionnement n°21 GR1</v>
      </c>
      <c r="G1000" s="19">
        <v>35065</v>
      </c>
      <c r="H1000" s="19">
        <v>35065</v>
      </c>
      <c r="I1000" s="41" t="s">
        <v>20</v>
      </c>
      <c r="J1000" s="41">
        <v>1</v>
      </c>
      <c r="K1000" s="41" t="s">
        <v>3557</v>
      </c>
      <c r="L1000" s="41">
        <v>16</v>
      </c>
      <c r="M1000" s="41"/>
      <c r="N1000" s="41"/>
      <c r="O1000" s="41" t="s">
        <v>415</v>
      </c>
      <c r="P1000" s="41" t="s">
        <v>2524</v>
      </c>
      <c r="Q1000" s="43">
        <v>229</v>
      </c>
      <c r="R1000" s="43">
        <f>VALUE(SUBSTITUTE(P1000,"+",","))</f>
        <v>468.81</v>
      </c>
      <c r="S1000" s="41" t="s">
        <v>998</v>
      </c>
      <c r="T1000" s="48" t="str">
        <f t="shared" si="114"/>
        <v>(21,'PS-21-GR1','Poste de Sectionnement n°21 GR1','Monday-01-jj','Monday-01-jj',NULL,1,),</v>
      </c>
    </row>
    <row r="1001" spans="1:20" ht="20.100000000000001" customHeight="1" x14ac:dyDescent="0.25">
      <c r="A1001" s="38">
        <v>22</v>
      </c>
      <c r="B1001" s="38">
        <v>1006</v>
      </c>
      <c r="C1001" s="38" t="s">
        <v>664</v>
      </c>
      <c r="D1001" s="38">
        <v>21</v>
      </c>
      <c r="E1001" s="39" t="str">
        <f>CONCATENATE("PS-",TEXT(A1001,"00"),"-",O1001)</f>
        <v>PS-22-GR1</v>
      </c>
      <c r="F1001" s="48" t="str">
        <f>CONCATENATE("Poste de Sectionnement n°",TEXT(A1001,"00")," ",O1001)</f>
        <v>Poste de Sectionnement n°22 GR1</v>
      </c>
      <c r="G1001" s="19">
        <v>35065</v>
      </c>
      <c r="H1001" s="19">
        <v>35065</v>
      </c>
      <c r="I1001" s="41" t="s">
        <v>20</v>
      </c>
      <c r="J1001" s="41">
        <v>1</v>
      </c>
      <c r="K1001" s="41" t="s">
        <v>3557</v>
      </c>
      <c r="L1001" s="41">
        <v>16</v>
      </c>
      <c r="M1001" s="41"/>
      <c r="N1001" s="41"/>
      <c r="O1001" s="41" t="s">
        <v>415</v>
      </c>
      <c r="P1001" s="41" t="s">
        <v>2525</v>
      </c>
      <c r="Q1001" s="43">
        <v>220</v>
      </c>
      <c r="R1001" s="43">
        <f>VALUE(SUBSTITUTE(P1001,"+",","))</f>
        <v>486.81</v>
      </c>
      <c r="S1001" s="41" t="s">
        <v>998</v>
      </c>
      <c r="T1001" s="48" t="str">
        <f t="shared" si="114"/>
        <v>(22,'PS-22-GR1','Poste de Sectionnement n°22 GR1','Monday-01-jj','Monday-01-jj',NULL,1,),</v>
      </c>
    </row>
    <row r="1002" spans="1:20" ht="20.100000000000001" customHeight="1" x14ac:dyDescent="0.25">
      <c r="A1002" s="38">
        <v>7</v>
      </c>
      <c r="B1002" s="38">
        <v>1007</v>
      </c>
      <c r="C1002" s="38" t="s">
        <v>664</v>
      </c>
      <c r="D1002" s="38">
        <v>21</v>
      </c>
      <c r="E1002" s="45" t="str">
        <f>CONCATENATE("PPUR-",TEXT(A1002,"00"),"-",O1002)</f>
        <v>PPUR-07-GR1</v>
      </c>
      <c r="F1002" s="48" t="str">
        <f>CONCATENATE("Poste de Purge n°",TEXT(A1002,"00")," ",O1002)</f>
        <v>Poste de Purge n°07 GR1</v>
      </c>
      <c r="G1002" s="19">
        <v>35065</v>
      </c>
      <c r="H1002" s="19">
        <v>35065</v>
      </c>
      <c r="I1002" s="41" t="s">
        <v>20</v>
      </c>
      <c r="J1002" s="41">
        <v>1</v>
      </c>
      <c r="K1002" s="41" t="s">
        <v>3558</v>
      </c>
      <c r="L1002" s="41">
        <v>17</v>
      </c>
      <c r="M1002" s="41"/>
      <c r="N1002" s="41"/>
      <c r="O1002" s="41" t="s">
        <v>415</v>
      </c>
      <c r="P1002" s="41" t="s">
        <v>2637</v>
      </c>
      <c r="Q1002" s="49">
        <f>VALUE(RIGHT(P1002,LEN(P1002)-SEARCH("/",P1002)))</f>
        <v>206</v>
      </c>
      <c r="R1002" s="43">
        <f>VALUE(SUBSTITUTE(LEFT(P1002,SEARCH("/",P1002)-1),"+",","))</f>
        <v>502.81</v>
      </c>
      <c r="S1002" s="41" t="s">
        <v>998</v>
      </c>
      <c r="T1002" s="48" t="str">
        <f t="shared" si="114"/>
        <v>(7,'PPUR-07-GR1','Poste de Purge n°07 GR1','Monday-01-jj','Monday-01-jj',NULL,1,),</v>
      </c>
    </row>
    <row r="1003" spans="1:20" ht="20.100000000000001" customHeight="1" x14ac:dyDescent="0.25">
      <c r="A1003" s="38">
        <v>5</v>
      </c>
      <c r="B1003" s="38">
        <v>1008</v>
      </c>
      <c r="C1003" s="38" t="s">
        <v>664</v>
      </c>
      <c r="D1003" s="38">
        <v>21</v>
      </c>
      <c r="E1003" s="45" t="str">
        <f>CONCATENATE("PC-",TEXT(A1003,"00"),"-",O1003)</f>
        <v>PC-05-GR1</v>
      </c>
      <c r="F1003" s="48" t="str">
        <f>CONCATENATE("Poste de Coupure n°",TEXT(A1003,"00")," ",O1003)</f>
        <v>Poste de Coupure n°05 GR1</v>
      </c>
      <c r="G1003" s="19">
        <v>35065</v>
      </c>
      <c r="H1003" s="19">
        <v>35065</v>
      </c>
      <c r="I1003" s="41" t="s">
        <v>20</v>
      </c>
      <c r="J1003" s="41">
        <v>1</v>
      </c>
      <c r="K1003" s="41" t="s">
        <v>3556</v>
      </c>
      <c r="L1003" s="41">
        <v>15</v>
      </c>
      <c r="M1003" s="41"/>
      <c r="N1003" s="41"/>
      <c r="O1003" s="41" t="s">
        <v>415</v>
      </c>
      <c r="P1003" s="41" t="s">
        <v>2478</v>
      </c>
      <c r="Q1003" s="49">
        <f>VALUE(RIGHT(P1003,LEN(P1003)-SEARCH("/",P1003)))</f>
        <v>208</v>
      </c>
      <c r="R1003" s="43">
        <f>VALUE(SUBSTITUTE(LEFT(P1003,SEARCH("/",P1003)-1),"+",","))</f>
        <v>505.54</v>
      </c>
      <c r="S1003" s="41" t="s">
        <v>2488</v>
      </c>
      <c r="T1003" s="48" t="str">
        <f t="shared" si="114"/>
        <v>(5,'PC-05-GR1','Poste de Coupure n°05 GR1','Monday-01-jj','Monday-01-jj',NULL,1,),</v>
      </c>
    </row>
    <row r="1004" spans="1:20" ht="20.100000000000001" customHeight="1" x14ac:dyDescent="0.25">
      <c r="A1004" s="38">
        <v>23</v>
      </c>
      <c r="B1004" s="38">
        <v>1009</v>
      </c>
      <c r="C1004" s="38" t="s">
        <v>664</v>
      </c>
      <c r="D1004" s="38">
        <v>21</v>
      </c>
      <c r="E1004" s="39" t="str">
        <f>CONCATENATE("PS-",TEXT(A1004,"00"),"-",O1004)</f>
        <v>PS-23-GR1</v>
      </c>
      <c r="F1004" s="48" t="str">
        <f>CONCATENATE("Poste de Sectionnement n°",TEXT(A1004,"00")," ",O1004)</f>
        <v>Poste de Sectionnement n°23 GR1</v>
      </c>
      <c r="G1004" s="19">
        <v>35065</v>
      </c>
      <c r="H1004" s="19">
        <v>35065</v>
      </c>
      <c r="I1004" s="41" t="s">
        <v>20</v>
      </c>
      <c r="J1004" s="41">
        <v>1</v>
      </c>
      <c r="K1004" s="41" t="s">
        <v>3557</v>
      </c>
      <c r="L1004" s="41">
        <v>16</v>
      </c>
      <c r="M1004" s="41"/>
      <c r="N1004" s="41"/>
      <c r="O1004" s="41" t="s">
        <v>415</v>
      </c>
      <c r="P1004" s="41" t="s">
        <v>2526</v>
      </c>
      <c r="Q1004" s="43">
        <v>198</v>
      </c>
      <c r="R1004" s="43">
        <f>VALUE(SUBSTITUTE(P1004,"+",","))</f>
        <v>526.34</v>
      </c>
      <c r="S1004" s="41" t="s">
        <v>998</v>
      </c>
      <c r="T1004" s="48" t="str">
        <f t="shared" si="114"/>
        <v>(23,'PS-23-GR1','Poste de Sectionnement n°23 GR1','Monday-01-jj','Monday-01-jj',NULL,1,),</v>
      </c>
    </row>
    <row r="1005" spans="1:20" ht="20.100000000000001" customHeight="1" x14ac:dyDescent="0.25">
      <c r="A1005" s="38">
        <v>24</v>
      </c>
      <c r="B1005" s="38">
        <v>1010</v>
      </c>
      <c r="C1005" s="38" t="s">
        <v>664</v>
      </c>
      <c r="D1005" s="38">
        <v>21</v>
      </c>
      <c r="E1005" s="39" t="str">
        <f>CONCATENATE("PS-",TEXT(A1005,"00"),"-",O1005)</f>
        <v>PS-24-GR1</v>
      </c>
      <c r="F1005" s="48" t="str">
        <f>CONCATENATE("Poste de Sectionnement n°",TEXT(A1005,"00")," ",O1005)</f>
        <v>Poste de Sectionnement n°24 GR1</v>
      </c>
      <c r="G1005" s="19">
        <v>35065</v>
      </c>
      <c r="H1005" s="19">
        <v>35065</v>
      </c>
      <c r="I1005" s="41" t="s">
        <v>20</v>
      </c>
      <c r="J1005" s="41">
        <v>1</v>
      </c>
      <c r="K1005" s="41" t="s">
        <v>3557</v>
      </c>
      <c r="L1005" s="41">
        <v>16</v>
      </c>
      <c r="M1005" s="41"/>
      <c r="N1005" s="41"/>
      <c r="O1005" s="41" t="s">
        <v>415</v>
      </c>
      <c r="P1005" s="41" t="s">
        <v>2527</v>
      </c>
      <c r="Q1005" s="43">
        <v>186</v>
      </c>
      <c r="R1005" s="43">
        <f>VALUE(SUBSTITUTE(P1005,"+",","))</f>
        <v>546.94000000000005</v>
      </c>
      <c r="S1005" s="41" t="s">
        <v>998</v>
      </c>
      <c r="T1005" s="48" t="str">
        <f t="shared" si="114"/>
        <v>(24,'PS-24-GR1','Poste de Sectionnement n°24 GR1','Monday-01-jj','Monday-01-jj',NULL,1,),</v>
      </c>
    </row>
    <row r="1006" spans="1:20" ht="20.100000000000001" customHeight="1" x14ac:dyDescent="0.25">
      <c r="A1006" s="38">
        <v>25</v>
      </c>
      <c r="B1006" s="38">
        <v>1011</v>
      </c>
      <c r="C1006" s="38" t="s">
        <v>664</v>
      </c>
      <c r="D1006" s="38">
        <v>21</v>
      </c>
      <c r="E1006" s="39" t="str">
        <f>CONCATENATE("PS-",TEXT(A1006,"00"),"-",O1006)</f>
        <v>PS-25-GR1</v>
      </c>
      <c r="F1006" s="48" t="str">
        <f>CONCATENATE("Poste de Sectionnement n°",TEXT(A1006,"00")," ",O1006)</f>
        <v>Poste de Sectionnement n°25 GR1</v>
      </c>
      <c r="G1006" s="19">
        <v>35065</v>
      </c>
      <c r="H1006" s="19">
        <v>35065</v>
      </c>
      <c r="I1006" s="41" t="s">
        <v>20</v>
      </c>
      <c r="J1006" s="41">
        <v>1</v>
      </c>
      <c r="K1006" s="41" t="s">
        <v>3557</v>
      </c>
      <c r="L1006" s="41">
        <v>16</v>
      </c>
      <c r="M1006" s="41"/>
      <c r="N1006" s="41"/>
      <c r="O1006" s="41" t="s">
        <v>415</v>
      </c>
      <c r="P1006" s="41" t="s">
        <v>2528</v>
      </c>
      <c r="Q1006" s="43">
        <v>177</v>
      </c>
      <c r="R1006" s="43">
        <f>VALUE(SUBSTITUTE(P1006,"+",","))</f>
        <v>567.64</v>
      </c>
      <c r="S1006" s="41" t="s">
        <v>998</v>
      </c>
      <c r="T1006" s="48" t="str">
        <f t="shared" si="114"/>
        <v>(25,'PS-25-GR1','Poste de Sectionnement n°25 GR1','Monday-01-jj','Monday-01-jj',NULL,1,),</v>
      </c>
    </row>
    <row r="1007" spans="1:20" ht="20.100000000000001" customHeight="1" x14ac:dyDescent="0.25">
      <c r="A1007" s="38">
        <v>8</v>
      </c>
      <c r="B1007" s="38">
        <v>1012</v>
      </c>
      <c r="C1007" s="38" t="s">
        <v>664</v>
      </c>
      <c r="D1007" s="38">
        <v>21</v>
      </c>
      <c r="E1007" s="45" t="str">
        <f>CONCATENATE("PPUR-",TEXT(A1007,"00"),"-",O1007)</f>
        <v>PPUR-08-GR1</v>
      </c>
      <c r="F1007" s="48" t="str">
        <f>CONCATENATE("Poste de Purge n°",TEXT(A1007,"00")," ",O1007)</f>
        <v>Poste de Purge n°08 GR1</v>
      </c>
      <c r="G1007" s="19">
        <v>35065</v>
      </c>
      <c r="H1007" s="19">
        <v>35065</v>
      </c>
      <c r="I1007" s="41" t="s">
        <v>20</v>
      </c>
      <c r="J1007" s="41">
        <v>1</v>
      </c>
      <c r="K1007" s="41" t="s">
        <v>3558</v>
      </c>
      <c r="L1007" s="41">
        <v>17</v>
      </c>
      <c r="M1007" s="41"/>
      <c r="N1007" s="41"/>
      <c r="O1007" s="41" t="s">
        <v>415</v>
      </c>
      <c r="P1007" s="41" t="s">
        <v>2638</v>
      </c>
      <c r="Q1007" s="49">
        <f>VALUE(RIGHT(P1007,LEN(P1007)-SEARCH("/",P1007)))</f>
        <v>189</v>
      </c>
      <c r="R1007" s="43">
        <f>VALUE(SUBSTITUTE(LEFT(P1007,SEARCH("/",P1007)-1),"+",","))</f>
        <v>586.69000000000005</v>
      </c>
      <c r="S1007" s="41" t="s">
        <v>998</v>
      </c>
      <c r="T1007" s="48" t="str">
        <f t="shared" si="114"/>
        <v>(8,'PPUR-08-GR1','Poste de Purge n°08 GR1','Monday-01-jj','Monday-01-jj',NULL,1,),</v>
      </c>
    </row>
    <row r="1008" spans="1:20" ht="20.100000000000001" customHeight="1" x14ac:dyDescent="0.25">
      <c r="A1008" s="38">
        <v>6</v>
      </c>
      <c r="B1008" s="38">
        <v>1013</v>
      </c>
      <c r="C1008" s="38" t="s">
        <v>664</v>
      </c>
      <c r="D1008" s="38">
        <v>21</v>
      </c>
      <c r="E1008" s="45" t="str">
        <f>CONCATENATE("PC-",TEXT(A1008,"00"),"-",O1008)</f>
        <v>PC-06-GR1</v>
      </c>
      <c r="F1008" s="48" t="str">
        <f>CONCATENATE("Poste de Coupure n°",TEXT(A1008,"00")," ",O1008)</f>
        <v>Poste de Coupure n°06 GR1</v>
      </c>
      <c r="G1008" s="19">
        <v>35065</v>
      </c>
      <c r="H1008" s="19">
        <v>35065</v>
      </c>
      <c r="I1008" s="41" t="s">
        <v>20</v>
      </c>
      <c r="J1008" s="41">
        <v>1</v>
      </c>
      <c r="K1008" s="41" t="s">
        <v>3556</v>
      </c>
      <c r="L1008" s="41">
        <v>15</v>
      </c>
      <c r="M1008" s="41"/>
      <c r="N1008" s="41"/>
      <c r="O1008" s="41" t="s">
        <v>415</v>
      </c>
      <c r="P1008" s="41" t="s">
        <v>2479</v>
      </c>
      <c r="Q1008" s="49">
        <f>VALUE(RIGHT(P1008,LEN(P1008)-SEARCH("/",P1008)))</f>
        <v>166</v>
      </c>
      <c r="R1008" s="43">
        <f>VALUE(SUBSTITUTE(LEFT(P1008,SEARCH("/",P1008)-1),"+",","))</f>
        <v>588.35</v>
      </c>
      <c r="S1008" s="41" t="s">
        <v>2489</v>
      </c>
      <c r="T1008" s="48" t="str">
        <f t="shared" si="114"/>
        <v>(6,'PC-06-GR1','Poste de Coupure n°06 GR1','Monday-01-jj','Monday-01-jj',NULL,1,),</v>
      </c>
    </row>
    <row r="1009" spans="1:20" ht="20.100000000000001" customHeight="1" x14ac:dyDescent="0.25">
      <c r="A1009" s="38">
        <v>26</v>
      </c>
      <c r="B1009" s="38">
        <v>1014</v>
      </c>
      <c r="C1009" s="38" t="s">
        <v>664</v>
      </c>
      <c r="D1009" s="38">
        <v>21</v>
      </c>
      <c r="E1009" s="39" t="str">
        <f>CONCATENATE("PS-",TEXT(A1009,"00"),"-",O1009)</f>
        <v>PS-26-GR1</v>
      </c>
      <c r="F1009" s="48" t="str">
        <f>CONCATENATE("Poste de Sectionnement n°",TEXT(A1009,"00")," ",O1009)</f>
        <v>Poste de Sectionnement n°26 GR1</v>
      </c>
      <c r="G1009" s="19">
        <v>35065</v>
      </c>
      <c r="H1009" s="19">
        <v>35065</v>
      </c>
      <c r="I1009" s="41" t="s">
        <v>20</v>
      </c>
      <c r="J1009" s="41">
        <v>1</v>
      </c>
      <c r="K1009" s="41" t="s">
        <v>3557</v>
      </c>
      <c r="L1009" s="41">
        <v>16</v>
      </c>
      <c r="M1009" s="41"/>
      <c r="N1009" s="41"/>
      <c r="O1009" s="41" t="s">
        <v>415</v>
      </c>
      <c r="P1009" s="41" t="s">
        <v>2529</v>
      </c>
      <c r="Q1009" s="43">
        <v>158</v>
      </c>
      <c r="R1009" s="43">
        <f>VALUE(SUBSTITUTE(P1009,"+",","))</f>
        <v>606.9</v>
      </c>
      <c r="S1009" s="41" t="s">
        <v>998</v>
      </c>
      <c r="T1009" s="48" t="str">
        <f t="shared" si="114"/>
        <v>(26,'PS-26-GR1','Poste de Sectionnement n°26 GR1','Monday-01-jj','Monday-01-jj',NULL,1,),</v>
      </c>
    </row>
    <row r="1010" spans="1:20" ht="20.100000000000001" customHeight="1" x14ac:dyDescent="0.25">
      <c r="A1010" s="38">
        <v>27</v>
      </c>
      <c r="B1010" s="38">
        <v>1015</v>
      </c>
      <c r="C1010" s="38" t="s">
        <v>664</v>
      </c>
      <c r="D1010" s="38">
        <v>21</v>
      </c>
      <c r="E1010" s="39" t="str">
        <f>CONCATENATE("PS-",TEXT(A1010,"00"),"-",O1010)</f>
        <v>PS-27-GR1</v>
      </c>
      <c r="F1010" s="48" t="str">
        <f>CONCATENATE("Poste de Sectionnement n°",TEXT(A1010,"00")," ",O1010)</f>
        <v>Poste de Sectionnement n°27 GR1</v>
      </c>
      <c r="G1010" s="19">
        <v>35065</v>
      </c>
      <c r="H1010" s="19">
        <v>35065</v>
      </c>
      <c r="I1010" s="41" t="s">
        <v>20</v>
      </c>
      <c r="J1010" s="41">
        <v>1</v>
      </c>
      <c r="K1010" s="41" t="s">
        <v>3557</v>
      </c>
      <c r="L1010" s="41">
        <v>16</v>
      </c>
      <c r="M1010" s="41"/>
      <c r="N1010" s="41"/>
      <c r="O1010" s="41" t="s">
        <v>415</v>
      </c>
      <c r="P1010" s="41" t="s">
        <v>2530</v>
      </c>
      <c r="Q1010" s="43">
        <v>150</v>
      </c>
      <c r="R1010" s="43">
        <f>VALUE(SUBSTITUTE(P1010,"+",","))</f>
        <v>625.70000000000005</v>
      </c>
      <c r="S1010" s="41" t="s">
        <v>998</v>
      </c>
      <c r="T1010" s="48" t="str">
        <f t="shared" si="114"/>
        <v>(27,'PS-27-GR1','Poste de Sectionnement n°27 GR1','Monday-01-jj','Monday-01-jj',NULL,1,),</v>
      </c>
    </row>
    <row r="1011" spans="1:20" ht="20.100000000000001" customHeight="1" x14ac:dyDescent="0.25">
      <c r="A1011" s="38">
        <v>9</v>
      </c>
      <c r="B1011" s="38">
        <v>1016</v>
      </c>
      <c r="C1011" s="38" t="s">
        <v>664</v>
      </c>
      <c r="D1011" s="38">
        <v>21</v>
      </c>
      <c r="E1011" s="45" t="str">
        <f>CONCATENATE("PPUR-",TEXT(A1011,"00"),"-",O1011)</f>
        <v>PPUR-09-GR1</v>
      </c>
      <c r="F1011" s="48" t="str">
        <f>CONCATENATE("Poste de Purge n°",TEXT(A1011,"00")," ",O1011)</f>
        <v>Poste de Purge n°09 GR1</v>
      </c>
      <c r="G1011" s="19">
        <v>35065</v>
      </c>
      <c r="H1011" s="19">
        <v>35065</v>
      </c>
      <c r="I1011" s="41" t="s">
        <v>20</v>
      </c>
      <c r="J1011" s="41">
        <v>1</v>
      </c>
      <c r="K1011" s="41" t="s">
        <v>3558</v>
      </c>
      <c r="L1011" s="41">
        <v>17</v>
      </c>
      <c r="M1011" s="41"/>
      <c r="N1011" s="41"/>
      <c r="O1011" s="41" t="s">
        <v>415</v>
      </c>
      <c r="P1011" s="41" t="s">
        <v>2639</v>
      </c>
      <c r="Q1011" s="49">
        <f>VALUE(RIGHT(P1011,LEN(P1011)-SEARCH("/",P1011)))</f>
        <v>175</v>
      </c>
      <c r="R1011" s="43">
        <f>VALUE(SUBSTITUTE(LEFT(P1011,SEARCH("/",P1011)-1),"+",","))</f>
        <v>631.98</v>
      </c>
      <c r="S1011" s="41" t="s">
        <v>998</v>
      </c>
      <c r="T1011" s="48" t="str">
        <f t="shared" si="114"/>
        <v>(9,'PPUR-09-GR1','Poste de Purge n°09 GR1','Monday-01-jj','Monday-01-jj',NULL,1,),</v>
      </c>
    </row>
    <row r="1012" spans="1:20" ht="20.100000000000001" customHeight="1" x14ac:dyDescent="0.25">
      <c r="A1012" s="38">
        <v>28</v>
      </c>
      <c r="B1012" s="38">
        <v>1017</v>
      </c>
      <c r="C1012" s="38" t="s">
        <v>664</v>
      </c>
      <c r="D1012" s="38">
        <v>21</v>
      </c>
      <c r="E1012" s="39" t="str">
        <f>CONCATENATE("PS-",TEXT(A1012,"00"),"-",O1012)</f>
        <v>PS-28-GR1</v>
      </c>
      <c r="F1012" s="48" t="str">
        <f>CONCATENATE("Poste de Sectionnement n°",TEXT(A1012,"00")," ",O1012)</f>
        <v>Poste de Sectionnement n°28 GR1</v>
      </c>
      <c r="G1012" s="19">
        <v>35065</v>
      </c>
      <c r="H1012" s="19">
        <v>35065</v>
      </c>
      <c r="I1012" s="41" t="s">
        <v>20</v>
      </c>
      <c r="J1012" s="41">
        <v>1</v>
      </c>
      <c r="K1012" s="41" t="s">
        <v>3557</v>
      </c>
      <c r="L1012" s="41">
        <v>16</v>
      </c>
      <c r="M1012" s="41"/>
      <c r="N1012" s="41"/>
      <c r="O1012" s="41" t="s">
        <v>415</v>
      </c>
      <c r="P1012" s="41" t="s">
        <v>2531</v>
      </c>
      <c r="Q1012" s="43">
        <v>148</v>
      </c>
      <c r="R1012" s="43">
        <f>VALUE(SUBSTITUTE(P1012,"+",","))</f>
        <v>640.86</v>
      </c>
      <c r="S1012" s="41" t="s">
        <v>998</v>
      </c>
      <c r="T1012" s="48" t="str">
        <f t="shared" si="114"/>
        <v>(28,'PS-28-GR1','Poste de Sectionnement n°28 GR1','Monday-01-jj','Monday-01-jj',NULL,1,),</v>
      </c>
    </row>
    <row r="1013" spans="1:20" ht="20.100000000000001" customHeight="1" x14ac:dyDescent="0.25">
      <c r="A1013" s="38">
        <v>10</v>
      </c>
      <c r="B1013" s="38">
        <v>1018</v>
      </c>
      <c r="C1013" s="38" t="s">
        <v>664</v>
      </c>
      <c r="D1013" s="38">
        <v>21</v>
      </c>
      <c r="E1013" s="45" t="str">
        <f>CONCATENATE("PPUR-",TEXT(A1013,"00"),"-",O1013)</f>
        <v>PPUR-10-GR1</v>
      </c>
      <c r="F1013" s="48" t="str">
        <f>CONCATENATE("Poste de Purge n°",TEXT(A1013,"00")," ",O1013)</f>
        <v>Poste de Purge n°10 GR1</v>
      </c>
      <c r="G1013" s="19">
        <v>35065</v>
      </c>
      <c r="H1013" s="19">
        <v>35065</v>
      </c>
      <c r="I1013" s="41" t="s">
        <v>20</v>
      </c>
      <c r="J1013" s="41">
        <v>1</v>
      </c>
      <c r="K1013" s="41" t="s">
        <v>3558</v>
      </c>
      <c r="L1013" s="41">
        <v>17</v>
      </c>
      <c r="M1013" s="41"/>
      <c r="N1013" s="41"/>
      <c r="O1013" s="41" t="s">
        <v>415</v>
      </c>
      <c r="P1013" s="41" t="s">
        <v>2640</v>
      </c>
      <c r="Q1013" s="49">
        <f>VALUE(RIGHT(P1013,LEN(P1013)-SEARCH("/",P1013)))</f>
        <v>168</v>
      </c>
      <c r="R1013" s="43">
        <f>VALUE(SUBSTITUTE(LEFT(P1013,SEARCH("/",P1013)-1),"+",","))</f>
        <v>653.70000000000005</v>
      </c>
      <c r="S1013" s="41" t="s">
        <v>998</v>
      </c>
      <c r="T1013" s="48" t="str">
        <f t="shared" si="114"/>
        <v>(10,'PPUR-10-GR1','Poste de Purge n°10 GR1','Monday-01-jj','Monday-01-jj',NULL,1,),</v>
      </c>
    </row>
    <row r="1014" spans="1:20" ht="20.100000000000001" customHeight="1" x14ac:dyDescent="0.25">
      <c r="A1014" s="38">
        <v>7</v>
      </c>
      <c r="B1014" s="38">
        <v>1019</v>
      </c>
      <c r="C1014" s="38" t="s">
        <v>664</v>
      </c>
      <c r="D1014" s="38">
        <v>21</v>
      </c>
      <c r="E1014" s="45" t="str">
        <f>CONCATENATE("PC-",TEXT(A1014,"00"),"-",O1014)</f>
        <v>PC-07-GR1</v>
      </c>
      <c r="F1014" s="48" t="str">
        <f>CONCATENATE("Poste de Coupure n°",TEXT(A1014,"00")," ",O1014)</f>
        <v>Poste de Coupure n°07 GR1</v>
      </c>
      <c r="G1014" s="19">
        <v>35065</v>
      </c>
      <c r="H1014" s="19">
        <v>35065</v>
      </c>
      <c r="I1014" s="41" t="s">
        <v>20</v>
      </c>
      <c r="J1014" s="41">
        <v>1</v>
      </c>
      <c r="K1014" s="41" t="s">
        <v>3556</v>
      </c>
      <c r="L1014" s="41">
        <v>15</v>
      </c>
      <c r="M1014" s="41"/>
      <c r="N1014" s="41"/>
      <c r="O1014" s="41" t="s">
        <v>415</v>
      </c>
      <c r="P1014" s="41" t="s">
        <v>2480</v>
      </c>
      <c r="Q1014" s="49">
        <f>VALUE(RIGHT(P1014,LEN(P1014)-SEARCH("/",P1014)))</f>
        <v>169</v>
      </c>
      <c r="R1014" s="43">
        <f>VALUE(SUBSTITUTE(LEFT(P1014,SEARCH("/",P1014)-1),"+",","))</f>
        <v>655.66</v>
      </c>
      <c r="S1014" s="41" t="s">
        <v>2492</v>
      </c>
      <c r="T1014" s="48" t="str">
        <f t="shared" si="114"/>
        <v>(7,'PC-07-GR1','Poste de Coupure n°07 GR1','Monday-01-jj','Monday-01-jj',NULL,1,),</v>
      </c>
    </row>
    <row r="1015" spans="1:20" ht="20.100000000000001" customHeight="1" x14ac:dyDescent="0.25">
      <c r="A1015" s="38">
        <v>29</v>
      </c>
      <c r="B1015" s="38">
        <v>1020</v>
      </c>
      <c r="C1015" s="38" t="s">
        <v>664</v>
      </c>
      <c r="D1015" s="38">
        <v>21</v>
      </c>
      <c r="E1015" s="39" t="str">
        <f>CONCATENATE("PS-",TEXT(A1015,"00"),"-",O1015)</f>
        <v>PS-29-GR1</v>
      </c>
      <c r="F1015" s="48" t="str">
        <f>CONCATENATE("Poste de Sectionnement n°",TEXT(A1015,"00")," ",O1015)</f>
        <v>Poste de Sectionnement n°29 GR1</v>
      </c>
      <c r="G1015" s="19">
        <v>35065</v>
      </c>
      <c r="H1015" s="19">
        <v>35065</v>
      </c>
      <c r="I1015" s="41" t="s">
        <v>20</v>
      </c>
      <c r="J1015" s="41">
        <v>1</v>
      </c>
      <c r="K1015" s="41" t="s">
        <v>3557</v>
      </c>
      <c r="L1015" s="41">
        <v>16</v>
      </c>
      <c r="M1015" s="41"/>
      <c r="N1015" s="41"/>
      <c r="O1015" s="41" t="s">
        <v>415</v>
      </c>
      <c r="P1015" s="41" t="s">
        <v>2532</v>
      </c>
      <c r="Q1015" s="43">
        <v>156</v>
      </c>
      <c r="R1015" s="43">
        <f>VALUE(SUBSTITUTE(P1015,"+",","))</f>
        <v>675.33</v>
      </c>
      <c r="S1015" s="41" t="s">
        <v>2544</v>
      </c>
      <c r="T1015" s="48" t="str">
        <f t="shared" si="114"/>
        <v>(29,'PS-29-GR1','Poste de Sectionnement n°29 GR1','Monday-01-jj','Monday-01-jj',NULL,1,),</v>
      </c>
    </row>
    <row r="1016" spans="1:20" ht="20.100000000000001" customHeight="1" x14ac:dyDescent="0.25">
      <c r="A1016" s="38">
        <v>11</v>
      </c>
      <c r="B1016" s="38">
        <v>1021</v>
      </c>
      <c r="C1016" s="38" t="s">
        <v>664</v>
      </c>
      <c r="D1016" s="38">
        <v>21</v>
      </c>
      <c r="E1016" s="45" t="str">
        <f>CONCATENATE("PPUR-",TEXT(A1016,"00"),"-",O1016)</f>
        <v>PPUR-11-GR1</v>
      </c>
      <c r="F1016" s="48" t="str">
        <f>CONCATENATE("Poste de Purge n°",TEXT(A1016,"00")," ",O1016)</f>
        <v>Poste de Purge n°11 GR1</v>
      </c>
      <c r="G1016" s="19">
        <v>35065</v>
      </c>
      <c r="H1016" s="19">
        <v>35065</v>
      </c>
      <c r="I1016" s="41" t="s">
        <v>20</v>
      </c>
      <c r="J1016" s="41">
        <v>1</v>
      </c>
      <c r="K1016" s="41" t="s">
        <v>3558</v>
      </c>
      <c r="L1016" s="41">
        <v>17</v>
      </c>
      <c r="M1016" s="41"/>
      <c r="N1016" s="41"/>
      <c r="O1016" s="41" t="s">
        <v>415</v>
      </c>
      <c r="P1016" s="41" t="s">
        <v>2641</v>
      </c>
      <c r="Q1016" s="49">
        <f>VALUE(RIGHT(P1016,LEN(P1016)-SEARCH("/",P1016)))</f>
        <v>160</v>
      </c>
      <c r="R1016" s="43">
        <f>VALUE(SUBSTITUTE(LEFT(P1016,SEARCH("/",P1016)-1),"+",","))</f>
        <v>693.73</v>
      </c>
      <c r="S1016" s="41" t="s">
        <v>2544</v>
      </c>
      <c r="T1016" s="48" t="str">
        <f t="shared" si="114"/>
        <v>(11,'PPUR-11-GR1','Poste de Purge n°11 GR1','Monday-01-jj','Monday-01-jj',NULL,1,),</v>
      </c>
    </row>
    <row r="1017" spans="1:20" ht="20.100000000000001" customHeight="1" x14ac:dyDescent="0.25">
      <c r="A1017" s="38">
        <v>30</v>
      </c>
      <c r="B1017" s="38">
        <v>1022</v>
      </c>
      <c r="C1017" s="38" t="s">
        <v>664</v>
      </c>
      <c r="D1017" s="38">
        <v>21</v>
      </c>
      <c r="E1017" s="39" t="str">
        <f>CONCATENATE("PS-",TEXT(A1017,"00"),"-",O1017)</f>
        <v>PS-30-GR1</v>
      </c>
      <c r="F1017" s="48" t="str">
        <f>CONCATENATE("Poste de Sectionnement n°",TEXT(A1017,"00")," ",O1017)</f>
        <v>Poste de Sectionnement n°30 GR1</v>
      </c>
      <c r="G1017" s="19">
        <v>35065</v>
      </c>
      <c r="H1017" s="19">
        <v>35065</v>
      </c>
      <c r="I1017" s="41" t="s">
        <v>20</v>
      </c>
      <c r="J1017" s="41">
        <v>1</v>
      </c>
      <c r="K1017" s="41" t="s">
        <v>3557</v>
      </c>
      <c r="L1017" s="41">
        <v>16</v>
      </c>
      <c r="M1017" s="41"/>
      <c r="N1017" s="41"/>
      <c r="O1017" s="41" t="s">
        <v>415</v>
      </c>
      <c r="P1017" s="41" t="s">
        <v>2533</v>
      </c>
      <c r="Q1017" s="43">
        <v>174</v>
      </c>
      <c r="R1017" s="43">
        <f>VALUE(SUBSTITUTE(P1017,"+",","))</f>
        <v>695.33</v>
      </c>
      <c r="S1017" s="41" t="s">
        <v>2544</v>
      </c>
      <c r="T1017" s="48" t="str">
        <f t="shared" si="114"/>
        <v>(30,'PS-30-GR1','Poste de Sectionnement n°30 GR1','Monday-01-jj','Monday-01-jj',NULL,1,),</v>
      </c>
    </row>
    <row r="1018" spans="1:20" ht="20.100000000000001" customHeight="1" x14ac:dyDescent="0.25">
      <c r="A1018" s="38">
        <v>31</v>
      </c>
      <c r="B1018" s="38">
        <v>1023</v>
      </c>
      <c r="C1018" s="38" t="s">
        <v>664</v>
      </c>
      <c r="D1018" s="38">
        <v>21</v>
      </c>
      <c r="E1018" s="39" t="str">
        <f>CONCATENATE("PS-",TEXT(A1018,"00"),"-",O1018)</f>
        <v>PS-31-GR1</v>
      </c>
      <c r="F1018" s="48" t="str">
        <f>CONCATENATE("Poste de Sectionnement n°",TEXT(A1018,"00")," ",O1018)</f>
        <v>Poste de Sectionnement n°31 GR1</v>
      </c>
      <c r="G1018" s="19">
        <v>35065</v>
      </c>
      <c r="H1018" s="19">
        <v>35065</v>
      </c>
      <c r="I1018" s="41" t="s">
        <v>20</v>
      </c>
      <c r="J1018" s="41">
        <v>1</v>
      </c>
      <c r="K1018" s="41" t="s">
        <v>3557</v>
      </c>
      <c r="L1018" s="41">
        <v>16</v>
      </c>
      <c r="M1018" s="41"/>
      <c r="N1018" s="41"/>
      <c r="O1018" s="41" t="s">
        <v>415</v>
      </c>
      <c r="P1018" s="41" t="s">
        <v>2534</v>
      </c>
      <c r="Q1018" s="43">
        <v>149</v>
      </c>
      <c r="R1018" s="43">
        <f>VALUE(SUBSTITUTE(P1018,"+",","))</f>
        <v>714.83</v>
      </c>
      <c r="S1018" s="41" t="s">
        <v>2544</v>
      </c>
      <c r="T1018" s="48" t="str">
        <f t="shared" si="114"/>
        <v>(31,'PS-31-GR1','Poste de Sectionnement n°31 GR1','Monday-01-jj','Monday-01-jj',NULL,1,),</v>
      </c>
    </row>
    <row r="1019" spans="1:20" ht="20.100000000000001" customHeight="1" x14ac:dyDescent="0.25">
      <c r="A1019" s="38">
        <v>32</v>
      </c>
      <c r="B1019" s="38">
        <v>1024</v>
      </c>
      <c r="C1019" s="38" t="s">
        <v>664</v>
      </c>
      <c r="D1019" s="38">
        <v>21</v>
      </c>
      <c r="E1019" s="39" t="str">
        <f>CONCATENATE("PS-",TEXT(A1019,"00"),"-",O1019)</f>
        <v>PS-32-GR1</v>
      </c>
      <c r="F1019" s="48" t="str">
        <f>CONCATENATE("Poste de Sectionnement n°",TEXT(A1019,"00")," ",O1019)</f>
        <v>Poste de Sectionnement n°32 GR1</v>
      </c>
      <c r="G1019" s="19">
        <v>35065</v>
      </c>
      <c r="H1019" s="19">
        <v>35065</v>
      </c>
      <c r="I1019" s="41" t="s">
        <v>20</v>
      </c>
      <c r="J1019" s="41">
        <v>1</v>
      </c>
      <c r="K1019" s="41" t="s">
        <v>3557</v>
      </c>
      <c r="L1019" s="41">
        <v>16</v>
      </c>
      <c r="M1019" s="41"/>
      <c r="N1019" s="41"/>
      <c r="O1019" s="41" t="s">
        <v>415</v>
      </c>
      <c r="P1019" s="41" t="s">
        <v>2535</v>
      </c>
      <c r="Q1019" s="43">
        <v>135</v>
      </c>
      <c r="R1019" s="43">
        <f>VALUE(SUBSTITUTE(P1019,"+",","))</f>
        <v>733.14</v>
      </c>
      <c r="S1019" s="41" t="s">
        <v>2545</v>
      </c>
      <c r="T1019" s="48" t="str">
        <f t="shared" si="114"/>
        <v>(32,'PS-32-GR1','Poste de Sectionnement n°32 GR1','Monday-01-jj','Monday-01-jj',NULL,1,),</v>
      </c>
    </row>
    <row r="1020" spans="1:20" ht="20.100000000000001" customHeight="1" x14ac:dyDescent="0.25">
      <c r="A1020" s="38">
        <v>12</v>
      </c>
      <c r="B1020" s="38">
        <v>1025</v>
      </c>
      <c r="C1020" s="38" t="s">
        <v>664</v>
      </c>
      <c r="D1020" s="38">
        <v>21</v>
      </c>
      <c r="E1020" s="45" t="str">
        <f>CONCATENATE("PPUR-",TEXT(A1020,"00"),"-",O1020)</f>
        <v>PPUR-12-GR1</v>
      </c>
      <c r="F1020" s="48" t="str">
        <f>CONCATENATE("Poste de Purge n°",TEXT(A1020,"00")," ",O1020)</f>
        <v>Poste de Purge n°12 GR1</v>
      </c>
      <c r="G1020" s="19">
        <v>35065</v>
      </c>
      <c r="H1020" s="19">
        <v>35065</v>
      </c>
      <c r="I1020" s="41" t="s">
        <v>20</v>
      </c>
      <c r="J1020" s="41">
        <v>1</v>
      </c>
      <c r="K1020" s="41" t="s">
        <v>3558</v>
      </c>
      <c r="L1020" s="41">
        <v>17</v>
      </c>
      <c r="M1020" s="41"/>
      <c r="N1020" s="41"/>
      <c r="O1020" s="41" t="s">
        <v>415</v>
      </c>
      <c r="P1020" s="41" t="s">
        <v>2642</v>
      </c>
      <c r="Q1020" s="49">
        <f>VALUE(RIGHT(P1020,LEN(P1020)-SEARCH("/",P1020)))</f>
        <v>220</v>
      </c>
      <c r="R1020" s="43">
        <f>VALUE(SUBSTITUTE(LEFT(P1020,SEARCH("/",P1020)-1),"+",","))</f>
        <v>741.66</v>
      </c>
      <c r="S1020" s="41" t="s">
        <v>2545</v>
      </c>
      <c r="T1020" s="48" t="str">
        <f t="shared" si="114"/>
        <v>(12,'PPUR-12-GR1','Poste de Purge n°12 GR1','Monday-01-jj','Monday-01-jj',NULL,1,),</v>
      </c>
    </row>
    <row r="1021" spans="1:20" ht="20.100000000000001" customHeight="1" x14ac:dyDescent="0.25">
      <c r="A1021" s="38">
        <v>33</v>
      </c>
      <c r="B1021" s="38">
        <v>1026</v>
      </c>
      <c r="C1021" s="38" t="s">
        <v>664</v>
      </c>
      <c r="D1021" s="38">
        <v>21</v>
      </c>
      <c r="E1021" s="39" t="str">
        <f>CONCATENATE("PS-",TEXT(A1021,"00"),"-",O1021)</f>
        <v>PS-33-GR1</v>
      </c>
      <c r="F1021" s="48" t="str">
        <f>CONCATENATE("Poste de Sectionnement n°",TEXT(A1021,"00")," ",O1021)</f>
        <v>Poste de Sectionnement n°33 GR1</v>
      </c>
      <c r="G1021" s="19">
        <v>35065</v>
      </c>
      <c r="H1021" s="19">
        <v>35065</v>
      </c>
      <c r="I1021" s="41" t="s">
        <v>20</v>
      </c>
      <c r="J1021" s="41">
        <v>1</v>
      </c>
      <c r="K1021" s="41" t="s">
        <v>3557</v>
      </c>
      <c r="L1021" s="41">
        <v>16</v>
      </c>
      <c r="M1021" s="41"/>
      <c r="N1021" s="41"/>
      <c r="O1021" s="41" t="s">
        <v>415</v>
      </c>
      <c r="P1021" s="41" t="s">
        <v>2536</v>
      </c>
      <c r="Q1021" s="43">
        <v>189</v>
      </c>
      <c r="R1021" s="43">
        <f>VALUE(SUBSTITUTE(P1021,"+",","))</f>
        <v>749.46</v>
      </c>
      <c r="S1021" s="41" t="s">
        <v>744</v>
      </c>
      <c r="T1021" s="48" t="str">
        <f t="shared" si="114"/>
        <v>(33,'PS-33-GR1','Poste de Sectionnement n°33 GR1','Monday-01-jj','Monday-01-jj',NULL,1,),</v>
      </c>
    </row>
    <row r="1022" spans="1:20" ht="20.100000000000001" customHeight="1" x14ac:dyDescent="0.25">
      <c r="A1022" s="38">
        <v>8</v>
      </c>
      <c r="B1022" s="38">
        <v>1027</v>
      </c>
      <c r="C1022" s="38" t="s">
        <v>664</v>
      </c>
      <c r="D1022" s="38">
        <v>21</v>
      </c>
      <c r="E1022" s="45" t="str">
        <f>CONCATENATE("PC-",TEXT(A1022,"00"),"-",O1022)</f>
        <v>PC-08-GR1</v>
      </c>
      <c r="F1022" s="48" t="str">
        <f>CONCATENATE("Poste de Coupure n°",TEXT(A1022,"00")," ",O1022)</f>
        <v>Poste de Coupure n°08 GR1</v>
      </c>
      <c r="G1022" s="19">
        <v>35065</v>
      </c>
      <c r="H1022" s="19">
        <v>35065</v>
      </c>
      <c r="I1022" s="41" t="s">
        <v>20</v>
      </c>
      <c r="J1022" s="41">
        <v>1</v>
      </c>
      <c r="K1022" s="41" t="s">
        <v>3556</v>
      </c>
      <c r="L1022" s="41">
        <v>15</v>
      </c>
      <c r="M1022" s="41"/>
      <c r="N1022" s="41"/>
      <c r="O1022" s="41" t="s">
        <v>415</v>
      </c>
      <c r="P1022" s="41" t="s">
        <v>2481</v>
      </c>
      <c r="Q1022" s="49">
        <f>VALUE(RIGHT(P1022,LEN(P1022)-SEARCH("/",P1022)))</f>
        <v>226</v>
      </c>
      <c r="R1022" s="43">
        <f>VALUE(SUBSTITUTE(LEFT(P1022,SEARCH("/",P1022)-1),"+",","))</f>
        <v>766.61099999999999</v>
      </c>
      <c r="S1022" s="41" t="s">
        <v>2491</v>
      </c>
      <c r="T1022" s="48" t="str">
        <f t="shared" si="114"/>
        <v>(8,'PC-08-GR1','Poste de Coupure n°08 GR1','Monday-01-jj','Monday-01-jj',NULL,1,),</v>
      </c>
    </row>
    <row r="1023" spans="1:20" ht="20.100000000000001" customHeight="1" x14ac:dyDescent="0.25">
      <c r="A1023" s="38">
        <v>34</v>
      </c>
      <c r="B1023" s="38">
        <v>1028</v>
      </c>
      <c r="C1023" s="38" t="s">
        <v>664</v>
      </c>
      <c r="D1023" s="38">
        <v>21</v>
      </c>
      <c r="E1023" s="39" t="str">
        <f>CONCATENATE("PS-",TEXT(A1023,"00"),"-",O1023)</f>
        <v>PS-34-GR1</v>
      </c>
      <c r="F1023" s="48" t="str">
        <f>CONCATENATE("Poste de Sectionnement n°",TEXT(A1023,"00")," ",O1023)</f>
        <v>Poste de Sectionnement n°34 GR1</v>
      </c>
      <c r="G1023" s="19">
        <v>35065</v>
      </c>
      <c r="H1023" s="19">
        <v>35065</v>
      </c>
      <c r="I1023" s="41" t="s">
        <v>20</v>
      </c>
      <c r="J1023" s="41">
        <v>1</v>
      </c>
      <c r="K1023" s="41" t="s">
        <v>3557</v>
      </c>
      <c r="L1023" s="41">
        <v>16</v>
      </c>
      <c r="M1023" s="41"/>
      <c r="N1023" s="41"/>
      <c r="O1023" s="41" t="s">
        <v>415</v>
      </c>
      <c r="P1023" s="41" t="s">
        <v>2537</v>
      </c>
      <c r="Q1023" s="43">
        <v>246</v>
      </c>
      <c r="R1023" s="43">
        <f>VALUE(SUBSTITUTE(P1023,"+",","))</f>
        <v>789.91</v>
      </c>
      <c r="S1023" s="41" t="s">
        <v>744</v>
      </c>
      <c r="T1023" s="48" t="str">
        <f t="shared" si="114"/>
        <v>(34,'PS-34-GR1','Poste de Sectionnement n°34 GR1','Monday-01-jj','Monday-01-jj',NULL,1,),</v>
      </c>
    </row>
    <row r="1024" spans="1:20" ht="20.100000000000001" customHeight="1" x14ac:dyDescent="0.25">
      <c r="A1024" s="38">
        <v>13</v>
      </c>
      <c r="B1024" s="38">
        <v>1029</v>
      </c>
      <c r="C1024" s="38" t="s">
        <v>664</v>
      </c>
      <c r="D1024" s="38">
        <v>21</v>
      </c>
      <c r="E1024" s="45" t="str">
        <f>CONCATENATE("PPUR-",TEXT(A1024,"00"),"-",O1024)</f>
        <v>PPUR-13-GR1</v>
      </c>
      <c r="F1024" s="48" t="str">
        <f>CONCATENATE("Poste de Purge n°",TEXT(A1024,"00")," ",O1024)</f>
        <v>Poste de Purge n°13 GR1</v>
      </c>
      <c r="G1024" s="19">
        <v>35065</v>
      </c>
      <c r="H1024" s="19">
        <v>35065</v>
      </c>
      <c r="I1024" s="41" t="s">
        <v>20</v>
      </c>
      <c r="J1024" s="41">
        <v>1</v>
      </c>
      <c r="K1024" s="41" t="s">
        <v>3558</v>
      </c>
      <c r="L1024" s="41">
        <v>17</v>
      </c>
      <c r="M1024" s="41"/>
      <c r="N1024" s="41"/>
      <c r="O1024" s="41" t="s">
        <v>415</v>
      </c>
      <c r="P1024" s="41" t="s">
        <v>2643</v>
      </c>
      <c r="Q1024" s="49">
        <f>VALUE(RIGHT(P1024,LEN(P1024)-SEARCH("/",P1024)))</f>
        <v>150</v>
      </c>
      <c r="R1024" s="43">
        <f>VALUE(SUBSTITUTE(LEFT(P1024,SEARCH("/",P1024)-1),"+",","))</f>
        <v>800.4</v>
      </c>
      <c r="S1024" s="41" t="s">
        <v>744</v>
      </c>
      <c r="T1024" s="48" t="str">
        <f t="shared" si="114"/>
        <v>(13,'PPUR-13-GR1','Poste de Purge n°13 GR1','Monday-01-jj','Monday-01-jj',NULL,1,),</v>
      </c>
    </row>
    <row r="1025" spans="1:20" ht="20.100000000000001" customHeight="1" x14ac:dyDescent="0.25">
      <c r="A1025" s="38">
        <v>35</v>
      </c>
      <c r="B1025" s="38">
        <v>1030</v>
      </c>
      <c r="C1025" s="38" t="s">
        <v>664</v>
      </c>
      <c r="D1025" s="38">
        <v>21</v>
      </c>
      <c r="E1025" s="39" t="str">
        <f>CONCATENATE("PS-",TEXT(A1025,"00"),"-",O1025)</f>
        <v>PS-35-GR1</v>
      </c>
      <c r="F1025" s="48" t="str">
        <f>CONCATENATE("Poste de Sectionnement n°",TEXT(A1025,"00")," ",O1025)</f>
        <v>Poste de Sectionnement n°35 GR1</v>
      </c>
      <c r="G1025" s="19">
        <v>35065</v>
      </c>
      <c r="H1025" s="19">
        <v>35065</v>
      </c>
      <c r="I1025" s="41" t="s">
        <v>20</v>
      </c>
      <c r="J1025" s="41">
        <v>1</v>
      </c>
      <c r="K1025" s="41" t="s">
        <v>3557</v>
      </c>
      <c r="L1025" s="41">
        <v>16</v>
      </c>
      <c r="M1025" s="41"/>
      <c r="N1025" s="41"/>
      <c r="O1025" s="41" t="s">
        <v>415</v>
      </c>
      <c r="P1025" s="41" t="s">
        <v>2538</v>
      </c>
      <c r="Q1025" s="43">
        <v>276</v>
      </c>
      <c r="R1025" s="43">
        <f>VALUE(SUBSTITUTE(P1025,"+",","))</f>
        <v>810.4</v>
      </c>
      <c r="S1025" s="41" t="s">
        <v>744</v>
      </c>
      <c r="T1025" s="48" t="str">
        <f t="shared" si="114"/>
        <v>(35,'PS-35-GR1','Poste de Sectionnement n°35 GR1','Monday-01-jj','Monday-01-jj',NULL,1,),</v>
      </c>
    </row>
    <row r="1026" spans="1:20" ht="20.100000000000001" customHeight="1" x14ac:dyDescent="0.25">
      <c r="A1026" s="38">
        <v>36</v>
      </c>
      <c r="B1026" s="38">
        <v>1031</v>
      </c>
      <c r="C1026" s="38" t="s">
        <v>664</v>
      </c>
      <c r="D1026" s="38">
        <v>21</v>
      </c>
      <c r="E1026" s="39" t="str">
        <f>CONCATENATE("PS-",TEXT(A1026,"00"),"-",O1026)</f>
        <v>PS-36-GR1</v>
      </c>
      <c r="F1026" s="48" t="str">
        <f>CONCATENATE("Poste de Sectionnement n°",TEXT(A1026,"00")," ",O1026)</f>
        <v>Poste de Sectionnement n°36 GR1</v>
      </c>
      <c r="G1026" s="19">
        <v>35065</v>
      </c>
      <c r="H1026" s="19">
        <v>35065</v>
      </c>
      <c r="I1026" s="41" t="s">
        <v>20</v>
      </c>
      <c r="J1026" s="41">
        <v>1</v>
      </c>
      <c r="K1026" s="41" t="s">
        <v>3557</v>
      </c>
      <c r="L1026" s="41">
        <v>16</v>
      </c>
      <c r="M1026" s="41"/>
      <c r="N1026" s="41"/>
      <c r="O1026" s="41" t="s">
        <v>415</v>
      </c>
      <c r="P1026" s="41" t="s">
        <v>2539</v>
      </c>
      <c r="Q1026" s="43">
        <v>316</v>
      </c>
      <c r="R1026" s="43">
        <f>VALUE(SUBSTITUTE(P1026,"+",","))</f>
        <v>830</v>
      </c>
      <c r="S1026" s="41" t="s">
        <v>745</v>
      </c>
      <c r="T1026" s="48" t="str">
        <f t="shared" si="114"/>
        <v>(36,'PS-36-GR1','Poste de Sectionnement n°36 GR1','Monday-01-jj','Monday-01-jj',NULL,1,),</v>
      </c>
    </row>
    <row r="1027" spans="1:20" ht="20.100000000000001" customHeight="1" x14ac:dyDescent="0.25">
      <c r="A1027" s="38">
        <v>37</v>
      </c>
      <c r="B1027" s="38">
        <v>1032</v>
      </c>
      <c r="C1027" s="38" t="s">
        <v>664</v>
      </c>
      <c r="D1027" s="38">
        <v>21</v>
      </c>
      <c r="E1027" s="39" t="str">
        <f>CONCATENATE("PS-",TEXT(A1027,"00"),"-",O1027)</f>
        <v>PS-37-GR1</v>
      </c>
      <c r="F1027" s="48" t="str">
        <f>CONCATENATE("Poste de Sectionnement n°",TEXT(A1027,"00")," ",O1027)</f>
        <v>Poste de Sectionnement n°37 GR1</v>
      </c>
      <c r="G1027" s="19">
        <v>35065</v>
      </c>
      <c r="H1027" s="19">
        <v>35065</v>
      </c>
      <c r="I1027" s="41" t="s">
        <v>20</v>
      </c>
      <c r="J1027" s="41">
        <v>1</v>
      </c>
      <c r="K1027" s="41" t="s">
        <v>3557</v>
      </c>
      <c r="L1027" s="41">
        <v>16</v>
      </c>
      <c r="M1027" s="41"/>
      <c r="N1027" s="41"/>
      <c r="O1027" s="41" t="s">
        <v>415</v>
      </c>
      <c r="P1027" s="41" t="s">
        <v>2540</v>
      </c>
      <c r="Q1027" s="43">
        <v>346</v>
      </c>
      <c r="R1027" s="43">
        <f>VALUE(SUBSTITUTE(P1027,"+",","))</f>
        <v>850.76</v>
      </c>
      <c r="S1027" s="41" t="s">
        <v>745</v>
      </c>
      <c r="T1027" s="48" t="str">
        <f t="shared" si="114"/>
        <v>(37,'PS-37-GR1','Poste de Sectionnement n°37 GR1','Monday-01-jj','Monday-01-jj',NULL,1,),</v>
      </c>
    </row>
    <row r="1028" spans="1:20" ht="20.100000000000001" customHeight="1" x14ac:dyDescent="0.25">
      <c r="A1028" s="38">
        <v>14</v>
      </c>
      <c r="B1028" s="38">
        <v>1033</v>
      </c>
      <c r="C1028" s="38" t="s">
        <v>664</v>
      </c>
      <c r="D1028" s="38">
        <v>21</v>
      </c>
      <c r="E1028" s="45" t="str">
        <f>CONCATENATE("PPUR-",TEXT(A1028,"00"),"-",O1028)</f>
        <v>PPUR-14-GR1</v>
      </c>
      <c r="F1028" s="48" t="str">
        <f>CONCATENATE("Poste de Purge n°",TEXT(A1028,"00")," ",O1028)</f>
        <v>Poste de Purge n°14 GR1</v>
      </c>
      <c r="G1028" s="19">
        <v>35065</v>
      </c>
      <c r="H1028" s="19">
        <v>35065</v>
      </c>
      <c r="I1028" s="41" t="s">
        <v>20</v>
      </c>
      <c r="J1028" s="41">
        <v>1</v>
      </c>
      <c r="K1028" s="41" t="s">
        <v>3558</v>
      </c>
      <c r="L1028" s="41">
        <v>17</v>
      </c>
      <c r="M1028" s="41"/>
      <c r="N1028" s="41"/>
      <c r="O1028" s="41" t="s">
        <v>415</v>
      </c>
      <c r="P1028" s="41" t="s">
        <v>2644</v>
      </c>
      <c r="Q1028" s="49">
        <f>VALUE(RIGHT(P1028,LEN(P1028)-SEARCH("/",P1028)))</f>
        <v>455</v>
      </c>
      <c r="R1028" s="43">
        <f>VALUE(SUBSTITUTE(LEFT(P1028,SEARCH("/",P1028)-1),"+",","))</f>
        <v>862</v>
      </c>
      <c r="S1028" s="41" t="s">
        <v>745</v>
      </c>
      <c r="T1028" s="48" t="str">
        <f t="shared" si="114"/>
        <v>(14,'PPUR-14-GR1','Poste de Purge n°14 GR1','Monday-01-jj','Monday-01-jj',NULL,1,),</v>
      </c>
    </row>
    <row r="1029" spans="1:20" ht="20.100000000000001" customHeight="1" x14ac:dyDescent="0.25">
      <c r="A1029" s="38">
        <v>9</v>
      </c>
      <c r="B1029" s="38">
        <v>1034</v>
      </c>
      <c r="C1029" s="38" t="s">
        <v>664</v>
      </c>
      <c r="D1029" s="38">
        <v>21</v>
      </c>
      <c r="E1029" s="45" t="str">
        <f>CONCATENATE("PC-",TEXT(A1029,"00"),"-",O1029)</f>
        <v>PC-09-GR1</v>
      </c>
      <c r="F1029" s="48" t="str">
        <f>CONCATENATE("Poste de Coupure n°",TEXT(A1029,"00")," ",O1029)</f>
        <v>Poste de Coupure n°09 GR1</v>
      </c>
      <c r="G1029" s="19">
        <v>35065</v>
      </c>
      <c r="H1029" s="19">
        <v>35065</v>
      </c>
      <c r="I1029" s="41" t="s">
        <v>20</v>
      </c>
      <c r="J1029" s="41">
        <v>1</v>
      </c>
      <c r="K1029" s="41" t="s">
        <v>3556</v>
      </c>
      <c r="L1029" s="41">
        <v>15</v>
      </c>
      <c r="M1029" s="41"/>
      <c r="N1029" s="41"/>
      <c r="O1029" s="41" t="s">
        <v>415</v>
      </c>
      <c r="P1029" s="41" t="s">
        <v>2482</v>
      </c>
      <c r="Q1029" s="49">
        <f>VALUE(RIGHT(P1029,LEN(P1029)-SEARCH("/",P1029)))</f>
        <v>400</v>
      </c>
      <c r="R1029" s="43">
        <f>VALUE(SUBSTITUTE(LEFT(P1029,SEARCH("/",P1029)-1),"+",","))</f>
        <v>867.89</v>
      </c>
      <c r="S1029" s="41" t="s">
        <v>745</v>
      </c>
      <c r="T1029" s="48" t="str">
        <f t="shared" si="114"/>
        <v>(9,'PC-09-GR1','Poste de Coupure n°09 GR1','Monday-01-jj','Monday-01-jj',NULL,1,),</v>
      </c>
    </row>
    <row r="1030" spans="1:20" ht="20.100000000000001" customHeight="1" x14ac:dyDescent="0.25">
      <c r="A1030" s="38">
        <v>38</v>
      </c>
      <c r="B1030" s="38">
        <v>1035</v>
      </c>
      <c r="C1030" s="38" t="s">
        <v>664</v>
      </c>
      <c r="D1030" s="38">
        <v>21</v>
      </c>
      <c r="E1030" s="39" t="str">
        <f>CONCATENATE("PS-",TEXT(A1030,"00"),"-",O1030)</f>
        <v>PS-38-GR1</v>
      </c>
      <c r="F1030" s="48" t="str">
        <f>CONCATENATE("Poste de Sectionnement n°",TEXT(A1030,"00")," ",O1030)</f>
        <v>Poste de Sectionnement n°38 GR1</v>
      </c>
      <c r="G1030" s="19">
        <v>35065</v>
      </c>
      <c r="H1030" s="19">
        <v>35065</v>
      </c>
      <c r="I1030" s="41" t="s">
        <v>20</v>
      </c>
      <c r="J1030" s="41">
        <v>1</v>
      </c>
      <c r="K1030" s="41" t="s">
        <v>3557</v>
      </c>
      <c r="L1030" s="41">
        <v>16</v>
      </c>
      <c r="M1030" s="41"/>
      <c r="N1030" s="41"/>
      <c r="O1030" s="41" t="s">
        <v>415</v>
      </c>
      <c r="P1030" s="41" t="s">
        <v>1637</v>
      </c>
      <c r="Q1030" s="43">
        <v>478</v>
      </c>
      <c r="R1030" s="43">
        <f>VALUE(SUBSTITUTE(P1030,"+",","))</f>
        <v>890.99</v>
      </c>
      <c r="S1030" s="41" t="s">
        <v>1827</v>
      </c>
      <c r="T1030" s="48" t="str">
        <f t="shared" si="114"/>
        <v>(38,'PS-38-GR1','Poste de Sectionnement n°38 GR1','Monday-01-jj','Monday-01-jj',NULL,1,),</v>
      </c>
    </row>
    <row r="1031" spans="1:20" ht="20.100000000000001" customHeight="1" x14ac:dyDescent="0.25">
      <c r="A1031" s="38">
        <v>39</v>
      </c>
      <c r="B1031" s="38">
        <v>1036</v>
      </c>
      <c r="C1031" s="38" t="s">
        <v>664</v>
      </c>
      <c r="D1031" s="38">
        <v>21</v>
      </c>
      <c r="E1031" s="39" t="str">
        <f>CONCATENATE("PS-",TEXT(A1031,"00"),"-",O1031)</f>
        <v>PS-39-GR1</v>
      </c>
      <c r="F1031" s="48" t="str">
        <f>CONCATENATE("Poste de Sectionnement n°",TEXT(A1031,"00")," ",O1031)</f>
        <v>Poste de Sectionnement n°39 GR1</v>
      </c>
      <c r="G1031" s="19">
        <v>35065</v>
      </c>
      <c r="H1031" s="19">
        <v>35065</v>
      </c>
      <c r="I1031" s="41" t="s">
        <v>20</v>
      </c>
      <c r="J1031" s="41">
        <v>1</v>
      </c>
      <c r="K1031" s="41" t="s">
        <v>3557</v>
      </c>
      <c r="L1031" s="41">
        <v>16</v>
      </c>
      <c r="M1031" s="41"/>
      <c r="N1031" s="41"/>
      <c r="O1031" s="41" t="s">
        <v>415</v>
      </c>
      <c r="P1031" s="41" t="s">
        <v>2541</v>
      </c>
      <c r="Q1031" s="43">
        <v>582</v>
      </c>
      <c r="R1031" s="43">
        <f>VALUE(SUBSTITUTE(P1031,"+",","))</f>
        <v>910.93</v>
      </c>
      <c r="S1031" s="41" t="s">
        <v>1828</v>
      </c>
      <c r="T1031" s="48" t="str">
        <f t="shared" si="114"/>
        <v>(39,'PS-39-GR1','Poste de Sectionnement n°39 GR1','Monday-01-jj','Monday-01-jj',NULL,1,),</v>
      </c>
    </row>
    <row r="1032" spans="1:20" ht="20.100000000000001" customHeight="1" x14ac:dyDescent="0.25">
      <c r="A1032" s="38">
        <v>15</v>
      </c>
      <c r="B1032" s="38">
        <v>1037</v>
      </c>
      <c r="C1032" s="38" t="s">
        <v>664</v>
      </c>
      <c r="D1032" s="38">
        <v>21</v>
      </c>
      <c r="E1032" s="45" t="str">
        <f>CONCATENATE("PPUR-",TEXT(A1032,"00"),"-",O1032)</f>
        <v>PPUR-15-GR1</v>
      </c>
      <c r="F1032" s="48" t="str">
        <f>CONCATENATE("Poste de Purge n°",TEXT(A1032,"00")," ",O1032)</f>
        <v>Poste de Purge n°15 GR1</v>
      </c>
      <c r="G1032" s="19">
        <v>35065</v>
      </c>
      <c r="H1032" s="19">
        <v>35065</v>
      </c>
      <c r="I1032" s="41" t="s">
        <v>20</v>
      </c>
      <c r="J1032" s="41">
        <v>1</v>
      </c>
      <c r="K1032" s="41" t="s">
        <v>3558</v>
      </c>
      <c r="L1032" s="41">
        <v>17</v>
      </c>
      <c r="M1032" s="41"/>
      <c r="N1032" s="41"/>
      <c r="O1032" s="41" t="s">
        <v>415</v>
      </c>
      <c r="P1032" s="41" t="s">
        <v>2645</v>
      </c>
      <c r="Q1032" s="49">
        <f>VALUE(RIGHT(P1032,LEN(P1032)-SEARCH("/",P1032)))</f>
        <v>685</v>
      </c>
      <c r="R1032" s="43">
        <f>VALUE(SUBSTITUTE(LEFT(P1032,SEARCH("/",P1032)-1),"+",","))</f>
        <v>922</v>
      </c>
      <c r="S1032" s="41" t="s">
        <v>2546</v>
      </c>
      <c r="T1032" s="48" t="str">
        <f t="shared" si="114"/>
        <v>(15,'PPUR-15-GR1','Poste de Purge n°15 GR1','Monday-01-jj','Monday-01-jj',NULL,1,),</v>
      </c>
    </row>
    <row r="1033" spans="1:20" ht="20.100000000000001" customHeight="1" x14ac:dyDescent="0.25">
      <c r="A1033" s="38">
        <v>40</v>
      </c>
      <c r="B1033" s="38">
        <v>1038</v>
      </c>
      <c r="C1033" s="38" t="s">
        <v>664</v>
      </c>
      <c r="D1033" s="38">
        <v>21</v>
      </c>
      <c r="E1033" s="39" t="str">
        <f>CONCATENATE("PS-",TEXT(A1033,"00"),"-",O1033)</f>
        <v>PS-40-GR1</v>
      </c>
      <c r="F1033" s="48" t="str">
        <f>CONCATENATE("Poste de Sectionnement n°",TEXT(A1033,"00")," ",O1033)</f>
        <v>Poste de Sectionnement n°40 GR1</v>
      </c>
      <c r="G1033" s="19">
        <v>35065</v>
      </c>
      <c r="H1033" s="19">
        <v>35065</v>
      </c>
      <c r="I1033" s="41" t="s">
        <v>20</v>
      </c>
      <c r="J1033" s="41">
        <v>1</v>
      </c>
      <c r="K1033" s="41" t="s">
        <v>3557</v>
      </c>
      <c r="L1033" s="41">
        <v>16</v>
      </c>
      <c r="M1033" s="41"/>
      <c r="N1033" s="41"/>
      <c r="O1033" s="41" t="s">
        <v>415</v>
      </c>
      <c r="P1033" s="41" t="s">
        <v>2542</v>
      </c>
      <c r="Q1033" s="43">
        <v>626</v>
      </c>
      <c r="R1033" s="43">
        <f>VALUE(SUBSTITUTE(P1033,"+",","))</f>
        <v>928.86</v>
      </c>
      <c r="S1033" s="41" t="s">
        <v>2546</v>
      </c>
      <c r="T1033" s="48" t="str">
        <f t="shared" si="114"/>
        <v>(40,'PS-40-GR1','Poste de Sectionnement n°40 GR1','Monday-01-jj','Monday-01-jj',NULL,1,),</v>
      </c>
    </row>
    <row r="1034" spans="1:20" ht="20.100000000000001" customHeight="1" x14ac:dyDescent="0.25">
      <c r="A1034" s="38">
        <v>41</v>
      </c>
      <c r="B1034" s="38">
        <v>1039</v>
      </c>
      <c r="C1034" s="38" t="s">
        <v>664</v>
      </c>
      <c r="D1034" s="38">
        <v>21</v>
      </c>
      <c r="E1034" s="39" t="str">
        <f>CONCATENATE("PS-",TEXT(A1034,"00"),"-",O1034)</f>
        <v>PS-41-GR1</v>
      </c>
      <c r="F1034" s="48" t="str">
        <f>CONCATENATE("Poste de Sectionnement n°",TEXT(A1034,"00")," ",O1034)</f>
        <v>Poste de Sectionnement n°41 GR1</v>
      </c>
      <c r="G1034" s="19">
        <v>35065</v>
      </c>
      <c r="H1034" s="19">
        <v>35065</v>
      </c>
      <c r="I1034" s="41" t="s">
        <v>20</v>
      </c>
      <c r="J1034" s="41">
        <v>1</v>
      </c>
      <c r="K1034" s="41" t="s">
        <v>3557</v>
      </c>
      <c r="L1034" s="41">
        <v>16</v>
      </c>
      <c r="M1034" s="41"/>
      <c r="N1034" s="41"/>
      <c r="O1034" s="41" t="s">
        <v>415</v>
      </c>
      <c r="P1034" s="41" t="s">
        <v>2543</v>
      </c>
      <c r="Q1034" s="43">
        <v>713</v>
      </c>
      <c r="R1034" s="43">
        <f>VALUE(SUBSTITUTE(P1034,"+",","))</f>
        <v>946.61</v>
      </c>
      <c r="S1034" s="41" t="s">
        <v>790</v>
      </c>
      <c r="T1034" s="48" t="str">
        <f t="shared" si="114"/>
        <v>(41,'PS-41-GR1','Poste de Sectionnement n°41 GR1','Monday-01-jj','Monday-01-jj',NULL,1,),</v>
      </c>
    </row>
    <row r="1035" spans="1:20" ht="20.100000000000001" customHeight="1" x14ac:dyDescent="0.25">
      <c r="A1035" s="38">
        <v>2</v>
      </c>
      <c r="B1035" s="38">
        <v>1040</v>
      </c>
      <c r="C1035" s="38" t="s">
        <v>664</v>
      </c>
      <c r="D1035" s="38">
        <v>21</v>
      </c>
      <c r="E1035" s="39" t="s">
        <v>3525</v>
      </c>
      <c r="F1035" s="48" t="str">
        <f>CONCATENATE("Station de Compression ",E1035)</f>
        <v>Station de Compression SC1-GR1</v>
      </c>
      <c r="G1035" s="19">
        <v>31413</v>
      </c>
      <c r="H1035" s="19">
        <v>31413</v>
      </c>
      <c r="I1035" s="19">
        <v>36891</v>
      </c>
      <c r="J1035" s="41">
        <v>8</v>
      </c>
      <c r="K1035" s="41" t="s">
        <v>3554</v>
      </c>
      <c r="L1035" s="41">
        <v>8</v>
      </c>
      <c r="M1035" s="41">
        <v>10</v>
      </c>
      <c r="N1035" s="41"/>
      <c r="O1035" s="41" t="s">
        <v>415</v>
      </c>
      <c r="P1035" s="41" t="s">
        <v>3593</v>
      </c>
      <c r="Q1035" s="49">
        <f>VALUE(RIGHT(P1035,LEN(P1035)-SEARCH("/",P1035)))</f>
        <v>778</v>
      </c>
      <c r="R1035" s="43">
        <f>VALUE(SUBSTITUTE(LEFT(P1035,SEARCH("/",P1035)-1),"+",","))</f>
        <v>961</v>
      </c>
      <c r="S1035" s="41" t="s">
        <v>3590</v>
      </c>
      <c r="T1035" s="48" t="str">
        <f t="shared" si="114"/>
        <v>(2,'SC1-GR1','Station de Compression SC1-GR1','Wednesday-01-jj','Wednesday-01-jj',36891,8,10),</v>
      </c>
    </row>
    <row r="1036" spans="1:20" ht="20.100000000000001" customHeight="1" x14ac:dyDescent="0.25">
      <c r="A1036" s="38">
        <v>10</v>
      </c>
      <c r="B1036" s="38">
        <v>1041</v>
      </c>
      <c r="C1036" s="38" t="s">
        <v>664</v>
      </c>
      <c r="D1036" s="38">
        <v>21</v>
      </c>
      <c r="E1036" s="45" t="str">
        <f>CONCATENATE("PC-",TEXT(A1036,"00"),"-",O1036)</f>
        <v>PC-10-GR1</v>
      </c>
      <c r="F1036" s="48" t="str">
        <f>CONCATENATE("Poste de Coupure n°",TEXT(A1036,"00")," ",O1036)</f>
        <v>Poste de Coupure n°10 GR1</v>
      </c>
      <c r="G1036" s="19">
        <v>35065</v>
      </c>
      <c r="H1036" s="19">
        <v>35065</v>
      </c>
      <c r="I1036" s="41" t="s">
        <v>20</v>
      </c>
      <c r="J1036" s="41">
        <v>1</v>
      </c>
      <c r="K1036" s="41" t="s">
        <v>3556</v>
      </c>
      <c r="L1036" s="41">
        <v>15</v>
      </c>
      <c r="M1036" s="41"/>
      <c r="N1036" s="41"/>
      <c r="O1036" s="41" t="s">
        <v>415</v>
      </c>
      <c r="P1036" s="41" t="s">
        <v>2483</v>
      </c>
      <c r="Q1036" s="49">
        <f>VALUE(RIGHT(P1036,LEN(P1036)-SEARCH("/",P1036)))</f>
        <v>779</v>
      </c>
      <c r="R1036" s="43">
        <f>VALUE(SUBSTITUTE(LEFT(P1036,SEARCH("/",P1036)-1),"+",","))</f>
        <v>961.47</v>
      </c>
      <c r="S1036" s="44" t="s">
        <v>2490</v>
      </c>
      <c r="T1036" s="48" t="str">
        <f t="shared" si="114"/>
        <v>(10,'PC-10-GR1','Poste de Coupure n°10 GR1','Monday-01-jj','Monday-01-jj',NULL,1,),</v>
      </c>
    </row>
    <row r="1037" spans="1:20" ht="20.100000000000001" customHeight="1" x14ac:dyDescent="0.25">
      <c r="A1037" s="38">
        <v>16</v>
      </c>
      <c r="B1037" s="38">
        <v>1042</v>
      </c>
      <c r="C1037" s="38" t="s">
        <v>664</v>
      </c>
      <c r="D1037" s="38">
        <v>21</v>
      </c>
      <c r="E1037" s="45" t="str">
        <f>CONCATENATE("PPUR-",TEXT(A1037,"00"),"-",O1037)</f>
        <v>PPUR-16-GR1</v>
      </c>
      <c r="F1037" s="48" t="str">
        <f>CONCATENATE("Poste de Purge n°",TEXT(A1037,"00")," ",O1037)</f>
        <v>Poste de Purge n°16 GR1</v>
      </c>
      <c r="G1037" s="19">
        <v>35065</v>
      </c>
      <c r="H1037" s="19">
        <v>35065</v>
      </c>
      <c r="I1037" s="41" t="s">
        <v>20</v>
      </c>
      <c r="J1037" s="41">
        <v>1</v>
      </c>
      <c r="K1037" s="41" t="s">
        <v>3558</v>
      </c>
      <c r="L1037" s="41">
        <v>17</v>
      </c>
      <c r="M1037" s="41"/>
      <c r="N1037" s="41"/>
      <c r="O1037" s="41" t="s">
        <v>415</v>
      </c>
      <c r="P1037" s="41" t="s">
        <v>2646</v>
      </c>
      <c r="Q1037" s="49">
        <f>VALUE(RIGHT(P1037,LEN(P1037)-SEARCH("/",P1037)))</f>
        <v>778</v>
      </c>
      <c r="R1037" s="43">
        <f>VALUE(SUBSTITUTE(LEFT(P1037,SEARCH("/",P1037)-1),"+",","))</f>
        <v>961.55</v>
      </c>
      <c r="S1037" s="41" t="s">
        <v>790</v>
      </c>
      <c r="T1037" s="48" t="str">
        <f t="shared" si="114"/>
        <v>(16,'PPUR-16-GR1','Poste de Purge n°16 GR1','Monday-01-jj','Monday-01-jj',NULL,1,),</v>
      </c>
    </row>
    <row r="1038" spans="1:20" ht="20.100000000000001" customHeight="1" x14ac:dyDescent="0.25">
      <c r="A1038" s="38">
        <v>1</v>
      </c>
      <c r="B1038" s="38">
        <v>1043</v>
      </c>
      <c r="C1038" s="38" t="s">
        <v>664</v>
      </c>
      <c r="D1038" s="38">
        <v>21</v>
      </c>
      <c r="E1038" s="39" t="str">
        <f>CONCATENATE("PS-",TEXT(A1038,"00"),"-",O1038)</f>
        <v>PS-01-GR2</v>
      </c>
      <c r="F1038" s="48" t="str">
        <f>CONCATENATE("Poste de Sectionnement n°",TEXT(A1038,"00")," ",O1038)</f>
        <v>Poste de Sectionnement n°01 GR2</v>
      </c>
      <c r="G1038" s="19">
        <v>36161</v>
      </c>
      <c r="H1038" s="19">
        <v>36161</v>
      </c>
      <c r="I1038" s="41" t="s">
        <v>20</v>
      </c>
      <c r="J1038" s="41">
        <v>1</v>
      </c>
      <c r="K1038" s="41" t="s">
        <v>3557</v>
      </c>
      <c r="L1038" s="41">
        <v>16</v>
      </c>
      <c r="M1038" s="41"/>
      <c r="N1038" s="41"/>
      <c r="O1038" s="41" t="s">
        <v>418</v>
      </c>
      <c r="P1038" s="41" t="s">
        <v>2565</v>
      </c>
      <c r="Q1038" s="43">
        <v>711</v>
      </c>
      <c r="R1038" s="43">
        <f>VALUE(SUBSTITUTE(P1038,"+",","))</f>
        <v>19.899999999999999</v>
      </c>
      <c r="S1038" s="41" t="s">
        <v>980</v>
      </c>
      <c r="T1038" s="48" t="str">
        <f t="shared" si="114"/>
        <v>(1,'PS-01-GR2','Poste de Sectionnement n°01 GR2','Friday-01-jj','Friday-01-jj',NULL,1,),</v>
      </c>
    </row>
    <row r="1039" spans="1:20" ht="20.100000000000001" customHeight="1" x14ac:dyDescent="0.25">
      <c r="A1039" s="38">
        <v>2</v>
      </c>
      <c r="B1039" s="38">
        <v>1044</v>
      </c>
      <c r="C1039" s="38" t="s">
        <v>664</v>
      </c>
      <c r="D1039" s="38">
        <v>21</v>
      </c>
      <c r="E1039" s="39" t="str">
        <f>CONCATENATE("PS-",TEXT(A1039,"00"),"-",O1039)</f>
        <v>PS-02-GR2</v>
      </c>
      <c r="F1039" s="48" t="str">
        <f>CONCATENATE("Poste de Sectionnement n°",TEXT(A1039,"00")," ",O1039)</f>
        <v>Poste de Sectionnement n°02 GR2</v>
      </c>
      <c r="G1039" s="19">
        <v>36161</v>
      </c>
      <c r="H1039" s="19">
        <v>36161</v>
      </c>
      <c r="I1039" s="41" t="s">
        <v>20</v>
      </c>
      <c r="J1039" s="41">
        <v>1</v>
      </c>
      <c r="K1039" s="41" t="s">
        <v>3557</v>
      </c>
      <c r="L1039" s="41">
        <v>16</v>
      </c>
      <c r="M1039" s="41"/>
      <c r="N1039" s="41"/>
      <c r="O1039" s="41" t="s">
        <v>418</v>
      </c>
      <c r="P1039" s="41" t="s">
        <v>2566</v>
      </c>
      <c r="Q1039" s="43">
        <v>695</v>
      </c>
      <c r="R1039" s="43">
        <f>VALUE(SUBSTITUTE(P1039,"+",","))</f>
        <v>40.9</v>
      </c>
      <c r="S1039" s="41" t="s">
        <v>980</v>
      </c>
      <c r="T1039" s="48" t="str">
        <f t="shared" si="114"/>
        <v>(2,'PS-02-GR2','Poste de Sectionnement n°02 GR2','Friday-01-jj','Friday-01-jj',NULL,1,),</v>
      </c>
    </row>
    <row r="1040" spans="1:20" ht="20.100000000000001" customHeight="1" x14ac:dyDescent="0.25">
      <c r="A1040" s="38">
        <v>3</v>
      </c>
      <c r="B1040" s="38">
        <v>1045</v>
      </c>
      <c r="C1040" s="38" t="s">
        <v>664</v>
      </c>
      <c r="D1040" s="38">
        <v>21</v>
      </c>
      <c r="E1040" s="39" t="str">
        <f>CONCATENATE("PS-",TEXT(A1040,"00"),"-",O1040)</f>
        <v>PS-03-GR2</v>
      </c>
      <c r="F1040" s="48" t="str">
        <f>CONCATENATE("Poste de Sectionnement n°",TEXT(A1040,"00")," ",O1040)</f>
        <v>Poste de Sectionnement n°03 GR2</v>
      </c>
      <c r="G1040" s="19">
        <v>36161</v>
      </c>
      <c r="H1040" s="19">
        <v>36161</v>
      </c>
      <c r="I1040" s="41" t="s">
        <v>20</v>
      </c>
      <c r="J1040" s="41">
        <v>1</v>
      </c>
      <c r="K1040" s="41" t="s">
        <v>3557</v>
      </c>
      <c r="L1040" s="41">
        <v>16</v>
      </c>
      <c r="M1040" s="41"/>
      <c r="N1040" s="41"/>
      <c r="O1040" s="41" t="s">
        <v>418</v>
      </c>
      <c r="P1040" s="41" t="s">
        <v>2567</v>
      </c>
      <c r="Q1040" s="43">
        <v>663</v>
      </c>
      <c r="R1040" s="43">
        <f>VALUE(SUBSTITUTE(P1040,"+",","))</f>
        <v>60.3</v>
      </c>
      <c r="S1040" s="41" t="s">
        <v>979</v>
      </c>
      <c r="T1040" s="48" t="str">
        <f t="shared" si="114"/>
        <v>(3,'PS-03-GR2','Poste de Sectionnement n°03 GR2','Friday-01-jj','Friday-01-jj',NULL,1,),</v>
      </c>
    </row>
    <row r="1041" spans="1:20" ht="20.100000000000001" customHeight="1" x14ac:dyDescent="0.25">
      <c r="A1041" s="38">
        <v>4</v>
      </c>
      <c r="B1041" s="38">
        <v>1046</v>
      </c>
      <c r="C1041" s="38" t="s">
        <v>664</v>
      </c>
      <c r="D1041" s="38">
        <v>21</v>
      </c>
      <c r="E1041" s="39" t="str">
        <f>CONCATENATE("PS-",TEXT(A1041,"00"),"-",O1041)</f>
        <v>PS-04-GR2</v>
      </c>
      <c r="F1041" s="48" t="str">
        <f>CONCATENATE("Poste de Sectionnement n°",TEXT(A1041,"00")," ",O1041)</f>
        <v>Poste de Sectionnement n°04 GR2</v>
      </c>
      <c r="G1041" s="19">
        <v>36161</v>
      </c>
      <c r="H1041" s="19">
        <v>36161</v>
      </c>
      <c r="I1041" s="41" t="s">
        <v>20</v>
      </c>
      <c r="J1041" s="41">
        <v>1</v>
      </c>
      <c r="K1041" s="41" t="s">
        <v>3557</v>
      </c>
      <c r="L1041" s="41">
        <v>16</v>
      </c>
      <c r="M1041" s="41"/>
      <c r="N1041" s="41"/>
      <c r="O1041" s="41" t="s">
        <v>418</v>
      </c>
      <c r="P1041" s="41" t="s">
        <v>2568</v>
      </c>
      <c r="Q1041" s="43">
        <v>587</v>
      </c>
      <c r="R1041" s="43">
        <f>VALUE(SUBSTITUTE(P1041,"+",","))</f>
        <v>80.2</v>
      </c>
      <c r="S1041" s="41" t="s">
        <v>979</v>
      </c>
      <c r="T1041" s="48" t="str">
        <f t="shared" si="114"/>
        <v>(4,'PS-04-GR2','Poste de Sectionnement n°04 GR2','Friday-01-jj','Friday-01-jj',NULL,1,),</v>
      </c>
    </row>
    <row r="1042" spans="1:20" ht="20.100000000000001" customHeight="1" x14ac:dyDescent="0.25">
      <c r="A1042" s="38">
        <v>1</v>
      </c>
      <c r="B1042" s="38">
        <v>1047</v>
      </c>
      <c r="C1042" s="38" t="s">
        <v>664</v>
      </c>
      <c r="D1042" s="38">
        <v>21</v>
      </c>
      <c r="E1042" s="45" t="str">
        <f>CONCATENATE("PC-",TEXT(A1042,"00"),"-",O1042)</f>
        <v>PC-01-GR2</v>
      </c>
      <c r="F1042" s="48" t="str">
        <f>CONCATENATE("Poste de Coupure n°",TEXT(A1042,"00")," ",O1042)</f>
        <v>Poste de Coupure n°01 GR2</v>
      </c>
      <c r="G1042" s="19">
        <v>36161</v>
      </c>
      <c r="H1042" s="19">
        <v>36161</v>
      </c>
      <c r="I1042" s="41" t="s">
        <v>20</v>
      </c>
      <c r="J1042" s="41">
        <v>1</v>
      </c>
      <c r="K1042" s="41" t="s">
        <v>3556</v>
      </c>
      <c r="L1042" s="41">
        <v>15</v>
      </c>
      <c r="M1042" s="41"/>
      <c r="N1042" s="41"/>
      <c r="O1042" s="41" t="s">
        <v>418</v>
      </c>
      <c r="P1042" s="41" t="s">
        <v>2474</v>
      </c>
      <c r="Q1042" s="49">
        <f>VALUE(RIGHT(P1042,LEN(P1042)-SEARCH("/",P1042)))</f>
        <v>555</v>
      </c>
      <c r="R1042" s="43">
        <f>VALUE(SUBSTITUTE(LEFT(P1042,SEARCH("/",P1042)-1),"+",","))</f>
        <v>101.01</v>
      </c>
      <c r="S1042" s="41" t="s">
        <v>2484</v>
      </c>
      <c r="T1042" s="48" t="str">
        <f t="shared" si="114"/>
        <v>(1,'PC-01-GR2','Poste de Coupure n°01 GR2','Friday-01-jj','Friday-01-jj',NULL,1,),</v>
      </c>
    </row>
    <row r="1043" spans="1:20" ht="20.100000000000001" customHeight="1" x14ac:dyDescent="0.25">
      <c r="A1043" s="38">
        <v>5</v>
      </c>
      <c r="B1043" s="38">
        <v>1048</v>
      </c>
      <c r="C1043" s="38" t="s">
        <v>664</v>
      </c>
      <c r="D1043" s="38">
        <v>21</v>
      </c>
      <c r="E1043" s="39" t="str">
        <f t="shared" ref="E1043:E1048" si="115">CONCATENATE("PS-",TEXT(A1043,"00"),"-",O1043)</f>
        <v>PS-05-GR2</v>
      </c>
      <c r="F1043" s="48" t="str">
        <f t="shared" ref="F1043:F1048" si="116">CONCATENATE("Poste de Sectionnement n°",TEXT(A1043,"00")," ",O1043)</f>
        <v>Poste de Sectionnement n°05 GR2</v>
      </c>
      <c r="G1043" s="19">
        <v>36161</v>
      </c>
      <c r="H1043" s="19">
        <v>36161</v>
      </c>
      <c r="I1043" s="41" t="s">
        <v>20</v>
      </c>
      <c r="J1043" s="41">
        <v>1</v>
      </c>
      <c r="K1043" s="41" t="s">
        <v>3557</v>
      </c>
      <c r="L1043" s="41">
        <v>16</v>
      </c>
      <c r="M1043" s="41"/>
      <c r="N1043" s="41"/>
      <c r="O1043" s="41" t="s">
        <v>418</v>
      </c>
      <c r="P1043" s="41" t="s">
        <v>2569</v>
      </c>
      <c r="Q1043" s="43">
        <v>558</v>
      </c>
      <c r="R1043" s="43">
        <f t="shared" ref="R1043:R1048" si="117">VALUE(SUBSTITUTE(P1043,"+",","))</f>
        <v>118.1</v>
      </c>
      <c r="S1043" s="41" t="s">
        <v>1804</v>
      </c>
      <c r="T1043" s="48" t="str">
        <f t="shared" si="114"/>
        <v>(5,'PS-05-GR2','Poste de Sectionnement n°05 GR2','Friday-01-jj','Friday-01-jj',NULL,1,),</v>
      </c>
    </row>
    <row r="1044" spans="1:20" ht="20.100000000000001" customHeight="1" x14ac:dyDescent="0.25">
      <c r="A1044" s="38">
        <v>6</v>
      </c>
      <c r="B1044" s="38">
        <v>1049</v>
      </c>
      <c r="C1044" s="38" t="s">
        <v>664</v>
      </c>
      <c r="D1044" s="38">
        <v>21</v>
      </c>
      <c r="E1044" s="39" t="str">
        <f t="shared" si="115"/>
        <v>PS-06-GR2</v>
      </c>
      <c r="F1044" s="48" t="str">
        <f t="shared" si="116"/>
        <v>Poste de Sectionnement n°06 GR2</v>
      </c>
      <c r="G1044" s="19">
        <v>36161</v>
      </c>
      <c r="H1044" s="19">
        <v>36161</v>
      </c>
      <c r="I1044" s="41" t="s">
        <v>20</v>
      </c>
      <c r="J1044" s="41">
        <v>1</v>
      </c>
      <c r="K1044" s="41" t="s">
        <v>3557</v>
      </c>
      <c r="L1044" s="41">
        <v>16</v>
      </c>
      <c r="M1044" s="41"/>
      <c r="N1044" s="41"/>
      <c r="O1044" s="41" t="s">
        <v>418</v>
      </c>
      <c r="P1044" s="41" t="s">
        <v>2570</v>
      </c>
      <c r="Q1044" s="43">
        <v>552</v>
      </c>
      <c r="R1044" s="43">
        <f t="shared" si="117"/>
        <v>136.4</v>
      </c>
      <c r="S1044" s="41" t="s">
        <v>1804</v>
      </c>
      <c r="T1044" s="48" t="str">
        <f t="shared" si="114"/>
        <v>(6,'PS-06-GR2','Poste de Sectionnement n°06 GR2','Friday-01-jj','Friday-01-jj',NULL,1,),</v>
      </c>
    </row>
    <row r="1045" spans="1:20" ht="20.100000000000001" customHeight="1" x14ac:dyDescent="0.25">
      <c r="A1045" s="38">
        <v>7</v>
      </c>
      <c r="B1045" s="38">
        <v>1050</v>
      </c>
      <c r="C1045" s="38" t="s">
        <v>664</v>
      </c>
      <c r="D1045" s="38">
        <v>21</v>
      </c>
      <c r="E1045" s="39" t="str">
        <f t="shared" si="115"/>
        <v>PS-07-GR2</v>
      </c>
      <c r="F1045" s="48" t="str">
        <f t="shared" si="116"/>
        <v>Poste de Sectionnement n°07 GR2</v>
      </c>
      <c r="G1045" s="19">
        <v>36161</v>
      </c>
      <c r="H1045" s="19">
        <v>36161</v>
      </c>
      <c r="I1045" s="41" t="s">
        <v>20</v>
      </c>
      <c r="J1045" s="41">
        <v>1</v>
      </c>
      <c r="K1045" s="41" t="s">
        <v>3557</v>
      </c>
      <c r="L1045" s="41">
        <v>16</v>
      </c>
      <c r="M1045" s="41"/>
      <c r="N1045" s="41"/>
      <c r="O1045" s="41" t="s">
        <v>418</v>
      </c>
      <c r="P1045" s="41" t="s">
        <v>2571</v>
      </c>
      <c r="Q1045" s="43">
        <v>569</v>
      </c>
      <c r="R1045" s="43">
        <f t="shared" si="117"/>
        <v>156.30000000000001</v>
      </c>
      <c r="S1045" s="41" t="s">
        <v>1804</v>
      </c>
      <c r="T1045" s="48" t="str">
        <f t="shared" si="114"/>
        <v>(7,'PS-07-GR2','Poste de Sectionnement n°07 GR2','Friday-01-jj','Friday-01-jj',NULL,1,),</v>
      </c>
    </row>
    <row r="1046" spans="1:20" ht="20.100000000000001" customHeight="1" x14ac:dyDescent="0.25">
      <c r="A1046" s="38">
        <v>8</v>
      </c>
      <c r="B1046" s="38">
        <v>1051</v>
      </c>
      <c r="C1046" s="38" t="s">
        <v>664</v>
      </c>
      <c r="D1046" s="38">
        <v>21</v>
      </c>
      <c r="E1046" s="39" t="str">
        <f t="shared" si="115"/>
        <v>PS-08-GR2</v>
      </c>
      <c r="F1046" s="48" t="str">
        <f t="shared" si="116"/>
        <v>Poste de Sectionnement n°08 GR2</v>
      </c>
      <c r="G1046" s="19">
        <v>36161</v>
      </c>
      <c r="H1046" s="19">
        <v>36161</v>
      </c>
      <c r="I1046" s="41" t="s">
        <v>20</v>
      </c>
      <c r="J1046" s="41">
        <v>1</v>
      </c>
      <c r="K1046" s="41" t="s">
        <v>3557</v>
      </c>
      <c r="L1046" s="41">
        <v>16</v>
      </c>
      <c r="M1046" s="41"/>
      <c r="N1046" s="41"/>
      <c r="O1046" s="41" t="s">
        <v>418</v>
      </c>
      <c r="P1046" s="41" t="s">
        <v>2572</v>
      </c>
      <c r="Q1046" s="43">
        <v>567</v>
      </c>
      <c r="R1046" s="43">
        <f t="shared" si="117"/>
        <v>176</v>
      </c>
      <c r="S1046" s="41" t="s">
        <v>1804</v>
      </c>
      <c r="T1046" s="48" t="str">
        <f t="shared" si="114"/>
        <v>(8,'PS-08-GR2','Poste de Sectionnement n°08 GR2','Friday-01-jj','Friday-01-jj',NULL,1,),</v>
      </c>
    </row>
    <row r="1047" spans="1:20" ht="20.100000000000001" customHeight="1" x14ac:dyDescent="0.25">
      <c r="A1047" s="38">
        <v>9</v>
      </c>
      <c r="B1047" s="38">
        <v>1052</v>
      </c>
      <c r="C1047" s="38" t="s">
        <v>664</v>
      </c>
      <c r="D1047" s="38">
        <v>21</v>
      </c>
      <c r="E1047" s="39" t="str">
        <f t="shared" si="115"/>
        <v>PS-09-GR2</v>
      </c>
      <c r="F1047" s="48" t="str">
        <f t="shared" si="116"/>
        <v>Poste de Sectionnement n°09 GR2</v>
      </c>
      <c r="G1047" s="19">
        <v>36161</v>
      </c>
      <c r="H1047" s="19">
        <v>36161</v>
      </c>
      <c r="I1047" s="41" t="s">
        <v>20</v>
      </c>
      <c r="J1047" s="41">
        <v>1</v>
      </c>
      <c r="K1047" s="41" t="s">
        <v>3557</v>
      </c>
      <c r="L1047" s="41">
        <v>16</v>
      </c>
      <c r="M1047" s="41"/>
      <c r="N1047" s="41"/>
      <c r="O1047" s="41" t="s">
        <v>418</v>
      </c>
      <c r="P1047" s="41" t="s">
        <v>2573</v>
      </c>
      <c r="Q1047" s="43">
        <v>540</v>
      </c>
      <c r="R1047" s="43">
        <f t="shared" si="117"/>
        <v>195.5</v>
      </c>
      <c r="S1047" s="41" t="s">
        <v>1804</v>
      </c>
      <c r="T1047" s="48" t="str">
        <f t="shared" si="114"/>
        <v>(9,'PS-09-GR2','Poste de Sectionnement n°09 GR2','Friday-01-jj','Friday-01-jj',NULL,1,),</v>
      </c>
    </row>
    <row r="1048" spans="1:20" ht="20.100000000000001" customHeight="1" x14ac:dyDescent="0.25">
      <c r="A1048" s="38">
        <v>10</v>
      </c>
      <c r="B1048" s="38">
        <v>1053</v>
      </c>
      <c r="C1048" s="38" t="s">
        <v>664</v>
      </c>
      <c r="D1048" s="38">
        <v>21</v>
      </c>
      <c r="E1048" s="39" t="str">
        <f t="shared" si="115"/>
        <v>PS-10-GR2</v>
      </c>
      <c r="F1048" s="48" t="str">
        <f t="shared" si="116"/>
        <v>Poste de Sectionnement n°10 GR2</v>
      </c>
      <c r="G1048" s="19">
        <v>36161</v>
      </c>
      <c r="H1048" s="19">
        <v>36161</v>
      </c>
      <c r="I1048" s="41" t="s">
        <v>20</v>
      </c>
      <c r="J1048" s="41">
        <v>1</v>
      </c>
      <c r="K1048" s="41" t="s">
        <v>3557</v>
      </c>
      <c r="L1048" s="41">
        <v>16</v>
      </c>
      <c r="M1048" s="41"/>
      <c r="N1048" s="41"/>
      <c r="O1048" s="41" t="s">
        <v>418</v>
      </c>
      <c r="P1048" s="41" t="s">
        <v>2574</v>
      </c>
      <c r="Q1048" s="43">
        <v>497</v>
      </c>
      <c r="R1048" s="43">
        <f t="shared" si="117"/>
        <v>214.1</v>
      </c>
      <c r="S1048" s="41" t="s">
        <v>1804</v>
      </c>
      <c r="T1048" s="48" t="str">
        <f t="shared" ref="T1048:T1111" si="118">CONCATENATE("(",A1048,",'",E1048,"','",F1048,"','",TEXT(G1048,"aaaa-mm-jj"),"','",TEXT(H1048,"aaaa-mm-jj"),"',",I1048,",",J1048,",",M1048,"),")</f>
        <v>(10,'PS-10-GR2','Poste de Sectionnement n°10 GR2','Friday-01-jj','Friday-01-jj',NULL,1,),</v>
      </c>
    </row>
    <row r="1049" spans="1:20" ht="20.100000000000001" customHeight="1" x14ac:dyDescent="0.25">
      <c r="A1049" s="38">
        <v>2</v>
      </c>
      <c r="B1049" s="38">
        <v>1054</v>
      </c>
      <c r="C1049" s="38" t="s">
        <v>664</v>
      </c>
      <c r="D1049" s="38">
        <v>21</v>
      </c>
      <c r="E1049" s="45" t="str">
        <f>CONCATENATE("PC-",TEXT(A1049,"00"),"-",O1049)</f>
        <v>PC-02-GR2</v>
      </c>
      <c r="F1049" s="48" t="str">
        <f>CONCATENATE("Poste de Coupure n°",TEXT(A1049,"00")," ",O1049)</f>
        <v>Poste de Coupure n°02 GR2</v>
      </c>
      <c r="G1049" s="19">
        <v>36161</v>
      </c>
      <c r="H1049" s="19">
        <v>36161</v>
      </c>
      <c r="I1049" s="41" t="s">
        <v>20</v>
      </c>
      <c r="J1049" s="41">
        <v>1</v>
      </c>
      <c r="K1049" s="41" t="s">
        <v>3556</v>
      </c>
      <c r="L1049" s="41">
        <v>15</v>
      </c>
      <c r="M1049" s="41"/>
      <c r="N1049" s="41"/>
      <c r="O1049" s="41" t="s">
        <v>418</v>
      </c>
      <c r="P1049" s="41" t="s">
        <v>2475</v>
      </c>
      <c r="Q1049" s="49">
        <f>VALUE(RIGHT(P1049,LEN(P1049)-SEARCH("/",P1049)))</f>
        <v>470</v>
      </c>
      <c r="R1049" s="43">
        <f>VALUE(SUBSTITUTE(LEFT(P1049,SEARCH("/",P1049)-1),"+",","))</f>
        <v>232.38</v>
      </c>
      <c r="S1049" s="60" t="s">
        <v>2485</v>
      </c>
      <c r="T1049" s="48" t="str">
        <f t="shared" si="118"/>
        <v>(2,'PC-02-GR2','Poste de Coupure n°02 GR2','Friday-01-jj','Friday-01-jj',NULL,1,),</v>
      </c>
    </row>
    <row r="1050" spans="1:20" ht="20.100000000000001" customHeight="1" x14ac:dyDescent="0.25">
      <c r="A1050" s="38">
        <v>1</v>
      </c>
      <c r="B1050" s="38">
        <v>1055</v>
      </c>
      <c r="C1050" s="38" t="s">
        <v>664</v>
      </c>
      <c r="D1050" s="38">
        <v>21</v>
      </c>
      <c r="E1050" s="39" t="s">
        <v>3523</v>
      </c>
      <c r="F1050" s="48" t="str">
        <f>CONCATENATE("Station de Compression ",E1050)</f>
        <v>Station de Compression SCTFT-GR2</v>
      </c>
      <c r="G1050" s="19">
        <v>38869</v>
      </c>
      <c r="H1050" s="19">
        <v>42309</v>
      </c>
      <c r="I1050" s="41" t="s">
        <v>20</v>
      </c>
      <c r="J1050" s="41">
        <v>1</v>
      </c>
      <c r="K1050" s="41" t="s">
        <v>3554</v>
      </c>
      <c r="L1050" s="41">
        <v>8</v>
      </c>
      <c r="M1050" s="41">
        <v>10</v>
      </c>
      <c r="N1050" s="41"/>
      <c r="O1050" s="41" t="s">
        <v>418</v>
      </c>
      <c r="P1050" s="41" t="s">
        <v>2475</v>
      </c>
      <c r="Q1050" s="49">
        <f>VALUE(RIGHT(P1050,LEN(P1050)-SEARCH("/",P1050)))</f>
        <v>470</v>
      </c>
      <c r="R1050" s="43">
        <f>VALUE(SUBSTITUTE(LEFT(P1050,SEARCH("/",P1050)-1),"+",","))</f>
        <v>232.38</v>
      </c>
      <c r="S1050" s="60" t="s">
        <v>3592</v>
      </c>
      <c r="T1050" s="48" t="str">
        <f t="shared" si="118"/>
        <v>(1,'SCTFT-GR2','Station de Compression SCTFT-GR2','Thursday-06-jj','Sunday-11-jj',NULL,1,10),</v>
      </c>
    </row>
    <row r="1051" spans="1:20" ht="20.100000000000001" customHeight="1" x14ac:dyDescent="0.25">
      <c r="A1051" s="38">
        <v>11</v>
      </c>
      <c r="B1051" s="38">
        <v>1056</v>
      </c>
      <c r="C1051" s="38" t="s">
        <v>664</v>
      </c>
      <c r="D1051" s="38">
        <v>21</v>
      </c>
      <c r="E1051" s="39" t="str">
        <f>CONCATENATE("PS-",TEXT(A1051,"00"),"-",O1051)</f>
        <v>PS-11-GR2</v>
      </c>
      <c r="F1051" s="48" t="str">
        <f>CONCATENATE("Poste de Sectionnement n°",TEXT(A1051,"00")," ",O1051)</f>
        <v>Poste de Sectionnement n°11 GR2</v>
      </c>
      <c r="G1051" s="19">
        <v>36161</v>
      </c>
      <c r="H1051" s="19">
        <v>36161</v>
      </c>
      <c r="I1051" s="41" t="s">
        <v>20</v>
      </c>
      <c r="J1051" s="41">
        <v>1</v>
      </c>
      <c r="K1051" s="41" t="s">
        <v>3557</v>
      </c>
      <c r="L1051" s="41">
        <v>16</v>
      </c>
      <c r="M1051" s="41"/>
      <c r="N1051" s="41"/>
      <c r="O1051" s="41" t="s">
        <v>418</v>
      </c>
      <c r="P1051" s="41" t="s">
        <v>2575</v>
      </c>
      <c r="Q1051" s="43">
        <v>413</v>
      </c>
      <c r="R1051" s="43">
        <f>VALUE(SUBSTITUTE(P1051,"+",","))</f>
        <v>248.8</v>
      </c>
      <c r="S1051" s="58" t="s">
        <v>1804</v>
      </c>
      <c r="T1051" s="48" t="str">
        <f t="shared" si="118"/>
        <v>(11,'PS-11-GR2','Poste de Sectionnement n°11 GR2','Friday-01-jj','Friday-01-jj',NULL,1,),</v>
      </c>
    </row>
    <row r="1052" spans="1:20" ht="20.100000000000001" customHeight="1" x14ac:dyDescent="0.25">
      <c r="A1052" s="38">
        <v>12</v>
      </c>
      <c r="B1052" s="38">
        <v>1057</v>
      </c>
      <c r="C1052" s="38" t="s">
        <v>664</v>
      </c>
      <c r="D1052" s="38">
        <v>21</v>
      </c>
      <c r="E1052" s="39" t="str">
        <f>CONCATENATE("PS-",TEXT(A1052,"00"),"-",O1052)</f>
        <v>PS-12-GR2</v>
      </c>
      <c r="F1052" s="48" t="str">
        <f>CONCATENATE("Poste de Sectionnement n°",TEXT(A1052,"00")," ",O1052)</f>
        <v>Poste de Sectionnement n°12 GR2</v>
      </c>
      <c r="G1052" s="19">
        <v>36161</v>
      </c>
      <c r="H1052" s="19">
        <v>36161</v>
      </c>
      <c r="I1052" s="41" t="s">
        <v>20</v>
      </c>
      <c r="J1052" s="41">
        <v>1</v>
      </c>
      <c r="K1052" s="41" t="s">
        <v>3557</v>
      </c>
      <c r="L1052" s="41">
        <v>16</v>
      </c>
      <c r="M1052" s="41"/>
      <c r="N1052" s="41"/>
      <c r="O1052" s="41" t="s">
        <v>418</v>
      </c>
      <c r="P1052" s="41" t="s">
        <v>2576</v>
      </c>
      <c r="Q1052" s="43">
        <v>423</v>
      </c>
      <c r="R1052" s="43">
        <f>VALUE(SUBSTITUTE(P1052,"+",","))</f>
        <v>264.10000000000002</v>
      </c>
      <c r="S1052" s="41" t="s">
        <v>1804</v>
      </c>
      <c r="T1052" s="48" t="str">
        <f t="shared" si="118"/>
        <v>(12,'PS-12-GR2','Poste de Sectionnement n°12 GR2','Friday-01-jj','Friday-01-jj',NULL,1,),</v>
      </c>
    </row>
    <row r="1053" spans="1:20" ht="20.100000000000001" customHeight="1" x14ac:dyDescent="0.25">
      <c r="A1053" s="38">
        <v>13</v>
      </c>
      <c r="B1053" s="38">
        <v>1058</v>
      </c>
      <c r="C1053" s="38" t="s">
        <v>664</v>
      </c>
      <c r="D1053" s="38">
        <v>21</v>
      </c>
      <c r="E1053" s="39" t="str">
        <f>CONCATENATE("PS-",TEXT(A1053,"00"),"-",O1053)</f>
        <v>PS-13-GR2</v>
      </c>
      <c r="F1053" s="48" t="str">
        <f>CONCATENATE("Poste de Sectionnement n°",TEXT(A1053,"00")," ",O1053)</f>
        <v>Poste de Sectionnement n°13 GR2</v>
      </c>
      <c r="G1053" s="19">
        <v>36161</v>
      </c>
      <c r="H1053" s="19">
        <v>36161</v>
      </c>
      <c r="I1053" s="41" t="s">
        <v>20</v>
      </c>
      <c r="J1053" s="41">
        <v>1</v>
      </c>
      <c r="K1053" s="41" t="s">
        <v>3557</v>
      </c>
      <c r="L1053" s="41">
        <v>16</v>
      </c>
      <c r="M1053" s="41"/>
      <c r="N1053" s="41"/>
      <c r="O1053" s="41" t="s">
        <v>418</v>
      </c>
      <c r="P1053" s="41" t="s">
        <v>1543</v>
      </c>
      <c r="Q1053" s="43">
        <v>350</v>
      </c>
      <c r="R1053" s="43">
        <f>VALUE(SUBSTITUTE(P1053,"+",","))</f>
        <v>281.89999999999998</v>
      </c>
      <c r="S1053" s="41" t="s">
        <v>1804</v>
      </c>
      <c r="T1053" s="48" t="str">
        <f t="shared" si="118"/>
        <v>(13,'PS-13-GR2','Poste de Sectionnement n°13 GR2','Friday-01-jj','Friday-01-jj',NULL,1,),</v>
      </c>
    </row>
    <row r="1054" spans="1:20" ht="20.100000000000001" customHeight="1" x14ac:dyDescent="0.25">
      <c r="A1054" s="38">
        <v>3</v>
      </c>
      <c r="B1054" s="38">
        <v>1059</v>
      </c>
      <c r="C1054" s="38" t="s">
        <v>664</v>
      </c>
      <c r="D1054" s="38">
        <v>21</v>
      </c>
      <c r="E1054" s="45" t="str">
        <f>CONCATENATE("PC-",TEXT(A1054,"00"),"-",O1054)</f>
        <v>PC-03-GR2</v>
      </c>
      <c r="F1054" s="48" t="str">
        <f>CONCATENATE("Poste de Coupure n°",TEXT(A1054,"00")," ",O1054)</f>
        <v>Poste de Coupure n°03 GR2</v>
      </c>
      <c r="G1054" s="19">
        <v>36161</v>
      </c>
      <c r="H1054" s="19">
        <v>36161</v>
      </c>
      <c r="I1054" s="41" t="s">
        <v>20</v>
      </c>
      <c r="J1054" s="41">
        <v>1</v>
      </c>
      <c r="K1054" s="41" t="s">
        <v>3556</v>
      </c>
      <c r="L1054" s="41">
        <v>15</v>
      </c>
      <c r="M1054" s="41"/>
      <c r="N1054" s="41"/>
      <c r="O1054" s="41" t="s">
        <v>418</v>
      </c>
      <c r="P1054" s="41" t="s">
        <v>2476</v>
      </c>
      <c r="Q1054" s="49">
        <f>VALUE(RIGHT(P1054,LEN(P1054)-SEARCH("/",P1054)))</f>
        <v>348</v>
      </c>
      <c r="R1054" s="43">
        <f>VALUE(SUBSTITUTE(LEFT(P1054,SEARCH("/",P1054)-1),"+",","))</f>
        <v>298.375</v>
      </c>
      <c r="S1054" s="58" t="s">
        <v>2486</v>
      </c>
      <c r="T1054" s="48" t="str">
        <f t="shared" si="118"/>
        <v>(3,'PC-03-GR2','Poste de Coupure n°03 GR2','Friday-01-jj','Friday-01-jj',NULL,1,),</v>
      </c>
    </row>
    <row r="1055" spans="1:20" ht="20.100000000000001" customHeight="1" x14ac:dyDescent="0.25">
      <c r="A1055" s="38">
        <v>14</v>
      </c>
      <c r="B1055" s="38">
        <v>1060</v>
      </c>
      <c r="C1055" s="38" t="s">
        <v>664</v>
      </c>
      <c r="D1055" s="38">
        <v>21</v>
      </c>
      <c r="E1055" s="39" t="str">
        <f t="shared" ref="E1055:E1060" si="119">CONCATENATE("PS-",TEXT(A1055,"00"),"-",O1055)</f>
        <v>PS-14-GR2</v>
      </c>
      <c r="F1055" s="48" t="str">
        <f t="shared" ref="F1055:F1060" si="120">CONCATENATE("Poste de Sectionnement n°",TEXT(A1055,"00")," ",O1055)</f>
        <v>Poste de Sectionnement n°14 GR2</v>
      </c>
      <c r="G1055" s="19">
        <v>36161</v>
      </c>
      <c r="H1055" s="19">
        <v>36161</v>
      </c>
      <c r="I1055" s="41" t="s">
        <v>20</v>
      </c>
      <c r="J1055" s="41">
        <v>1</v>
      </c>
      <c r="K1055" s="41" t="s">
        <v>3557</v>
      </c>
      <c r="L1055" s="41">
        <v>16</v>
      </c>
      <c r="M1055" s="41"/>
      <c r="N1055" s="41"/>
      <c r="O1055" s="41" t="s">
        <v>418</v>
      </c>
      <c r="P1055" s="41" t="s">
        <v>2577</v>
      </c>
      <c r="Q1055" s="43">
        <v>316</v>
      </c>
      <c r="R1055" s="43">
        <f t="shared" ref="R1055:R1060" si="121">VALUE(SUBSTITUTE(P1055,"+",","))</f>
        <v>317.3</v>
      </c>
      <c r="S1055" s="58" t="s">
        <v>1804</v>
      </c>
      <c r="T1055" s="48" t="str">
        <f t="shared" si="118"/>
        <v>(14,'PS-14-GR2','Poste de Sectionnement n°14 GR2','Friday-01-jj','Friday-01-jj',NULL,1,),</v>
      </c>
    </row>
    <row r="1056" spans="1:20" ht="20.100000000000001" customHeight="1" x14ac:dyDescent="0.25">
      <c r="A1056" s="38">
        <v>15</v>
      </c>
      <c r="B1056" s="38">
        <v>1061</v>
      </c>
      <c r="C1056" s="38" t="s">
        <v>664</v>
      </c>
      <c r="D1056" s="38">
        <v>21</v>
      </c>
      <c r="E1056" s="39" t="str">
        <f t="shared" si="119"/>
        <v>PS-15-GR2</v>
      </c>
      <c r="F1056" s="48" t="str">
        <f t="shared" si="120"/>
        <v>Poste de Sectionnement n°15 GR2</v>
      </c>
      <c r="G1056" s="19">
        <v>36161</v>
      </c>
      <c r="H1056" s="19">
        <v>36161</v>
      </c>
      <c r="I1056" s="41" t="s">
        <v>20</v>
      </c>
      <c r="J1056" s="41">
        <v>1</v>
      </c>
      <c r="K1056" s="41" t="s">
        <v>3557</v>
      </c>
      <c r="L1056" s="41">
        <v>16</v>
      </c>
      <c r="M1056" s="41"/>
      <c r="N1056" s="41"/>
      <c r="O1056" s="41" t="s">
        <v>418</v>
      </c>
      <c r="P1056" s="41" t="s">
        <v>2578</v>
      </c>
      <c r="Q1056" s="43">
        <v>316</v>
      </c>
      <c r="R1056" s="43">
        <f t="shared" si="121"/>
        <v>336.3</v>
      </c>
      <c r="S1056" s="41" t="s">
        <v>1804</v>
      </c>
      <c r="T1056" s="48" t="str">
        <f t="shared" si="118"/>
        <v>(15,'PS-15-GR2','Poste de Sectionnement n°15 GR2','Friday-01-jj','Friday-01-jj',NULL,1,),</v>
      </c>
    </row>
    <row r="1057" spans="1:20" ht="20.100000000000001" customHeight="1" x14ac:dyDescent="0.25">
      <c r="A1057" s="38">
        <v>16</v>
      </c>
      <c r="B1057" s="38">
        <v>1062</v>
      </c>
      <c r="C1057" s="38" t="s">
        <v>664</v>
      </c>
      <c r="D1057" s="38">
        <v>21</v>
      </c>
      <c r="E1057" s="39" t="str">
        <f t="shared" si="119"/>
        <v>PS-16-GR2</v>
      </c>
      <c r="F1057" s="48" t="str">
        <f t="shared" si="120"/>
        <v>Poste de Sectionnement n°16 GR2</v>
      </c>
      <c r="G1057" s="19">
        <v>36161</v>
      </c>
      <c r="H1057" s="19">
        <v>36161</v>
      </c>
      <c r="I1057" s="41" t="s">
        <v>20</v>
      </c>
      <c r="J1057" s="41">
        <v>1</v>
      </c>
      <c r="K1057" s="41" t="s">
        <v>3557</v>
      </c>
      <c r="L1057" s="41">
        <v>16</v>
      </c>
      <c r="M1057" s="41"/>
      <c r="N1057" s="41"/>
      <c r="O1057" s="41" t="s">
        <v>418</v>
      </c>
      <c r="P1057" s="41" t="s">
        <v>2579</v>
      </c>
      <c r="Q1057" s="43">
        <v>302</v>
      </c>
      <c r="R1057" s="43">
        <f t="shared" si="121"/>
        <v>357.1</v>
      </c>
      <c r="S1057" s="41" t="s">
        <v>1804</v>
      </c>
      <c r="T1057" s="48" t="str">
        <f t="shared" si="118"/>
        <v>(16,'PS-16-GR2','Poste de Sectionnement n°16 GR2','Friday-01-jj','Friday-01-jj',NULL,1,),</v>
      </c>
    </row>
    <row r="1058" spans="1:20" ht="20.100000000000001" customHeight="1" x14ac:dyDescent="0.25">
      <c r="A1058" s="38">
        <v>17</v>
      </c>
      <c r="B1058" s="38">
        <v>1063</v>
      </c>
      <c r="C1058" s="38" t="s">
        <v>664</v>
      </c>
      <c r="D1058" s="38">
        <v>21</v>
      </c>
      <c r="E1058" s="39" t="str">
        <f t="shared" si="119"/>
        <v>PS-17-GR2</v>
      </c>
      <c r="F1058" s="48" t="str">
        <f t="shared" si="120"/>
        <v>Poste de Sectionnement n°17 GR2</v>
      </c>
      <c r="G1058" s="19">
        <v>36161</v>
      </c>
      <c r="H1058" s="19">
        <v>36161</v>
      </c>
      <c r="I1058" s="41" t="s">
        <v>20</v>
      </c>
      <c r="J1058" s="41">
        <v>1</v>
      </c>
      <c r="K1058" s="41" t="s">
        <v>3557</v>
      </c>
      <c r="L1058" s="41">
        <v>16</v>
      </c>
      <c r="M1058" s="41"/>
      <c r="N1058" s="41"/>
      <c r="O1058" s="41" t="s">
        <v>418</v>
      </c>
      <c r="P1058" s="41" t="s">
        <v>2580</v>
      </c>
      <c r="Q1058" s="43">
        <v>288</v>
      </c>
      <c r="R1058" s="43">
        <f t="shared" si="121"/>
        <v>378.1</v>
      </c>
      <c r="S1058" s="41" t="s">
        <v>1804</v>
      </c>
      <c r="T1058" s="48" t="str">
        <f t="shared" si="118"/>
        <v>(17,'PS-17-GR2','Poste de Sectionnement n°17 GR2','Friday-01-jj','Friday-01-jj',NULL,1,),</v>
      </c>
    </row>
    <row r="1059" spans="1:20" ht="20.100000000000001" customHeight="1" x14ac:dyDescent="0.25">
      <c r="A1059" s="38">
        <v>18</v>
      </c>
      <c r="B1059" s="38">
        <v>1064</v>
      </c>
      <c r="C1059" s="38" t="s">
        <v>664</v>
      </c>
      <c r="D1059" s="38">
        <v>21</v>
      </c>
      <c r="E1059" s="39" t="str">
        <f t="shared" si="119"/>
        <v>PS-18-GR2</v>
      </c>
      <c r="F1059" s="48" t="str">
        <f t="shared" si="120"/>
        <v>Poste de Sectionnement n°18 GR2</v>
      </c>
      <c r="G1059" s="19">
        <v>36161</v>
      </c>
      <c r="H1059" s="19">
        <v>36161</v>
      </c>
      <c r="I1059" s="41" t="s">
        <v>20</v>
      </c>
      <c r="J1059" s="41">
        <v>1</v>
      </c>
      <c r="K1059" s="41" t="s">
        <v>3557</v>
      </c>
      <c r="L1059" s="41">
        <v>16</v>
      </c>
      <c r="M1059" s="41"/>
      <c r="N1059" s="41"/>
      <c r="O1059" s="41" t="s">
        <v>418</v>
      </c>
      <c r="P1059" s="41" t="s">
        <v>2581</v>
      </c>
      <c r="Q1059" s="43">
        <v>273</v>
      </c>
      <c r="R1059" s="43">
        <f t="shared" si="121"/>
        <v>397.8</v>
      </c>
      <c r="S1059" s="41" t="s">
        <v>1804</v>
      </c>
      <c r="T1059" s="48" t="str">
        <f t="shared" si="118"/>
        <v>(18,'PS-18-GR2','Poste de Sectionnement n°18 GR2','Friday-01-jj','Friday-01-jj',NULL,1,),</v>
      </c>
    </row>
    <row r="1060" spans="1:20" ht="20.100000000000001" customHeight="1" x14ac:dyDescent="0.25">
      <c r="A1060" s="38">
        <v>19</v>
      </c>
      <c r="B1060" s="38">
        <v>1065</v>
      </c>
      <c r="C1060" s="38" t="s">
        <v>664</v>
      </c>
      <c r="D1060" s="38">
        <v>21</v>
      </c>
      <c r="E1060" s="39" t="str">
        <f t="shared" si="119"/>
        <v>PS-19-GR2</v>
      </c>
      <c r="F1060" s="48" t="str">
        <f t="shared" si="120"/>
        <v>Poste de Sectionnement n°19 GR2</v>
      </c>
      <c r="G1060" s="19">
        <v>36161</v>
      </c>
      <c r="H1060" s="19">
        <v>36161</v>
      </c>
      <c r="I1060" s="41" t="s">
        <v>20</v>
      </c>
      <c r="J1060" s="41">
        <v>1</v>
      </c>
      <c r="K1060" s="41" t="s">
        <v>3557</v>
      </c>
      <c r="L1060" s="41">
        <v>16</v>
      </c>
      <c r="M1060" s="41"/>
      <c r="N1060" s="41"/>
      <c r="O1060" s="41" t="s">
        <v>418</v>
      </c>
      <c r="P1060" s="41" t="s">
        <v>2582</v>
      </c>
      <c r="Q1060" s="43">
        <v>262</v>
      </c>
      <c r="R1060" s="43">
        <f t="shared" si="121"/>
        <v>413.9</v>
      </c>
      <c r="S1060" s="41" t="s">
        <v>1804</v>
      </c>
      <c r="T1060" s="48" t="str">
        <f t="shared" si="118"/>
        <v>(19,'PS-19-GR2','Poste de Sectionnement n°19 GR2','Friday-01-jj','Friday-01-jj',NULL,1,),</v>
      </c>
    </row>
    <row r="1061" spans="1:20" ht="20.100000000000001" customHeight="1" x14ac:dyDescent="0.25">
      <c r="A1061" s="38">
        <v>4</v>
      </c>
      <c r="B1061" s="38">
        <v>1066</v>
      </c>
      <c r="C1061" s="38" t="s">
        <v>664</v>
      </c>
      <c r="D1061" s="38">
        <v>21</v>
      </c>
      <c r="E1061" s="45" t="str">
        <f>CONCATENATE("PC-",TEXT(A1061,"00"),"-",O1061)</f>
        <v>PC-04-GR2</v>
      </c>
      <c r="F1061" s="48" t="str">
        <f>CONCATENATE("Poste de Coupure n°",TEXT(A1061,"00")," ",O1061)</f>
        <v>Poste de Coupure n°04 GR2</v>
      </c>
      <c r="G1061" s="19">
        <v>36161</v>
      </c>
      <c r="H1061" s="19">
        <v>36161</v>
      </c>
      <c r="I1061" s="41" t="s">
        <v>20</v>
      </c>
      <c r="J1061" s="41">
        <v>1</v>
      </c>
      <c r="K1061" s="41" t="s">
        <v>3556</v>
      </c>
      <c r="L1061" s="41">
        <v>15</v>
      </c>
      <c r="M1061" s="41"/>
      <c r="N1061" s="41"/>
      <c r="O1061" s="41" t="s">
        <v>418</v>
      </c>
      <c r="P1061" s="41" t="s">
        <v>2477</v>
      </c>
      <c r="Q1061" s="49">
        <f>VALUE(RIGHT(P1061,LEN(P1061)-SEARCH("/",P1061)))</f>
        <v>252</v>
      </c>
      <c r="R1061" s="43">
        <f>VALUE(SUBSTITUTE(LEFT(P1061,SEARCH("/",P1061)-1),"+",","))</f>
        <v>432.72</v>
      </c>
      <c r="S1061" s="41" t="s">
        <v>2487</v>
      </c>
      <c r="T1061" s="48" t="str">
        <f t="shared" si="118"/>
        <v>(4,'PC-04-GR2','Poste de Coupure n°04 GR2','Friday-01-jj','Friday-01-jj',NULL,1,),</v>
      </c>
    </row>
    <row r="1062" spans="1:20" ht="20.100000000000001" customHeight="1" x14ac:dyDescent="0.25">
      <c r="A1062" s="38">
        <v>3</v>
      </c>
      <c r="B1062" s="38">
        <v>1067</v>
      </c>
      <c r="C1062" s="38" t="s">
        <v>664</v>
      </c>
      <c r="D1062" s="38">
        <v>21</v>
      </c>
      <c r="E1062" s="39" t="s">
        <v>224</v>
      </c>
      <c r="F1062" s="48" t="str">
        <f>CONCATENATE("Station de Compression ",E1062)</f>
        <v>Station de Compression SC1-GR2</v>
      </c>
      <c r="G1062" s="19">
        <v>38899</v>
      </c>
      <c r="H1062" s="19">
        <v>39356</v>
      </c>
      <c r="I1062" s="41" t="s">
        <v>20</v>
      </c>
      <c r="J1062" s="41">
        <v>1</v>
      </c>
      <c r="K1062" s="41" t="s">
        <v>3554</v>
      </c>
      <c r="L1062" s="41">
        <v>8</v>
      </c>
      <c r="M1062" s="41">
        <v>10</v>
      </c>
      <c r="N1062" s="41"/>
      <c r="O1062" s="41" t="s">
        <v>418</v>
      </c>
      <c r="P1062" s="41" t="s">
        <v>2477</v>
      </c>
      <c r="Q1062" s="49">
        <f>VALUE(RIGHT(P1062,LEN(P1062)-SEARCH("/",P1062)))</f>
        <v>252</v>
      </c>
      <c r="R1062" s="43">
        <f>VALUE(SUBSTITUTE(LEFT(P1062,SEARCH("/",P1062)-1),"+",","))</f>
        <v>432.72</v>
      </c>
      <c r="S1062" s="41" t="s">
        <v>3591</v>
      </c>
      <c r="T1062" s="48" t="str">
        <f t="shared" si="118"/>
        <v>(3,'SC1-GR2','Station de Compression SC1-GR2','Saturday-07-jj','Monday-10-jj',NULL,1,10),</v>
      </c>
    </row>
    <row r="1063" spans="1:20" ht="20.100000000000001" customHeight="1" x14ac:dyDescent="0.25">
      <c r="A1063" s="38">
        <v>20</v>
      </c>
      <c r="B1063" s="38">
        <v>1068</v>
      </c>
      <c r="C1063" s="38" t="s">
        <v>664</v>
      </c>
      <c r="D1063" s="38">
        <v>21</v>
      </c>
      <c r="E1063" s="39" t="str">
        <f>CONCATENATE("PS-",TEXT(A1063,"00"),"-",O1063)</f>
        <v>PS-20-GR2</v>
      </c>
      <c r="F1063" s="48" t="str">
        <f>CONCATENATE("Poste de Sectionnement n°",TEXT(A1063,"00")," ",O1063)</f>
        <v>Poste de Sectionnement n°20 GR2</v>
      </c>
      <c r="G1063" s="19">
        <v>36161</v>
      </c>
      <c r="H1063" s="19">
        <v>36161</v>
      </c>
      <c r="I1063" s="41" t="s">
        <v>20</v>
      </c>
      <c r="J1063" s="41">
        <v>1</v>
      </c>
      <c r="K1063" s="41" t="s">
        <v>3557</v>
      </c>
      <c r="L1063" s="41">
        <v>16</v>
      </c>
      <c r="M1063" s="41"/>
      <c r="N1063" s="41"/>
      <c r="O1063" s="41" t="s">
        <v>418</v>
      </c>
      <c r="P1063" s="41" t="s">
        <v>2583</v>
      </c>
      <c r="Q1063" s="43">
        <v>239</v>
      </c>
      <c r="R1063" s="43">
        <f>VALUE(SUBSTITUTE(P1063,"+",","))</f>
        <v>451</v>
      </c>
      <c r="S1063" s="41" t="s">
        <v>1804</v>
      </c>
      <c r="T1063" s="48" t="str">
        <f t="shared" si="118"/>
        <v>(20,'PS-20-GR2','Poste de Sectionnement n°20 GR2','Friday-01-jj','Friday-01-jj',NULL,1,),</v>
      </c>
    </row>
    <row r="1064" spans="1:20" ht="20.100000000000001" customHeight="1" x14ac:dyDescent="0.25">
      <c r="A1064" s="38">
        <v>21</v>
      </c>
      <c r="B1064" s="38">
        <v>1069</v>
      </c>
      <c r="C1064" s="38" t="s">
        <v>664</v>
      </c>
      <c r="D1064" s="38">
        <v>21</v>
      </c>
      <c r="E1064" s="39" t="str">
        <f>CONCATENATE("PS-",TEXT(A1064,"00"),"-",O1064)</f>
        <v>PS-21-GR2</v>
      </c>
      <c r="F1064" s="48" t="str">
        <f>CONCATENATE("Poste de Sectionnement n°",TEXT(A1064,"00")," ",O1064)</f>
        <v>Poste de Sectionnement n°21 GR2</v>
      </c>
      <c r="G1064" s="19">
        <v>36161</v>
      </c>
      <c r="H1064" s="19">
        <v>36161</v>
      </c>
      <c r="I1064" s="41" t="s">
        <v>20</v>
      </c>
      <c r="J1064" s="41">
        <v>1</v>
      </c>
      <c r="K1064" s="41" t="s">
        <v>3557</v>
      </c>
      <c r="L1064" s="41">
        <v>16</v>
      </c>
      <c r="M1064" s="41"/>
      <c r="N1064" s="41"/>
      <c r="O1064" s="41" t="s">
        <v>418</v>
      </c>
      <c r="P1064" s="41" t="s">
        <v>2584</v>
      </c>
      <c r="Q1064" s="43">
        <v>229</v>
      </c>
      <c r="R1064" s="43">
        <f>VALUE(SUBSTITUTE(P1064,"+",","))</f>
        <v>469</v>
      </c>
      <c r="S1064" s="41" t="s">
        <v>998</v>
      </c>
      <c r="T1064" s="48" t="str">
        <f t="shared" si="118"/>
        <v>(21,'PS-21-GR2','Poste de Sectionnement n°21 GR2','Friday-01-jj','Friday-01-jj',NULL,1,),</v>
      </c>
    </row>
    <row r="1065" spans="1:20" ht="20.100000000000001" customHeight="1" x14ac:dyDescent="0.25">
      <c r="A1065" s="38">
        <v>22</v>
      </c>
      <c r="B1065" s="38">
        <v>1070</v>
      </c>
      <c r="C1065" s="38" t="s">
        <v>664</v>
      </c>
      <c r="D1065" s="38">
        <v>21</v>
      </c>
      <c r="E1065" s="39" t="str">
        <f>CONCATENATE("PS-",TEXT(A1065,"00"),"-",O1065)</f>
        <v>PS-22-GR2</v>
      </c>
      <c r="F1065" s="48" t="str">
        <f>CONCATENATE("Poste de Sectionnement n°",TEXT(A1065,"00")," ",O1065)</f>
        <v>Poste de Sectionnement n°22 GR2</v>
      </c>
      <c r="G1065" s="19">
        <v>36161</v>
      </c>
      <c r="H1065" s="19">
        <v>36161</v>
      </c>
      <c r="I1065" s="41" t="s">
        <v>20</v>
      </c>
      <c r="J1065" s="41">
        <v>1</v>
      </c>
      <c r="K1065" s="41" t="s">
        <v>3557</v>
      </c>
      <c r="L1065" s="41">
        <v>16</v>
      </c>
      <c r="M1065" s="41"/>
      <c r="N1065" s="41"/>
      <c r="O1065" s="41" t="s">
        <v>418</v>
      </c>
      <c r="P1065" s="41" t="s">
        <v>2585</v>
      </c>
      <c r="Q1065" s="43">
        <v>220</v>
      </c>
      <c r="R1065" s="43">
        <f>VALUE(SUBSTITUTE(P1065,"+",","))</f>
        <v>487</v>
      </c>
      <c r="S1065" s="41" t="s">
        <v>998</v>
      </c>
      <c r="T1065" s="48" t="str">
        <f t="shared" si="118"/>
        <v>(22,'PS-22-GR2','Poste de Sectionnement n°22 GR2','Friday-01-jj','Friday-01-jj',NULL,1,),</v>
      </c>
    </row>
    <row r="1066" spans="1:20" ht="20.100000000000001" customHeight="1" x14ac:dyDescent="0.25">
      <c r="A1066" s="38">
        <v>5</v>
      </c>
      <c r="B1066" s="38">
        <v>1071</v>
      </c>
      <c r="C1066" s="38" t="s">
        <v>664</v>
      </c>
      <c r="D1066" s="38">
        <v>21</v>
      </c>
      <c r="E1066" s="45" t="str">
        <f>CONCATENATE("PC-",TEXT(A1066,"00"),"-",O1066)</f>
        <v>PC-05-GR2</v>
      </c>
      <c r="F1066" s="48" t="str">
        <f>CONCATENATE("Poste de Coupure n°",TEXT(A1066,"00")," ",O1066)</f>
        <v>Poste de Coupure n°05 GR2</v>
      </c>
      <c r="G1066" s="19">
        <v>36161</v>
      </c>
      <c r="H1066" s="19">
        <v>36161</v>
      </c>
      <c r="I1066" s="41" t="s">
        <v>20</v>
      </c>
      <c r="J1066" s="41">
        <v>1</v>
      </c>
      <c r="K1066" s="41" t="s">
        <v>3556</v>
      </c>
      <c r="L1066" s="41">
        <v>15</v>
      </c>
      <c r="M1066" s="41"/>
      <c r="N1066" s="41"/>
      <c r="O1066" s="41" t="s">
        <v>418</v>
      </c>
      <c r="P1066" s="41" t="s">
        <v>2478</v>
      </c>
      <c r="Q1066" s="49">
        <f>VALUE(RIGHT(P1066,LEN(P1066)-SEARCH("/",P1066)))</f>
        <v>208</v>
      </c>
      <c r="R1066" s="43">
        <f>VALUE(SUBSTITUTE(LEFT(P1066,SEARCH("/",P1066)-1),"+",","))</f>
        <v>505.54</v>
      </c>
      <c r="S1066" s="41" t="s">
        <v>2488</v>
      </c>
      <c r="T1066" s="48" t="str">
        <f t="shared" si="118"/>
        <v>(5,'PC-05-GR2','Poste de Coupure n°05 GR2','Friday-01-jj','Friday-01-jj',NULL,1,),</v>
      </c>
    </row>
    <row r="1067" spans="1:20" ht="20.100000000000001" customHeight="1" x14ac:dyDescent="0.25">
      <c r="A1067" s="38">
        <v>23</v>
      </c>
      <c r="B1067" s="38">
        <v>1072</v>
      </c>
      <c r="C1067" s="38" t="s">
        <v>664</v>
      </c>
      <c r="D1067" s="38">
        <v>21</v>
      </c>
      <c r="E1067" s="39" t="str">
        <f>CONCATENATE("PS-",TEXT(A1067,"00"),"-",O1067)</f>
        <v>PS-23-GR2</v>
      </c>
      <c r="F1067" s="48" t="str">
        <f>CONCATENATE("Poste de Sectionnement n°",TEXT(A1067,"00")," ",O1067)</f>
        <v>Poste de Sectionnement n°23 GR2</v>
      </c>
      <c r="G1067" s="19">
        <v>36161</v>
      </c>
      <c r="H1067" s="19">
        <v>36161</v>
      </c>
      <c r="I1067" s="41" t="s">
        <v>20</v>
      </c>
      <c r="J1067" s="41">
        <v>1</v>
      </c>
      <c r="K1067" s="41" t="s">
        <v>3557</v>
      </c>
      <c r="L1067" s="41">
        <v>16</v>
      </c>
      <c r="M1067" s="41"/>
      <c r="N1067" s="41"/>
      <c r="O1067" s="41" t="s">
        <v>418</v>
      </c>
      <c r="P1067" s="41" t="s">
        <v>2586</v>
      </c>
      <c r="Q1067" s="43">
        <v>198</v>
      </c>
      <c r="R1067" s="43">
        <f>VALUE(SUBSTITUTE(P1067,"+",","))</f>
        <v>526.4</v>
      </c>
      <c r="S1067" s="41" t="s">
        <v>998</v>
      </c>
      <c r="T1067" s="48" t="str">
        <f t="shared" si="118"/>
        <v>(23,'PS-23-GR2','Poste de Sectionnement n°23 GR2','Friday-01-jj','Friday-01-jj',NULL,1,),</v>
      </c>
    </row>
    <row r="1068" spans="1:20" ht="20.100000000000001" customHeight="1" x14ac:dyDescent="0.25">
      <c r="A1068" s="38">
        <v>24</v>
      </c>
      <c r="B1068" s="38">
        <v>1073</v>
      </c>
      <c r="C1068" s="38" t="s">
        <v>664</v>
      </c>
      <c r="D1068" s="38">
        <v>21</v>
      </c>
      <c r="E1068" s="39" t="str">
        <f>CONCATENATE("PS-",TEXT(A1068,"00"),"-",O1068)</f>
        <v>PS-24-GR2</v>
      </c>
      <c r="F1068" s="48" t="str">
        <f>CONCATENATE("Poste de Sectionnement n°",TEXT(A1068,"00")," ",O1068)</f>
        <v>Poste de Sectionnement n°24 GR2</v>
      </c>
      <c r="G1068" s="19">
        <v>36161</v>
      </c>
      <c r="H1068" s="19">
        <v>36161</v>
      </c>
      <c r="I1068" s="41" t="s">
        <v>20</v>
      </c>
      <c r="J1068" s="41">
        <v>1</v>
      </c>
      <c r="K1068" s="41" t="s">
        <v>3557</v>
      </c>
      <c r="L1068" s="41">
        <v>16</v>
      </c>
      <c r="M1068" s="41"/>
      <c r="N1068" s="41"/>
      <c r="O1068" s="41" t="s">
        <v>418</v>
      </c>
      <c r="P1068" s="41" t="s">
        <v>2547</v>
      </c>
      <c r="Q1068" s="43">
        <v>186</v>
      </c>
      <c r="R1068" s="43">
        <f>VALUE(SUBSTITUTE(P1068,"+",","))</f>
        <v>547.1</v>
      </c>
      <c r="S1068" s="41" t="s">
        <v>998</v>
      </c>
      <c r="T1068" s="48" t="str">
        <f t="shared" si="118"/>
        <v>(24,'PS-24-GR2','Poste de Sectionnement n°24 GR2','Friday-01-jj','Friday-01-jj',NULL,1,),</v>
      </c>
    </row>
    <row r="1069" spans="1:20" ht="20.100000000000001" customHeight="1" x14ac:dyDescent="0.25">
      <c r="A1069" s="38">
        <v>25</v>
      </c>
      <c r="B1069" s="38">
        <v>1074</v>
      </c>
      <c r="C1069" s="38" t="s">
        <v>664</v>
      </c>
      <c r="D1069" s="38">
        <v>21</v>
      </c>
      <c r="E1069" s="39" t="str">
        <f>CONCATENATE("PS-",TEXT(A1069,"00"),"-",O1069)</f>
        <v>PS-25-GR2</v>
      </c>
      <c r="F1069" s="48" t="str">
        <f>CONCATENATE("Poste de Sectionnement n°",TEXT(A1069,"00")," ",O1069)</f>
        <v>Poste de Sectionnement n°25 GR2</v>
      </c>
      <c r="G1069" s="19">
        <v>36161</v>
      </c>
      <c r="H1069" s="19">
        <v>36161</v>
      </c>
      <c r="I1069" s="41" t="s">
        <v>20</v>
      </c>
      <c r="J1069" s="41">
        <v>1</v>
      </c>
      <c r="K1069" s="41" t="s">
        <v>3557</v>
      </c>
      <c r="L1069" s="41">
        <v>16</v>
      </c>
      <c r="M1069" s="41"/>
      <c r="N1069" s="41"/>
      <c r="O1069" s="41" t="s">
        <v>418</v>
      </c>
      <c r="P1069" s="41" t="s">
        <v>2548</v>
      </c>
      <c r="Q1069" s="43">
        <v>177</v>
      </c>
      <c r="R1069" s="43">
        <f>VALUE(SUBSTITUTE(P1069,"+",","))</f>
        <v>567.79999999999995</v>
      </c>
      <c r="S1069" s="41" t="s">
        <v>998</v>
      </c>
      <c r="T1069" s="48" t="str">
        <f t="shared" si="118"/>
        <v>(25,'PS-25-GR2','Poste de Sectionnement n°25 GR2','Friday-01-jj','Friday-01-jj',NULL,1,),</v>
      </c>
    </row>
    <row r="1070" spans="1:20" ht="20.100000000000001" customHeight="1" x14ac:dyDescent="0.25">
      <c r="A1070" s="38">
        <v>6</v>
      </c>
      <c r="B1070" s="38">
        <v>1075</v>
      </c>
      <c r="C1070" s="38" t="s">
        <v>664</v>
      </c>
      <c r="D1070" s="38">
        <v>21</v>
      </c>
      <c r="E1070" s="45" t="str">
        <f>CONCATENATE("PC-",TEXT(A1070,"00"),"-",O1070)</f>
        <v>PC-06-GR2</v>
      </c>
      <c r="F1070" s="48" t="str">
        <f>CONCATENATE("Poste de Coupure n°",TEXT(A1070,"00")," ",O1070)</f>
        <v>Poste de Coupure n°06 GR2</v>
      </c>
      <c r="G1070" s="19">
        <v>36161</v>
      </c>
      <c r="H1070" s="19">
        <v>36161</v>
      </c>
      <c r="I1070" s="41" t="s">
        <v>20</v>
      </c>
      <c r="J1070" s="41">
        <v>1</v>
      </c>
      <c r="K1070" s="41" t="s">
        <v>3556</v>
      </c>
      <c r="L1070" s="41">
        <v>15</v>
      </c>
      <c r="M1070" s="41"/>
      <c r="N1070" s="41"/>
      <c r="O1070" s="41" t="s">
        <v>418</v>
      </c>
      <c r="P1070" s="41" t="s">
        <v>2479</v>
      </c>
      <c r="Q1070" s="49">
        <f>VALUE(RIGHT(P1070,LEN(P1070)-SEARCH("/",P1070)))</f>
        <v>166</v>
      </c>
      <c r="R1070" s="43">
        <f>VALUE(SUBSTITUTE(LEFT(P1070,SEARCH("/",P1070)-1),"+",","))</f>
        <v>588.35</v>
      </c>
      <c r="S1070" s="41" t="s">
        <v>2489</v>
      </c>
      <c r="T1070" s="48" t="str">
        <f t="shared" si="118"/>
        <v>(6,'PC-06-GR2','Poste de Coupure n°06 GR2','Friday-01-jj','Friday-01-jj',NULL,1,),</v>
      </c>
    </row>
    <row r="1071" spans="1:20" ht="20.100000000000001" customHeight="1" x14ac:dyDescent="0.25">
      <c r="A1071" s="38">
        <v>4</v>
      </c>
      <c r="B1071" s="38">
        <v>1076</v>
      </c>
      <c r="C1071" s="38" t="s">
        <v>664</v>
      </c>
      <c r="D1071" s="38">
        <v>21</v>
      </c>
      <c r="E1071" s="39" t="s">
        <v>226</v>
      </c>
      <c r="F1071" s="48" t="str">
        <f>CONCATENATE("Station de Compression ",E1071)</f>
        <v>Station de Compression SC2-GR2</v>
      </c>
      <c r="G1071" s="19">
        <v>37898</v>
      </c>
      <c r="H1071" s="19">
        <v>37898</v>
      </c>
      <c r="I1071" s="41" t="s">
        <v>20</v>
      </c>
      <c r="J1071" s="41">
        <v>1</v>
      </c>
      <c r="K1071" s="41" t="s">
        <v>3554</v>
      </c>
      <c r="L1071" s="41">
        <v>8</v>
      </c>
      <c r="M1071" s="41">
        <v>10</v>
      </c>
      <c r="N1071" s="41"/>
      <c r="O1071" s="41" t="s">
        <v>418</v>
      </c>
      <c r="P1071" s="41" t="s">
        <v>2479</v>
      </c>
      <c r="Q1071" s="49">
        <f>VALUE(RIGHT(P1071,LEN(P1071)-SEARCH("/",P1071)))</f>
        <v>166</v>
      </c>
      <c r="R1071" s="43">
        <f>VALUE(SUBSTITUTE(LEFT(P1071,SEARCH("/",P1071)-1),"+",","))</f>
        <v>588.35</v>
      </c>
      <c r="S1071" s="41" t="s">
        <v>3588</v>
      </c>
      <c r="T1071" s="48" t="str">
        <f t="shared" si="118"/>
        <v>(4,'SC2-GR2','Station de Compression SC2-GR2','Saturday-10-jj','Saturday-10-jj',NULL,1,10),</v>
      </c>
    </row>
    <row r="1072" spans="1:20" ht="20.100000000000001" customHeight="1" x14ac:dyDescent="0.25">
      <c r="A1072" s="38">
        <v>26</v>
      </c>
      <c r="B1072" s="38">
        <v>1077</v>
      </c>
      <c r="C1072" s="38" t="s">
        <v>664</v>
      </c>
      <c r="D1072" s="38">
        <v>21</v>
      </c>
      <c r="E1072" s="39" t="str">
        <f>CONCATENATE("PS-",TEXT(A1072,"00"),"-",O1072)</f>
        <v>PS-26-GR2</v>
      </c>
      <c r="F1072" s="48" t="str">
        <f>CONCATENATE("Poste de Sectionnement n°",TEXT(A1072,"00")," ",O1072)</f>
        <v>Poste de Sectionnement n°26 GR2</v>
      </c>
      <c r="G1072" s="19">
        <v>36161</v>
      </c>
      <c r="H1072" s="19">
        <v>36161</v>
      </c>
      <c r="I1072" s="41" t="s">
        <v>20</v>
      </c>
      <c r="J1072" s="41">
        <v>1</v>
      </c>
      <c r="K1072" s="41" t="s">
        <v>3557</v>
      </c>
      <c r="L1072" s="41">
        <v>16</v>
      </c>
      <c r="M1072" s="41"/>
      <c r="N1072" s="41"/>
      <c r="O1072" s="41" t="s">
        <v>418</v>
      </c>
      <c r="P1072" s="41" t="s">
        <v>2549</v>
      </c>
      <c r="Q1072" s="43">
        <v>158</v>
      </c>
      <c r="R1072" s="43">
        <f>VALUE(SUBSTITUTE(P1072,"+",","))</f>
        <v>607</v>
      </c>
      <c r="S1072" s="41" t="s">
        <v>998</v>
      </c>
      <c r="T1072" s="48" t="str">
        <f t="shared" si="118"/>
        <v>(26,'PS-26-GR2','Poste de Sectionnement n°26 GR2','Friday-01-jj','Friday-01-jj',NULL,1,),</v>
      </c>
    </row>
    <row r="1073" spans="1:20" ht="20.100000000000001" customHeight="1" x14ac:dyDescent="0.25">
      <c r="A1073" s="38">
        <v>27</v>
      </c>
      <c r="B1073" s="38">
        <v>1078</v>
      </c>
      <c r="C1073" s="38" t="s">
        <v>664</v>
      </c>
      <c r="D1073" s="38">
        <v>21</v>
      </c>
      <c r="E1073" s="39" t="str">
        <f>CONCATENATE("PS-",TEXT(A1073,"00"),"-",O1073)</f>
        <v>PS-27-GR2</v>
      </c>
      <c r="F1073" s="48" t="str">
        <f>CONCATENATE("Poste de Sectionnement n°",TEXT(A1073,"00")," ",O1073)</f>
        <v>Poste de Sectionnement n°27 GR2</v>
      </c>
      <c r="G1073" s="19">
        <v>36161</v>
      </c>
      <c r="H1073" s="19">
        <v>36161</v>
      </c>
      <c r="I1073" s="41" t="s">
        <v>20</v>
      </c>
      <c r="J1073" s="41">
        <v>1</v>
      </c>
      <c r="K1073" s="41" t="s">
        <v>3557</v>
      </c>
      <c r="L1073" s="41">
        <v>16</v>
      </c>
      <c r="M1073" s="41"/>
      <c r="N1073" s="41"/>
      <c r="O1073" s="41" t="s">
        <v>418</v>
      </c>
      <c r="P1073" s="41" t="s">
        <v>2550</v>
      </c>
      <c r="Q1073" s="43">
        <v>150</v>
      </c>
      <c r="R1073" s="43">
        <f>VALUE(SUBSTITUTE(P1073,"+",","))</f>
        <v>625.79999999999995</v>
      </c>
      <c r="S1073" s="41" t="s">
        <v>998</v>
      </c>
      <c r="T1073" s="48" t="str">
        <f t="shared" si="118"/>
        <v>(27,'PS-27-GR2','Poste de Sectionnement n°27 GR2','Friday-01-jj','Friday-01-jj',NULL,1,),</v>
      </c>
    </row>
    <row r="1074" spans="1:20" ht="20.100000000000001" customHeight="1" x14ac:dyDescent="0.25">
      <c r="A1074" s="38">
        <v>28</v>
      </c>
      <c r="B1074" s="38">
        <v>1079</v>
      </c>
      <c r="C1074" s="38" t="s">
        <v>664</v>
      </c>
      <c r="D1074" s="38">
        <v>21</v>
      </c>
      <c r="E1074" s="39" t="str">
        <f>CONCATENATE("PS-",TEXT(A1074,"00"),"-",O1074)</f>
        <v>PS-28-GR2</v>
      </c>
      <c r="F1074" s="48" t="str">
        <f>CONCATENATE("Poste de Sectionnement n°",TEXT(A1074,"00")," ",O1074)</f>
        <v>Poste de Sectionnement n°28 GR2</v>
      </c>
      <c r="G1074" s="19">
        <v>36161</v>
      </c>
      <c r="H1074" s="19">
        <v>36161</v>
      </c>
      <c r="I1074" s="41" t="s">
        <v>20</v>
      </c>
      <c r="J1074" s="41">
        <v>1</v>
      </c>
      <c r="K1074" s="41" t="s">
        <v>3557</v>
      </c>
      <c r="L1074" s="41">
        <v>16</v>
      </c>
      <c r="M1074" s="41"/>
      <c r="N1074" s="41"/>
      <c r="O1074" s="41" t="s">
        <v>418</v>
      </c>
      <c r="P1074" s="41" t="s">
        <v>2551</v>
      </c>
      <c r="Q1074" s="43">
        <v>148</v>
      </c>
      <c r="R1074" s="43">
        <f>VALUE(SUBSTITUTE(P1074,"+",","))</f>
        <v>640.9</v>
      </c>
      <c r="S1074" s="41" t="s">
        <v>998</v>
      </c>
      <c r="T1074" s="48" t="str">
        <f t="shared" si="118"/>
        <v>(28,'PS-28-GR2','Poste de Sectionnement n°28 GR2','Friday-01-jj','Friday-01-jj',NULL,1,),</v>
      </c>
    </row>
    <row r="1075" spans="1:20" ht="20.100000000000001" customHeight="1" x14ac:dyDescent="0.25">
      <c r="A1075" s="38">
        <v>7</v>
      </c>
      <c r="B1075" s="38">
        <v>1080</v>
      </c>
      <c r="C1075" s="38" t="s">
        <v>664</v>
      </c>
      <c r="D1075" s="38">
        <v>21</v>
      </c>
      <c r="E1075" s="45" t="str">
        <f>CONCATENATE("PC-",TEXT(A1075,"00"),"-",O1075)</f>
        <v>PC-07-GR2</v>
      </c>
      <c r="F1075" s="48" t="str">
        <f>CONCATENATE("Poste de Coupure n°",TEXT(A1075,"00")," ",O1075)</f>
        <v>Poste de Coupure n°07 GR2</v>
      </c>
      <c r="G1075" s="19">
        <v>36161</v>
      </c>
      <c r="H1075" s="19">
        <v>36161</v>
      </c>
      <c r="I1075" s="41" t="s">
        <v>20</v>
      </c>
      <c r="J1075" s="41">
        <v>1</v>
      </c>
      <c r="K1075" s="41" t="s">
        <v>3556</v>
      </c>
      <c r="L1075" s="41">
        <v>15</v>
      </c>
      <c r="M1075" s="41"/>
      <c r="N1075" s="41"/>
      <c r="O1075" s="41" t="s">
        <v>418</v>
      </c>
      <c r="P1075" s="41" t="s">
        <v>2480</v>
      </c>
      <c r="Q1075" s="49">
        <f>VALUE(RIGHT(P1075,LEN(P1075)-SEARCH("/",P1075)))</f>
        <v>169</v>
      </c>
      <c r="R1075" s="43">
        <f>VALUE(SUBSTITUTE(LEFT(P1075,SEARCH("/",P1075)-1),"+",","))</f>
        <v>655.66</v>
      </c>
      <c r="S1075" s="41" t="s">
        <v>2492</v>
      </c>
      <c r="T1075" s="48" t="str">
        <f t="shared" si="118"/>
        <v>(7,'PC-07-GR2','Poste de Coupure n°07 GR2','Friday-01-jj','Friday-01-jj',NULL,1,),</v>
      </c>
    </row>
    <row r="1076" spans="1:20" ht="20.100000000000001" customHeight="1" x14ac:dyDescent="0.25">
      <c r="A1076" s="38">
        <v>29</v>
      </c>
      <c r="B1076" s="38">
        <v>1081</v>
      </c>
      <c r="C1076" s="38" t="s">
        <v>664</v>
      </c>
      <c r="D1076" s="38">
        <v>21</v>
      </c>
      <c r="E1076" s="39" t="str">
        <f>CONCATENATE("PS-",TEXT(A1076,"00"),"-",O1076)</f>
        <v>PS-29-GR2</v>
      </c>
      <c r="F1076" s="48" t="str">
        <f>CONCATENATE("Poste de Sectionnement n°",TEXT(A1076,"00")," ",O1076)</f>
        <v>Poste de Sectionnement n°29 GR2</v>
      </c>
      <c r="G1076" s="19">
        <v>36161</v>
      </c>
      <c r="H1076" s="19">
        <v>36161</v>
      </c>
      <c r="I1076" s="41" t="s">
        <v>20</v>
      </c>
      <c r="J1076" s="41">
        <v>1</v>
      </c>
      <c r="K1076" s="41" t="s">
        <v>3557</v>
      </c>
      <c r="L1076" s="41">
        <v>16</v>
      </c>
      <c r="M1076" s="41"/>
      <c r="N1076" s="41"/>
      <c r="O1076" s="41" t="s">
        <v>418</v>
      </c>
      <c r="P1076" s="41" t="s">
        <v>2552</v>
      </c>
      <c r="Q1076" s="43">
        <v>156</v>
      </c>
      <c r="R1076" s="43">
        <f>VALUE(SUBSTITUTE(P1076,"+",","))</f>
        <v>675.81899999999996</v>
      </c>
      <c r="S1076" s="41" t="s">
        <v>2544</v>
      </c>
      <c r="T1076" s="48" t="str">
        <f t="shared" si="118"/>
        <v>(29,'PS-29-GR2','Poste de Sectionnement n°29 GR2','Friday-01-jj','Friday-01-jj',NULL,1,),</v>
      </c>
    </row>
    <row r="1077" spans="1:20" ht="20.100000000000001" customHeight="1" x14ac:dyDescent="0.25">
      <c r="A1077" s="38">
        <v>30</v>
      </c>
      <c r="B1077" s="38">
        <v>1082</v>
      </c>
      <c r="C1077" s="38" t="s">
        <v>664</v>
      </c>
      <c r="D1077" s="38">
        <v>21</v>
      </c>
      <c r="E1077" s="39" t="str">
        <f>CONCATENATE("PS-",TEXT(A1077,"00"),"-",O1077)</f>
        <v>PS-30-GR2</v>
      </c>
      <c r="F1077" s="48" t="str">
        <f>CONCATENATE("Poste de Sectionnement n°",TEXT(A1077,"00")," ",O1077)</f>
        <v>Poste de Sectionnement n°30 GR2</v>
      </c>
      <c r="G1077" s="19">
        <v>36161</v>
      </c>
      <c r="H1077" s="19">
        <v>36161</v>
      </c>
      <c r="I1077" s="41" t="s">
        <v>20</v>
      </c>
      <c r="J1077" s="41">
        <v>1</v>
      </c>
      <c r="K1077" s="41" t="s">
        <v>3557</v>
      </c>
      <c r="L1077" s="41">
        <v>16</v>
      </c>
      <c r="M1077" s="41"/>
      <c r="N1077" s="41"/>
      <c r="O1077" s="41" t="s">
        <v>418</v>
      </c>
      <c r="P1077" s="41" t="s">
        <v>2553</v>
      </c>
      <c r="Q1077" s="43">
        <v>174</v>
      </c>
      <c r="R1077" s="43">
        <f>VALUE(SUBSTITUTE(P1077,"+",","))</f>
        <v>695.59900000000005</v>
      </c>
      <c r="S1077" s="41" t="s">
        <v>2544</v>
      </c>
      <c r="T1077" s="48" t="str">
        <f t="shared" si="118"/>
        <v>(30,'PS-30-GR2','Poste de Sectionnement n°30 GR2','Friday-01-jj','Friday-01-jj',NULL,1,),</v>
      </c>
    </row>
    <row r="1078" spans="1:20" ht="20.100000000000001" customHeight="1" x14ac:dyDescent="0.25">
      <c r="A1078" s="38">
        <v>31</v>
      </c>
      <c r="B1078" s="38">
        <v>1083</v>
      </c>
      <c r="C1078" s="38" t="s">
        <v>664</v>
      </c>
      <c r="D1078" s="38">
        <v>21</v>
      </c>
      <c r="E1078" s="39" t="str">
        <f>CONCATENATE("PS-",TEXT(A1078,"00"),"-",O1078)</f>
        <v>PS-31-GR2</v>
      </c>
      <c r="F1078" s="48" t="str">
        <f>CONCATENATE("Poste de Sectionnement n°",TEXT(A1078,"00")," ",O1078)</f>
        <v>Poste de Sectionnement n°31 GR2</v>
      </c>
      <c r="G1078" s="19">
        <v>36161</v>
      </c>
      <c r="H1078" s="19">
        <v>36161</v>
      </c>
      <c r="I1078" s="41" t="s">
        <v>20</v>
      </c>
      <c r="J1078" s="41">
        <v>1</v>
      </c>
      <c r="K1078" s="41" t="s">
        <v>3557</v>
      </c>
      <c r="L1078" s="41">
        <v>16</v>
      </c>
      <c r="M1078" s="41"/>
      <c r="N1078" s="41"/>
      <c r="O1078" s="41" t="s">
        <v>418</v>
      </c>
      <c r="P1078" s="41" t="s">
        <v>2554</v>
      </c>
      <c r="Q1078" s="43">
        <v>149</v>
      </c>
      <c r="R1078" s="43">
        <f>VALUE(SUBSTITUTE(P1078,"+",","))</f>
        <v>714.96100000000001</v>
      </c>
      <c r="S1078" s="41" t="s">
        <v>2544</v>
      </c>
      <c r="T1078" s="48" t="str">
        <f t="shared" si="118"/>
        <v>(31,'PS-31-GR2','Poste de Sectionnement n°31 GR2','Friday-01-jj','Friday-01-jj',NULL,1,),</v>
      </c>
    </row>
    <row r="1079" spans="1:20" ht="20.100000000000001" customHeight="1" x14ac:dyDescent="0.25">
      <c r="A1079" s="38">
        <v>32</v>
      </c>
      <c r="B1079" s="38">
        <v>1084</v>
      </c>
      <c r="C1079" s="38" t="s">
        <v>664</v>
      </c>
      <c r="D1079" s="38">
        <v>21</v>
      </c>
      <c r="E1079" s="39" t="str">
        <f>CONCATENATE("PS-",TEXT(A1079,"00"),"-",O1079)</f>
        <v>PS-32-GR2</v>
      </c>
      <c r="F1079" s="48" t="str">
        <f>CONCATENATE("Poste de Sectionnement n°",TEXT(A1079,"00")," ",O1079)</f>
        <v>Poste de Sectionnement n°32 GR2</v>
      </c>
      <c r="G1079" s="19">
        <v>36161</v>
      </c>
      <c r="H1079" s="19">
        <v>36161</v>
      </c>
      <c r="I1079" s="41" t="s">
        <v>20</v>
      </c>
      <c r="J1079" s="41">
        <v>1</v>
      </c>
      <c r="K1079" s="41" t="s">
        <v>3557</v>
      </c>
      <c r="L1079" s="41">
        <v>16</v>
      </c>
      <c r="M1079" s="41"/>
      <c r="N1079" s="41"/>
      <c r="O1079" s="41" t="s">
        <v>418</v>
      </c>
      <c r="P1079" s="41" t="s">
        <v>2555</v>
      </c>
      <c r="Q1079" s="43">
        <v>135</v>
      </c>
      <c r="R1079" s="43">
        <f>VALUE(SUBSTITUTE(P1079,"+",","))</f>
        <v>733.50900000000001</v>
      </c>
      <c r="S1079" s="41" t="s">
        <v>2545</v>
      </c>
      <c r="T1079" s="48" t="str">
        <f t="shared" si="118"/>
        <v>(32,'PS-32-GR2','Poste de Sectionnement n°32 GR2','Friday-01-jj','Friday-01-jj',NULL,1,),</v>
      </c>
    </row>
    <row r="1080" spans="1:20" ht="20.100000000000001" customHeight="1" x14ac:dyDescent="0.25">
      <c r="A1080" s="38">
        <v>33</v>
      </c>
      <c r="B1080" s="38">
        <v>1085</v>
      </c>
      <c r="C1080" s="38" t="s">
        <v>664</v>
      </c>
      <c r="D1080" s="38">
        <v>21</v>
      </c>
      <c r="E1080" s="39" t="str">
        <f>CONCATENATE("PS-",TEXT(A1080,"00"),"-",O1080)</f>
        <v>PS-33-GR2</v>
      </c>
      <c r="F1080" s="48" t="str">
        <f>CONCATENATE("Poste de Sectionnement n°",TEXT(A1080,"00")," ",O1080)</f>
        <v>Poste de Sectionnement n°33 GR2</v>
      </c>
      <c r="G1080" s="19">
        <v>36161</v>
      </c>
      <c r="H1080" s="19">
        <v>36161</v>
      </c>
      <c r="I1080" s="41" t="s">
        <v>20</v>
      </c>
      <c r="J1080" s="41">
        <v>1</v>
      </c>
      <c r="K1080" s="41" t="s">
        <v>3557</v>
      </c>
      <c r="L1080" s="41">
        <v>16</v>
      </c>
      <c r="M1080" s="41"/>
      <c r="N1080" s="41"/>
      <c r="O1080" s="41" t="s">
        <v>418</v>
      </c>
      <c r="P1080" s="41" t="s">
        <v>2556</v>
      </c>
      <c r="Q1080" s="43">
        <v>189</v>
      </c>
      <c r="R1080" s="43">
        <f>VALUE(SUBSTITUTE(P1080,"+",","))</f>
        <v>749.38599999999997</v>
      </c>
      <c r="S1080" s="41" t="s">
        <v>744</v>
      </c>
      <c r="T1080" s="48" t="str">
        <f t="shared" si="118"/>
        <v>(33,'PS-33-GR2','Poste de Sectionnement n°33 GR2','Friday-01-jj','Friday-01-jj',NULL,1,),</v>
      </c>
    </row>
    <row r="1081" spans="1:20" ht="20.100000000000001" customHeight="1" x14ac:dyDescent="0.25">
      <c r="A1081" s="38">
        <v>8</v>
      </c>
      <c r="B1081" s="38">
        <v>1086</v>
      </c>
      <c r="C1081" s="38" t="s">
        <v>664</v>
      </c>
      <c r="D1081" s="38">
        <v>21</v>
      </c>
      <c r="E1081" s="45" t="str">
        <f>CONCATENATE("PC-",TEXT(A1081,"00"),"-",O1081)</f>
        <v>PC-08-GR2</v>
      </c>
      <c r="F1081" s="48" t="str">
        <f>CONCATENATE("Poste de Coupure n°",TEXT(A1081,"00")," ",O1081)</f>
        <v>Poste de Coupure n°08 GR2</v>
      </c>
      <c r="G1081" s="19">
        <v>36161</v>
      </c>
      <c r="H1081" s="19">
        <v>36161</v>
      </c>
      <c r="I1081" s="41" t="s">
        <v>20</v>
      </c>
      <c r="J1081" s="41">
        <v>1</v>
      </c>
      <c r="K1081" s="41" t="s">
        <v>3556</v>
      </c>
      <c r="L1081" s="41">
        <v>15</v>
      </c>
      <c r="M1081" s="41"/>
      <c r="N1081" s="41"/>
      <c r="O1081" s="41" t="s">
        <v>418</v>
      </c>
      <c r="P1081" s="41" t="s">
        <v>2481</v>
      </c>
      <c r="Q1081" s="49">
        <f>VALUE(RIGHT(P1081,LEN(P1081)-SEARCH("/",P1081)))</f>
        <v>226</v>
      </c>
      <c r="R1081" s="43">
        <f>VALUE(SUBSTITUTE(LEFT(P1081,SEARCH("/",P1081)-1),"+",","))</f>
        <v>766.61099999999999</v>
      </c>
      <c r="S1081" s="41" t="s">
        <v>2491</v>
      </c>
      <c r="T1081" s="48" t="str">
        <f t="shared" si="118"/>
        <v>(8,'PC-08-GR2','Poste de Coupure n°08 GR2','Friday-01-jj','Friday-01-jj',NULL,1,),</v>
      </c>
    </row>
    <row r="1082" spans="1:20" ht="20.100000000000001" customHeight="1" x14ac:dyDescent="0.25">
      <c r="A1082" s="38">
        <v>5</v>
      </c>
      <c r="B1082" s="38">
        <v>1087</v>
      </c>
      <c r="C1082" s="38" t="s">
        <v>664</v>
      </c>
      <c r="D1082" s="38">
        <v>21</v>
      </c>
      <c r="E1082" s="39" t="s">
        <v>228</v>
      </c>
      <c r="F1082" s="48" t="str">
        <f>CONCATENATE("Station de Compression ",E1082)</f>
        <v>Station de Compression SC3-GR2</v>
      </c>
      <c r="G1082" s="19">
        <v>38718</v>
      </c>
      <c r="H1082" s="19">
        <v>44562</v>
      </c>
      <c r="I1082" s="41" t="s">
        <v>20</v>
      </c>
      <c r="J1082" s="41">
        <v>1</v>
      </c>
      <c r="K1082" s="41" t="s">
        <v>3554</v>
      </c>
      <c r="L1082" s="41">
        <v>8</v>
      </c>
      <c r="M1082" s="41">
        <v>10</v>
      </c>
      <c r="N1082" s="41"/>
      <c r="O1082" s="41" t="s">
        <v>418</v>
      </c>
      <c r="P1082" s="41" t="s">
        <v>2481</v>
      </c>
      <c r="Q1082" s="49">
        <f>VALUE(RIGHT(P1082,LEN(P1082)-SEARCH("/",P1082)))</f>
        <v>226</v>
      </c>
      <c r="R1082" s="43">
        <f>VALUE(SUBSTITUTE(LEFT(P1082,SEARCH("/",P1082)-1),"+",","))</f>
        <v>766.61099999999999</v>
      </c>
      <c r="S1082" s="41" t="s">
        <v>3589</v>
      </c>
      <c r="T1082" s="48" t="str">
        <f t="shared" si="118"/>
        <v>(5,'SC3-GR2','Station de Compression SC3-GR2','Sunday-01-jj','Saturday-01-jj',NULL,1,10),</v>
      </c>
    </row>
    <row r="1083" spans="1:20" ht="20.100000000000001" customHeight="1" x14ac:dyDescent="0.25">
      <c r="A1083" s="38">
        <v>34</v>
      </c>
      <c r="B1083" s="38">
        <v>1088</v>
      </c>
      <c r="C1083" s="38" t="s">
        <v>664</v>
      </c>
      <c r="D1083" s="38">
        <v>21</v>
      </c>
      <c r="E1083" s="39" t="str">
        <f>CONCATENATE("PS-",TEXT(A1083,"00"),"-",O1083)</f>
        <v>PS-34-GR2</v>
      </c>
      <c r="F1083" s="48" t="str">
        <f>CONCATENATE("Poste de Sectionnement n°",TEXT(A1083,"00")," ",O1083)</f>
        <v>Poste de Sectionnement n°34 GR2</v>
      </c>
      <c r="G1083" s="19">
        <v>36161</v>
      </c>
      <c r="H1083" s="19">
        <v>36161</v>
      </c>
      <c r="I1083" s="41" t="s">
        <v>20</v>
      </c>
      <c r="J1083" s="41">
        <v>1</v>
      </c>
      <c r="K1083" s="41" t="s">
        <v>3557</v>
      </c>
      <c r="L1083" s="41">
        <v>16</v>
      </c>
      <c r="M1083" s="41"/>
      <c r="N1083" s="41"/>
      <c r="O1083" s="41" t="s">
        <v>418</v>
      </c>
      <c r="P1083" s="41" t="s">
        <v>2557</v>
      </c>
      <c r="Q1083" s="43">
        <v>246</v>
      </c>
      <c r="R1083" s="43">
        <f>VALUE(SUBSTITUTE(P1083,"+",","))</f>
        <v>789.98599999999999</v>
      </c>
      <c r="S1083" s="41" t="s">
        <v>744</v>
      </c>
      <c r="T1083" s="48" t="str">
        <f t="shared" si="118"/>
        <v>(34,'PS-34-GR2','Poste de Sectionnement n°34 GR2','Friday-01-jj','Friday-01-jj',NULL,1,),</v>
      </c>
    </row>
    <row r="1084" spans="1:20" ht="20.100000000000001" customHeight="1" x14ac:dyDescent="0.25">
      <c r="A1084" s="38">
        <v>35</v>
      </c>
      <c r="B1084" s="38">
        <v>1089</v>
      </c>
      <c r="C1084" s="38" t="s">
        <v>664</v>
      </c>
      <c r="D1084" s="38">
        <v>21</v>
      </c>
      <c r="E1084" s="39" t="str">
        <f>CONCATENATE("PS-",TEXT(A1084,"00"),"-",O1084)</f>
        <v>PS-35-GR2</v>
      </c>
      <c r="F1084" s="48" t="str">
        <f>CONCATENATE("Poste de Sectionnement n°",TEXT(A1084,"00")," ",O1084)</f>
        <v>Poste de Sectionnement n°35 GR2</v>
      </c>
      <c r="G1084" s="19">
        <v>36161</v>
      </c>
      <c r="H1084" s="19">
        <v>36161</v>
      </c>
      <c r="I1084" s="41" t="s">
        <v>20</v>
      </c>
      <c r="J1084" s="41">
        <v>1</v>
      </c>
      <c r="K1084" s="41" t="s">
        <v>3557</v>
      </c>
      <c r="L1084" s="41">
        <v>16</v>
      </c>
      <c r="M1084" s="41"/>
      <c r="N1084" s="41"/>
      <c r="O1084" s="41" t="s">
        <v>418</v>
      </c>
      <c r="P1084" s="41" t="s">
        <v>2558</v>
      </c>
      <c r="Q1084" s="43">
        <v>276</v>
      </c>
      <c r="R1084" s="43">
        <f>VALUE(SUBSTITUTE(P1084,"+",","))</f>
        <v>810.49800000000005</v>
      </c>
      <c r="S1084" s="41" t="s">
        <v>744</v>
      </c>
      <c r="T1084" s="48" t="str">
        <f t="shared" si="118"/>
        <v>(35,'PS-35-GR2','Poste de Sectionnement n°35 GR2','Friday-01-jj','Friday-01-jj',NULL,1,),</v>
      </c>
    </row>
    <row r="1085" spans="1:20" ht="20.100000000000001" customHeight="1" x14ac:dyDescent="0.25">
      <c r="A1085" s="38">
        <v>36</v>
      </c>
      <c r="B1085" s="38">
        <v>1090</v>
      </c>
      <c r="C1085" s="38" t="s">
        <v>664</v>
      </c>
      <c r="D1085" s="38">
        <v>21</v>
      </c>
      <c r="E1085" s="39" t="str">
        <f>CONCATENATE("PS-",TEXT(A1085,"00"),"-",O1085)</f>
        <v>PS-36-GR2</v>
      </c>
      <c r="F1085" s="48" t="str">
        <f>CONCATENATE("Poste de Sectionnement n°",TEXT(A1085,"00")," ",O1085)</f>
        <v>Poste de Sectionnement n°36 GR2</v>
      </c>
      <c r="G1085" s="19">
        <v>36161</v>
      </c>
      <c r="H1085" s="19">
        <v>36161</v>
      </c>
      <c r="I1085" s="41" t="s">
        <v>20</v>
      </c>
      <c r="J1085" s="41">
        <v>1</v>
      </c>
      <c r="K1085" s="41" t="s">
        <v>3557</v>
      </c>
      <c r="L1085" s="41">
        <v>16</v>
      </c>
      <c r="M1085" s="41"/>
      <c r="N1085" s="41"/>
      <c r="O1085" s="41" t="s">
        <v>418</v>
      </c>
      <c r="P1085" s="41" t="s">
        <v>2559</v>
      </c>
      <c r="Q1085" s="43">
        <v>316</v>
      </c>
      <c r="R1085" s="43">
        <f>VALUE(SUBSTITUTE(P1085,"+",","))</f>
        <v>829.98800000000006</v>
      </c>
      <c r="S1085" s="41" t="s">
        <v>745</v>
      </c>
      <c r="T1085" s="48" t="str">
        <f t="shared" si="118"/>
        <v>(36,'PS-36-GR2','Poste de Sectionnement n°36 GR2','Friday-01-jj','Friday-01-jj',NULL,1,),</v>
      </c>
    </row>
    <row r="1086" spans="1:20" ht="20.100000000000001" customHeight="1" x14ac:dyDescent="0.25">
      <c r="A1086" s="38">
        <v>37</v>
      </c>
      <c r="B1086" s="38">
        <v>1091</v>
      </c>
      <c r="C1086" s="38" t="s">
        <v>664</v>
      </c>
      <c r="D1086" s="38">
        <v>21</v>
      </c>
      <c r="E1086" s="39" t="str">
        <f>CONCATENATE("PS-",TEXT(A1086,"00"),"-",O1086)</f>
        <v>PS-37-GR2</v>
      </c>
      <c r="F1086" s="48" t="str">
        <f>CONCATENATE("Poste de Sectionnement n°",TEXT(A1086,"00")," ",O1086)</f>
        <v>Poste de Sectionnement n°37 GR2</v>
      </c>
      <c r="G1086" s="19">
        <v>36161</v>
      </c>
      <c r="H1086" s="19">
        <v>36161</v>
      </c>
      <c r="I1086" s="41" t="s">
        <v>20</v>
      </c>
      <c r="J1086" s="41">
        <v>1</v>
      </c>
      <c r="K1086" s="41" t="s">
        <v>3557</v>
      </c>
      <c r="L1086" s="41">
        <v>16</v>
      </c>
      <c r="M1086" s="41"/>
      <c r="N1086" s="41"/>
      <c r="O1086" s="41" t="s">
        <v>418</v>
      </c>
      <c r="P1086" s="41" t="s">
        <v>2560</v>
      </c>
      <c r="Q1086" s="43">
        <v>346</v>
      </c>
      <c r="R1086" s="43">
        <f>VALUE(SUBSTITUTE(P1086,"+",","))</f>
        <v>850.62199999999996</v>
      </c>
      <c r="S1086" s="41" t="s">
        <v>745</v>
      </c>
      <c r="T1086" s="48" t="str">
        <f t="shared" si="118"/>
        <v>(37,'PS-37-GR2','Poste de Sectionnement n°37 GR2','Friday-01-jj','Friday-01-jj',NULL,1,),</v>
      </c>
    </row>
    <row r="1087" spans="1:20" ht="20.100000000000001" customHeight="1" x14ac:dyDescent="0.25">
      <c r="A1087" s="38">
        <v>9</v>
      </c>
      <c r="B1087" s="38">
        <v>1092</v>
      </c>
      <c r="C1087" s="38" t="s">
        <v>664</v>
      </c>
      <c r="D1087" s="38">
        <v>21</v>
      </c>
      <c r="E1087" s="45" t="str">
        <f>CONCATENATE("PC-",TEXT(A1087,"00"),"-",O1087)</f>
        <v>PC-09-GR2</v>
      </c>
      <c r="F1087" s="48" t="str">
        <f>CONCATENATE("Poste de Coupure n°",TEXT(A1087,"00")," ",O1087)</f>
        <v>Poste de Coupure n°09 GR2</v>
      </c>
      <c r="G1087" s="19">
        <v>36161</v>
      </c>
      <c r="H1087" s="19">
        <v>36161</v>
      </c>
      <c r="I1087" s="41" t="s">
        <v>20</v>
      </c>
      <c r="J1087" s="41">
        <v>1</v>
      </c>
      <c r="K1087" s="41" t="s">
        <v>3556</v>
      </c>
      <c r="L1087" s="41">
        <v>15</v>
      </c>
      <c r="M1087" s="41"/>
      <c r="N1087" s="41"/>
      <c r="O1087" s="41" t="s">
        <v>418</v>
      </c>
      <c r="P1087" s="41" t="s">
        <v>2482</v>
      </c>
      <c r="Q1087" s="49">
        <f>VALUE(RIGHT(P1087,LEN(P1087)-SEARCH("/",P1087)))</f>
        <v>400</v>
      </c>
      <c r="R1087" s="43">
        <f>VALUE(SUBSTITUTE(LEFT(P1087,SEARCH("/",P1087)-1),"+",","))</f>
        <v>867.89</v>
      </c>
      <c r="S1087" s="41" t="s">
        <v>745</v>
      </c>
      <c r="T1087" s="48" t="str">
        <f t="shared" si="118"/>
        <v>(9,'PC-09-GR2','Poste de Coupure n°09 GR2','Friday-01-jj','Friday-01-jj',NULL,1,),</v>
      </c>
    </row>
    <row r="1088" spans="1:20" ht="20.100000000000001" customHeight="1" x14ac:dyDescent="0.25">
      <c r="A1088" s="38">
        <v>38</v>
      </c>
      <c r="B1088" s="38">
        <v>1093</v>
      </c>
      <c r="C1088" s="38" t="s">
        <v>664</v>
      </c>
      <c r="D1088" s="38">
        <v>21</v>
      </c>
      <c r="E1088" s="39" t="str">
        <f>CONCATENATE("PS-",TEXT(A1088,"00"),"-",O1088)</f>
        <v>PS-38-GR2</v>
      </c>
      <c r="F1088" s="48" t="str">
        <f>CONCATENATE("Poste de Sectionnement n°",TEXT(A1088,"00")," ",O1088)</f>
        <v>Poste de Sectionnement n°38 GR2</v>
      </c>
      <c r="G1088" s="19">
        <v>36161</v>
      </c>
      <c r="H1088" s="19">
        <v>36161</v>
      </c>
      <c r="I1088" s="41" t="s">
        <v>20</v>
      </c>
      <c r="J1088" s="41">
        <v>1</v>
      </c>
      <c r="K1088" s="41" t="s">
        <v>3557</v>
      </c>
      <c r="L1088" s="41">
        <v>16</v>
      </c>
      <c r="M1088" s="41"/>
      <c r="N1088" s="41"/>
      <c r="O1088" s="41" t="s">
        <v>418</v>
      </c>
      <c r="P1088" s="41" t="s">
        <v>2561</v>
      </c>
      <c r="Q1088" s="43">
        <v>478</v>
      </c>
      <c r="R1088" s="43">
        <f>VALUE(SUBSTITUTE(P1088,"+",","))</f>
        <v>891.08900000000006</v>
      </c>
      <c r="S1088" s="41" t="s">
        <v>1827</v>
      </c>
      <c r="T1088" s="48" t="str">
        <f t="shared" si="118"/>
        <v>(38,'PS-38-GR2','Poste de Sectionnement n°38 GR2','Friday-01-jj','Friday-01-jj',NULL,1,),</v>
      </c>
    </row>
    <row r="1089" spans="1:20" ht="20.100000000000001" customHeight="1" x14ac:dyDescent="0.25">
      <c r="A1089" s="38">
        <v>39</v>
      </c>
      <c r="B1089" s="38">
        <v>1094</v>
      </c>
      <c r="C1089" s="38" t="s">
        <v>664</v>
      </c>
      <c r="D1089" s="38">
        <v>21</v>
      </c>
      <c r="E1089" s="39" t="str">
        <f>CONCATENATE("PS-",TEXT(A1089,"00"),"-",O1089)</f>
        <v>PS-39-GR2</v>
      </c>
      <c r="F1089" s="48" t="str">
        <f>CONCATENATE("Poste de Sectionnement n°",TEXT(A1089,"00")," ",O1089)</f>
        <v>Poste de Sectionnement n°39 GR2</v>
      </c>
      <c r="G1089" s="19">
        <v>36161</v>
      </c>
      <c r="H1089" s="19">
        <v>36161</v>
      </c>
      <c r="I1089" s="41" t="s">
        <v>20</v>
      </c>
      <c r="J1089" s="41">
        <v>1</v>
      </c>
      <c r="K1089" s="41" t="s">
        <v>3557</v>
      </c>
      <c r="L1089" s="41">
        <v>16</v>
      </c>
      <c r="M1089" s="41"/>
      <c r="N1089" s="41"/>
      <c r="O1089" s="41" t="s">
        <v>418</v>
      </c>
      <c r="P1089" s="41" t="s">
        <v>2562</v>
      </c>
      <c r="Q1089" s="43">
        <v>582</v>
      </c>
      <c r="R1089" s="43">
        <f>VALUE(SUBSTITUTE(P1089,"+",","))</f>
        <v>911.18600000000004</v>
      </c>
      <c r="S1089" s="41" t="s">
        <v>1828</v>
      </c>
      <c r="T1089" s="48" t="str">
        <f t="shared" si="118"/>
        <v>(39,'PS-39-GR2','Poste de Sectionnement n°39 GR2','Friday-01-jj','Friday-01-jj',NULL,1,),</v>
      </c>
    </row>
    <row r="1090" spans="1:20" ht="20.100000000000001" customHeight="1" x14ac:dyDescent="0.25">
      <c r="A1090" s="38">
        <v>40</v>
      </c>
      <c r="B1090" s="38">
        <v>1095</v>
      </c>
      <c r="C1090" s="38" t="s">
        <v>664</v>
      </c>
      <c r="D1090" s="38">
        <v>21</v>
      </c>
      <c r="E1090" s="39" t="str">
        <f>CONCATENATE("PS-",TEXT(A1090,"00"),"-",O1090)</f>
        <v>PS-40-GR2</v>
      </c>
      <c r="F1090" s="48" t="str">
        <f>CONCATENATE("Poste de Sectionnement n°",TEXT(A1090,"00")," ",O1090)</f>
        <v>Poste de Sectionnement n°40 GR2</v>
      </c>
      <c r="G1090" s="19">
        <v>36161</v>
      </c>
      <c r="H1090" s="19">
        <v>36161</v>
      </c>
      <c r="I1090" s="41" t="s">
        <v>20</v>
      </c>
      <c r="J1090" s="41">
        <v>1</v>
      </c>
      <c r="K1090" s="41" t="s">
        <v>3557</v>
      </c>
      <c r="L1090" s="41">
        <v>16</v>
      </c>
      <c r="M1090" s="41"/>
      <c r="N1090" s="41"/>
      <c r="O1090" s="41" t="s">
        <v>418</v>
      </c>
      <c r="P1090" s="41" t="s">
        <v>2563</v>
      </c>
      <c r="Q1090" s="43">
        <v>626</v>
      </c>
      <c r="R1090" s="43">
        <f>VALUE(SUBSTITUTE(P1090,"+",","))</f>
        <v>928.96400000000006</v>
      </c>
      <c r="S1090" s="41" t="s">
        <v>2546</v>
      </c>
      <c r="T1090" s="48" t="str">
        <f t="shared" si="118"/>
        <v>(40,'PS-40-GR2','Poste de Sectionnement n°40 GR2','Friday-01-jj','Friday-01-jj',NULL,1,),</v>
      </c>
    </row>
    <row r="1091" spans="1:20" ht="20.100000000000001" customHeight="1" x14ac:dyDescent="0.25">
      <c r="A1091" s="38">
        <v>41</v>
      </c>
      <c r="B1091" s="38">
        <v>1096</v>
      </c>
      <c r="C1091" s="38" t="s">
        <v>664</v>
      </c>
      <c r="D1091" s="38">
        <v>21</v>
      </c>
      <c r="E1091" s="39" t="str">
        <f>CONCATENATE("PS-",TEXT(A1091,"00"),"-",O1091)</f>
        <v>PS-41-GR2</v>
      </c>
      <c r="F1091" s="48" t="str">
        <f>CONCATENATE("Poste de Sectionnement n°",TEXT(A1091,"00")," ",O1091)</f>
        <v>Poste de Sectionnement n°41 GR2</v>
      </c>
      <c r="G1091" s="19">
        <v>36161</v>
      </c>
      <c r="H1091" s="19">
        <v>36161</v>
      </c>
      <c r="I1091" s="41" t="s">
        <v>20</v>
      </c>
      <c r="J1091" s="41">
        <v>1</v>
      </c>
      <c r="K1091" s="41" t="s">
        <v>3557</v>
      </c>
      <c r="L1091" s="41">
        <v>16</v>
      </c>
      <c r="M1091" s="41"/>
      <c r="N1091" s="41"/>
      <c r="O1091" s="41" t="s">
        <v>418</v>
      </c>
      <c r="P1091" s="41" t="s">
        <v>2564</v>
      </c>
      <c r="Q1091" s="43">
        <v>713</v>
      </c>
      <c r="R1091" s="43">
        <f>VALUE(SUBSTITUTE(P1091,"+",","))</f>
        <v>946.72199999999998</v>
      </c>
      <c r="S1091" s="41" t="s">
        <v>790</v>
      </c>
      <c r="T1091" s="48" t="str">
        <f t="shared" si="118"/>
        <v>(41,'PS-41-GR2','Poste de Sectionnement n°41 GR2','Friday-01-jj','Friday-01-jj',NULL,1,),</v>
      </c>
    </row>
    <row r="1092" spans="1:20" ht="20.100000000000001" customHeight="1" x14ac:dyDescent="0.25">
      <c r="A1092" s="38">
        <v>10</v>
      </c>
      <c r="B1092" s="38">
        <v>1097</v>
      </c>
      <c r="C1092" s="38" t="s">
        <v>664</v>
      </c>
      <c r="D1092" s="38">
        <v>21</v>
      </c>
      <c r="E1092" s="45" t="str">
        <f>CONCATENATE("PC-",TEXT(A1092,"00"),"-",O1092)</f>
        <v>PC-10-GR2</v>
      </c>
      <c r="F1092" s="48" t="str">
        <f>CONCATENATE("Poste de Coupure n°",TEXT(A1092,"00")," ",O1092)</f>
        <v>Poste de Coupure n°10 GR2</v>
      </c>
      <c r="G1092" s="19">
        <v>36161</v>
      </c>
      <c r="H1092" s="19">
        <v>36161</v>
      </c>
      <c r="I1092" s="41" t="s">
        <v>20</v>
      </c>
      <c r="J1092" s="41">
        <v>1</v>
      </c>
      <c r="K1092" s="41" t="s">
        <v>3556</v>
      </c>
      <c r="L1092" s="41">
        <v>15</v>
      </c>
      <c r="M1092" s="41"/>
      <c r="N1092" s="41"/>
      <c r="O1092" s="41" t="s">
        <v>418</v>
      </c>
      <c r="P1092" s="41" t="s">
        <v>2483</v>
      </c>
      <c r="Q1092" s="49">
        <f>VALUE(RIGHT(P1092,LEN(P1092)-SEARCH("/",P1092)))</f>
        <v>779</v>
      </c>
      <c r="R1092" s="43">
        <f>VALUE(SUBSTITUTE(LEFT(P1092,SEARCH("/",P1092)-1),"+",","))</f>
        <v>961.47</v>
      </c>
      <c r="S1092" s="44" t="s">
        <v>2490</v>
      </c>
      <c r="T1092" s="48" t="str">
        <f t="shared" si="118"/>
        <v>(10,'PC-10-GR2','Poste de Coupure n°10 GR2','Friday-01-jj','Friday-01-jj',NULL,1,),</v>
      </c>
    </row>
    <row r="1093" spans="1:20" ht="20.100000000000001" customHeight="1" x14ac:dyDescent="0.25">
      <c r="A1093" s="38">
        <v>6</v>
      </c>
      <c r="B1093" s="38">
        <v>1098</v>
      </c>
      <c r="C1093" s="38" t="s">
        <v>664</v>
      </c>
      <c r="D1093" s="38">
        <v>21</v>
      </c>
      <c r="E1093" s="39" t="s">
        <v>230</v>
      </c>
      <c r="F1093" s="48" t="str">
        <f>CONCATENATE("Station de Compression ",E1093)</f>
        <v>Station de Compression SC4-GR2</v>
      </c>
      <c r="G1093" s="19">
        <v>38718</v>
      </c>
      <c r="H1093" s="19">
        <v>44562</v>
      </c>
      <c r="I1093" s="41" t="s">
        <v>20</v>
      </c>
      <c r="J1093" s="41">
        <v>1</v>
      </c>
      <c r="K1093" s="41" t="s">
        <v>3554</v>
      </c>
      <c r="L1093" s="41">
        <v>8</v>
      </c>
      <c r="M1093" s="41">
        <v>10</v>
      </c>
      <c r="N1093" s="41"/>
      <c r="O1093" s="41" t="s">
        <v>418</v>
      </c>
      <c r="P1093" s="41" t="s">
        <v>2483</v>
      </c>
      <c r="Q1093" s="49">
        <f>VALUE(RIGHT(P1093,LEN(P1093)-SEARCH("/",P1093)))</f>
        <v>779</v>
      </c>
      <c r="R1093" s="43">
        <f>VALUE(SUBSTITUTE(LEFT(P1093,SEARCH("/",P1093)-1),"+",","))</f>
        <v>961.47</v>
      </c>
      <c r="S1093" s="41" t="s">
        <v>3590</v>
      </c>
      <c r="T1093" s="48" t="str">
        <f t="shared" si="118"/>
        <v>(6,'SC4-GR2','Station de Compression SC4-GR2','Sunday-01-jj','Saturday-01-jj',NULL,1,10),</v>
      </c>
    </row>
    <row r="1094" spans="1:20" ht="20.100000000000001" customHeight="1" x14ac:dyDescent="0.25">
      <c r="A1094" s="38">
        <v>1</v>
      </c>
      <c r="B1094" s="38">
        <v>1099</v>
      </c>
      <c r="C1094" s="38" t="s">
        <v>664</v>
      </c>
      <c r="D1094" s="38">
        <v>21</v>
      </c>
      <c r="E1094" s="39" t="str">
        <f>CONCATENATE("PS-",TEXT(A1094,"00"),"-",O1094)</f>
        <v>PS-01-GR4</v>
      </c>
      <c r="F1094" s="48" t="str">
        <f>CONCATENATE("Poste de Sectionnement n°",TEXT(A1094,"00")," ",O1094)</f>
        <v>Poste de Sectionnement n°01 GR4</v>
      </c>
      <c r="G1094" s="19">
        <v>41640</v>
      </c>
      <c r="H1094" s="19">
        <v>41640</v>
      </c>
      <c r="I1094" s="41" t="s">
        <v>20</v>
      </c>
      <c r="J1094" s="41">
        <v>1</v>
      </c>
      <c r="K1094" s="41" t="s">
        <v>3557</v>
      </c>
      <c r="L1094" s="41">
        <v>16</v>
      </c>
      <c r="M1094" s="41"/>
      <c r="N1094" s="41"/>
      <c r="O1094" s="41" t="s">
        <v>423</v>
      </c>
      <c r="P1094" s="41" t="s">
        <v>2587</v>
      </c>
      <c r="Q1094" s="43">
        <v>0</v>
      </c>
      <c r="R1094" s="43">
        <f>VALUE(SUBSTITUTE(P1094,"+",","))</f>
        <v>18.399999999999999</v>
      </c>
      <c r="S1094" s="41" t="s">
        <v>1804</v>
      </c>
      <c r="T1094" s="48" t="str">
        <f t="shared" si="118"/>
        <v>(1,'PS-01-GR4','Poste de Sectionnement n°01 GR4','Wednesday-01-jj','Wednesday-01-jj',NULL,1,),</v>
      </c>
    </row>
    <row r="1095" spans="1:20" ht="20.100000000000001" customHeight="1" x14ac:dyDescent="0.25">
      <c r="A1095" s="38">
        <v>2</v>
      </c>
      <c r="B1095" s="38">
        <v>1100</v>
      </c>
      <c r="C1095" s="38" t="s">
        <v>664</v>
      </c>
      <c r="D1095" s="38">
        <v>21</v>
      </c>
      <c r="E1095" s="39" t="str">
        <f>CONCATENATE("PS-",TEXT(A1095,"00"),"-",O1095)</f>
        <v>PS-02-GR4</v>
      </c>
      <c r="F1095" s="48" t="str">
        <f>CONCATENATE("Poste de Sectionnement n°",TEXT(A1095,"00")," ",O1095)</f>
        <v>Poste de Sectionnement n°02 GR4</v>
      </c>
      <c r="G1095" s="19">
        <v>41640</v>
      </c>
      <c r="H1095" s="19">
        <v>41640</v>
      </c>
      <c r="I1095" s="41" t="s">
        <v>20</v>
      </c>
      <c r="J1095" s="41">
        <v>1</v>
      </c>
      <c r="K1095" s="41" t="s">
        <v>3557</v>
      </c>
      <c r="L1095" s="41">
        <v>16</v>
      </c>
      <c r="M1095" s="41"/>
      <c r="N1095" s="41"/>
      <c r="O1095" s="41" t="s">
        <v>423</v>
      </c>
      <c r="P1095" s="41" t="s">
        <v>2588</v>
      </c>
      <c r="Q1095" s="43">
        <v>0</v>
      </c>
      <c r="R1095" s="43">
        <f>VALUE(SUBSTITUTE(P1095,"+",","))</f>
        <v>36.4</v>
      </c>
      <c r="S1095" s="41" t="s">
        <v>998</v>
      </c>
      <c r="T1095" s="48" t="str">
        <f t="shared" si="118"/>
        <v>(2,'PS-02-GR4','Poste de Sectionnement n°02 GR4','Wednesday-01-jj','Wednesday-01-jj',NULL,1,),</v>
      </c>
    </row>
    <row r="1096" spans="1:20" ht="20.100000000000001" customHeight="1" x14ac:dyDescent="0.25">
      <c r="A1096" s="38">
        <v>3</v>
      </c>
      <c r="B1096" s="38">
        <v>1101</v>
      </c>
      <c r="C1096" s="38" t="s">
        <v>664</v>
      </c>
      <c r="D1096" s="38">
        <v>21</v>
      </c>
      <c r="E1096" s="39" t="str">
        <f>CONCATENATE("PS-",TEXT(A1096,"00"),"-",O1096)</f>
        <v>PS-03-GR4</v>
      </c>
      <c r="F1096" s="48" t="str">
        <f>CONCATENATE("Poste de Sectionnement n°",TEXT(A1096,"00")," ",O1096)</f>
        <v>Poste de Sectionnement n°03 GR4</v>
      </c>
      <c r="G1096" s="19">
        <v>41640</v>
      </c>
      <c r="H1096" s="19">
        <v>41640</v>
      </c>
      <c r="I1096" s="41" t="s">
        <v>20</v>
      </c>
      <c r="J1096" s="41">
        <v>1</v>
      </c>
      <c r="K1096" s="41" t="s">
        <v>3557</v>
      </c>
      <c r="L1096" s="41">
        <v>16</v>
      </c>
      <c r="M1096" s="41"/>
      <c r="N1096" s="41"/>
      <c r="O1096" s="41" t="s">
        <v>423</v>
      </c>
      <c r="P1096" s="41" t="s">
        <v>2589</v>
      </c>
      <c r="Q1096" s="43">
        <v>0</v>
      </c>
      <c r="R1096" s="43">
        <f>VALUE(SUBSTITUTE(P1096,"+",","))</f>
        <v>54.4</v>
      </c>
      <c r="S1096" s="41" t="s">
        <v>998</v>
      </c>
      <c r="T1096" s="48" t="str">
        <f t="shared" si="118"/>
        <v>(3,'PS-03-GR4','Poste de Sectionnement n°03 GR4','Wednesday-01-jj','Wednesday-01-jj',NULL,1,),</v>
      </c>
    </row>
    <row r="1097" spans="1:20" ht="20.100000000000001" customHeight="1" x14ac:dyDescent="0.25">
      <c r="A1097" s="38">
        <v>1</v>
      </c>
      <c r="B1097" s="38">
        <v>1102</v>
      </c>
      <c r="C1097" s="38" t="s">
        <v>664</v>
      </c>
      <c r="D1097" s="38">
        <v>21</v>
      </c>
      <c r="E1097" s="45" t="str">
        <f>CONCATENATE("PC-",TEXT(A1097,"00"),"-",O1097)</f>
        <v>PC-01-GR4</v>
      </c>
      <c r="F1097" s="48" t="str">
        <f>CONCATENATE("Poste de Coupure n°",TEXT(A1097,"00")," ",O1097)</f>
        <v>Poste de Coupure n°01 GR4</v>
      </c>
      <c r="G1097" s="19">
        <v>41640</v>
      </c>
      <c r="H1097" s="19">
        <v>41640</v>
      </c>
      <c r="I1097" s="41" t="s">
        <v>20</v>
      </c>
      <c r="J1097" s="41">
        <v>1</v>
      </c>
      <c r="K1097" s="41" t="s">
        <v>3556</v>
      </c>
      <c r="L1097" s="41">
        <v>15</v>
      </c>
      <c r="M1097" s="41"/>
      <c r="N1097" s="41"/>
      <c r="O1097" s="41" t="s">
        <v>423</v>
      </c>
      <c r="P1097" s="41" t="s">
        <v>2493</v>
      </c>
      <c r="Q1097" s="49">
        <f>VALUE(RIGHT(P1097,LEN(P1097)-SEARCH("/",P1097)))</f>
        <v>208</v>
      </c>
      <c r="R1097" s="43">
        <f>VALUE(SUBSTITUTE(LEFT(P1097,SEARCH("/",P1097)-1),"+",","))</f>
        <v>73</v>
      </c>
      <c r="S1097" s="41" t="s">
        <v>2488</v>
      </c>
      <c r="T1097" s="48" t="str">
        <f t="shared" si="118"/>
        <v>(1,'PC-01-GR4','Poste de Coupure n°01 GR4','Wednesday-01-jj','Wednesday-01-jj',NULL,1,),</v>
      </c>
    </row>
    <row r="1098" spans="1:20" ht="20.100000000000001" customHeight="1" x14ac:dyDescent="0.25">
      <c r="A1098" s="38">
        <v>4</v>
      </c>
      <c r="B1098" s="38">
        <v>1103</v>
      </c>
      <c r="C1098" s="38" t="s">
        <v>664</v>
      </c>
      <c r="D1098" s="38">
        <v>21</v>
      </c>
      <c r="E1098" s="39" t="str">
        <f>CONCATENATE("PS-",TEXT(A1098,"00"),"-",O1098)</f>
        <v>PS-04-GR4</v>
      </c>
      <c r="F1098" s="48" t="str">
        <f>CONCATENATE("Poste de Sectionnement n°",TEXT(A1098,"00")," ",O1098)</f>
        <v>Poste de Sectionnement n°04 GR4</v>
      </c>
      <c r="G1098" s="19">
        <v>41640</v>
      </c>
      <c r="H1098" s="19">
        <v>41640</v>
      </c>
      <c r="I1098" s="41" t="s">
        <v>20</v>
      </c>
      <c r="J1098" s="41">
        <v>1</v>
      </c>
      <c r="K1098" s="41" t="s">
        <v>3557</v>
      </c>
      <c r="L1098" s="41">
        <v>16</v>
      </c>
      <c r="M1098" s="41"/>
      <c r="N1098" s="41"/>
      <c r="O1098" s="41" t="s">
        <v>423</v>
      </c>
      <c r="P1098" s="41" t="s">
        <v>2590</v>
      </c>
      <c r="Q1098" s="43">
        <v>0</v>
      </c>
      <c r="R1098" s="43">
        <f>VALUE(SUBSTITUTE(P1098,"+",","))</f>
        <v>93.89</v>
      </c>
      <c r="S1098" s="41" t="s">
        <v>998</v>
      </c>
      <c r="T1098" s="48" t="str">
        <f t="shared" si="118"/>
        <v>(4,'PS-04-GR4','Poste de Sectionnement n°04 GR4','Wednesday-01-jj','Wednesday-01-jj',NULL,1,),</v>
      </c>
    </row>
    <row r="1099" spans="1:20" ht="20.100000000000001" customHeight="1" x14ac:dyDescent="0.25">
      <c r="A1099" s="38">
        <v>5</v>
      </c>
      <c r="B1099" s="38">
        <v>1104</v>
      </c>
      <c r="C1099" s="38" t="s">
        <v>664</v>
      </c>
      <c r="D1099" s="38">
        <v>21</v>
      </c>
      <c r="E1099" s="39" t="str">
        <f>CONCATENATE("PS-",TEXT(A1099,"00"),"-",O1099)</f>
        <v>PS-05-GR4</v>
      </c>
      <c r="F1099" s="48" t="str">
        <f>CONCATENATE("Poste de Sectionnement n°",TEXT(A1099,"00")," ",O1099)</f>
        <v>Poste de Sectionnement n°05 GR4</v>
      </c>
      <c r="G1099" s="19">
        <v>41640</v>
      </c>
      <c r="H1099" s="19">
        <v>41640</v>
      </c>
      <c r="I1099" s="41" t="s">
        <v>20</v>
      </c>
      <c r="J1099" s="41">
        <v>1</v>
      </c>
      <c r="K1099" s="41" t="s">
        <v>3557</v>
      </c>
      <c r="L1099" s="41">
        <v>16</v>
      </c>
      <c r="M1099" s="41"/>
      <c r="N1099" s="41"/>
      <c r="O1099" s="41" t="s">
        <v>423</v>
      </c>
      <c r="P1099" s="41" t="s">
        <v>2591</v>
      </c>
      <c r="Q1099" s="43">
        <v>0</v>
      </c>
      <c r="R1099" s="43">
        <f>VALUE(SUBSTITUTE(P1099,"+",","))</f>
        <v>114.55</v>
      </c>
      <c r="S1099" s="41" t="s">
        <v>998</v>
      </c>
      <c r="T1099" s="48" t="str">
        <f t="shared" si="118"/>
        <v>(5,'PS-05-GR4','Poste de Sectionnement n°05 GR4','Wednesday-01-jj','Wednesday-01-jj',NULL,1,),</v>
      </c>
    </row>
    <row r="1100" spans="1:20" ht="20.100000000000001" customHeight="1" x14ac:dyDescent="0.25">
      <c r="A1100" s="38">
        <v>6</v>
      </c>
      <c r="B1100" s="38">
        <v>1105</v>
      </c>
      <c r="C1100" s="38" t="s">
        <v>664</v>
      </c>
      <c r="D1100" s="38">
        <v>21</v>
      </c>
      <c r="E1100" s="39" t="str">
        <f>CONCATENATE("PS-",TEXT(A1100,"00"),"-",O1100)</f>
        <v>PS-06-GR4</v>
      </c>
      <c r="F1100" s="48" t="str">
        <f>CONCATENATE("Poste de Sectionnement n°",TEXT(A1100,"00")," ",O1100)</f>
        <v>Poste de Sectionnement n°06 GR4</v>
      </c>
      <c r="G1100" s="19">
        <v>41640</v>
      </c>
      <c r="H1100" s="19">
        <v>41640</v>
      </c>
      <c r="I1100" s="41" t="s">
        <v>20</v>
      </c>
      <c r="J1100" s="41">
        <v>1</v>
      </c>
      <c r="K1100" s="41" t="s">
        <v>3557</v>
      </c>
      <c r="L1100" s="41">
        <v>16</v>
      </c>
      <c r="M1100" s="41"/>
      <c r="N1100" s="41"/>
      <c r="O1100" s="41" t="s">
        <v>423</v>
      </c>
      <c r="P1100" s="41" t="s">
        <v>2592</v>
      </c>
      <c r="Q1100" s="43">
        <v>0</v>
      </c>
      <c r="R1100" s="43">
        <f>VALUE(SUBSTITUTE(P1100,"+",","))</f>
        <v>135.19999999999999</v>
      </c>
      <c r="S1100" s="41" t="s">
        <v>998</v>
      </c>
      <c r="T1100" s="48" t="str">
        <f t="shared" si="118"/>
        <v>(6,'PS-06-GR4','Poste de Sectionnement n°06 GR4','Wednesday-01-jj','Wednesday-01-jj',NULL,1,),</v>
      </c>
    </row>
    <row r="1101" spans="1:20" ht="20.100000000000001" customHeight="1" x14ac:dyDescent="0.25">
      <c r="A1101" s="38">
        <v>2</v>
      </c>
      <c r="B1101" s="38">
        <v>1106</v>
      </c>
      <c r="C1101" s="38" t="s">
        <v>664</v>
      </c>
      <c r="D1101" s="38">
        <v>21</v>
      </c>
      <c r="E1101" s="45" t="str">
        <f>CONCATENATE("PC-",TEXT(A1101,"00"),"-",O1101)</f>
        <v>PC-02-GR4</v>
      </c>
      <c r="F1101" s="48" t="str">
        <f>CONCATENATE("Poste de Coupure n°",TEXT(A1101,"00")," ",O1101)</f>
        <v>Poste de Coupure n°02 GR4</v>
      </c>
      <c r="G1101" s="19">
        <v>41640</v>
      </c>
      <c r="H1101" s="19">
        <v>41640</v>
      </c>
      <c r="I1101" s="41" t="s">
        <v>20</v>
      </c>
      <c r="J1101" s="41">
        <v>1</v>
      </c>
      <c r="K1101" s="41" t="s">
        <v>3556</v>
      </c>
      <c r="L1101" s="41">
        <v>15</v>
      </c>
      <c r="M1101" s="41"/>
      <c r="N1101" s="41"/>
      <c r="O1101" s="41" t="s">
        <v>423</v>
      </c>
      <c r="P1101" s="41" t="s">
        <v>2494</v>
      </c>
      <c r="Q1101" s="49">
        <f>VALUE(RIGHT(P1101,LEN(P1101)-SEARCH("/",P1101)))</f>
        <v>166</v>
      </c>
      <c r="R1101" s="43">
        <f>VALUE(SUBSTITUTE(LEFT(P1101,SEARCH("/",P1101)-1),"+",","))</f>
        <v>154.65</v>
      </c>
      <c r="S1101" s="41" t="s">
        <v>2489</v>
      </c>
      <c r="T1101" s="48" t="str">
        <f t="shared" si="118"/>
        <v>(2,'PC-02-GR4','Poste de Coupure n°02 GR4','Wednesday-01-jj','Wednesday-01-jj',NULL,1,),</v>
      </c>
    </row>
    <row r="1102" spans="1:20" ht="20.100000000000001" customHeight="1" x14ac:dyDescent="0.25">
      <c r="A1102" s="38">
        <v>7</v>
      </c>
      <c r="B1102" s="38">
        <v>1107</v>
      </c>
      <c r="C1102" s="38" t="s">
        <v>664</v>
      </c>
      <c r="D1102" s="38">
        <v>21</v>
      </c>
      <c r="E1102" s="39" t="str">
        <f>CONCATENATE("PS-",TEXT(A1102,"00"),"-",O1102)</f>
        <v>PS-07-GR4</v>
      </c>
      <c r="F1102" s="48" t="str">
        <f>CONCATENATE("Poste de Sectionnement n°",TEXT(A1102,"00")," ",O1102)</f>
        <v>Poste de Sectionnement n°07 GR4</v>
      </c>
      <c r="G1102" s="19">
        <v>41640</v>
      </c>
      <c r="H1102" s="19">
        <v>41640</v>
      </c>
      <c r="I1102" s="41" t="s">
        <v>20</v>
      </c>
      <c r="J1102" s="41">
        <v>1</v>
      </c>
      <c r="K1102" s="41" t="s">
        <v>3557</v>
      </c>
      <c r="L1102" s="41">
        <v>16</v>
      </c>
      <c r="M1102" s="41"/>
      <c r="N1102" s="41"/>
      <c r="O1102" s="41" t="s">
        <v>423</v>
      </c>
      <c r="P1102" s="41" t="s">
        <v>2593</v>
      </c>
      <c r="Q1102" s="43">
        <v>0</v>
      </c>
      <c r="R1102" s="43">
        <f>VALUE(SUBSTITUTE(P1102,"+",","))</f>
        <v>174.5</v>
      </c>
      <c r="S1102" s="41" t="s">
        <v>998</v>
      </c>
      <c r="T1102" s="48" t="str">
        <f t="shared" si="118"/>
        <v>(7,'PS-07-GR4','Poste de Sectionnement n°07 GR4','Wednesday-01-jj','Wednesday-01-jj',NULL,1,),</v>
      </c>
    </row>
    <row r="1103" spans="1:20" ht="20.100000000000001" customHeight="1" x14ac:dyDescent="0.25">
      <c r="A1103" s="38">
        <v>8</v>
      </c>
      <c r="B1103" s="38">
        <v>1108</v>
      </c>
      <c r="C1103" s="38" t="s">
        <v>664</v>
      </c>
      <c r="D1103" s="38">
        <v>21</v>
      </c>
      <c r="E1103" s="39" t="str">
        <f>CONCATENATE("PS-",TEXT(A1103,"00"),"-",O1103)</f>
        <v>PS-08-GR4</v>
      </c>
      <c r="F1103" s="48" t="str">
        <f>CONCATENATE("Poste de Sectionnement n°",TEXT(A1103,"00")," ",O1103)</f>
        <v>Poste de Sectionnement n°08 GR4</v>
      </c>
      <c r="G1103" s="19">
        <v>41640</v>
      </c>
      <c r="H1103" s="19">
        <v>41640</v>
      </c>
      <c r="I1103" s="41" t="s">
        <v>20</v>
      </c>
      <c r="J1103" s="41">
        <v>1</v>
      </c>
      <c r="K1103" s="41" t="s">
        <v>3557</v>
      </c>
      <c r="L1103" s="41">
        <v>16</v>
      </c>
      <c r="M1103" s="41"/>
      <c r="N1103" s="41"/>
      <c r="O1103" s="41" t="s">
        <v>423</v>
      </c>
      <c r="P1103" s="41" t="s">
        <v>2594</v>
      </c>
      <c r="Q1103" s="43">
        <v>0</v>
      </c>
      <c r="R1103" s="43">
        <f>VALUE(SUBSTITUTE(P1103,"+",","))</f>
        <v>195.16399999999999</v>
      </c>
      <c r="S1103" s="41" t="s">
        <v>998</v>
      </c>
      <c r="T1103" s="48" t="str">
        <f t="shared" si="118"/>
        <v>(8,'PS-08-GR4','Poste de Sectionnement n°08 GR4','Wednesday-01-jj','Wednesday-01-jj',NULL,1,),</v>
      </c>
    </row>
    <row r="1104" spans="1:20" ht="20.100000000000001" customHeight="1" x14ac:dyDescent="0.25">
      <c r="A1104" s="38">
        <v>9</v>
      </c>
      <c r="B1104" s="38">
        <v>1109</v>
      </c>
      <c r="C1104" s="38" t="s">
        <v>664</v>
      </c>
      <c r="D1104" s="38">
        <v>21</v>
      </c>
      <c r="E1104" s="39" t="str">
        <f>CONCATENATE("PS-",TEXT(A1104,"00"),"-",O1104)</f>
        <v>PS-09-GR4</v>
      </c>
      <c r="F1104" s="48" t="str">
        <f>CONCATENATE("Poste de Sectionnement n°",TEXT(A1104,"00")," ",O1104)</f>
        <v>Poste de Sectionnement n°09 GR4</v>
      </c>
      <c r="G1104" s="19">
        <v>41640</v>
      </c>
      <c r="H1104" s="19">
        <v>41640</v>
      </c>
      <c r="I1104" s="41" t="s">
        <v>20</v>
      </c>
      <c r="J1104" s="41">
        <v>1</v>
      </c>
      <c r="K1104" s="41" t="s">
        <v>3557</v>
      </c>
      <c r="L1104" s="41">
        <v>16</v>
      </c>
      <c r="M1104" s="41"/>
      <c r="N1104" s="41"/>
      <c r="O1104" s="41" t="s">
        <v>423</v>
      </c>
      <c r="P1104" s="41" t="s">
        <v>2595</v>
      </c>
      <c r="Q1104" s="43">
        <v>0</v>
      </c>
      <c r="R1104" s="43">
        <f>VALUE(SUBSTITUTE(P1104,"+",","))</f>
        <v>208.3</v>
      </c>
      <c r="S1104" s="41" t="s">
        <v>998</v>
      </c>
      <c r="T1104" s="48" t="str">
        <f t="shared" si="118"/>
        <v>(9,'PS-09-GR4','Poste de Sectionnement n°09 GR4','Wednesday-01-jj','Wednesday-01-jj',NULL,1,),</v>
      </c>
    </row>
    <row r="1105" spans="1:20" ht="20.100000000000001" customHeight="1" x14ac:dyDescent="0.25">
      <c r="A1105" s="38">
        <v>3</v>
      </c>
      <c r="B1105" s="38">
        <v>1110</v>
      </c>
      <c r="C1105" s="38" t="s">
        <v>664</v>
      </c>
      <c r="D1105" s="38">
        <v>21</v>
      </c>
      <c r="E1105" s="45" t="str">
        <f>CONCATENATE("PC-",TEXT(A1105,"00"),"-",O1105)</f>
        <v>PC-03-GR4</v>
      </c>
      <c r="F1105" s="48" t="str">
        <f>CONCATENATE("Poste de Coupure n°",TEXT(A1105,"00")," ",O1105)</f>
        <v>Poste de Coupure n°03 GR4</v>
      </c>
      <c r="G1105" s="19">
        <v>41640</v>
      </c>
      <c r="H1105" s="19">
        <v>41640</v>
      </c>
      <c r="I1105" s="41" t="s">
        <v>20</v>
      </c>
      <c r="J1105" s="41">
        <v>1</v>
      </c>
      <c r="K1105" s="41" t="s">
        <v>3556</v>
      </c>
      <c r="L1105" s="41">
        <v>15</v>
      </c>
      <c r="M1105" s="41"/>
      <c r="N1105" s="41"/>
      <c r="O1105" s="41" t="s">
        <v>423</v>
      </c>
      <c r="P1105" s="41" t="s">
        <v>2495</v>
      </c>
      <c r="Q1105" s="49">
        <f>VALUE(RIGHT(P1105,LEN(P1105)-SEARCH("/",P1105)))</f>
        <v>169</v>
      </c>
      <c r="R1105" s="43">
        <f>VALUE(SUBSTITUTE(LEFT(P1105,SEARCH("/",P1105)-1),"+",","))</f>
        <v>222.92599999999999</v>
      </c>
      <c r="S1105" s="41" t="s">
        <v>2492</v>
      </c>
      <c r="T1105" s="48" t="str">
        <f t="shared" si="118"/>
        <v>(3,'PC-03-GR4','Poste de Coupure n°03 GR4','Wednesday-01-jj','Wednesday-01-jj',NULL,1,),</v>
      </c>
    </row>
    <row r="1106" spans="1:20" ht="20.100000000000001" customHeight="1" x14ac:dyDescent="0.25">
      <c r="A1106" s="38">
        <v>10</v>
      </c>
      <c r="B1106" s="38">
        <v>1111</v>
      </c>
      <c r="C1106" s="38" t="s">
        <v>664</v>
      </c>
      <c r="D1106" s="38">
        <v>21</v>
      </c>
      <c r="E1106" s="39" t="str">
        <f>CONCATENATE("PS-",TEXT(A1106,"00"),"-",O1106)</f>
        <v>PS-10-GR4</v>
      </c>
      <c r="F1106" s="48" t="str">
        <f>CONCATENATE("Poste de Sectionnement n°",TEXT(A1106,"00")," ",O1106)</f>
        <v>Poste de Sectionnement n°10 GR4</v>
      </c>
      <c r="G1106" s="19">
        <v>41640</v>
      </c>
      <c r="H1106" s="19">
        <v>41640</v>
      </c>
      <c r="I1106" s="41" t="s">
        <v>20</v>
      </c>
      <c r="J1106" s="41">
        <v>1</v>
      </c>
      <c r="K1106" s="41" t="s">
        <v>3557</v>
      </c>
      <c r="L1106" s="41">
        <v>16</v>
      </c>
      <c r="M1106" s="41"/>
      <c r="N1106" s="41"/>
      <c r="O1106" s="41" t="s">
        <v>423</v>
      </c>
      <c r="P1106" s="41" t="s">
        <v>2596</v>
      </c>
      <c r="Q1106" s="43">
        <v>0</v>
      </c>
      <c r="R1106" s="43">
        <f t="shared" ref="R1106:R1111" si="122">VALUE(SUBSTITUTE(P1106,"+",","))</f>
        <v>242.238</v>
      </c>
      <c r="S1106" s="41" t="s">
        <v>2544</v>
      </c>
      <c r="T1106" s="48" t="str">
        <f t="shared" si="118"/>
        <v>(10,'PS-10-GR4','Poste de Sectionnement n°10 GR4','Wednesday-01-jj','Wednesday-01-jj',NULL,1,),</v>
      </c>
    </row>
    <row r="1107" spans="1:20" ht="20.100000000000001" customHeight="1" x14ac:dyDescent="0.25">
      <c r="A1107" s="38">
        <v>11</v>
      </c>
      <c r="B1107" s="38">
        <v>1112</v>
      </c>
      <c r="C1107" s="38" t="s">
        <v>664</v>
      </c>
      <c r="D1107" s="38">
        <v>21</v>
      </c>
      <c r="E1107" s="39" t="str">
        <f>CONCATENATE("PS-",TEXT(A1107,"00"),"-",O1107)</f>
        <v>PS-11-GR4</v>
      </c>
      <c r="F1107" s="48" t="str">
        <f>CONCATENATE("Poste de Sectionnement n°",TEXT(A1107,"00")," ",O1107)</f>
        <v>Poste de Sectionnement n°11 GR4</v>
      </c>
      <c r="G1107" s="19">
        <v>41640</v>
      </c>
      <c r="H1107" s="19">
        <v>41640</v>
      </c>
      <c r="I1107" s="41" t="s">
        <v>20</v>
      </c>
      <c r="J1107" s="41">
        <v>1</v>
      </c>
      <c r="K1107" s="41" t="s">
        <v>3557</v>
      </c>
      <c r="L1107" s="41">
        <v>16</v>
      </c>
      <c r="M1107" s="41"/>
      <c r="N1107" s="41"/>
      <c r="O1107" s="41" t="s">
        <v>423</v>
      </c>
      <c r="P1107" s="41" t="s">
        <v>2597</v>
      </c>
      <c r="Q1107" s="43">
        <v>0</v>
      </c>
      <c r="R1107" s="43">
        <f t="shared" si="122"/>
        <v>262.27100000000002</v>
      </c>
      <c r="S1107" s="41" t="s">
        <v>2544</v>
      </c>
      <c r="T1107" s="48" t="str">
        <f t="shared" si="118"/>
        <v>(11,'PS-11-GR4','Poste de Sectionnement n°11 GR4','Wednesday-01-jj','Wednesday-01-jj',NULL,1,),</v>
      </c>
    </row>
    <row r="1108" spans="1:20" ht="20.100000000000001" customHeight="1" x14ac:dyDescent="0.25">
      <c r="A1108" s="38">
        <v>12</v>
      </c>
      <c r="B1108" s="38">
        <v>1113</v>
      </c>
      <c r="C1108" s="38" t="s">
        <v>664</v>
      </c>
      <c r="D1108" s="38">
        <v>21</v>
      </c>
      <c r="E1108" s="39" t="str">
        <f>CONCATENATE("PS-",TEXT(A1108,"00"),"-",O1108)</f>
        <v>PS-12-GR4</v>
      </c>
      <c r="F1108" s="48" t="str">
        <f>CONCATENATE("Poste de Sectionnement n°",TEXT(A1108,"00")," ",O1108)</f>
        <v>Poste de Sectionnement n°12 GR4</v>
      </c>
      <c r="G1108" s="19">
        <v>41640</v>
      </c>
      <c r="H1108" s="19">
        <v>41640</v>
      </c>
      <c r="I1108" s="41" t="s">
        <v>20</v>
      </c>
      <c r="J1108" s="41">
        <v>1</v>
      </c>
      <c r="K1108" s="41" t="s">
        <v>3557</v>
      </c>
      <c r="L1108" s="41">
        <v>16</v>
      </c>
      <c r="M1108" s="41"/>
      <c r="N1108" s="41"/>
      <c r="O1108" s="41" t="s">
        <v>423</v>
      </c>
      <c r="P1108" s="41" t="s">
        <v>2598</v>
      </c>
      <c r="Q1108" s="43">
        <v>0</v>
      </c>
      <c r="R1108" s="43">
        <f t="shared" si="122"/>
        <v>281.827</v>
      </c>
      <c r="S1108" s="41" t="s">
        <v>2544</v>
      </c>
      <c r="T1108" s="48" t="str">
        <f t="shared" si="118"/>
        <v>(12,'PS-12-GR4','Poste de Sectionnement n°12 GR4','Wednesday-01-jj','Wednesday-01-jj',NULL,1,),</v>
      </c>
    </row>
    <row r="1109" spans="1:20" ht="20.100000000000001" customHeight="1" x14ac:dyDescent="0.25">
      <c r="A1109" s="38">
        <v>13</v>
      </c>
      <c r="B1109" s="38">
        <v>1114</v>
      </c>
      <c r="C1109" s="38" t="s">
        <v>664</v>
      </c>
      <c r="D1109" s="38">
        <v>21</v>
      </c>
      <c r="E1109" s="39" t="str">
        <f>CONCATENATE("PS-",TEXT(A1109,"00"),"-",O1109)</f>
        <v>PS-13-GR4</v>
      </c>
      <c r="F1109" s="48" t="str">
        <f>CONCATENATE("Poste de Sectionnement n°",TEXT(A1109,"00")," ",O1109)</f>
        <v>Poste de Sectionnement n°13 GR4</v>
      </c>
      <c r="G1109" s="19">
        <v>41640</v>
      </c>
      <c r="H1109" s="19">
        <v>41640</v>
      </c>
      <c r="I1109" s="41" t="s">
        <v>20</v>
      </c>
      <c r="J1109" s="41">
        <v>1</v>
      </c>
      <c r="K1109" s="41" t="s">
        <v>3557</v>
      </c>
      <c r="L1109" s="41">
        <v>16</v>
      </c>
      <c r="M1109" s="41"/>
      <c r="N1109" s="41"/>
      <c r="O1109" s="41" t="s">
        <v>423</v>
      </c>
      <c r="P1109" s="41" t="s">
        <v>2599</v>
      </c>
      <c r="Q1109" s="43">
        <v>0</v>
      </c>
      <c r="R1109" s="43">
        <f t="shared" si="122"/>
        <v>300.32499999999999</v>
      </c>
      <c r="S1109" s="41" t="s">
        <v>2545</v>
      </c>
      <c r="T1109" s="48" t="str">
        <f t="shared" si="118"/>
        <v>(13,'PS-13-GR4','Poste de Sectionnement n°13 GR4','Wednesday-01-jj','Wednesday-01-jj',NULL,1,),</v>
      </c>
    </row>
    <row r="1110" spans="1:20" ht="20.100000000000001" customHeight="1" x14ac:dyDescent="0.25">
      <c r="A1110" s="38">
        <v>14</v>
      </c>
      <c r="B1110" s="38">
        <v>1115</v>
      </c>
      <c r="C1110" s="38" t="s">
        <v>664</v>
      </c>
      <c r="D1110" s="38">
        <v>21</v>
      </c>
      <c r="E1110" s="39" t="str">
        <f>CONCATENATE("PS-",TEXT(A1110,"00"),"-",O1110)</f>
        <v>PS-14-GR4</v>
      </c>
      <c r="F1110" s="48" t="str">
        <f>CONCATENATE("Poste de Sectionnement n°",TEXT(A1110,"00")," ",O1110)</f>
        <v>Poste de Sectionnement n°14 GR4</v>
      </c>
      <c r="G1110" s="19">
        <v>41640</v>
      </c>
      <c r="H1110" s="19">
        <v>41640</v>
      </c>
      <c r="I1110" s="41" t="s">
        <v>20</v>
      </c>
      <c r="J1110" s="41">
        <v>1</v>
      </c>
      <c r="K1110" s="41" t="s">
        <v>3557</v>
      </c>
      <c r="L1110" s="41">
        <v>16</v>
      </c>
      <c r="M1110" s="41"/>
      <c r="N1110" s="41"/>
      <c r="O1110" s="41" t="s">
        <v>423</v>
      </c>
      <c r="P1110" s="41" t="s">
        <v>2600</v>
      </c>
      <c r="Q1110" s="43">
        <v>0</v>
      </c>
      <c r="R1110" s="43">
        <f t="shared" si="122"/>
        <v>316.56599999999997</v>
      </c>
      <c r="S1110" s="41" t="s">
        <v>744</v>
      </c>
      <c r="T1110" s="48" t="str">
        <f t="shared" si="118"/>
        <v>(14,'PS-14-GR4','Poste de Sectionnement n°14 GR4','Wednesday-01-jj','Wednesday-01-jj',NULL,1,),</v>
      </c>
    </row>
    <row r="1111" spans="1:20" ht="20.100000000000001" customHeight="1" x14ac:dyDescent="0.25">
      <c r="A1111" s="38">
        <v>1</v>
      </c>
      <c r="B1111" s="38">
        <v>1116</v>
      </c>
      <c r="C1111" s="38" t="s">
        <v>664</v>
      </c>
      <c r="D1111" s="38">
        <v>21</v>
      </c>
      <c r="E1111" s="39" t="str">
        <f>CONCATENATE("PPUR-",TEXT(A1111,"00"),"-",O1111)</f>
        <v>PPUR-01-GR4</v>
      </c>
      <c r="F1111" s="48" t="str">
        <f>CONCATENATE("Poste de Purge n°",TEXT(A1111,"00")," ",O1111)</f>
        <v>Poste de Purge n°01 GR4</v>
      </c>
      <c r="G1111" s="19">
        <v>41640</v>
      </c>
      <c r="H1111" s="19">
        <v>41640</v>
      </c>
      <c r="I1111" s="41" t="s">
        <v>20</v>
      </c>
      <c r="J1111" s="41">
        <v>1</v>
      </c>
      <c r="K1111" s="41" t="s">
        <v>3558</v>
      </c>
      <c r="L1111" s="41">
        <v>17</v>
      </c>
      <c r="M1111" s="41"/>
      <c r="N1111" s="41"/>
      <c r="O1111" s="41" t="s">
        <v>423</v>
      </c>
      <c r="P1111" s="41" t="s">
        <v>2647</v>
      </c>
      <c r="Q1111" s="65">
        <v>0</v>
      </c>
      <c r="R1111" s="43">
        <f t="shared" si="122"/>
        <v>329.39600000000002</v>
      </c>
      <c r="S1111" s="41" t="s">
        <v>744</v>
      </c>
      <c r="T1111" s="48" t="str">
        <f t="shared" si="118"/>
        <v>(1,'PPUR-01-GR4','Poste de Purge n°01 GR4','Wednesday-01-jj','Wednesday-01-jj',NULL,1,),</v>
      </c>
    </row>
    <row r="1112" spans="1:20" ht="20.100000000000001" customHeight="1" x14ac:dyDescent="0.25">
      <c r="A1112" s="38">
        <v>4</v>
      </c>
      <c r="B1112" s="38">
        <v>1117</v>
      </c>
      <c r="C1112" s="38" t="s">
        <v>664</v>
      </c>
      <c r="D1112" s="38">
        <v>21</v>
      </c>
      <c r="E1112" s="45" t="str">
        <f>CONCATENATE("PC-",TEXT(A1112,"00"),"-",O1112)</f>
        <v>PC-04-GR4</v>
      </c>
      <c r="F1112" s="48" t="str">
        <f>CONCATENATE("Poste de Coupure n°",TEXT(A1112,"00")," ",O1112)</f>
        <v>Poste de Coupure n°04 GR4</v>
      </c>
      <c r="G1112" s="19">
        <v>41640</v>
      </c>
      <c r="H1112" s="19">
        <v>41640</v>
      </c>
      <c r="I1112" s="41" t="s">
        <v>20</v>
      </c>
      <c r="J1112" s="41">
        <v>1</v>
      </c>
      <c r="K1112" s="41" t="s">
        <v>3556</v>
      </c>
      <c r="L1112" s="41">
        <v>15</v>
      </c>
      <c r="M1112" s="41"/>
      <c r="N1112" s="41"/>
      <c r="O1112" s="41" t="s">
        <v>423</v>
      </c>
      <c r="P1112" s="41" t="s">
        <v>2496</v>
      </c>
      <c r="Q1112" s="49">
        <f>VALUE(RIGHT(P1112,LEN(P1112)-SEARCH("/",P1112)))</f>
        <v>226</v>
      </c>
      <c r="R1112" s="43">
        <f>VALUE(SUBSTITUTE(LEFT(P1112,SEARCH("/",P1112)-1),"+",","))</f>
        <v>336.62700000000001</v>
      </c>
      <c r="S1112" s="41" t="s">
        <v>2491</v>
      </c>
      <c r="T1112" s="48" t="str">
        <f t="shared" ref="T1112:T1175" si="123">CONCATENATE("(",A1112,",'",E1112,"','",F1112,"','",TEXT(G1112,"aaaa-mm-jj"),"','",TEXT(H1112,"aaaa-mm-jj"),"',",I1112,",",J1112,",",M1112,"),")</f>
        <v>(4,'PC-04-GR4','Poste de Coupure n°04 GR4','Wednesday-01-jj','Wednesday-01-jj',NULL,1,),</v>
      </c>
    </row>
    <row r="1113" spans="1:20" ht="20.100000000000001" customHeight="1" x14ac:dyDescent="0.25">
      <c r="A1113" s="38">
        <v>15</v>
      </c>
      <c r="B1113" s="38">
        <v>1118</v>
      </c>
      <c r="C1113" s="38" t="s">
        <v>664</v>
      </c>
      <c r="D1113" s="38">
        <v>21</v>
      </c>
      <c r="E1113" s="39" t="str">
        <f>CONCATENATE("PS-",TEXT(A1113,"00"),"-",O1113)</f>
        <v>PS-15-GR4</v>
      </c>
      <c r="F1113" s="48" t="str">
        <f>CONCATENATE("Poste de Sectionnement n°",TEXT(A1113,"00")," ",O1113)</f>
        <v>Poste de Sectionnement n°15 GR4</v>
      </c>
      <c r="G1113" s="19">
        <v>41640</v>
      </c>
      <c r="H1113" s="19">
        <v>41640</v>
      </c>
      <c r="I1113" s="41" t="s">
        <v>20</v>
      </c>
      <c r="J1113" s="41">
        <v>1</v>
      </c>
      <c r="K1113" s="41" t="s">
        <v>3557</v>
      </c>
      <c r="L1113" s="41">
        <v>16</v>
      </c>
      <c r="M1113" s="41"/>
      <c r="N1113" s="41"/>
      <c r="O1113" s="41" t="s">
        <v>423</v>
      </c>
      <c r="P1113" s="41" t="s">
        <v>2601</v>
      </c>
      <c r="Q1113" s="43">
        <v>0</v>
      </c>
      <c r="R1113" s="43">
        <f>VALUE(SUBSTITUTE(P1113,"+",","))</f>
        <v>356.19900000000001</v>
      </c>
      <c r="S1113" s="41" t="s">
        <v>744</v>
      </c>
      <c r="T1113" s="48" t="str">
        <f t="shared" si="123"/>
        <v>(15,'PS-15-GR4','Poste de Sectionnement n°15 GR4','Wednesday-01-jj','Wednesday-01-jj',NULL,1,),</v>
      </c>
    </row>
    <row r="1114" spans="1:20" ht="20.100000000000001" customHeight="1" x14ac:dyDescent="0.25">
      <c r="A1114" s="38">
        <v>16</v>
      </c>
      <c r="B1114" s="38">
        <v>1119</v>
      </c>
      <c r="C1114" s="38" t="s">
        <v>664</v>
      </c>
      <c r="D1114" s="38">
        <v>21</v>
      </c>
      <c r="E1114" s="39" t="str">
        <f>CONCATENATE("PS-",TEXT(A1114,"00"),"-",O1114)</f>
        <v>PS-16-GR4</v>
      </c>
      <c r="F1114" s="48" t="str">
        <f>CONCATENATE("Poste de Sectionnement n°",TEXT(A1114,"00")," ",O1114)</f>
        <v>Poste de Sectionnement n°16 GR4</v>
      </c>
      <c r="G1114" s="19">
        <v>41640</v>
      </c>
      <c r="H1114" s="19">
        <v>41640</v>
      </c>
      <c r="I1114" s="41" t="s">
        <v>20</v>
      </c>
      <c r="J1114" s="41">
        <v>1</v>
      </c>
      <c r="K1114" s="41" t="s">
        <v>3557</v>
      </c>
      <c r="L1114" s="41">
        <v>16</v>
      </c>
      <c r="M1114" s="41"/>
      <c r="N1114" s="41"/>
      <c r="O1114" s="41" t="s">
        <v>423</v>
      </c>
      <c r="P1114" s="41" t="s">
        <v>2602</v>
      </c>
      <c r="Q1114" s="43">
        <v>0</v>
      </c>
      <c r="R1114" s="43">
        <f>VALUE(SUBSTITUTE(P1114,"+",","))</f>
        <v>376.91</v>
      </c>
      <c r="S1114" s="41" t="s">
        <v>745</v>
      </c>
      <c r="T1114" s="48" t="str">
        <f t="shared" si="123"/>
        <v>(16,'PS-16-GR4','Poste de Sectionnement n°16 GR4','Wednesday-01-jj','Wednesday-01-jj',NULL,1,),</v>
      </c>
    </row>
    <row r="1115" spans="1:20" ht="20.100000000000001" customHeight="1" x14ac:dyDescent="0.25">
      <c r="A1115" s="38">
        <v>17</v>
      </c>
      <c r="B1115" s="38">
        <v>1120</v>
      </c>
      <c r="C1115" s="38" t="s">
        <v>664</v>
      </c>
      <c r="D1115" s="38">
        <v>21</v>
      </c>
      <c r="E1115" s="39" t="str">
        <f>CONCATENATE("PS-",TEXT(A1115,"00"),"-",O1115)</f>
        <v>PS-17-GR4</v>
      </c>
      <c r="F1115" s="48" t="str">
        <f>CONCATENATE("Poste de Sectionnement n°",TEXT(A1115,"00")," ",O1115)</f>
        <v>Poste de Sectionnement n°17 GR4</v>
      </c>
      <c r="G1115" s="19">
        <v>41640</v>
      </c>
      <c r="H1115" s="19">
        <v>41640</v>
      </c>
      <c r="I1115" s="41" t="s">
        <v>20</v>
      </c>
      <c r="J1115" s="41">
        <v>1</v>
      </c>
      <c r="K1115" s="41" t="s">
        <v>3557</v>
      </c>
      <c r="L1115" s="41">
        <v>16</v>
      </c>
      <c r="M1115" s="41"/>
      <c r="N1115" s="41"/>
      <c r="O1115" s="41" t="s">
        <v>423</v>
      </c>
      <c r="P1115" s="41" t="s">
        <v>2603</v>
      </c>
      <c r="Q1115" s="43">
        <v>0</v>
      </c>
      <c r="R1115" s="43">
        <f>VALUE(SUBSTITUTE(P1115,"+",","))</f>
        <v>396.65100000000001</v>
      </c>
      <c r="S1115" s="41" t="s">
        <v>745</v>
      </c>
      <c r="T1115" s="48" t="str">
        <f t="shared" si="123"/>
        <v>(17,'PS-17-GR4','Poste de Sectionnement n°17 GR4','Wednesday-01-jj','Wednesday-01-jj',NULL,1,),</v>
      </c>
    </row>
    <row r="1116" spans="1:20" ht="20.100000000000001" customHeight="1" x14ac:dyDescent="0.25">
      <c r="A1116" s="38">
        <v>2</v>
      </c>
      <c r="B1116" s="38">
        <v>1121</v>
      </c>
      <c r="C1116" s="38" t="s">
        <v>664</v>
      </c>
      <c r="D1116" s="38">
        <v>21</v>
      </c>
      <c r="E1116" s="39" t="str">
        <f>CONCATENATE("PPUR-",TEXT(A1116,"00"),"-",O1116)</f>
        <v>PPUR-02-GR4</v>
      </c>
      <c r="F1116" s="48" t="str">
        <f>CONCATENATE("Poste de Purge n°",TEXT(A1116,"00")," ",O1116)</f>
        <v>Poste de Purge n°02 GR4</v>
      </c>
      <c r="G1116" s="19">
        <v>41640</v>
      </c>
      <c r="H1116" s="19">
        <v>41640</v>
      </c>
      <c r="I1116" s="41" t="s">
        <v>20</v>
      </c>
      <c r="J1116" s="41">
        <v>1</v>
      </c>
      <c r="K1116" s="41" t="s">
        <v>3558</v>
      </c>
      <c r="L1116" s="41">
        <v>17</v>
      </c>
      <c r="M1116" s="41"/>
      <c r="N1116" s="41"/>
      <c r="O1116" s="41" t="s">
        <v>423</v>
      </c>
      <c r="P1116" s="41" t="s">
        <v>2648</v>
      </c>
      <c r="Q1116" s="65">
        <v>0</v>
      </c>
      <c r="R1116" s="43">
        <f>VALUE(SUBSTITUTE(P1116,"+",","))</f>
        <v>417.36599999999999</v>
      </c>
      <c r="S1116" s="41" t="s">
        <v>745</v>
      </c>
      <c r="T1116" s="48" t="str">
        <f t="shared" si="123"/>
        <v>(2,'PPUR-02-GR4','Poste de Purge n°02 GR4','Wednesday-01-jj','Wednesday-01-jj',NULL,1,),</v>
      </c>
    </row>
    <row r="1117" spans="1:20" ht="20.100000000000001" customHeight="1" x14ac:dyDescent="0.25">
      <c r="A1117" s="38">
        <v>18</v>
      </c>
      <c r="B1117" s="38">
        <v>1122</v>
      </c>
      <c r="C1117" s="38" t="s">
        <v>664</v>
      </c>
      <c r="D1117" s="38">
        <v>21</v>
      </c>
      <c r="E1117" s="39" t="str">
        <f>CONCATENATE("PS-",TEXT(A1117,"00"),"-",O1117)</f>
        <v>PS-18-GR4</v>
      </c>
      <c r="F1117" s="48" t="str">
        <f>CONCATENATE("Poste de Sectionnement n°",TEXT(A1117,"00")," ",O1117)</f>
        <v>Poste de Sectionnement n°18 GR4</v>
      </c>
      <c r="G1117" s="19">
        <v>41640</v>
      </c>
      <c r="H1117" s="19">
        <v>41640</v>
      </c>
      <c r="I1117" s="41" t="s">
        <v>20</v>
      </c>
      <c r="J1117" s="41">
        <v>1</v>
      </c>
      <c r="K1117" s="41" t="s">
        <v>3557</v>
      </c>
      <c r="L1117" s="41">
        <v>16</v>
      </c>
      <c r="M1117" s="41"/>
      <c r="N1117" s="41"/>
      <c r="O1117" s="41" t="s">
        <v>423</v>
      </c>
      <c r="P1117" s="41" t="s">
        <v>2604</v>
      </c>
      <c r="Q1117" s="43">
        <v>0</v>
      </c>
      <c r="R1117" s="43">
        <f>VALUE(SUBSTITUTE(P1117,"+",","))</f>
        <v>417.52600000000001</v>
      </c>
      <c r="S1117" s="41" t="s">
        <v>745</v>
      </c>
      <c r="T1117" s="48" t="str">
        <f t="shared" si="123"/>
        <v>(18,'PS-18-GR4','Poste de Sectionnement n°18 GR4','Wednesday-01-jj','Wednesday-01-jj',NULL,1,),</v>
      </c>
    </row>
    <row r="1118" spans="1:20" ht="20.100000000000001" customHeight="1" x14ac:dyDescent="0.25">
      <c r="A1118" s="38">
        <v>5</v>
      </c>
      <c r="B1118" s="38">
        <v>1123</v>
      </c>
      <c r="C1118" s="38" t="s">
        <v>664</v>
      </c>
      <c r="D1118" s="38">
        <v>21</v>
      </c>
      <c r="E1118" s="45" t="str">
        <f>CONCATENATE("PC-",TEXT(A1118,"00"),"-",O1118)</f>
        <v>PC-05-GR4</v>
      </c>
      <c r="F1118" s="48" t="str">
        <f>CONCATENATE("Poste de Coupure n°",TEXT(A1118,"00")," ",O1118)</f>
        <v>Poste de Coupure n°05 GR4</v>
      </c>
      <c r="G1118" s="19">
        <v>41640</v>
      </c>
      <c r="H1118" s="19">
        <v>41640</v>
      </c>
      <c r="I1118" s="41" t="s">
        <v>20</v>
      </c>
      <c r="J1118" s="41">
        <v>1</v>
      </c>
      <c r="K1118" s="41" t="s">
        <v>3556</v>
      </c>
      <c r="L1118" s="41">
        <v>15</v>
      </c>
      <c r="M1118" s="41"/>
      <c r="N1118" s="41"/>
      <c r="O1118" s="41" t="s">
        <v>423</v>
      </c>
      <c r="P1118" s="41" t="s">
        <v>2497</v>
      </c>
      <c r="Q1118" s="49">
        <f>VALUE(RIGHT(P1118,LEN(P1118)-SEARCH("/",P1118)))</f>
        <v>400</v>
      </c>
      <c r="R1118" s="43">
        <f>VALUE(SUBSTITUTE(LEFT(P1118,SEARCH("/",P1118)-1),"+",","))</f>
        <v>437.654</v>
      </c>
      <c r="S1118" s="41" t="s">
        <v>745</v>
      </c>
      <c r="T1118" s="48" t="str">
        <f t="shared" si="123"/>
        <v>(5,'PC-05-GR4','Poste de Coupure n°05 GR4','Wednesday-01-jj','Wednesday-01-jj',NULL,1,),</v>
      </c>
    </row>
    <row r="1119" spans="1:20" ht="20.100000000000001" customHeight="1" x14ac:dyDescent="0.25">
      <c r="A1119" s="38">
        <v>19</v>
      </c>
      <c r="B1119" s="38">
        <v>1124</v>
      </c>
      <c r="C1119" s="38" t="s">
        <v>664</v>
      </c>
      <c r="D1119" s="38">
        <v>21</v>
      </c>
      <c r="E1119" s="39" t="str">
        <f>CONCATENATE("PS-",TEXT(A1119,"00"),"-",O1119)</f>
        <v>PS-19-GR4</v>
      </c>
      <c r="F1119" s="48" t="str">
        <f>CONCATENATE("Poste de Sectionnement n°",TEXT(A1119,"00")," ",O1119)</f>
        <v>Poste de Sectionnement n°19 GR4</v>
      </c>
      <c r="G1119" s="19">
        <v>41640</v>
      </c>
      <c r="H1119" s="19">
        <v>41640</v>
      </c>
      <c r="I1119" s="41" t="s">
        <v>20</v>
      </c>
      <c r="J1119" s="41">
        <v>1</v>
      </c>
      <c r="K1119" s="41" t="s">
        <v>3557</v>
      </c>
      <c r="L1119" s="41">
        <v>16</v>
      </c>
      <c r="M1119" s="41"/>
      <c r="N1119" s="41"/>
      <c r="O1119" s="41" t="s">
        <v>423</v>
      </c>
      <c r="P1119" s="41" t="s">
        <v>2605</v>
      </c>
      <c r="Q1119" s="43">
        <v>0</v>
      </c>
      <c r="R1119" s="43">
        <f>VALUE(SUBSTITUTE(P1119,"+",","))</f>
        <v>458.00700000000001</v>
      </c>
      <c r="S1119" s="41" t="s">
        <v>1828</v>
      </c>
      <c r="T1119" s="48" t="str">
        <f t="shared" si="123"/>
        <v>(19,'PS-19-GR4','Poste de Sectionnement n°19 GR4','Wednesday-01-jj','Wednesday-01-jj',NULL,1,),</v>
      </c>
    </row>
    <row r="1120" spans="1:20" ht="20.100000000000001" customHeight="1" x14ac:dyDescent="0.25">
      <c r="A1120" s="38">
        <v>20</v>
      </c>
      <c r="B1120" s="38">
        <v>1125</v>
      </c>
      <c r="C1120" s="38" t="s">
        <v>664</v>
      </c>
      <c r="D1120" s="38">
        <v>21</v>
      </c>
      <c r="E1120" s="39" t="str">
        <f>CONCATENATE("PS-",TEXT(A1120,"00"),"-",O1120)</f>
        <v>PS-20-GR4</v>
      </c>
      <c r="F1120" s="48" t="str">
        <f>CONCATENATE("Poste de Sectionnement n°",TEXT(A1120,"00")," ",O1120)</f>
        <v>Poste de Sectionnement n°20 GR4</v>
      </c>
      <c r="G1120" s="19">
        <v>41640</v>
      </c>
      <c r="H1120" s="19">
        <v>41640</v>
      </c>
      <c r="I1120" s="41" t="s">
        <v>20</v>
      </c>
      <c r="J1120" s="41">
        <v>1</v>
      </c>
      <c r="K1120" s="41" t="s">
        <v>3557</v>
      </c>
      <c r="L1120" s="41">
        <v>16</v>
      </c>
      <c r="M1120" s="41"/>
      <c r="N1120" s="41"/>
      <c r="O1120" s="41" t="s">
        <v>423</v>
      </c>
      <c r="P1120" s="41" t="s">
        <v>2606</v>
      </c>
      <c r="Q1120" s="43">
        <v>0</v>
      </c>
      <c r="R1120" s="43">
        <f>VALUE(SUBSTITUTE(P1120,"+",","))</f>
        <v>477.74299999999999</v>
      </c>
      <c r="S1120" s="41" t="s">
        <v>1828</v>
      </c>
      <c r="T1120" s="48" t="str">
        <f t="shared" si="123"/>
        <v>(20,'PS-20-GR4','Poste de Sectionnement n°20 GR4','Wednesday-01-jj','Wednesday-01-jj',NULL,1,),</v>
      </c>
    </row>
    <row r="1121" spans="1:20" ht="20.100000000000001" customHeight="1" x14ac:dyDescent="0.25">
      <c r="A1121" s="38">
        <v>21</v>
      </c>
      <c r="B1121" s="38">
        <v>1126</v>
      </c>
      <c r="C1121" s="38" t="s">
        <v>664</v>
      </c>
      <c r="D1121" s="38">
        <v>21</v>
      </c>
      <c r="E1121" s="39" t="str">
        <f>CONCATENATE("PS-",TEXT(A1121,"00"),"-",O1121)</f>
        <v>PS-21-GR4</v>
      </c>
      <c r="F1121" s="48" t="str">
        <f>CONCATENATE("Poste de Sectionnement n°",TEXT(A1121,"00")," ",O1121)</f>
        <v>Poste de Sectionnement n°21 GR4</v>
      </c>
      <c r="G1121" s="19">
        <v>41640</v>
      </c>
      <c r="H1121" s="19">
        <v>41640</v>
      </c>
      <c r="I1121" s="41" t="s">
        <v>20</v>
      </c>
      <c r="J1121" s="41">
        <v>1</v>
      </c>
      <c r="K1121" s="41" t="s">
        <v>3557</v>
      </c>
      <c r="L1121" s="41">
        <v>16</v>
      </c>
      <c r="M1121" s="41"/>
      <c r="N1121" s="41"/>
      <c r="O1121" s="41" t="s">
        <v>423</v>
      </c>
      <c r="P1121" s="41" t="s">
        <v>2607</v>
      </c>
      <c r="Q1121" s="43">
        <v>0</v>
      </c>
      <c r="R1121" s="43">
        <f>VALUE(SUBSTITUTE(P1121,"+",","))</f>
        <v>494.21199999999999</v>
      </c>
      <c r="S1121" s="41" t="s">
        <v>2546</v>
      </c>
      <c r="T1121" s="48" t="str">
        <f t="shared" si="123"/>
        <v>(21,'PS-21-GR4','Poste de Sectionnement n°21 GR4','Wednesday-01-jj','Wednesday-01-jj',NULL,1,),</v>
      </c>
    </row>
    <row r="1122" spans="1:20" ht="20.100000000000001" customHeight="1" x14ac:dyDescent="0.25">
      <c r="A1122" s="38">
        <v>22</v>
      </c>
      <c r="B1122" s="38">
        <v>1127</v>
      </c>
      <c r="C1122" s="38" t="s">
        <v>664</v>
      </c>
      <c r="D1122" s="38">
        <v>21</v>
      </c>
      <c r="E1122" s="39" t="str">
        <f>CONCATENATE("PS-",TEXT(A1122,"00"),"-",O1122)</f>
        <v>PS-22-GR4</v>
      </c>
      <c r="F1122" s="48" t="str">
        <f>CONCATENATE("Poste de Sectionnement n°",TEXT(A1122,"00")," ",O1122)</f>
        <v>Poste de Sectionnement n°22 GR4</v>
      </c>
      <c r="G1122" s="19">
        <v>41640</v>
      </c>
      <c r="H1122" s="19">
        <v>41640</v>
      </c>
      <c r="I1122" s="41" t="s">
        <v>20</v>
      </c>
      <c r="J1122" s="41">
        <v>1</v>
      </c>
      <c r="K1122" s="41" t="s">
        <v>3557</v>
      </c>
      <c r="L1122" s="41">
        <v>16</v>
      </c>
      <c r="M1122" s="41"/>
      <c r="N1122" s="41"/>
      <c r="O1122" s="41" t="s">
        <v>423</v>
      </c>
      <c r="P1122" s="41" t="s">
        <v>2608</v>
      </c>
      <c r="Q1122" s="43">
        <v>0</v>
      </c>
      <c r="R1122" s="43">
        <f>VALUE(SUBSTITUTE(P1122,"+",","))</f>
        <v>510.04399999999998</v>
      </c>
      <c r="S1122" s="41" t="s">
        <v>2546</v>
      </c>
      <c r="T1122" s="48" t="str">
        <f t="shared" si="123"/>
        <v>(22,'PS-22-GR4','Poste de Sectionnement n°22 GR4','Wednesday-01-jj','Wednesday-01-jj',NULL,1,),</v>
      </c>
    </row>
    <row r="1123" spans="1:20" ht="20.100000000000001" customHeight="1" x14ac:dyDescent="0.25">
      <c r="A1123" s="38">
        <v>3</v>
      </c>
      <c r="B1123" s="38">
        <v>1128</v>
      </c>
      <c r="C1123" s="38" t="s">
        <v>664</v>
      </c>
      <c r="D1123" s="38">
        <v>21</v>
      </c>
      <c r="E1123" s="39" t="str">
        <f>CONCATENATE("PPUR-",TEXT(A1123,"00"),"-",O1123)</f>
        <v>PPUR-03-GR4</v>
      </c>
      <c r="F1123" s="48" t="str">
        <f>CONCATENATE("Poste de Purge n°",TEXT(A1123,"00")," ",O1123)</f>
        <v>Poste de Purge n°03 GR4</v>
      </c>
      <c r="G1123" s="19">
        <v>41640</v>
      </c>
      <c r="H1123" s="19">
        <v>41640</v>
      </c>
      <c r="I1123" s="41" t="s">
        <v>20</v>
      </c>
      <c r="J1123" s="41">
        <v>1</v>
      </c>
      <c r="K1123" s="41" t="s">
        <v>3558</v>
      </c>
      <c r="L1123" s="41">
        <v>17</v>
      </c>
      <c r="M1123" s="41"/>
      <c r="N1123" s="41"/>
      <c r="O1123" s="41" t="s">
        <v>423</v>
      </c>
      <c r="P1123" s="41" t="s">
        <v>2649</v>
      </c>
      <c r="Q1123" s="65">
        <v>0</v>
      </c>
      <c r="R1123" s="43">
        <f>VALUE(SUBSTITUTE(P1123,"+",","))</f>
        <v>515.48599999999999</v>
      </c>
      <c r="S1123" s="41" t="s">
        <v>2546</v>
      </c>
      <c r="T1123" s="48" t="str">
        <f t="shared" si="123"/>
        <v>(3,'PPUR-03-GR4','Poste de Purge n°03 GR4','Wednesday-01-jj','Wednesday-01-jj',NULL,1,),</v>
      </c>
    </row>
    <row r="1124" spans="1:20" ht="20.100000000000001" customHeight="1" x14ac:dyDescent="0.25">
      <c r="A1124" s="38">
        <v>6</v>
      </c>
      <c r="B1124" s="38">
        <v>1129</v>
      </c>
      <c r="C1124" s="38" t="s">
        <v>664</v>
      </c>
      <c r="D1124" s="38">
        <v>21</v>
      </c>
      <c r="E1124" s="45" t="str">
        <f>CONCATENATE("PC-",TEXT(A1124,"00"),"-",O1124)</f>
        <v>PC-06-GR4</v>
      </c>
      <c r="F1124" s="48" t="str">
        <f>CONCATENATE("Poste de Coupure n°",TEXT(A1124,"00")," ",O1124)</f>
        <v>Poste de Coupure n°06 GR4</v>
      </c>
      <c r="G1124" s="19">
        <v>41640</v>
      </c>
      <c r="H1124" s="19">
        <v>41640</v>
      </c>
      <c r="I1124" s="41" t="s">
        <v>20</v>
      </c>
      <c r="J1124" s="41">
        <v>1</v>
      </c>
      <c r="K1124" s="41" t="s">
        <v>3556</v>
      </c>
      <c r="L1124" s="41">
        <v>15</v>
      </c>
      <c r="M1124" s="41"/>
      <c r="N1124" s="41"/>
      <c r="O1124" s="41" t="s">
        <v>423</v>
      </c>
      <c r="P1124" s="41" t="s">
        <v>2498</v>
      </c>
      <c r="Q1124" s="49">
        <f>VALUE(RIGHT(P1124,LEN(P1124)-SEARCH("/",P1124)))</f>
        <v>779</v>
      </c>
      <c r="R1124" s="43">
        <f>VALUE(SUBSTITUTE(LEFT(P1124,SEARCH("/",P1124)-1),"+",","))</f>
        <v>530.5</v>
      </c>
      <c r="S1124" s="44" t="s">
        <v>2490</v>
      </c>
      <c r="T1124" s="48" t="str">
        <f t="shared" si="123"/>
        <v>(6,'PC-06-GR4','Poste de Coupure n°06 GR4','Wednesday-01-jj','Wednesday-01-jj',NULL,1,),</v>
      </c>
    </row>
    <row r="1125" spans="1:20" ht="20.100000000000001" customHeight="1" x14ac:dyDescent="0.25">
      <c r="A1125" s="38">
        <v>7</v>
      </c>
      <c r="B1125" s="38">
        <v>1130</v>
      </c>
      <c r="C1125" s="38" t="s">
        <v>664</v>
      </c>
      <c r="D1125" s="38">
        <v>21</v>
      </c>
      <c r="E1125" s="39" t="s">
        <v>3524</v>
      </c>
      <c r="F1125" s="48" t="str">
        <f>CONCATENATE("Station de Compression ",E1125)</f>
        <v>Station de Compression SCHR-GR4</v>
      </c>
      <c r="G1125" s="19">
        <v>43101</v>
      </c>
      <c r="H1125" s="19">
        <v>43101</v>
      </c>
      <c r="I1125" s="41" t="s">
        <v>20</v>
      </c>
      <c r="J1125" s="41">
        <v>1</v>
      </c>
      <c r="K1125" s="41" t="s">
        <v>3554</v>
      </c>
      <c r="L1125" s="41">
        <v>8</v>
      </c>
      <c r="M1125" s="41">
        <v>10</v>
      </c>
      <c r="N1125" s="41"/>
      <c r="O1125" s="41" t="s">
        <v>423</v>
      </c>
      <c r="P1125" s="41" t="s">
        <v>2498</v>
      </c>
      <c r="Q1125" s="49">
        <f>VALUE(RIGHT(P1125,LEN(P1125)-SEARCH("/",P1125)))</f>
        <v>779</v>
      </c>
      <c r="R1125" s="43">
        <f>VALUE(SUBSTITUTE(LEFT(P1125,SEARCH("/",P1125)-1),"+",","))</f>
        <v>530.5</v>
      </c>
      <c r="S1125" s="41" t="s">
        <v>3590</v>
      </c>
      <c r="T1125" s="48" t="str">
        <f t="shared" si="123"/>
        <v>(7,'SCHR-GR4','Station de Compression SCHR-GR4','Monday-01-jj','Monday-01-jj',NULL,1,10),</v>
      </c>
    </row>
    <row r="1126" spans="1:20" ht="20.100000000000001" customHeight="1" x14ac:dyDescent="0.25">
      <c r="A1126" s="38">
        <v>1</v>
      </c>
      <c r="B1126" s="38">
        <v>1131</v>
      </c>
      <c r="C1126" s="38" t="s">
        <v>664</v>
      </c>
      <c r="D1126" s="38">
        <v>21</v>
      </c>
      <c r="E1126" s="39" t="str">
        <f>CONCATENATE("PS-",TEXT(A1126,"00"),"-",O1126)</f>
        <v>PS-01-GR6</v>
      </c>
      <c r="F1126" s="48" t="str">
        <f>CONCATENATE("Poste de Sectionnement n°",TEXT(A1126,"00")," ",O1126)</f>
        <v>Poste de Sectionnement n°01 GR6</v>
      </c>
      <c r="G1126" s="19">
        <v>42736</v>
      </c>
      <c r="H1126" s="19">
        <v>42736</v>
      </c>
      <c r="I1126" s="41" t="s">
        <v>20</v>
      </c>
      <c r="J1126" s="41">
        <v>1</v>
      </c>
      <c r="K1126" s="41" t="s">
        <v>3557</v>
      </c>
      <c r="L1126" s="41">
        <v>16</v>
      </c>
      <c r="M1126" s="41"/>
      <c r="N1126" s="41"/>
      <c r="O1126" s="41" t="s">
        <v>428</v>
      </c>
      <c r="P1126" s="41" t="s">
        <v>2609</v>
      </c>
      <c r="Q1126" s="43">
        <v>0</v>
      </c>
      <c r="R1126" s="43">
        <f t="shared" ref="R1126:R1161" si="124">VALUE(SUBSTITUTE(P1126,"+",","))</f>
        <v>16.8</v>
      </c>
      <c r="S1126" s="41" t="s">
        <v>1804</v>
      </c>
      <c r="T1126" s="48" t="str">
        <f t="shared" si="123"/>
        <v>(1,'PS-01-GR6','Poste de Sectionnement n°01 GR6','Sunday-01-jj','Sunday-01-jj',NULL,1,),</v>
      </c>
    </row>
    <row r="1127" spans="1:20" ht="20.100000000000001" customHeight="1" x14ac:dyDescent="0.25">
      <c r="A1127" s="38">
        <v>2</v>
      </c>
      <c r="B1127" s="38">
        <v>1132</v>
      </c>
      <c r="C1127" s="38" t="s">
        <v>664</v>
      </c>
      <c r="D1127" s="38">
        <v>21</v>
      </c>
      <c r="E1127" s="39" t="str">
        <f>CONCATENATE("PS-",TEXT(A1127,"00"),"-",O1127)</f>
        <v>PS-02-GR6</v>
      </c>
      <c r="F1127" s="48" t="str">
        <f>CONCATENATE("Poste de Sectionnement n°",TEXT(A1127,"00")," ",O1127)</f>
        <v>Poste de Sectionnement n°02 GR6</v>
      </c>
      <c r="G1127" s="19">
        <v>42736</v>
      </c>
      <c r="H1127" s="19">
        <v>42736</v>
      </c>
      <c r="I1127" s="41" t="s">
        <v>20</v>
      </c>
      <c r="J1127" s="41">
        <v>1</v>
      </c>
      <c r="K1127" s="41" t="s">
        <v>3557</v>
      </c>
      <c r="L1127" s="41">
        <v>16</v>
      </c>
      <c r="M1127" s="41"/>
      <c r="N1127" s="41"/>
      <c r="O1127" s="41" t="s">
        <v>428</v>
      </c>
      <c r="P1127" s="41" t="s">
        <v>2610</v>
      </c>
      <c r="Q1127" s="43">
        <v>0</v>
      </c>
      <c r="R1127" s="43">
        <f t="shared" si="124"/>
        <v>34.801000000000002</v>
      </c>
      <c r="S1127" s="41" t="s">
        <v>998</v>
      </c>
      <c r="T1127" s="48" t="str">
        <f t="shared" si="123"/>
        <v>(2,'PS-02-GR6','Poste de Sectionnement n°02 GR6','Sunday-01-jj','Sunday-01-jj',NULL,1,),</v>
      </c>
    </row>
    <row r="1128" spans="1:20" ht="20.100000000000001" customHeight="1" x14ac:dyDescent="0.25">
      <c r="A1128" s="38">
        <v>3</v>
      </c>
      <c r="B1128" s="38">
        <v>1133</v>
      </c>
      <c r="C1128" s="38" t="s">
        <v>664</v>
      </c>
      <c r="D1128" s="38">
        <v>21</v>
      </c>
      <c r="E1128" s="39" t="str">
        <f>CONCATENATE("PS-",TEXT(A1128,"00"),"-",O1128)</f>
        <v>PS-03-GR6</v>
      </c>
      <c r="F1128" s="48" t="str">
        <f>CONCATENATE("Poste de Sectionnement n°",TEXT(A1128,"00")," ",O1128)</f>
        <v>Poste de Sectionnement n°03 GR6</v>
      </c>
      <c r="G1128" s="19">
        <v>42736</v>
      </c>
      <c r="H1128" s="19">
        <v>42736</v>
      </c>
      <c r="I1128" s="41" t="s">
        <v>20</v>
      </c>
      <c r="J1128" s="41">
        <v>1</v>
      </c>
      <c r="K1128" s="41" t="s">
        <v>3557</v>
      </c>
      <c r="L1128" s="41">
        <v>16</v>
      </c>
      <c r="M1128" s="41"/>
      <c r="N1128" s="41"/>
      <c r="O1128" s="41" t="s">
        <v>428</v>
      </c>
      <c r="P1128" s="41" t="s">
        <v>2611</v>
      </c>
      <c r="Q1128" s="43">
        <v>0</v>
      </c>
      <c r="R1128" s="43">
        <f t="shared" si="124"/>
        <v>52.466000000000001</v>
      </c>
      <c r="S1128" s="41" t="s">
        <v>998</v>
      </c>
      <c r="T1128" s="48" t="str">
        <f t="shared" si="123"/>
        <v>(3,'PS-03-GR6','Poste de Sectionnement n°03 GR6','Sunday-01-jj','Sunday-01-jj',NULL,1,),</v>
      </c>
    </row>
    <row r="1129" spans="1:20" ht="20.100000000000001" customHeight="1" x14ac:dyDescent="0.25">
      <c r="A1129" s="38">
        <v>1</v>
      </c>
      <c r="B1129" s="38">
        <v>1134</v>
      </c>
      <c r="C1129" s="38" t="s">
        <v>664</v>
      </c>
      <c r="D1129" s="38">
        <v>21</v>
      </c>
      <c r="E1129" s="45" t="str">
        <f>CONCATENATE("PC-",TEXT(A1129,"00"),"-",O1129)</f>
        <v>PC-01-GR6</v>
      </c>
      <c r="F1129" s="48" t="str">
        <f>CONCATENATE("Poste de Coupure n°",TEXT(A1129,"00")," ",O1129)</f>
        <v>Poste de Coupure n°01 GR6</v>
      </c>
      <c r="G1129" s="19">
        <v>42736</v>
      </c>
      <c r="H1129" s="19">
        <v>42736</v>
      </c>
      <c r="I1129" s="41" t="s">
        <v>20</v>
      </c>
      <c r="J1129" s="41">
        <v>1</v>
      </c>
      <c r="K1129" s="41" t="s">
        <v>3556</v>
      </c>
      <c r="L1129" s="41">
        <v>15</v>
      </c>
      <c r="M1129" s="41"/>
      <c r="N1129" s="41"/>
      <c r="O1129" s="41" t="s">
        <v>428</v>
      </c>
      <c r="P1129" s="41" t="s">
        <v>2499</v>
      </c>
      <c r="Q1129" s="65">
        <v>0</v>
      </c>
      <c r="R1129" s="43">
        <f t="shared" si="124"/>
        <v>71.302999999999997</v>
      </c>
      <c r="S1129" s="41" t="s">
        <v>2488</v>
      </c>
      <c r="T1129" s="48" t="str">
        <f t="shared" si="123"/>
        <v>(1,'PC-01-GR6','Poste de Coupure n°01 GR6','Sunday-01-jj','Sunday-01-jj',NULL,1,),</v>
      </c>
    </row>
    <row r="1130" spans="1:20" ht="20.100000000000001" customHeight="1" x14ac:dyDescent="0.25">
      <c r="A1130" s="38">
        <v>4</v>
      </c>
      <c r="B1130" s="38">
        <v>1135</v>
      </c>
      <c r="C1130" s="38" t="s">
        <v>664</v>
      </c>
      <c r="D1130" s="38">
        <v>21</v>
      </c>
      <c r="E1130" s="39" t="str">
        <f>CONCATENATE("PS-",TEXT(A1130,"00"),"-",O1130)</f>
        <v>PS-04-GR6</v>
      </c>
      <c r="F1130" s="48" t="str">
        <f>CONCATENATE("Poste de Sectionnement n°",TEXT(A1130,"00")," ",O1130)</f>
        <v>Poste de Sectionnement n°04 GR6</v>
      </c>
      <c r="G1130" s="19">
        <v>42736</v>
      </c>
      <c r="H1130" s="19">
        <v>42736</v>
      </c>
      <c r="I1130" s="41" t="s">
        <v>20</v>
      </c>
      <c r="J1130" s="41">
        <v>1</v>
      </c>
      <c r="K1130" s="41" t="s">
        <v>3557</v>
      </c>
      <c r="L1130" s="41">
        <v>16</v>
      </c>
      <c r="M1130" s="41"/>
      <c r="N1130" s="41"/>
      <c r="O1130" s="41" t="s">
        <v>428</v>
      </c>
      <c r="P1130" s="41" t="s">
        <v>2612</v>
      </c>
      <c r="Q1130" s="43">
        <v>0</v>
      </c>
      <c r="R1130" s="43">
        <f t="shared" si="124"/>
        <v>92.289000000000001</v>
      </c>
      <c r="S1130" s="41" t="s">
        <v>998</v>
      </c>
      <c r="T1130" s="48" t="str">
        <f t="shared" si="123"/>
        <v>(4,'PS-04-GR6','Poste de Sectionnement n°04 GR6','Sunday-01-jj','Sunday-01-jj',NULL,1,),</v>
      </c>
    </row>
    <row r="1131" spans="1:20" ht="20.100000000000001" customHeight="1" x14ac:dyDescent="0.25">
      <c r="A1131" s="38">
        <v>5</v>
      </c>
      <c r="B1131" s="38">
        <v>1136</v>
      </c>
      <c r="C1131" s="38" t="s">
        <v>664</v>
      </c>
      <c r="D1131" s="38">
        <v>21</v>
      </c>
      <c r="E1131" s="39" t="str">
        <f>CONCATENATE("PS-",TEXT(A1131,"00"),"-",O1131)</f>
        <v>PS-05-GR6</v>
      </c>
      <c r="F1131" s="48" t="str">
        <f>CONCATENATE("Poste de Sectionnement n°",TEXT(A1131,"00")," ",O1131)</f>
        <v>Poste de Sectionnement n°05 GR6</v>
      </c>
      <c r="G1131" s="19">
        <v>42736</v>
      </c>
      <c r="H1131" s="19">
        <v>42736</v>
      </c>
      <c r="I1131" s="41" t="s">
        <v>20</v>
      </c>
      <c r="J1131" s="41">
        <v>1</v>
      </c>
      <c r="K1131" s="41" t="s">
        <v>3557</v>
      </c>
      <c r="L1131" s="41">
        <v>16</v>
      </c>
      <c r="M1131" s="41"/>
      <c r="N1131" s="41"/>
      <c r="O1131" s="41" t="s">
        <v>428</v>
      </c>
      <c r="P1131" s="41" t="s">
        <v>2613</v>
      </c>
      <c r="Q1131" s="43">
        <v>0</v>
      </c>
      <c r="R1131" s="43">
        <f t="shared" si="124"/>
        <v>112.923</v>
      </c>
      <c r="S1131" s="41" t="s">
        <v>998</v>
      </c>
      <c r="T1131" s="48" t="str">
        <f t="shared" si="123"/>
        <v>(5,'PS-05-GR6','Poste de Sectionnement n°05 GR6','Sunday-01-jj','Sunday-01-jj',NULL,1,),</v>
      </c>
    </row>
    <row r="1132" spans="1:20" ht="20.100000000000001" customHeight="1" x14ac:dyDescent="0.25">
      <c r="A1132" s="38">
        <v>1</v>
      </c>
      <c r="B1132" s="38">
        <v>1137</v>
      </c>
      <c r="C1132" s="38" t="s">
        <v>664</v>
      </c>
      <c r="D1132" s="38">
        <v>21</v>
      </c>
      <c r="E1132" s="39" t="str">
        <f>CONCATENATE("PPUR-",TEXT(A1132,"00"),"-",O1132)</f>
        <v>PPUR-01-GR6</v>
      </c>
      <c r="F1132" s="48" t="str">
        <f>CONCATENATE("Poste de Purge n°",TEXT(A1132,"00")," ",O1132)</f>
        <v>Poste de Purge n°01 GR6</v>
      </c>
      <c r="G1132" s="19">
        <v>42736</v>
      </c>
      <c r="H1132" s="19">
        <v>42736</v>
      </c>
      <c r="I1132" s="41" t="s">
        <v>20</v>
      </c>
      <c r="J1132" s="41">
        <v>1</v>
      </c>
      <c r="K1132" s="41" t="s">
        <v>3558</v>
      </c>
      <c r="L1132" s="41">
        <v>17</v>
      </c>
      <c r="M1132" s="41"/>
      <c r="N1132" s="41"/>
      <c r="O1132" s="41" t="s">
        <v>428</v>
      </c>
      <c r="P1132" s="41" t="s">
        <v>2650</v>
      </c>
      <c r="Q1132" s="65">
        <v>0</v>
      </c>
      <c r="R1132" s="43">
        <f t="shared" si="124"/>
        <v>126.13800000000001</v>
      </c>
      <c r="S1132" s="41" t="s">
        <v>998</v>
      </c>
      <c r="T1132" s="48" t="str">
        <f t="shared" si="123"/>
        <v>(1,'PPUR-01-GR6','Poste de Purge n°01 GR6','Sunday-01-jj','Sunday-01-jj',NULL,1,),</v>
      </c>
    </row>
    <row r="1133" spans="1:20" ht="20.100000000000001" customHeight="1" x14ac:dyDescent="0.25">
      <c r="A1133" s="38">
        <v>6</v>
      </c>
      <c r="B1133" s="38">
        <v>1138</v>
      </c>
      <c r="C1133" s="38" t="s">
        <v>664</v>
      </c>
      <c r="D1133" s="38">
        <v>21</v>
      </c>
      <c r="E1133" s="39" t="str">
        <f>CONCATENATE("PS-",TEXT(A1133,"00"),"-",O1133)</f>
        <v>PS-06-GR6</v>
      </c>
      <c r="F1133" s="48" t="str">
        <f>CONCATENATE("Poste de Sectionnement n°",TEXT(A1133,"00")," ",O1133)</f>
        <v>Poste de Sectionnement n°06 GR6</v>
      </c>
      <c r="G1133" s="19">
        <v>42736</v>
      </c>
      <c r="H1133" s="19">
        <v>42736</v>
      </c>
      <c r="I1133" s="41" t="s">
        <v>20</v>
      </c>
      <c r="J1133" s="41">
        <v>1</v>
      </c>
      <c r="K1133" s="41" t="s">
        <v>3557</v>
      </c>
      <c r="L1133" s="41">
        <v>16</v>
      </c>
      <c r="M1133" s="41"/>
      <c r="N1133" s="41"/>
      <c r="O1133" s="41" t="s">
        <v>428</v>
      </c>
      <c r="P1133" s="41" t="s">
        <v>2614</v>
      </c>
      <c r="Q1133" s="43">
        <v>0</v>
      </c>
      <c r="R1133" s="43">
        <f t="shared" si="124"/>
        <v>133.62899999999999</v>
      </c>
      <c r="S1133" s="41" t="s">
        <v>998</v>
      </c>
      <c r="T1133" s="48" t="str">
        <f t="shared" si="123"/>
        <v>(6,'PS-06-GR6','Poste de Sectionnement n°06 GR6','Sunday-01-jj','Sunday-01-jj',NULL,1,),</v>
      </c>
    </row>
    <row r="1134" spans="1:20" ht="20.100000000000001" customHeight="1" x14ac:dyDescent="0.25">
      <c r="A1134" s="38">
        <v>2</v>
      </c>
      <c r="B1134" s="38">
        <v>1139</v>
      </c>
      <c r="C1134" s="38" t="s">
        <v>664</v>
      </c>
      <c r="D1134" s="38">
        <v>21</v>
      </c>
      <c r="E1134" s="45" t="str">
        <f>CONCATENATE("PC-",TEXT(A1134,"00"),"-",O1134)</f>
        <v>PC-02-GR6</v>
      </c>
      <c r="F1134" s="48" t="str">
        <f>CONCATENATE("Poste de Coupure n°",TEXT(A1134,"00")," ",O1134)</f>
        <v>Poste de Coupure n°02 GR6</v>
      </c>
      <c r="G1134" s="19">
        <v>42736</v>
      </c>
      <c r="H1134" s="19">
        <v>42736</v>
      </c>
      <c r="I1134" s="41" t="s">
        <v>20</v>
      </c>
      <c r="J1134" s="41">
        <v>1</v>
      </c>
      <c r="K1134" s="41" t="s">
        <v>3556</v>
      </c>
      <c r="L1134" s="41">
        <v>15</v>
      </c>
      <c r="M1134" s="41"/>
      <c r="N1134" s="41"/>
      <c r="O1134" s="41" t="s">
        <v>428</v>
      </c>
      <c r="P1134" s="41" t="s">
        <v>2500</v>
      </c>
      <c r="Q1134" s="65">
        <v>0</v>
      </c>
      <c r="R1134" s="43">
        <f t="shared" si="124"/>
        <v>153.892</v>
      </c>
      <c r="S1134" s="41" t="s">
        <v>2489</v>
      </c>
      <c r="T1134" s="48" t="str">
        <f t="shared" si="123"/>
        <v>(2,'PC-02-GR6','Poste de Coupure n°02 GR6','Sunday-01-jj','Sunday-01-jj',NULL,1,),</v>
      </c>
    </row>
    <row r="1135" spans="1:20" ht="20.100000000000001" customHeight="1" x14ac:dyDescent="0.25">
      <c r="A1135" s="38">
        <v>7</v>
      </c>
      <c r="B1135" s="38">
        <v>1140</v>
      </c>
      <c r="C1135" s="38" t="s">
        <v>664</v>
      </c>
      <c r="D1135" s="38">
        <v>21</v>
      </c>
      <c r="E1135" s="39" t="str">
        <f>CONCATENATE("PS-",TEXT(A1135,"00"),"-",O1135)</f>
        <v>PS-07-GR6</v>
      </c>
      <c r="F1135" s="48" t="str">
        <f>CONCATENATE("Poste de Sectionnement n°",TEXT(A1135,"00")," ",O1135)</f>
        <v>Poste de Sectionnement n°07 GR6</v>
      </c>
      <c r="G1135" s="19">
        <v>42736</v>
      </c>
      <c r="H1135" s="19">
        <v>42736</v>
      </c>
      <c r="I1135" s="41" t="s">
        <v>20</v>
      </c>
      <c r="J1135" s="41">
        <v>1</v>
      </c>
      <c r="K1135" s="41" t="s">
        <v>3557</v>
      </c>
      <c r="L1135" s="41">
        <v>16</v>
      </c>
      <c r="M1135" s="41"/>
      <c r="N1135" s="41"/>
      <c r="O1135" s="41" t="s">
        <v>428</v>
      </c>
      <c r="P1135" s="41" t="s">
        <v>2615</v>
      </c>
      <c r="Q1135" s="43">
        <v>0</v>
      </c>
      <c r="R1135" s="43">
        <f t="shared" si="124"/>
        <v>173.071</v>
      </c>
      <c r="S1135" s="41" t="s">
        <v>998</v>
      </c>
      <c r="T1135" s="48" t="str">
        <f t="shared" si="123"/>
        <v>(7,'PS-07-GR6','Poste de Sectionnement n°07 GR6','Sunday-01-jj','Sunday-01-jj',NULL,1,),</v>
      </c>
    </row>
    <row r="1136" spans="1:20" ht="20.100000000000001" customHeight="1" x14ac:dyDescent="0.25">
      <c r="A1136" s="38">
        <v>8</v>
      </c>
      <c r="B1136" s="38">
        <v>1141</v>
      </c>
      <c r="C1136" s="38" t="s">
        <v>664</v>
      </c>
      <c r="D1136" s="38">
        <v>21</v>
      </c>
      <c r="E1136" s="39" t="str">
        <f>CONCATENATE("PS-",TEXT(A1136,"00"),"-",O1136)</f>
        <v>PS-08-GR6</v>
      </c>
      <c r="F1136" s="48" t="str">
        <f>CONCATENATE("Poste de Sectionnement n°",TEXT(A1136,"00")," ",O1136)</f>
        <v>Poste de Sectionnement n°08 GR6</v>
      </c>
      <c r="G1136" s="19">
        <v>42736</v>
      </c>
      <c r="H1136" s="19">
        <v>42736</v>
      </c>
      <c r="I1136" s="41" t="s">
        <v>20</v>
      </c>
      <c r="J1136" s="41">
        <v>1</v>
      </c>
      <c r="K1136" s="41" t="s">
        <v>3557</v>
      </c>
      <c r="L1136" s="41">
        <v>16</v>
      </c>
      <c r="M1136" s="41"/>
      <c r="N1136" s="41"/>
      <c r="O1136" s="41" t="s">
        <v>428</v>
      </c>
      <c r="P1136" s="41" t="s">
        <v>2616</v>
      </c>
      <c r="Q1136" s="43">
        <v>0</v>
      </c>
      <c r="R1136" s="43">
        <f t="shared" si="124"/>
        <v>191.87</v>
      </c>
      <c r="S1136" s="41" t="s">
        <v>998</v>
      </c>
      <c r="T1136" s="48" t="str">
        <f t="shared" si="123"/>
        <v>(8,'PS-08-GR6','Poste de Sectionnement n°08 GR6','Sunday-01-jj','Sunday-01-jj',NULL,1,),</v>
      </c>
    </row>
    <row r="1137" spans="1:20" ht="20.100000000000001" customHeight="1" x14ac:dyDescent="0.25">
      <c r="A1137" s="38">
        <v>9</v>
      </c>
      <c r="B1137" s="38">
        <v>1142</v>
      </c>
      <c r="C1137" s="38" t="s">
        <v>664</v>
      </c>
      <c r="D1137" s="38">
        <v>21</v>
      </c>
      <c r="E1137" s="39" t="str">
        <f>CONCATENATE("PS-",TEXT(A1137,"00"),"-",O1137)</f>
        <v>PS-09-GR6</v>
      </c>
      <c r="F1137" s="48" t="str">
        <f>CONCATENATE("Poste de Sectionnement n°",TEXT(A1137,"00")," ",O1137)</f>
        <v>Poste de Sectionnement n°09 GR6</v>
      </c>
      <c r="G1137" s="19">
        <v>42736</v>
      </c>
      <c r="H1137" s="19">
        <v>42736</v>
      </c>
      <c r="I1137" s="41" t="s">
        <v>20</v>
      </c>
      <c r="J1137" s="41">
        <v>1</v>
      </c>
      <c r="K1137" s="41" t="s">
        <v>3557</v>
      </c>
      <c r="L1137" s="41">
        <v>16</v>
      </c>
      <c r="M1137" s="41"/>
      <c r="N1137" s="41"/>
      <c r="O1137" s="41" t="s">
        <v>428</v>
      </c>
      <c r="P1137" s="41" t="s">
        <v>2617</v>
      </c>
      <c r="Q1137" s="43">
        <v>0</v>
      </c>
      <c r="R1137" s="43">
        <f t="shared" si="124"/>
        <v>206.785</v>
      </c>
      <c r="S1137" s="41" t="s">
        <v>998</v>
      </c>
      <c r="T1137" s="48" t="str">
        <f t="shared" si="123"/>
        <v>(9,'PS-09-GR6','Poste de Sectionnement n°09 GR6','Sunday-01-jj','Sunday-01-jj',NULL,1,),</v>
      </c>
    </row>
    <row r="1138" spans="1:20" ht="20.100000000000001" customHeight="1" x14ac:dyDescent="0.25">
      <c r="A1138" s="38">
        <v>2</v>
      </c>
      <c r="B1138" s="38">
        <v>1143</v>
      </c>
      <c r="C1138" s="38" t="s">
        <v>664</v>
      </c>
      <c r="D1138" s="38">
        <v>21</v>
      </c>
      <c r="E1138" s="39" t="str">
        <f>CONCATENATE("PPUR-",TEXT(A1138,"00"),"-",O1138)</f>
        <v>PPUR-02-GR6</v>
      </c>
      <c r="F1138" s="48" t="str">
        <f>CONCATENATE("Poste de Purge n°",TEXT(A1138,"00")," ",O1138)</f>
        <v>Poste de Purge n°02 GR6</v>
      </c>
      <c r="G1138" s="19">
        <v>42736</v>
      </c>
      <c r="H1138" s="19">
        <v>42736</v>
      </c>
      <c r="I1138" s="41" t="s">
        <v>20</v>
      </c>
      <c r="J1138" s="41">
        <v>1</v>
      </c>
      <c r="K1138" s="41" t="s">
        <v>3558</v>
      </c>
      <c r="L1138" s="41">
        <v>17</v>
      </c>
      <c r="M1138" s="41"/>
      <c r="N1138" s="41"/>
      <c r="O1138" s="41" t="s">
        <v>428</v>
      </c>
      <c r="P1138" s="41" t="s">
        <v>2651</v>
      </c>
      <c r="Q1138" s="65">
        <v>0</v>
      </c>
      <c r="R1138" s="43">
        <f t="shared" si="124"/>
        <v>212.78800000000001</v>
      </c>
      <c r="S1138" s="41" t="s">
        <v>998</v>
      </c>
      <c r="T1138" s="48" t="str">
        <f t="shared" si="123"/>
        <v>(2,'PPUR-02-GR6','Poste de Purge n°02 GR6','Sunday-01-jj','Sunday-01-jj',NULL,1,),</v>
      </c>
    </row>
    <row r="1139" spans="1:20" ht="20.100000000000001" customHeight="1" x14ac:dyDescent="0.25">
      <c r="A1139" s="38">
        <v>3</v>
      </c>
      <c r="B1139" s="38">
        <v>1144</v>
      </c>
      <c r="C1139" s="38" t="s">
        <v>664</v>
      </c>
      <c r="D1139" s="38">
        <v>21</v>
      </c>
      <c r="E1139" s="45" t="str">
        <f>CONCATENATE("PC-",TEXT(A1139,"00"),"-",O1139)</f>
        <v>PC-03-GR6</v>
      </c>
      <c r="F1139" s="48" t="str">
        <f>CONCATENATE("Poste de Coupure n°",TEXT(A1139,"00")," ",O1139)</f>
        <v>Poste de Coupure n°03 GR6</v>
      </c>
      <c r="G1139" s="19">
        <v>42736</v>
      </c>
      <c r="H1139" s="19">
        <v>42736</v>
      </c>
      <c r="I1139" s="41" t="s">
        <v>20</v>
      </c>
      <c r="J1139" s="41">
        <v>1</v>
      </c>
      <c r="K1139" s="41" t="s">
        <v>3556</v>
      </c>
      <c r="L1139" s="41">
        <v>15</v>
      </c>
      <c r="M1139" s="41"/>
      <c r="N1139" s="41"/>
      <c r="O1139" s="41" t="s">
        <v>428</v>
      </c>
      <c r="P1139" s="41" t="s">
        <v>2501</v>
      </c>
      <c r="Q1139" s="65">
        <v>0</v>
      </c>
      <c r="R1139" s="43">
        <f t="shared" si="124"/>
        <v>221.60599999999999</v>
      </c>
      <c r="S1139" s="41" t="s">
        <v>2492</v>
      </c>
      <c r="T1139" s="48" t="str">
        <f t="shared" si="123"/>
        <v>(3,'PC-03-GR6','Poste de Coupure n°03 GR6','Sunday-01-jj','Sunday-01-jj',NULL,1,),</v>
      </c>
    </row>
    <row r="1140" spans="1:20" ht="20.100000000000001" customHeight="1" x14ac:dyDescent="0.25">
      <c r="A1140" s="38">
        <v>10</v>
      </c>
      <c r="B1140" s="38">
        <v>1145</v>
      </c>
      <c r="C1140" s="38" t="s">
        <v>664</v>
      </c>
      <c r="D1140" s="38">
        <v>21</v>
      </c>
      <c r="E1140" s="39" t="str">
        <f>CONCATENATE("PS-",TEXT(A1140,"00"),"-",O1140)</f>
        <v>PS-10-GR6</v>
      </c>
      <c r="F1140" s="48" t="str">
        <f>CONCATENATE("Poste de Sectionnement n°",TEXT(A1140,"00")," ",O1140)</f>
        <v>Poste de Sectionnement n°10 GR6</v>
      </c>
      <c r="G1140" s="19">
        <v>42736</v>
      </c>
      <c r="H1140" s="19">
        <v>42736</v>
      </c>
      <c r="I1140" s="41" t="s">
        <v>20</v>
      </c>
      <c r="J1140" s="41">
        <v>1</v>
      </c>
      <c r="K1140" s="41" t="s">
        <v>3557</v>
      </c>
      <c r="L1140" s="41">
        <v>16</v>
      </c>
      <c r="M1140" s="41"/>
      <c r="N1140" s="41"/>
      <c r="O1140" s="41" t="s">
        <v>428</v>
      </c>
      <c r="P1140" s="41" t="s">
        <v>2618</v>
      </c>
      <c r="Q1140" s="43">
        <v>0</v>
      </c>
      <c r="R1140" s="43">
        <f t="shared" si="124"/>
        <v>239.81299999999999</v>
      </c>
      <c r="S1140" s="41" t="s">
        <v>2544</v>
      </c>
      <c r="T1140" s="48" t="str">
        <f t="shared" si="123"/>
        <v>(10,'PS-10-GR6','Poste de Sectionnement n°10 GR6','Sunday-01-jj','Sunday-01-jj',NULL,1,),</v>
      </c>
    </row>
    <row r="1141" spans="1:20" ht="20.100000000000001" customHeight="1" x14ac:dyDescent="0.25">
      <c r="A1141" s="38">
        <v>11</v>
      </c>
      <c r="B1141" s="38">
        <v>1146</v>
      </c>
      <c r="C1141" s="38" t="s">
        <v>664</v>
      </c>
      <c r="D1141" s="38">
        <v>21</v>
      </c>
      <c r="E1141" s="39" t="str">
        <f>CONCATENATE("PS-",TEXT(A1141,"00"),"-",O1141)</f>
        <v>PS-11-GR6</v>
      </c>
      <c r="F1141" s="48" t="str">
        <f>CONCATENATE("Poste de Sectionnement n°",TEXT(A1141,"00")," ",O1141)</f>
        <v>Poste de Sectionnement n°11 GR6</v>
      </c>
      <c r="G1141" s="19">
        <v>42736</v>
      </c>
      <c r="H1141" s="19">
        <v>42736</v>
      </c>
      <c r="I1141" s="41" t="s">
        <v>20</v>
      </c>
      <c r="J1141" s="41">
        <v>1</v>
      </c>
      <c r="K1141" s="41" t="s">
        <v>3557</v>
      </c>
      <c r="L1141" s="41">
        <v>16</v>
      </c>
      <c r="M1141" s="41"/>
      <c r="N1141" s="41"/>
      <c r="O1141" s="41" t="s">
        <v>428</v>
      </c>
      <c r="P1141" s="41" t="s">
        <v>2619</v>
      </c>
      <c r="Q1141" s="43">
        <v>0</v>
      </c>
      <c r="R1141" s="43">
        <f t="shared" si="124"/>
        <v>258.66300000000001</v>
      </c>
      <c r="S1141" s="41" t="s">
        <v>2544</v>
      </c>
      <c r="T1141" s="48" t="str">
        <f t="shared" si="123"/>
        <v>(11,'PS-11-GR6','Poste de Sectionnement n°11 GR6','Sunday-01-jj','Sunday-01-jj',NULL,1,),</v>
      </c>
    </row>
    <row r="1142" spans="1:20" ht="20.100000000000001" customHeight="1" x14ac:dyDescent="0.25">
      <c r="A1142" s="38">
        <v>12</v>
      </c>
      <c r="B1142" s="38">
        <v>1147</v>
      </c>
      <c r="C1142" s="38" t="s">
        <v>664</v>
      </c>
      <c r="D1142" s="38">
        <v>21</v>
      </c>
      <c r="E1142" s="39" t="str">
        <f>CONCATENATE("PS-",TEXT(A1142,"00"),"-",O1142)</f>
        <v>PS-12-GR6</v>
      </c>
      <c r="F1142" s="48" t="str">
        <f>CONCATENATE("Poste de Sectionnement n°",TEXT(A1142,"00")," ",O1142)</f>
        <v>Poste de Sectionnement n°12 GR6</v>
      </c>
      <c r="G1142" s="19">
        <v>42736</v>
      </c>
      <c r="H1142" s="19">
        <v>42736</v>
      </c>
      <c r="I1142" s="41" t="s">
        <v>20</v>
      </c>
      <c r="J1142" s="41">
        <v>1</v>
      </c>
      <c r="K1142" s="41" t="s">
        <v>3557</v>
      </c>
      <c r="L1142" s="41">
        <v>16</v>
      </c>
      <c r="M1142" s="41"/>
      <c r="N1142" s="41"/>
      <c r="O1142" s="41" t="s">
        <v>428</v>
      </c>
      <c r="P1142" s="41" t="s">
        <v>2620</v>
      </c>
      <c r="Q1142" s="43">
        <v>0</v>
      </c>
      <c r="R1142" s="43">
        <f t="shared" si="124"/>
        <v>277.178</v>
      </c>
      <c r="S1142" s="41" t="s">
        <v>2544</v>
      </c>
      <c r="T1142" s="48" t="str">
        <f t="shared" si="123"/>
        <v>(12,'PS-12-GR6','Poste de Sectionnement n°12 GR6','Sunday-01-jj','Sunday-01-jj',NULL,1,),</v>
      </c>
    </row>
    <row r="1143" spans="1:20" ht="20.100000000000001" customHeight="1" x14ac:dyDescent="0.25">
      <c r="A1143" s="38">
        <v>13</v>
      </c>
      <c r="B1143" s="38">
        <v>1148</v>
      </c>
      <c r="C1143" s="38" t="s">
        <v>664</v>
      </c>
      <c r="D1143" s="38">
        <v>21</v>
      </c>
      <c r="E1143" s="39" t="str">
        <f>CONCATENATE("PS-",TEXT(A1143,"00"),"-",O1143)</f>
        <v>PS-13-GR6</v>
      </c>
      <c r="F1143" s="48" t="str">
        <f>CONCATENATE("Poste de Sectionnement n°",TEXT(A1143,"00")," ",O1143)</f>
        <v>Poste de Sectionnement n°13 GR6</v>
      </c>
      <c r="G1143" s="19">
        <v>42736</v>
      </c>
      <c r="H1143" s="19">
        <v>42736</v>
      </c>
      <c r="I1143" s="41" t="s">
        <v>20</v>
      </c>
      <c r="J1143" s="41">
        <v>1</v>
      </c>
      <c r="K1143" s="41" t="s">
        <v>3557</v>
      </c>
      <c r="L1143" s="41">
        <v>16</v>
      </c>
      <c r="M1143" s="41"/>
      <c r="N1143" s="41"/>
      <c r="O1143" s="41" t="s">
        <v>428</v>
      </c>
      <c r="P1143" s="41" t="s">
        <v>2621</v>
      </c>
      <c r="Q1143" s="43">
        <v>0</v>
      </c>
      <c r="R1143" s="43">
        <f t="shared" si="124"/>
        <v>295.88799999999998</v>
      </c>
      <c r="S1143" s="41" t="s">
        <v>2545</v>
      </c>
      <c r="T1143" s="48" t="str">
        <f t="shared" si="123"/>
        <v>(13,'PS-13-GR6','Poste de Sectionnement n°13 GR6','Sunday-01-jj','Sunday-01-jj',NULL,1,),</v>
      </c>
    </row>
    <row r="1144" spans="1:20" ht="20.100000000000001" customHeight="1" x14ac:dyDescent="0.25">
      <c r="A1144" s="38">
        <v>14</v>
      </c>
      <c r="B1144" s="38">
        <v>1149</v>
      </c>
      <c r="C1144" s="38" t="s">
        <v>664</v>
      </c>
      <c r="D1144" s="38">
        <v>21</v>
      </c>
      <c r="E1144" s="39" t="str">
        <f>CONCATENATE("PS-",TEXT(A1144,"00"),"-",O1144)</f>
        <v>PS-14-GR6</v>
      </c>
      <c r="F1144" s="48" t="str">
        <f>CONCATENATE("Poste de Sectionnement n°",TEXT(A1144,"00")," ",O1144)</f>
        <v>Poste de Sectionnement n°14 GR6</v>
      </c>
      <c r="G1144" s="19">
        <v>42736</v>
      </c>
      <c r="H1144" s="19">
        <v>42736</v>
      </c>
      <c r="I1144" s="41" t="s">
        <v>20</v>
      </c>
      <c r="J1144" s="41">
        <v>1</v>
      </c>
      <c r="K1144" s="41" t="s">
        <v>3557</v>
      </c>
      <c r="L1144" s="41">
        <v>16</v>
      </c>
      <c r="M1144" s="41"/>
      <c r="N1144" s="41"/>
      <c r="O1144" s="41" t="s">
        <v>428</v>
      </c>
      <c r="P1144" s="41" t="s">
        <v>2622</v>
      </c>
      <c r="Q1144" s="43">
        <v>0</v>
      </c>
      <c r="R1144" s="43">
        <f t="shared" si="124"/>
        <v>314.834</v>
      </c>
      <c r="S1144" s="41" t="s">
        <v>744</v>
      </c>
      <c r="T1144" s="48" t="str">
        <f t="shared" si="123"/>
        <v>(14,'PS-14-GR6','Poste de Sectionnement n°14 GR6','Sunday-01-jj','Sunday-01-jj',NULL,1,),</v>
      </c>
    </row>
    <row r="1145" spans="1:20" ht="20.100000000000001" customHeight="1" x14ac:dyDescent="0.25">
      <c r="A1145" s="38">
        <v>3</v>
      </c>
      <c r="B1145" s="38">
        <v>1150</v>
      </c>
      <c r="C1145" s="38" t="s">
        <v>664</v>
      </c>
      <c r="D1145" s="38">
        <v>21</v>
      </c>
      <c r="E1145" s="39" t="str">
        <f>CONCATENATE("PPUR-",TEXT(A1145,"00"),"-",O1145)</f>
        <v>PPUR-03-GR6</v>
      </c>
      <c r="F1145" s="48" t="str">
        <f>CONCATENATE("Poste de Purge n°",TEXT(A1145,"00")," ",O1145)</f>
        <v>Poste de Purge n°03 GR6</v>
      </c>
      <c r="G1145" s="19">
        <v>42736</v>
      </c>
      <c r="H1145" s="19">
        <v>42736</v>
      </c>
      <c r="I1145" s="41" t="s">
        <v>20</v>
      </c>
      <c r="J1145" s="41">
        <v>1</v>
      </c>
      <c r="K1145" s="41" t="s">
        <v>3558</v>
      </c>
      <c r="L1145" s="41">
        <v>17</v>
      </c>
      <c r="M1145" s="41"/>
      <c r="N1145" s="41"/>
      <c r="O1145" s="41" t="s">
        <v>428</v>
      </c>
      <c r="P1145" s="41" t="s">
        <v>2652</v>
      </c>
      <c r="Q1145" s="65">
        <v>0</v>
      </c>
      <c r="R1145" s="43">
        <f t="shared" si="124"/>
        <v>329</v>
      </c>
      <c r="S1145" s="41" t="s">
        <v>744</v>
      </c>
      <c r="T1145" s="48" t="str">
        <f t="shared" si="123"/>
        <v>(3,'PPUR-03-GR6','Poste de Purge n°03 GR6','Sunday-01-jj','Sunday-01-jj',NULL,1,),</v>
      </c>
    </row>
    <row r="1146" spans="1:20" ht="20.100000000000001" customHeight="1" x14ac:dyDescent="0.25">
      <c r="A1146" s="38">
        <v>4</v>
      </c>
      <c r="B1146" s="38">
        <v>1151</v>
      </c>
      <c r="C1146" s="38" t="s">
        <v>664</v>
      </c>
      <c r="D1146" s="38">
        <v>21</v>
      </c>
      <c r="E1146" s="45" t="str">
        <f>CONCATENATE("PC-",TEXT(A1146,"00"),"-",O1146)</f>
        <v>PC-04-GR6</v>
      </c>
      <c r="F1146" s="48" t="str">
        <f>CONCATENATE("Poste de Coupure n°",TEXT(A1146,"00")," ",O1146)</f>
        <v>Poste de Coupure n°04 GR6</v>
      </c>
      <c r="G1146" s="19">
        <v>42736</v>
      </c>
      <c r="H1146" s="19">
        <v>42736</v>
      </c>
      <c r="I1146" s="41" t="s">
        <v>20</v>
      </c>
      <c r="J1146" s="41">
        <v>1</v>
      </c>
      <c r="K1146" s="41" t="s">
        <v>3556</v>
      </c>
      <c r="L1146" s="41">
        <v>15</v>
      </c>
      <c r="M1146" s="41"/>
      <c r="N1146" s="41"/>
      <c r="O1146" s="41" t="s">
        <v>428</v>
      </c>
      <c r="P1146" s="41" t="s">
        <v>2502</v>
      </c>
      <c r="Q1146" s="65">
        <v>0</v>
      </c>
      <c r="R1146" s="43">
        <f t="shared" si="124"/>
        <v>332.8</v>
      </c>
      <c r="S1146" s="41" t="s">
        <v>2491</v>
      </c>
      <c r="T1146" s="48" t="str">
        <f t="shared" si="123"/>
        <v>(4,'PC-04-GR6','Poste de Coupure n°04 GR6','Sunday-01-jj','Sunday-01-jj',NULL,1,),</v>
      </c>
    </row>
    <row r="1147" spans="1:20" ht="20.100000000000001" customHeight="1" x14ac:dyDescent="0.25">
      <c r="A1147" s="38">
        <v>15</v>
      </c>
      <c r="B1147" s="38">
        <v>1152</v>
      </c>
      <c r="C1147" s="38" t="s">
        <v>664</v>
      </c>
      <c r="D1147" s="38">
        <v>21</v>
      </c>
      <c r="E1147" s="39" t="str">
        <f>CONCATENATE("PS-",TEXT(A1147,"00"),"-",O1147)</f>
        <v>PS-15-GR6</v>
      </c>
      <c r="F1147" s="48" t="str">
        <f>CONCATENATE("Poste de Sectionnement n°",TEXT(A1147,"00")," ",O1147)</f>
        <v>Poste de Sectionnement n°15 GR6</v>
      </c>
      <c r="G1147" s="19">
        <v>42736</v>
      </c>
      <c r="H1147" s="19">
        <v>42736</v>
      </c>
      <c r="I1147" s="41" t="s">
        <v>20</v>
      </c>
      <c r="J1147" s="41">
        <v>1</v>
      </c>
      <c r="K1147" s="41" t="s">
        <v>3557</v>
      </c>
      <c r="L1147" s="41">
        <v>16</v>
      </c>
      <c r="M1147" s="41"/>
      <c r="N1147" s="41"/>
      <c r="O1147" s="41" t="s">
        <v>428</v>
      </c>
      <c r="P1147" s="41" t="s">
        <v>2623</v>
      </c>
      <c r="Q1147" s="43">
        <v>0</v>
      </c>
      <c r="R1147" s="43">
        <f t="shared" si="124"/>
        <v>351.36</v>
      </c>
      <c r="S1147" s="41" t="s">
        <v>744</v>
      </c>
      <c r="T1147" s="48" t="str">
        <f t="shared" si="123"/>
        <v>(15,'PS-15-GR6','Poste de Sectionnement n°15 GR6','Sunday-01-jj','Sunday-01-jj',NULL,1,),</v>
      </c>
    </row>
    <row r="1148" spans="1:20" ht="20.100000000000001" customHeight="1" x14ac:dyDescent="0.25">
      <c r="A1148" s="38">
        <v>16</v>
      </c>
      <c r="B1148" s="38">
        <v>1153</v>
      </c>
      <c r="C1148" s="38" t="s">
        <v>664</v>
      </c>
      <c r="D1148" s="38">
        <v>21</v>
      </c>
      <c r="E1148" s="39" t="str">
        <f>CONCATENATE("PS-",TEXT(A1148,"00"),"-",O1148)</f>
        <v>PS-16-GR6</v>
      </c>
      <c r="F1148" s="48" t="str">
        <f>CONCATENATE("Poste de Sectionnement n°",TEXT(A1148,"00")," ",O1148)</f>
        <v>Poste de Sectionnement n°16 GR6</v>
      </c>
      <c r="G1148" s="19">
        <v>42736</v>
      </c>
      <c r="H1148" s="19">
        <v>42736</v>
      </c>
      <c r="I1148" s="41" t="s">
        <v>20</v>
      </c>
      <c r="J1148" s="41">
        <v>1</v>
      </c>
      <c r="K1148" s="41" t="s">
        <v>3557</v>
      </c>
      <c r="L1148" s="41">
        <v>16</v>
      </c>
      <c r="M1148" s="41"/>
      <c r="N1148" s="41"/>
      <c r="O1148" s="41" t="s">
        <v>428</v>
      </c>
      <c r="P1148" s="41" t="s">
        <v>2624</v>
      </c>
      <c r="Q1148" s="43">
        <v>0</v>
      </c>
      <c r="R1148" s="43">
        <f t="shared" si="124"/>
        <v>371.90300000000002</v>
      </c>
      <c r="S1148" s="41" t="s">
        <v>745</v>
      </c>
      <c r="T1148" s="48" t="str">
        <f t="shared" si="123"/>
        <v>(16,'PS-16-GR6','Poste de Sectionnement n°16 GR6','Sunday-01-jj','Sunday-01-jj',NULL,1,),</v>
      </c>
    </row>
    <row r="1149" spans="1:20" ht="20.100000000000001" customHeight="1" x14ac:dyDescent="0.25">
      <c r="A1149" s="38">
        <v>17</v>
      </c>
      <c r="B1149" s="38">
        <v>1154</v>
      </c>
      <c r="C1149" s="38" t="s">
        <v>664</v>
      </c>
      <c r="D1149" s="38">
        <v>21</v>
      </c>
      <c r="E1149" s="39" t="str">
        <f>CONCATENATE("PS-",TEXT(A1149,"00"),"-",O1149)</f>
        <v>PS-17-GR6</v>
      </c>
      <c r="F1149" s="48" t="str">
        <f>CONCATENATE("Poste de Sectionnement n°",TEXT(A1149,"00")," ",O1149)</f>
        <v>Poste de Sectionnement n°17 GR6</v>
      </c>
      <c r="G1149" s="19">
        <v>42736</v>
      </c>
      <c r="H1149" s="19">
        <v>42736</v>
      </c>
      <c r="I1149" s="41" t="s">
        <v>20</v>
      </c>
      <c r="J1149" s="41">
        <v>1</v>
      </c>
      <c r="K1149" s="41" t="s">
        <v>3557</v>
      </c>
      <c r="L1149" s="41">
        <v>16</v>
      </c>
      <c r="M1149" s="41"/>
      <c r="N1149" s="41"/>
      <c r="O1149" s="41" t="s">
        <v>428</v>
      </c>
      <c r="P1149" s="41" t="s">
        <v>2625</v>
      </c>
      <c r="Q1149" s="43">
        <v>0</v>
      </c>
      <c r="R1149" s="43">
        <f t="shared" si="124"/>
        <v>391.69200000000001</v>
      </c>
      <c r="S1149" s="41" t="s">
        <v>745</v>
      </c>
      <c r="T1149" s="48" t="str">
        <f t="shared" si="123"/>
        <v>(17,'PS-17-GR6','Poste de Sectionnement n°17 GR6','Sunday-01-jj','Sunday-01-jj',NULL,1,),</v>
      </c>
    </row>
    <row r="1150" spans="1:20" ht="20.100000000000001" customHeight="1" x14ac:dyDescent="0.25">
      <c r="A1150" s="38">
        <v>18</v>
      </c>
      <c r="B1150" s="38">
        <v>1155</v>
      </c>
      <c r="C1150" s="38" t="s">
        <v>664</v>
      </c>
      <c r="D1150" s="38">
        <v>21</v>
      </c>
      <c r="E1150" s="39" t="str">
        <f>CONCATENATE("PS-",TEXT(A1150,"00"),"-",O1150)</f>
        <v>PS-18-GR6</v>
      </c>
      <c r="F1150" s="48" t="str">
        <f>CONCATENATE("Poste de Sectionnement n°",TEXT(A1150,"00")," ",O1150)</f>
        <v>Poste de Sectionnement n°18 GR6</v>
      </c>
      <c r="G1150" s="19">
        <v>42736</v>
      </c>
      <c r="H1150" s="19">
        <v>42736</v>
      </c>
      <c r="I1150" s="41" t="s">
        <v>20</v>
      </c>
      <c r="J1150" s="41">
        <v>1</v>
      </c>
      <c r="K1150" s="41" t="s">
        <v>3557</v>
      </c>
      <c r="L1150" s="41">
        <v>16</v>
      </c>
      <c r="M1150" s="41"/>
      <c r="N1150" s="41"/>
      <c r="O1150" s="41" t="s">
        <v>428</v>
      </c>
      <c r="P1150" s="41" t="s">
        <v>2626</v>
      </c>
      <c r="Q1150" s="43">
        <v>0</v>
      </c>
      <c r="R1150" s="43">
        <f t="shared" si="124"/>
        <v>412.70400000000001</v>
      </c>
      <c r="S1150" s="41" t="s">
        <v>745</v>
      </c>
      <c r="T1150" s="48" t="str">
        <f t="shared" si="123"/>
        <v>(18,'PS-18-GR6','Poste de Sectionnement n°18 GR6','Sunday-01-jj','Sunday-01-jj',NULL,1,),</v>
      </c>
    </row>
    <row r="1151" spans="1:20" ht="20.100000000000001" customHeight="1" x14ac:dyDescent="0.25">
      <c r="A1151" s="38">
        <v>5</v>
      </c>
      <c r="B1151" s="38">
        <v>1156</v>
      </c>
      <c r="C1151" s="38" t="s">
        <v>664</v>
      </c>
      <c r="D1151" s="38">
        <v>21</v>
      </c>
      <c r="E1151" s="45" t="str">
        <f>CONCATENATE("PC-",TEXT(A1151,"00"),"-",O1151)</f>
        <v>PC-05-GR6</v>
      </c>
      <c r="F1151" s="48" t="str">
        <f>CONCATENATE("Poste de Coupure n°",TEXT(A1151,"00")," ",O1151)</f>
        <v>Poste de Coupure n°05 GR6</v>
      </c>
      <c r="G1151" s="19">
        <v>42736</v>
      </c>
      <c r="H1151" s="19">
        <v>42736</v>
      </c>
      <c r="I1151" s="41" t="s">
        <v>20</v>
      </c>
      <c r="J1151" s="41">
        <v>1</v>
      </c>
      <c r="K1151" s="41" t="s">
        <v>3556</v>
      </c>
      <c r="L1151" s="41">
        <v>15</v>
      </c>
      <c r="M1151" s="41"/>
      <c r="N1151" s="41"/>
      <c r="O1151" s="41" t="s">
        <v>428</v>
      </c>
      <c r="P1151" s="41" t="s">
        <v>2503</v>
      </c>
      <c r="Q1151" s="65">
        <v>0</v>
      </c>
      <c r="R1151" s="43">
        <f t="shared" si="124"/>
        <v>433.755</v>
      </c>
      <c r="S1151" s="41" t="s">
        <v>745</v>
      </c>
      <c r="T1151" s="48" t="str">
        <f t="shared" si="123"/>
        <v>(5,'PC-05-GR6','Poste de Coupure n°05 GR6','Sunday-01-jj','Sunday-01-jj',NULL,1,),</v>
      </c>
    </row>
    <row r="1152" spans="1:20" ht="20.100000000000001" customHeight="1" x14ac:dyDescent="0.25">
      <c r="A1152" s="38">
        <v>19</v>
      </c>
      <c r="B1152" s="38">
        <v>1157</v>
      </c>
      <c r="C1152" s="38" t="s">
        <v>664</v>
      </c>
      <c r="D1152" s="38">
        <v>21</v>
      </c>
      <c r="E1152" s="39" t="str">
        <f>CONCATENATE("PS-",TEXT(A1152,"00"),"-",O1152)</f>
        <v>PS-19-GR6</v>
      </c>
      <c r="F1152" s="48" t="str">
        <f>CONCATENATE("Poste de Sectionnement n°",TEXT(A1152,"00")," ",O1152)</f>
        <v>Poste de Sectionnement n°19 GR6</v>
      </c>
      <c r="G1152" s="19">
        <v>42736</v>
      </c>
      <c r="H1152" s="19">
        <v>42736</v>
      </c>
      <c r="I1152" s="41" t="s">
        <v>20</v>
      </c>
      <c r="J1152" s="41">
        <v>1</v>
      </c>
      <c r="K1152" s="41" t="s">
        <v>3557</v>
      </c>
      <c r="L1152" s="41">
        <v>16</v>
      </c>
      <c r="M1152" s="41"/>
      <c r="N1152" s="41"/>
      <c r="O1152" s="41" t="s">
        <v>428</v>
      </c>
      <c r="P1152" s="41" t="s">
        <v>2627</v>
      </c>
      <c r="Q1152" s="43">
        <v>0</v>
      </c>
      <c r="R1152" s="43">
        <f t="shared" si="124"/>
        <v>454.63200000000001</v>
      </c>
      <c r="S1152" s="41" t="s">
        <v>1828</v>
      </c>
      <c r="T1152" s="48" t="str">
        <f t="shared" si="123"/>
        <v>(19,'PS-19-GR6','Poste de Sectionnement n°19 GR6','Sunday-01-jj','Sunday-01-jj',NULL,1,),</v>
      </c>
    </row>
    <row r="1153" spans="1:20" ht="20.100000000000001" customHeight="1" x14ac:dyDescent="0.25">
      <c r="A1153" s="38">
        <v>20</v>
      </c>
      <c r="B1153" s="38">
        <v>1158</v>
      </c>
      <c r="C1153" s="38" t="s">
        <v>664</v>
      </c>
      <c r="D1153" s="38">
        <v>21</v>
      </c>
      <c r="E1153" s="39" t="str">
        <f>CONCATENATE("PS-",TEXT(A1153,"00"),"-",O1153)</f>
        <v>PS-20-GR6</v>
      </c>
      <c r="F1153" s="48" t="str">
        <f>CONCATENATE("Poste de Sectionnement n°",TEXT(A1153,"00")," ",O1153)</f>
        <v>Poste de Sectionnement n°20 GR6</v>
      </c>
      <c r="G1153" s="19">
        <v>42736</v>
      </c>
      <c r="H1153" s="19">
        <v>42736</v>
      </c>
      <c r="I1153" s="41" t="s">
        <v>20</v>
      </c>
      <c r="J1153" s="41">
        <v>1</v>
      </c>
      <c r="K1153" s="41" t="s">
        <v>3557</v>
      </c>
      <c r="L1153" s="41">
        <v>16</v>
      </c>
      <c r="M1153" s="41"/>
      <c r="N1153" s="41"/>
      <c r="O1153" s="41" t="s">
        <v>428</v>
      </c>
      <c r="P1153" s="41" t="s">
        <v>2628</v>
      </c>
      <c r="Q1153" s="43">
        <v>0</v>
      </c>
      <c r="R1153" s="43">
        <f t="shared" si="124"/>
        <v>474.78300000000002</v>
      </c>
      <c r="S1153" s="41" t="s">
        <v>1828</v>
      </c>
      <c r="T1153" s="48" t="str">
        <f t="shared" si="123"/>
        <v>(20,'PS-20-GR6','Poste de Sectionnement n°20 GR6','Sunday-01-jj','Sunday-01-jj',NULL,1,),</v>
      </c>
    </row>
    <row r="1154" spans="1:20" ht="20.100000000000001" customHeight="1" x14ac:dyDescent="0.25">
      <c r="A1154" s="38">
        <v>21</v>
      </c>
      <c r="B1154" s="38">
        <v>1159</v>
      </c>
      <c r="C1154" s="38" t="s">
        <v>664</v>
      </c>
      <c r="D1154" s="38">
        <v>21</v>
      </c>
      <c r="E1154" s="39" t="str">
        <f>CONCATENATE("PS-",TEXT(A1154,"00"),"-",O1154)</f>
        <v>PS-21-GR6</v>
      </c>
      <c r="F1154" s="48" t="str">
        <f>CONCATENATE("Poste de Sectionnement n°",TEXT(A1154,"00")," ",O1154)</f>
        <v>Poste de Sectionnement n°21 GR6</v>
      </c>
      <c r="G1154" s="19">
        <v>42736</v>
      </c>
      <c r="H1154" s="19">
        <v>42736</v>
      </c>
      <c r="I1154" s="41" t="s">
        <v>20</v>
      </c>
      <c r="J1154" s="41">
        <v>1</v>
      </c>
      <c r="K1154" s="41" t="s">
        <v>3557</v>
      </c>
      <c r="L1154" s="41">
        <v>16</v>
      </c>
      <c r="M1154" s="41"/>
      <c r="N1154" s="41"/>
      <c r="O1154" s="41" t="s">
        <v>428</v>
      </c>
      <c r="P1154" s="41" t="s">
        <v>2629</v>
      </c>
      <c r="Q1154" s="43">
        <v>0</v>
      </c>
      <c r="R1154" s="43">
        <f t="shared" si="124"/>
        <v>490.99200000000002</v>
      </c>
      <c r="S1154" s="60" t="s">
        <v>2546</v>
      </c>
      <c r="T1154" s="48" t="str">
        <f t="shared" si="123"/>
        <v>(21,'PS-21-GR6','Poste de Sectionnement n°21 GR6','Sunday-01-jj','Sunday-01-jj',NULL,1,),</v>
      </c>
    </row>
    <row r="1155" spans="1:20" ht="20.100000000000001" customHeight="1" x14ac:dyDescent="0.25">
      <c r="A1155" s="38">
        <v>4</v>
      </c>
      <c r="B1155" s="38">
        <v>1160</v>
      </c>
      <c r="C1155" s="38" t="s">
        <v>664</v>
      </c>
      <c r="D1155" s="38">
        <v>21</v>
      </c>
      <c r="E1155" s="39" t="str">
        <f>CONCATENATE("PPUR-",TEXT(A1155,"00"),"-",O1155)</f>
        <v>PPUR-04-GR6</v>
      </c>
      <c r="F1155" s="48" t="str">
        <f>CONCATENATE("Poste de Purge n°",TEXT(A1155,"00")," ",O1155)</f>
        <v>Poste de Purge n°04 GR6</v>
      </c>
      <c r="G1155" s="19">
        <v>42736</v>
      </c>
      <c r="H1155" s="19">
        <v>42736</v>
      </c>
      <c r="I1155" s="41" t="s">
        <v>20</v>
      </c>
      <c r="J1155" s="41">
        <v>1</v>
      </c>
      <c r="K1155" s="41" t="s">
        <v>3558</v>
      </c>
      <c r="L1155" s="41">
        <v>17</v>
      </c>
      <c r="M1155" s="41"/>
      <c r="N1155" s="41"/>
      <c r="O1155" s="41" t="s">
        <v>428</v>
      </c>
      <c r="P1155" s="41" t="s">
        <v>2653</v>
      </c>
      <c r="Q1155" s="65">
        <v>0</v>
      </c>
      <c r="R1155" s="43">
        <f t="shared" si="124"/>
        <v>491.5</v>
      </c>
      <c r="S1155" s="60" t="s">
        <v>2546</v>
      </c>
      <c r="T1155" s="48" t="str">
        <f t="shared" si="123"/>
        <v>(4,'PPUR-04-GR6','Poste de Purge n°04 GR6','Sunday-01-jj','Sunday-01-jj',NULL,1,),</v>
      </c>
    </row>
    <row r="1156" spans="1:20" ht="20.100000000000001" customHeight="1" x14ac:dyDescent="0.25">
      <c r="A1156" s="38">
        <v>22</v>
      </c>
      <c r="B1156" s="38">
        <v>1161</v>
      </c>
      <c r="C1156" s="38" t="s">
        <v>664</v>
      </c>
      <c r="D1156" s="38">
        <v>21</v>
      </c>
      <c r="E1156" s="39" t="str">
        <f>CONCATENATE("PS-",TEXT(A1156,"00"),"-",O1156)</f>
        <v>PS-22-GR6</v>
      </c>
      <c r="F1156" s="48" t="str">
        <f>CONCATENATE("Poste de Sectionnement n°",TEXT(A1156,"00")," ",O1156)</f>
        <v>Poste de Sectionnement n°22 GR6</v>
      </c>
      <c r="G1156" s="19">
        <v>42736</v>
      </c>
      <c r="H1156" s="19">
        <v>42736</v>
      </c>
      <c r="I1156" s="41" t="s">
        <v>20</v>
      </c>
      <c r="J1156" s="41">
        <v>1</v>
      </c>
      <c r="K1156" s="41" t="s">
        <v>3557</v>
      </c>
      <c r="L1156" s="41">
        <v>16</v>
      </c>
      <c r="M1156" s="41"/>
      <c r="N1156" s="41"/>
      <c r="O1156" s="41" t="s">
        <v>428</v>
      </c>
      <c r="P1156" s="41" t="s">
        <v>2630</v>
      </c>
      <c r="Q1156" s="43">
        <v>0</v>
      </c>
      <c r="R1156" s="43">
        <f t="shared" si="124"/>
        <v>506.928</v>
      </c>
      <c r="S1156" s="60" t="s">
        <v>2546</v>
      </c>
      <c r="T1156" s="48" t="str">
        <f t="shared" si="123"/>
        <v>(22,'PS-22-GR6','Poste de Sectionnement n°22 GR6','Sunday-01-jj','Sunday-01-jj',NULL,1,),</v>
      </c>
    </row>
    <row r="1157" spans="1:20" ht="20.100000000000001" customHeight="1" x14ac:dyDescent="0.25">
      <c r="A1157" s="38">
        <v>5</v>
      </c>
      <c r="B1157" s="38">
        <v>1162</v>
      </c>
      <c r="C1157" s="38" t="s">
        <v>664</v>
      </c>
      <c r="D1157" s="38">
        <v>21</v>
      </c>
      <c r="E1157" s="39" t="str">
        <f>CONCATENATE("PPUR-",TEXT(A1157,"00"),"-",O1157)</f>
        <v>PPUR-05-GR6</v>
      </c>
      <c r="F1157" s="48" t="str">
        <f>CONCATENATE("Poste de Purge n°",TEXT(A1157,"00")," ",O1157)</f>
        <v>Poste de Purge n°05 GR6</v>
      </c>
      <c r="G1157" s="19">
        <v>42736</v>
      </c>
      <c r="H1157" s="19">
        <v>42736</v>
      </c>
      <c r="I1157" s="41" t="s">
        <v>20</v>
      </c>
      <c r="J1157" s="41">
        <v>1</v>
      </c>
      <c r="K1157" s="41" t="s">
        <v>3558</v>
      </c>
      <c r="L1157" s="41">
        <v>17</v>
      </c>
      <c r="M1157" s="41"/>
      <c r="N1157" s="41"/>
      <c r="O1157" s="41" t="s">
        <v>428</v>
      </c>
      <c r="P1157" s="41" t="s">
        <v>2654</v>
      </c>
      <c r="Q1157" s="65">
        <v>0</v>
      </c>
      <c r="R1157" s="43">
        <f t="shared" si="124"/>
        <v>517</v>
      </c>
      <c r="S1157" s="60" t="s">
        <v>2546</v>
      </c>
      <c r="T1157" s="48" t="str">
        <f t="shared" si="123"/>
        <v>(5,'PPUR-05-GR6','Poste de Purge n°05 GR6','Sunday-01-jj','Sunday-01-jj',NULL,1,),</v>
      </c>
    </row>
    <row r="1158" spans="1:20" ht="20.100000000000001" customHeight="1" x14ac:dyDescent="0.25">
      <c r="A1158" s="38">
        <v>6</v>
      </c>
      <c r="B1158" s="38">
        <v>1163</v>
      </c>
      <c r="C1158" s="38" t="s">
        <v>664</v>
      </c>
      <c r="D1158" s="38">
        <v>21</v>
      </c>
      <c r="E1158" s="45" t="str">
        <f>CONCATENATE("PC-",TEXT(A1158,"00"),"-",O1158)</f>
        <v>PC-06-GR6</v>
      </c>
      <c r="F1158" s="48" t="str">
        <f>CONCATENATE("Poste de Coupure n°",TEXT(A1158,"00")," ",O1158)</f>
        <v>Poste de Coupure n°06 GR6</v>
      </c>
      <c r="G1158" s="19">
        <v>42736</v>
      </c>
      <c r="H1158" s="19">
        <v>42736</v>
      </c>
      <c r="I1158" s="41" t="s">
        <v>20</v>
      </c>
      <c r="J1158" s="41">
        <v>1</v>
      </c>
      <c r="K1158" s="41" t="s">
        <v>3556</v>
      </c>
      <c r="L1158" s="41">
        <v>15</v>
      </c>
      <c r="M1158" s="41"/>
      <c r="N1158" s="41"/>
      <c r="O1158" s="41" t="s">
        <v>428</v>
      </c>
      <c r="P1158" s="41" t="s">
        <v>2504</v>
      </c>
      <c r="Q1158" s="65">
        <v>0</v>
      </c>
      <c r="R1158" s="43">
        <f t="shared" si="124"/>
        <v>522.98</v>
      </c>
      <c r="S1158" s="89" t="s">
        <v>2490</v>
      </c>
      <c r="T1158" s="48" t="str">
        <f t="shared" si="123"/>
        <v>(6,'PC-06-GR6','Poste de Coupure n°06 GR6','Sunday-01-jj','Sunday-01-jj',NULL,1,),</v>
      </c>
    </row>
    <row r="1159" spans="1:20" ht="20.100000000000001" customHeight="1" x14ac:dyDescent="0.25">
      <c r="A1159" s="38">
        <v>1</v>
      </c>
      <c r="B1159" s="38">
        <v>1164</v>
      </c>
      <c r="C1159" s="38" t="s">
        <v>675</v>
      </c>
      <c r="D1159" s="38">
        <v>22</v>
      </c>
      <c r="E1159" s="39" t="str">
        <f>CONCATENATE("PS-",TEXT(A1159,"00"),"-",O1159)</f>
        <v>PS-01-GR5</v>
      </c>
      <c r="F1159" s="48" t="str">
        <f>CONCATENATE("Poste de Sectionnement n°",TEXT(A1159,"00")," ",O1159)</f>
        <v>Poste de Sectionnement n°01 GR5</v>
      </c>
      <c r="G1159" s="19">
        <v>42887</v>
      </c>
      <c r="H1159" s="19">
        <v>42887</v>
      </c>
      <c r="I1159" s="41" t="s">
        <v>20</v>
      </c>
      <c r="J1159" s="41">
        <v>1</v>
      </c>
      <c r="K1159" s="41" t="s">
        <v>3557</v>
      </c>
      <c r="L1159" s="41">
        <v>16</v>
      </c>
      <c r="M1159" s="41"/>
      <c r="N1159" s="41"/>
      <c r="O1159" s="41" t="s">
        <v>425</v>
      </c>
      <c r="P1159" s="41">
        <v>20</v>
      </c>
      <c r="Q1159" s="43">
        <v>337.3</v>
      </c>
      <c r="R1159" s="43">
        <f t="shared" si="124"/>
        <v>20</v>
      </c>
      <c r="S1159" s="60" t="s">
        <v>2773</v>
      </c>
      <c r="T1159" s="48" t="str">
        <f t="shared" si="123"/>
        <v>(1,'PS-01-GR5','Poste de Sectionnement n°01 GR5','Thursday-06-jj','Thursday-06-jj',NULL,1,),</v>
      </c>
    </row>
    <row r="1160" spans="1:20" ht="20.100000000000001" customHeight="1" x14ac:dyDescent="0.25">
      <c r="A1160" s="38">
        <v>2</v>
      </c>
      <c r="B1160" s="38">
        <v>1165</v>
      </c>
      <c r="C1160" s="38" t="s">
        <v>675</v>
      </c>
      <c r="D1160" s="38">
        <v>22</v>
      </c>
      <c r="E1160" s="39" t="str">
        <f>CONCATENATE("PS-",TEXT(A1160,"00"),"-",O1160)</f>
        <v>PS-02-GR5</v>
      </c>
      <c r="F1160" s="48" t="str">
        <f>CONCATENATE("Poste de Sectionnement n°",TEXT(A1160,"00")," ",O1160)</f>
        <v>Poste de Sectionnement n°02 GR5</v>
      </c>
      <c r="G1160" s="19">
        <v>42887</v>
      </c>
      <c r="H1160" s="19">
        <v>42887</v>
      </c>
      <c r="I1160" s="41" t="s">
        <v>20</v>
      </c>
      <c r="J1160" s="41">
        <v>1</v>
      </c>
      <c r="K1160" s="41" t="s">
        <v>3557</v>
      </c>
      <c r="L1160" s="41">
        <v>16</v>
      </c>
      <c r="M1160" s="41"/>
      <c r="N1160" s="41"/>
      <c r="O1160" s="41" t="s">
        <v>425</v>
      </c>
      <c r="P1160" s="41">
        <v>40</v>
      </c>
      <c r="Q1160" s="43">
        <v>335</v>
      </c>
      <c r="R1160" s="43">
        <f t="shared" si="124"/>
        <v>40</v>
      </c>
      <c r="S1160" s="60" t="s">
        <v>2773</v>
      </c>
      <c r="T1160" s="48" t="str">
        <f t="shared" si="123"/>
        <v>(2,'PS-02-GR5','Poste de Sectionnement n°02 GR5','Thursday-06-jj','Thursday-06-jj',NULL,1,),</v>
      </c>
    </row>
    <row r="1161" spans="1:20" ht="20.100000000000001" customHeight="1" x14ac:dyDescent="0.25">
      <c r="A1161" s="38">
        <v>3</v>
      </c>
      <c r="B1161" s="38">
        <v>1166</v>
      </c>
      <c r="C1161" s="38" t="s">
        <v>675</v>
      </c>
      <c r="D1161" s="38">
        <v>22</v>
      </c>
      <c r="E1161" s="39" t="str">
        <f>CONCATENATE("PS-",TEXT(A1161,"00"),"-",O1161)</f>
        <v>PS-03-GR5</v>
      </c>
      <c r="F1161" s="48" t="str">
        <f>CONCATENATE("Poste de Sectionnement n°",TEXT(A1161,"00")," ",O1161)</f>
        <v>Poste de Sectionnement n°03 GR5</v>
      </c>
      <c r="G1161" s="19">
        <v>42887</v>
      </c>
      <c r="H1161" s="19">
        <v>42887</v>
      </c>
      <c r="I1161" s="41" t="s">
        <v>20</v>
      </c>
      <c r="J1161" s="41">
        <v>1</v>
      </c>
      <c r="K1161" s="41" t="s">
        <v>3557</v>
      </c>
      <c r="L1161" s="41">
        <v>16</v>
      </c>
      <c r="M1161" s="41"/>
      <c r="N1161" s="41"/>
      <c r="O1161" s="41" t="s">
        <v>425</v>
      </c>
      <c r="P1161" s="41">
        <v>58</v>
      </c>
      <c r="Q1161" s="43">
        <v>352</v>
      </c>
      <c r="R1161" s="43">
        <f t="shared" si="124"/>
        <v>58</v>
      </c>
      <c r="S1161" s="60" t="s">
        <v>2773</v>
      </c>
      <c r="T1161" s="48" t="str">
        <f t="shared" si="123"/>
        <v>(3,'PS-03-GR5','Poste de Sectionnement n°03 GR5','Thursday-06-jj','Thursday-06-jj',NULL,1,),</v>
      </c>
    </row>
    <row r="1162" spans="1:20" ht="20.100000000000001" customHeight="1" x14ac:dyDescent="0.25">
      <c r="A1162" s="38">
        <v>1</v>
      </c>
      <c r="B1162" s="38">
        <v>1167</v>
      </c>
      <c r="C1162" s="38" t="s">
        <v>675</v>
      </c>
      <c r="D1162" s="38">
        <v>22</v>
      </c>
      <c r="E1162" s="45" t="str">
        <f>CONCATENATE("PC-",TEXT(A1162,"00"),"-",O1162)</f>
        <v>PC-01-GR5</v>
      </c>
      <c r="F1162" s="48" t="str">
        <f>CONCATENATE("Poste de Coupure n°",TEXT(A1162,"00")," ",O1162)</f>
        <v>Poste de Coupure n°01 GR5</v>
      </c>
      <c r="G1162" s="19">
        <v>42887</v>
      </c>
      <c r="H1162" s="19">
        <v>42887</v>
      </c>
      <c r="I1162" s="41" t="s">
        <v>20</v>
      </c>
      <c r="J1162" s="41">
        <v>1</v>
      </c>
      <c r="K1162" s="41" t="s">
        <v>3556</v>
      </c>
      <c r="L1162" s="41">
        <v>15</v>
      </c>
      <c r="M1162" s="41"/>
      <c r="N1162" s="41"/>
      <c r="O1162" s="41" t="s">
        <v>425</v>
      </c>
      <c r="P1162" s="41" t="s">
        <v>2744</v>
      </c>
      <c r="Q1162" s="49">
        <f>VALUE(RIGHT(P1162,LEN(P1162)-SEARCH("/",P1162)))</f>
        <v>406</v>
      </c>
      <c r="R1162" s="43">
        <f>VALUE(SUBSTITUTE(LEFT(P1162,SEARCH("/",P1162)-1),"+",","))</f>
        <v>75</v>
      </c>
      <c r="S1162" s="60" t="s">
        <v>2763</v>
      </c>
      <c r="T1162" s="48" t="str">
        <f t="shared" si="123"/>
        <v>(1,'PC-01-GR5','Poste de Coupure n°01 GR5','Thursday-06-jj','Thursday-06-jj',NULL,1,),</v>
      </c>
    </row>
    <row r="1163" spans="1:20" ht="20.100000000000001" customHeight="1" x14ac:dyDescent="0.25">
      <c r="A1163" s="38">
        <v>4</v>
      </c>
      <c r="B1163" s="38">
        <v>1168</v>
      </c>
      <c r="C1163" s="38" t="s">
        <v>675</v>
      </c>
      <c r="D1163" s="38">
        <v>22</v>
      </c>
      <c r="E1163" s="39" t="str">
        <f>CONCATENATE("PS-",TEXT(A1163,"00"),"-",O1163)</f>
        <v>PS-04-GR5</v>
      </c>
      <c r="F1163" s="48" t="str">
        <f>CONCATENATE("Poste de Sectionnement n°",TEXT(A1163,"00")," ",O1163)</f>
        <v>Poste de Sectionnement n°04 GR5</v>
      </c>
      <c r="G1163" s="19">
        <v>42887</v>
      </c>
      <c r="H1163" s="19">
        <v>42887</v>
      </c>
      <c r="I1163" s="41" t="s">
        <v>20</v>
      </c>
      <c r="J1163" s="41">
        <v>1</v>
      </c>
      <c r="K1163" s="41" t="s">
        <v>3557</v>
      </c>
      <c r="L1163" s="41">
        <v>16</v>
      </c>
      <c r="M1163" s="41"/>
      <c r="N1163" s="41"/>
      <c r="O1163" s="41" t="s">
        <v>425</v>
      </c>
      <c r="P1163" s="41">
        <v>95</v>
      </c>
      <c r="Q1163" s="43">
        <v>405</v>
      </c>
      <c r="R1163" s="43">
        <f>VALUE(SUBSTITUTE(P1163,"+",","))</f>
        <v>95</v>
      </c>
      <c r="S1163" s="58" t="s">
        <v>2751</v>
      </c>
      <c r="T1163" s="48" t="str">
        <f t="shared" si="123"/>
        <v>(4,'PS-04-GR5','Poste de Sectionnement n°04 GR5','Thursday-06-jj','Thursday-06-jj',NULL,1,),</v>
      </c>
    </row>
    <row r="1164" spans="1:20" ht="20.100000000000001" customHeight="1" x14ac:dyDescent="0.25">
      <c r="A1164" s="38">
        <v>5</v>
      </c>
      <c r="B1164" s="38">
        <v>1169</v>
      </c>
      <c r="C1164" s="38" t="s">
        <v>675</v>
      </c>
      <c r="D1164" s="38">
        <v>22</v>
      </c>
      <c r="E1164" s="39" t="str">
        <f>CONCATENATE("PS-",TEXT(A1164,"00"),"-",O1164)</f>
        <v>PS-05-GR5</v>
      </c>
      <c r="F1164" s="48" t="str">
        <f>CONCATENATE("Poste de Sectionnement n°",TEXT(A1164,"00")," ",O1164)</f>
        <v>Poste de Sectionnement n°05 GR5</v>
      </c>
      <c r="G1164" s="19">
        <v>42887</v>
      </c>
      <c r="H1164" s="19">
        <v>42887</v>
      </c>
      <c r="I1164" s="41" t="s">
        <v>20</v>
      </c>
      <c r="J1164" s="41">
        <v>1</v>
      </c>
      <c r="K1164" s="41" t="s">
        <v>3557</v>
      </c>
      <c r="L1164" s="41">
        <v>16</v>
      </c>
      <c r="M1164" s="41"/>
      <c r="N1164" s="41"/>
      <c r="O1164" s="41" t="s">
        <v>425</v>
      </c>
      <c r="P1164" s="41">
        <v>115</v>
      </c>
      <c r="Q1164" s="43">
        <v>406</v>
      </c>
      <c r="R1164" s="43">
        <f>VALUE(SUBSTITUTE(P1164,"+",","))</f>
        <v>115</v>
      </c>
      <c r="S1164" s="41" t="s">
        <v>2751</v>
      </c>
      <c r="T1164" s="48" t="str">
        <f t="shared" si="123"/>
        <v>(5,'PS-05-GR5','Poste de Sectionnement n°05 GR5','Thursday-06-jj','Thursday-06-jj',NULL,1,),</v>
      </c>
    </row>
    <row r="1165" spans="1:20" ht="20.100000000000001" customHeight="1" x14ac:dyDescent="0.25">
      <c r="A1165" s="38">
        <v>6</v>
      </c>
      <c r="B1165" s="38">
        <v>1170</v>
      </c>
      <c r="C1165" s="38" t="s">
        <v>675</v>
      </c>
      <c r="D1165" s="38">
        <v>22</v>
      </c>
      <c r="E1165" s="39" t="str">
        <f>CONCATENATE("PS-",TEXT(A1165,"00"),"-",O1165)</f>
        <v>PS-06-GR5</v>
      </c>
      <c r="F1165" s="48" t="str">
        <f>CONCATENATE("Poste de Sectionnement n°",TEXT(A1165,"00")," ",O1165)</f>
        <v>Poste de Sectionnement n°06 GR5</v>
      </c>
      <c r="G1165" s="19">
        <v>42887</v>
      </c>
      <c r="H1165" s="19">
        <v>42887</v>
      </c>
      <c r="I1165" s="41" t="s">
        <v>20</v>
      </c>
      <c r="J1165" s="41">
        <v>1</v>
      </c>
      <c r="K1165" s="41" t="s">
        <v>3557</v>
      </c>
      <c r="L1165" s="41">
        <v>16</v>
      </c>
      <c r="M1165" s="41"/>
      <c r="N1165" s="41"/>
      <c r="O1165" s="41" t="s">
        <v>425</v>
      </c>
      <c r="P1165" s="41">
        <v>135</v>
      </c>
      <c r="Q1165" s="43">
        <v>413</v>
      </c>
      <c r="R1165" s="43">
        <f>VALUE(SUBSTITUTE(P1165,"+",","))</f>
        <v>135</v>
      </c>
      <c r="S1165" s="41" t="s">
        <v>2751</v>
      </c>
      <c r="T1165" s="48" t="str">
        <f t="shared" si="123"/>
        <v>(6,'PS-06-GR5','Poste de Sectionnement n°06 GR5','Thursday-06-jj','Thursday-06-jj',NULL,1,),</v>
      </c>
    </row>
    <row r="1166" spans="1:20" ht="20.100000000000001" customHeight="1" x14ac:dyDescent="0.25">
      <c r="A1166" s="38">
        <v>7</v>
      </c>
      <c r="B1166" s="38">
        <v>1171</v>
      </c>
      <c r="C1166" s="38" t="s">
        <v>675</v>
      </c>
      <c r="D1166" s="38">
        <v>22</v>
      </c>
      <c r="E1166" s="39" t="str">
        <f>CONCATENATE("PS-",TEXT(A1166,"00"),"-",O1166)</f>
        <v>PS-07-GR5</v>
      </c>
      <c r="F1166" s="48" t="str">
        <f>CONCATENATE("Poste de Sectionnement n°",TEXT(A1166,"00")," ",O1166)</f>
        <v>Poste de Sectionnement n°07 GR5</v>
      </c>
      <c r="G1166" s="19">
        <v>42887</v>
      </c>
      <c r="H1166" s="19">
        <v>42887</v>
      </c>
      <c r="I1166" s="41" t="s">
        <v>20</v>
      </c>
      <c r="J1166" s="41">
        <v>1</v>
      </c>
      <c r="K1166" s="41" t="s">
        <v>3557</v>
      </c>
      <c r="L1166" s="41">
        <v>16</v>
      </c>
      <c r="M1166" s="41"/>
      <c r="N1166" s="41"/>
      <c r="O1166" s="41" t="s">
        <v>425</v>
      </c>
      <c r="P1166" s="41">
        <v>156</v>
      </c>
      <c r="Q1166" s="43">
        <v>424</v>
      </c>
      <c r="R1166" s="43">
        <f>VALUE(SUBSTITUTE(P1166,"+",","))</f>
        <v>156</v>
      </c>
      <c r="S1166" s="41" t="s">
        <v>2752</v>
      </c>
      <c r="T1166" s="48" t="str">
        <f t="shared" si="123"/>
        <v>(7,'PS-07-GR5','Poste de Sectionnement n°07 GR5','Thursday-06-jj','Thursday-06-jj',NULL,1,),</v>
      </c>
    </row>
    <row r="1167" spans="1:20" ht="20.100000000000001" customHeight="1" x14ac:dyDescent="0.25">
      <c r="A1167" s="38">
        <v>1</v>
      </c>
      <c r="B1167" s="38">
        <v>1172</v>
      </c>
      <c r="C1167" s="38" t="s">
        <v>675</v>
      </c>
      <c r="D1167" s="38">
        <v>22</v>
      </c>
      <c r="E1167" s="39" t="str">
        <f>CONCATENATE("PPUR-",TEXT(A1167,"00"),"-",O1167)</f>
        <v>PPUR-01-GR5</v>
      </c>
      <c r="F1167" s="48" t="str">
        <f>CONCATENATE("Poste de Purge n°",TEXT(A1167,"00")," ",O1167)</f>
        <v>Poste de Purge n°01 GR5</v>
      </c>
      <c r="G1167" s="19">
        <v>42887</v>
      </c>
      <c r="H1167" s="19">
        <v>42887</v>
      </c>
      <c r="I1167" s="41" t="s">
        <v>20</v>
      </c>
      <c r="J1167" s="41">
        <v>1</v>
      </c>
      <c r="K1167" s="41" t="s">
        <v>3558</v>
      </c>
      <c r="L1167" s="41">
        <v>17</v>
      </c>
      <c r="M1167" s="41"/>
      <c r="N1167" s="41"/>
      <c r="O1167" s="41" t="s">
        <v>425</v>
      </c>
      <c r="P1167" s="41" t="s">
        <v>2783</v>
      </c>
      <c r="Q1167" s="65">
        <v>0</v>
      </c>
      <c r="R1167" s="43">
        <f>VALUE(SUBSTITUTE(P1167,"+",","))</f>
        <v>167.8</v>
      </c>
      <c r="S1167" s="41" t="s">
        <v>2785</v>
      </c>
      <c r="T1167" s="48" t="str">
        <f t="shared" si="123"/>
        <v>(1,'PPUR-01-GR5','Poste de Purge n°01 GR5','Thursday-06-jj','Thursday-06-jj',NULL,1,),</v>
      </c>
    </row>
    <row r="1168" spans="1:20" ht="20.100000000000001" customHeight="1" x14ac:dyDescent="0.25">
      <c r="A1168" s="38">
        <v>2</v>
      </c>
      <c r="B1168" s="38">
        <v>1173</v>
      </c>
      <c r="C1168" s="38" t="s">
        <v>675</v>
      </c>
      <c r="D1168" s="38">
        <v>22</v>
      </c>
      <c r="E1168" s="45" t="str">
        <f>CONCATENATE("PC-",TEXT(A1168,"00"),"-",O1168)</f>
        <v>PC-02-GR5</v>
      </c>
      <c r="F1168" s="48" t="str">
        <f>CONCATENATE("Poste de Coupure n°",TEXT(A1168,"00")," ",O1168)</f>
        <v>Poste de Coupure n°02 GR5</v>
      </c>
      <c r="G1168" s="19">
        <v>42887</v>
      </c>
      <c r="H1168" s="19">
        <v>42887</v>
      </c>
      <c r="I1168" s="41" t="s">
        <v>20</v>
      </c>
      <c r="J1168" s="41">
        <v>1</v>
      </c>
      <c r="K1168" s="41" t="s">
        <v>3556</v>
      </c>
      <c r="L1168" s="41">
        <v>15</v>
      </c>
      <c r="M1168" s="41"/>
      <c r="N1168" s="41"/>
      <c r="O1168" s="41" t="s">
        <v>425</v>
      </c>
      <c r="P1168" s="41" t="s">
        <v>2745</v>
      </c>
      <c r="Q1168" s="49">
        <f>VALUE(RIGHT(P1168,LEN(P1168)-SEARCH("/",P1168)))</f>
        <v>410.5</v>
      </c>
      <c r="R1168" s="43">
        <f>VALUE(SUBSTITUTE(LEFT(P1168,SEARCH("/",P1168)-1),"+",","))</f>
        <v>195</v>
      </c>
      <c r="S1168" s="41" t="s">
        <v>2764</v>
      </c>
      <c r="T1168" s="48" t="str">
        <f t="shared" si="123"/>
        <v>(2,'PC-02-GR5','Poste de Coupure n°02 GR5','Thursday-06-jj','Thursday-06-jj',NULL,1,),</v>
      </c>
    </row>
    <row r="1169" spans="1:20" ht="20.100000000000001" customHeight="1" x14ac:dyDescent="0.25">
      <c r="A1169" s="38">
        <v>8</v>
      </c>
      <c r="B1169" s="38">
        <v>1174</v>
      </c>
      <c r="C1169" s="38" t="s">
        <v>675</v>
      </c>
      <c r="D1169" s="38">
        <v>22</v>
      </c>
      <c r="E1169" s="39" t="str">
        <f>CONCATENATE("PS-",TEXT(A1169,"00"),"-",O1169)</f>
        <v>PS-08-GR5</v>
      </c>
      <c r="F1169" s="48" t="str">
        <f>CONCATENATE("Poste de Sectionnement n°",TEXT(A1169,"00")," ",O1169)</f>
        <v>Poste de Sectionnement n°08 GR5</v>
      </c>
      <c r="G1169" s="19">
        <v>42887</v>
      </c>
      <c r="H1169" s="19">
        <v>42887</v>
      </c>
      <c r="I1169" s="41" t="s">
        <v>20</v>
      </c>
      <c r="J1169" s="41">
        <v>1</v>
      </c>
      <c r="K1169" s="41" t="s">
        <v>3557</v>
      </c>
      <c r="L1169" s="41">
        <v>16</v>
      </c>
      <c r="M1169" s="41"/>
      <c r="N1169" s="41"/>
      <c r="O1169" s="41" t="s">
        <v>425</v>
      </c>
      <c r="P1169" s="41">
        <v>198</v>
      </c>
      <c r="Q1169" s="43">
        <v>411</v>
      </c>
      <c r="R1169" s="43">
        <f t="shared" ref="R1169:R1174" si="125">VALUE(SUBSTITUTE(P1169,"+",","))</f>
        <v>198</v>
      </c>
      <c r="S1169" s="60" t="s">
        <v>2752</v>
      </c>
      <c r="T1169" s="48" t="str">
        <f t="shared" si="123"/>
        <v>(8,'PS-08-GR5','Poste de Sectionnement n°08 GR5','Thursday-06-jj','Thursday-06-jj',NULL,1,),</v>
      </c>
    </row>
    <row r="1170" spans="1:20" ht="20.100000000000001" customHeight="1" x14ac:dyDescent="0.25">
      <c r="A1170" s="38">
        <v>9</v>
      </c>
      <c r="B1170" s="38">
        <v>1175</v>
      </c>
      <c r="C1170" s="38" t="s">
        <v>675</v>
      </c>
      <c r="D1170" s="38">
        <v>22</v>
      </c>
      <c r="E1170" s="39" t="str">
        <f>CONCATENATE("PS-",TEXT(A1170,"00"),"-",O1170)</f>
        <v>PS-09-GR5</v>
      </c>
      <c r="F1170" s="48" t="str">
        <f>CONCATENATE("Poste de Sectionnement n°",TEXT(A1170,"00")," ",O1170)</f>
        <v>Poste de Sectionnement n°09 GR5</v>
      </c>
      <c r="G1170" s="19">
        <v>42887</v>
      </c>
      <c r="H1170" s="19">
        <v>42887</v>
      </c>
      <c r="I1170" s="41" t="s">
        <v>20</v>
      </c>
      <c r="J1170" s="41">
        <v>1</v>
      </c>
      <c r="K1170" s="41" t="s">
        <v>3557</v>
      </c>
      <c r="L1170" s="41">
        <v>16</v>
      </c>
      <c r="M1170" s="41"/>
      <c r="N1170" s="41"/>
      <c r="O1170" s="41" t="s">
        <v>425</v>
      </c>
      <c r="P1170" s="41">
        <v>220</v>
      </c>
      <c r="Q1170" s="43">
        <v>443</v>
      </c>
      <c r="R1170" s="43">
        <f t="shared" si="125"/>
        <v>220</v>
      </c>
      <c r="S1170" s="60" t="s">
        <v>2752</v>
      </c>
      <c r="T1170" s="48" t="str">
        <f t="shared" si="123"/>
        <v>(9,'PS-09-GR5','Poste de Sectionnement n°09 GR5','Thursday-06-jj','Thursday-06-jj',NULL,1,),</v>
      </c>
    </row>
    <row r="1171" spans="1:20" ht="20.100000000000001" customHeight="1" x14ac:dyDescent="0.25">
      <c r="A1171" s="38">
        <v>10</v>
      </c>
      <c r="B1171" s="38">
        <v>1176</v>
      </c>
      <c r="C1171" s="38" t="s">
        <v>675</v>
      </c>
      <c r="D1171" s="38">
        <v>22</v>
      </c>
      <c r="E1171" s="39" t="str">
        <f>CONCATENATE("PS-",TEXT(A1171,"00"),"-",O1171)</f>
        <v>PS-10-GR5</v>
      </c>
      <c r="F1171" s="48" t="str">
        <f>CONCATENATE("Poste de Sectionnement n°",TEXT(A1171,"00")," ",O1171)</f>
        <v>Poste de Sectionnement n°10 GR5</v>
      </c>
      <c r="G1171" s="19">
        <v>42887</v>
      </c>
      <c r="H1171" s="19">
        <v>42887</v>
      </c>
      <c r="I1171" s="41" t="s">
        <v>20</v>
      </c>
      <c r="J1171" s="41">
        <v>1</v>
      </c>
      <c r="K1171" s="41" t="s">
        <v>3557</v>
      </c>
      <c r="L1171" s="41">
        <v>16</v>
      </c>
      <c r="M1171" s="41"/>
      <c r="N1171" s="41"/>
      <c r="O1171" s="41" t="s">
        <v>425</v>
      </c>
      <c r="P1171" s="41">
        <v>242</v>
      </c>
      <c r="Q1171" s="43">
        <v>444</v>
      </c>
      <c r="R1171" s="43">
        <f t="shared" si="125"/>
        <v>242</v>
      </c>
      <c r="S1171" s="60" t="s">
        <v>2752</v>
      </c>
      <c r="T1171" s="48" t="str">
        <f t="shared" si="123"/>
        <v>(10,'PS-10-GR5','Poste de Sectionnement n°10 GR5','Thursday-06-jj','Thursday-06-jj',NULL,1,),</v>
      </c>
    </row>
    <row r="1172" spans="1:20" ht="20.100000000000001" customHeight="1" x14ac:dyDescent="0.25">
      <c r="A1172" s="38">
        <v>2</v>
      </c>
      <c r="B1172" s="38">
        <v>1177</v>
      </c>
      <c r="C1172" s="38" t="s">
        <v>675</v>
      </c>
      <c r="D1172" s="38">
        <v>22</v>
      </c>
      <c r="E1172" s="39" t="str">
        <f>CONCATENATE("PPUR-",TEXT(A1172,"00"),"-",O1172)</f>
        <v>PPUR-02-GR5</v>
      </c>
      <c r="F1172" s="48" t="str">
        <f>CONCATENATE("Poste de Purge n°",TEXT(A1172,"00")," ",O1172)</f>
        <v>Poste de Purge n°02 GR5</v>
      </c>
      <c r="G1172" s="19">
        <v>42887</v>
      </c>
      <c r="H1172" s="19">
        <v>42887</v>
      </c>
      <c r="I1172" s="41" t="s">
        <v>20</v>
      </c>
      <c r="J1172" s="41">
        <v>1</v>
      </c>
      <c r="K1172" s="41" t="s">
        <v>3558</v>
      </c>
      <c r="L1172" s="41">
        <v>17</v>
      </c>
      <c r="M1172" s="41"/>
      <c r="N1172" s="41"/>
      <c r="O1172" s="41" t="s">
        <v>425</v>
      </c>
      <c r="P1172" s="41" t="s">
        <v>2784</v>
      </c>
      <c r="Q1172" s="65">
        <v>0</v>
      </c>
      <c r="R1172" s="43">
        <f t="shared" si="125"/>
        <v>253.8</v>
      </c>
      <c r="S1172" s="60" t="s">
        <v>2785</v>
      </c>
      <c r="T1172" s="48" t="str">
        <f t="shared" si="123"/>
        <v>(2,'PPUR-02-GR5','Poste de Purge n°02 GR5','Thursday-06-jj','Thursday-06-jj',NULL,1,),</v>
      </c>
    </row>
    <row r="1173" spans="1:20" ht="20.100000000000001" customHeight="1" x14ac:dyDescent="0.25">
      <c r="A1173" s="38">
        <v>11</v>
      </c>
      <c r="B1173" s="38">
        <v>1178</v>
      </c>
      <c r="C1173" s="38" t="s">
        <v>675</v>
      </c>
      <c r="D1173" s="38">
        <v>22</v>
      </c>
      <c r="E1173" s="39" t="str">
        <f>CONCATENATE("PS-",TEXT(A1173,"00"),"-",O1173)</f>
        <v>PS-11-GR5</v>
      </c>
      <c r="F1173" s="48" t="str">
        <f>CONCATENATE("Poste de Sectionnement n°",TEXT(A1173,"00")," ",O1173)</f>
        <v>Poste de Sectionnement n°11 GR5</v>
      </c>
      <c r="G1173" s="19">
        <v>42887</v>
      </c>
      <c r="H1173" s="19">
        <v>42887</v>
      </c>
      <c r="I1173" s="41" t="s">
        <v>20</v>
      </c>
      <c r="J1173" s="41">
        <v>1</v>
      </c>
      <c r="K1173" s="41" t="s">
        <v>3557</v>
      </c>
      <c r="L1173" s="41">
        <v>16</v>
      </c>
      <c r="M1173" s="41"/>
      <c r="N1173" s="41"/>
      <c r="O1173" s="41" t="s">
        <v>425</v>
      </c>
      <c r="P1173" s="41">
        <v>264</v>
      </c>
      <c r="Q1173" s="43">
        <v>426</v>
      </c>
      <c r="R1173" s="43">
        <f t="shared" si="125"/>
        <v>264</v>
      </c>
      <c r="S1173" s="60" t="s">
        <v>2752</v>
      </c>
      <c r="T1173" s="48" t="str">
        <f t="shared" si="123"/>
        <v>(11,'PS-11-GR5','Poste de Sectionnement n°11 GR5','Thursday-06-jj','Thursday-06-jj',NULL,1,),</v>
      </c>
    </row>
    <row r="1174" spans="1:20" ht="20.100000000000001" customHeight="1" x14ac:dyDescent="0.25">
      <c r="A1174" s="38">
        <v>12</v>
      </c>
      <c r="B1174" s="38">
        <v>1179</v>
      </c>
      <c r="C1174" s="38" t="s">
        <v>675</v>
      </c>
      <c r="D1174" s="38">
        <v>22</v>
      </c>
      <c r="E1174" s="39" t="str">
        <f>CONCATENATE("PS-",TEXT(A1174,"00"),"-",O1174)</f>
        <v>PS-12-GR5</v>
      </c>
      <c r="F1174" s="48" t="str">
        <f>CONCATENATE("Poste de Sectionnement n°",TEXT(A1174,"00")," ",O1174)</f>
        <v>Poste de Sectionnement n°12 GR5</v>
      </c>
      <c r="G1174" s="19">
        <v>42887</v>
      </c>
      <c r="H1174" s="19">
        <v>42887</v>
      </c>
      <c r="I1174" s="41" t="s">
        <v>20</v>
      </c>
      <c r="J1174" s="41">
        <v>1</v>
      </c>
      <c r="K1174" s="41" t="s">
        <v>3557</v>
      </c>
      <c r="L1174" s="41">
        <v>16</v>
      </c>
      <c r="M1174" s="41"/>
      <c r="N1174" s="41"/>
      <c r="O1174" s="41" t="s">
        <v>425</v>
      </c>
      <c r="P1174" s="41">
        <v>287</v>
      </c>
      <c r="Q1174" s="43">
        <v>444</v>
      </c>
      <c r="R1174" s="43">
        <f t="shared" si="125"/>
        <v>287</v>
      </c>
      <c r="S1174" s="60" t="s">
        <v>2752</v>
      </c>
      <c r="T1174" s="48" t="str">
        <f t="shared" si="123"/>
        <v>(12,'PS-12-GR5','Poste de Sectionnement n°12 GR5','Thursday-06-jj','Thursday-06-jj',NULL,1,),</v>
      </c>
    </row>
    <row r="1175" spans="1:20" ht="20.100000000000001" customHeight="1" x14ac:dyDescent="0.25">
      <c r="A1175" s="38">
        <v>3</v>
      </c>
      <c r="B1175" s="38">
        <v>1180</v>
      </c>
      <c r="C1175" s="38" t="s">
        <v>675</v>
      </c>
      <c r="D1175" s="38">
        <v>22</v>
      </c>
      <c r="E1175" s="45" t="str">
        <f>CONCATENATE("PC-",TEXT(A1175,"00"),"-",O1175)</f>
        <v>PC-03-GR5</v>
      </c>
      <c r="F1175" s="48" t="str">
        <f>CONCATENATE("Poste de Coupure n°",TEXT(A1175,"00")," ",O1175)</f>
        <v>Poste de Coupure n°03 GR5</v>
      </c>
      <c r="G1175" s="19">
        <v>42887</v>
      </c>
      <c r="H1175" s="19">
        <v>42887</v>
      </c>
      <c r="I1175" s="41" t="s">
        <v>20</v>
      </c>
      <c r="J1175" s="41">
        <v>1</v>
      </c>
      <c r="K1175" s="41" t="s">
        <v>3556</v>
      </c>
      <c r="L1175" s="41">
        <v>15</v>
      </c>
      <c r="M1175" s="41"/>
      <c r="N1175" s="41"/>
      <c r="O1175" s="41" t="s">
        <v>425</v>
      </c>
      <c r="P1175" s="41" t="s">
        <v>2746</v>
      </c>
      <c r="Q1175" s="49">
        <f>VALUE(RIGHT(P1175,LEN(P1175)-SEARCH("/",P1175)))</f>
        <v>429</v>
      </c>
      <c r="R1175" s="43">
        <f>VALUE(SUBSTITUTE(LEFT(P1175,SEARCH("/",P1175)-1),"+",","))</f>
        <v>309</v>
      </c>
      <c r="S1175" s="60" t="s">
        <v>2762</v>
      </c>
      <c r="T1175" s="48" t="str">
        <f t="shared" si="123"/>
        <v>(3,'PC-03-GR5','Poste de Coupure n°03 GR5','Thursday-06-jj','Thursday-06-jj',NULL,1,),</v>
      </c>
    </row>
    <row r="1176" spans="1:20" ht="20.100000000000001" customHeight="1" x14ac:dyDescent="0.25">
      <c r="A1176" s="38">
        <v>13</v>
      </c>
      <c r="B1176" s="38">
        <v>1181</v>
      </c>
      <c r="C1176" s="38" t="s">
        <v>675</v>
      </c>
      <c r="D1176" s="38">
        <v>22</v>
      </c>
      <c r="E1176" s="39" t="str">
        <f>CONCATENATE("PS-",TEXT(A1176,"00"),"-",O1176)</f>
        <v>PS-13-GR5</v>
      </c>
      <c r="F1176" s="48" t="str">
        <f>CONCATENATE("Poste de Sectionnement n°",TEXT(A1176,"00")," ",O1176)</f>
        <v>Poste de Sectionnement n°13 GR5</v>
      </c>
      <c r="G1176" s="19">
        <v>42887</v>
      </c>
      <c r="H1176" s="19">
        <v>42887</v>
      </c>
      <c r="I1176" s="41" t="s">
        <v>20</v>
      </c>
      <c r="J1176" s="41">
        <v>1</v>
      </c>
      <c r="K1176" s="41" t="s">
        <v>3557</v>
      </c>
      <c r="L1176" s="41">
        <v>16</v>
      </c>
      <c r="M1176" s="41"/>
      <c r="N1176" s="41"/>
      <c r="O1176" s="41" t="s">
        <v>425</v>
      </c>
      <c r="P1176" s="41">
        <v>331</v>
      </c>
      <c r="Q1176" s="43">
        <v>444</v>
      </c>
      <c r="R1176" s="43">
        <f>VALUE(SUBSTITUTE(P1176,"+",","))</f>
        <v>331</v>
      </c>
      <c r="S1176" s="60" t="s">
        <v>679</v>
      </c>
      <c r="T1176" s="48" t="str">
        <f t="shared" ref="T1176:T1211" si="126">CONCATENATE("(",A1176,",'",E1176,"','",F1176,"','",TEXT(G1176,"aaaa-mm-jj"),"','",TEXT(H1176,"aaaa-mm-jj"),"',",I1176,",",J1176,",",M1176,"),")</f>
        <v>(13,'PS-13-GR5','Poste de Sectionnement n°13 GR5','Thursday-06-jj','Thursday-06-jj',NULL,1,),</v>
      </c>
    </row>
    <row r="1177" spans="1:20" ht="20.100000000000001" customHeight="1" x14ac:dyDescent="0.25">
      <c r="A1177" s="38">
        <v>14</v>
      </c>
      <c r="B1177" s="38">
        <v>1182</v>
      </c>
      <c r="C1177" s="38" t="s">
        <v>675</v>
      </c>
      <c r="D1177" s="38">
        <v>22</v>
      </c>
      <c r="E1177" s="39" t="str">
        <f>CONCATENATE("PS-",TEXT(A1177,"00"),"-",O1177)</f>
        <v>PS-14-GR5</v>
      </c>
      <c r="F1177" s="48" t="str">
        <f>CONCATENATE("Poste de Sectionnement n°",TEXT(A1177,"00")," ",O1177)</f>
        <v>Poste de Sectionnement n°14 GR5</v>
      </c>
      <c r="G1177" s="19">
        <v>42887</v>
      </c>
      <c r="H1177" s="19">
        <v>42887</v>
      </c>
      <c r="I1177" s="41" t="s">
        <v>20</v>
      </c>
      <c r="J1177" s="41">
        <v>1</v>
      </c>
      <c r="K1177" s="41" t="s">
        <v>3557</v>
      </c>
      <c r="L1177" s="41">
        <v>16</v>
      </c>
      <c r="M1177" s="41"/>
      <c r="N1177" s="41"/>
      <c r="O1177" s="41" t="s">
        <v>425</v>
      </c>
      <c r="P1177" s="41">
        <v>353</v>
      </c>
      <c r="Q1177" s="43">
        <v>430</v>
      </c>
      <c r="R1177" s="43">
        <f>VALUE(SUBSTITUTE(P1177,"+",","))</f>
        <v>353</v>
      </c>
      <c r="S1177" s="60" t="s">
        <v>679</v>
      </c>
      <c r="T1177" s="48" t="str">
        <f t="shared" si="126"/>
        <v>(14,'PS-14-GR5','Poste de Sectionnement n°14 GR5','Thursday-06-jj','Thursday-06-jj',NULL,1,),</v>
      </c>
    </row>
    <row r="1178" spans="1:20" ht="20.100000000000001" customHeight="1" x14ac:dyDescent="0.25">
      <c r="A1178" s="38">
        <v>15</v>
      </c>
      <c r="B1178" s="38">
        <v>1183</v>
      </c>
      <c r="C1178" s="38" t="s">
        <v>675</v>
      </c>
      <c r="D1178" s="38">
        <v>22</v>
      </c>
      <c r="E1178" s="39" t="str">
        <f>CONCATENATE("PS-",TEXT(A1178,"00"),"-",O1178)</f>
        <v>PS-15-GR5</v>
      </c>
      <c r="F1178" s="48" t="str">
        <f>CONCATENATE("Poste de Sectionnement n°",TEXT(A1178,"00")," ",O1178)</f>
        <v>Poste de Sectionnement n°15 GR5</v>
      </c>
      <c r="G1178" s="19">
        <v>42887</v>
      </c>
      <c r="H1178" s="19">
        <v>42887</v>
      </c>
      <c r="I1178" s="41" t="s">
        <v>20</v>
      </c>
      <c r="J1178" s="41">
        <v>1</v>
      </c>
      <c r="K1178" s="41" t="s">
        <v>3557</v>
      </c>
      <c r="L1178" s="41">
        <v>16</v>
      </c>
      <c r="M1178" s="41"/>
      <c r="N1178" s="41"/>
      <c r="O1178" s="41" t="s">
        <v>425</v>
      </c>
      <c r="P1178" s="41">
        <v>375</v>
      </c>
      <c r="Q1178" s="43">
        <v>465</v>
      </c>
      <c r="R1178" s="43">
        <f>VALUE(SUBSTITUTE(P1178,"+",","))</f>
        <v>375</v>
      </c>
      <c r="S1178" s="60" t="s">
        <v>679</v>
      </c>
      <c r="T1178" s="48" t="str">
        <f t="shared" si="126"/>
        <v>(15,'PS-15-GR5','Poste de Sectionnement n°15 GR5','Thursday-06-jj','Thursday-06-jj',NULL,1,),</v>
      </c>
    </row>
    <row r="1179" spans="1:20" ht="20.100000000000001" customHeight="1" x14ac:dyDescent="0.25">
      <c r="A1179" s="38">
        <v>16</v>
      </c>
      <c r="B1179" s="38">
        <v>1184</v>
      </c>
      <c r="C1179" s="38" t="s">
        <v>675</v>
      </c>
      <c r="D1179" s="38">
        <v>22</v>
      </c>
      <c r="E1179" s="39" t="str">
        <f>CONCATENATE("PS-",TEXT(A1179,"00"),"-",O1179)</f>
        <v>PS-16-GR5</v>
      </c>
      <c r="F1179" s="48" t="str">
        <f>CONCATENATE("Poste de Sectionnement n°",TEXT(A1179,"00")," ",O1179)</f>
        <v>Poste de Sectionnement n°16 GR5</v>
      </c>
      <c r="G1179" s="19">
        <v>42887</v>
      </c>
      <c r="H1179" s="19">
        <v>42887</v>
      </c>
      <c r="I1179" s="41" t="s">
        <v>20</v>
      </c>
      <c r="J1179" s="41">
        <v>1</v>
      </c>
      <c r="K1179" s="41" t="s">
        <v>3557</v>
      </c>
      <c r="L1179" s="41">
        <v>16</v>
      </c>
      <c r="M1179" s="41"/>
      <c r="N1179" s="41"/>
      <c r="O1179" s="41" t="s">
        <v>425</v>
      </c>
      <c r="P1179" s="41">
        <v>397</v>
      </c>
      <c r="Q1179" s="43">
        <v>460</v>
      </c>
      <c r="R1179" s="43">
        <f>VALUE(SUBSTITUTE(P1179,"+",","))</f>
        <v>397</v>
      </c>
      <c r="S1179" s="58" t="s">
        <v>679</v>
      </c>
      <c r="T1179" s="48" t="str">
        <f t="shared" si="126"/>
        <v>(16,'PS-16-GR5','Poste de Sectionnement n°16 GR5','Thursday-06-jj','Thursday-06-jj',NULL,1,),</v>
      </c>
    </row>
    <row r="1180" spans="1:20" ht="20.100000000000001" customHeight="1" x14ac:dyDescent="0.25">
      <c r="A1180" s="38">
        <v>4</v>
      </c>
      <c r="B1180" s="38">
        <v>1185</v>
      </c>
      <c r="C1180" s="38" t="s">
        <v>675</v>
      </c>
      <c r="D1180" s="38">
        <v>22</v>
      </c>
      <c r="E1180" s="45" t="str">
        <f>CONCATENATE("PC-",TEXT(A1180,"00"),"-",O1180)</f>
        <v>PC-04-GR5</v>
      </c>
      <c r="F1180" s="48" t="str">
        <f>CONCATENATE("Poste de Coupure n°",TEXT(A1180,"00")," ",O1180)</f>
        <v>Poste de Coupure n°04 GR5</v>
      </c>
      <c r="G1180" s="19">
        <v>42887</v>
      </c>
      <c r="H1180" s="19">
        <v>42887</v>
      </c>
      <c r="I1180" s="41" t="s">
        <v>20</v>
      </c>
      <c r="J1180" s="41">
        <v>1</v>
      </c>
      <c r="K1180" s="41" t="s">
        <v>3556</v>
      </c>
      <c r="L1180" s="41">
        <v>15</v>
      </c>
      <c r="M1180" s="41"/>
      <c r="N1180" s="41"/>
      <c r="O1180" s="41" t="s">
        <v>425</v>
      </c>
      <c r="P1180" s="41" t="s">
        <v>2747</v>
      </c>
      <c r="Q1180" s="49">
        <f>VALUE(RIGHT(P1180,LEN(P1180)-SEARCH("/",P1180)))</f>
        <v>425</v>
      </c>
      <c r="R1180" s="43">
        <f>VALUE(SUBSTITUTE(LEFT(P1180,SEARCH("/",P1180)-1),"+",","))</f>
        <v>418</v>
      </c>
      <c r="S1180" s="41" t="s">
        <v>2762</v>
      </c>
      <c r="T1180" s="48" t="str">
        <f t="shared" si="126"/>
        <v>(4,'PC-04-GR5','Poste de Coupure n°04 GR5','Thursday-06-jj','Thursday-06-jj',NULL,1,),</v>
      </c>
    </row>
    <row r="1181" spans="1:20" ht="20.100000000000001" customHeight="1" x14ac:dyDescent="0.25">
      <c r="A1181" s="38">
        <v>17</v>
      </c>
      <c r="B1181" s="38">
        <v>1186</v>
      </c>
      <c r="C1181" s="38" t="s">
        <v>675</v>
      </c>
      <c r="D1181" s="38">
        <v>22</v>
      </c>
      <c r="E1181" s="39" t="str">
        <f>CONCATENATE("PS-",TEXT(A1181,"00"),"-",O1181)</f>
        <v>PS-17-GR5</v>
      </c>
      <c r="F1181" s="48" t="str">
        <f>CONCATENATE("Poste de Sectionnement n°",TEXT(A1181,"00")," ",O1181)</f>
        <v>Poste de Sectionnement n°17 GR5</v>
      </c>
      <c r="G1181" s="19">
        <v>42887</v>
      </c>
      <c r="H1181" s="19">
        <v>42887</v>
      </c>
      <c r="I1181" s="41" t="s">
        <v>20</v>
      </c>
      <c r="J1181" s="41">
        <v>1</v>
      </c>
      <c r="K1181" s="41" t="s">
        <v>3557</v>
      </c>
      <c r="L1181" s="41">
        <v>16</v>
      </c>
      <c r="M1181" s="41"/>
      <c r="N1181" s="41"/>
      <c r="O1181" s="41" t="s">
        <v>425</v>
      </c>
      <c r="P1181" s="41">
        <v>441</v>
      </c>
      <c r="Q1181" s="43">
        <v>423</v>
      </c>
      <c r="R1181" s="43">
        <f>VALUE(SUBSTITUTE(P1181,"+",","))</f>
        <v>441</v>
      </c>
      <c r="S1181" s="41" t="s">
        <v>679</v>
      </c>
      <c r="T1181" s="48" t="str">
        <f t="shared" si="126"/>
        <v>(17,'PS-17-GR5','Poste de Sectionnement n°17 GR5','Thursday-06-jj','Thursday-06-jj',NULL,1,),</v>
      </c>
    </row>
    <row r="1182" spans="1:20" ht="20.100000000000001" customHeight="1" x14ac:dyDescent="0.25">
      <c r="A1182" s="38">
        <v>18</v>
      </c>
      <c r="B1182" s="38">
        <v>1187</v>
      </c>
      <c r="C1182" s="38" t="s">
        <v>675</v>
      </c>
      <c r="D1182" s="38">
        <v>22</v>
      </c>
      <c r="E1182" s="39" t="str">
        <f>CONCATENATE("PS-",TEXT(A1182,"00"),"-",O1182)</f>
        <v>PS-18-GR5</v>
      </c>
      <c r="F1182" s="48" t="str">
        <f>CONCATENATE("Poste de Sectionnement n°",TEXT(A1182,"00")," ",O1182)</f>
        <v>Poste de Sectionnement n°18 GR5</v>
      </c>
      <c r="G1182" s="19">
        <v>42887</v>
      </c>
      <c r="H1182" s="19">
        <v>42887</v>
      </c>
      <c r="I1182" s="41" t="s">
        <v>20</v>
      </c>
      <c r="J1182" s="41">
        <v>1</v>
      </c>
      <c r="K1182" s="41" t="s">
        <v>3557</v>
      </c>
      <c r="L1182" s="41">
        <v>16</v>
      </c>
      <c r="M1182" s="41"/>
      <c r="N1182" s="41"/>
      <c r="O1182" s="41" t="s">
        <v>425</v>
      </c>
      <c r="P1182" s="41">
        <v>464</v>
      </c>
      <c r="Q1182" s="43">
        <v>387</v>
      </c>
      <c r="R1182" s="43">
        <f>VALUE(SUBSTITUTE(P1182,"+",","))</f>
        <v>464</v>
      </c>
      <c r="S1182" s="41" t="s">
        <v>679</v>
      </c>
      <c r="T1182" s="48" t="str">
        <f t="shared" si="126"/>
        <v>(18,'PS-18-GR5','Poste de Sectionnement n°18 GR5','Thursday-06-jj','Thursday-06-jj',NULL,1,),</v>
      </c>
    </row>
    <row r="1183" spans="1:20" ht="20.100000000000001" customHeight="1" x14ac:dyDescent="0.25">
      <c r="A1183" s="38">
        <v>19</v>
      </c>
      <c r="B1183" s="38">
        <v>1188</v>
      </c>
      <c r="C1183" s="38" t="s">
        <v>675</v>
      </c>
      <c r="D1183" s="38">
        <v>22</v>
      </c>
      <c r="E1183" s="39" t="str">
        <f>CONCATENATE("PS-",TEXT(A1183,"00"),"-",O1183)</f>
        <v>PS-19-GR5</v>
      </c>
      <c r="F1183" s="48" t="str">
        <f>CONCATENATE("Poste de Sectionnement n°",TEXT(A1183,"00")," ",O1183)</f>
        <v>Poste de Sectionnement n°19 GR5</v>
      </c>
      <c r="G1183" s="19">
        <v>42887</v>
      </c>
      <c r="H1183" s="19">
        <v>42887</v>
      </c>
      <c r="I1183" s="41" t="s">
        <v>20</v>
      </c>
      <c r="J1183" s="41">
        <v>1</v>
      </c>
      <c r="K1183" s="41" t="s">
        <v>3557</v>
      </c>
      <c r="L1183" s="41">
        <v>16</v>
      </c>
      <c r="M1183" s="41"/>
      <c r="N1183" s="41"/>
      <c r="O1183" s="41" t="s">
        <v>425</v>
      </c>
      <c r="P1183" s="41">
        <v>487</v>
      </c>
      <c r="Q1183" s="43">
        <v>409</v>
      </c>
      <c r="R1183" s="43">
        <f>VALUE(SUBSTITUTE(P1183,"+",","))</f>
        <v>487</v>
      </c>
      <c r="S1183" s="41" t="s">
        <v>679</v>
      </c>
      <c r="T1183" s="48" t="str">
        <f t="shared" si="126"/>
        <v>(19,'PS-19-GR5','Poste de Sectionnement n°19 GR5','Thursday-06-jj','Thursday-06-jj',NULL,1,),</v>
      </c>
    </row>
    <row r="1184" spans="1:20" ht="20.100000000000001" customHeight="1" x14ac:dyDescent="0.25">
      <c r="A1184" s="38">
        <v>20</v>
      </c>
      <c r="B1184" s="38">
        <v>1189</v>
      </c>
      <c r="C1184" s="38" t="s">
        <v>675</v>
      </c>
      <c r="D1184" s="38">
        <v>22</v>
      </c>
      <c r="E1184" s="39" t="str">
        <f>CONCATENATE("PS-",TEXT(A1184,"00"),"-",O1184)</f>
        <v>PS-20-GR5</v>
      </c>
      <c r="F1184" s="48" t="str">
        <f>CONCATENATE("Poste de Sectionnement n°",TEXT(A1184,"00")," ",O1184)</f>
        <v>Poste de Sectionnement n°20 GR5</v>
      </c>
      <c r="G1184" s="19">
        <v>42887</v>
      </c>
      <c r="H1184" s="19">
        <v>42887</v>
      </c>
      <c r="I1184" s="41" t="s">
        <v>20</v>
      </c>
      <c r="J1184" s="41">
        <v>1</v>
      </c>
      <c r="K1184" s="41" t="s">
        <v>3557</v>
      </c>
      <c r="L1184" s="41">
        <v>16</v>
      </c>
      <c r="M1184" s="41"/>
      <c r="N1184" s="41"/>
      <c r="O1184" s="41" t="s">
        <v>425</v>
      </c>
      <c r="P1184" s="41">
        <v>510</v>
      </c>
      <c r="Q1184" s="43">
        <v>453</v>
      </c>
      <c r="R1184" s="43">
        <f>VALUE(SUBSTITUTE(P1184,"+",","))</f>
        <v>510</v>
      </c>
      <c r="S1184" s="41" t="s">
        <v>2753</v>
      </c>
      <c r="T1184" s="48" t="str">
        <f t="shared" si="126"/>
        <v>(20,'PS-20-GR5','Poste de Sectionnement n°20 GR5','Thursday-06-jj','Thursday-06-jj',NULL,1,),</v>
      </c>
    </row>
    <row r="1185" spans="1:20" ht="20.100000000000001" customHeight="1" x14ac:dyDescent="0.25">
      <c r="A1185" s="38">
        <v>5</v>
      </c>
      <c r="B1185" s="38">
        <v>1190</v>
      </c>
      <c r="C1185" s="38" t="s">
        <v>675</v>
      </c>
      <c r="D1185" s="38">
        <v>22</v>
      </c>
      <c r="E1185" s="45" t="str">
        <f>CONCATENATE("PC-",TEXT(A1185,"00"),"-",O1185)</f>
        <v>PC-05-GR5</v>
      </c>
      <c r="F1185" s="48" t="str">
        <f>CONCATENATE("Poste de Coupure n°",TEXT(A1185,"00")," ",O1185)</f>
        <v>Poste de Coupure n°05 GR5</v>
      </c>
      <c r="G1185" s="19">
        <v>42887</v>
      </c>
      <c r="H1185" s="19">
        <v>42887</v>
      </c>
      <c r="I1185" s="41" t="s">
        <v>20</v>
      </c>
      <c r="J1185" s="41">
        <v>1</v>
      </c>
      <c r="K1185" s="41" t="s">
        <v>3556</v>
      </c>
      <c r="L1185" s="41">
        <v>15</v>
      </c>
      <c r="M1185" s="41"/>
      <c r="N1185" s="41"/>
      <c r="O1185" s="41" t="s">
        <v>425</v>
      </c>
      <c r="P1185" s="41" t="s">
        <v>2748</v>
      </c>
      <c r="Q1185" s="49">
        <f>VALUE(RIGHT(P1185,LEN(P1185)-SEARCH("/",P1185)))</f>
        <v>458</v>
      </c>
      <c r="R1185" s="43">
        <f>VALUE(SUBSTITUTE(LEFT(P1185,SEARCH("/",P1185)-1),"+",","))</f>
        <v>533</v>
      </c>
      <c r="S1185" s="41" t="s">
        <v>2761</v>
      </c>
      <c r="T1185" s="48" t="str">
        <f t="shared" si="126"/>
        <v>(5,'PC-05-GR5','Poste de Coupure n°05 GR5','Thursday-06-jj','Thursday-06-jj',NULL,1,),</v>
      </c>
    </row>
    <row r="1186" spans="1:20" ht="20.100000000000001" customHeight="1" x14ac:dyDescent="0.25">
      <c r="A1186" s="38">
        <v>21</v>
      </c>
      <c r="B1186" s="38">
        <v>1191</v>
      </c>
      <c r="C1186" s="38" t="s">
        <v>675</v>
      </c>
      <c r="D1186" s="38">
        <v>22</v>
      </c>
      <c r="E1186" s="39" t="str">
        <f>CONCATENATE("PS-",TEXT(A1186,"00"),"-",O1186)</f>
        <v>PS-21-GR5</v>
      </c>
      <c r="F1186" s="48" t="str">
        <f>CONCATENATE("Poste de Sectionnement n°",TEXT(A1186,"00")," ",O1186)</f>
        <v>Poste de Sectionnement n°21 GR5</v>
      </c>
      <c r="G1186" s="19">
        <v>42887</v>
      </c>
      <c r="H1186" s="19">
        <v>42887</v>
      </c>
      <c r="I1186" s="41" t="s">
        <v>20</v>
      </c>
      <c r="J1186" s="41">
        <v>1</v>
      </c>
      <c r="K1186" s="41" t="s">
        <v>3557</v>
      </c>
      <c r="L1186" s="41">
        <v>16</v>
      </c>
      <c r="M1186" s="41"/>
      <c r="N1186" s="41"/>
      <c r="O1186" s="41" t="s">
        <v>425</v>
      </c>
      <c r="P1186" s="41" t="s">
        <v>2765</v>
      </c>
      <c r="Q1186" s="43">
        <v>520</v>
      </c>
      <c r="R1186" s="43">
        <f>VALUE(SUBSTITUTE(P1186,"+",","))</f>
        <v>556.61</v>
      </c>
      <c r="S1186" s="41" t="s">
        <v>2753</v>
      </c>
      <c r="T1186" s="48" t="str">
        <f t="shared" si="126"/>
        <v>(21,'PS-21-GR5','Poste de Sectionnement n°21 GR5','Thursday-06-jj','Thursday-06-jj',NULL,1,),</v>
      </c>
    </row>
    <row r="1187" spans="1:20" ht="20.100000000000001" customHeight="1" x14ac:dyDescent="0.25">
      <c r="A1187" s="38">
        <v>22</v>
      </c>
      <c r="B1187" s="38">
        <v>1192</v>
      </c>
      <c r="C1187" s="38" t="s">
        <v>675</v>
      </c>
      <c r="D1187" s="38">
        <v>22</v>
      </c>
      <c r="E1187" s="39" t="str">
        <f>CONCATENATE("PS-",TEXT(A1187,"00"),"-",O1187)</f>
        <v>PS-22-GR5</v>
      </c>
      <c r="F1187" s="48" t="str">
        <f>CONCATENATE("Poste de Sectionnement n°",TEXT(A1187,"00")," ",O1187)</f>
        <v>Poste de Sectionnement n°22 GR5</v>
      </c>
      <c r="G1187" s="19">
        <v>42887</v>
      </c>
      <c r="H1187" s="19">
        <v>42887</v>
      </c>
      <c r="I1187" s="41" t="s">
        <v>20</v>
      </c>
      <c r="J1187" s="41">
        <v>1</v>
      </c>
      <c r="K1187" s="41" t="s">
        <v>3557</v>
      </c>
      <c r="L1187" s="41">
        <v>16</v>
      </c>
      <c r="M1187" s="41"/>
      <c r="N1187" s="41"/>
      <c r="O1187" s="41" t="s">
        <v>425</v>
      </c>
      <c r="P1187" s="41" t="s">
        <v>2766</v>
      </c>
      <c r="Q1187" s="43">
        <v>540</v>
      </c>
      <c r="R1187" s="43">
        <f>VALUE(SUBSTITUTE(P1187,"+",","))</f>
        <v>578.47900000000004</v>
      </c>
      <c r="S1187" s="41" t="s">
        <v>2753</v>
      </c>
      <c r="T1187" s="48" t="str">
        <f t="shared" si="126"/>
        <v>(22,'PS-22-GR5','Poste de Sectionnement n°22 GR5','Thursday-06-jj','Thursday-06-jj',NULL,1,),</v>
      </c>
    </row>
    <row r="1188" spans="1:20" ht="20.100000000000001" customHeight="1" x14ac:dyDescent="0.25">
      <c r="A1188" s="38">
        <v>23</v>
      </c>
      <c r="B1188" s="38">
        <v>1193</v>
      </c>
      <c r="C1188" s="38" t="s">
        <v>675</v>
      </c>
      <c r="D1188" s="38">
        <v>22</v>
      </c>
      <c r="E1188" s="39" t="str">
        <f>CONCATENATE("PS-",TEXT(A1188,"00"),"-",O1188)</f>
        <v>PS-23-GR5</v>
      </c>
      <c r="F1188" s="48" t="str">
        <f>CONCATENATE("Poste de Sectionnement n°",TEXT(A1188,"00")," ",O1188)</f>
        <v>Poste de Sectionnement n°23 GR5</v>
      </c>
      <c r="G1188" s="19">
        <v>42887</v>
      </c>
      <c r="H1188" s="19">
        <v>42887</v>
      </c>
      <c r="I1188" s="41" t="s">
        <v>20</v>
      </c>
      <c r="J1188" s="41">
        <v>1</v>
      </c>
      <c r="K1188" s="41" t="s">
        <v>3557</v>
      </c>
      <c r="L1188" s="41">
        <v>16</v>
      </c>
      <c r="M1188" s="41"/>
      <c r="N1188" s="41"/>
      <c r="O1188" s="41" t="s">
        <v>425</v>
      </c>
      <c r="P1188" s="41" t="s">
        <v>2767</v>
      </c>
      <c r="Q1188" s="43">
        <v>492</v>
      </c>
      <c r="R1188" s="43">
        <f>VALUE(SUBSTITUTE(P1188,"+",","))</f>
        <v>602.67499999999995</v>
      </c>
      <c r="S1188" s="60" t="s">
        <v>2753</v>
      </c>
      <c r="T1188" s="48" t="str">
        <f t="shared" si="126"/>
        <v>(23,'PS-23-GR5','Poste de Sectionnement n°23 GR5','Thursday-06-jj','Thursday-06-jj',NULL,1,),</v>
      </c>
    </row>
    <row r="1189" spans="1:20" ht="20.100000000000001" customHeight="1" x14ac:dyDescent="0.25">
      <c r="A1189" s="38">
        <v>24</v>
      </c>
      <c r="B1189" s="38">
        <v>1194</v>
      </c>
      <c r="C1189" s="38" t="s">
        <v>675</v>
      </c>
      <c r="D1189" s="38">
        <v>22</v>
      </c>
      <c r="E1189" s="39" t="str">
        <f>CONCATENATE("PS-",TEXT(A1189,"00"),"-",O1189)</f>
        <v>PS-24-GR5</v>
      </c>
      <c r="F1189" s="48" t="str">
        <f>CONCATENATE("Poste de Sectionnement n°",TEXT(A1189,"00")," ",O1189)</f>
        <v>Poste de Sectionnement n°24 GR5</v>
      </c>
      <c r="G1189" s="19">
        <v>42887</v>
      </c>
      <c r="H1189" s="19">
        <v>42887</v>
      </c>
      <c r="I1189" s="41" t="s">
        <v>20</v>
      </c>
      <c r="J1189" s="41">
        <v>1</v>
      </c>
      <c r="K1189" s="41" t="s">
        <v>3557</v>
      </c>
      <c r="L1189" s="41">
        <v>16</v>
      </c>
      <c r="M1189" s="41"/>
      <c r="N1189" s="41"/>
      <c r="O1189" s="41" t="s">
        <v>425</v>
      </c>
      <c r="P1189" s="41" t="s">
        <v>2768</v>
      </c>
      <c r="Q1189" s="43">
        <v>511</v>
      </c>
      <c r="R1189" s="43">
        <f>VALUE(SUBSTITUTE(P1189,"+",","))</f>
        <v>626.26099999999997</v>
      </c>
      <c r="S1189" s="60" t="s">
        <v>2756</v>
      </c>
      <c r="T1189" s="48" t="str">
        <f t="shared" si="126"/>
        <v>(24,'PS-24-GR5','Poste de Sectionnement n°24 GR5','Thursday-06-jj','Thursday-06-jj',NULL,1,),</v>
      </c>
    </row>
    <row r="1190" spans="1:20" ht="20.100000000000001" customHeight="1" x14ac:dyDescent="0.25">
      <c r="A1190" s="38">
        <v>6</v>
      </c>
      <c r="B1190" s="38">
        <v>1195</v>
      </c>
      <c r="C1190" s="38" t="s">
        <v>675</v>
      </c>
      <c r="D1190" s="38">
        <v>22</v>
      </c>
      <c r="E1190" s="45" t="str">
        <f>CONCATENATE("PC-",TEXT(A1190,"00"),"-",O1190)</f>
        <v>PC-06-GR5</v>
      </c>
      <c r="F1190" s="48" t="str">
        <f>CONCATENATE("Poste de Coupure n°",TEXT(A1190,"00")," ",O1190)</f>
        <v>Poste de Coupure n°06 GR5</v>
      </c>
      <c r="G1190" s="19">
        <v>42887</v>
      </c>
      <c r="H1190" s="19">
        <v>42887</v>
      </c>
      <c r="I1190" s="41" t="s">
        <v>20</v>
      </c>
      <c r="J1190" s="41">
        <v>1</v>
      </c>
      <c r="K1190" s="41" t="s">
        <v>3556</v>
      </c>
      <c r="L1190" s="41">
        <v>15</v>
      </c>
      <c r="M1190" s="41"/>
      <c r="N1190" s="41"/>
      <c r="O1190" s="41" t="s">
        <v>425</v>
      </c>
      <c r="P1190" s="41" t="s">
        <v>2749</v>
      </c>
      <c r="Q1190" s="49">
        <f>VALUE(RIGHT(P1190,LEN(P1190)-SEARCH("/",P1190)))</f>
        <v>538</v>
      </c>
      <c r="R1190" s="43">
        <f>VALUE(SUBSTITUTE(LEFT(P1190,SEARCH("/",P1190)-1),"+",","))</f>
        <v>649.55899999999997</v>
      </c>
      <c r="S1190" s="60" t="s">
        <v>2760</v>
      </c>
      <c r="T1190" s="48" t="str">
        <f t="shared" si="126"/>
        <v>(6,'PC-06-GR5','Poste de Coupure n°06 GR5','Thursday-06-jj','Thursday-06-jj',NULL,1,),</v>
      </c>
    </row>
    <row r="1191" spans="1:20" ht="20.100000000000001" customHeight="1" x14ac:dyDescent="0.25">
      <c r="A1191" s="38">
        <v>25</v>
      </c>
      <c r="B1191" s="38">
        <v>1196</v>
      </c>
      <c r="C1191" s="38" t="s">
        <v>675</v>
      </c>
      <c r="D1191" s="38">
        <v>22</v>
      </c>
      <c r="E1191" s="39" t="str">
        <f>CONCATENATE("PS-",TEXT(A1191,"00"),"-",O1191)</f>
        <v>PS-25-GR5</v>
      </c>
      <c r="F1191" s="48" t="str">
        <f>CONCATENATE("Poste de Sectionnement n°",TEXT(A1191,"00")," ",O1191)</f>
        <v>Poste de Sectionnement n°25 GR5</v>
      </c>
      <c r="G1191" s="19">
        <v>42887</v>
      </c>
      <c r="H1191" s="19">
        <v>42887</v>
      </c>
      <c r="I1191" s="41" t="s">
        <v>20</v>
      </c>
      <c r="J1191" s="41">
        <v>1</v>
      </c>
      <c r="K1191" s="41" t="s">
        <v>3557</v>
      </c>
      <c r="L1191" s="41">
        <v>16</v>
      </c>
      <c r="M1191" s="41"/>
      <c r="N1191" s="41"/>
      <c r="O1191" s="41" t="s">
        <v>425</v>
      </c>
      <c r="P1191" s="41" t="s">
        <v>2769</v>
      </c>
      <c r="Q1191" s="43">
        <v>676</v>
      </c>
      <c r="R1191" s="43">
        <f>VALUE(SUBSTITUTE(P1191,"+",","))</f>
        <v>672.21500000000003</v>
      </c>
      <c r="S1191" s="60" t="s">
        <v>2774</v>
      </c>
      <c r="T1191" s="48" t="str">
        <f t="shared" si="126"/>
        <v>(25,'PS-25-GR5','Poste de Sectionnement n°25 GR5','Thursday-06-jj','Thursday-06-jj',NULL,1,),</v>
      </c>
    </row>
    <row r="1192" spans="1:20" ht="20.100000000000001" customHeight="1" x14ac:dyDescent="0.25">
      <c r="A1192" s="38">
        <v>26</v>
      </c>
      <c r="B1192" s="38">
        <v>1197</v>
      </c>
      <c r="C1192" s="38" t="s">
        <v>675</v>
      </c>
      <c r="D1192" s="38">
        <v>22</v>
      </c>
      <c r="E1192" s="39" t="str">
        <f>CONCATENATE("PS-",TEXT(A1192,"00"),"-",O1192)</f>
        <v>PS-26-GR5</v>
      </c>
      <c r="F1192" s="48" t="str">
        <f>CONCATENATE("Poste de Sectionnement n°",TEXT(A1192,"00")," ",O1192)</f>
        <v>Poste de Sectionnement n°26 GR5</v>
      </c>
      <c r="G1192" s="19">
        <v>42887</v>
      </c>
      <c r="H1192" s="19">
        <v>42887</v>
      </c>
      <c r="I1192" s="41" t="s">
        <v>20</v>
      </c>
      <c r="J1192" s="41">
        <v>1</v>
      </c>
      <c r="K1192" s="41" t="s">
        <v>3557</v>
      </c>
      <c r="L1192" s="41">
        <v>16</v>
      </c>
      <c r="M1192" s="41"/>
      <c r="N1192" s="41"/>
      <c r="O1192" s="41" t="s">
        <v>425</v>
      </c>
      <c r="P1192" s="41" t="s">
        <v>2770</v>
      </c>
      <c r="Q1192" s="43">
        <v>679</v>
      </c>
      <c r="R1192" s="43">
        <f>VALUE(SUBSTITUTE(P1192,"+",","))</f>
        <v>695.274</v>
      </c>
      <c r="S1192" s="60" t="s">
        <v>2775</v>
      </c>
      <c r="T1192" s="48" t="str">
        <f t="shared" si="126"/>
        <v>(26,'PS-26-GR5','Poste de Sectionnement n°26 GR5','Thursday-06-jj','Thursday-06-jj',NULL,1,),</v>
      </c>
    </row>
    <row r="1193" spans="1:20" ht="20.100000000000001" customHeight="1" x14ac:dyDescent="0.25">
      <c r="A1193" s="38">
        <v>27</v>
      </c>
      <c r="B1193" s="38">
        <v>1198</v>
      </c>
      <c r="C1193" s="38" t="s">
        <v>675</v>
      </c>
      <c r="D1193" s="38">
        <v>22</v>
      </c>
      <c r="E1193" s="39" t="str">
        <f>CONCATENATE("PS-",TEXT(A1193,"00"),"-",O1193)</f>
        <v>PS-27-GR5</v>
      </c>
      <c r="F1193" s="48" t="str">
        <f>CONCATENATE("Poste de Sectionnement n°",TEXT(A1193,"00")," ",O1193)</f>
        <v>Poste de Sectionnement n°27 GR5</v>
      </c>
      <c r="G1193" s="19">
        <v>42887</v>
      </c>
      <c r="H1193" s="19">
        <v>42887</v>
      </c>
      <c r="I1193" s="41" t="s">
        <v>20</v>
      </c>
      <c r="J1193" s="41">
        <v>1</v>
      </c>
      <c r="K1193" s="41" t="s">
        <v>3557</v>
      </c>
      <c r="L1193" s="41">
        <v>16</v>
      </c>
      <c r="M1193" s="41"/>
      <c r="N1193" s="41"/>
      <c r="O1193" s="41" t="s">
        <v>425</v>
      </c>
      <c r="P1193" s="41" t="s">
        <v>2771</v>
      </c>
      <c r="Q1193" s="43">
        <v>720</v>
      </c>
      <c r="R1193" s="43">
        <f>VALUE(SUBSTITUTE(P1193,"+",","))</f>
        <v>718.18399999999997</v>
      </c>
      <c r="S1193" s="60" t="s">
        <v>2776</v>
      </c>
      <c r="T1193" s="48" t="str">
        <f t="shared" si="126"/>
        <v>(27,'PS-27-GR5','Poste de Sectionnement n°27 GR5','Thursday-06-jj','Thursday-06-jj',NULL,1,),</v>
      </c>
    </row>
    <row r="1194" spans="1:20" ht="20.100000000000001" customHeight="1" x14ac:dyDescent="0.25">
      <c r="A1194" s="38">
        <v>28</v>
      </c>
      <c r="B1194" s="38">
        <v>1199</v>
      </c>
      <c r="C1194" s="38" t="s">
        <v>675</v>
      </c>
      <c r="D1194" s="38">
        <v>22</v>
      </c>
      <c r="E1194" s="39" t="str">
        <f>CONCATENATE("PS-",TEXT(A1194,"00"),"-",O1194)</f>
        <v>PS-28-GR5</v>
      </c>
      <c r="F1194" s="48" t="str">
        <f>CONCATENATE("Poste de Sectionnement n°",TEXT(A1194,"00")," ",O1194)</f>
        <v>Poste de Sectionnement n°28 GR5</v>
      </c>
      <c r="G1194" s="19">
        <v>42887</v>
      </c>
      <c r="H1194" s="19">
        <v>42887</v>
      </c>
      <c r="I1194" s="41" t="s">
        <v>20</v>
      </c>
      <c r="J1194" s="41">
        <v>1</v>
      </c>
      <c r="K1194" s="41" t="s">
        <v>3557</v>
      </c>
      <c r="L1194" s="41">
        <v>16</v>
      </c>
      <c r="M1194" s="41"/>
      <c r="N1194" s="41"/>
      <c r="O1194" s="41" t="s">
        <v>425</v>
      </c>
      <c r="P1194" s="41" t="s">
        <v>2772</v>
      </c>
      <c r="Q1194" s="43">
        <v>750</v>
      </c>
      <c r="R1194" s="43">
        <f>VALUE(SUBSTITUTE(P1194,"+",","))</f>
        <v>741.23</v>
      </c>
      <c r="S1194" s="60" t="s">
        <v>2776</v>
      </c>
      <c r="T1194" s="48" t="str">
        <f t="shared" si="126"/>
        <v>(28,'PS-28-GR5','Poste de Sectionnement n°28 GR5','Thursday-06-jj','Thursday-06-jj',NULL,1,),</v>
      </c>
    </row>
    <row r="1195" spans="1:20" ht="20.100000000000001" customHeight="1" x14ac:dyDescent="0.25">
      <c r="A1195" s="38">
        <v>7</v>
      </c>
      <c r="B1195" s="38">
        <v>1200</v>
      </c>
      <c r="C1195" s="38" t="s">
        <v>675</v>
      </c>
      <c r="D1195" s="38">
        <v>22</v>
      </c>
      <c r="E1195" s="45" t="str">
        <f>CONCATENATE("PC-",TEXT(A1195,"00"),"-",O1195)</f>
        <v>PC-07-GR5</v>
      </c>
      <c r="F1195" s="48" t="str">
        <f>CONCATENATE("Poste de Coupure n°",TEXT(A1195,"00")," ",O1195)</f>
        <v>Poste de Coupure n°07 GR5</v>
      </c>
      <c r="G1195" s="19">
        <v>42887</v>
      </c>
      <c r="H1195" s="19">
        <v>42887</v>
      </c>
      <c r="I1195" s="41" t="s">
        <v>20</v>
      </c>
      <c r="J1195" s="41">
        <v>1</v>
      </c>
      <c r="K1195" s="41" t="s">
        <v>3556</v>
      </c>
      <c r="L1195" s="41">
        <v>15</v>
      </c>
      <c r="M1195" s="41"/>
      <c r="N1195" s="41"/>
      <c r="O1195" s="41" t="s">
        <v>425</v>
      </c>
      <c r="P1195" s="41" t="s">
        <v>2750</v>
      </c>
      <c r="Q1195" s="49">
        <f>VALUE(RIGHT(P1195,LEN(P1195)-SEARCH("/",P1195)))</f>
        <v>763</v>
      </c>
      <c r="R1195" s="43">
        <f>VALUE(SUBSTITUTE(LEFT(P1195,SEARCH("/",P1195)-1),"+",","))</f>
        <v>762.59</v>
      </c>
      <c r="S1195" s="60" t="s">
        <v>2759</v>
      </c>
      <c r="T1195" s="48" t="str">
        <f t="shared" si="126"/>
        <v>(7,'PC-07-GR5','Poste de Coupure n°07 GR5','Thursday-06-jj','Thursday-06-jj',NULL,1,),</v>
      </c>
    </row>
    <row r="1196" spans="1:20" ht="20.100000000000001" customHeight="1" x14ac:dyDescent="0.25">
      <c r="A1196" s="38">
        <v>1</v>
      </c>
      <c r="B1196" s="38">
        <v>1201</v>
      </c>
      <c r="C1196" s="38" t="s">
        <v>675</v>
      </c>
      <c r="D1196" s="38">
        <v>22</v>
      </c>
      <c r="E1196" s="39" t="s">
        <v>2728</v>
      </c>
      <c r="F1196" s="48" t="str">
        <f>CONCATENATE("Station de Compression ",E1196)</f>
        <v>Station de Compression SC-HR-GR5</v>
      </c>
      <c r="G1196" s="19">
        <v>42736</v>
      </c>
      <c r="H1196" s="19">
        <v>42736</v>
      </c>
      <c r="I1196" s="41" t="s">
        <v>20</v>
      </c>
      <c r="J1196" s="41">
        <v>1</v>
      </c>
      <c r="K1196" s="41" t="s">
        <v>3554</v>
      </c>
      <c r="L1196" s="41">
        <v>8</v>
      </c>
      <c r="M1196" s="41">
        <v>10</v>
      </c>
      <c r="N1196" s="41"/>
      <c r="O1196" s="41" t="s">
        <v>425</v>
      </c>
      <c r="P1196" s="41" t="s">
        <v>2750</v>
      </c>
      <c r="Q1196" s="49">
        <f>VALUE(RIGHT(P1196,LEN(P1196)-SEARCH("/",P1196)))</f>
        <v>763</v>
      </c>
      <c r="R1196" s="43">
        <f>VALUE(SUBSTITUTE(LEFT(P1196,SEARCH("/",P1196)-1),"+",","))</f>
        <v>762.59</v>
      </c>
      <c r="S1196" s="58" t="s">
        <v>3590</v>
      </c>
      <c r="T1196" s="48" t="str">
        <f t="shared" si="126"/>
        <v>(1,'SC-HR-GR5','Station de Compression SC-HR-GR5','Sunday-01-jj','Sunday-01-jj',NULL,1,10),</v>
      </c>
    </row>
    <row r="1197" spans="1:20" ht="20.100000000000001" customHeight="1" x14ac:dyDescent="0.25">
      <c r="A1197" s="38">
        <v>1</v>
      </c>
      <c r="B1197" s="38">
        <v>1202</v>
      </c>
      <c r="C1197" s="38" t="s">
        <v>675</v>
      </c>
      <c r="D1197" s="38">
        <v>22</v>
      </c>
      <c r="E1197" s="39" t="str">
        <f>CONCATENATE("PS-",TEXT(A1197,"00"),"-",O1197)</f>
        <v>PS-01-GR7</v>
      </c>
      <c r="F1197" s="48" t="str">
        <f>CONCATENATE("Poste de Sectionnement n°",TEXT(A1197,"00")," ",O1197)</f>
        <v>Poste de Sectionnement n°01 GR7</v>
      </c>
      <c r="G1197" s="19">
        <v>43830</v>
      </c>
      <c r="H1197" s="19">
        <v>43830</v>
      </c>
      <c r="I1197" s="41" t="s">
        <v>20</v>
      </c>
      <c r="J1197" s="41">
        <v>1</v>
      </c>
      <c r="K1197" s="41" t="s">
        <v>3557</v>
      </c>
      <c r="L1197" s="41">
        <v>16</v>
      </c>
      <c r="M1197" s="41"/>
      <c r="N1197" s="41"/>
      <c r="O1197" s="41" t="s">
        <v>431</v>
      </c>
      <c r="P1197" s="41">
        <v>22</v>
      </c>
      <c r="Q1197" s="43">
        <v>414</v>
      </c>
      <c r="R1197" s="43">
        <f>VALUE(SUBSTITUTE(P1197,"+",","))</f>
        <v>22</v>
      </c>
      <c r="S1197" s="41" t="s">
        <v>2777</v>
      </c>
      <c r="T1197" s="48" t="str">
        <f t="shared" si="126"/>
        <v>(1,'PS-01-GR7','Poste de Sectionnement n°01 GR7','Tuesday-12-jj','Tuesday-12-jj',NULL,1,),</v>
      </c>
    </row>
    <row r="1198" spans="1:20" ht="20.100000000000001" customHeight="1" x14ac:dyDescent="0.25">
      <c r="A1198" s="38">
        <v>2</v>
      </c>
      <c r="B1198" s="38">
        <v>1203</v>
      </c>
      <c r="C1198" s="38" t="s">
        <v>675</v>
      </c>
      <c r="D1198" s="38">
        <v>22</v>
      </c>
      <c r="E1198" s="39" t="str">
        <f>CONCATENATE("PS-",TEXT(A1198,"00"),"-",O1198)</f>
        <v>PS-02-GR7</v>
      </c>
      <c r="F1198" s="48" t="str">
        <f>CONCATENATE("Poste de Sectionnement n°",TEXT(A1198,"00")," ",O1198)</f>
        <v>Poste de Sectionnement n°02 GR7</v>
      </c>
      <c r="G1198" s="19">
        <v>43830</v>
      </c>
      <c r="H1198" s="19">
        <v>43830</v>
      </c>
      <c r="I1198" s="41" t="s">
        <v>20</v>
      </c>
      <c r="J1198" s="41">
        <v>1</v>
      </c>
      <c r="K1198" s="41" t="s">
        <v>3557</v>
      </c>
      <c r="L1198" s="41">
        <v>16</v>
      </c>
      <c r="M1198" s="41"/>
      <c r="N1198" s="41"/>
      <c r="O1198" s="41" t="s">
        <v>431</v>
      </c>
      <c r="P1198" s="41">
        <v>46</v>
      </c>
      <c r="Q1198" s="43">
        <v>383</v>
      </c>
      <c r="R1198" s="43">
        <f>VALUE(SUBSTITUTE(P1198,"+",","))</f>
        <v>46</v>
      </c>
      <c r="S1198" s="41" t="s">
        <v>2777</v>
      </c>
      <c r="T1198" s="48" t="str">
        <f t="shared" si="126"/>
        <v>(2,'PS-02-GR7','Poste de Sectionnement n°02 GR7','Tuesday-12-jj','Tuesday-12-jj',NULL,1,),</v>
      </c>
    </row>
    <row r="1199" spans="1:20" ht="20.100000000000001" customHeight="1" x14ac:dyDescent="0.25">
      <c r="A1199" s="38">
        <v>3</v>
      </c>
      <c r="B1199" s="38">
        <v>1204</v>
      </c>
      <c r="C1199" s="38" t="s">
        <v>675</v>
      </c>
      <c r="D1199" s="38">
        <v>22</v>
      </c>
      <c r="E1199" s="39" t="str">
        <f>CONCATENATE("PS-",TEXT(A1199,"00"),"-",O1199)</f>
        <v>PS-03-GR7</v>
      </c>
      <c r="F1199" s="48" t="str">
        <f>CONCATENATE("Poste de Sectionnement n°",TEXT(A1199,"00")," ",O1199)</f>
        <v>Poste de Sectionnement n°03 GR7</v>
      </c>
      <c r="G1199" s="19">
        <v>43830</v>
      </c>
      <c r="H1199" s="19">
        <v>43830</v>
      </c>
      <c r="I1199" s="41" t="s">
        <v>20</v>
      </c>
      <c r="J1199" s="41">
        <v>1</v>
      </c>
      <c r="K1199" s="41" t="s">
        <v>3557</v>
      </c>
      <c r="L1199" s="41">
        <v>16</v>
      </c>
      <c r="M1199" s="41"/>
      <c r="N1199" s="41"/>
      <c r="O1199" s="41" t="s">
        <v>431</v>
      </c>
      <c r="P1199" s="41">
        <v>69</v>
      </c>
      <c r="Q1199" s="43">
        <v>404</v>
      </c>
      <c r="R1199" s="43">
        <f>VALUE(SUBSTITUTE(P1199,"+",","))</f>
        <v>69</v>
      </c>
      <c r="S1199" s="41" t="s">
        <v>2777</v>
      </c>
      <c r="T1199" s="48" t="str">
        <f t="shared" si="126"/>
        <v>(3,'PS-03-GR7','Poste de Sectionnement n°03 GR7','Tuesday-12-jj','Tuesday-12-jj',NULL,1,),</v>
      </c>
    </row>
    <row r="1200" spans="1:20" ht="20.100000000000001" customHeight="1" x14ac:dyDescent="0.25">
      <c r="A1200" s="38">
        <v>4</v>
      </c>
      <c r="B1200" s="38">
        <v>1205</v>
      </c>
      <c r="C1200" s="38" t="s">
        <v>675</v>
      </c>
      <c r="D1200" s="38">
        <v>22</v>
      </c>
      <c r="E1200" s="39" t="str">
        <f>CONCATENATE("PS-",TEXT(A1200,"00"),"-",O1200)</f>
        <v>PS-04-GR7</v>
      </c>
      <c r="F1200" s="48" t="str">
        <f>CONCATENATE("Poste de Sectionnement n°",TEXT(A1200,"00")," ",O1200)</f>
        <v>Poste de Sectionnement n°04 GR7</v>
      </c>
      <c r="G1200" s="19">
        <v>43830</v>
      </c>
      <c r="H1200" s="19">
        <v>43830</v>
      </c>
      <c r="I1200" s="41" t="s">
        <v>20</v>
      </c>
      <c r="J1200" s="41">
        <v>1</v>
      </c>
      <c r="K1200" s="41" t="s">
        <v>3557</v>
      </c>
      <c r="L1200" s="41">
        <v>16</v>
      </c>
      <c r="M1200" s="41"/>
      <c r="N1200" s="41"/>
      <c r="O1200" s="41" t="s">
        <v>431</v>
      </c>
      <c r="P1200" s="41">
        <v>91</v>
      </c>
      <c r="Q1200" s="43">
        <v>457</v>
      </c>
      <c r="R1200" s="43">
        <f>VALUE(SUBSTITUTE(P1200,"+",","))</f>
        <v>91</v>
      </c>
      <c r="S1200" s="41" t="s">
        <v>2778</v>
      </c>
      <c r="T1200" s="48" t="str">
        <f t="shared" si="126"/>
        <v>(4,'PS-04-GR7','Poste de Sectionnement n°04 GR7','Tuesday-12-jj','Tuesday-12-jj',NULL,1,),</v>
      </c>
    </row>
    <row r="1201" spans="1:20" ht="20.100000000000001" customHeight="1" x14ac:dyDescent="0.25">
      <c r="A1201" s="38">
        <v>1</v>
      </c>
      <c r="B1201" s="38">
        <v>1206</v>
      </c>
      <c r="C1201" s="38" t="s">
        <v>675</v>
      </c>
      <c r="D1201" s="38">
        <v>22</v>
      </c>
      <c r="E1201" s="45" t="str">
        <f>CONCATENATE("PC-",TEXT(A1201,"00"),"-",O1201)</f>
        <v>PC-01-GR7</v>
      </c>
      <c r="F1201" s="48" t="str">
        <f>CONCATENATE("Poste de Coupure n°",TEXT(A1201,"00")," ",O1201)</f>
        <v>Poste de Coupure n°01 GR7</v>
      </c>
      <c r="G1201" s="19">
        <v>43830</v>
      </c>
      <c r="H1201" s="19">
        <v>43830</v>
      </c>
      <c r="I1201" s="41" t="s">
        <v>20</v>
      </c>
      <c r="J1201" s="41">
        <v>1</v>
      </c>
      <c r="K1201" s="41" t="s">
        <v>3556</v>
      </c>
      <c r="L1201" s="41">
        <v>15</v>
      </c>
      <c r="M1201" s="41"/>
      <c r="N1201" s="41"/>
      <c r="O1201" s="41" t="s">
        <v>431</v>
      </c>
      <c r="P1201" s="41" t="s">
        <v>2754</v>
      </c>
      <c r="Q1201" s="49">
        <f>VALUE(RIGHT(P1201,LEN(P1201)-SEARCH("/",P1201)))</f>
        <v>458</v>
      </c>
      <c r="R1201" s="43">
        <f>VALUE(SUBSTITUTE(LEFT(P1201,SEARCH("/",P1201)-1),"+",","))</f>
        <v>115</v>
      </c>
      <c r="S1201" s="41" t="s">
        <v>2757</v>
      </c>
      <c r="T1201" s="48" t="str">
        <f t="shared" si="126"/>
        <v>(1,'PC-01-GR7','Poste de Coupure n°01 GR7','Tuesday-12-jj','Tuesday-12-jj',NULL,1,),</v>
      </c>
    </row>
    <row r="1202" spans="1:20" ht="20.100000000000001" customHeight="1" x14ac:dyDescent="0.25">
      <c r="A1202" s="38">
        <v>2</v>
      </c>
      <c r="B1202" s="38">
        <v>1207</v>
      </c>
      <c r="C1202" s="38" t="s">
        <v>675</v>
      </c>
      <c r="D1202" s="38">
        <v>22</v>
      </c>
      <c r="E1202" s="39" t="s">
        <v>2910</v>
      </c>
      <c r="F1202" s="48" t="str">
        <f>CONCATENATE("Station de Compression ",E1202)</f>
        <v>Station de Compression SC1-GR7</v>
      </c>
      <c r="G1202" s="19">
        <v>41323</v>
      </c>
      <c r="H1202" s="19">
        <v>42026</v>
      </c>
      <c r="I1202" s="41" t="s">
        <v>20</v>
      </c>
      <c r="J1202" s="41">
        <v>2</v>
      </c>
      <c r="K1202" s="41" t="s">
        <v>3554</v>
      </c>
      <c r="L1202" s="41">
        <v>8</v>
      </c>
      <c r="M1202" s="41">
        <v>10</v>
      </c>
      <c r="N1202" s="41"/>
      <c r="O1202" s="41" t="s">
        <v>431</v>
      </c>
      <c r="P1202" s="41" t="s">
        <v>2754</v>
      </c>
      <c r="Q1202" s="49">
        <f>VALUE(RIGHT(P1202,LEN(P1202)-SEARCH("/",P1202)))</f>
        <v>458</v>
      </c>
      <c r="R1202" s="43">
        <f>VALUE(SUBSTITUTE(LEFT(P1202,SEARCH("/",P1202)-1),"+",","))</f>
        <v>115</v>
      </c>
      <c r="S1202" s="41" t="s">
        <v>2778</v>
      </c>
      <c r="T1202" s="48" t="str">
        <f t="shared" si="126"/>
        <v>(2,'SC1-GR7','Station de Compression SC1-GR7','Monday-02-jj','Thursday-01-jj',NULL,2,10),</v>
      </c>
    </row>
    <row r="1203" spans="1:20" ht="20.100000000000001" customHeight="1" x14ac:dyDescent="0.25">
      <c r="A1203" s="38">
        <v>5</v>
      </c>
      <c r="B1203" s="38">
        <v>1208</v>
      </c>
      <c r="C1203" s="38" t="s">
        <v>675</v>
      </c>
      <c r="D1203" s="38">
        <v>22</v>
      </c>
      <c r="E1203" s="39" t="str">
        <f>CONCATENATE("PS-",TEXT(A1203,"00"),"-",O1203)</f>
        <v>PS-05-GR7</v>
      </c>
      <c r="F1203" s="48" t="str">
        <f>CONCATENATE("Poste de Sectionnement n°",TEXT(A1203,"00")," ",O1203)</f>
        <v>Poste de Sectionnement n°05 GR7</v>
      </c>
      <c r="G1203" s="19">
        <v>43830</v>
      </c>
      <c r="H1203" s="19">
        <v>43830</v>
      </c>
      <c r="I1203" s="41" t="s">
        <v>20</v>
      </c>
      <c r="J1203" s="41">
        <v>1</v>
      </c>
      <c r="K1203" s="41" t="s">
        <v>3557</v>
      </c>
      <c r="L1203" s="41">
        <v>16</v>
      </c>
      <c r="M1203" s="41"/>
      <c r="N1203" s="41"/>
      <c r="O1203" s="41" t="s">
        <v>431</v>
      </c>
      <c r="P1203" s="41">
        <v>139</v>
      </c>
      <c r="Q1203" s="43">
        <v>497</v>
      </c>
      <c r="R1203" s="43">
        <f>VALUE(SUBSTITUTE(P1203,"+",","))</f>
        <v>139</v>
      </c>
      <c r="S1203" s="41" t="s">
        <v>2778</v>
      </c>
      <c r="T1203" s="48" t="str">
        <f t="shared" si="126"/>
        <v>(5,'PS-05-GR7','Poste de Sectionnement n°05 GR7','Tuesday-12-jj','Tuesday-12-jj',NULL,1,),</v>
      </c>
    </row>
    <row r="1204" spans="1:20" ht="20.100000000000001" customHeight="1" x14ac:dyDescent="0.25">
      <c r="A1204" s="38">
        <v>6</v>
      </c>
      <c r="B1204" s="38">
        <v>1209</v>
      </c>
      <c r="C1204" s="38" t="s">
        <v>675</v>
      </c>
      <c r="D1204" s="38">
        <v>22</v>
      </c>
      <c r="E1204" s="39" t="str">
        <f>CONCATENATE("PS-",TEXT(A1204,"00"),"-",O1204)</f>
        <v>PS-06-GR7</v>
      </c>
      <c r="F1204" s="48" t="str">
        <f>CONCATENATE("Poste de Sectionnement n°",TEXT(A1204,"00")," ",O1204)</f>
        <v>Poste de Sectionnement n°06 GR7</v>
      </c>
      <c r="G1204" s="19">
        <v>43830</v>
      </c>
      <c r="H1204" s="19">
        <v>43830</v>
      </c>
      <c r="I1204" s="41" t="s">
        <v>20</v>
      </c>
      <c r="J1204" s="41">
        <v>1</v>
      </c>
      <c r="K1204" s="41" t="s">
        <v>3557</v>
      </c>
      <c r="L1204" s="41">
        <v>16</v>
      </c>
      <c r="M1204" s="41"/>
      <c r="N1204" s="41"/>
      <c r="O1204" s="41" t="s">
        <v>431</v>
      </c>
      <c r="P1204" s="41">
        <v>161</v>
      </c>
      <c r="Q1204" s="43">
        <v>507</v>
      </c>
      <c r="R1204" s="43">
        <f>VALUE(SUBSTITUTE(P1204,"+",","))</f>
        <v>161</v>
      </c>
      <c r="S1204" s="41" t="s">
        <v>2778</v>
      </c>
      <c r="T1204" s="48" t="str">
        <f t="shared" si="126"/>
        <v>(6,'PS-06-GR7','Poste de Sectionnement n°06 GR7','Tuesday-12-jj','Tuesday-12-jj',NULL,1,),</v>
      </c>
    </row>
    <row r="1205" spans="1:20" ht="20.100000000000001" customHeight="1" x14ac:dyDescent="0.25">
      <c r="A1205" s="38">
        <v>7</v>
      </c>
      <c r="B1205" s="38">
        <v>1210</v>
      </c>
      <c r="C1205" s="38" t="s">
        <v>675</v>
      </c>
      <c r="D1205" s="38">
        <v>22</v>
      </c>
      <c r="E1205" s="39" t="str">
        <f>CONCATENATE("PS-",TEXT(A1205,"00"),"-",O1205)</f>
        <v>PS-07-GR7</v>
      </c>
      <c r="F1205" s="48" t="str">
        <f>CONCATENATE("Poste de Sectionnement n°",TEXT(A1205,"00")," ",O1205)</f>
        <v>Poste de Sectionnement n°07 GR7</v>
      </c>
      <c r="G1205" s="19">
        <v>43830</v>
      </c>
      <c r="H1205" s="19">
        <v>43830</v>
      </c>
      <c r="I1205" s="41" t="s">
        <v>20</v>
      </c>
      <c r="J1205" s="41">
        <v>1</v>
      </c>
      <c r="K1205" s="41" t="s">
        <v>3557</v>
      </c>
      <c r="L1205" s="41">
        <v>16</v>
      </c>
      <c r="M1205" s="41"/>
      <c r="N1205" s="41"/>
      <c r="O1205" s="41" t="s">
        <v>431</v>
      </c>
      <c r="P1205" s="41">
        <v>185</v>
      </c>
      <c r="Q1205" s="43">
        <v>492</v>
      </c>
      <c r="R1205" s="43">
        <f>VALUE(SUBSTITUTE(P1205,"+",","))</f>
        <v>185</v>
      </c>
      <c r="S1205" s="41" t="s">
        <v>2778</v>
      </c>
      <c r="T1205" s="48" t="str">
        <f t="shared" si="126"/>
        <v>(7,'PS-07-GR7','Poste de Sectionnement n°07 GR7','Tuesday-12-jj','Tuesday-12-jj',NULL,1,),</v>
      </c>
    </row>
    <row r="1206" spans="1:20" ht="20.100000000000001" customHeight="1" x14ac:dyDescent="0.25">
      <c r="A1206" s="38">
        <v>8</v>
      </c>
      <c r="B1206" s="38">
        <v>1211</v>
      </c>
      <c r="C1206" s="38" t="s">
        <v>675</v>
      </c>
      <c r="D1206" s="38">
        <v>22</v>
      </c>
      <c r="E1206" s="39" t="str">
        <f>CONCATENATE("PS-",TEXT(A1206,"00"),"-",O1206)</f>
        <v>PS-08-GR7</v>
      </c>
      <c r="F1206" s="48" t="str">
        <f>CONCATENATE("Poste de Sectionnement n°",TEXT(A1206,"00")," ",O1206)</f>
        <v>Poste de Sectionnement n°08 GR7</v>
      </c>
      <c r="G1206" s="19">
        <v>43830</v>
      </c>
      <c r="H1206" s="19">
        <v>43830</v>
      </c>
      <c r="I1206" s="41" t="s">
        <v>20</v>
      </c>
      <c r="J1206" s="41">
        <v>1</v>
      </c>
      <c r="K1206" s="41" t="s">
        <v>3557</v>
      </c>
      <c r="L1206" s="41">
        <v>16</v>
      </c>
      <c r="M1206" s="41"/>
      <c r="N1206" s="41"/>
      <c r="O1206" s="41" t="s">
        <v>431</v>
      </c>
      <c r="P1206" s="41">
        <v>207</v>
      </c>
      <c r="Q1206" s="43">
        <v>511</v>
      </c>
      <c r="R1206" s="43">
        <f>VALUE(SUBSTITUTE(P1206,"+",","))</f>
        <v>207</v>
      </c>
      <c r="S1206" s="41" t="s">
        <v>2778</v>
      </c>
      <c r="T1206" s="48" t="str">
        <f t="shared" si="126"/>
        <v>(8,'PS-08-GR7','Poste de Sectionnement n°08 GR7','Tuesday-12-jj','Tuesday-12-jj',NULL,1,),</v>
      </c>
    </row>
    <row r="1207" spans="1:20" ht="20.100000000000001" customHeight="1" x14ac:dyDescent="0.25">
      <c r="A1207" s="38">
        <v>2</v>
      </c>
      <c r="B1207" s="38">
        <v>1212</v>
      </c>
      <c r="C1207" s="38" t="s">
        <v>675</v>
      </c>
      <c r="D1207" s="38">
        <v>22</v>
      </c>
      <c r="E1207" s="45" t="str">
        <f>CONCATENATE("PC-",TEXT(A1207,"00"),"-",O1207)</f>
        <v>PC-02-GR7</v>
      </c>
      <c r="F1207" s="48" t="str">
        <f>CONCATENATE("Poste de Coupure n°",TEXT(A1207,"00")," ",O1207)</f>
        <v>Poste de Coupure n°02 GR7</v>
      </c>
      <c r="G1207" s="19">
        <v>43830</v>
      </c>
      <c r="H1207" s="19">
        <v>43830</v>
      </c>
      <c r="I1207" s="41" t="s">
        <v>20</v>
      </c>
      <c r="J1207" s="41">
        <v>1</v>
      </c>
      <c r="K1207" s="41" t="s">
        <v>3556</v>
      </c>
      <c r="L1207" s="41">
        <v>15</v>
      </c>
      <c r="M1207" s="41"/>
      <c r="N1207" s="41"/>
      <c r="O1207" s="41" t="s">
        <v>431</v>
      </c>
      <c r="P1207" s="41" t="s">
        <v>2755</v>
      </c>
      <c r="Q1207" s="49">
        <f>VALUE(RIGHT(P1207,LEN(P1207)-SEARCH("/",P1207)))</f>
        <v>536</v>
      </c>
      <c r="R1207" s="43">
        <f>VALUE(SUBSTITUTE(LEFT(P1207,SEARCH("/",P1207)-1),"+",","))</f>
        <v>231</v>
      </c>
      <c r="S1207" s="41" t="s">
        <v>2758</v>
      </c>
      <c r="T1207" s="48" t="str">
        <f t="shared" si="126"/>
        <v>(2,'PC-02-GR7','Poste de Coupure n°02 GR7','Tuesday-12-jj','Tuesday-12-jj',NULL,1,),</v>
      </c>
    </row>
    <row r="1208" spans="1:20" ht="20.100000000000001" customHeight="1" x14ac:dyDescent="0.25">
      <c r="A1208" s="38">
        <v>9</v>
      </c>
      <c r="B1208" s="38">
        <v>1213</v>
      </c>
      <c r="C1208" s="38" t="s">
        <v>675</v>
      </c>
      <c r="D1208" s="38">
        <v>22</v>
      </c>
      <c r="E1208" s="39" t="str">
        <f>CONCATENATE("PS-",TEXT(A1208,"00"),"-",O1208)</f>
        <v>PS-09-GR7</v>
      </c>
      <c r="F1208" s="48" t="str">
        <f>CONCATENATE("Poste de Sectionnement n°",TEXT(A1208,"00")," ",O1208)</f>
        <v>Poste de Sectionnement n°09 GR7</v>
      </c>
      <c r="G1208" s="19">
        <v>43830</v>
      </c>
      <c r="H1208" s="19">
        <v>43830</v>
      </c>
      <c r="I1208" s="41" t="s">
        <v>20</v>
      </c>
      <c r="J1208" s="41">
        <v>1</v>
      </c>
      <c r="K1208" s="41" t="s">
        <v>3557</v>
      </c>
      <c r="L1208" s="41">
        <v>16</v>
      </c>
      <c r="M1208" s="41"/>
      <c r="N1208" s="41"/>
      <c r="O1208" s="41" t="s">
        <v>431</v>
      </c>
      <c r="P1208" s="41">
        <v>253</v>
      </c>
      <c r="Q1208" s="43">
        <v>676</v>
      </c>
      <c r="R1208" s="43">
        <f>VALUE(SUBSTITUTE(P1208,"+",","))</f>
        <v>253</v>
      </c>
      <c r="S1208" s="41" t="s">
        <v>2779</v>
      </c>
      <c r="T1208" s="48" t="str">
        <f t="shared" si="126"/>
        <v>(9,'PS-09-GR7','Poste de Sectionnement n°09 GR7','Tuesday-12-jj','Tuesday-12-jj',NULL,1,),</v>
      </c>
    </row>
    <row r="1209" spans="1:20" ht="20.100000000000001" customHeight="1" x14ac:dyDescent="0.25">
      <c r="A1209" s="38">
        <v>10</v>
      </c>
      <c r="B1209" s="38">
        <v>1214</v>
      </c>
      <c r="C1209" s="38" t="s">
        <v>675</v>
      </c>
      <c r="D1209" s="38">
        <v>22</v>
      </c>
      <c r="E1209" s="39" t="str">
        <f>CONCATENATE("PS-",TEXT(A1209,"00"),"-",O1209)</f>
        <v>PS-10-GR7</v>
      </c>
      <c r="F1209" s="48" t="str">
        <f>CONCATENATE("Poste de Sectionnement n°",TEXT(A1209,"00")," ",O1209)</f>
        <v>Poste de Sectionnement n°10 GR7</v>
      </c>
      <c r="G1209" s="19">
        <v>43830</v>
      </c>
      <c r="H1209" s="19">
        <v>43830</v>
      </c>
      <c r="I1209" s="41" t="s">
        <v>20</v>
      </c>
      <c r="J1209" s="41">
        <v>1</v>
      </c>
      <c r="K1209" s="41" t="s">
        <v>3557</v>
      </c>
      <c r="L1209" s="41">
        <v>16</v>
      </c>
      <c r="M1209" s="41"/>
      <c r="N1209" s="41"/>
      <c r="O1209" s="41" t="s">
        <v>431</v>
      </c>
      <c r="P1209" s="41">
        <v>275</v>
      </c>
      <c r="Q1209" s="43">
        <v>679</v>
      </c>
      <c r="R1209" s="43">
        <f>VALUE(SUBSTITUTE(P1209,"+",","))</f>
        <v>275</v>
      </c>
      <c r="S1209" s="41" t="s">
        <v>2780</v>
      </c>
      <c r="T1209" s="48" t="str">
        <f t="shared" si="126"/>
        <v>(10,'PS-10-GR7','Poste de Sectionnement n°10 GR7','Tuesday-12-jj','Tuesday-12-jj',NULL,1,),</v>
      </c>
    </row>
    <row r="1210" spans="1:20" ht="20.100000000000001" customHeight="1" x14ac:dyDescent="0.25">
      <c r="A1210" s="38">
        <v>11</v>
      </c>
      <c r="B1210" s="38">
        <v>1215</v>
      </c>
      <c r="C1210" s="38" t="s">
        <v>675</v>
      </c>
      <c r="D1210" s="38">
        <v>22</v>
      </c>
      <c r="E1210" s="39" t="str">
        <f>CONCATENATE("PS-",TEXT(A1210,"00"),"-",O1210)</f>
        <v>PS-11-GR7</v>
      </c>
      <c r="F1210" s="48" t="str">
        <f>CONCATENATE("Poste de Sectionnement n°",TEXT(A1210,"00")," ",O1210)</f>
        <v>Poste de Sectionnement n°11 GR7</v>
      </c>
      <c r="G1210" s="19">
        <v>43830</v>
      </c>
      <c r="H1210" s="19">
        <v>43830</v>
      </c>
      <c r="I1210" s="41" t="s">
        <v>20</v>
      </c>
      <c r="J1210" s="41">
        <v>1</v>
      </c>
      <c r="K1210" s="41" t="s">
        <v>3557</v>
      </c>
      <c r="L1210" s="41">
        <v>16</v>
      </c>
      <c r="M1210" s="41"/>
      <c r="N1210" s="41"/>
      <c r="O1210" s="41" t="s">
        <v>431</v>
      </c>
      <c r="P1210" s="41">
        <v>299</v>
      </c>
      <c r="Q1210" s="43">
        <v>720</v>
      </c>
      <c r="R1210" s="43">
        <f>VALUE(SUBSTITUTE(P1210,"+",","))</f>
        <v>299</v>
      </c>
      <c r="S1210" s="41" t="s">
        <v>2781</v>
      </c>
      <c r="T1210" s="48" t="str">
        <f t="shared" si="126"/>
        <v>(11,'PS-11-GR7','Poste de Sectionnement n°11 GR7','Tuesday-12-jj','Tuesday-12-jj',NULL,1,),</v>
      </c>
    </row>
    <row r="1211" spans="1:20" ht="20.100000000000001" customHeight="1" x14ac:dyDescent="0.25">
      <c r="A1211" s="38">
        <v>12</v>
      </c>
      <c r="B1211" s="38">
        <v>1216</v>
      </c>
      <c r="C1211" s="38" t="s">
        <v>675</v>
      </c>
      <c r="D1211" s="38">
        <v>22</v>
      </c>
      <c r="E1211" s="39" t="str">
        <f>CONCATENATE("PS-",TEXT(A1211,"00"),"-",O1211)</f>
        <v>PS-12-GR7</v>
      </c>
      <c r="F1211" s="48" t="str">
        <f>CONCATENATE("Poste de Sectionnement n°",TEXT(A1211,"00")," ",O1211)</f>
        <v>Poste de Sectionnement n°12 GR7</v>
      </c>
      <c r="G1211" s="19">
        <v>43830</v>
      </c>
      <c r="H1211" s="19">
        <v>43830</v>
      </c>
      <c r="I1211" s="41" t="s">
        <v>20</v>
      </c>
      <c r="J1211" s="41">
        <v>1</v>
      </c>
      <c r="K1211" s="41" t="s">
        <v>3557</v>
      </c>
      <c r="L1211" s="41">
        <v>16</v>
      </c>
      <c r="M1211" s="41"/>
      <c r="N1211" s="41"/>
      <c r="O1211" s="41" t="s">
        <v>431</v>
      </c>
      <c r="P1211" s="41">
        <v>322</v>
      </c>
      <c r="Q1211" s="43">
        <v>750</v>
      </c>
      <c r="R1211" s="43">
        <f>VALUE(SUBSTITUTE(P1211,"+",","))</f>
        <v>322</v>
      </c>
      <c r="S1211" s="41" t="s">
        <v>2782</v>
      </c>
      <c r="T1211" s="48" t="str">
        <f t="shared" si="126"/>
        <v>(12,'PS-12-GR7','Poste de Sectionnement n°12 GR7','Tuesday-12-jj','Tuesday-12-jj',NULL,1,),</v>
      </c>
    </row>
  </sheetData>
  <autoFilter ref="A2:S1211">
    <sortState ref="A3:S1211">
      <sortCondition ref="D3:D1211"/>
      <sortCondition ref="O3:O1211"/>
      <sortCondition ref="R3:R1211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01"/>
  <sheetViews>
    <sheetView zoomScale="90" zoomScaleNormal="90" workbookViewId="0">
      <pane ySplit="2" topLeftCell="A3" activePane="bottomLeft" state="frozen"/>
      <selection pane="bottomLeft" activeCell="E27" sqref="E27"/>
    </sheetView>
  </sheetViews>
  <sheetFormatPr baseColWidth="10" defaultColWidth="10.85546875" defaultRowHeight="15.75" x14ac:dyDescent="0.25"/>
  <cols>
    <col min="1" max="1" width="5.5703125" style="2" customWidth="1"/>
    <col min="2" max="2" width="17.42578125" style="2" bestFit="1" customWidth="1"/>
    <col min="3" max="3" width="9.85546875" style="2" bestFit="1" customWidth="1"/>
    <col min="4" max="4" width="13.140625" style="2" bestFit="1" customWidth="1"/>
    <col min="5" max="5" width="31.28515625" style="2" bestFit="1" customWidth="1"/>
    <col min="6" max="7" width="15.5703125" style="2" customWidth="1"/>
    <col min="8" max="8" width="17.28515625" style="2" bestFit="1" customWidth="1"/>
    <col min="9" max="9" width="10.140625" style="2" bestFit="1" customWidth="1"/>
    <col min="10" max="10" width="17.85546875" style="2" bestFit="1" customWidth="1"/>
    <col min="11" max="11" width="8.5703125" style="2" bestFit="1" customWidth="1"/>
    <col min="12" max="12" width="10.140625" style="2" bestFit="1" customWidth="1"/>
    <col min="13" max="13" width="89.5703125" style="2" bestFit="1" customWidth="1"/>
    <col min="14" max="16384" width="10.85546875" style="2"/>
  </cols>
  <sheetData>
    <row r="1" spans="1:13" ht="20.100000000000001" customHeight="1" x14ac:dyDescent="0.25">
      <c r="A1" s="1" t="s">
        <v>0</v>
      </c>
      <c r="B1" s="1" t="s">
        <v>496</v>
      </c>
      <c r="C1" s="1" t="s">
        <v>497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3551</v>
      </c>
      <c r="K1" s="1" t="s">
        <v>3555</v>
      </c>
      <c r="L1" s="1" t="s">
        <v>7</v>
      </c>
      <c r="M1" s="1" t="s">
        <v>8</v>
      </c>
    </row>
    <row r="2" spans="1:13" ht="20.100000000000001" customHeight="1" x14ac:dyDescent="0.25">
      <c r="A2" s="1" t="s">
        <v>9</v>
      </c>
      <c r="B2" s="1"/>
      <c r="C2" s="1"/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/>
      <c r="K2" s="1"/>
      <c r="L2" s="1" t="s">
        <v>16</v>
      </c>
      <c r="M2" s="1" t="s">
        <v>17</v>
      </c>
    </row>
    <row r="3" spans="1:13" ht="20.100000000000001" customHeight="1" x14ac:dyDescent="0.25">
      <c r="A3" s="14">
        <v>41</v>
      </c>
      <c r="B3" s="14" t="s">
        <v>529</v>
      </c>
      <c r="C3" s="14" t="e">
        <f ca="1">_xlfn.XLOOKUP(B3,'02-03-07'!B$3:B$24,'02-03-07'!A$3:A$24)</f>
        <v>#NAME?</v>
      </c>
      <c r="D3" s="15" t="s">
        <v>3339</v>
      </c>
      <c r="E3" s="16" t="s">
        <v>3331</v>
      </c>
      <c r="F3" s="17">
        <v>36540</v>
      </c>
      <c r="G3" s="17">
        <v>37154</v>
      </c>
      <c r="H3" s="18" t="s">
        <v>20</v>
      </c>
      <c r="I3" s="18">
        <v>1</v>
      </c>
      <c r="J3" s="18" t="s">
        <v>3552</v>
      </c>
      <c r="K3" s="18">
        <v>7</v>
      </c>
      <c r="L3" s="18">
        <v>10</v>
      </c>
      <c r="M3" s="16" t="str">
        <f>CONCATENATE("(",A3,",'",D3,"','",E3,"','",TEXT(F3,"yyyy-mm-dd"),"','",TEXT(G3,"yyyy-mm-dd"),"',",H3,",",I3,",",L3,"),")</f>
        <v>(41,'SP1-OZ1/OZ2','Station de Pompage SP1-OZ1/OZ2','2000-01-15','2001-09-20',NULL,1,10),</v>
      </c>
    </row>
    <row r="4" spans="1:13" ht="20.100000000000001" customHeight="1" x14ac:dyDescent="0.25">
      <c r="A4" s="14">
        <v>42</v>
      </c>
      <c r="B4" s="14" t="s">
        <v>529</v>
      </c>
      <c r="C4" s="14" t="e">
        <f ca="1">_xlfn.XLOOKUP(B4,'02-03-07'!B$3:B$24,'02-03-07'!A$3:A$24)</f>
        <v>#NAME?</v>
      </c>
      <c r="D4" s="15" t="s">
        <v>3338</v>
      </c>
      <c r="E4" s="16" t="s">
        <v>3332</v>
      </c>
      <c r="F4" s="17">
        <v>36960</v>
      </c>
      <c r="G4" s="17">
        <v>37575</v>
      </c>
      <c r="H4" s="18" t="s">
        <v>20</v>
      </c>
      <c r="I4" s="18">
        <v>1</v>
      </c>
      <c r="J4" s="18" t="s">
        <v>3552</v>
      </c>
      <c r="K4" s="18">
        <v>7</v>
      </c>
      <c r="L4" s="18">
        <v>10</v>
      </c>
      <c r="M4" s="16" t="str">
        <f t="shared" ref="M4:M26" si="0">CONCATENATE("(",A4,",'",D4,"','",E4,"','",TEXT(F4,"yyyy-mm-dd"),"','",TEXT(G4,"yyyy-mm-dd"),"',",H4,",",I4,",",L4,"),")</f>
        <v>(42,'SP2-OZ1/OZ2','Station de Pompage SP2-OZ1/OZ2','2001-03-10','2002-11-15',NULL,1,10),</v>
      </c>
    </row>
    <row r="5" spans="1:13" ht="20.100000000000001" customHeight="1" x14ac:dyDescent="0.25">
      <c r="A5" s="14">
        <v>43</v>
      </c>
      <c r="B5" s="14" t="s">
        <v>529</v>
      </c>
      <c r="C5" s="14" t="e">
        <f ca="1">_xlfn.XLOOKUP(B5,'02-03-07'!B$3:B$24,'02-03-07'!A$3:A$24)</f>
        <v>#NAME?</v>
      </c>
      <c r="D5" s="15" t="s">
        <v>3337</v>
      </c>
      <c r="E5" s="16" t="s">
        <v>3332</v>
      </c>
      <c r="F5" s="17">
        <v>37396</v>
      </c>
      <c r="G5" s="17">
        <v>37985</v>
      </c>
      <c r="H5" s="18" t="s">
        <v>20</v>
      </c>
      <c r="I5" s="18">
        <v>1</v>
      </c>
      <c r="J5" s="18" t="s">
        <v>3552</v>
      </c>
      <c r="K5" s="18">
        <v>7</v>
      </c>
      <c r="L5" s="18">
        <v>10</v>
      </c>
      <c r="M5" s="16" t="str">
        <f t="shared" si="0"/>
        <v>(43,'SP3-OZ1/OZ2','Station de Pompage SP2-OZ1/OZ2','2002-05-20','2003-12-30',NULL,1,10),</v>
      </c>
    </row>
    <row r="6" spans="1:13" ht="20.100000000000001" customHeight="1" x14ac:dyDescent="0.25">
      <c r="A6" s="14">
        <v>44</v>
      </c>
      <c r="B6" s="14" t="s">
        <v>529</v>
      </c>
      <c r="C6" s="14" t="e">
        <f ca="1">_xlfn.XLOOKUP(B6,'02-03-07'!B$3:B$24,'02-03-07'!A$3:A$24)</f>
        <v>#NAME?</v>
      </c>
      <c r="D6" s="15" t="s">
        <v>3336</v>
      </c>
      <c r="E6" s="16" t="s">
        <v>3332</v>
      </c>
      <c r="F6" s="17">
        <v>37848</v>
      </c>
      <c r="G6" s="17">
        <v>38433</v>
      </c>
      <c r="H6" s="18" t="s">
        <v>20</v>
      </c>
      <c r="I6" s="18">
        <v>1</v>
      </c>
      <c r="J6" s="18" t="s">
        <v>3552</v>
      </c>
      <c r="K6" s="18">
        <v>7</v>
      </c>
      <c r="L6" s="18">
        <v>10</v>
      </c>
      <c r="M6" s="16" t="str">
        <f t="shared" si="0"/>
        <v>(44,'SP4-OZ1/OZ2','Station de Pompage SP2-OZ1/OZ2','2003-08-15','2005-03-22',NULL,1,10),</v>
      </c>
    </row>
    <row r="7" spans="1:13" ht="20.100000000000001" customHeight="1" x14ac:dyDescent="0.25">
      <c r="A7" s="14">
        <v>45</v>
      </c>
      <c r="B7" s="14" t="s">
        <v>529</v>
      </c>
      <c r="C7" s="14" t="e">
        <f ca="1">_xlfn.XLOOKUP(B7,'02-03-07'!B$3:B$24,'02-03-07'!A$3:A$24)</f>
        <v>#NAME?</v>
      </c>
      <c r="D7" s="15" t="s">
        <v>3335</v>
      </c>
      <c r="E7" s="16" t="s">
        <v>3332</v>
      </c>
      <c r="F7" s="17">
        <v>38265</v>
      </c>
      <c r="G7" s="17">
        <v>38886</v>
      </c>
      <c r="H7" s="18" t="s">
        <v>20</v>
      </c>
      <c r="I7" s="18">
        <v>1</v>
      </c>
      <c r="J7" s="18" t="s">
        <v>3552</v>
      </c>
      <c r="K7" s="18">
        <v>7</v>
      </c>
      <c r="L7" s="18">
        <v>10</v>
      </c>
      <c r="M7" s="16" t="str">
        <f t="shared" si="0"/>
        <v>(45,'SP5-OZ1/OZ2','Station de Pompage SP2-OZ1/OZ2','2004-10-05','2006-06-18',NULL,1,10),</v>
      </c>
    </row>
    <row r="8" spans="1:13" ht="20.100000000000001" customHeight="1" x14ac:dyDescent="0.25">
      <c r="A8" s="14">
        <v>46</v>
      </c>
      <c r="B8" s="14" t="s">
        <v>529</v>
      </c>
      <c r="C8" s="14" t="e">
        <f ca="1">_xlfn.XLOOKUP(B8,'02-03-07'!B$3:B$24,'02-03-07'!A$3:A$24)</f>
        <v>#NAME?</v>
      </c>
      <c r="D8" s="15" t="s">
        <v>3333</v>
      </c>
      <c r="E8" s="16" t="s">
        <v>3332</v>
      </c>
      <c r="F8" s="17">
        <v>38698</v>
      </c>
      <c r="G8" s="17">
        <v>39319</v>
      </c>
      <c r="H8" s="18" t="s">
        <v>20</v>
      </c>
      <c r="I8" s="18">
        <v>1</v>
      </c>
      <c r="J8" s="18" t="s">
        <v>3552</v>
      </c>
      <c r="K8" s="18">
        <v>7</v>
      </c>
      <c r="L8" s="18">
        <v>10</v>
      </c>
      <c r="M8" s="16" t="str">
        <f t="shared" si="0"/>
        <v>(46,'SP6-OZ1/OZ2','Station de Pompage SP2-OZ1/OZ2','2005-12-12','2007-08-25',NULL,1,10),</v>
      </c>
    </row>
    <row r="9" spans="1:13" ht="20.100000000000001" customHeight="1" x14ac:dyDescent="0.25">
      <c r="A9" s="14">
        <v>47</v>
      </c>
      <c r="B9" s="14" t="s">
        <v>529</v>
      </c>
      <c r="C9" s="14" t="e">
        <f ca="1">_xlfn.XLOOKUP(B9,'02-03-07'!B$3:B$24,'02-03-07'!A$3:A$24)</f>
        <v>#NAME?</v>
      </c>
      <c r="D9" s="15" t="s">
        <v>3334</v>
      </c>
      <c r="E9" s="16" t="s">
        <v>3085</v>
      </c>
      <c r="F9" s="17">
        <v>38796</v>
      </c>
      <c r="G9" s="17">
        <v>39396</v>
      </c>
      <c r="H9" s="18" t="s">
        <v>20</v>
      </c>
      <c r="I9" s="18">
        <v>1</v>
      </c>
      <c r="J9" s="18" t="s">
        <v>3553</v>
      </c>
      <c r="K9" s="18">
        <v>9</v>
      </c>
      <c r="L9" s="18">
        <v>10</v>
      </c>
      <c r="M9" s="16" t="str">
        <f t="shared" si="0"/>
        <v>(47,'PRS-OZ1/OZ2','Station de Régulation PRS-OZ1/OZ2','2006-03-20','2007-11-10',NULL,1,10),</v>
      </c>
    </row>
    <row r="10" spans="1:13" ht="20.100000000000001" customHeight="1" x14ac:dyDescent="0.25">
      <c r="A10" s="14">
        <v>48</v>
      </c>
      <c r="B10" s="14" t="s">
        <v>529</v>
      </c>
      <c r="C10" s="14" t="e">
        <f ca="1">_xlfn.XLOOKUP(B10,'02-03-07'!B$3:B$24,'02-03-07'!A$3:A$24)</f>
        <v>#NAME?</v>
      </c>
      <c r="D10" s="15" t="s">
        <v>3495</v>
      </c>
      <c r="E10" s="16" t="s">
        <v>3502</v>
      </c>
      <c r="F10" s="17">
        <v>23743</v>
      </c>
      <c r="G10" s="17">
        <v>23743</v>
      </c>
      <c r="H10" s="17">
        <v>37986</v>
      </c>
      <c r="I10" s="18">
        <v>8</v>
      </c>
      <c r="J10" s="18" t="s">
        <v>3552</v>
      </c>
      <c r="K10" s="18">
        <v>7</v>
      </c>
      <c r="L10" s="18">
        <v>10</v>
      </c>
      <c r="M10" s="16" t="str">
        <f t="shared" si="0"/>
        <v>(48,'SP1-OZ1-D','Station de Pompage SP1-OZ1-D','1965-01-01','1965-01-01',37986,8,10),</v>
      </c>
    </row>
    <row r="11" spans="1:13" ht="20.100000000000001" customHeight="1" x14ac:dyDescent="0.25">
      <c r="A11" s="14">
        <v>49</v>
      </c>
      <c r="B11" s="14" t="s">
        <v>529</v>
      </c>
      <c r="C11" s="14" t="e">
        <f ca="1">_xlfn.XLOOKUP(B11,'02-03-07'!B$3:B$24,'02-03-07'!A$3:A$24)</f>
        <v>#NAME?</v>
      </c>
      <c r="D11" s="15" t="s">
        <v>3496</v>
      </c>
      <c r="E11" s="16" t="s">
        <v>3503</v>
      </c>
      <c r="F11" s="17">
        <v>23743</v>
      </c>
      <c r="G11" s="17">
        <v>23743</v>
      </c>
      <c r="H11" s="17">
        <v>37986</v>
      </c>
      <c r="I11" s="18">
        <v>8</v>
      </c>
      <c r="J11" s="18" t="s">
        <v>3552</v>
      </c>
      <c r="K11" s="18">
        <v>7</v>
      </c>
      <c r="L11" s="18">
        <v>10</v>
      </c>
      <c r="M11" s="16" t="str">
        <f t="shared" si="0"/>
        <v>(49,'SP2-OZ1-D','Station de Pompage SP2-OZ1-D','1965-01-01','1965-01-01',37986,8,10),</v>
      </c>
    </row>
    <row r="12" spans="1:13" ht="20.100000000000001" customHeight="1" x14ac:dyDescent="0.25">
      <c r="A12" s="14">
        <v>50</v>
      </c>
      <c r="B12" s="14" t="s">
        <v>529</v>
      </c>
      <c r="C12" s="14" t="e">
        <f ca="1">_xlfn.XLOOKUP(B12,'02-03-07'!B$3:B$24,'02-03-07'!A$3:A$24)</f>
        <v>#NAME?</v>
      </c>
      <c r="D12" s="15" t="s">
        <v>3497</v>
      </c>
      <c r="E12" s="16" t="s">
        <v>3503</v>
      </c>
      <c r="F12" s="17">
        <v>23743</v>
      </c>
      <c r="G12" s="17">
        <v>23743</v>
      </c>
      <c r="H12" s="17">
        <v>37986</v>
      </c>
      <c r="I12" s="18">
        <v>8</v>
      </c>
      <c r="J12" s="18" t="s">
        <v>3552</v>
      </c>
      <c r="K12" s="18">
        <v>7</v>
      </c>
      <c r="L12" s="18">
        <v>10</v>
      </c>
      <c r="M12" s="16" t="str">
        <f t="shared" si="0"/>
        <v>(50,'SP3-OZ1-D','Station de Pompage SP2-OZ1-D','1965-01-01','1965-01-01',37986,8,10),</v>
      </c>
    </row>
    <row r="13" spans="1:13" ht="20.100000000000001" customHeight="1" x14ac:dyDescent="0.25">
      <c r="A13" s="14">
        <v>51</v>
      </c>
      <c r="B13" s="14" t="s">
        <v>529</v>
      </c>
      <c r="C13" s="14" t="e">
        <f ca="1">_xlfn.XLOOKUP(B13,'02-03-07'!B$3:B$24,'02-03-07'!A$3:A$24)</f>
        <v>#NAME?</v>
      </c>
      <c r="D13" s="15" t="s">
        <v>3498</v>
      </c>
      <c r="E13" s="16" t="s">
        <v>3503</v>
      </c>
      <c r="F13" s="17">
        <v>23743</v>
      </c>
      <c r="G13" s="17">
        <v>23743</v>
      </c>
      <c r="H13" s="17">
        <v>38352</v>
      </c>
      <c r="I13" s="18">
        <v>8</v>
      </c>
      <c r="J13" s="18" t="s">
        <v>3552</v>
      </c>
      <c r="K13" s="18">
        <v>7</v>
      </c>
      <c r="L13" s="18">
        <v>10</v>
      </c>
      <c r="M13" s="16" t="str">
        <f t="shared" si="0"/>
        <v>(51,'SP4-OZ1-D','Station de Pompage SP2-OZ1-D','1965-01-01','1965-01-01',38352,8,10),</v>
      </c>
    </row>
    <row r="14" spans="1:13" ht="20.100000000000001" customHeight="1" x14ac:dyDescent="0.25">
      <c r="A14" s="14">
        <v>52</v>
      </c>
      <c r="B14" s="14" t="s">
        <v>529</v>
      </c>
      <c r="C14" s="14" t="e">
        <f ca="1">_xlfn.XLOOKUP(B14,'02-03-07'!B$3:B$24,'02-03-07'!A$3:A$24)</f>
        <v>#NAME?</v>
      </c>
      <c r="D14" s="15" t="s">
        <v>3499</v>
      </c>
      <c r="E14" s="16" t="s">
        <v>3503</v>
      </c>
      <c r="F14" s="17">
        <v>23743</v>
      </c>
      <c r="G14" s="17">
        <v>23743</v>
      </c>
      <c r="H14" s="17">
        <v>40178</v>
      </c>
      <c r="I14" s="18">
        <v>8</v>
      </c>
      <c r="J14" s="18" t="s">
        <v>3552</v>
      </c>
      <c r="K14" s="18">
        <v>7</v>
      </c>
      <c r="L14" s="18">
        <v>10</v>
      </c>
      <c r="M14" s="16" t="str">
        <f t="shared" si="0"/>
        <v>(52,'SP5-OZ1-D','Station de Pompage SP2-OZ1-D','1965-01-01','1965-01-01',40178,8,10),</v>
      </c>
    </row>
    <row r="15" spans="1:13" ht="20.100000000000001" customHeight="1" x14ac:dyDescent="0.25">
      <c r="A15" s="14">
        <v>53</v>
      </c>
      <c r="B15" s="14" t="s">
        <v>529</v>
      </c>
      <c r="C15" s="14" t="e">
        <f ca="1">_xlfn.XLOOKUP(B15,'02-03-07'!B$3:B$24,'02-03-07'!A$3:A$24)</f>
        <v>#NAME?</v>
      </c>
      <c r="D15" s="15" t="s">
        <v>3500</v>
      </c>
      <c r="E15" s="16" t="s">
        <v>3503</v>
      </c>
      <c r="F15" s="17">
        <v>23743</v>
      </c>
      <c r="G15" s="17">
        <v>23743</v>
      </c>
      <c r="H15" s="17">
        <v>38352</v>
      </c>
      <c r="I15" s="18">
        <v>8</v>
      </c>
      <c r="J15" s="18" t="s">
        <v>3552</v>
      </c>
      <c r="K15" s="18">
        <v>7</v>
      </c>
      <c r="L15" s="18">
        <v>10</v>
      </c>
      <c r="M15" s="16" t="str">
        <f t="shared" si="0"/>
        <v>(53,'SP6-OZ1-D','Station de Pompage SP2-OZ1-D','1965-01-01','1965-01-01',38352,8,10),</v>
      </c>
    </row>
    <row r="16" spans="1:13" ht="20.100000000000001" customHeight="1" x14ac:dyDescent="0.25">
      <c r="A16" s="14">
        <v>54</v>
      </c>
      <c r="B16" s="14" t="s">
        <v>529</v>
      </c>
      <c r="C16" s="14" t="e">
        <f ca="1">_xlfn.XLOOKUP(B16,'02-03-07'!B$3:B$24,'02-03-07'!A$3:A$24)</f>
        <v>#NAME?</v>
      </c>
      <c r="D16" s="15" t="s">
        <v>3501</v>
      </c>
      <c r="E16" s="16" t="s">
        <v>3504</v>
      </c>
      <c r="F16" s="17">
        <v>23743</v>
      </c>
      <c r="G16" s="17">
        <v>23743</v>
      </c>
      <c r="H16" s="17">
        <v>43465</v>
      </c>
      <c r="I16" s="18">
        <v>8</v>
      </c>
      <c r="J16" s="18" t="s">
        <v>3553</v>
      </c>
      <c r="K16" s="18">
        <v>9</v>
      </c>
      <c r="L16" s="18">
        <v>10</v>
      </c>
      <c r="M16" s="16" t="str">
        <f t="shared" si="0"/>
        <v>(54,'PRS-OZ1-D','Station de Régulation PRS-OZ1-D','1965-01-01','1965-01-01',43465,8,10),</v>
      </c>
    </row>
    <row r="17" spans="1:13" ht="20.100000000000001" customHeight="1" x14ac:dyDescent="0.25">
      <c r="A17" s="14">
        <v>55</v>
      </c>
      <c r="B17" s="14" t="s">
        <v>305</v>
      </c>
      <c r="C17" s="14" t="e">
        <f ca="1">_xlfn.XLOOKUP(B17,'02-03-07'!B$3:B$24,'02-03-07'!A$3:A$24)</f>
        <v>#NAME?</v>
      </c>
      <c r="D17" s="15" t="s">
        <v>93</v>
      </c>
      <c r="E17" s="16" t="s">
        <v>94</v>
      </c>
      <c r="F17" s="17">
        <v>37057</v>
      </c>
      <c r="G17" s="17">
        <v>37672</v>
      </c>
      <c r="H17" s="18" t="s">
        <v>20</v>
      </c>
      <c r="I17" s="18">
        <v>1</v>
      </c>
      <c r="J17" s="18" t="s">
        <v>3552</v>
      </c>
      <c r="K17" s="18">
        <v>7</v>
      </c>
      <c r="L17" s="18">
        <v>10</v>
      </c>
      <c r="M17" s="16" t="str">
        <f t="shared" si="0"/>
        <v>(55,'SP1-OK1','Station de Pompage SP1-OK1','2001-06-15','2003-02-20',NULL,1,10),</v>
      </c>
    </row>
    <row r="18" spans="1:13" ht="20.100000000000001" customHeight="1" x14ac:dyDescent="0.25">
      <c r="A18" s="14">
        <v>56</v>
      </c>
      <c r="B18" s="14" t="s">
        <v>305</v>
      </c>
      <c r="C18" s="14" t="e">
        <f ca="1">_xlfn.XLOOKUP(B18,'02-03-07'!B$3:B$24,'02-03-07'!A$3:A$24)</f>
        <v>#NAME?</v>
      </c>
      <c r="D18" s="15" t="s">
        <v>3486</v>
      </c>
      <c r="E18" s="16" t="s">
        <v>3487</v>
      </c>
      <c r="F18" s="17">
        <v>40278</v>
      </c>
      <c r="G18" s="17">
        <v>40923</v>
      </c>
      <c r="H18" s="18" t="s">
        <v>20</v>
      </c>
      <c r="I18" s="18">
        <v>1</v>
      </c>
      <c r="J18" s="18" t="s">
        <v>3552</v>
      </c>
      <c r="K18" s="18">
        <v>7</v>
      </c>
      <c r="L18" s="18">
        <v>10</v>
      </c>
      <c r="M18" s="16" t="str">
        <f t="shared" si="0"/>
        <v>(56,'R-SP1-OK1','Station de Pompage RSP1-OK1','2010-04-10','2012-01-15',NULL,1,10),</v>
      </c>
    </row>
    <row r="19" spans="1:13" ht="20.100000000000001" customHeight="1" x14ac:dyDescent="0.25">
      <c r="A19" s="14">
        <v>57</v>
      </c>
      <c r="B19" s="14" t="s">
        <v>305</v>
      </c>
      <c r="C19" s="14" t="e">
        <f ca="1">_xlfn.XLOOKUP(B19,'02-03-07'!B$3:B$24,'02-03-07'!A$3:A$24)</f>
        <v>#NAME?</v>
      </c>
      <c r="D19" s="15" t="s">
        <v>95</v>
      </c>
      <c r="E19" s="16" t="s">
        <v>96</v>
      </c>
      <c r="F19" s="17">
        <v>37490</v>
      </c>
      <c r="G19" s="17">
        <v>38137</v>
      </c>
      <c r="H19" s="18" t="s">
        <v>20</v>
      </c>
      <c r="I19" s="18">
        <v>1</v>
      </c>
      <c r="J19" s="18" t="s">
        <v>3552</v>
      </c>
      <c r="K19" s="18">
        <v>7</v>
      </c>
      <c r="L19" s="18">
        <v>10</v>
      </c>
      <c r="M19" s="16" t="str">
        <f t="shared" si="0"/>
        <v>(57,'SP2-OK1','Station de Pompage SP2-OK1','2002-08-22','2004-05-30',NULL,1,10),</v>
      </c>
    </row>
    <row r="20" spans="1:13" ht="20.100000000000001" customHeight="1" x14ac:dyDescent="0.25">
      <c r="A20" s="14">
        <v>58</v>
      </c>
      <c r="B20" s="14" t="s">
        <v>305</v>
      </c>
      <c r="C20" s="14" t="e">
        <f ca="1">_xlfn.XLOOKUP(B20,'02-03-07'!B$3:B$24,'02-03-07'!A$3:A$24)</f>
        <v>#NAME?</v>
      </c>
      <c r="D20" s="15" t="s">
        <v>97</v>
      </c>
      <c r="E20" s="16" t="s">
        <v>98</v>
      </c>
      <c r="F20" s="17">
        <v>37930</v>
      </c>
      <c r="G20" s="17">
        <v>38551</v>
      </c>
      <c r="H20" s="18" t="s">
        <v>20</v>
      </c>
      <c r="I20" s="18">
        <v>1</v>
      </c>
      <c r="J20" s="18" t="s">
        <v>3552</v>
      </c>
      <c r="K20" s="18">
        <v>7</v>
      </c>
      <c r="L20" s="18">
        <v>10</v>
      </c>
      <c r="M20" s="16" t="str">
        <f t="shared" si="0"/>
        <v>(58,'SP3-OK1','Station de Pompage SP3-OK1','2003-11-05','2005-07-18',NULL,1,10),</v>
      </c>
    </row>
    <row r="21" spans="1:13" ht="20.100000000000001" customHeight="1" x14ac:dyDescent="0.25">
      <c r="A21" s="14">
        <v>59</v>
      </c>
      <c r="B21" s="14" t="s">
        <v>305</v>
      </c>
      <c r="C21" s="14" t="e">
        <f ca="1">_xlfn.XLOOKUP(B21,'02-03-07'!B$3:B$24,'02-03-07'!A$3:A$24)</f>
        <v>#NAME?</v>
      </c>
      <c r="D21" s="15" t="s">
        <v>101</v>
      </c>
      <c r="E21" s="16" t="s">
        <v>102</v>
      </c>
      <c r="F21" s="17">
        <v>38125</v>
      </c>
      <c r="G21" s="17">
        <v>38739</v>
      </c>
      <c r="H21" s="18" t="s">
        <v>20</v>
      </c>
      <c r="I21" s="18">
        <v>1</v>
      </c>
      <c r="J21" s="18" t="s">
        <v>3552</v>
      </c>
      <c r="K21" s="18">
        <v>7</v>
      </c>
      <c r="L21" s="18">
        <v>10</v>
      </c>
      <c r="M21" s="16" t="str">
        <f t="shared" si="0"/>
        <v>(59,'SP4-OK1','Station de Pompage SP4-OK1','2004-05-18','2006-01-22',NULL,1,10),</v>
      </c>
    </row>
    <row r="22" spans="1:13" ht="20.100000000000001" customHeight="1" x14ac:dyDescent="0.25">
      <c r="A22" s="14">
        <v>60</v>
      </c>
      <c r="B22" s="14" t="s">
        <v>548</v>
      </c>
      <c r="C22" s="14" t="e">
        <f ca="1">_xlfn.XLOOKUP(B22,'02-03-07'!B$3:B$24,'02-03-07'!A$3:A$24)</f>
        <v>#NAME?</v>
      </c>
      <c r="D22" s="15" t="s">
        <v>103</v>
      </c>
      <c r="E22" s="16" t="s">
        <v>104</v>
      </c>
      <c r="F22" s="17">
        <v>37327</v>
      </c>
      <c r="G22" s="17">
        <v>37950</v>
      </c>
      <c r="H22" s="18" t="s">
        <v>20</v>
      </c>
      <c r="I22" s="18">
        <v>1</v>
      </c>
      <c r="J22" s="18" t="s">
        <v>3552</v>
      </c>
      <c r="K22" s="18">
        <v>7</v>
      </c>
      <c r="L22" s="18">
        <v>10</v>
      </c>
      <c r="M22" s="16" t="str">
        <f t="shared" si="0"/>
        <v>(60,'SP1-OB1','Station de Pompage SP1-OB1','2002-03-12','2003-11-25',NULL,1,10),</v>
      </c>
    </row>
    <row r="23" spans="1:13" ht="20.100000000000001" customHeight="1" x14ac:dyDescent="0.25">
      <c r="A23" s="14">
        <v>61</v>
      </c>
      <c r="B23" s="14" t="s">
        <v>548</v>
      </c>
      <c r="C23" s="14" t="e">
        <f ca="1">_xlfn.XLOOKUP(B23,'02-03-07'!B$3:B$24,'02-03-07'!A$3:A$24)</f>
        <v>#NAME?</v>
      </c>
      <c r="D23" s="15" t="s">
        <v>105</v>
      </c>
      <c r="E23" s="16" t="s">
        <v>106</v>
      </c>
      <c r="F23" s="17">
        <v>39649</v>
      </c>
      <c r="G23" s="17">
        <v>40283</v>
      </c>
      <c r="H23" s="18" t="s">
        <v>20</v>
      </c>
      <c r="I23" s="18">
        <v>1</v>
      </c>
      <c r="J23" s="18" t="s">
        <v>3552</v>
      </c>
      <c r="K23" s="18">
        <v>7</v>
      </c>
      <c r="L23" s="18">
        <v>10</v>
      </c>
      <c r="M23" s="16" t="str">
        <f t="shared" si="0"/>
        <v>(61,'SP1-BIS-OB1','Station de Pompage SP1-BIS-OB1','2008-07-20','2010-04-15',NULL,1,10),</v>
      </c>
    </row>
    <row r="24" spans="1:13" ht="20.100000000000001" customHeight="1" x14ac:dyDescent="0.25">
      <c r="A24" s="14">
        <v>62</v>
      </c>
      <c r="B24" s="14" t="s">
        <v>548</v>
      </c>
      <c r="C24" s="14" t="e">
        <f ca="1">_xlfn.XLOOKUP(B24,'02-03-07'!B$3:B$24,'02-03-07'!A$3:A$24)</f>
        <v>#NAME?</v>
      </c>
      <c r="D24" s="15" t="s">
        <v>107</v>
      </c>
      <c r="E24" s="16" t="s">
        <v>108</v>
      </c>
      <c r="F24" s="17">
        <v>37874</v>
      </c>
      <c r="G24" s="17">
        <v>38521</v>
      </c>
      <c r="H24" s="18" t="s">
        <v>20</v>
      </c>
      <c r="I24" s="18">
        <v>1</v>
      </c>
      <c r="J24" s="18" t="s">
        <v>3552</v>
      </c>
      <c r="K24" s="18">
        <v>7</v>
      </c>
      <c r="L24" s="18">
        <v>10</v>
      </c>
      <c r="M24" s="16" t="str">
        <f t="shared" si="0"/>
        <v>(62,'SP2-OB1','Station de Pompage SP2-OB1','2003-09-10','2005-06-18',NULL,1,10),</v>
      </c>
    </row>
    <row r="25" spans="1:13" ht="20.100000000000001" customHeight="1" x14ac:dyDescent="0.25">
      <c r="A25" s="14">
        <v>63</v>
      </c>
      <c r="B25" s="14" t="s">
        <v>548</v>
      </c>
      <c r="C25" s="14" t="e">
        <f ca="1">_xlfn.XLOOKUP(B25,'02-03-07'!B$3:B$24,'02-03-07'!A$3:A$24)</f>
        <v>#NAME?</v>
      </c>
      <c r="D25" s="15" t="s">
        <v>109</v>
      </c>
      <c r="E25" s="16" t="s">
        <v>110</v>
      </c>
      <c r="F25" s="17">
        <v>38326</v>
      </c>
      <c r="G25" s="17">
        <v>38951</v>
      </c>
      <c r="H25" s="18" t="s">
        <v>20</v>
      </c>
      <c r="I25" s="18">
        <v>1</v>
      </c>
      <c r="J25" s="18" t="s">
        <v>3552</v>
      </c>
      <c r="K25" s="18">
        <v>7</v>
      </c>
      <c r="L25" s="18">
        <v>10</v>
      </c>
      <c r="M25" s="16" t="str">
        <f t="shared" si="0"/>
        <v>(63,'SP3-OB1','Station de Pompage SP3-OB1','2004-12-05','2006-08-22',NULL,1,10),</v>
      </c>
    </row>
    <row r="26" spans="1:13" ht="20.100000000000001" customHeight="1" x14ac:dyDescent="0.25">
      <c r="A26" s="14">
        <v>64</v>
      </c>
      <c r="B26" s="14" t="s">
        <v>548</v>
      </c>
      <c r="C26" s="14" t="e">
        <f ca="1">_xlfn.XLOOKUP(B26,'02-03-07'!B$3:B$24,'02-03-07'!A$3:A$24)</f>
        <v>#NAME?</v>
      </c>
      <c r="D26" s="15" t="s">
        <v>3489</v>
      </c>
      <c r="E26" s="16" t="s">
        <v>3490</v>
      </c>
      <c r="F26" s="17">
        <v>39190</v>
      </c>
      <c r="G26" s="17">
        <v>39843</v>
      </c>
      <c r="H26" s="18" t="s">
        <v>20</v>
      </c>
      <c r="I26" s="18">
        <v>1</v>
      </c>
      <c r="J26" s="18" t="s">
        <v>3552</v>
      </c>
      <c r="K26" s="18">
        <v>7</v>
      </c>
      <c r="L26" s="18">
        <v>10</v>
      </c>
      <c r="M26" s="16" t="str">
        <f t="shared" si="0"/>
        <v>(64,'SP1-OG1','Station de Pompage SP1-OG1','2007-04-18','2009-01-30',NULL,1,10),</v>
      </c>
    </row>
    <row r="27" spans="1:13" ht="20.100000000000001" customHeight="1" x14ac:dyDescent="0.25">
      <c r="A27" s="14">
        <v>65</v>
      </c>
      <c r="B27" s="14" t="s">
        <v>548</v>
      </c>
      <c r="C27" s="14" t="e">
        <f ca="1">_xlfn.XLOOKUP(B27,'02-03-07'!B$3:B$24,'02-03-07'!A$3:A$24)</f>
        <v>#NAME?</v>
      </c>
      <c r="D27" s="15" t="s">
        <v>3491</v>
      </c>
      <c r="E27" s="16" t="str">
        <f t="shared" ref="E27:E74" si="1">CONCATENATE("Station de Pompage ",D27)</f>
        <v>Station de Pompage SP1-OB1-D</v>
      </c>
      <c r="F27" s="17">
        <v>21916</v>
      </c>
      <c r="G27" s="17">
        <v>21916</v>
      </c>
      <c r="H27" s="17">
        <v>43830</v>
      </c>
      <c r="I27" s="18">
        <v>8</v>
      </c>
      <c r="J27" s="18" t="s">
        <v>3552</v>
      </c>
      <c r="K27" s="18">
        <v>7</v>
      </c>
      <c r="L27" s="18">
        <v>10</v>
      </c>
      <c r="M27" s="16" t="str">
        <f>CONCATENATE("(",A27,",'",D27,"','",E27,"','",TEXT(F27,"yyyy-mm-dd"),"','",TEXT(G27,"yyyy-mm-dd"),"','",TEXT(H27,"yyyy-mm-dd"),"',",I27,",",L27,"),")</f>
        <v>(65,'SP1-OB1-D','Station de Pompage SP1-OB1-D','1960-01-01','1960-01-01','2019-12-31',8,10),</v>
      </c>
    </row>
    <row r="28" spans="1:13" ht="20.100000000000001" customHeight="1" x14ac:dyDescent="0.25">
      <c r="A28" s="14">
        <v>66</v>
      </c>
      <c r="B28" s="14" t="s">
        <v>548</v>
      </c>
      <c r="C28" s="14" t="e">
        <f ca="1">_xlfn.XLOOKUP(B28,'02-03-07'!B$3:B$24,'02-03-07'!A$3:A$24)</f>
        <v>#NAME?</v>
      </c>
      <c r="D28" s="15" t="s">
        <v>3492</v>
      </c>
      <c r="E28" s="16" t="str">
        <f t="shared" si="1"/>
        <v>Station de Pompage SP1-BIS-OB1-D</v>
      </c>
      <c r="F28" s="17">
        <v>21916</v>
      </c>
      <c r="G28" s="17">
        <v>21916</v>
      </c>
      <c r="H28" s="17">
        <v>39447</v>
      </c>
      <c r="I28" s="18">
        <v>8</v>
      </c>
      <c r="J28" s="18" t="s">
        <v>3552</v>
      </c>
      <c r="K28" s="18">
        <v>7</v>
      </c>
      <c r="L28" s="18">
        <v>10</v>
      </c>
      <c r="M28" s="16" t="str">
        <f t="shared" ref="M28:M54" si="2">CONCATENATE("(",A28,",'",D28,"','",E28,"','",TEXT(F28,"yyyy-mm-dd"),"','",TEXT(G28,"yyyy-mm-dd"),"','",TEXT(H28,"yyyy-mm-dd"),"',",I28,",",L28,"),")</f>
        <v>(66,'SP1-BIS-OB1-D','Station de Pompage SP1-BIS-OB1-D','1960-01-01','1960-01-01','2007-12-31',8,10),</v>
      </c>
    </row>
    <row r="29" spans="1:13" ht="20.100000000000001" customHeight="1" x14ac:dyDescent="0.25">
      <c r="A29" s="14">
        <v>67</v>
      </c>
      <c r="B29" s="14" t="s">
        <v>548</v>
      </c>
      <c r="C29" s="14" t="e">
        <f ca="1">_xlfn.XLOOKUP(B29,'02-03-07'!B$3:B$24,'02-03-07'!A$3:A$24)</f>
        <v>#NAME?</v>
      </c>
      <c r="D29" s="15" t="s">
        <v>3493</v>
      </c>
      <c r="E29" s="16" t="str">
        <f t="shared" si="1"/>
        <v>Station de Pompage SP2-OB1-D</v>
      </c>
      <c r="F29" s="17">
        <v>21916</v>
      </c>
      <c r="G29" s="17">
        <v>21916</v>
      </c>
      <c r="H29" s="17">
        <v>39813</v>
      </c>
      <c r="I29" s="18">
        <v>8</v>
      </c>
      <c r="J29" s="18" t="s">
        <v>3552</v>
      </c>
      <c r="K29" s="18">
        <v>7</v>
      </c>
      <c r="L29" s="18">
        <v>10</v>
      </c>
      <c r="M29" s="16" t="str">
        <f t="shared" si="2"/>
        <v>(67,'SP2-OB1-D','Station de Pompage SP2-OB1-D','1960-01-01','1960-01-01','2008-12-31',8,10),</v>
      </c>
    </row>
    <row r="30" spans="1:13" ht="20.100000000000001" customHeight="1" x14ac:dyDescent="0.25">
      <c r="A30" s="14">
        <v>68</v>
      </c>
      <c r="B30" s="14" t="s">
        <v>548</v>
      </c>
      <c r="C30" s="14" t="e">
        <f ca="1">_xlfn.XLOOKUP(B30,'02-03-07'!B$3:B$24,'02-03-07'!A$3:A$24)</f>
        <v>#NAME?</v>
      </c>
      <c r="D30" s="15" t="s">
        <v>3494</v>
      </c>
      <c r="E30" s="16" t="str">
        <f t="shared" si="1"/>
        <v>Station de Pompage SP3-OB1-D</v>
      </c>
      <c r="F30" s="17">
        <v>21551</v>
      </c>
      <c r="G30" s="17">
        <v>21551</v>
      </c>
      <c r="H30" s="17">
        <v>39813</v>
      </c>
      <c r="I30" s="18">
        <v>8</v>
      </c>
      <c r="J30" s="18" t="s">
        <v>3552</v>
      </c>
      <c r="K30" s="18">
        <v>7</v>
      </c>
      <c r="L30" s="18">
        <v>10</v>
      </c>
      <c r="M30" s="16" t="str">
        <f t="shared" si="2"/>
        <v>(68,'SP3-OB1-D','Station de Pompage SP3-OB1-D','1959-01-01','1959-01-01','2008-12-31',8,10),</v>
      </c>
    </row>
    <row r="31" spans="1:13" ht="20.100000000000001" customHeight="1" x14ac:dyDescent="0.25">
      <c r="A31" s="14">
        <v>69</v>
      </c>
      <c r="B31" s="14" t="s">
        <v>548</v>
      </c>
      <c r="C31" s="14" t="e">
        <f ca="1">_xlfn.XLOOKUP(B31,'02-03-07'!B$3:B$24,'02-03-07'!A$3:A$24)</f>
        <v>#NAME?</v>
      </c>
      <c r="D31" s="15" t="s">
        <v>3505</v>
      </c>
      <c r="E31" s="16" t="str">
        <f t="shared" si="1"/>
        <v>Station de Pompage SPA-OB1-D</v>
      </c>
      <c r="F31" s="17">
        <v>25569</v>
      </c>
      <c r="G31" s="17">
        <v>25569</v>
      </c>
      <c r="H31" s="17">
        <v>36160</v>
      </c>
      <c r="I31" s="18">
        <v>8</v>
      </c>
      <c r="J31" s="18" t="s">
        <v>3552</v>
      </c>
      <c r="K31" s="18">
        <v>7</v>
      </c>
      <c r="L31" s="18">
        <v>10</v>
      </c>
      <c r="M31" s="16" t="str">
        <f t="shared" si="2"/>
        <v>(69,'SPA-OB1-D','Station de Pompage SPA-OB1-D','1970-01-01','1970-01-01','1998-12-31',8,10),</v>
      </c>
    </row>
    <row r="32" spans="1:13" ht="20.100000000000001" customHeight="1" x14ac:dyDescent="0.25">
      <c r="A32" s="14">
        <v>70</v>
      </c>
      <c r="B32" s="14" t="s">
        <v>548</v>
      </c>
      <c r="C32" s="14" t="e">
        <f ca="1">_xlfn.XLOOKUP(B32,'02-03-07'!B$3:B$24,'02-03-07'!A$3:A$24)</f>
        <v>#NAME?</v>
      </c>
      <c r="D32" s="15" t="s">
        <v>3506</v>
      </c>
      <c r="E32" s="16" t="str">
        <f t="shared" si="1"/>
        <v>Station de Pompage SPB-OB1-D</v>
      </c>
      <c r="F32" s="17">
        <v>25569</v>
      </c>
      <c r="G32" s="17">
        <v>25569</v>
      </c>
      <c r="H32" s="17">
        <v>39447</v>
      </c>
      <c r="I32" s="18">
        <v>8</v>
      </c>
      <c r="J32" s="18" t="s">
        <v>3552</v>
      </c>
      <c r="K32" s="18">
        <v>7</v>
      </c>
      <c r="L32" s="18">
        <v>10</v>
      </c>
      <c r="M32" s="16" t="str">
        <f t="shared" si="2"/>
        <v>(70,'SPB-OB1-D','Station de Pompage SPB-OB1-D','1970-01-01','1970-01-01','2007-12-31',8,10),</v>
      </c>
    </row>
    <row r="33" spans="1:13" ht="20.100000000000001" customHeight="1" x14ac:dyDescent="0.25">
      <c r="A33" s="14">
        <v>71</v>
      </c>
      <c r="B33" s="14" t="s">
        <v>548</v>
      </c>
      <c r="C33" s="14" t="e">
        <f ca="1">_xlfn.XLOOKUP(B33,'02-03-07'!B$3:B$24,'02-03-07'!A$3:A$24)</f>
        <v>#NAME?</v>
      </c>
      <c r="D33" s="15" t="s">
        <v>3507</v>
      </c>
      <c r="E33" s="16" t="str">
        <f t="shared" si="1"/>
        <v>Station de Pompage SPC-OB1-D</v>
      </c>
      <c r="F33" s="17">
        <v>25569</v>
      </c>
      <c r="G33" s="17">
        <v>25569</v>
      </c>
      <c r="H33" s="17">
        <v>37256</v>
      </c>
      <c r="I33" s="18">
        <v>8</v>
      </c>
      <c r="J33" s="18" t="s">
        <v>3552</v>
      </c>
      <c r="K33" s="18">
        <v>7</v>
      </c>
      <c r="L33" s="18">
        <v>10</v>
      </c>
      <c r="M33" s="16" t="str">
        <f t="shared" si="2"/>
        <v>(71,'SPC-OB1-D','Station de Pompage SPC-OB1-D','1970-01-01','1970-01-01','2001-12-31',8,10),</v>
      </c>
    </row>
    <row r="34" spans="1:13" ht="20.100000000000001" customHeight="1" x14ac:dyDescent="0.25">
      <c r="A34" s="14">
        <v>72</v>
      </c>
      <c r="B34" s="14" t="s">
        <v>548</v>
      </c>
      <c r="C34" s="14" t="e">
        <f ca="1">_xlfn.XLOOKUP(B34,'02-03-07'!B$3:B$24,'02-03-07'!A$3:A$24)</f>
        <v>#NAME?</v>
      </c>
      <c r="D34" s="15" t="s">
        <v>3508</v>
      </c>
      <c r="E34" s="16" t="str">
        <f t="shared" si="1"/>
        <v>Station de Pompage SPD-OB1-D</v>
      </c>
      <c r="F34" s="17">
        <v>25569</v>
      </c>
      <c r="G34" s="17">
        <v>25569</v>
      </c>
      <c r="H34" s="17">
        <v>34699</v>
      </c>
      <c r="I34" s="18">
        <v>8</v>
      </c>
      <c r="J34" s="18" t="s">
        <v>3552</v>
      </c>
      <c r="K34" s="18">
        <v>7</v>
      </c>
      <c r="L34" s="18">
        <v>10</v>
      </c>
      <c r="M34" s="16" t="str">
        <f t="shared" si="2"/>
        <v>(72,'SPD-OB1-D','Station de Pompage SPD-OB1-D','1970-01-01','1970-01-01','1994-12-31',8,10),</v>
      </c>
    </row>
    <row r="35" spans="1:13" ht="20.100000000000001" customHeight="1" x14ac:dyDescent="0.25">
      <c r="A35" s="14">
        <v>73</v>
      </c>
      <c r="B35" s="14" t="s">
        <v>548</v>
      </c>
      <c r="C35" s="14" t="e">
        <f ca="1">_xlfn.XLOOKUP(B35,'02-03-07'!B$3:B$24,'02-03-07'!A$3:A$24)</f>
        <v>#NAME?</v>
      </c>
      <c r="D35" s="15" t="s">
        <v>3509</v>
      </c>
      <c r="E35" s="16" t="str">
        <f t="shared" si="1"/>
        <v>Station de Pompage SP-OG1-D</v>
      </c>
      <c r="F35" s="17">
        <v>25934</v>
      </c>
      <c r="G35" s="17">
        <v>25934</v>
      </c>
      <c r="H35" s="17">
        <v>38717</v>
      </c>
      <c r="I35" s="18">
        <v>8</v>
      </c>
      <c r="J35" s="18" t="s">
        <v>3552</v>
      </c>
      <c r="K35" s="18">
        <v>7</v>
      </c>
      <c r="L35" s="18">
        <v>10</v>
      </c>
      <c r="M35" s="16" t="str">
        <f t="shared" si="2"/>
        <v>(73,'SP-OG1-D','Station de Pompage SP-OG1-D','1971-01-01','1971-01-01','2005-12-31',8,10),</v>
      </c>
    </row>
    <row r="36" spans="1:13" ht="20.100000000000001" customHeight="1" x14ac:dyDescent="0.25">
      <c r="A36" s="14">
        <v>74</v>
      </c>
      <c r="B36" s="14" t="s">
        <v>317</v>
      </c>
      <c r="C36" s="14" t="e">
        <f ca="1">_xlfn.XLOOKUP(B36,'02-03-07'!B$3:B$24,'02-03-07'!A$3:A$24)</f>
        <v>#NAME?</v>
      </c>
      <c r="D36" s="15" t="s">
        <v>113</v>
      </c>
      <c r="E36" s="16" t="str">
        <f t="shared" si="1"/>
        <v>Station de Pompage SP1-OT1</v>
      </c>
      <c r="F36" s="17">
        <v>21916</v>
      </c>
      <c r="G36" s="17">
        <v>21916</v>
      </c>
      <c r="H36" s="18" t="s">
        <v>20</v>
      </c>
      <c r="I36" s="18">
        <v>1</v>
      </c>
      <c r="J36" s="18" t="s">
        <v>3552</v>
      </c>
      <c r="K36" s="18">
        <v>7</v>
      </c>
      <c r="L36" s="18">
        <v>10</v>
      </c>
      <c r="M36" s="16" t="str">
        <f t="shared" ref="M36:M50" si="3">CONCATENATE("(",A36,",'",D36,"','",E36,"','",TEXT(F36,"yyyy-mm-dd"),"','",TEXT(G36,"yyyy-mm-dd"),"',",H36,",",I36,",",L36,"),")</f>
        <v>(74,'SP1-OT1','Station de Pompage SP1-OT1','1960-01-01','1960-01-01',NULL,1,10),</v>
      </c>
    </row>
    <row r="37" spans="1:13" ht="20.100000000000001" customHeight="1" x14ac:dyDescent="0.25">
      <c r="A37" s="14">
        <v>75</v>
      </c>
      <c r="B37" s="14" t="s">
        <v>317</v>
      </c>
      <c r="C37" s="14" t="e">
        <f ca="1">_xlfn.XLOOKUP(B37,'02-03-07'!B$3:B$24,'02-03-07'!A$3:A$24)</f>
        <v>#NAME?</v>
      </c>
      <c r="D37" s="15" t="s">
        <v>115</v>
      </c>
      <c r="E37" s="16" t="str">
        <f t="shared" si="1"/>
        <v>Station de Pompage SP2-OT1</v>
      </c>
      <c r="F37" s="17">
        <v>21916</v>
      </c>
      <c r="G37" s="17">
        <v>21916</v>
      </c>
      <c r="H37" s="18" t="s">
        <v>20</v>
      </c>
      <c r="I37" s="18">
        <v>1</v>
      </c>
      <c r="J37" s="18" t="s">
        <v>3552</v>
      </c>
      <c r="K37" s="18">
        <v>7</v>
      </c>
      <c r="L37" s="18">
        <v>10</v>
      </c>
      <c r="M37" s="16" t="str">
        <f t="shared" si="3"/>
        <v>(75,'SP2-OT1','Station de Pompage SP2-OT1','1960-01-01','1960-01-01',NULL,1,10),</v>
      </c>
    </row>
    <row r="38" spans="1:13" ht="20.100000000000001" customHeight="1" x14ac:dyDescent="0.25">
      <c r="A38" s="14">
        <v>76</v>
      </c>
      <c r="B38" s="14" t="s">
        <v>319</v>
      </c>
      <c r="C38" s="14" t="e">
        <f ca="1">_xlfn.XLOOKUP(B38,'02-03-07'!B$3:B$24,'02-03-07'!A$3:A$24)</f>
        <v>#NAME?</v>
      </c>
      <c r="D38" s="15" t="s">
        <v>3510</v>
      </c>
      <c r="E38" s="16" t="str">
        <f t="shared" si="1"/>
        <v>Station de Pompage OPS1-OH1</v>
      </c>
      <c r="F38" s="17">
        <v>27395</v>
      </c>
      <c r="G38" s="17">
        <v>27395</v>
      </c>
      <c r="H38" s="18" t="s">
        <v>20</v>
      </c>
      <c r="I38" s="18">
        <v>1</v>
      </c>
      <c r="J38" s="18" t="s">
        <v>3552</v>
      </c>
      <c r="K38" s="18">
        <v>7</v>
      </c>
      <c r="L38" s="18">
        <v>10</v>
      </c>
      <c r="M38" s="16" t="str">
        <f t="shared" si="3"/>
        <v>(76,'OPS1-OH1','Station de Pompage OPS1-OH1','1975-01-01','1975-01-01',NULL,1,10),</v>
      </c>
    </row>
    <row r="39" spans="1:13" ht="20.100000000000001" customHeight="1" x14ac:dyDescent="0.25">
      <c r="A39" s="14">
        <v>77</v>
      </c>
      <c r="B39" s="14" t="s">
        <v>319</v>
      </c>
      <c r="C39" s="14" t="e">
        <f ca="1">_xlfn.XLOOKUP(B39,'02-03-07'!B$3:B$24,'02-03-07'!A$3:A$24)</f>
        <v>#NAME?</v>
      </c>
      <c r="D39" s="15" t="s">
        <v>3511</v>
      </c>
      <c r="E39" s="16" t="str">
        <f t="shared" si="1"/>
        <v>Station de Pompage OPS2-OH1</v>
      </c>
      <c r="F39" s="17">
        <v>27395</v>
      </c>
      <c r="G39" s="17">
        <v>27395</v>
      </c>
      <c r="H39" s="18" t="s">
        <v>20</v>
      </c>
      <c r="I39" s="18">
        <v>1</v>
      </c>
      <c r="J39" s="18" t="s">
        <v>3552</v>
      </c>
      <c r="K39" s="18">
        <v>7</v>
      </c>
      <c r="L39" s="18">
        <v>10</v>
      </c>
      <c r="M39" s="16" t="str">
        <f t="shared" si="3"/>
        <v>(77,'OPS2-OH1','Station de Pompage OPS2-OH1','1975-01-01','1975-01-01',NULL,1,10),</v>
      </c>
    </row>
    <row r="40" spans="1:13" ht="20.100000000000001" customHeight="1" x14ac:dyDescent="0.25">
      <c r="A40" s="14">
        <v>78</v>
      </c>
      <c r="B40" s="14" t="s">
        <v>319</v>
      </c>
      <c r="C40" s="14" t="e">
        <f ca="1">_xlfn.XLOOKUP(B40,'02-03-07'!B$3:B$24,'02-03-07'!A$3:A$24)</f>
        <v>#NAME?</v>
      </c>
      <c r="D40" s="15" t="s">
        <v>3512</v>
      </c>
      <c r="E40" s="16" t="str">
        <f t="shared" si="1"/>
        <v>Station de Pompage OPS4-OH1</v>
      </c>
      <c r="F40" s="17">
        <v>27395</v>
      </c>
      <c r="G40" s="17">
        <v>27395</v>
      </c>
      <c r="H40" s="18" t="s">
        <v>20</v>
      </c>
      <c r="I40" s="18">
        <v>1</v>
      </c>
      <c r="J40" s="18" t="s">
        <v>3552</v>
      </c>
      <c r="K40" s="18">
        <v>7</v>
      </c>
      <c r="L40" s="18">
        <v>10</v>
      </c>
      <c r="M40" s="16" t="str">
        <f t="shared" si="3"/>
        <v>(78,'OPS4-OH1','Station de Pompage OPS4-OH1','1975-01-01','1975-01-01',NULL,1,10),</v>
      </c>
    </row>
    <row r="41" spans="1:13" ht="20.100000000000001" customHeight="1" x14ac:dyDescent="0.25">
      <c r="A41" s="14">
        <v>79</v>
      </c>
      <c r="B41" s="14" t="s">
        <v>3533</v>
      </c>
      <c r="C41" s="14" t="e">
        <f ca="1">_xlfn.XLOOKUP(B41,'02-03-07'!B$3:B$24,'02-03-07'!A$3:A$24)</f>
        <v>#NAME?</v>
      </c>
      <c r="D41" s="15" t="s">
        <v>125</v>
      </c>
      <c r="E41" s="16" t="str">
        <f t="shared" si="1"/>
        <v>Station de Pompage SP1-OD1</v>
      </c>
      <c r="F41" s="17">
        <v>28207</v>
      </c>
      <c r="G41" s="17">
        <v>28207</v>
      </c>
      <c r="H41" s="18" t="s">
        <v>20</v>
      </c>
      <c r="I41" s="18">
        <v>1</v>
      </c>
      <c r="J41" s="18" t="s">
        <v>3552</v>
      </c>
      <c r="K41" s="18">
        <v>7</v>
      </c>
      <c r="L41" s="18">
        <v>10</v>
      </c>
      <c r="M41" s="16" t="str">
        <f t="shared" si="3"/>
        <v>(79,'SP1-OD1','Station de Pompage SP1-OD1','1977-03-23','1977-03-23',NULL,1,10),</v>
      </c>
    </row>
    <row r="42" spans="1:13" ht="20.100000000000001" customHeight="1" x14ac:dyDescent="0.25">
      <c r="A42" s="14">
        <v>80</v>
      </c>
      <c r="B42" s="14" t="s">
        <v>3533</v>
      </c>
      <c r="C42" s="14" t="e">
        <f ca="1">_xlfn.XLOOKUP(B42,'02-03-07'!B$3:B$24,'02-03-07'!A$3:A$24)</f>
        <v>#NAME?</v>
      </c>
      <c r="D42" s="15" t="s">
        <v>127</v>
      </c>
      <c r="E42" s="16" t="str">
        <f t="shared" si="1"/>
        <v>Station de Pompage SP1-OH2</v>
      </c>
      <c r="F42" s="17">
        <v>26399</v>
      </c>
      <c r="G42" s="17">
        <v>26399</v>
      </c>
      <c r="H42" s="18" t="s">
        <v>20</v>
      </c>
      <c r="I42" s="18">
        <v>1</v>
      </c>
      <c r="J42" s="18" t="s">
        <v>3552</v>
      </c>
      <c r="K42" s="18">
        <v>7</v>
      </c>
      <c r="L42" s="18">
        <v>10</v>
      </c>
      <c r="M42" s="16" t="str">
        <f t="shared" si="3"/>
        <v>(80,'SP1-OH2','Station de Pompage SP1-OH2','1972-04-10','1972-04-10',NULL,1,10),</v>
      </c>
    </row>
    <row r="43" spans="1:13" ht="20.100000000000001" customHeight="1" x14ac:dyDescent="0.25">
      <c r="A43" s="14">
        <v>81</v>
      </c>
      <c r="B43" s="14" t="s">
        <v>588</v>
      </c>
      <c r="C43" s="14" t="e">
        <f ca="1">_xlfn.XLOOKUP(B43,'02-03-07'!B$3:B$24,'02-03-07'!A$3:A$24)</f>
        <v>#NAME?</v>
      </c>
      <c r="D43" s="15" t="s">
        <v>129</v>
      </c>
      <c r="E43" s="16" t="str">
        <f t="shared" si="1"/>
        <v>Station de Pompage SP1-OH3/OH4</v>
      </c>
      <c r="F43" s="17">
        <v>37927</v>
      </c>
      <c r="G43" s="17">
        <v>37927</v>
      </c>
      <c r="H43" s="18" t="s">
        <v>20</v>
      </c>
      <c r="I43" s="18">
        <v>1</v>
      </c>
      <c r="J43" s="18" t="s">
        <v>3552</v>
      </c>
      <c r="K43" s="18">
        <v>7</v>
      </c>
      <c r="L43" s="18">
        <v>10</v>
      </c>
      <c r="M43" s="16" t="str">
        <f t="shared" si="3"/>
        <v>(81,'SP1-OH3/OH4','Station de Pompage SP1-OH3/OH4','2003-11-02','2003-11-02',NULL,1,10),</v>
      </c>
    </row>
    <row r="44" spans="1:13" ht="20.100000000000001" customHeight="1" x14ac:dyDescent="0.25">
      <c r="A44" s="14">
        <v>82</v>
      </c>
      <c r="B44" s="14" t="s">
        <v>588</v>
      </c>
      <c r="C44" s="14" t="e">
        <f ca="1">_xlfn.XLOOKUP(B44,'02-03-07'!B$3:B$24,'02-03-07'!A$3:A$24)</f>
        <v>#NAME?</v>
      </c>
      <c r="D44" s="15" t="s">
        <v>131</v>
      </c>
      <c r="E44" s="16" t="str">
        <f t="shared" si="1"/>
        <v>Station de Pompage SP2-OH3/OH4</v>
      </c>
      <c r="F44" s="17">
        <v>37721</v>
      </c>
      <c r="G44" s="17">
        <v>37721</v>
      </c>
      <c r="H44" s="18" t="s">
        <v>20</v>
      </c>
      <c r="I44" s="18">
        <v>2</v>
      </c>
      <c r="J44" s="18" t="s">
        <v>3552</v>
      </c>
      <c r="K44" s="18">
        <v>7</v>
      </c>
      <c r="L44" s="18">
        <v>10</v>
      </c>
      <c r="M44" s="16" t="str">
        <f t="shared" si="3"/>
        <v>(82,'SP2-OH3/OH4','Station de Pompage SP2-OH3/OH4','2003-04-10','2003-04-10',NULL,2,10),</v>
      </c>
    </row>
    <row r="45" spans="1:13" ht="20.100000000000001" customHeight="1" x14ac:dyDescent="0.25">
      <c r="A45" s="14">
        <v>83</v>
      </c>
      <c r="B45" s="14" t="s">
        <v>341</v>
      </c>
      <c r="C45" s="14" t="e">
        <f ca="1">_xlfn.XLOOKUP(B45,'02-03-07'!B$3:B$24,'02-03-07'!A$3:A$24)</f>
        <v>#NAME?</v>
      </c>
      <c r="D45" s="15" t="s">
        <v>133</v>
      </c>
      <c r="E45" s="16" t="str">
        <f t="shared" si="1"/>
        <v>Station de Pompage SP4-NZ1</v>
      </c>
      <c r="F45" s="17">
        <v>28796</v>
      </c>
      <c r="G45" s="17">
        <v>28796</v>
      </c>
      <c r="H45" s="18" t="s">
        <v>20</v>
      </c>
      <c r="I45" s="18">
        <v>1</v>
      </c>
      <c r="J45" s="18" t="s">
        <v>3552</v>
      </c>
      <c r="K45" s="18">
        <v>7</v>
      </c>
      <c r="L45" s="18">
        <v>10</v>
      </c>
      <c r="M45" s="16" t="str">
        <f t="shared" si="3"/>
        <v>(83,'SP4-NZ1','Station de Pompage SP4-NZ1','1978-11-02','1978-11-02',NULL,1,10),</v>
      </c>
    </row>
    <row r="46" spans="1:13" ht="20.100000000000001" customHeight="1" x14ac:dyDescent="0.25">
      <c r="A46" s="14">
        <v>84</v>
      </c>
      <c r="B46" s="14" t="s">
        <v>341</v>
      </c>
      <c r="C46" s="14" t="e">
        <f ca="1">_xlfn.XLOOKUP(B46,'02-03-07'!B$3:B$24,'02-03-07'!A$3:A$24)</f>
        <v>#NAME?</v>
      </c>
      <c r="D46" s="15" t="s">
        <v>135</v>
      </c>
      <c r="E46" s="16" t="str">
        <f t="shared" si="1"/>
        <v>Station de Pompage SP5-NZ1</v>
      </c>
      <c r="F46" s="17">
        <v>28796</v>
      </c>
      <c r="G46" s="17">
        <v>28796</v>
      </c>
      <c r="H46" s="18" t="s">
        <v>20</v>
      </c>
      <c r="I46" s="18">
        <v>1</v>
      </c>
      <c r="J46" s="18" t="s">
        <v>3552</v>
      </c>
      <c r="K46" s="18">
        <v>7</v>
      </c>
      <c r="L46" s="18">
        <v>10</v>
      </c>
      <c r="M46" s="16" t="str">
        <f t="shared" si="3"/>
        <v>(84,'SP5-NZ1','Station de Pompage SP5-NZ1','1978-11-02','1978-11-02',NULL,1,10),</v>
      </c>
    </row>
    <row r="47" spans="1:13" ht="20.100000000000001" customHeight="1" x14ac:dyDescent="0.25">
      <c r="A47" s="14">
        <v>85</v>
      </c>
      <c r="B47" s="14" t="s">
        <v>341</v>
      </c>
      <c r="C47" s="14" t="e">
        <f ca="1">_xlfn.XLOOKUP(B47,'02-03-07'!B$3:B$24,'02-03-07'!A$3:A$24)</f>
        <v>#NAME?</v>
      </c>
      <c r="D47" s="15" t="s">
        <v>137</v>
      </c>
      <c r="E47" s="16" t="str">
        <f t="shared" si="1"/>
        <v>Station de Pompage SP6-NZ1</v>
      </c>
      <c r="F47" s="17">
        <v>28796</v>
      </c>
      <c r="G47" s="17">
        <v>28796</v>
      </c>
      <c r="H47" s="18" t="s">
        <v>20</v>
      </c>
      <c r="I47" s="18">
        <v>1</v>
      </c>
      <c r="J47" s="18" t="s">
        <v>3552</v>
      </c>
      <c r="K47" s="18">
        <v>7</v>
      </c>
      <c r="L47" s="18">
        <v>10</v>
      </c>
      <c r="M47" s="16" t="str">
        <f t="shared" si="3"/>
        <v>(85,'SP6-NZ1','Station de Pompage SP6-NZ1','1978-11-02','1978-11-02',NULL,1,10),</v>
      </c>
    </row>
    <row r="48" spans="1:13" ht="20.100000000000001" customHeight="1" x14ac:dyDescent="0.25">
      <c r="A48" s="14">
        <v>86</v>
      </c>
      <c r="B48" s="14" t="s">
        <v>341</v>
      </c>
      <c r="C48" s="14" t="e">
        <f ca="1">_xlfn.XLOOKUP(B48,'02-03-07'!B$3:B$24,'02-03-07'!A$3:A$24)</f>
        <v>#NAME?</v>
      </c>
      <c r="D48" s="15" t="s">
        <v>139</v>
      </c>
      <c r="E48" s="16" t="str">
        <f>CONCATENATE("Station de Régulation ",D48)</f>
        <v>Station de Régulation PRS-NZ1</v>
      </c>
      <c r="F48" s="17">
        <v>28796</v>
      </c>
      <c r="G48" s="17">
        <v>28796</v>
      </c>
      <c r="H48" s="18" t="s">
        <v>20</v>
      </c>
      <c r="I48" s="18">
        <v>1</v>
      </c>
      <c r="J48" s="18" t="s">
        <v>3553</v>
      </c>
      <c r="K48" s="18">
        <v>9</v>
      </c>
      <c r="L48" s="18">
        <v>10</v>
      </c>
      <c r="M48" s="16" t="str">
        <f t="shared" si="3"/>
        <v>(86,'PRS-NZ1','Station de Régulation PRS-NZ1','1978-11-02','1978-11-02',NULL,1,10),</v>
      </c>
    </row>
    <row r="49" spans="1:13" ht="20.100000000000001" customHeight="1" x14ac:dyDescent="0.25">
      <c r="A49" s="14">
        <v>87</v>
      </c>
      <c r="B49" s="14" t="s">
        <v>344</v>
      </c>
      <c r="C49" s="14" t="e">
        <f ca="1">_xlfn.XLOOKUP(B49,'02-03-07'!B$3:B$24,'02-03-07'!A$3:A$24)</f>
        <v>#NAME?</v>
      </c>
      <c r="D49" s="15" t="s">
        <v>141</v>
      </c>
      <c r="E49" s="16" t="str">
        <f t="shared" si="1"/>
        <v>Station de Pompage SP1-NK1</v>
      </c>
      <c r="F49" s="17">
        <v>39814</v>
      </c>
      <c r="G49" s="17">
        <v>39814</v>
      </c>
      <c r="H49" s="18" t="s">
        <v>20</v>
      </c>
      <c r="I49" s="18">
        <v>1</v>
      </c>
      <c r="J49" s="18" t="s">
        <v>3552</v>
      </c>
      <c r="K49" s="18">
        <v>7</v>
      </c>
      <c r="L49" s="18">
        <v>10</v>
      </c>
      <c r="M49" s="16" t="str">
        <f t="shared" si="3"/>
        <v>(87,'SP1-NK1','Station de Pompage SP1-NK1','2009-01-01','2009-01-01',NULL,1,10),</v>
      </c>
    </row>
    <row r="50" spans="1:13" ht="20.100000000000001" customHeight="1" x14ac:dyDescent="0.25">
      <c r="A50" s="14">
        <v>88</v>
      </c>
      <c r="B50" s="14" t="s">
        <v>344</v>
      </c>
      <c r="C50" s="14" t="e">
        <f ca="1">_xlfn.XLOOKUP(B50,'02-03-07'!B$3:B$24,'02-03-07'!A$3:A$24)</f>
        <v>#NAME?</v>
      </c>
      <c r="D50" s="15" t="s">
        <v>143</v>
      </c>
      <c r="E50" s="16" t="str">
        <f t="shared" si="1"/>
        <v>Station de Pompage SP3-NK1</v>
      </c>
      <c r="F50" s="17">
        <v>39814</v>
      </c>
      <c r="G50" s="17">
        <v>39814</v>
      </c>
      <c r="H50" s="18" t="s">
        <v>20</v>
      </c>
      <c r="I50" s="18">
        <v>1</v>
      </c>
      <c r="J50" s="18" t="s">
        <v>3552</v>
      </c>
      <c r="K50" s="18">
        <v>7</v>
      </c>
      <c r="L50" s="18">
        <v>10</v>
      </c>
      <c r="M50" s="16" t="str">
        <f t="shared" si="3"/>
        <v>(88,'SP3-NK1','Station de Pompage SP3-NK1','2009-01-01','2009-01-01',NULL,1,10),</v>
      </c>
    </row>
    <row r="51" spans="1:13" ht="20.100000000000001" customHeight="1" x14ac:dyDescent="0.25">
      <c r="A51" s="14">
        <v>89</v>
      </c>
      <c r="B51" s="14" t="s">
        <v>607</v>
      </c>
      <c r="C51" s="14" t="e">
        <f ca="1">_xlfn.XLOOKUP(B51,'02-03-07'!B$3:B$24,'02-03-07'!A$3:A$24)</f>
        <v>#NAME?</v>
      </c>
      <c r="D51" s="15" t="s">
        <v>145</v>
      </c>
      <c r="E51" s="16" t="str">
        <f t="shared" si="1"/>
        <v>Station de Pompage SP4-LNZ1</v>
      </c>
      <c r="F51" s="17">
        <v>26950</v>
      </c>
      <c r="G51" s="17">
        <v>26950</v>
      </c>
      <c r="H51" s="17">
        <v>39082</v>
      </c>
      <c r="I51" s="18">
        <v>8</v>
      </c>
      <c r="J51" s="18" t="s">
        <v>3552</v>
      </c>
      <c r="K51" s="18">
        <v>7</v>
      </c>
      <c r="L51" s="18">
        <v>10</v>
      </c>
      <c r="M51" s="16" t="str">
        <f t="shared" si="2"/>
        <v>(89,'SP4-LNZ1','Station de Pompage SP4-LNZ1','1973-10-13','1973-10-13','2006-12-31',8,10),</v>
      </c>
    </row>
    <row r="52" spans="1:13" ht="20.100000000000001" customHeight="1" x14ac:dyDescent="0.25">
      <c r="A52" s="14">
        <v>90</v>
      </c>
      <c r="B52" s="14" t="s">
        <v>607</v>
      </c>
      <c r="C52" s="14" t="e">
        <f ca="1">_xlfn.XLOOKUP(B52,'02-03-07'!B$3:B$24,'02-03-07'!A$3:A$24)</f>
        <v>#NAME?</v>
      </c>
      <c r="D52" s="15" t="s">
        <v>147</v>
      </c>
      <c r="E52" s="16" t="str">
        <f t="shared" si="1"/>
        <v>Station de Pompage SP5-LNZ1</v>
      </c>
      <c r="F52" s="17">
        <v>26950</v>
      </c>
      <c r="G52" s="17">
        <v>26950</v>
      </c>
      <c r="H52" s="17">
        <v>39082</v>
      </c>
      <c r="I52" s="18">
        <v>8</v>
      </c>
      <c r="J52" s="18" t="s">
        <v>3552</v>
      </c>
      <c r="K52" s="18">
        <v>7</v>
      </c>
      <c r="L52" s="18">
        <v>10</v>
      </c>
      <c r="M52" s="16" t="str">
        <f t="shared" si="2"/>
        <v>(90,'SP5-LNZ1','Station de Pompage SP5-LNZ1','1973-10-13','1973-10-13','2006-12-31',8,10),</v>
      </c>
    </row>
    <row r="53" spans="1:13" ht="20.100000000000001" customHeight="1" x14ac:dyDescent="0.25">
      <c r="A53" s="14">
        <v>91</v>
      </c>
      <c r="B53" s="14" t="s">
        <v>607</v>
      </c>
      <c r="C53" s="14" t="e">
        <f ca="1">_xlfn.XLOOKUP(B53,'02-03-07'!B$3:B$24,'02-03-07'!A$3:A$24)</f>
        <v>#NAME?</v>
      </c>
      <c r="D53" s="15" t="s">
        <v>149</v>
      </c>
      <c r="E53" s="16" t="str">
        <f t="shared" si="1"/>
        <v>Station de Pompage SP6-LNZ1</v>
      </c>
      <c r="F53" s="17">
        <v>26950</v>
      </c>
      <c r="G53" s="17">
        <v>26950</v>
      </c>
      <c r="H53" s="17">
        <v>39082</v>
      </c>
      <c r="I53" s="18">
        <v>8</v>
      </c>
      <c r="J53" s="18" t="s">
        <v>3552</v>
      </c>
      <c r="K53" s="18">
        <v>7</v>
      </c>
      <c r="L53" s="18">
        <v>10</v>
      </c>
      <c r="M53" s="16" t="str">
        <f t="shared" si="2"/>
        <v>(91,'SP6-LNZ1','Station de Pompage SP6-LNZ1','1973-10-13','1973-10-13','2006-12-31',8,10),</v>
      </c>
    </row>
    <row r="54" spans="1:13" ht="20.100000000000001" customHeight="1" x14ac:dyDescent="0.25">
      <c r="A54" s="14">
        <v>92</v>
      </c>
      <c r="B54" s="14" t="s">
        <v>607</v>
      </c>
      <c r="C54" s="14" t="e">
        <f ca="1">_xlfn.XLOOKUP(B54,'02-03-07'!B$3:B$24,'02-03-07'!A$3:A$24)</f>
        <v>#NAME?</v>
      </c>
      <c r="D54" s="15" t="s">
        <v>3516</v>
      </c>
      <c r="E54" s="16" t="str">
        <f t="shared" si="1"/>
        <v>Station de Pompage PRS-LNZ1</v>
      </c>
      <c r="F54" s="17">
        <v>26950</v>
      </c>
      <c r="G54" s="17">
        <v>26950</v>
      </c>
      <c r="H54" s="17">
        <v>39082</v>
      </c>
      <c r="I54" s="18">
        <v>8</v>
      </c>
      <c r="J54" s="18" t="s">
        <v>3553</v>
      </c>
      <c r="K54" s="18">
        <v>9</v>
      </c>
      <c r="L54" s="18">
        <v>10</v>
      </c>
      <c r="M54" s="16" t="str">
        <f t="shared" si="2"/>
        <v>(92,'PRS-LNZ1','Station de Pompage PRS-LNZ1','1973-10-13','1973-10-13','2006-12-31',8,10),</v>
      </c>
    </row>
    <row r="55" spans="1:13" ht="20.100000000000001" customHeight="1" x14ac:dyDescent="0.25">
      <c r="A55" s="14">
        <v>93</v>
      </c>
      <c r="B55" s="14" t="s">
        <v>607</v>
      </c>
      <c r="C55" s="14" t="e">
        <f ca="1">_xlfn.XLOOKUP(B55,'02-03-07'!B$3:B$24,'02-03-07'!A$3:A$24)</f>
        <v>#NAME?</v>
      </c>
      <c r="D55" s="15" t="s">
        <v>153</v>
      </c>
      <c r="E55" s="16" t="str">
        <f t="shared" si="1"/>
        <v>Station de Pompage SP1-LZ1</v>
      </c>
      <c r="F55" s="17">
        <v>30714</v>
      </c>
      <c r="G55" s="17">
        <v>30714</v>
      </c>
      <c r="H55" s="18" t="s">
        <v>20</v>
      </c>
      <c r="I55" s="18">
        <v>1</v>
      </c>
      <c r="J55" s="18" t="s">
        <v>3552</v>
      </c>
      <c r="K55" s="18">
        <v>7</v>
      </c>
      <c r="L55" s="18">
        <v>10</v>
      </c>
      <c r="M55" s="16" t="str">
        <f t="shared" ref="M55:M101" si="4">CONCATENATE("(",A55,",'",D55,"','",E55,"','",TEXT(F55,"yyyy-mm-dd"),"','",TEXT(G55,"yyyy-mm-dd"),"',",H55,",",I55,",",L55,"),")</f>
        <v>(93,'SP1-LZ1','Station de Pompage SP1-LZ1','1984-02-02','1984-02-02',NULL,1,10),</v>
      </c>
    </row>
    <row r="56" spans="1:13" ht="20.100000000000001" customHeight="1" x14ac:dyDescent="0.25">
      <c r="A56" s="14">
        <v>94</v>
      </c>
      <c r="B56" s="14" t="s">
        <v>607</v>
      </c>
      <c r="C56" s="14" t="e">
        <f ca="1">_xlfn.XLOOKUP(B56,'02-03-07'!B$3:B$24,'02-03-07'!A$3:A$24)</f>
        <v>#NAME?</v>
      </c>
      <c r="D56" s="15" t="s">
        <v>3513</v>
      </c>
      <c r="E56" s="16" t="str">
        <f t="shared" si="1"/>
        <v>Station de Pompage SP2-LZ1</v>
      </c>
      <c r="F56" s="17">
        <v>38997</v>
      </c>
      <c r="G56" s="17">
        <v>38997</v>
      </c>
      <c r="H56" s="18" t="s">
        <v>20</v>
      </c>
      <c r="I56" s="18">
        <v>1</v>
      </c>
      <c r="J56" s="18" t="s">
        <v>3552</v>
      </c>
      <c r="K56" s="18">
        <v>7</v>
      </c>
      <c r="L56" s="18">
        <v>10</v>
      </c>
      <c r="M56" s="16" t="str">
        <f t="shared" si="4"/>
        <v>(94,'SP2-LZ1','Station de Pompage SP2-LZ1','2006-10-07','2006-10-07',NULL,1,10),</v>
      </c>
    </row>
    <row r="57" spans="1:13" ht="20.100000000000001" customHeight="1" x14ac:dyDescent="0.25">
      <c r="A57" s="14">
        <v>95</v>
      </c>
      <c r="B57" s="14" t="s">
        <v>607</v>
      </c>
      <c r="C57" s="14" t="e">
        <f ca="1">_xlfn.XLOOKUP(B57,'02-03-07'!B$3:B$24,'02-03-07'!A$3:A$24)</f>
        <v>#NAME?</v>
      </c>
      <c r="D57" s="15" t="s">
        <v>3514</v>
      </c>
      <c r="E57" s="16" t="str">
        <f>CONCATENATE("Station de Régulation ",D57)</f>
        <v>Station de Régulation PRS-LZ1</v>
      </c>
      <c r="F57" s="17">
        <v>41374</v>
      </c>
      <c r="G57" s="17">
        <v>42029</v>
      </c>
      <c r="H57" s="18" t="s">
        <v>20</v>
      </c>
      <c r="I57" s="18">
        <v>1</v>
      </c>
      <c r="J57" s="18" t="s">
        <v>3553</v>
      </c>
      <c r="K57" s="18">
        <v>9</v>
      </c>
      <c r="L57" s="18">
        <v>10</v>
      </c>
      <c r="M57" s="16" t="str">
        <f t="shared" si="4"/>
        <v>(95,'PRS-LZ1','Station de Régulation PRS-LZ1','2013-04-10','2015-01-25',NULL,1,10),</v>
      </c>
    </row>
    <row r="58" spans="1:13" ht="20.100000000000001" customHeight="1" x14ac:dyDescent="0.25">
      <c r="A58" s="14">
        <v>96</v>
      </c>
      <c r="B58" s="14" t="s">
        <v>607</v>
      </c>
      <c r="C58" s="14" t="e">
        <f ca="1">_xlfn.XLOOKUP(B58,'02-03-07'!B$3:B$24,'02-03-07'!A$3:A$24)</f>
        <v>#NAME?</v>
      </c>
      <c r="D58" s="15" t="s">
        <v>155</v>
      </c>
      <c r="E58" s="16" t="str">
        <f t="shared" si="1"/>
        <v>Station de Pompage SP1-LZ2</v>
      </c>
      <c r="F58" s="17">
        <v>40483</v>
      </c>
      <c r="G58" s="17">
        <v>40483</v>
      </c>
      <c r="H58" s="18" t="s">
        <v>20</v>
      </c>
      <c r="I58" s="18">
        <v>1</v>
      </c>
      <c r="J58" s="18" t="s">
        <v>3552</v>
      </c>
      <c r="K58" s="18">
        <v>7</v>
      </c>
      <c r="L58" s="18">
        <v>10</v>
      </c>
      <c r="M58" s="16" t="str">
        <f t="shared" si="4"/>
        <v>(96,'SP1-LZ2','Station de Pompage SP1-LZ2','2010-11-01','2010-11-01',NULL,1,10),</v>
      </c>
    </row>
    <row r="59" spans="1:13" ht="20.100000000000001" customHeight="1" x14ac:dyDescent="0.25">
      <c r="A59" s="14">
        <v>97</v>
      </c>
      <c r="B59" s="14" t="s">
        <v>607</v>
      </c>
      <c r="C59" s="14" t="e">
        <f ca="1">_xlfn.XLOOKUP(B59,'02-03-07'!B$3:B$24,'02-03-07'!A$3:A$24)</f>
        <v>#NAME?</v>
      </c>
      <c r="D59" s="15" t="s">
        <v>3515</v>
      </c>
      <c r="E59" s="16" t="str">
        <f>CONCATENATE("Station de Régulation ",D59)</f>
        <v>Station de Régulation PRS-LZ2</v>
      </c>
      <c r="F59" s="17">
        <v>41374</v>
      </c>
      <c r="G59" s="17">
        <v>42029</v>
      </c>
      <c r="H59" s="18" t="s">
        <v>20</v>
      </c>
      <c r="I59" s="18">
        <v>1</v>
      </c>
      <c r="J59" s="18" t="s">
        <v>3553</v>
      </c>
      <c r="K59" s="18">
        <v>9</v>
      </c>
      <c r="L59" s="18">
        <v>10</v>
      </c>
      <c r="M59" s="16" t="str">
        <f t="shared" si="4"/>
        <v>(97,'PRS-LZ2','Station de Régulation PRS-LZ2','2013-04-10','2015-01-25',NULL,1,10),</v>
      </c>
    </row>
    <row r="60" spans="1:13" ht="20.100000000000001" customHeight="1" x14ac:dyDescent="0.25">
      <c r="A60" s="14">
        <v>98</v>
      </c>
      <c r="B60" s="14" t="s">
        <v>3372</v>
      </c>
      <c r="C60" s="14" t="e">
        <f ca="1">_xlfn.XLOOKUP(B60,'02-03-07'!B$3:B$24,'02-03-07'!A$3:A$24)</f>
        <v>#NAME?</v>
      </c>
      <c r="D60" s="15" t="s">
        <v>159</v>
      </c>
      <c r="E60" s="16" t="str">
        <f t="shared" si="1"/>
        <v>Station de Pompage SPRN-LR1</v>
      </c>
      <c r="F60" s="17">
        <v>36462</v>
      </c>
      <c r="G60" s="17">
        <v>36462</v>
      </c>
      <c r="H60" s="18" t="s">
        <v>20</v>
      </c>
      <c r="I60" s="18">
        <v>1</v>
      </c>
      <c r="J60" s="18" t="s">
        <v>3552</v>
      </c>
      <c r="K60" s="18">
        <v>7</v>
      </c>
      <c r="L60" s="18">
        <v>10</v>
      </c>
      <c r="M60" s="16" t="str">
        <f t="shared" si="4"/>
        <v>(98,'SPRN-LR1','Station de Pompage SPRN-LR1','1999-10-29','1999-10-29',NULL,1,10),</v>
      </c>
    </row>
    <row r="61" spans="1:13" ht="20.100000000000001" customHeight="1" x14ac:dyDescent="0.25">
      <c r="A61" s="14">
        <v>99</v>
      </c>
      <c r="B61" s="14" t="s">
        <v>3372</v>
      </c>
      <c r="C61" s="14" t="e">
        <f ca="1">_xlfn.XLOOKUP(B61,'02-03-07'!B$3:B$24,'02-03-07'!A$3:A$24)</f>
        <v>#NAME?</v>
      </c>
      <c r="D61" s="15" t="s">
        <v>163</v>
      </c>
      <c r="E61" s="16" t="str">
        <f t="shared" si="1"/>
        <v>Station de Pompage SP1-LR1</v>
      </c>
      <c r="F61" s="17">
        <v>35065</v>
      </c>
      <c r="G61" s="17">
        <v>35065</v>
      </c>
      <c r="H61" s="17">
        <v>44926</v>
      </c>
      <c r="I61" s="18">
        <v>8</v>
      </c>
      <c r="J61" s="18" t="s">
        <v>3552</v>
      </c>
      <c r="K61" s="18">
        <v>7</v>
      </c>
      <c r="L61" s="18">
        <v>10</v>
      </c>
      <c r="M61" s="16" t="str">
        <f t="shared" si="4"/>
        <v>(99,'SP1-LR1','Station de Pompage SP1-LR1','1996-01-01','1996-01-01',44926,8,10),</v>
      </c>
    </row>
    <row r="62" spans="1:13" ht="20.100000000000001" customHeight="1" x14ac:dyDescent="0.25">
      <c r="A62" s="14">
        <v>100</v>
      </c>
      <c r="B62" s="14" t="s">
        <v>3372</v>
      </c>
      <c r="C62" s="14" t="e">
        <f ca="1">_xlfn.XLOOKUP(B62,'02-03-07'!B$3:B$24,'02-03-07'!A$3:A$24)</f>
        <v>#NAME?</v>
      </c>
      <c r="D62" s="15" t="s">
        <v>3517</v>
      </c>
      <c r="E62" s="16" t="str">
        <f t="shared" si="1"/>
        <v>Station de Pompage SP1New-LR1</v>
      </c>
      <c r="F62" s="17">
        <v>43132</v>
      </c>
      <c r="G62" s="17">
        <v>43132</v>
      </c>
      <c r="H62" s="18" t="s">
        <v>20</v>
      </c>
      <c r="I62" s="18">
        <v>1</v>
      </c>
      <c r="J62" s="18" t="s">
        <v>3552</v>
      </c>
      <c r="K62" s="18">
        <v>7</v>
      </c>
      <c r="L62" s="18">
        <v>10</v>
      </c>
      <c r="M62" s="16" t="str">
        <f t="shared" si="4"/>
        <v>(100,'SP1New-LR1','Station de Pompage SP1New-LR1','2018-02-01','2018-02-01',NULL,1,10),</v>
      </c>
    </row>
    <row r="63" spans="1:13" ht="20.100000000000001" customHeight="1" x14ac:dyDescent="0.25">
      <c r="A63" s="14">
        <v>101</v>
      </c>
      <c r="B63" s="14" t="s">
        <v>3372</v>
      </c>
      <c r="C63" s="14" t="e">
        <f ca="1">_xlfn.XLOOKUP(B63,'02-03-07'!B$3:B$24,'02-03-07'!A$3:A$24)</f>
        <v>#NAME?</v>
      </c>
      <c r="D63" s="15" t="s">
        <v>164</v>
      </c>
      <c r="E63" s="16" t="str">
        <f t="shared" si="1"/>
        <v>Station de Pompage SP2-LR1</v>
      </c>
      <c r="F63" s="17">
        <v>35065</v>
      </c>
      <c r="G63" s="17">
        <v>35065</v>
      </c>
      <c r="H63" s="18" t="s">
        <v>20</v>
      </c>
      <c r="I63" s="18">
        <v>1</v>
      </c>
      <c r="J63" s="18" t="s">
        <v>3552</v>
      </c>
      <c r="K63" s="18">
        <v>7</v>
      </c>
      <c r="L63" s="18">
        <v>10</v>
      </c>
      <c r="M63" s="16" t="str">
        <f t="shared" si="4"/>
        <v>(101,'SP2-LR1','Station de Pompage SP2-LR1','1996-01-01','1996-01-01',NULL,1,10),</v>
      </c>
    </row>
    <row r="64" spans="1:13" ht="20.100000000000001" customHeight="1" x14ac:dyDescent="0.25">
      <c r="A64" s="14">
        <v>102</v>
      </c>
      <c r="B64" s="14" t="s">
        <v>3372</v>
      </c>
      <c r="C64" s="14" t="e">
        <f ca="1">_xlfn.XLOOKUP(B64,'02-03-07'!B$3:B$24,'02-03-07'!A$3:A$24)</f>
        <v>#NAME?</v>
      </c>
      <c r="D64" s="15" t="s">
        <v>166</v>
      </c>
      <c r="E64" s="16" t="str">
        <f t="shared" si="1"/>
        <v>Station de Pompage SP1-LNZ1</v>
      </c>
      <c r="F64" s="17">
        <v>26665</v>
      </c>
      <c r="G64" s="17">
        <v>26665</v>
      </c>
      <c r="H64" s="17">
        <v>40178</v>
      </c>
      <c r="I64" s="18">
        <v>8</v>
      </c>
      <c r="J64" s="18" t="s">
        <v>3552</v>
      </c>
      <c r="K64" s="18">
        <v>7</v>
      </c>
      <c r="L64" s="18">
        <v>10</v>
      </c>
      <c r="M64" s="16" t="str">
        <f t="shared" si="4"/>
        <v>(102,'SP1-LNZ1','Station de Pompage SP1-LNZ1','1973-01-01','1973-01-01',40178,8,10),</v>
      </c>
    </row>
    <row r="65" spans="1:13" ht="20.100000000000001" customHeight="1" x14ac:dyDescent="0.25">
      <c r="A65" s="14">
        <v>103</v>
      </c>
      <c r="B65" s="14" t="s">
        <v>3372</v>
      </c>
      <c r="C65" s="14" t="e">
        <f ca="1">_xlfn.XLOOKUP(B65,'02-03-07'!B$3:B$24,'02-03-07'!A$3:A$24)</f>
        <v>#NAME?</v>
      </c>
      <c r="D65" s="15" t="s">
        <v>168</v>
      </c>
      <c r="E65" s="16" t="str">
        <f t="shared" si="1"/>
        <v>Station de Pompage SP3-LNZ1</v>
      </c>
      <c r="F65" s="17">
        <v>27030</v>
      </c>
      <c r="G65" s="17">
        <v>27030</v>
      </c>
      <c r="H65" s="17">
        <v>40178</v>
      </c>
      <c r="I65" s="18">
        <v>8</v>
      </c>
      <c r="J65" s="18" t="s">
        <v>3552</v>
      </c>
      <c r="K65" s="18">
        <v>7</v>
      </c>
      <c r="L65" s="18">
        <v>10</v>
      </c>
      <c r="M65" s="16" t="str">
        <f t="shared" si="4"/>
        <v>(103,'SP3-LNZ1','Station de Pompage SP3-LNZ1','1974-01-01','1974-01-01',40178,8,10),</v>
      </c>
    </row>
    <row r="66" spans="1:13" ht="20.100000000000001" customHeight="1" x14ac:dyDescent="0.25">
      <c r="A66" s="14">
        <v>104</v>
      </c>
      <c r="B66" s="14" t="s">
        <v>367</v>
      </c>
      <c r="C66" s="14" t="e">
        <f ca="1">_xlfn.XLOOKUP(B66,'02-03-07'!B$3:B$24,'02-03-07'!A$3:A$24)</f>
        <v>#NAME?</v>
      </c>
      <c r="D66" s="15" t="s">
        <v>170</v>
      </c>
      <c r="E66" s="16" t="str">
        <f t="shared" si="1"/>
        <v>Station de Pompage SC1-GZ0</v>
      </c>
      <c r="F66" s="17">
        <v>23743</v>
      </c>
      <c r="G66" s="17">
        <v>23743</v>
      </c>
      <c r="H66" s="17">
        <v>44838</v>
      </c>
      <c r="I66" s="18">
        <v>8</v>
      </c>
      <c r="J66" s="18" t="s">
        <v>3552</v>
      </c>
      <c r="K66" s="18">
        <v>7</v>
      </c>
      <c r="L66" s="18">
        <v>10</v>
      </c>
      <c r="M66" s="16" t="str">
        <f t="shared" si="4"/>
        <v>(104,'SC1-GZ0','Station de Pompage SC1-GZ0','1965-01-01','1965-01-01',44838,8,10),</v>
      </c>
    </row>
    <row r="67" spans="1:13" ht="20.100000000000001" customHeight="1" x14ac:dyDescent="0.25">
      <c r="A67" s="14">
        <v>105</v>
      </c>
      <c r="B67" s="14" t="s">
        <v>367</v>
      </c>
      <c r="C67" s="14" t="e">
        <f ca="1">_xlfn.XLOOKUP(B67,'02-03-07'!B$3:B$24,'02-03-07'!A$3:A$24)</f>
        <v>#NAME?</v>
      </c>
      <c r="D67" s="15" t="s">
        <v>172</v>
      </c>
      <c r="E67" s="16" t="str">
        <f t="shared" si="1"/>
        <v>Station de Pompage SC2-GZ0</v>
      </c>
      <c r="F67" s="17">
        <v>26299</v>
      </c>
      <c r="G67" s="17">
        <v>26299</v>
      </c>
      <c r="H67" s="17">
        <v>44838</v>
      </c>
      <c r="I67" s="18">
        <v>8</v>
      </c>
      <c r="J67" s="18" t="s">
        <v>3552</v>
      </c>
      <c r="K67" s="18">
        <v>7</v>
      </c>
      <c r="L67" s="18">
        <v>10</v>
      </c>
      <c r="M67" s="16" t="str">
        <f t="shared" si="4"/>
        <v>(105,'SC2-GZ0','Station de Pompage SC2-GZ0','1972-01-01','1972-01-01',44838,8,10),</v>
      </c>
    </row>
    <row r="68" spans="1:13" ht="20.100000000000001" customHeight="1" x14ac:dyDescent="0.25">
      <c r="A68" s="14">
        <v>106</v>
      </c>
      <c r="B68" s="14" t="s">
        <v>367</v>
      </c>
      <c r="C68" s="14" t="e">
        <f ca="1">_xlfn.XLOOKUP(B68,'02-03-07'!B$3:B$24,'02-03-07'!A$3:A$24)</f>
        <v>#NAME?</v>
      </c>
      <c r="D68" s="15" t="s">
        <v>174</v>
      </c>
      <c r="E68" s="16" t="str">
        <f t="shared" si="1"/>
        <v>Station de Pompage SC3-GZ0</v>
      </c>
      <c r="F68" s="17">
        <v>23743</v>
      </c>
      <c r="G68" s="17">
        <v>23743</v>
      </c>
      <c r="H68" s="17">
        <v>44838</v>
      </c>
      <c r="I68" s="18">
        <v>8</v>
      </c>
      <c r="J68" s="18" t="s">
        <v>3552</v>
      </c>
      <c r="K68" s="18">
        <v>7</v>
      </c>
      <c r="L68" s="18">
        <v>10</v>
      </c>
      <c r="M68" s="16" t="str">
        <f t="shared" si="4"/>
        <v>(106,'SC3-GZ0','Station de Pompage SC3-GZ0','1965-01-01','1965-01-01',44838,8,10),</v>
      </c>
    </row>
    <row r="69" spans="1:13" ht="20.100000000000001" customHeight="1" x14ac:dyDescent="0.25">
      <c r="A69" s="14">
        <v>107</v>
      </c>
      <c r="B69" s="14" t="s">
        <v>367</v>
      </c>
      <c r="C69" s="14" t="e">
        <f ca="1">_xlfn.XLOOKUP(B69,'02-03-07'!B$3:B$24,'02-03-07'!A$3:A$24)</f>
        <v>#NAME?</v>
      </c>
      <c r="D69" s="15" t="s">
        <v>176</v>
      </c>
      <c r="E69" s="16" t="str">
        <f t="shared" si="1"/>
        <v>Station de Pompage SC4-GZ0</v>
      </c>
      <c r="F69" s="17">
        <v>26299</v>
      </c>
      <c r="G69" s="17">
        <v>26299</v>
      </c>
      <c r="H69" s="17">
        <v>44838</v>
      </c>
      <c r="I69" s="18">
        <v>8</v>
      </c>
      <c r="J69" s="18" t="s">
        <v>3552</v>
      </c>
      <c r="K69" s="18">
        <v>7</v>
      </c>
      <c r="L69" s="18">
        <v>10</v>
      </c>
      <c r="M69" s="16" t="str">
        <f t="shared" si="4"/>
        <v>(107,'SC4-GZ0','Station de Pompage SC4-GZ0','1972-01-01','1972-01-01',44838,8,10),</v>
      </c>
    </row>
    <row r="70" spans="1:13" ht="20.100000000000001" customHeight="1" x14ac:dyDescent="0.25">
      <c r="A70" s="14">
        <v>108</v>
      </c>
      <c r="B70" s="14" t="s">
        <v>631</v>
      </c>
      <c r="C70" s="14" t="e">
        <f ca="1">_xlfn.XLOOKUP(B70,'02-03-07'!B$3:B$24,'02-03-07'!A$3:A$24)</f>
        <v>#NAME?</v>
      </c>
      <c r="D70" s="15" t="s">
        <v>178</v>
      </c>
      <c r="E70" s="16" t="str">
        <f t="shared" si="1"/>
        <v>Station de Pompage SC1-GZ1</v>
      </c>
      <c r="F70" s="17">
        <v>28491</v>
      </c>
      <c r="G70" s="17">
        <v>28491</v>
      </c>
      <c r="H70" s="18" t="s">
        <v>20</v>
      </c>
      <c r="I70" s="18">
        <v>1</v>
      </c>
      <c r="J70" s="18" t="s">
        <v>3552</v>
      </c>
      <c r="K70" s="18">
        <v>7</v>
      </c>
      <c r="L70" s="18">
        <v>10</v>
      </c>
      <c r="M70" s="16" t="str">
        <f t="shared" si="4"/>
        <v>(108,'SC1-GZ1','Station de Pompage SC1-GZ1','1978-01-01','1978-01-01',NULL,1,10),</v>
      </c>
    </row>
    <row r="71" spans="1:13" ht="20.100000000000001" customHeight="1" x14ac:dyDescent="0.25">
      <c r="A71" s="14">
        <v>109</v>
      </c>
      <c r="B71" s="14" t="s">
        <v>631</v>
      </c>
      <c r="C71" s="14" t="e">
        <f ca="1">_xlfn.XLOOKUP(B71,'02-03-07'!B$3:B$24,'02-03-07'!A$3:A$24)</f>
        <v>#NAME?</v>
      </c>
      <c r="D71" s="15" t="s">
        <v>184</v>
      </c>
      <c r="E71" s="16" t="str">
        <f t="shared" si="1"/>
        <v>Station de Pompage SC2-GZ1</v>
      </c>
      <c r="F71" s="17">
        <v>28856</v>
      </c>
      <c r="G71" s="17">
        <v>28856</v>
      </c>
      <c r="H71" s="18" t="s">
        <v>20</v>
      </c>
      <c r="I71" s="18">
        <v>1</v>
      </c>
      <c r="J71" s="18" t="s">
        <v>3552</v>
      </c>
      <c r="K71" s="18">
        <v>7</v>
      </c>
      <c r="L71" s="18">
        <v>10</v>
      </c>
      <c r="M71" s="16" t="str">
        <f t="shared" si="4"/>
        <v>(109,'SC2-GZ1','Station de Pompage SC2-GZ1','1979-01-01','1979-01-01',NULL,1,10),</v>
      </c>
    </row>
    <row r="72" spans="1:13" ht="20.100000000000001" customHeight="1" x14ac:dyDescent="0.25">
      <c r="A72" s="14">
        <v>110</v>
      </c>
      <c r="B72" s="14" t="s">
        <v>631</v>
      </c>
      <c r="C72" s="14" t="e">
        <f ca="1">_xlfn.XLOOKUP(B72,'02-03-07'!B$3:B$24,'02-03-07'!A$3:A$24)</f>
        <v>#NAME?</v>
      </c>
      <c r="D72" s="15" t="s">
        <v>190</v>
      </c>
      <c r="E72" s="16" t="str">
        <f t="shared" si="1"/>
        <v>Station de Pompage SC3-GZ1</v>
      </c>
      <c r="F72" s="17">
        <v>28491</v>
      </c>
      <c r="G72" s="17">
        <v>28491</v>
      </c>
      <c r="H72" s="18" t="s">
        <v>20</v>
      </c>
      <c r="I72" s="18">
        <v>1</v>
      </c>
      <c r="J72" s="18" t="s">
        <v>3552</v>
      </c>
      <c r="K72" s="18">
        <v>7</v>
      </c>
      <c r="L72" s="18">
        <v>10</v>
      </c>
      <c r="M72" s="16" t="str">
        <f t="shared" si="4"/>
        <v>(110,'SC3-GZ1','Station de Pompage SC3-GZ1','1978-01-01','1978-01-01',NULL,1,10),</v>
      </c>
    </row>
    <row r="73" spans="1:13" ht="20.100000000000001" customHeight="1" x14ac:dyDescent="0.25">
      <c r="A73" s="14">
        <v>111</v>
      </c>
      <c r="B73" s="14" t="s">
        <v>631</v>
      </c>
      <c r="C73" s="14" t="e">
        <f ca="1">_xlfn.XLOOKUP(B73,'02-03-07'!B$3:B$24,'02-03-07'!A$3:A$24)</f>
        <v>#NAME?</v>
      </c>
      <c r="D73" s="15" t="s">
        <v>196</v>
      </c>
      <c r="E73" s="16" t="str">
        <f t="shared" si="1"/>
        <v>Station de Pompage SC4-GZ1</v>
      </c>
      <c r="F73" s="17">
        <v>28856</v>
      </c>
      <c r="G73" s="17">
        <v>28856</v>
      </c>
      <c r="H73" s="18" t="s">
        <v>20</v>
      </c>
      <c r="I73" s="18">
        <v>1</v>
      </c>
      <c r="J73" s="18" t="s">
        <v>3552</v>
      </c>
      <c r="K73" s="18">
        <v>7</v>
      </c>
      <c r="L73" s="18">
        <v>10</v>
      </c>
      <c r="M73" s="16" t="str">
        <f t="shared" si="4"/>
        <v>(111,'SC4-GZ1','Station de Pompage SC4-GZ1','1979-01-01','1979-01-01',NULL,1,10),</v>
      </c>
    </row>
    <row r="74" spans="1:13" ht="20.100000000000001" customHeight="1" x14ac:dyDescent="0.25">
      <c r="A74" s="14">
        <v>112</v>
      </c>
      <c r="B74" s="14" t="s">
        <v>631</v>
      </c>
      <c r="C74" s="14" t="e">
        <f ca="1">_xlfn.XLOOKUP(B74,'02-03-07'!B$3:B$24,'02-03-07'!A$3:A$24)</f>
        <v>#NAME?</v>
      </c>
      <c r="D74" s="15" t="s">
        <v>202</v>
      </c>
      <c r="E74" s="16" t="str">
        <f t="shared" si="1"/>
        <v>Station de Pompage SC5-GZ1</v>
      </c>
      <c r="F74" s="17">
        <v>28491</v>
      </c>
      <c r="G74" s="17">
        <v>28491</v>
      </c>
      <c r="H74" s="18" t="s">
        <v>20</v>
      </c>
      <c r="I74" s="18">
        <v>1</v>
      </c>
      <c r="J74" s="18" t="s">
        <v>3552</v>
      </c>
      <c r="K74" s="18">
        <v>7</v>
      </c>
      <c r="L74" s="18">
        <v>10</v>
      </c>
      <c r="M74" s="16" t="str">
        <f t="shared" si="4"/>
        <v>(112,'SC5-GZ1','Station de Pompage SC5-GZ1','1978-01-01','1978-01-01',NULL,1,10),</v>
      </c>
    </row>
    <row r="75" spans="1:13" ht="20.100000000000001" customHeight="1" x14ac:dyDescent="0.25">
      <c r="A75" s="14">
        <v>113</v>
      </c>
      <c r="B75" s="14" t="s">
        <v>631</v>
      </c>
      <c r="C75" s="14" t="e">
        <f ca="1">_xlfn.XLOOKUP(B75,'02-03-07'!B$3:B$24,'02-03-07'!A$3:A$24)</f>
        <v>#NAME?</v>
      </c>
      <c r="D75" s="15" t="s">
        <v>180</v>
      </c>
      <c r="E75" s="16" t="str">
        <f t="shared" ref="E75:E101" si="5">CONCATENATE("Station de Compression ",D75)</f>
        <v>Station de Compression SC1-GZ2</v>
      </c>
      <c r="F75" s="17">
        <v>30317</v>
      </c>
      <c r="G75" s="17">
        <v>30317</v>
      </c>
      <c r="H75" s="18" t="s">
        <v>20</v>
      </c>
      <c r="I75" s="18">
        <v>1</v>
      </c>
      <c r="J75" s="18" t="s">
        <v>3554</v>
      </c>
      <c r="K75" s="18">
        <v>8</v>
      </c>
      <c r="L75" s="18">
        <v>10</v>
      </c>
      <c r="M75" s="16" t="str">
        <f t="shared" si="4"/>
        <v>(113,'SC1-GZ2','Station de Compression SC1-GZ2','1983-01-01','1983-01-01',NULL,1,10),</v>
      </c>
    </row>
    <row r="76" spans="1:13" ht="20.100000000000001" customHeight="1" x14ac:dyDescent="0.25">
      <c r="A76" s="14">
        <v>114</v>
      </c>
      <c r="B76" s="14" t="s">
        <v>631</v>
      </c>
      <c r="C76" s="14" t="e">
        <f ca="1">_xlfn.XLOOKUP(B76,'02-03-07'!B$3:B$24,'02-03-07'!A$3:A$24)</f>
        <v>#NAME?</v>
      </c>
      <c r="D76" s="15" t="s">
        <v>186</v>
      </c>
      <c r="E76" s="16" t="str">
        <f t="shared" si="5"/>
        <v>Station de Compression SC2-GZ2</v>
      </c>
      <c r="F76" s="17">
        <v>30317</v>
      </c>
      <c r="G76" s="17">
        <v>30317</v>
      </c>
      <c r="H76" s="18" t="s">
        <v>20</v>
      </c>
      <c r="I76" s="18">
        <v>1</v>
      </c>
      <c r="J76" s="18" t="s">
        <v>3554</v>
      </c>
      <c r="K76" s="18">
        <v>8</v>
      </c>
      <c r="L76" s="18">
        <v>10</v>
      </c>
      <c r="M76" s="16" t="str">
        <f t="shared" si="4"/>
        <v>(114,'SC2-GZ2','Station de Compression SC2-GZ2','1983-01-01','1983-01-01',NULL,1,10),</v>
      </c>
    </row>
    <row r="77" spans="1:13" ht="20.100000000000001" customHeight="1" x14ac:dyDescent="0.25">
      <c r="A77" s="14">
        <v>115</v>
      </c>
      <c r="B77" s="14" t="s">
        <v>631</v>
      </c>
      <c r="C77" s="14" t="e">
        <f ca="1">_xlfn.XLOOKUP(B77,'02-03-07'!B$3:B$24,'02-03-07'!A$3:A$24)</f>
        <v>#NAME?</v>
      </c>
      <c r="D77" s="15" t="s">
        <v>192</v>
      </c>
      <c r="E77" s="16" t="str">
        <f t="shared" si="5"/>
        <v>Station de Compression SC3-GZ2</v>
      </c>
      <c r="F77" s="17">
        <v>30317</v>
      </c>
      <c r="G77" s="17">
        <v>30317</v>
      </c>
      <c r="H77" s="18" t="s">
        <v>20</v>
      </c>
      <c r="I77" s="18">
        <v>1</v>
      </c>
      <c r="J77" s="18" t="s">
        <v>3554</v>
      </c>
      <c r="K77" s="18">
        <v>8</v>
      </c>
      <c r="L77" s="18">
        <v>10</v>
      </c>
      <c r="M77" s="16" t="str">
        <f t="shared" si="4"/>
        <v>(115,'SC3-GZ2','Station de Compression SC3-GZ2','1983-01-01','1983-01-01',NULL,1,10),</v>
      </c>
    </row>
    <row r="78" spans="1:13" ht="20.100000000000001" customHeight="1" x14ac:dyDescent="0.25">
      <c r="A78" s="14">
        <v>116</v>
      </c>
      <c r="B78" s="14" t="s">
        <v>631</v>
      </c>
      <c r="C78" s="14" t="e">
        <f ca="1">_xlfn.XLOOKUP(B78,'02-03-07'!B$3:B$24,'02-03-07'!A$3:A$24)</f>
        <v>#NAME?</v>
      </c>
      <c r="D78" s="15" t="s">
        <v>198</v>
      </c>
      <c r="E78" s="16" t="str">
        <f t="shared" si="5"/>
        <v>Station de Compression SC4-GZ2</v>
      </c>
      <c r="F78" s="17">
        <v>30317</v>
      </c>
      <c r="G78" s="17">
        <v>30317</v>
      </c>
      <c r="H78" s="18" t="s">
        <v>20</v>
      </c>
      <c r="I78" s="18">
        <v>1</v>
      </c>
      <c r="J78" s="18" t="s">
        <v>3554</v>
      </c>
      <c r="K78" s="18">
        <v>8</v>
      </c>
      <c r="L78" s="18">
        <v>10</v>
      </c>
      <c r="M78" s="16" t="str">
        <f t="shared" si="4"/>
        <v>(116,'SC4-GZ2','Station de Compression SC4-GZ2','1983-01-01','1983-01-01',NULL,1,10),</v>
      </c>
    </row>
    <row r="79" spans="1:13" ht="20.100000000000001" customHeight="1" x14ac:dyDescent="0.25">
      <c r="A79" s="14">
        <v>117</v>
      </c>
      <c r="B79" s="14" t="s">
        <v>631</v>
      </c>
      <c r="C79" s="14" t="e">
        <f ca="1">_xlfn.XLOOKUP(B79,'02-03-07'!B$3:B$24,'02-03-07'!A$3:A$24)</f>
        <v>#NAME?</v>
      </c>
      <c r="D79" s="15" t="s">
        <v>204</v>
      </c>
      <c r="E79" s="16" t="str">
        <f t="shared" si="5"/>
        <v>Station de Compression SC5-GZ2</v>
      </c>
      <c r="F79" s="17">
        <v>30317</v>
      </c>
      <c r="G79" s="17">
        <v>30317</v>
      </c>
      <c r="H79" s="18" t="s">
        <v>20</v>
      </c>
      <c r="I79" s="18">
        <v>1</v>
      </c>
      <c r="J79" s="18" t="s">
        <v>3554</v>
      </c>
      <c r="K79" s="18">
        <v>8</v>
      </c>
      <c r="L79" s="18">
        <v>10</v>
      </c>
      <c r="M79" s="16" t="str">
        <f t="shared" si="4"/>
        <v>(117,'SC5-GZ2','Station de Compression SC5-GZ2','1983-01-01','1983-01-01',NULL,1,10),</v>
      </c>
    </row>
    <row r="80" spans="1:13" ht="20.100000000000001" customHeight="1" x14ac:dyDescent="0.25">
      <c r="A80" s="14">
        <v>118</v>
      </c>
      <c r="B80" s="14" t="s">
        <v>631</v>
      </c>
      <c r="C80" s="14" t="e">
        <f ca="1">_xlfn.XLOOKUP(B80,'02-03-07'!B$3:B$24,'02-03-07'!A$3:A$24)</f>
        <v>#NAME?</v>
      </c>
      <c r="D80" s="15" t="s">
        <v>182</v>
      </c>
      <c r="E80" s="16" t="str">
        <f t="shared" si="5"/>
        <v>Station de Compression SC1-GZ3</v>
      </c>
      <c r="F80" s="17">
        <v>32874</v>
      </c>
      <c r="G80" s="17">
        <v>32874</v>
      </c>
      <c r="H80" s="18" t="s">
        <v>20</v>
      </c>
      <c r="I80" s="18">
        <v>1</v>
      </c>
      <c r="J80" s="18" t="s">
        <v>3554</v>
      </c>
      <c r="K80" s="18">
        <v>8</v>
      </c>
      <c r="L80" s="18">
        <v>10</v>
      </c>
      <c r="M80" s="16" t="str">
        <f t="shared" si="4"/>
        <v>(118,'SC1-GZ3','Station de Compression SC1-GZ3','1990-01-01','1990-01-01',NULL,1,10),</v>
      </c>
    </row>
    <row r="81" spans="1:13" ht="20.100000000000001" customHeight="1" x14ac:dyDescent="0.25">
      <c r="A81" s="14">
        <v>119</v>
      </c>
      <c r="B81" s="14" t="s">
        <v>631</v>
      </c>
      <c r="C81" s="14" t="e">
        <f ca="1">_xlfn.XLOOKUP(B81,'02-03-07'!B$3:B$24,'02-03-07'!A$3:A$24)</f>
        <v>#NAME?</v>
      </c>
      <c r="D81" s="15" t="s">
        <v>188</v>
      </c>
      <c r="E81" s="16" t="str">
        <f t="shared" si="5"/>
        <v>Station de Compression SC2-GZ3</v>
      </c>
      <c r="F81" s="17">
        <v>32874</v>
      </c>
      <c r="G81" s="17">
        <v>32874</v>
      </c>
      <c r="H81" s="18" t="s">
        <v>20</v>
      </c>
      <c r="I81" s="18">
        <v>1</v>
      </c>
      <c r="J81" s="18" t="s">
        <v>3554</v>
      </c>
      <c r="K81" s="18">
        <v>8</v>
      </c>
      <c r="L81" s="18">
        <v>10</v>
      </c>
      <c r="M81" s="16" t="str">
        <f t="shared" si="4"/>
        <v>(119,'SC2-GZ3','Station de Compression SC2-GZ3','1990-01-01','1990-01-01',NULL,1,10),</v>
      </c>
    </row>
    <row r="82" spans="1:13" ht="20.100000000000001" customHeight="1" x14ac:dyDescent="0.25">
      <c r="A82" s="14">
        <v>120</v>
      </c>
      <c r="B82" s="14" t="s">
        <v>631</v>
      </c>
      <c r="C82" s="14" t="e">
        <f ca="1">_xlfn.XLOOKUP(B82,'02-03-07'!B$3:B$24,'02-03-07'!A$3:A$24)</f>
        <v>#NAME?</v>
      </c>
      <c r="D82" s="15" t="s">
        <v>194</v>
      </c>
      <c r="E82" s="16" t="str">
        <f t="shared" si="5"/>
        <v>Station de Compression SC3-GZ3</v>
      </c>
      <c r="F82" s="17">
        <v>32874</v>
      </c>
      <c r="G82" s="17">
        <v>32874</v>
      </c>
      <c r="H82" s="18" t="s">
        <v>20</v>
      </c>
      <c r="I82" s="18">
        <v>1</v>
      </c>
      <c r="J82" s="18" t="s">
        <v>3554</v>
      </c>
      <c r="K82" s="18">
        <v>8</v>
      </c>
      <c r="L82" s="18">
        <v>10</v>
      </c>
      <c r="M82" s="16" t="str">
        <f t="shared" si="4"/>
        <v>(120,'SC3-GZ3','Station de Compression SC3-GZ3','1990-01-01','1990-01-01',NULL,1,10),</v>
      </c>
    </row>
    <row r="83" spans="1:13" ht="20.100000000000001" customHeight="1" x14ac:dyDescent="0.25">
      <c r="A83" s="14">
        <v>121</v>
      </c>
      <c r="B83" s="14" t="s">
        <v>631</v>
      </c>
      <c r="C83" s="14" t="e">
        <f ca="1">_xlfn.XLOOKUP(B83,'02-03-07'!B$3:B$24,'02-03-07'!A$3:A$24)</f>
        <v>#NAME?</v>
      </c>
      <c r="D83" s="15" t="s">
        <v>200</v>
      </c>
      <c r="E83" s="16" t="str">
        <f t="shared" si="5"/>
        <v>Station de Compression SC4-GZ3</v>
      </c>
      <c r="F83" s="17">
        <v>31778</v>
      </c>
      <c r="G83" s="17">
        <v>31778</v>
      </c>
      <c r="H83" s="18" t="s">
        <v>20</v>
      </c>
      <c r="I83" s="18">
        <v>1</v>
      </c>
      <c r="J83" s="18" t="s">
        <v>3554</v>
      </c>
      <c r="K83" s="18">
        <v>8</v>
      </c>
      <c r="L83" s="18">
        <v>10</v>
      </c>
      <c r="M83" s="16" t="str">
        <f t="shared" si="4"/>
        <v>(121,'SC4-GZ3','Station de Compression SC4-GZ3','1987-01-01','1987-01-01',NULL,1,10),</v>
      </c>
    </row>
    <row r="84" spans="1:13" ht="20.100000000000001" customHeight="1" x14ac:dyDescent="0.25">
      <c r="A84" s="14">
        <v>122</v>
      </c>
      <c r="B84" s="14" t="s">
        <v>631</v>
      </c>
      <c r="C84" s="14" t="e">
        <f ca="1">_xlfn.XLOOKUP(B84,'02-03-07'!B$3:B$24,'02-03-07'!A$3:A$24)</f>
        <v>#NAME?</v>
      </c>
      <c r="D84" s="15" t="s">
        <v>206</v>
      </c>
      <c r="E84" s="16" t="str">
        <f t="shared" si="5"/>
        <v>Station de Compression SC5-GZ3</v>
      </c>
      <c r="F84" s="17">
        <v>31778</v>
      </c>
      <c r="G84" s="17">
        <v>31778</v>
      </c>
      <c r="H84" s="18" t="s">
        <v>20</v>
      </c>
      <c r="I84" s="18">
        <v>1</v>
      </c>
      <c r="J84" s="18" t="s">
        <v>3554</v>
      </c>
      <c r="K84" s="18">
        <v>8</v>
      </c>
      <c r="L84" s="18">
        <v>10</v>
      </c>
      <c r="M84" s="16" t="str">
        <f t="shared" si="4"/>
        <v>(122,'SC5-GZ3','Station de Compression SC5-GZ3','1987-01-01','1987-01-01',NULL,1,10),</v>
      </c>
    </row>
    <row r="85" spans="1:13" ht="20.100000000000001" customHeight="1" x14ac:dyDescent="0.25">
      <c r="A85" s="14">
        <v>123</v>
      </c>
      <c r="B85" s="14" t="s">
        <v>434</v>
      </c>
      <c r="C85" s="14" t="e">
        <f ca="1">_xlfn.XLOOKUP(B85,'02-03-07'!B$3:B$24,'02-03-07'!A$3:A$24)</f>
        <v>#NAME?</v>
      </c>
      <c r="D85" s="15" t="s">
        <v>208</v>
      </c>
      <c r="E85" s="16" t="str">
        <f t="shared" si="5"/>
        <v>Station de Compression SC3-GPDF</v>
      </c>
      <c r="F85" s="17">
        <v>38031</v>
      </c>
      <c r="G85" s="17">
        <v>38031</v>
      </c>
      <c r="H85" s="18" t="s">
        <v>20</v>
      </c>
      <c r="I85" s="18">
        <v>1</v>
      </c>
      <c r="J85" s="18" t="s">
        <v>3554</v>
      </c>
      <c r="K85" s="18">
        <v>8</v>
      </c>
      <c r="L85" s="18">
        <v>10</v>
      </c>
      <c r="M85" s="16" t="str">
        <f t="shared" si="4"/>
        <v>(123,'SC3-GPDF','Station de Compression SC3-GPDF','2004-02-14','2004-02-14',NULL,1,10),</v>
      </c>
    </row>
    <row r="86" spans="1:13" ht="20.100000000000001" customHeight="1" x14ac:dyDescent="0.25">
      <c r="A86" s="14">
        <v>124</v>
      </c>
      <c r="B86" s="14" t="s">
        <v>650</v>
      </c>
      <c r="C86" s="14" t="e">
        <f ca="1">_xlfn.XLOOKUP(B86,'02-03-07'!B$3:B$24,'02-03-07'!A$3:A$24)</f>
        <v>#NAME?</v>
      </c>
      <c r="D86" s="15" t="s">
        <v>3518</v>
      </c>
      <c r="E86" s="16" t="str">
        <f t="shared" si="5"/>
        <v>Station de Compression SCA-GK1</v>
      </c>
      <c r="F86" s="17">
        <v>28856</v>
      </c>
      <c r="G86" s="17">
        <v>28856</v>
      </c>
      <c r="H86" s="18" t="s">
        <v>20</v>
      </c>
      <c r="I86" s="18">
        <v>1</v>
      </c>
      <c r="J86" s="18" t="s">
        <v>3554</v>
      </c>
      <c r="K86" s="18">
        <v>8</v>
      </c>
      <c r="L86" s="18">
        <v>10</v>
      </c>
      <c r="M86" s="16" t="str">
        <f t="shared" si="4"/>
        <v>(124,'SCA-GK1','Station de Compression SCA-GK1','1979-01-01','1979-01-01',NULL,1,10),</v>
      </c>
    </row>
    <row r="87" spans="1:13" ht="20.100000000000001" customHeight="1" x14ac:dyDescent="0.25">
      <c r="A87" s="14">
        <v>125</v>
      </c>
      <c r="B87" s="14" t="s">
        <v>650</v>
      </c>
      <c r="C87" s="14" t="e">
        <f ca="1">_xlfn.XLOOKUP(B87,'02-03-07'!B$3:B$24,'02-03-07'!A$3:A$24)</f>
        <v>#NAME?</v>
      </c>
      <c r="D87" s="15" t="s">
        <v>3519</v>
      </c>
      <c r="E87" s="16" t="str">
        <f t="shared" si="5"/>
        <v>Station de Compression SCB-GK1</v>
      </c>
      <c r="F87" s="17">
        <v>28491</v>
      </c>
      <c r="G87" s="17">
        <v>28491</v>
      </c>
      <c r="H87" s="18" t="s">
        <v>20</v>
      </c>
      <c r="I87" s="18">
        <v>1</v>
      </c>
      <c r="J87" s="18" t="s">
        <v>3554</v>
      </c>
      <c r="K87" s="18">
        <v>8</v>
      </c>
      <c r="L87" s="18">
        <v>10</v>
      </c>
      <c r="M87" s="16" t="str">
        <f t="shared" si="4"/>
        <v>(125,'SCB-GK1','Station de Compression SCB-GK1','1978-01-01','1978-01-01',NULL,1,10),</v>
      </c>
    </row>
    <row r="88" spans="1:13" ht="20.100000000000001" customHeight="1" x14ac:dyDescent="0.25">
      <c r="A88" s="14">
        <v>126</v>
      </c>
      <c r="B88" s="14" t="s">
        <v>650</v>
      </c>
      <c r="C88" s="14" t="e">
        <f ca="1">_xlfn.XLOOKUP(B88,'02-03-07'!B$3:B$24,'02-03-07'!A$3:A$24)</f>
        <v>#NAME?</v>
      </c>
      <c r="D88" s="15" t="s">
        <v>3520</v>
      </c>
      <c r="E88" s="16" t="str">
        <f t="shared" si="5"/>
        <v>Station de Compression SCC-GK1</v>
      </c>
      <c r="F88" s="17">
        <v>28856</v>
      </c>
      <c r="G88" s="17">
        <v>28856</v>
      </c>
      <c r="H88" s="18" t="s">
        <v>20</v>
      </c>
      <c r="I88" s="18">
        <v>1</v>
      </c>
      <c r="J88" s="18" t="s">
        <v>3554</v>
      </c>
      <c r="K88" s="18">
        <v>8</v>
      </c>
      <c r="L88" s="18">
        <v>10</v>
      </c>
      <c r="M88" s="16" t="str">
        <f t="shared" si="4"/>
        <v>(126,'SCC-GK1','Station de Compression SCC-GK1','1979-01-01','1979-01-01',NULL,1,10),</v>
      </c>
    </row>
    <row r="89" spans="1:13" ht="20.100000000000001" customHeight="1" x14ac:dyDescent="0.25">
      <c r="A89" s="14">
        <v>127</v>
      </c>
      <c r="B89" s="14" t="s">
        <v>650</v>
      </c>
      <c r="C89" s="14" t="e">
        <f ca="1">_xlfn.XLOOKUP(B89,'02-03-07'!B$3:B$24,'02-03-07'!A$3:A$24)</f>
        <v>#NAME?</v>
      </c>
      <c r="D89" s="15" t="s">
        <v>3521</v>
      </c>
      <c r="E89" s="16" t="str">
        <f t="shared" si="5"/>
        <v>Station de Compression SCD-GK1</v>
      </c>
      <c r="F89" s="17">
        <v>28491</v>
      </c>
      <c r="G89" s="17">
        <v>28491</v>
      </c>
      <c r="H89" s="18" t="s">
        <v>20</v>
      </c>
      <c r="I89" s="18">
        <v>1</v>
      </c>
      <c r="J89" s="18" t="s">
        <v>3554</v>
      </c>
      <c r="K89" s="18">
        <v>8</v>
      </c>
      <c r="L89" s="18">
        <v>10</v>
      </c>
      <c r="M89" s="16" t="str">
        <f t="shared" si="4"/>
        <v>(127,'SCD-GK1','Station de Compression SCD-GK1','1978-01-01','1978-01-01',NULL,1,10),</v>
      </c>
    </row>
    <row r="90" spans="1:13" ht="20.100000000000001" customHeight="1" x14ac:dyDescent="0.25">
      <c r="A90" s="14">
        <v>128</v>
      </c>
      <c r="B90" s="14" t="s">
        <v>650</v>
      </c>
      <c r="C90" s="14" t="e">
        <f ca="1">_xlfn.XLOOKUP(B90,'02-03-07'!B$3:B$24,'02-03-07'!A$3:A$24)</f>
        <v>#NAME?</v>
      </c>
      <c r="D90" s="15" t="s">
        <v>3522</v>
      </c>
      <c r="E90" s="16" t="str">
        <f t="shared" si="5"/>
        <v>Station de Compression SCE-GK1</v>
      </c>
      <c r="F90" s="17">
        <v>28856</v>
      </c>
      <c r="G90" s="17">
        <v>28856</v>
      </c>
      <c r="H90" s="18" t="s">
        <v>20</v>
      </c>
      <c r="I90" s="18">
        <v>1</v>
      </c>
      <c r="J90" s="18" t="s">
        <v>3554</v>
      </c>
      <c r="K90" s="18">
        <v>8</v>
      </c>
      <c r="L90" s="18">
        <v>10</v>
      </c>
      <c r="M90" s="16" t="str">
        <f t="shared" si="4"/>
        <v>(128,'SCE-GK1','Station de Compression SCE-GK1','1979-01-01','1979-01-01',NULL,1,10),</v>
      </c>
    </row>
    <row r="91" spans="1:13" ht="20.100000000000001" customHeight="1" x14ac:dyDescent="0.25">
      <c r="A91" s="14">
        <v>129</v>
      </c>
      <c r="B91" s="14" t="s">
        <v>685</v>
      </c>
      <c r="C91" s="14" t="e">
        <f ca="1">_xlfn.XLOOKUP(B91,'02-03-07'!B$3:B$24,'02-03-07'!A$3:A$24)</f>
        <v>#NAME?</v>
      </c>
      <c r="D91" s="15" t="s">
        <v>2458</v>
      </c>
      <c r="E91" s="16" t="str">
        <f t="shared" si="5"/>
        <v>Station de Compression SC2-GO2</v>
      </c>
      <c r="F91" s="17">
        <v>35065</v>
      </c>
      <c r="G91" s="17">
        <v>35065</v>
      </c>
      <c r="H91" s="18" t="s">
        <v>20</v>
      </c>
      <c r="I91" s="18">
        <v>1</v>
      </c>
      <c r="J91" s="18" t="s">
        <v>3554</v>
      </c>
      <c r="K91" s="18">
        <v>8</v>
      </c>
      <c r="L91" s="18">
        <v>10</v>
      </c>
      <c r="M91" s="16" t="str">
        <f t="shared" si="4"/>
        <v>(129,'SC2-GO2','Station de Compression SC2-GO2','1996-01-01','1996-01-01',NULL,1,10),</v>
      </c>
    </row>
    <row r="92" spans="1:13" ht="20.100000000000001" customHeight="1" x14ac:dyDescent="0.25">
      <c r="A92" s="14">
        <v>130</v>
      </c>
      <c r="B92" s="14" t="s">
        <v>407</v>
      </c>
      <c r="C92" s="14" t="e">
        <f ca="1">_xlfn.XLOOKUP(B92,'02-03-07'!B$3:B$24,'02-03-07'!A$3:A$24)</f>
        <v>#NAME?</v>
      </c>
      <c r="D92" s="15" t="s">
        <v>2288</v>
      </c>
      <c r="E92" s="16" t="str">
        <f t="shared" si="5"/>
        <v>Station de Compression SC3-GG1</v>
      </c>
      <c r="F92" s="17">
        <v>38961</v>
      </c>
      <c r="G92" s="17">
        <v>38961</v>
      </c>
      <c r="H92" s="18" t="s">
        <v>20</v>
      </c>
      <c r="I92" s="18">
        <v>1</v>
      </c>
      <c r="J92" s="18" t="s">
        <v>3554</v>
      </c>
      <c r="K92" s="18">
        <v>8</v>
      </c>
      <c r="L92" s="18">
        <v>10</v>
      </c>
      <c r="M92" s="16" t="str">
        <f t="shared" si="4"/>
        <v>(130,'SC3-GG1','Station de Compression SC3-GG1','2006-09-01','2006-09-01',NULL,1,10),</v>
      </c>
    </row>
    <row r="93" spans="1:13" ht="20.100000000000001" customHeight="1" x14ac:dyDescent="0.25">
      <c r="A93" s="14">
        <v>133</v>
      </c>
      <c r="B93" s="14" t="s">
        <v>664</v>
      </c>
      <c r="C93" s="14" t="e">
        <f ca="1">_xlfn.XLOOKUP(B93,'02-03-07'!B$3:B$24,'02-03-07'!A$3:A$24)</f>
        <v>#NAME?</v>
      </c>
      <c r="D93" s="15" t="s">
        <v>3523</v>
      </c>
      <c r="E93" s="16" t="str">
        <f t="shared" si="5"/>
        <v>Station de Compression SCTFT-GR2</v>
      </c>
      <c r="F93" s="17">
        <v>38869</v>
      </c>
      <c r="G93" s="17">
        <v>42309</v>
      </c>
      <c r="H93" s="18" t="s">
        <v>20</v>
      </c>
      <c r="I93" s="18">
        <v>1</v>
      </c>
      <c r="J93" s="18" t="s">
        <v>3554</v>
      </c>
      <c r="K93" s="18">
        <v>8</v>
      </c>
      <c r="L93" s="18">
        <v>10</v>
      </c>
      <c r="M93" s="16" t="str">
        <f t="shared" si="4"/>
        <v>(133,'SCTFT-GR2','Station de Compression SCTFT-GR2','2006-06-01','2015-11-01',NULL,1,10),</v>
      </c>
    </row>
    <row r="94" spans="1:13" ht="20.100000000000001" customHeight="1" x14ac:dyDescent="0.25">
      <c r="A94" s="14">
        <v>134</v>
      </c>
      <c r="B94" s="14" t="s">
        <v>664</v>
      </c>
      <c r="C94" s="14" t="e">
        <f ca="1">_xlfn.XLOOKUP(B94,'02-03-07'!B$3:B$24,'02-03-07'!A$3:A$24)</f>
        <v>#NAME?</v>
      </c>
      <c r="D94" s="15" t="s">
        <v>3525</v>
      </c>
      <c r="E94" s="16" t="str">
        <f t="shared" si="5"/>
        <v>Station de Compression SC1-GR1</v>
      </c>
      <c r="F94" s="17">
        <v>31413</v>
      </c>
      <c r="G94" s="17">
        <v>31413</v>
      </c>
      <c r="H94" s="17">
        <v>36891</v>
      </c>
      <c r="I94" s="18">
        <v>8</v>
      </c>
      <c r="J94" s="18" t="s">
        <v>3554</v>
      </c>
      <c r="K94" s="18">
        <v>8</v>
      </c>
      <c r="L94" s="18">
        <v>10</v>
      </c>
      <c r="M94" s="16" t="str">
        <f t="shared" si="4"/>
        <v>(134,'SC1-GR1','Station de Compression SC1-GR1','1986-01-01','1986-01-01',36891,8,10),</v>
      </c>
    </row>
    <row r="95" spans="1:13" ht="20.100000000000001" customHeight="1" x14ac:dyDescent="0.25">
      <c r="A95" s="14">
        <v>135</v>
      </c>
      <c r="B95" s="14" t="s">
        <v>664</v>
      </c>
      <c r="C95" s="14" t="e">
        <f ca="1">_xlfn.XLOOKUP(B95,'02-03-07'!B$3:B$24,'02-03-07'!A$3:A$24)</f>
        <v>#NAME?</v>
      </c>
      <c r="D95" s="15" t="s">
        <v>224</v>
      </c>
      <c r="E95" s="16" t="str">
        <f t="shared" si="5"/>
        <v>Station de Compression SC1-GR2</v>
      </c>
      <c r="F95" s="17">
        <v>38899</v>
      </c>
      <c r="G95" s="17">
        <v>39356</v>
      </c>
      <c r="H95" s="18" t="s">
        <v>20</v>
      </c>
      <c r="I95" s="18">
        <v>1</v>
      </c>
      <c r="J95" s="18" t="s">
        <v>3554</v>
      </c>
      <c r="K95" s="18">
        <v>8</v>
      </c>
      <c r="L95" s="18">
        <v>10</v>
      </c>
      <c r="M95" s="16" t="str">
        <f t="shared" si="4"/>
        <v>(135,'SC1-GR2','Station de Compression SC1-GR2','2006-07-01','2007-10-01',NULL,1,10),</v>
      </c>
    </row>
    <row r="96" spans="1:13" ht="20.100000000000001" customHeight="1" x14ac:dyDescent="0.25">
      <c r="A96" s="14">
        <v>136</v>
      </c>
      <c r="B96" s="14" t="s">
        <v>664</v>
      </c>
      <c r="C96" s="14" t="e">
        <f ca="1">_xlfn.XLOOKUP(B96,'02-03-07'!B$3:B$24,'02-03-07'!A$3:A$24)</f>
        <v>#NAME?</v>
      </c>
      <c r="D96" s="15" t="s">
        <v>226</v>
      </c>
      <c r="E96" s="16" t="str">
        <f t="shared" si="5"/>
        <v>Station de Compression SC2-GR2</v>
      </c>
      <c r="F96" s="17">
        <v>37898</v>
      </c>
      <c r="G96" s="17">
        <v>37898</v>
      </c>
      <c r="H96" s="18" t="s">
        <v>20</v>
      </c>
      <c r="I96" s="18">
        <v>1</v>
      </c>
      <c r="J96" s="18" t="s">
        <v>3554</v>
      </c>
      <c r="K96" s="18">
        <v>8</v>
      </c>
      <c r="L96" s="18">
        <v>10</v>
      </c>
      <c r="M96" s="16" t="str">
        <f t="shared" si="4"/>
        <v>(136,'SC2-GR2','Station de Compression SC2-GR2','2003-10-04','2003-10-04',NULL,1,10),</v>
      </c>
    </row>
    <row r="97" spans="1:13" ht="20.100000000000001" customHeight="1" x14ac:dyDescent="0.25">
      <c r="A97" s="14">
        <v>137</v>
      </c>
      <c r="B97" s="14" t="s">
        <v>664</v>
      </c>
      <c r="C97" s="14" t="e">
        <f ca="1">_xlfn.XLOOKUP(B97,'02-03-07'!B$3:B$24,'02-03-07'!A$3:A$24)</f>
        <v>#NAME?</v>
      </c>
      <c r="D97" s="15" t="s">
        <v>228</v>
      </c>
      <c r="E97" s="16" t="str">
        <f t="shared" si="5"/>
        <v>Station de Compression SC3-GR2</v>
      </c>
      <c r="F97" s="17">
        <v>38718</v>
      </c>
      <c r="G97" s="17">
        <v>44562</v>
      </c>
      <c r="H97" s="18" t="s">
        <v>20</v>
      </c>
      <c r="I97" s="18">
        <v>1</v>
      </c>
      <c r="J97" s="18" t="s">
        <v>3554</v>
      </c>
      <c r="K97" s="18">
        <v>8</v>
      </c>
      <c r="L97" s="18">
        <v>10</v>
      </c>
      <c r="M97" s="16" t="str">
        <f t="shared" si="4"/>
        <v>(137,'SC3-GR2','Station de Compression SC3-GR2','2006-01-01','2022-01-01',NULL,1,10),</v>
      </c>
    </row>
    <row r="98" spans="1:13" ht="20.100000000000001" customHeight="1" x14ac:dyDescent="0.25">
      <c r="A98" s="14">
        <v>138</v>
      </c>
      <c r="B98" s="14" t="s">
        <v>664</v>
      </c>
      <c r="C98" s="14" t="e">
        <f ca="1">_xlfn.XLOOKUP(B98,'02-03-07'!B$3:B$24,'02-03-07'!A$3:A$24)</f>
        <v>#NAME?</v>
      </c>
      <c r="D98" s="15" t="s">
        <v>230</v>
      </c>
      <c r="E98" s="16" t="str">
        <f t="shared" si="5"/>
        <v>Station de Compression SC4-GR2</v>
      </c>
      <c r="F98" s="17">
        <v>38718</v>
      </c>
      <c r="G98" s="17">
        <v>44562</v>
      </c>
      <c r="H98" s="18" t="s">
        <v>20</v>
      </c>
      <c r="I98" s="18">
        <v>1</v>
      </c>
      <c r="J98" s="18" t="s">
        <v>3554</v>
      </c>
      <c r="K98" s="18">
        <v>8</v>
      </c>
      <c r="L98" s="18">
        <v>10</v>
      </c>
      <c r="M98" s="16" t="str">
        <f t="shared" si="4"/>
        <v>(138,'SC4-GR2','Station de Compression SC4-GR2','2006-01-01','2022-01-01',NULL,1,10),</v>
      </c>
    </row>
    <row r="99" spans="1:13" ht="20.100000000000001" customHeight="1" x14ac:dyDescent="0.25">
      <c r="A99" s="14">
        <v>139</v>
      </c>
      <c r="B99" s="14" t="s">
        <v>664</v>
      </c>
      <c r="C99" s="14" t="e">
        <f ca="1">_xlfn.XLOOKUP(B99,'02-03-07'!B$3:B$24,'02-03-07'!A$3:A$24)</f>
        <v>#NAME?</v>
      </c>
      <c r="D99" s="15" t="s">
        <v>3524</v>
      </c>
      <c r="E99" s="16" t="str">
        <f t="shared" si="5"/>
        <v>Station de Compression SCHR-GR4</v>
      </c>
      <c r="F99" s="17">
        <v>43101</v>
      </c>
      <c r="G99" s="17">
        <v>43101</v>
      </c>
      <c r="H99" s="18" t="s">
        <v>20</v>
      </c>
      <c r="I99" s="18">
        <v>1</v>
      </c>
      <c r="J99" s="18" t="s">
        <v>3554</v>
      </c>
      <c r="K99" s="18">
        <v>8</v>
      </c>
      <c r="L99" s="18">
        <v>10</v>
      </c>
      <c r="M99" s="16" t="str">
        <f t="shared" si="4"/>
        <v>(139,'SCHR-GR4','Station de Compression SCHR-GR4','2018-01-01','2018-01-01',NULL,1,10),</v>
      </c>
    </row>
    <row r="100" spans="1:13" ht="20.100000000000001" customHeight="1" x14ac:dyDescent="0.25">
      <c r="A100" s="14">
        <v>131</v>
      </c>
      <c r="B100" s="14" t="s">
        <v>675</v>
      </c>
      <c r="C100" s="14" t="e">
        <f ca="1">_xlfn.XLOOKUP(B100,'02-03-07'!B$3:B$24,'02-03-07'!A$3:A$24)</f>
        <v>#NAME?</v>
      </c>
      <c r="D100" s="15" t="s">
        <v>2728</v>
      </c>
      <c r="E100" s="16" t="str">
        <f t="shared" si="5"/>
        <v>Station de Compression SC-HR-GR5</v>
      </c>
      <c r="F100" s="17">
        <v>42736</v>
      </c>
      <c r="G100" s="17">
        <v>42736</v>
      </c>
      <c r="H100" s="18" t="s">
        <v>20</v>
      </c>
      <c r="I100" s="18">
        <v>1</v>
      </c>
      <c r="J100" s="18" t="s">
        <v>3554</v>
      </c>
      <c r="K100" s="18">
        <v>8</v>
      </c>
      <c r="L100" s="18">
        <v>10</v>
      </c>
      <c r="M100" s="16" t="str">
        <f t="shared" si="4"/>
        <v>(131,'SC-HR-GR5','Station de Compression SC-HR-GR5','2017-01-01','2017-01-01',NULL,1,10),</v>
      </c>
    </row>
    <row r="101" spans="1:13" ht="20.100000000000001" customHeight="1" x14ac:dyDescent="0.25">
      <c r="A101" s="14">
        <v>132</v>
      </c>
      <c r="B101" s="14" t="s">
        <v>675</v>
      </c>
      <c r="C101" s="14" t="e">
        <f ca="1">_xlfn.XLOOKUP(B101,'02-03-07'!B$3:B$24,'02-03-07'!A$3:A$24)</f>
        <v>#NAME?</v>
      </c>
      <c r="D101" s="15" t="s">
        <v>2910</v>
      </c>
      <c r="E101" s="16" t="str">
        <f t="shared" si="5"/>
        <v>Station de Compression SC1-GR7</v>
      </c>
      <c r="F101" s="17">
        <v>41323</v>
      </c>
      <c r="G101" s="17">
        <v>42026</v>
      </c>
      <c r="H101" s="18" t="s">
        <v>20</v>
      </c>
      <c r="I101" s="18">
        <v>2</v>
      </c>
      <c r="J101" s="18" t="s">
        <v>3554</v>
      </c>
      <c r="K101" s="18">
        <v>8</v>
      </c>
      <c r="L101" s="18">
        <v>10</v>
      </c>
      <c r="M101" s="16" t="str">
        <f t="shared" si="4"/>
        <v>(132,'SC1-GR7','Station de Compression SC1-GR7','2013-02-18','2015-01-22',NULL,2,10),</v>
      </c>
    </row>
  </sheetData>
  <autoFilter ref="A2:L101">
    <sortState ref="A3:L101">
      <sortCondition ref="C2:C101"/>
    </sortState>
  </autoFilter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38"/>
  <sheetViews>
    <sheetView zoomScaleNormal="100" workbookViewId="0">
      <pane ySplit="2" topLeftCell="A3" activePane="bottomLeft" state="frozen"/>
      <selection activeCell="A2" sqref="A2"/>
      <selection pane="bottomLeft" activeCell="M141" sqref="M141"/>
    </sheetView>
  </sheetViews>
  <sheetFormatPr baseColWidth="10" defaultColWidth="10.85546875" defaultRowHeight="15.75" x14ac:dyDescent="0.25"/>
  <cols>
    <col min="1" max="1" width="6.85546875" style="2" bestFit="1" customWidth="1"/>
    <col min="2" max="2" width="16.85546875" style="2" bestFit="1" customWidth="1"/>
    <col min="3" max="3" width="8.85546875" style="2" bestFit="1" customWidth="1"/>
    <col min="4" max="4" width="15" style="2" bestFit="1" customWidth="1"/>
    <col min="5" max="5" width="33.85546875" style="2" bestFit="1" customWidth="1"/>
    <col min="6" max="7" width="15.5703125" style="2" customWidth="1"/>
    <col min="8" max="8" width="17.28515625" style="2" customWidth="1"/>
    <col min="9" max="9" width="15.5703125" style="2" customWidth="1"/>
    <col min="10" max="10" width="16" style="2" bestFit="1" customWidth="1"/>
    <col min="11" max="11" width="8.42578125" style="2" bestFit="1" customWidth="1"/>
    <col min="12" max="12" width="10.7109375" style="2" customWidth="1"/>
    <col min="13" max="13" width="6.5703125" style="2" customWidth="1"/>
    <col min="14" max="14" width="15.5703125" style="2" customWidth="1"/>
    <col min="15" max="16" width="10.5703125" style="2" customWidth="1"/>
    <col min="17" max="17" width="27.42578125" style="2" bestFit="1" customWidth="1"/>
    <col min="18" max="18" width="89.5703125" style="2" bestFit="1" customWidth="1"/>
    <col min="19" max="16384" width="10.85546875" style="2"/>
  </cols>
  <sheetData>
    <row r="1" spans="1:18" ht="20.100000000000001" customHeight="1" x14ac:dyDescent="0.25">
      <c r="A1" s="1" t="s">
        <v>0</v>
      </c>
      <c r="B1" s="1" t="s">
        <v>496</v>
      </c>
      <c r="C1" s="1" t="s">
        <v>497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3551</v>
      </c>
      <c r="K1" s="1" t="s">
        <v>3555</v>
      </c>
      <c r="L1" s="1" t="s">
        <v>477</v>
      </c>
      <c r="M1" s="1" t="s">
        <v>692</v>
      </c>
      <c r="N1" s="1"/>
      <c r="O1" s="1"/>
      <c r="P1" s="1"/>
      <c r="Q1" s="1"/>
      <c r="R1" s="1" t="s">
        <v>8</v>
      </c>
    </row>
    <row r="2" spans="1:18" ht="20.100000000000001" customHeight="1" x14ac:dyDescent="0.25">
      <c r="A2" s="1" t="s">
        <v>9</v>
      </c>
      <c r="B2" s="1"/>
      <c r="C2" s="1"/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/>
      <c r="K2" s="1"/>
      <c r="L2" s="1" t="s">
        <v>16</v>
      </c>
      <c r="M2" s="1"/>
      <c r="N2" s="1"/>
      <c r="O2" s="1"/>
      <c r="P2" s="1"/>
      <c r="Q2" s="1"/>
      <c r="R2" s="1" t="s">
        <v>17</v>
      </c>
    </row>
    <row r="3" spans="1:18" ht="20.100000000000001" customHeight="1" x14ac:dyDescent="0.25">
      <c r="A3" s="38">
        <v>1</v>
      </c>
      <c r="B3" s="38" t="s">
        <v>529</v>
      </c>
      <c r="C3" s="38">
        <v>1</v>
      </c>
      <c r="D3" s="39" t="str">
        <f t="shared" ref="D3:D32" si="0">CONCATENATE("PC-",TEXT(A3,"00"),"-",M3)</f>
        <v>PC-01-OZ1</v>
      </c>
      <c r="E3" s="48" t="str">
        <f t="shared" ref="E3:E32" si="1">CONCATENATE("Poste de Coupure n°",TEXT(A3,"00")," ",M3)</f>
        <v>Poste de Coupure n°01 OZ1</v>
      </c>
      <c r="F3" s="19">
        <v>24053</v>
      </c>
      <c r="G3" s="19">
        <v>24053</v>
      </c>
      <c r="H3" s="41" t="s">
        <v>20</v>
      </c>
      <c r="I3" s="41">
        <v>1</v>
      </c>
      <c r="J3" s="41" t="s">
        <v>3556</v>
      </c>
      <c r="K3" s="41">
        <v>15</v>
      </c>
      <c r="L3" s="41"/>
      <c r="M3" s="41" t="s">
        <v>300</v>
      </c>
      <c r="N3" s="41" t="s">
        <v>3097</v>
      </c>
      <c r="O3" s="49">
        <f t="shared" ref="O3:O23" si="2">VALUE(RIGHT(N3,LEN(N3)-SEARCH("/",N3)))</f>
        <v>256</v>
      </c>
      <c r="P3" s="43">
        <f t="shared" ref="P3:P23" si="3">VALUE(SUBSTITUTE(LEFT(N3,SEARCH("/",N3)-1),"+",","))</f>
        <v>124.8</v>
      </c>
      <c r="Q3" s="41" t="s">
        <v>744</v>
      </c>
      <c r="R3" s="48" t="str">
        <f t="shared" ref="R3:R32" si="4">CONCATENATE("(",A3,",'",D3,"','",E3,"','",TEXT(F3,"aaaa-mm-jj"),"','",TEXT(G3,"aaaa-mm-jj"),"',",H3,",",I3,",",L3,"),")</f>
        <v>(1,'PC-01-OZ1','Poste de Coupure n°01 OZ1','Sunday-11-jj','Sunday-11-jj',NULL,1,),</v>
      </c>
    </row>
    <row r="4" spans="1:18" ht="20.100000000000001" customHeight="1" x14ac:dyDescent="0.25">
      <c r="A4" s="38">
        <v>1</v>
      </c>
      <c r="B4" s="38" t="s">
        <v>529</v>
      </c>
      <c r="C4" s="38">
        <v>1</v>
      </c>
      <c r="D4" s="39" t="str">
        <f t="shared" si="0"/>
        <v>PC-01-OZ2</v>
      </c>
      <c r="E4" s="48" t="str">
        <f t="shared" si="1"/>
        <v>Poste de Coupure n°01 OZ2</v>
      </c>
      <c r="F4" s="19">
        <v>37851</v>
      </c>
      <c r="G4" s="19">
        <v>37851</v>
      </c>
      <c r="H4" s="41" t="s">
        <v>20</v>
      </c>
      <c r="I4" s="41">
        <v>1</v>
      </c>
      <c r="J4" s="41" t="s">
        <v>3556</v>
      </c>
      <c r="K4" s="41">
        <v>15</v>
      </c>
      <c r="L4" s="41"/>
      <c r="M4" s="41" t="s">
        <v>302</v>
      </c>
      <c r="N4" s="41" t="s">
        <v>3106</v>
      </c>
      <c r="O4" s="49">
        <f t="shared" si="2"/>
        <v>245</v>
      </c>
      <c r="P4" s="43">
        <f t="shared" si="3"/>
        <v>127.6</v>
      </c>
      <c r="Q4" s="41" t="s">
        <v>744</v>
      </c>
      <c r="R4" s="48" t="str">
        <f t="shared" si="4"/>
        <v>(1,'PC-01-OZ2','Poste de Coupure n°01 OZ2','Monday-08-jj','Monday-08-jj',NULL,1,),</v>
      </c>
    </row>
    <row r="5" spans="1:18" ht="20.100000000000001" customHeight="1" x14ac:dyDescent="0.25">
      <c r="A5" s="38">
        <v>2</v>
      </c>
      <c r="B5" s="38" t="s">
        <v>529</v>
      </c>
      <c r="C5" s="38">
        <v>1</v>
      </c>
      <c r="D5" s="39" t="str">
        <f t="shared" si="0"/>
        <v>PC-02-OZ1</v>
      </c>
      <c r="E5" s="48" t="str">
        <f t="shared" si="1"/>
        <v>Poste de Coupure n°02 OZ1</v>
      </c>
      <c r="F5" s="19">
        <v>24053</v>
      </c>
      <c r="G5" s="19">
        <v>24053</v>
      </c>
      <c r="H5" s="41" t="s">
        <v>20</v>
      </c>
      <c r="I5" s="41">
        <v>1</v>
      </c>
      <c r="J5" s="41" t="s">
        <v>3556</v>
      </c>
      <c r="K5" s="41">
        <v>15</v>
      </c>
      <c r="L5" s="41"/>
      <c r="M5" s="41" t="s">
        <v>300</v>
      </c>
      <c r="N5" s="41" t="s">
        <v>3098</v>
      </c>
      <c r="O5" s="49">
        <f t="shared" si="2"/>
        <v>495</v>
      </c>
      <c r="P5" s="43">
        <f t="shared" si="3"/>
        <v>218.07499999999999</v>
      </c>
      <c r="Q5" s="41" t="s">
        <v>788</v>
      </c>
      <c r="R5" s="48" t="str">
        <f t="shared" si="4"/>
        <v>(2,'PC-02-OZ1','Poste de Coupure n°02 OZ1','Sunday-11-jj','Sunday-11-jj',NULL,1,),</v>
      </c>
    </row>
    <row r="6" spans="1:18" ht="20.100000000000001" customHeight="1" x14ac:dyDescent="0.25">
      <c r="A6" s="38">
        <v>2</v>
      </c>
      <c r="B6" s="38" t="s">
        <v>529</v>
      </c>
      <c r="C6" s="38">
        <v>1</v>
      </c>
      <c r="D6" s="39" t="str">
        <f t="shared" si="0"/>
        <v>PC-02-OZ2</v>
      </c>
      <c r="E6" s="48" t="str">
        <f t="shared" si="1"/>
        <v>Poste de Coupure n°02 OZ2</v>
      </c>
      <c r="F6" s="19">
        <v>37851</v>
      </c>
      <c r="G6" s="19">
        <v>37851</v>
      </c>
      <c r="H6" s="41" t="s">
        <v>20</v>
      </c>
      <c r="I6" s="41">
        <v>1</v>
      </c>
      <c r="J6" s="41" t="s">
        <v>3556</v>
      </c>
      <c r="K6" s="41">
        <v>15</v>
      </c>
      <c r="L6" s="41"/>
      <c r="M6" s="41" t="s">
        <v>302</v>
      </c>
      <c r="N6" s="41" t="s">
        <v>3107</v>
      </c>
      <c r="O6" s="49">
        <f t="shared" si="2"/>
        <v>497</v>
      </c>
      <c r="P6" s="43">
        <f t="shared" si="3"/>
        <v>220.8</v>
      </c>
      <c r="Q6" s="41" t="s">
        <v>788</v>
      </c>
      <c r="R6" s="48" t="str">
        <f t="shared" si="4"/>
        <v>(2,'PC-02-OZ2','Poste de Coupure n°02 OZ2','Monday-08-jj','Monday-08-jj',NULL,1,),</v>
      </c>
    </row>
    <row r="7" spans="1:18" ht="20.100000000000001" customHeight="1" x14ac:dyDescent="0.25">
      <c r="A7" s="38">
        <v>3</v>
      </c>
      <c r="B7" s="38" t="s">
        <v>529</v>
      </c>
      <c r="C7" s="38">
        <v>1</v>
      </c>
      <c r="D7" s="39" t="str">
        <f t="shared" si="0"/>
        <v>PC-03-OZ1</v>
      </c>
      <c r="E7" s="48" t="str">
        <f t="shared" si="1"/>
        <v>Poste de Coupure n°03 OZ1</v>
      </c>
      <c r="F7" s="19">
        <v>24053</v>
      </c>
      <c r="G7" s="19">
        <v>24053</v>
      </c>
      <c r="H7" s="41" t="s">
        <v>20</v>
      </c>
      <c r="I7" s="41">
        <v>1</v>
      </c>
      <c r="J7" s="41" t="s">
        <v>3556</v>
      </c>
      <c r="K7" s="41">
        <v>15</v>
      </c>
      <c r="L7" s="41"/>
      <c r="M7" s="41" t="s">
        <v>300</v>
      </c>
      <c r="N7" s="41" t="s">
        <v>3099</v>
      </c>
      <c r="O7" s="49">
        <f t="shared" si="2"/>
        <v>777</v>
      </c>
      <c r="P7" s="43">
        <f t="shared" si="3"/>
        <v>306</v>
      </c>
      <c r="Q7" s="41" t="s">
        <v>3102</v>
      </c>
      <c r="R7" s="48" t="str">
        <f t="shared" si="4"/>
        <v>(3,'PC-03-OZ1','Poste de Coupure n°03 OZ1','Sunday-11-jj','Sunday-11-jj',NULL,1,),</v>
      </c>
    </row>
    <row r="8" spans="1:18" ht="20.100000000000001" customHeight="1" x14ac:dyDescent="0.25">
      <c r="A8" s="38">
        <v>3</v>
      </c>
      <c r="B8" s="38" t="s">
        <v>529</v>
      </c>
      <c r="C8" s="38">
        <v>1</v>
      </c>
      <c r="D8" s="39" t="str">
        <f t="shared" si="0"/>
        <v>PC-03-OZ2</v>
      </c>
      <c r="E8" s="48" t="str">
        <f t="shared" si="1"/>
        <v>Poste de Coupure n°03 OZ2</v>
      </c>
      <c r="F8" s="19">
        <v>37851</v>
      </c>
      <c r="G8" s="19">
        <v>37851</v>
      </c>
      <c r="H8" s="41" t="s">
        <v>20</v>
      </c>
      <c r="I8" s="41">
        <v>1</v>
      </c>
      <c r="J8" s="41" t="s">
        <v>3556</v>
      </c>
      <c r="K8" s="41">
        <v>15</v>
      </c>
      <c r="L8" s="41"/>
      <c r="M8" s="41" t="s">
        <v>302</v>
      </c>
      <c r="N8" s="41" t="s">
        <v>3108</v>
      </c>
      <c r="O8" s="49">
        <f t="shared" si="2"/>
        <v>778</v>
      </c>
      <c r="P8" s="43">
        <f t="shared" si="3"/>
        <v>307.89999999999998</v>
      </c>
      <c r="Q8" s="41" t="s">
        <v>3102</v>
      </c>
      <c r="R8" s="48" t="str">
        <f t="shared" si="4"/>
        <v>(3,'PC-03-OZ2','Poste de Coupure n°03 OZ2','Monday-08-jj','Monday-08-jj',NULL,1,),</v>
      </c>
    </row>
    <row r="9" spans="1:18" ht="20.100000000000001" customHeight="1" x14ac:dyDescent="0.25">
      <c r="A9" s="38">
        <v>4</v>
      </c>
      <c r="B9" s="38" t="s">
        <v>529</v>
      </c>
      <c r="C9" s="38">
        <v>1</v>
      </c>
      <c r="D9" s="39" t="str">
        <f t="shared" si="0"/>
        <v>PC-04-OZ1</v>
      </c>
      <c r="E9" s="48" t="str">
        <f t="shared" si="1"/>
        <v>Poste de Coupure n°04 OZ1</v>
      </c>
      <c r="F9" s="19">
        <v>24053</v>
      </c>
      <c r="G9" s="19">
        <v>24053</v>
      </c>
      <c r="H9" s="41" t="s">
        <v>20</v>
      </c>
      <c r="I9" s="41">
        <v>1</v>
      </c>
      <c r="J9" s="41" t="s">
        <v>3556</v>
      </c>
      <c r="K9" s="41">
        <v>15</v>
      </c>
      <c r="L9" s="41"/>
      <c r="M9" s="41" t="s">
        <v>300</v>
      </c>
      <c r="N9" s="41" t="s">
        <v>3100</v>
      </c>
      <c r="O9" s="49">
        <f t="shared" si="2"/>
        <v>885</v>
      </c>
      <c r="P9" s="43">
        <f t="shared" si="3"/>
        <v>415.1</v>
      </c>
      <c r="Q9" s="41" t="s">
        <v>3103</v>
      </c>
      <c r="R9" s="48" t="str">
        <f t="shared" si="4"/>
        <v>(4,'PC-04-OZ1','Poste de Coupure n°04 OZ1','Sunday-11-jj','Sunday-11-jj',NULL,1,),</v>
      </c>
    </row>
    <row r="10" spans="1:18" ht="20.100000000000001" customHeight="1" x14ac:dyDescent="0.25">
      <c r="A10" s="38">
        <v>4</v>
      </c>
      <c r="B10" s="38" t="s">
        <v>529</v>
      </c>
      <c r="C10" s="38">
        <v>1</v>
      </c>
      <c r="D10" s="39" t="str">
        <f t="shared" si="0"/>
        <v>PC-04-OZ2</v>
      </c>
      <c r="E10" s="48" t="str">
        <f t="shared" si="1"/>
        <v>Poste de Coupure n°04 OZ2</v>
      </c>
      <c r="F10" s="19">
        <v>37851</v>
      </c>
      <c r="G10" s="19">
        <v>37851</v>
      </c>
      <c r="H10" s="41" t="s">
        <v>20</v>
      </c>
      <c r="I10" s="41">
        <v>1</v>
      </c>
      <c r="J10" s="41" t="s">
        <v>3556</v>
      </c>
      <c r="K10" s="41">
        <v>15</v>
      </c>
      <c r="L10" s="41"/>
      <c r="M10" s="41" t="s">
        <v>302</v>
      </c>
      <c r="N10" s="41" t="s">
        <v>3109</v>
      </c>
      <c r="O10" s="49">
        <f t="shared" si="2"/>
        <v>890</v>
      </c>
      <c r="P10" s="43">
        <f t="shared" si="3"/>
        <v>417.2</v>
      </c>
      <c r="Q10" s="41" t="s">
        <v>3103</v>
      </c>
      <c r="R10" s="48" t="str">
        <f t="shared" si="4"/>
        <v>(4,'PC-04-OZ2','Poste de Coupure n°04 OZ2','Monday-08-jj','Monday-08-jj',NULL,1,),</v>
      </c>
    </row>
    <row r="11" spans="1:18" ht="20.100000000000001" customHeight="1" x14ac:dyDescent="0.25">
      <c r="A11" s="38">
        <v>5</v>
      </c>
      <c r="B11" s="38" t="s">
        <v>529</v>
      </c>
      <c r="C11" s="38">
        <v>1</v>
      </c>
      <c r="D11" s="39" t="str">
        <f t="shared" si="0"/>
        <v>PC-05-OZ1</v>
      </c>
      <c r="E11" s="48" t="str">
        <f t="shared" si="1"/>
        <v>Poste de Coupure n°05 OZ1</v>
      </c>
      <c r="F11" s="19">
        <v>24053</v>
      </c>
      <c r="G11" s="19">
        <v>24053</v>
      </c>
      <c r="H11" s="41" t="s">
        <v>20</v>
      </c>
      <c r="I11" s="41">
        <v>1</v>
      </c>
      <c r="J11" s="41" t="s">
        <v>3556</v>
      </c>
      <c r="K11" s="41">
        <v>15</v>
      </c>
      <c r="L11" s="41"/>
      <c r="M11" s="41" t="s">
        <v>300</v>
      </c>
      <c r="N11" s="41" t="s">
        <v>3101</v>
      </c>
      <c r="O11" s="49">
        <f t="shared" si="2"/>
        <v>973</v>
      </c>
      <c r="P11" s="43">
        <f t="shared" si="3"/>
        <v>534.9</v>
      </c>
      <c r="Q11" s="41" t="s">
        <v>3104</v>
      </c>
      <c r="R11" s="48" t="str">
        <f t="shared" si="4"/>
        <v>(5,'PC-05-OZ1','Poste de Coupure n°05 OZ1','Sunday-11-jj','Sunday-11-jj',NULL,1,),</v>
      </c>
    </row>
    <row r="12" spans="1:18" ht="20.100000000000001" customHeight="1" x14ac:dyDescent="0.25">
      <c r="A12" s="38">
        <v>5</v>
      </c>
      <c r="B12" s="38" t="s">
        <v>529</v>
      </c>
      <c r="C12" s="38">
        <v>1</v>
      </c>
      <c r="D12" s="39" t="str">
        <f t="shared" si="0"/>
        <v>PC-05-OZ2</v>
      </c>
      <c r="E12" s="48" t="str">
        <f t="shared" si="1"/>
        <v>Poste de Coupure n°05 OZ2</v>
      </c>
      <c r="F12" s="19">
        <v>37851</v>
      </c>
      <c r="G12" s="19">
        <v>37851</v>
      </c>
      <c r="H12" s="41" t="s">
        <v>20</v>
      </c>
      <c r="I12" s="41">
        <v>1</v>
      </c>
      <c r="J12" s="41" t="s">
        <v>3556</v>
      </c>
      <c r="K12" s="41">
        <v>15</v>
      </c>
      <c r="L12" s="41"/>
      <c r="M12" s="41" t="s">
        <v>302</v>
      </c>
      <c r="N12" s="41" t="s">
        <v>3110</v>
      </c>
      <c r="O12" s="49">
        <f t="shared" si="2"/>
        <v>1015</v>
      </c>
      <c r="P12" s="43">
        <f t="shared" si="3"/>
        <v>538.20000000000005</v>
      </c>
      <c r="Q12" s="41" t="s">
        <v>3104</v>
      </c>
      <c r="R12" s="48" t="str">
        <f t="shared" si="4"/>
        <v>(5,'PC-05-OZ2','Poste de Coupure n°05 OZ2','Monday-08-jj','Monday-08-jj',NULL,1,),</v>
      </c>
    </row>
    <row r="13" spans="1:18" ht="20.100000000000001" customHeight="1" x14ac:dyDescent="0.25">
      <c r="A13" s="38">
        <v>1</v>
      </c>
      <c r="B13" s="38" t="s">
        <v>305</v>
      </c>
      <c r="C13" s="38">
        <v>2</v>
      </c>
      <c r="D13" s="39" t="str">
        <f t="shared" si="0"/>
        <v>PC-01-OK1</v>
      </c>
      <c r="E13" s="48" t="str">
        <f t="shared" si="1"/>
        <v>Poste de Coupure n°01 OK1</v>
      </c>
      <c r="F13" s="19">
        <v>26299</v>
      </c>
      <c r="G13" s="19">
        <v>26299</v>
      </c>
      <c r="H13" s="41" t="s">
        <v>20</v>
      </c>
      <c r="I13" s="41">
        <v>1</v>
      </c>
      <c r="J13" s="41" t="s">
        <v>3556</v>
      </c>
      <c r="K13" s="41">
        <v>15</v>
      </c>
      <c r="L13" s="41"/>
      <c r="M13" s="41" t="s">
        <v>305</v>
      </c>
      <c r="N13" s="41" t="s">
        <v>806</v>
      </c>
      <c r="O13" s="49">
        <f t="shared" si="2"/>
        <v>80</v>
      </c>
      <c r="P13" s="43">
        <f t="shared" si="3"/>
        <v>190.56</v>
      </c>
      <c r="Q13" s="41" t="s">
        <v>825</v>
      </c>
      <c r="R13" s="48" t="str">
        <f t="shared" si="4"/>
        <v>(1,'PC-01-OK1','Poste de Coupure n°01 OK1','Saturday-01-jj','Saturday-01-jj',NULL,1,),</v>
      </c>
    </row>
    <row r="14" spans="1:18" ht="20.100000000000001" customHeight="1" x14ac:dyDescent="0.25">
      <c r="A14" s="38">
        <v>2</v>
      </c>
      <c r="B14" s="38" t="s">
        <v>305</v>
      </c>
      <c r="C14" s="38">
        <v>2</v>
      </c>
      <c r="D14" s="39" t="str">
        <f t="shared" si="0"/>
        <v>PC-02-OK1</v>
      </c>
      <c r="E14" s="48" t="str">
        <f t="shared" si="1"/>
        <v>Poste de Coupure n°02 OK1</v>
      </c>
      <c r="F14" s="19">
        <v>26299</v>
      </c>
      <c r="G14" s="19">
        <v>26299</v>
      </c>
      <c r="H14" s="41" t="s">
        <v>20</v>
      </c>
      <c r="I14" s="41">
        <v>1</v>
      </c>
      <c r="J14" s="41" t="s">
        <v>3556</v>
      </c>
      <c r="K14" s="41">
        <v>15</v>
      </c>
      <c r="L14" s="41"/>
      <c r="M14" s="41" t="s">
        <v>305</v>
      </c>
      <c r="N14" s="41" t="s">
        <v>3256</v>
      </c>
      <c r="O14" s="49">
        <f t="shared" si="2"/>
        <v>185</v>
      </c>
      <c r="P14" s="43">
        <f t="shared" si="3"/>
        <v>338.64299999999997</v>
      </c>
      <c r="Q14" s="41" t="s">
        <v>3258</v>
      </c>
      <c r="R14" s="48" t="str">
        <f t="shared" si="4"/>
        <v>(2,'PC-02-OK1','Poste de Coupure n°02 OK1','Saturday-01-jj','Saturday-01-jj',NULL,1,),</v>
      </c>
    </row>
    <row r="15" spans="1:18" ht="20.100000000000001" customHeight="1" x14ac:dyDescent="0.25">
      <c r="A15" s="38">
        <v>3</v>
      </c>
      <c r="B15" s="38" t="s">
        <v>305</v>
      </c>
      <c r="C15" s="38">
        <v>2</v>
      </c>
      <c r="D15" s="39" t="str">
        <f t="shared" si="0"/>
        <v>PC-03-OK1</v>
      </c>
      <c r="E15" s="48" t="str">
        <f t="shared" si="1"/>
        <v>Poste de Coupure n°03 OK1</v>
      </c>
      <c r="F15" s="19">
        <v>26299</v>
      </c>
      <c r="G15" s="19">
        <v>26299</v>
      </c>
      <c r="H15" s="41" t="s">
        <v>20</v>
      </c>
      <c r="I15" s="41">
        <v>1</v>
      </c>
      <c r="J15" s="41" t="s">
        <v>3556</v>
      </c>
      <c r="K15" s="41">
        <v>15</v>
      </c>
      <c r="L15" s="41"/>
      <c r="M15" s="41" t="s">
        <v>305</v>
      </c>
      <c r="N15" s="41" t="s">
        <v>3257</v>
      </c>
      <c r="O15" s="49">
        <f t="shared" si="2"/>
        <v>630</v>
      </c>
      <c r="P15" s="43">
        <f t="shared" si="3"/>
        <v>431.42700000000002</v>
      </c>
      <c r="Q15" s="41" t="s">
        <v>3259</v>
      </c>
      <c r="R15" s="48" t="str">
        <f t="shared" si="4"/>
        <v>(3,'PC-03-OK1','Poste de Coupure n°03 OK1','Saturday-01-jj','Saturday-01-jj',NULL,1,),</v>
      </c>
    </row>
    <row r="16" spans="1:18" ht="20.100000000000001" customHeight="1" x14ac:dyDescent="0.25">
      <c r="A16" s="38">
        <v>1</v>
      </c>
      <c r="B16" s="38" t="s">
        <v>319</v>
      </c>
      <c r="C16" s="38">
        <v>5</v>
      </c>
      <c r="D16" s="39" t="str">
        <f t="shared" si="0"/>
        <v>PC-01-OH1</v>
      </c>
      <c r="E16" s="48" t="str">
        <f t="shared" si="1"/>
        <v>Poste de Coupure n°01 OH1</v>
      </c>
      <c r="F16" s="19">
        <v>29952</v>
      </c>
      <c r="G16" s="19">
        <v>29952</v>
      </c>
      <c r="H16" s="41" t="s">
        <v>20</v>
      </c>
      <c r="I16" s="41">
        <v>1</v>
      </c>
      <c r="J16" s="41" t="s">
        <v>3556</v>
      </c>
      <c r="K16" s="41">
        <v>15</v>
      </c>
      <c r="L16" s="41"/>
      <c r="M16" s="41" t="s">
        <v>319</v>
      </c>
      <c r="N16" s="41" t="s">
        <v>1125</v>
      </c>
      <c r="O16" s="49">
        <f t="shared" si="2"/>
        <v>567</v>
      </c>
      <c r="P16" s="43">
        <f t="shared" si="3"/>
        <v>112.5</v>
      </c>
      <c r="Q16" s="41" t="s">
        <v>1721</v>
      </c>
      <c r="R16" s="48" t="str">
        <f t="shared" si="4"/>
        <v>(1,'PC-01-OH1','Poste de Coupure n°01 OH1','Friday-01-jj','Friday-01-jj',NULL,1,),</v>
      </c>
    </row>
    <row r="17" spans="1:18" ht="20.100000000000001" customHeight="1" x14ac:dyDescent="0.25">
      <c r="A17" s="38">
        <v>2</v>
      </c>
      <c r="B17" s="38" t="s">
        <v>319</v>
      </c>
      <c r="C17" s="38">
        <v>5</v>
      </c>
      <c r="D17" s="39" t="str">
        <f t="shared" si="0"/>
        <v>PC-02-OH1</v>
      </c>
      <c r="E17" s="48" t="str">
        <f t="shared" si="1"/>
        <v>Poste de Coupure n°02 OH1</v>
      </c>
      <c r="F17" s="19">
        <v>29952</v>
      </c>
      <c r="G17" s="19">
        <v>29952</v>
      </c>
      <c r="H17" s="41" t="s">
        <v>20</v>
      </c>
      <c r="I17" s="41">
        <v>1</v>
      </c>
      <c r="J17" s="41" t="s">
        <v>3556</v>
      </c>
      <c r="K17" s="41">
        <v>15</v>
      </c>
      <c r="L17" s="41"/>
      <c r="M17" s="41" t="s">
        <v>319</v>
      </c>
      <c r="N17" s="41" t="s">
        <v>1126</v>
      </c>
      <c r="O17" s="49">
        <f t="shared" si="2"/>
        <v>302</v>
      </c>
      <c r="P17" s="43">
        <f t="shared" si="3"/>
        <v>270.5</v>
      </c>
      <c r="Q17" s="41" t="s">
        <v>3301</v>
      </c>
      <c r="R17" s="48" t="str">
        <f t="shared" si="4"/>
        <v>(2,'PC-02-OH1','Poste de Coupure n°02 OH1','Friday-01-jj','Friday-01-jj',NULL,1,),</v>
      </c>
    </row>
    <row r="18" spans="1:18" ht="20.100000000000001" customHeight="1" x14ac:dyDescent="0.25">
      <c r="A18" s="38">
        <v>3</v>
      </c>
      <c r="B18" s="38" t="s">
        <v>319</v>
      </c>
      <c r="C18" s="38">
        <v>5</v>
      </c>
      <c r="D18" s="39" t="str">
        <f t="shared" si="0"/>
        <v>PC-03-OH1</v>
      </c>
      <c r="E18" s="48" t="str">
        <f t="shared" si="1"/>
        <v>Poste de Coupure n°03 OH1</v>
      </c>
      <c r="F18" s="19">
        <v>29952</v>
      </c>
      <c r="G18" s="19">
        <v>29952</v>
      </c>
      <c r="H18" s="41" t="s">
        <v>20</v>
      </c>
      <c r="I18" s="41">
        <v>1</v>
      </c>
      <c r="J18" s="41" t="s">
        <v>3556</v>
      </c>
      <c r="K18" s="41">
        <v>15</v>
      </c>
      <c r="L18" s="41"/>
      <c r="M18" s="41" t="s">
        <v>319</v>
      </c>
      <c r="N18" s="41" t="s">
        <v>3300</v>
      </c>
      <c r="O18" s="49">
        <f t="shared" si="2"/>
        <v>258</v>
      </c>
      <c r="P18" s="43">
        <f t="shared" si="3"/>
        <v>359.5</v>
      </c>
      <c r="Q18" s="41" t="s">
        <v>3302</v>
      </c>
      <c r="R18" s="48" t="str">
        <f t="shared" si="4"/>
        <v>(3,'PC-03-OH1','Poste de Coupure n°03 OH1','Friday-01-jj','Friday-01-jj',NULL,1,),</v>
      </c>
    </row>
    <row r="19" spans="1:18" ht="20.100000000000001" customHeight="1" x14ac:dyDescent="0.25">
      <c r="A19" s="38">
        <v>4</v>
      </c>
      <c r="B19" s="38" t="s">
        <v>319</v>
      </c>
      <c r="C19" s="38">
        <v>5</v>
      </c>
      <c r="D19" s="39" t="str">
        <f t="shared" si="0"/>
        <v>PC-04-OH1</v>
      </c>
      <c r="E19" s="48" t="str">
        <f t="shared" si="1"/>
        <v>Poste de Coupure n°04 OH1</v>
      </c>
      <c r="F19" s="19">
        <v>29952</v>
      </c>
      <c r="G19" s="19">
        <v>29952</v>
      </c>
      <c r="H19" s="41" t="s">
        <v>20</v>
      </c>
      <c r="I19" s="41">
        <v>1</v>
      </c>
      <c r="J19" s="41" t="s">
        <v>3556</v>
      </c>
      <c r="K19" s="41">
        <v>15</v>
      </c>
      <c r="L19" s="41"/>
      <c r="M19" s="41" t="s">
        <v>319</v>
      </c>
      <c r="N19" s="41" t="s">
        <v>1128</v>
      </c>
      <c r="O19" s="49">
        <f t="shared" si="2"/>
        <v>208</v>
      </c>
      <c r="P19" s="43">
        <f t="shared" si="3"/>
        <v>452</v>
      </c>
      <c r="Q19" s="41" t="s">
        <v>3303</v>
      </c>
      <c r="R19" s="48" t="str">
        <f t="shared" si="4"/>
        <v>(4,'PC-04-OH1','Poste de Coupure n°04 OH1','Friday-01-jj','Friday-01-jj',NULL,1,),</v>
      </c>
    </row>
    <row r="20" spans="1:18" ht="20.100000000000001" customHeight="1" x14ac:dyDescent="0.25">
      <c r="A20" s="38">
        <v>5</v>
      </c>
      <c r="B20" s="38" t="s">
        <v>319</v>
      </c>
      <c r="C20" s="38">
        <v>5</v>
      </c>
      <c r="D20" s="39" t="str">
        <f t="shared" si="0"/>
        <v>PC-05-OH1</v>
      </c>
      <c r="E20" s="48" t="str">
        <f t="shared" si="1"/>
        <v>Poste de Coupure n°05 OH1</v>
      </c>
      <c r="F20" s="19">
        <v>29952</v>
      </c>
      <c r="G20" s="19">
        <v>29952</v>
      </c>
      <c r="H20" s="41" t="s">
        <v>20</v>
      </c>
      <c r="I20" s="41">
        <v>1</v>
      </c>
      <c r="J20" s="41" t="s">
        <v>3556</v>
      </c>
      <c r="K20" s="41">
        <v>15</v>
      </c>
      <c r="L20" s="41"/>
      <c r="M20" s="41" t="s">
        <v>319</v>
      </c>
      <c r="N20" s="41" t="s">
        <v>1129</v>
      </c>
      <c r="O20" s="49">
        <f t="shared" si="2"/>
        <v>159</v>
      </c>
      <c r="P20" s="43">
        <f t="shared" si="3"/>
        <v>545.5</v>
      </c>
      <c r="Q20" s="41" t="s">
        <v>3304</v>
      </c>
      <c r="R20" s="48" t="str">
        <f t="shared" si="4"/>
        <v>(5,'PC-05-OH1','Poste de Coupure n°05 OH1','Friday-01-jj','Friday-01-jj',NULL,1,),</v>
      </c>
    </row>
    <row r="21" spans="1:18" ht="20.100000000000001" customHeight="1" x14ac:dyDescent="0.25">
      <c r="A21" s="38">
        <v>1</v>
      </c>
      <c r="B21" s="38" t="s">
        <v>3533</v>
      </c>
      <c r="C21" s="38">
        <v>6</v>
      </c>
      <c r="D21" s="39" t="str">
        <f t="shared" si="0"/>
        <v>PC-01-OD1</v>
      </c>
      <c r="E21" s="48" t="str">
        <f t="shared" si="1"/>
        <v>Poste de Coupure n°01 OD1</v>
      </c>
      <c r="F21" s="19">
        <v>28207</v>
      </c>
      <c r="G21" s="19">
        <v>28207</v>
      </c>
      <c r="H21" s="41" t="s">
        <v>20</v>
      </c>
      <c r="I21" s="41">
        <v>1</v>
      </c>
      <c r="J21" s="41" t="s">
        <v>3556</v>
      </c>
      <c r="K21" s="41">
        <v>15</v>
      </c>
      <c r="L21" s="41"/>
      <c r="M21" s="41" t="s">
        <v>332</v>
      </c>
      <c r="N21" s="41" t="s">
        <v>3305</v>
      </c>
      <c r="O21" s="49">
        <f t="shared" si="2"/>
        <v>169</v>
      </c>
      <c r="P21" s="43">
        <f t="shared" si="3"/>
        <v>137</v>
      </c>
      <c r="Q21" s="41" t="s">
        <v>985</v>
      </c>
      <c r="R21" s="48" t="str">
        <f t="shared" si="4"/>
        <v>(1,'PC-01-OD1','Poste de Coupure n°01 OD1','Wednesday-03-jj','Wednesday-03-jj',NULL,1,),</v>
      </c>
    </row>
    <row r="22" spans="1:18" ht="20.100000000000001" customHeight="1" x14ac:dyDescent="0.25">
      <c r="A22" s="38">
        <v>1</v>
      </c>
      <c r="B22" s="38" t="s">
        <v>588</v>
      </c>
      <c r="C22" s="38">
        <v>7</v>
      </c>
      <c r="D22" s="39" t="str">
        <f t="shared" si="0"/>
        <v>PC-01-OH3</v>
      </c>
      <c r="E22" s="48" t="str">
        <f t="shared" si="1"/>
        <v>Poste de Coupure n°01 OH3</v>
      </c>
      <c r="F22" s="19">
        <v>36161</v>
      </c>
      <c r="G22" s="19">
        <v>36161</v>
      </c>
      <c r="H22" s="41" t="s">
        <v>20</v>
      </c>
      <c r="I22" s="41">
        <v>1</v>
      </c>
      <c r="J22" s="41" t="s">
        <v>3556</v>
      </c>
      <c r="K22" s="41">
        <v>15</v>
      </c>
      <c r="L22" s="41"/>
      <c r="M22" s="41" t="s">
        <v>327</v>
      </c>
      <c r="N22" s="41" t="s">
        <v>3306</v>
      </c>
      <c r="O22" s="49">
        <f t="shared" si="2"/>
        <v>182</v>
      </c>
      <c r="P22" s="43">
        <f t="shared" si="3"/>
        <v>158</v>
      </c>
      <c r="Q22" s="41" t="s">
        <v>3307</v>
      </c>
      <c r="R22" s="48" t="str">
        <f t="shared" si="4"/>
        <v>(1,'PC-01-OH3','Poste de Coupure n°01 OH3','Friday-01-jj','Friday-01-jj',NULL,1,),</v>
      </c>
    </row>
    <row r="23" spans="1:18" ht="20.100000000000001" customHeight="1" x14ac:dyDescent="0.25">
      <c r="A23" s="38">
        <v>1</v>
      </c>
      <c r="B23" s="38" t="s">
        <v>588</v>
      </c>
      <c r="C23" s="38">
        <v>7</v>
      </c>
      <c r="D23" s="39" t="str">
        <f t="shared" si="0"/>
        <v>PC-01-OH4</v>
      </c>
      <c r="E23" s="48" t="str">
        <f t="shared" si="1"/>
        <v>Poste de Coupure n°01 OH4</v>
      </c>
      <c r="F23" s="19">
        <v>38718</v>
      </c>
      <c r="G23" s="19">
        <v>38718</v>
      </c>
      <c r="H23" s="41" t="s">
        <v>20</v>
      </c>
      <c r="I23" s="41">
        <v>1</v>
      </c>
      <c r="J23" s="41" t="s">
        <v>3556</v>
      </c>
      <c r="K23" s="41">
        <v>15</v>
      </c>
      <c r="L23" s="41"/>
      <c r="M23" s="41" t="s">
        <v>329</v>
      </c>
      <c r="N23" s="41" t="s">
        <v>3306</v>
      </c>
      <c r="O23" s="49">
        <f t="shared" si="2"/>
        <v>182</v>
      </c>
      <c r="P23" s="43">
        <f t="shared" si="3"/>
        <v>158</v>
      </c>
      <c r="Q23" s="41" t="s">
        <v>3307</v>
      </c>
      <c r="R23" s="48" t="str">
        <f t="shared" si="4"/>
        <v>(1,'PC-01-OH4','Poste de Coupure n°01 OH4','Sunday-01-jj','Sunday-01-jj',NULL,1,),</v>
      </c>
    </row>
    <row r="24" spans="1:18" ht="20.100000000000001" customHeight="1" x14ac:dyDescent="0.25">
      <c r="A24" s="38">
        <v>1</v>
      </c>
      <c r="B24" s="38" t="s">
        <v>341</v>
      </c>
      <c r="C24" s="38">
        <v>8</v>
      </c>
      <c r="D24" s="39" t="str">
        <f t="shared" si="0"/>
        <v>PC-01-NZ1</v>
      </c>
      <c r="E24" s="48" t="str">
        <f t="shared" si="1"/>
        <v>Poste de Coupure n°01 NZ1</v>
      </c>
      <c r="F24" s="19">
        <v>28795</v>
      </c>
      <c r="G24" s="19">
        <v>28795</v>
      </c>
      <c r="H24" s="41" t="s">
        <v>20</v>
      </c>
      <c r="I24" s="41">
        <v>1</v>
      </c>
      <c r="J24" s="41" t="s">
        <v>3556</v>
      </c>
      <c r="K24" s="41">
        <v>15</v>
      </c>
      <c r="L24" s="41"/>
      <c r="M24" s="41" t="s">
        <v>341</v>
      </c>
      <c r="N24" s="41" t="s">
        <v>3308</v>
      </c>
      <c r="O24" s="49">
        <v>880</v>
      </c>
      <c r="P24" s="43">
        <f>VALUE(SUBSTITUTE(N24,"+",","))</f>
        <v>109.02</v>
      </c>
      <c r="Q24" s="41" t="s">
        <v>3310</v>
      </c>
      <c r="R24" s="48" t="str">
        <f t="shared" si="4"/>
        <v>(1,'PC-01-NZ1','Poste de Coupure n°01 NZ1','Wednesday-11-jj','Wednesday-11-jj',NULL,1,),</v>
      </c>
    </row>
    <row r="25" spans="1:18" ht="20.100000000000001" customHeight="1" x14ac:dyDescent="0.25">
      <c r="A25" s="38">
        <v>2</v>
      </c>
      <c r="B25" s="38" t="s">
        <v>341</v>
      </c>
      <c r="C25" s="38">
        <v>8</v>
      </c>
      <c r="D25" s="39" t="str">
        <f t="shared" si="0"/>
        <v>PC-02-NZ1</v>
      </c>
      <c r="E25" s="48" t="str">
        <f t="shared" si="1"/>
        <v>Poste de Coupure n°02 NZ1</v>
      </c>
      <c r="F25" s="19">
        <v>28795</v>
      </c>
      <c r="G25" s="19">
        <v>28795</v>
      </c>
      <c r="H25" s="41" t="s">
        <v>20</v>
      </c>
      <c r="I25" s="41">
        <v>1</v>
      </c>
      <c r="J25" s="41" t="s">
        <v>3556</v>
      </c>
      <c r="K25" s="41">
        <v>15</v>
      </c>
      <c r="L25" s="41"/>
      <c r="M25" s="41" t="s">
        <v>341</v>
      </c>
      <c r="N25" s="41" t="s">
        <v>3309</v>
      </c>
      <c r="O25" s="49">
        <v>973</v>
      </c>
      <c r="P25" s="43">
        <f>VALUE(SUBSTITUTE(N25,"+",","))</f>
        <v>230.06</v>
      </c>
      <c r="Q25" s="41" t="s">
        <v>3311</v>
      </c>
      <c r="R25" s="48" t="str">
        <f t="shared" si="4"/>
        <v>(2,'PC-02-NZ1','Poste de Coupure n°02 NZ1','Wednesday-11-jj','Wednesday-11-jj',NULL,1,),</v>
      </c>
    </row>
    <row r="26" spans="1:18" ht="20.100000000000001" customHeight="1" x14ac:dyDescent="0.25">
      <c r="A26" s="38">
        <v>1</v>
      </c>
      <c r="B26" s="38" t="s">
        <v>344</v>
      </c>
      <c r="C26" s="38">
        <v>9</v>
      </c>
      <c r="D26" s="39" t="str">
        <f t="shared" si="0"/>
        <v>PC-01-NK1</v>
      </c>
      <c r="E26" s="48" t="str">
        <f t="shared" si="1"/>
        <v>Poste de Coupure n°01 NK1</v>
      </c>
      <c r="F26" s="19">
        <v>40029</v>
      </c>
      <c r="G26" s="19">
        <v>40029</v>
      </c>
      <c r="H26" s="41" t="s">
        <v>20</v>
      </c>
      <c r="I26" s="41">
        <v>1</v>
      </c>
      <c r="J26" s="41" t="s">
        <v>3556</v>
      </c>
      <c r="K26" s="41">
        <v>15</v>
      </c>
      <c r="L26" s="41"/>
      <c r="M26" s="41" t="s">
        <v>344</v>
      </c>
      <c r="N26" s="41" t="s">
        <v>3312</v>
      </c>
      <c r="O26" s="49">
        <f t="shared" ref="O26:O57" si="5">VALUE(RIGHT(N26,LEN(N26)-SEARCH("/",N26)))</f>
        <v>73</v>
      </c>
      <c r="P26" s="43">
        <f t="shared" ref="P26:P57" si="6">VALUE(SUBSTITUTE(LEFT(N26,SEARCH("/",N26)-1),"+",","))</f>
        <v>188.33199999999999</v>
      </c>
      <c r="Q26" s="41" t="s">
        <v>3315</v>
      </c>
      <c r="R26" s="48" t="str">
        <f t="shared" si="4"/>
        <v>(1,'PC-01-NK1','Poste de Coupure n°01 NK1','Tuesday-08-jj','Tuesday-08-jj',NULL,1,),</v>
      </c>
    </row>
    <row r="27" spans="1:18" ht="20.100000000000001" customHeight="1" x14ac:dyDescent="0.25">
      <c r="A27" s="38">
        <v>2</v>
      </c>
      <c r="B27" s="38" t="s">
        <v>344</v>
      </c>
      <c r="C27" s="38">
        <v>9</v>
      </c>
      <c r="D27" s="39" t="str">
        <f t="shared" si="0"/>
        <v>PC-02-NK1</v>
      </c>
      <c r="E27" s="48" t="str">
        <f t="shared" si="1"/>
        <v>Poste de Coupure n°02 NK1</v>
      </c>
      <c r="F27" s="19">
        <v>40029</v>
      </c>
      <c r="G27" s="19">
        <v>40029</v>
      </c>
      <c r="H27" s="41" t="s">
        <v>20</v>
      </c>
      <c r="I27" s="41">
        <v>1</v>
      </c>
      <c r="J27" s="41" t="s">
        <v>3556</v>
      </c>
      <c r="K27" s="41">
        <v>15</v>
      </c>
      <c r="L27" s="41"/>
      <c r="M27" s="41" t="s">
        <v>344</v>
      </c>
      <c r="N27" s="41" t="s">
        <v>3313</v>
      </c>
      <c r="O27" s="49">
        <f t="shared" si="5"/>
        <v>185</v>
      </c>
      <c r="P27" s="43">
        <f t="shared" si="6"/>
        <v>337.79199999999997</v>
      </c>
      <c r="Q27" s="41" t="s">
        <v>3316</v>
      </c>
      <c r="R27" s="48" t="str">
        <f t="shared" si="4"/>
        <v>(2,'PC-02-NK1','Poste de Coupure n°02 NK1','Tuesday-08-jj','Tuesday-08-jj',NULL,1,),</v>
      </c>
    </row>
    <row r="28" spans="1:18" ht="20.100000000000001" customHeight="1" x14ac:dyDescent="0.25">
      <c r="A28" s="38">
        <v>3</v>
      </c>
      <c r="B28" s="38" t="s">
        <v>344</v>
      </c>
      <c r="C28" s="38">
        <v>9</v>
      </c>
      <c r="D28" s="39" t="str">
        <f t="shared" si="0"/>
        <v>PC-03-NK1</v>
      </c>
      <c r="E28" s="48" t="str">
        <f t="shared" si="1"/>
        <v>Poste de Coupure n°03 NK1</v>
      </c>
      <c r="F28" s="19">
        <v>40029</v>
      </c>
      <c r="G28" s="19">
        <v>40029</v>
      </c>
      <c r="H28" s="41" t="s">
        <v>20</v>
      </c>
      <c r="I28" s="41">
        <v>1</v>
      </c>
      <c r="J28" s="41" t="s">
        <v>3556</v>
      </c>
      <c r="K28" s="41">
        <v>15</v>
      </c>
      <c r="L28" s="41"/>
      <c r="M28" s="41" t="s">
        <v>344</v>
      </c>
      <c r="N28" s="41" t="s">
        <v>3314</v>
      </c>
      <c r="O28" s="49">
        <f t="shared" si="5"/>
        <v>620</v>
      </c>
      <c r="P28" s="43">
        <f t="shared" si="6"/>
        <v>430.78899999999999</v>
      </c>
      <c r="Q28" s="41" t="s">
        <v>3259</v>
      </c>
      <c r="R28" s="48" t="str">
        <f t="shared" si="4"/>
        <v>(3,'PC-03-NK1','Poste de Coupure n°03 NK1','Tuesday-08-jj','Tuesday-08-jj',NULL,1,),</v>
      </c>
    </row>
    <row r="29" spans="1:18" ht="20.100000000000001" customHeight="1" x14ac:dyDescent="0.25">
      <c r="A29" s="38">
        <v>1</v>
      </c>
      <c r="B29" s="38" t="s">
        <v>347</v>
      </c>
      <c r="C29" s="38">
        <v>10</v>
      </c>
      <c r="D29" s="39" t="str">
        <f t="shared" si="0"/>
        <v>PC-01-NH2</v>
      </c>
      <c r="E29" s="48" t="str">
        <f t="shared" si="1"/>
        <v>Poste de Coupure n°01 NH2</v>
      </c>
      <c r="F29" s="19">
        <v>21916</v>
      </c>
      <c r="G29" s="19">
        <v>21916</v>
      </c>
      <c r="H29" s="41" t="s">
        <v>20</v>
      </c>
      <c r="I29" s="41">
        <v>1</v>
      </c>
      <c r="J29" s="41" t="s">
        <v>3556</v>
      </c>
      <c r="K29" s="41">
        <v>15</v>
      </c>
      <c r="L29" s="41"/>
      <c r="M29" s="41" t="s">
        <v>347</v>
      </c>
      <c r="N29" s="41" t="s">
        <v>3317</v>
      </c>
      <c r="O29" s="49">
        <f t="shared" si="5"/>
        <v>567</v>
      </c>
      <c r="P29" s="43">
        <f t="shared" si="6"/>
        <v>47</v>
      </c>
      <c r="Q29" s="41" t="s">
        <v>1721</v>
      </c>
      <c r="R29" s="48" t="str">
        <f t="shared" si="4"/>
        <v>(1,'PC-01-NH2','Poste de Coupure n°01 NH2','Friday-01-jj','Friday-01-jj',NULL,1,),</v>
      </c>
    </row>
    <row r="30" spans="1:18" ht="20.100000000000001" customHeight="1" x14ac:dyDescent="0.25">
      <c r="A30" s="38">
        <v>2</v>
      </c>
      <c r="B30" s="38" t="s">
        <v>347</v>
      </c>
      <c r="C30" s="38">
        <v>10</v>
      </c>
      <c r="D30" s="39" t="str">
        <f t="shared" si="0"/>
        <v>PC-02-NH2</v>
      </c>
      <c r="E30" s="48" t="str">
        <f t="shared" si="1"/>
        <v>Poste de Coupure n°02 NH2</v>
      </c>
      <c r="F30" s="19">
        <v>21916</v>
      </c>
      <c r="G30" s="19">
        <v>21916</v>
      </c>
      <c r="H30" s="41" t="s">
        <v>20</v>
      </c>
      <c r="I30" s="41">
        <v>1</v>
      </c>
      <c r="J30" s="41" t="s">
        <v>3556</v>
      </c>
      <c r="K30" s="41">
        <v>15</v>
      </c>
      <c r="L30" s="41"/>
      <c r="M30" s="41" t="s">
        <v>347</v>
      </c>
      <c r="N30" s="41" t="s">
        <v>3318</v>
      </c>
      <c r="O30" s="49">
        <f t="shared" si="5"/>
        <v>302</v>
      </c>
      <c r="P30" s="43">
        <f t="shared" si="6"/>
        <v>158</v>
      </c>
      <c r="Q30" s="41" t="s">
        <v>3320</v>
      </c>
      <c r="R30" s="48" t="str">
        <f t="shared" si="4"/>
        <v>(2,'PC-02-NH2','Poste de Coupure n°02 NH2','Friday-01-jj','Friday-01-jj',NULL,1,),</v>
      </c>
    </row>
    <row r="31" spans="1:18" ht="20.100000000000001" customHeight="1" x14ac:dyDescent="0.25">
      <c r="A31" s="38">
        <v>3</v>
      </c>
      <c r="B31" s="38" t="s">
        <v>347</v>
      </c>
      <c r="C31" s="38">
        <v>10</v>
      </c>
      <c r="D31" s="39" t="str">
        <f t="shared" si="0"/>
        <v>PC-03-NH2</v>
      </c>
      <c r="E31" s="48" t="str">
        <f t="shared" si="1"/>
        <v>Poste de Coupure n°03 NH2</v>
      </c>
      <c r="F31" s="19">
        <v>21916</v>
      </c>
      <c r="G31" s="19">
        <v>21916</v>
      </c>
      <c r="H31" s="41" t="s">
        <v>20</v>
      </c>
      <c r="I31" s="41">
        <v>1</v>
      </c>
      <c r="J31" s="41" t="s">
        <v>3556</v>
      </c>
      <c r="K31" s="41">
        <v>15</v>
      </c>
      <c r="L31" s="41"/>
      <c r="M31" s="41" t="s">
        <v>347</v>
      </c>
      <c r="N31" s="41" t="s">
        <v>3319</v>
      </c>
      <c r="O31" s="49">
        <f t="shared" si="5"/>
        <v>208</v>
      </c>
      <c r="P31" s="43">
        <f t="shared" si="6"/>
        <v>339.5</v>
      </c>
      <c r="Q31" s="41" t="s">
        <v>3303</v>
      </c>
      <c r="R31" s="48" t="str">
        <f t="shared" si="4"/>
        <v>(3,'PC-03-NH2','Poste de Coupure n°03 NH2','Friday-01-jj','Friday-01-jj',NULL,1,),</v>
      </c>
    </row>
    <row r="32" spans="1:18" ht="20.100000000000001" customHeight="1" x14ac:dyDescent="0.25">
      <c r="A32" s="38">
        <v>1</v>
      </c>
      <c r="B32" s="38" t="s">
        <v>607</v>
      </c>
      <c r="C32" s="38">
        <v>11</v>
      </c>
      <c r="D32" s="39" t="str">
        <f t="shared" si="0"/>
        <v>PC-01-LZ1</v>
      </c>
      <c r="E32" s="48" t="str">
        <f t="shared" si="1"/>
        <v>Poste de Coupure n°01 LZ1</v>
      </c>
      <c r="F32" s="19">
        <v>30720</v>
      </c>
      <c r="G32" s="19">
        <v>30720</v>
      </c>
      <c r="H32" s="41" t="s">
        <v>20</v>
      </c>
      <c r="I32" s="41">
        <v>1</v>
      </c>
      <c r="J32" s="41" t="s">
        <v>3556</v>
      </c>
      <c r="K32" s="41">
        <v>15</v>
      </c>
      <c r="L32" s="41"/>
      <c r="M32" s="41" t="s">
        <v>352</v>
      </c>
      <c r="N32" s="41" t="s">
        <v>3321</v>
      </c>
      <c r="O32" s="49">
        <f t="shared" si="5"/>
        <v>885</v>
      </c>
      <c r="P32" s="43">
        <f t="shared" si="6"/>
        <v>110.729</v>
      </c>
      <c r="Q32" s="41" t="s">
        <v>2824</v>
      </c>
      <c r="R32" s="48" t="str">
        <f t="shared" si="4"/>
        <v>(1,'PC-01-LZ1','Poste de Coupure n°01 LZ1','Wednesday-02-jj','Wednesday-02-jj',NULL,1,),</v>
      </c>
    </row>
    <row r="33" spans="1:18" ht="20.100000000000001" customHeight="1" x14ac:dyDescent="0.25">
      <c r="A33" s="38">
        <v>1</v>
      </c>
      <c r="B33" s="38" t="s">
        <v>607</v>
      </c>
      <c r="C33" s="38">
        <v>11</v>
      </c>
      <c r="D33" s="39" t="str">
        <f t="shared" ref="D33:D64" si="7">CONCATENATE("PC-",TEXT(A33,"00"),"-",M33)</f>
        <v>PC-01-LZ2</v>
      </c>
      <c r="E33" s="48" t="str">
        <f t="shared" ref="E33:E64" si="8">CONCATENATE("Poste de Coupure n°",TEXT(A33,"00")," ",M33)</f>
        <v>Poste de Coupure n°01 LZ2</v>
      </c>
      <c r="F33" s="19">
        <v>39814</v>
      </c>
      <c r="G33" s="19">
        <v>40179</v>
      </c>
      <c r="H33" s="41" t="s">
        <v>20</v>
      </c>
      <c r="I33" s="41">
        <v>1</v>
      </c>
      <c r="J33" s="41" t="s">
        <v>3556</v>
      </c>
      <c r="K33" s="41">
        <v>15</v>
      </c>
      <c r="L33" s="41"/>
      <c r="M33" s="41" t="s">
        <v>355</v>
      </c>
      <c r="N33" s="41" t="s">
        <v>3323</v>
      </c>
      <c r="O33" s="49">
        <f t="shared" si="5"/>
        <v>885</v>
      </c>
      <c r="P33" s="43">
        <f t="shared" si="6"/>
        <v>110.627</v>
      </c>
      <c r="Q33" s="41" t="s">
        <v>1741</v>
      </c>
      <c r="R33" s="48" t="str">
        <f t="shared" ref="R33:R64" si="9">CONCATENATE("(",A33,",'",D33,"','",E33,"','",TEXT(F33,"aaaa-mm-jj"),"','",TEXT(G33,"aaaa-mm-jj"),"',",H33,",",I33,",",L33,"),")</f>
        <v>(1,'PC-01-LZ2','Poste de Coupure n°01 LZ2','Thursday-01-jj','Friday-01-jj',NULL,1,),</v>
      </c>
    </row>
    <row r="34" spans="1:18" ht="20.100000000000001" customHeight="1" x14ac:dyDescent="0.25">
      <c r="A34" s="38">
        <v>2</v>
      </c>
      <c r="B34" s="38" t="s">
        <v>607</v>
      </c>
      <c r="C34" s="38">
        <v>11</v>
      </c>
      <c r="D34" s="39" t="str">
        <f t="shared" si="7"/>
        <v>PC-02-LZ1</v>
      </c>
      <c r="E34" s="48" t="str">
        <f t="shared" si="8"/>
        <v>Poste de Coupure n°02 LZ1</v>
      </c>
      <c r="F34" s="19">
        <v>30720</v>
      </c>
      <c r="G34" s="19">
        <v>30720</v>
      </c>
      <c r="H34" s="41" t="s">
        <v>20</v>
      </c>
      <c r="I34" s="41">
        <v>1</v>
      </c>
      <c r="J34" s="41" t="s">
        <v>3556</v>
      </c>
      <c r="K34" s="41">
        <v>15</v>
      </c>
      <c r="L34" s="41"/>
      <c r="M34" s="41" t="s">
        <v>352</v>
      </c>
      <c r="N34" s="41" t="s">
        <v>3322</v>
      </c>
      <c r="O34" s="49">
        <f t="shared" si="5"/>
        <v>1080</v>
      </c>
      <c r="P34" s="43">
        <f t="shared" si="6"/>
        <v>307.02</v>
      </c>
      <c r="Q34" s="41" t="s">
        <v>753</v>
      </c>
      <c r="R34" s="48" t="str">
        <f t="shared" si="9"/>
        <v>(2,'PC-02-LZ1','Poste de Coupure n°02 LZ1','Wednesday-02-jj','Wednesday-02-jj',NULL,1,),</v>
      </c>
    </row>
    <row r="35" spans="1:18" ht="20.100000000000001" customHeight="1" x14ac:dyDescent="0.25">
      <c r="A35" s="38">
        <v>2</v>
      </c>
      <c r="B35" s="38" t="s">
        <v>607</v>
      </c>
      <c r="C35" s="38">
        <v>11</v>
      </c>
      <c r="D35" s="39" t="str">
        <f t="shared" si="7"/>
        <v>PC-02-LZ2</v>
      </c>
      <c r="E35" s="48" t="str">
        <f t="shared" si="8"/>
        <v>Poste de Coupure n°02 LZ2</v>
      </c>
      <c r="F35" s="19">
        <v>39814</v>
      </c>
      <c r="G35" s="19">
        <v>40179</v>
      </c>
      <c r="H35" s="41" t="s">
        <v>20</v>
      </c>
      <c r="I35" s="41">
        <v>1</v>
      </c>
      <c r="J35" s="41" t="s">
        <v>3556</v>
      </c>
      <c r="K35" s="41">
        <v>15</v>
      </c>
      <c r="L35" s="41"/>
      <c r="M35" s="41" t="s">
        <v>355</v>
      </c>
      <c r="N35" s="41" t="s">
        <v>3322</v>
      </c>
      <c r="O35" s="49">
        <f t="shared" si="5"/>
        <v>1080</v>
      </c>
      <c r="P35" s="43">
        <f t="shared" si="6"/>
        <v>307.02</v>
      </c>
      <c r="Q35" s="41" t="s">
        <v>753</v>
      </c>
      <c r="R35" s="48" t="str">
        <f t="shared" si="9"/>
        <v>(2,'PC-02-LZ2','Poste de Coupure n°02 LZ2','Thursday-01-jj','Friday-01-jj',NULL,1,),</v>
      </c>
    </row>
    <row r="36" spans="1:18" ht="20.100000000000001" customHeight="1" x14ac:dyDescent="0.25">
      <c r="A36" s="38">
        <v>1</v>
      </c>
      <c r="B36" s="38" t="s">
        <v>3372</v>
      </c>
      <c r="C36" s="38">
        <v>12</v>
      </c>
      <c r="D36" s="39" t="str">
        <f t="shared" si="7"/>
        <v>PC-01-LR1</v>
      </c>
      <c r="E36" s="48" t="str">
        <f t="shared" si="8"/>
        <v>Poste de Coupure n°01 LR1</v>
      </c>
      <c r="F36" s="19">
        <v>35065</v>
      </c>
      <c r="G36" s="19">
        <v>35065</v>
      </c>
      <c r="H36" s="41" t="s">
        <v>20</v>
      </c>
      <c r="I36" s="41">
        <v>1</v>
      </c>
      <c r="J36" s="41" t="s">
        <v>3556</v>
      </c>
      <c r="K36" s="41">
        <v>15</v>
      </c>
      <c r="L36" s="41"/>
      <c r="M36" s="41" t="s">
        <v>358</v>
      </c>
      <c r="N36" s="41" t="s">
        <v>3324</v>
      </c>
      <c r="O36" s="49">
        <f t="shared" si="5"/>
        <v>555</v>
      </c>
      <c r="P36" s="43">
        <f t="shared" si="6"/>
        <v>100.85</v>
      </c>
      <c r="Q36" s="41" t="s">
        <v>1804</v>
      </c>
      <c r="R36" s="48" t="str">
        <f t="shared" si="9"/>
        <v>(1,'PC-01-LR1','Poste de Coupure n°01 LR1','Monday-01-jj','Monday-01-jj',NULL,1,),</v>
      </c>
    </row>
    <row r="37" spans="1:18" ht="20.100000000000001" customHeight="1" x14ac:dyDescent="0.25">
      <c r="A37" s="38">
        <v>1</v>
      </c>
      <c r="B37" s="38" t="s">
        <v>3372</v>
      </c>
      <c r="C37" s="38">
        <v>12</v>
      </c>
      <c r="D37" s="39" t="str">
        <f t="shared" si="7"/>
        <v>PC-01-DLR1</v>
      </c>
      <c r="E37" s="48" t="str">
        <f t="shared" si="8"/>
        <v>Poste de Coupure n°01 DLR1</v>
      </c>
      <c r="F37" s="19">
        <v>38182</v>
      </c>
      <c r="G37" s="19">
        <v>38182</v>
      </c>
      <c r="H37" s="41" t="s">
        <v>20</v>
      </c>
      <c r="I37" s="41">
        <v>1</v>
      </c>
      <c r="J37" s="41" t="s">
        <v>3556</v>
      </c>
      <c r="K37" s="41">
        <v>15</v>
      </c>
      <c r="L37" s="41"/>
      <c r="M37" s="41" t="s">
        <v>361</v>
      </c>
      <c r="N37" s="41" t="s">
        <v>3326</v>
      </c>
      <c r="O37" s="49">
        <f t="shared" si="5"/>
        <v>469</v>
      </c>
      <c r="P37" s="43">
        <f t="shared" si="6"/>
        <v>133</v>
      </c>
      <c r="Q37" s="41" t="s">
        <v>1804</v>
      </c>
      <c r="R37" s="48" t="str">
        <f t="shared" si="9"/>
        <v>(1,'PC-01-DLR1','Poste de Coupure n°01 DLR1','Wednesday-07-jj','Wednesday-07-jj',NULL,1,),</v>
      </c>
    </row>
    <row r="38" spans="1:18" ht="20.100000000000001" customHeight="1" x14ac:dyDescent="0.25">
      <c r="A38" s="38">
        <v>1</v>
      </c>
      <c r="B38" s="38" t="s">
        <v>3372</v>
      </c>
      <c r="C38" s="38">
        <v>12</v>
      </c>
      <c r="D38" s="39" t="str">
        <f t="shared" si="7"/>
        <v>PC-01-ELR1</v>
      </c>
      <c r="E38" s="48" t="str">
        <f t="shared" si="8"/>
        <v>Poste de Coupure n°01 ELR1</v>
      </c>
      <c r="F38" s="19">
        <v>41640</v>
      </c>
      <c r="G38" s="19">
        <v>41640</v>
      </c>
      <c r="H38" s="41" t="s">
        <v>20</v>
      </c>
      <c r="I38" s="41">
        <v>1</v>
      </c>
      <c r="J38" s="41" t="s">
        <v>3556</v>
      </c>
      <c r="K38" s="41">
        <v>15</v>
      </c>
      <c r="L38" s="41"/>
      <c r="M38" s="41" t="s">
        <v>364</v>
      </c>
      <c r="N38" s="41" t="s">
        <v>1195</v>
      </c>
      <c r="O38" s="49">
        <f t="shared" si="5"/>
        <v>151</v>
      </c>
      <c r="P38" s="43">
        <f t="shared" si="6"/>
        <v>33</v>
      </c>
      <c r="Q38" s="41" t="s">
        <v>998</v>
      </c>
      <c r="R38" s="48" t="str">
        <f t="shared" si="9"/>
        <v>(1,'PC-01-ELR1','Poste de Coupure n°01 ELR1','Wednesday-01-jj','Wednesday-01-jj',NULL,1,),</v>
      </c>
    </row>
    <row r="39" spans="1:18" ht="20.100000000000001" customHeight="1" x14ac:dyDescent="0.25">
      <c r="A39" s="38">
        <v>2</v>
      </c>
      <c r="B39" s="38" t="s">
        <v>3372</v>
      </c>
      <c r="C39" s="38">
        <v>12</v>
      </c>
      <c r="D39" s="39" t="str">
        <f t="shared" si="7"/>
        <v>PC-02-LR1</v>
      </c>
      <c r="E39" s="48" t="str">
        <f t="shared" si="8"/>
        <v>Poste de Coupure n°02 LR1</v>
      </c>
      <c r="F39" s="19">
        <v>35065</v>
      </c>
      <c r="G39" s="19">
        <v>35065</v>
      </c>
      <c r="H39" s="41" t="s">
        <v>20</v>
      </c>
      <c r="I39" s="41">
        <v>1</v>
      </c>
      <c r="J39" s="41" t="s">
        <v>3556</v>
      </c>
      <c r="K39" s="41">
        <v>15</v>
      </c>
      <c r="L39" s="41"/>
      <c r="M39" s="41" t="s">
        <v>358</v>
      </c>
      <c r="N39" s="41" t="s">
        <v>1186</v>
      </c>
      <c r="O39" s="49">
        <f t="shared" si="5"/>
        <v>469</v>
      </c>
      <c r="P39" s="43">
        <f t="shared" si="6"/>
        <v>232.3</v>
      </c>
      <c r="Q39" s="41" t="s">
        <v>1804</v>
      </c>
      <c r="R39" s="48" t="str">
        <f t="shared" si="9"/>
        <v>(2,'PC-02-LR1','Poste de Coupure n°02 LR1','Monday-01-jj','Monday-01-jj',NULL,1,),</v>
      </c>
    </row>
    <row r="40" spans="1:18" ht="20.100000000000001" customHeight="1" x14ac:dyDescent="0.25">
      <c r="A40" s="38">
        <v>2</v>
      </c>
      <c r="B40" s="38" t="s">
        <v>3372</v>
      </c>
      <c r="C40" s="38">
        <v>12</v>
      </c>
      <c r="D40" s="39" t="str">
        <f t="shared" si="7"/>
        <v>PC-02-DLR1</v>
      </c>
      <c r="E40" s="48" t="str">
        <f t="shared" si="8"/>
        <v>Poste de Coupure n°02 DLR1</v>
      </c>
      <c r="F40" s="19">
        <v>38182</v>
      </c>
      <c r="G40" s="19">
        <v>38182</v>
      </c>
      <c r="H40" s="41" t="s">
        <v>20</v>
      </c>
      <c r="I40" s="41">
        <v>1</v>
      </c>
      <c r="J40" s="41" t="s">
        <v>3556</v>
      </c>
      <c r="K40" s="41">
        <v>15</v>
      </c>
      <c r="L40" s="41"/>
      <c r="M40" s="41" t="s">
        <v>361</v>
      </c>
      <c r="N40" s="41" t="s">
        <v>3327</v>
      </c>
      <c r="O40" s="49">
        <f t="shared" si="5"/>
        <v>252</v>
      </c>
      <c r="P40" s="43">
        <f t="shared" si="6"/>
        <v>329</v>
      </c>
      <c r="Q40" s="41" t="s">
        <v>1804</v>
      </c>
      <c r="R40" s="48" t="str">
        <f t="shared" si="9"/>
        <v>(2,'PC-02-DLR1','Poste de Coupure n°02 DLR1','Wednesday-07-jj','Wednesday-07-jj',NULL,1,),</v>
      </c>
    </row>
    <row r="41" spans="1:18" ht="20.100000000000001" customHeight="1" x14ac:dyDescent="0.25">
      <c r="A41" s="38">
        <v>2</v>
      </c>
      <c r="B41" s="38" t="s">
        <v>3372</v>
      </c>
      <c r="C41" s="38">
        <v>12</v>
      </c>
      <c r="D41" s="39" t="str">
        <f t="shared" si="7"/>
        <v>PC-02-ELR1</v>
      </c>
      <c r="E41" s="48" t="str">
        <f t="shared" si="8"/>
        <v>Poste de Coupure n°02 ELR1</v>
      </c>
      <c r="F41" s="19">
        <v>41640</v>
      </c>
      <c r="G41" s="19">
        <v>41640</v>
      </c>
      <c r="H41" s="41" t="s">
        <v>20</v>
      </c>
      <c r="I41" s="41">
        <v>1</v>
      </c>
      <c r="J41" s="41" t="s">
        <v>3556</v>
      </c>
      <c r="K41" s="41">
        <v>15</v>
      </c>
      <c r="L41" s="41"/>
      <c r="M41" s="41" t="s">
        <v>364</v>
      </c>
      <c r="N41" s="41" t="s">
        <v>3328</v>
      </c>
      <c r="O41" s="49">
        <f t="shared" si="5"/>
        <v>260</v>
      </c>
      <c r="P41" s="43">
        <f t="shared" si="6"/>
        <v>153.11799999999999</v>
      </c>
      <c r="Q41" s="41" t="s">
        <v>744</v>
      </c>
      <c r="R41" s="48" t="str">
        <f t="shared" si="9"/>
        <v>(2,'PC-02-ELR1','Poste de Coupure n°02 ELR1','Wednesday-01-jj','Wednesday-01-jj',NULL,1,),</v>
      </c>
    </row>
    <row r="42" spans="1:18" ht="20.100000000000001" customHeight="1" x14ac:dyDescent="0.25">
      <c r="A42" s="38">
        <v>3</v>
      </c>
      <c r="B42" s="38" t="s">
        <v>3372</v>
      </c>
      <c r="C42" s="38">
        <v>12</v>
      </c>
      <c r="D42" s="39" t="str">
        <f t="shared" si="7"/>
        <v>PC-03-LR1</v>
      </c>
      <c r="E42" s="48" t="str">
        <f t="shared" si="8"/>
        <v>Poste de Coupure n°03 LR1</v>
      </c>
      <c r="F42" s="19">
        <v>35065</v>
      </c>
      <c r="G42" s="19">
        <v>35065</v>
      </c>
      <c r="H42" s="41" t="s">
        <v>20</v>
      </c>
      <c r="I42" s="41">
        <v>1</v>
      </c>
      <c r="J42" s="41" t="s">
        <v>3556</v>
      </c>
      <c r="K42" s="41">
        <v>15</v>
      </c>
      <c r="L42" s="41"/>
      <c r="M42" s="41" t="s">
        <v>358</v>
      </c>
      <c r="N42" s="41" t="s">
        <v>1188</v>
      </c>
      <c r="O42" s="49">
        <f t="shared" si="5"/>
        <v>252</v>
      </c>
      <c r="P42" s="43">
        <f t="shared" si="6"/>
        <v>430.7</v>
      </c>
      <c r="Q42" s="41" t="s">
        <v>1804</v>
      </c>
      <c r="R42" s="48" t="str">
        <f t="shared" si="9"/>
        <v>(3,'PC-03-LR1','Poste de Coupure n°03 LR1','Monday-01-jj','Monday-01-jj',NULL,1,),</v>
      </c>
    </row>
    <row r="43" spans="1:18" ht="20.100000000000001" customHeight="1" x14ac:dyDescent="0.25">
      <c r="A43" s="38">
        <v>3</v>
      </c>
      <c r="B43" s="38" t="s">
        <v>3372</v>
      </c>
      <c r="C43" s="38">
        <v>12</v>
      </c>
      <c r="D43" s="39" t="str">
        <f t="shared" si="7"/>
        <v>PC-03-ELR1</v>
      </c>
      <c r="E43" s="48" t="str">
        <f t="shared" si="8"/>
        <v>Poste de Coupure n°03 ELR1</v>
      </c>
      <c r="F43" s="19">
        <v>41640</v>
      </c>
      <c r="G43" s="19">
        <v>41640</v>
      </c>
      <c r="H43" s="41" t="s">
        <v>20</v>
      </c>
      <c r="I43" s="41">
        <v>1</v>
      </c>
      <c r="J43" s="41" t="s">
        <v>3556</v>
      </c>
      <c r="K43" s="41">
        <v>15</v>
      </c>
      <c r="L43" s="41"/>
      <c r="M43" s="41" t="s">
        <v>364</v>
      </c>
      <c r="N43" s="41" t="s">
        <v>3329</v>
      </c>
      <c r="O43" s="49">
        <f t="shared" si="5"/>
        <v>530</v>
      </c>
      <c r="P43" s="43">
        <f t="shared" si="6"/>
        <v>252.09200000000001</v>
      </c>
      <c r="Q43" s="41" t="s">
        <v>3330</v>
      </c>
      <c r="R43" s="48" t="str">
        <f t="shared" si="9"/>
        <v>(3,'PC-03-ELR1','Poste de Coupure n°03 ELR1','Wednesday-01-jj','Wednesday-01-jj',NULL,1,),</v>
      </c>
    </row>
    <row r="44" spans="1:18" ht="20.100000000000001" customHeight="1" x14ac:dyDescent="0.25">
      <c r="A44" s="38">
        <v>4</v>
      </c>
      <c r="B44" s="38" t="s">
        <v>3372</v>
      </c>
      <c r="C44" s="38">
        <v>12</v>
      </c>
      <c r="D44" s="39" t="str">
        <f t="shared" si="7"/>
        <v>PC-04-LR1</v>
      </c>
      <c r="E44" s="48" t="str">
        <f t="shared" si="8"/>
        <v>Poste de Coupure n°04 LR1</v>
      </c>
      <c r="F44" s="19">
        <v>35065</v>
      </c>
      <c r="G44" s="19">
        <v>35065</v>
      </c>
      <c r="H44" s="41" t="s">
        <v>20</v>
      </c>
      <c r="I44" s="41">
        <v>1</v>
      </c>
      <c r="J44" s="41" t="s">
        <v>3556</v>
      </c>
      <c r="K44" s="41">
        <v>15</v>
      </c>
      <c r="L44" s="41"/>
      <c r="M44" s="41" t="s">
        <v>358</v>
      </c>
      <c r="N44" s="41" t="s">
        <v>1189</v>
      </c>
      <c r="O44" s="49">
        <f t="shared" si="5"/>
        <v>208</v>
      </c>
      <c r="P44" s="43">
        <f t="shared" si="6"/>
        <v>503.5</v>
      </c>
      <c r="Q44" s="41" t="s">
        <v>998</v>
      </c>
      <c r="R44" s="48" t="str">
        <f t="shared" si="9"/>
        <v>(4,'PC-04-LR1','Poste de Coupure n°04 LR1','Monday-01-jj','Monday-01-jj',NULL,1,),</v>
      </c>
    </row>
    <row r="45" spans="1:18" ht="20.100000000000001" customHeight="1" x14ac:dyDescent="0.25">
      <c r="A45" s="38">
        <v>5</v>
      </c>
      <c r="B45" s="38" t="s">
        <v>3372</v>
      </c>
      <c r="C45" s="38">
        <v>12</v>
      </c>
      <c r="D45" s="39" t="str">
        <f t="shared" si="7"/>
        <v>PC-05-LR1</v>
      </c>
      <c r="E45" s="48" t="str">
        <f t="shared" si="8"/>
        <v>Poste de Coupure n°05 LR1</v>
      </c>
      <c r="F45" s="19">
        <v>35065</v>
      </c>
      <c r="G45" s="19">
        <v>35065</v>
      </c>
      <c r="H45" s="41" t="s">
        <v>20</v>
      </c>
      <c r="I45" s="41">
        <v>1</v>
      </c>
      <c r="J45" s="41" t="s">
        <v>3556</v>
      </c>
      <c r="K45" s="41">
        <v>15</v>
      </c>
      <c r="L45" s="41"/>
      <c r="M45" s="41" t="s">
        <v>358</v>
      </c>
      <c r="N45" s="41" t="s">
        <v>1191</v>
      </c>
      <c r="O45" s="49">
        <f t="shared" si="5"/>
        <v>151</v>
      </c>
      <c r="P45" s="43">
        <f t="shared" si="6"/>
        <v>681.5</v>
      </c>
      <c r="Q45" s="41" t="s">
        <v>998</v>
      </c>
      <c r="R45" s="48" t="str">
        <f t="shared" si="9"/>
        <v>(5,'PC-05-LR1','Poste de Coupure n°05 LR1','Monday-01-jj','Monday-01-jj',NULL,1,),</v>
      </c>
    </row>
    <row r="46" spans="1:18" ht="20.100000000000001" customHeight="1" x14ac:dyDescent="0.25">
      <c r="A46" s="38">
        <v>6</v>
      </c>
      <c r="B46" s="38" t="s">
        <v>3372</v>
      </c>
      <c r="C46" s="38">
        <v>12</v>
      </c>
      <c r="D46" s="39" t="str">
        <f t="shared" si="7"/>
        <v>PC-06-LR1</v>
      </c>
      <c r="E46" s="48" t="str">
        <f t="shared" si="8"/>
        <v>Poste de Coupure n°06 LR1</v>
      </c>
      <c r="F46" s="19">
        <v>35065</v>
      </c>
      <c r="G46" s="19">
        <v>35065</v>
      </c>
      <c r="H46" s="41" t="s">
        <v>20</v>
      </c>
      <c r="I46" s="41">
        <v>1</v>
      </c>
      <c r="J46" s="41" t="s">
        <v>3556</v>
      </c>
      <c r="K46" s="41">
        <v>15</v>
      </c>
      <c r="L46" s="41"/>
      <c r="M46" s="41" t="s">
        <v>358</v>
      </c>
      <c r="N46" s="41" t="s">
        <v>3325</v>
      </c>
      <c r="O46" s="49">
        <f t="shared" si="5"/>
        <v>260</v>
      </c>
      <c r="P46" s="43">
        <f t="shared" si="6"/>
        <v>805.7</v>
      </c>
      <c r="Q46" s="41" t="s">
        <v>744</v>
      </c>
      <c r="R46" s="48" t="str">
        <f t="shared" si="9"/>
        <v>(6,'PC-06-LR1','Poste de Coupure n°06 LR1','Monday-01-jj','Monday-01-jj',NULL,1,),</v>
      </c>
    </row>
    <row r="47" spans="1:18" ht="20.100000000000001" customHeight="1" x14ac:dyDescent="0.25">
      <c r="A47" s="38">
        <v>1</v>
      </c>
      <c r="B47" s="38" t="s">
        <v>367</v>
      </c>
      <c r="C47" s="38">
        <v>13</v>
      </c>
      <c r="D47" s="39" t="str">
        <f t="shared" si="7"/>
        <v>PC-01-GZ0</v>
      </c>
      <c r="E47" s="48" t="str">
        <f t="shared" si="8"/>
        <v>Poste de Coupure n°01 GZ0</v>
      </c>
      <c r="F47" s="19">
        <v>22282</v>
      </c>
      <c r="G47" s="19">
        <v>22282</v>
      </c>
      <c r="H47" s="19" t="s">
        <v>20</v>
      </c>
      <c r="I47" s="41">
        <v>0</v>
      </c>
      <c r="J47" s="41" t="s">
        <v>3556</v>
      </c>
      <c r="K47" s="41">
        <v>15</v>
      </c>
      <c r="L47" s="41"/>
      <c r="M47" s="41" t="s">
        <v>367</v>
      </c>
      <c r="N47" s="41" t="s">
        <v>2820</v>
      </c>
      <c r="O47" s="49">
        <f t="shared" si="5"/>
        <v>820.4</v>
      </c>
      <c r="P47" s="43">
        <f t="shared" si="6"/>
        <v>114.15900000000001</v>
      </c>
      <c r="Q47" s="41" t="s">
        <v>2824</v>
      </c>
      <c r="R47" s="48" t="str">
        <f t="shared" si="9"/>
        <v>(1,'PC-01-GZ0','Poste de Coupure n°01 GZ0','Sunday-01-jj','Sunday-01-jj',NULL,0,),</v>
      </c>
    </row>
    <row r="48" spans="1:18" ht="20.100000000000001" customHeight="1" x14ac:dyDescent="0.25">
      <c r="A48" s="38">
        <v>2</v>
      </c>
      <c r="B48" s="38" t="s">
        <v>367</v>
      </c>
      <c r="C48" s="38">
        <v>13</v>
      </c>
      <c r="D48" s="39" t="str">
        <f t="shared" si="7"/>
        <v>PC-02-GZ0</v>
      </c>
      <c r="E48" s="48" t="str">
        <f t="shared" si="8"/>
        <v>Poste de Coupure n°02 GZ0</v>
      </c>
      <c r="F48" s="19">
        <v>22282</v>
      </c>
      <c r="G48" s="19">
        <v>22282</v>
      </c>
      <c r="H48" s="19" t="s">
        <v>20</v>
      </c>
      <c r="I48" s="41">
        <v>0</v>
      </c>
      <c r="J48" s="41" t="s">
        <v>3556</v>
      </c>
      <c r="K48" s="41">
        <v>15</v>
      </c>
      <c r="L48" s="41"/>
      <c r="M48" s="41" t="s">
        <v>367</v>
      </c>
      <c r="N48" s="41" t="s">
        <v>2821</v>
      </c>
      <c r="O48" s="49">
        <f t="shared" si="5"/>
        <v>970.8</v>
      </c>
      <c r="P48" s="43">
        <f t="shared" si="6"/>
        <v>226.49700000000001</v>
      </c>
      <c r="Q48" s="41" t="s">
        <v>2825</v>
      </c>
      <c r="R48" s="48" t="str">
        <f t="shared" si="9"/>
        <v>(2,'PC-02-GZ0','Poste de Coupure n°02 GZ0','Sunday-01-jj','Sunday-01-jj',NULL,0,),</v>
      </c>
    </row>
    <row r="49" spans="1:18" ht="20.100000000000001" customHeight="1" x14ac:dyDescent="0.25">
      <c r="A49" s="38">
        <v>3</v>
      </c>
      <c r="B49" s="38" t="s">
        <v>367</v>
      </c>
      <c r="C49" s="38">
        <v>13</v>
      </c>
      <c r="D49" s="39" t="str">
        <f t="shared" si="7"/>
        <v>PC-03-GZ0</v>
      </c>
      <c r="E49" s="48" t="str">
        <f t="shared" si="8"/>
        <v>Poste de Coupure n°03 GZ0</v>
      </c>
      <c r="F49" s="19">
        <v>22282</v>
      </c>
      <c r="G49" s="19">
        <v>22282</v>
      </c>
      <c r="H49" s="19" t="s">
        <v>20</v>
      </c>
      <c r="I49" s="41">
        <v>0</v>
      </c>
      <c r="J49" s="41" t="s">
        <v>3556</v>
      </c>
      <c r="K49" s="41">
        <v>15</v>
      </c>
      <c r="L49" s="41"/>
      <c r="M49" s="41" t="s">
        <v>367</v>
      </c>
      <c r="N49" s="41" t="s">
        <v>2822</v>
      </c>
      <c r="O49" s="49">
        <f t="shared" si="5"/>
        <v>1032.2</v>
      </c>
      <c r="P49" s="43">
        <f t="shared" si="6"/>
        <v>333.91899999999998</v>
      </c>
      <c r="Q49" s="41" t="s">
        <v>2826</v>
      </c>
      <c r="R49" s="48" t="str">
        <f t="shared" si="9"/>
        <v>(3,'PC-03-GZ0','Poste de Coupure n°03 GZ0','Sunday-01-jj','Sunday-01-jj',NULL,0,),</v>
      </c>
    </row>
    <row r="50" spans="1:18" ht="20.100000000000001" customHeight="1" x14ac:dyDescent="0.25">
      <c r="A50" s="38">
        <v>4</v>
      </c>
      <c r="B50" s="38" t="s">
        <v>367</v>
      </c>
      <c r="C50" s="38">
        <v>13</v>
      </c>
      <c r="D50" s="39" t="str">
        <f t="shared" si="7"/>
        <v>PC-04-GZ0</v>
      </c>
      <c r="E50" s="48" t="str">
        <f t="shared" si="8"/>
        <v>Poste de Coupure n°04 GZ0</v>
      </c>
      <c r="F50" s="19">
        <v>22282</v>
      </c>
      <c r="G50" s="19">
        <v>22282</v>
      </c>
      <c r="H50" s="19" t="s">
        <v>20</v>
      </c>
      <c r="I50" s="41">
        <v>0</v>
      </c>
      <c r="J50" s="41" t="s">
        <v>3556</v>
      </c>
      <c r="K50" s="41">
        <v>15</v>
      </c>
      <c r="L50" s="41"/>
      <c r="M50" s="41" t="s">
        <v>367</v>
      </c>
      <c r="N50" s="41" t="s">
        <v>2823</v>
      </c>
      <c r="O50" s="49">
        <f t="shared" si="5"/>
        <v>80.900000000000006</v>
      </c>
      <c r="P50" s="43">
        <f t="shared" si="6"/>
        <v>421.30700000000002</v>
      </c>
      <c r="Q50" s="41" t="s">
        <v>2827</v>
      </c>
      <c r="R50" s="48" t="str">
        <f t="shared" si="9"/>
        <v>(4,'PC-04-GZ0','Poste de Coupure n°04 GZ0','Sunday-01-jj','Sunday-01-jj',NULL,0,),</v>
      </c>
    </row>
    <row r="51" spans="1:18" ht="20.100000000000001" customHeight="1" x14ac:dyDescent="0.25">
      <c r="A51" s="38">
        <v>1</v>
      </c>
      <c r="B51" s="38" t="s">
        <v>631</v>
      </c>
      <c r="C51" s="38">
        <v>14</v>
      </c>
      <c r="D51" s="39" t="str">
        <f t="shared" si="7"/>
        <v>PC-01-GZ1</v>
      </c>
      <c r="E51" s="48" t="str">
        <f t="shared" si="8"/>
        <v>Poste de Coupure n°01 GZ1</v>
      </c>
      <c r="F51" s="19">
        <v>27760</v>
      </c>
      <c r="G51" s="19">
        <v>27760</v>
      </c>
      <c r="H51" s="66" t="s">
        <v>20</v>
      </c>
      <c r="I51" s="41">
        <v>1</v>
      </c>
      <c r="J51" s="41" t="s">
        <v>3556</v>
      </c>
      <c r="K51" s="41">
        <v>15</v>
      </c>
      <c r="L51" s="41"/>
      <c r="M51" s="41" t="s">
        <v>372</v>
      </c>
      <c r="N51" s="41" t="s">
        <v>2911</v>
      </c>
      <c r="O51" s="49">
        <f t="shared" si="5"/>
        <v>840</v>
      </c>
      <c r="P51" s="43">
        <f t="shared" si="6"/>
        <v>74.867000000000004</v>
      </c>
      <c r="Q51" s="41" t="s">
        <v>2916</v>
      </c>
      <c r="R51" s="48" t="str">
        <f t="shared" si="9"/>
        <v>(1,'PC-01-GZ1','Poste de Coupure n°01 GZ1','Thursday-01-jj','Thursday-01-jj',NULL,1,),</v>
      </c>
    </row>
    <row r="52" spans="1:18" ht="20.100000000000001" customHeight="1" x14ac:dyDescent="0.25">
      <c r="A52" s="38">
        <v>2</v>
      </c>
      <c r="B52" s="38" t="s">
        <v>631</v>
      </c>
      <c r="C52" s="38">
        <v>14</v>
      </c>
      <c r="D52" s="39" t="str">
        <f t="shared" si="7"/>
        <v>PC-02-GZ1</v>
      </c>
      <c r="E52" s="48" t="str">
        <f t="shared" si="8"/>
        <v>Poste de Coupure n°02 GZ1</v>
      </c>
      <c r="F52" s="19">
        <v>27760</v>
      </c>
      <c r="G52" s="19">
        <v>27760</v>
      </c>
      <c r="H52" s="41" t="s">
        <v>20</v>
      </c>
      <c r="I52" s="41">
        <v>1</v>
      </c>
      <c r="J52" s="41" t="s">
        <v>3556</v>
      </c>
      <c r="K52" s="41">
        <v>15</v>
      </c>
      <c r="L52" s="41"/>
      <c r="M52" s="41" t="s">
        <v>372</v>
      </c>
      <c r="N52" s="41" t="s">
        <v>2912</v>
      </c>
      <c r="O52" s="49">
        <f t="shared" si="5"/>
        <v>1045</v>
      </c>
      <c r="P52" s="43">
        <f t="shared" si="6"/>
        <v>144.71799999999999</v>
      </c>
      <c r="Q52" s="41" t="s">
        <v>2917</v>
      </c>
      <c r="R52" s="48" t="str">
        <f t="shared" si="9"/>
        <v>(2,'PC-02-GZ1','Poste de Coupure n°02 GZ1','Thursday-01-jj','Thursday-01-jj',NULL,1,),</v>
      </c>
    </row>
    <row r="53" spans="1:18" ht="20.100000000000001" customHeight="1" x14ac:dyDescent="0.25">
      <c r="A53" s="38">
        <v>3</v>
      </c>
      <c r="B53" s="38" t="s">
        <v>631</v>
      </c>
      <c r="C53" s="38">
        <v>14</v>
      </c>
      <c r="D53" s="39" t="str">
        <f t="shared" si="7"/>
        <v>PC-03-GZ1</v>
      </c>
      <c r="E53" s="48" t="str">
        <f t="shared" si="8"/>
        <v>Poste de Coupure n°03 GZ1</v>
      </c>
      <c r="F53" s="19">
        <v>27760</v>
      </c>
      <c r="G53" s="19">
        <v>27760</v>
      </c>
      <c r="H53" s="41" t="s">
        <v>20</v>
      </c>
      <c r="I53" s="41">
        <v>1</v>
      </c>
      <c r="J53" s="41" t="s">
        <v>3556</v>
      </c>
      <c r="K53" s="41">
        <v>15</v>
      </c>
      <c r="L53" s="41"/>
      <c r="M53" s="41" t="s">
        <v>372</v>
      </c>
      <c r="N53" s="41" t="s">
        <v>2913</v>
      </c>
      <c r="O53" s="49">
        <f t="shared" si="5"/>
        <v>970</v>
      </c>
      <c r="P53" s="43">
        <f t="shared" si="6"/>
        <v>226.64400000000001</v>
      </c>
      <c r="Q53" s="41" t="s">
        <v>2825</v>
      </c>
      <c r="R53" s="48" t="str">
        <f t="shared" si="9"/>
        <v>(3,'PC-03-GZ1','Poste de Coupure n°03 GZ1','Thursday-01-jj','Thursday-01-jj',NULL,1,),</v>
      </c>
    </row>
    <row r="54" spans="1:18" ht="20.100000000000001" customHeight="1" x14ac:dyDescent="0.25">
      <c r="A54" s="38">
        <v>4</v>
      </c>
      <c r="B54" s="38" t="s">
        <v>631</v>
      </c>
      <c r="C54" s="38">
        <v>14</v>
      </c>
      <c r="D54" s="39" t="str">
        <f t="shared" si="7"/>
        <v>PC-04-GZ1</v>
      </c>
      <c r="E54" s="48" t="str">
        <f t="shared" si="8"/>
        <v>Poste de Coupure n°04 GZ1</v>
      </c>
      <c r="F54" s="19">
        <v>27760</v>
      </c>
      <c r="G54" s="19">
        <v>27760</v>
      </c>
      <c r="H54" s="41" t="s">
        <v>20</v>
      </c>
      <c r="I54" s="41">
        <v>1</v>
      </c>
      <c r="J54" s="41" t="s">
        <v>3556</v>
      </c>
      <c r="K54" s="41">
        <v>15</v>
      </c>
      <c r="L54" s="41"/>
      <c r="M54" s="41" t="s">
        <v>372</v>
      </c>
      <c r="N54" s="41" t="s">
        <v>2914</v>
      </c>
      <c r="O54" s="49">
        <f t="shared" si="5"/>
        <v>1235</v>
      </c>
      <c r="P54" s="43">
        <f t="shared" si="6"/>
        <v>295.44</v>
      </c>
      <c r="Q54" s="41" t="s">
        <v>2918</v>
      </c>
      <c r="R54" s="48" t="str">
        <f t="shared" si="9"/>
        <v>(4,'PC-04-GZ1','Poste de Coupure n°04 GZ1','Thursday-01-jj','Thursday-01-jj',NULL,1,),</v>
      </c>
    </row>
    <row r="55" spans="1:18" ht="20.100000000000001" customHeight="1" x14ac:dyDescent="0.25">
      <c r="A55" s="38">
        <v>5</v>
      </c>
      <c r="B55" s="38" t="s">
        <v>631</v>
      </c>
      <c r="C55" s="38">
        <v>14</v>
      </c>
      <c r="D55" s="39" t="str">
        <f t="shared" si="7"/>
        <v>PC-05-GZ1</v>
      </c>
      <c r="E55" s="48" t="str">
        <f t="shared" si="8"/>
        <v>Poste de Coupure n°05 GZ1</v>
      </c>
      <c r="F55" s="19">
        <v>27760</v>
      </c>
      <c r="G55" s="19">
        <v>27760</v>
      </c>
      <c r="H55" s="41" t="s">
        <v>20</v>
      </c>
      <c r="I55" s="41">
        <v>1</v>
      </c>
      <c r="J55" s="41" t="s">
        <v>3556</v>
      </c>
      <c r="K55" s="41">
        <v>15</v>
      </c>
      <c r="L55" s="41"/>
      <c r="M55" s="41" t="s">
        <v>372</v>
      </c>
      <c r="N55" s="41" t="s">
        <v>2915</v>
      </c>
      <c r="O55" s="49">
        <f t="shared" si="5"/>
        <v>525</v>
      </c>
      <c r="P55" s="43">
        <f t="shared" si="6"/>
        <v>397.76499999999999</v>
      </c>
      <c r="Q55" s="41" t="s">
        <v>2919</v>
      </c>
      <c r="R55" s="48" t="str">
        <f t="shared" si="9"/>
        <v>(5,'PC-05-GZ1','Poste de Coupure n°05 GZ1','Thursday-01-jj','Thursday-01-jj',NULL,1,),</v>
      </c>
    </row>
    <row r="56" spans="1:18" ht="20.100000000000001" customHeight="1" x14ac:dyDescent="0.25">
      <c r="A56" s="38">
        <v>1</v>
      </c>
      <c r="B56" s="38" t="s">
        <v>642</v>
      </c>
      <c r="C56" s="38">
        <v>15</v>
      </c>
      <c r="D56" s="39" t="str">
        <f t="shared" si="7"/>
        <v>PC-01-GZ4</v>
      </c>
      <c r="E56" s="48" t="str">
        <f t="shared" si="8"/>
        <v>Poste de Coupure n°01 GZ4</v>
      </c>
      <c r="F56" s="19">
        <v>39838</v>
      </c>
      <c r="G56" s="19">
        <v>39838</v>
      </c>
      <c r="H56" s="41" t="s">
        <v>20</v>
      </c>
      <c r="I56" s="41">
        <v>1</v>
      </c>
      <c r="J56" s="41" t="s">
        <v>3556</v>
      </c>
      <c r="K56" s="41">
        <v>15</v>
      </c>
      <c r="L56" s="41"/>
      <c r="M56" s="41" t="s">
        <v>642</v>
      </c>
      <c r="N56" s="41" t="s">
        <v>2974</v>
      </c>
      <c r="O56" s="49">
        <f t="shared" si="5"/>
        <v>840</v>
      </c>
      <c r="P56" s="43">
        <f t="shared" si="6"/>
        <v>74.231999999999999</v>
      </c>
      <c r="Q56" s="41" t="s">
        <v>2979</v>
      </c>
      <c r="R56" s="48" t="str">
        <f t="shared" si="9"/>
        <v>(1,'PC-01-GZ4','Poste de Coupure n°01 GZ4','Sunday-01-jj','Sunday-01-jj',NULL,1,),</v>
      </c>
    </row>
    <row r="57" spans="1:18" ht="20.100000000000001" customHeight="1" x14ac:dyDescent="0.25">
      <c r="A57" s="38">
        <v>2</v>
      </c>
      <c r="B57" s="38" t="s">
        <v>642</v>
      </c>
      <c r="C57" s="38">
        <v>15</v>
      </c>
      <c r="D57" s="39" t="str">
        <f t="shared" si="7"/>
        <v>PC-02-GZ4</v>
      </c>
      <c r="E57" s="48" t="str">
        <f t="shared" si="8"/>
        <v>Poste de Coupure n°02 GZ4</v>
      </c>
      <c r="F57" s="19">
        <v>39838</v>
      </c>
      <c r="G57" s="19">
        <v>39838</v>
      </c>
      <c r="H57" s="41" t="s">
        <v>20</v>
      </c>
      <c r="I57" s="41">
        <v>1</v>
      </c>
      <c r="J57" s="41" t="s">
        <v>3556</v>
      </c>
      <c r="K57" s="41">
        <v>15</v>
      </c>
      <c r="L57" s="41"/>
      <c r="M57" s="41" t="s">
        <v>642</v>
      </c>
      <c r="N57" s="41" t="s">
        <v>2975</v>
      </c>
      <c r="O57" s="49">
        <f t="shared" si="5"/>
        <v>1045</v>
      </c>
      <c r="P57" s="43">
        <f t="shared" si="6"/>
        <v>145.01499999999999</v>
      </c>
      <c r="Q57" s="41" t="s">
        <v>2917</v>
      </c>
      <c r="R57" s="48" t="str">
        <f t="shared" si="9"/>
        <v>(2,'PC-02-GZ4','Poste de Coupure n°02 GZ4','Sunday-01-jj','Sunday-01-jj',NULL,1,),</v>
      </c>
    </row>
    <row r="58" spans="1:18" ht="20.100000000000001" customHeight="1" x14ac:dyDescent="0.25">
      <c r="A58" s="38">
        <v>3</v>
      </c>
      <c r="B58" s="38" t="s">
        <v>642</v>
      </c>
      <c r="C58" s="38">
        <v>15</v>
      </c>
      <c r="D58" s="39" t="str">
        <f t="shared" si="7"/>
        <v>PC-03-GZ4</v>
      </c>
      <c r="E58" s="48" t="str">
        <f t="shared" si="8"/>
        <v>Poste de Coupure n°03 GZ4</v>
      </c>
      <c r="F58" s="19">
        <v>39838</v>
      </c>
      <c r="G58" s="19">
        <v>39838</v>
      </c>
      <c r="H58" s="41" t="s">
        <v>20</v>
      </c>
      <c r="I58" s="41">
        <v>1</v>
      </c>
      <c r="J58" s="41" t="s">
        <v>3556</v>
      </c>
      <c r="K58" s="41">
        <v>15</v>
      </c>
      <c r="L58" s="41"/>
      <c r="M58" s="41" t="s">
        <v>642</v>
      </c>
      <c r="N58" s="41" t="s">
        <v>2976</v>
      </c>
      <c r="O58" s="49">
        <f t="shared" ref="O58:O94" si="10">VALUE(RIGHT(N58,LEN(N58)-SEARCH("/",N58)))</f>
        <v>970</v>
      </c>
      <c r="P58" s="43">
        <f t="shared" ref="P58:P94" si="11">VALUE(SUBSTITUTE(LEFT(N58,SEARCH("/",N58)-1),"+",","))</f>
        <v>225.51</v>
      </c>
      <c r="Q58" s="41" t="s">
        <v>2825</v>
      </c>
      <c r="R58" s="48" t="str">
        <f t="shared" si="9"/>
        <v>(3,'PC-03-GZ4','Poste de Coupure n°03 GZ4','Sunday-01-jj','Sunday-01-jj',NULL,1,),</v>
      </c>
    </row>
    <row r="59" spans="1:18" ht="20.100000000000001" customHeight="1" x14ac:dyDescent="0.25">
      <c r="A59" s="38">
        <v>4</v>
      </c>
      <c r="B59" s="38" t="s">
        <v>642</v>
      </c>
      <c r="C59" s="38">
        <v>15</v>
      </c>
      <c r="D59" s="39" t="str">
        <f t="shared" si="7"/>
        <v>PC-04-GZ4</v>
      </c>
      <c r="E59" s="48" t="str">
        <f t="shared" si="8"/>
        <v>Poste de Coupure n°04 GZ4</v>
      </c>
      <c r="F59" s="19">
        <v>39838</v>
      </c>
      <c r="G59" s="19">
        <v>39838</v>
      </c>
      <c r="H59" s="41" t="s">
        <v>20</v>
      </c>
      <c r="I59" s="41">
        <v>1</v>
      </c>
      <c r="J59" s="41" t="s">
        <v>3556</v>
      </c>
      <c r="K59" s="41">
        <v>15</v>
      </c>
      <c r="L59" s="41"/>
      <c r="M59" s="41" t="s">
        <v>642</v>
      </c>
      <c r="N59" s="41" t="s">
        <v>2977</v>
      </c>
      <c r="O59" s="49">
        <f t="shared" si="10"/>
        <v>1235</v>
      </c>
      <c r="P59" s="43">
        <f t="shared" si="11"/>
        <v>297.202</v>
      </c>
      <c r="Q59" s="41" t="s">
        <v>2918</v>
      </c>
      <c r="R59" s="48" t="str">
        <f t="shared" si="9"/>
        <v>(4,'PC-04-GZ4','Poste de Coupure n°04 GZ4','Sunday-01-jj','Sunday-01-jj',NULL,1,),</v>
      </c>
    </row>
    <row r="60" spans="1:18" ht="20.100000000000001" customHeight="1" x14ac:dyDescent="0.25">
      <c r="A60" s="38">
        <v>5</v>
      </c>
      <c r="B60" s="38" t="s">
        <v>642</v>
      </c>
      <c r="C60" s="38">
        <v>15</v>
      </c>
      <c r="D60" s="39" t="str">
        <f t="shared" si="7"/>
        <v>PC-05-GZ4</v>
      </c>
      <c r="E60" s="48" t="str">
        <f t="shared" si="8"/>
        <v>Poste de Coupure n°05 GZ4</v>
      </c>
      <c r="F60" s="19">
        <v>40021</v>
      </c>
      <c r="G60" s="19">
        <v>40021</v>
      </c>
      <c r="H60" s="41" t="s">
        <v>20</v>
      </c>
      <c r="I60" s="41">
        <v>1</v>
      </c>
      <c r="J60" s="41" t="s">
        <v>3556</v>
      </c>
      <c r="K60" s="41">
        <v>15</v>
      </c>
      <c r="L60" s="41"/>
      <c r="M60" s="41" t="s">
        <v>642</v>
      </c>
      <c r="N60" s="41" t="s">
        <v>2978</v>
      </c>
      <c r="O60" s="49">
        <f t="shared" si="10"/>
        <v>506</v>
      </c>
      <c r="P60" s="43">
        <f t="shared" si="11"/>
        <v>399.89600000000002</v>
      </c>
      <c r="Q60" s="41" t="s">
        <v>2919</v>
      </c>
      <c r="R60" s="48" t="str">
        <f t="shared" si="9"/>
        <v>(5,'PC-05-GZ4','Poste de Coupure n°05 GZ4','Monday-07-jj','Monday-07-jj',NULL,1,),</v>
      </c>
    </row>
    <row r="61" spans="1:18" ht="20.100000000000001" customHeight="1" x14ac:dyDescent="0.25">
      <c r="A61" s="38">
        <v>1</v>
      </c>
      <c r="B61" s="38" t="s">
        <v>434</v>
      </c>
      <c r="C61" s="38">
        <v>16</v>
      </c>
      <c r="D61" s="45" t="str">
        <f t="shared" si="7"/>
        <v>PC-01-GPDF</v>
      </c>
      <c r="E61" s="48" t="str">
        <f t="shared" si="8"/>
        <v>Poste de Coupure n°01 GPDF</v>
      </c>
      <c r="F61" s="19">
        <v>35065</v>
      </c>
      <c r="G61" s="19">
        <v>35065</v>
      </c>
      <c r="H61" s="41" t="s">
        <v>20</v>
      </c>
      <c r="I61" s="41">
        <v>1</v>
      </c>
      <c r="J61" s="41" t="s">
        <v>3556</v>
      </c>
      <c r="K61" s="41">
        <v>15</v>
      </c>
      <c r="L61" s="41"/>
      <c r="M61" s="41" t="s">
        <v>434</v>
      </c>
      <c r="N61" s="41" t="s">
        <v>2353</v>
      </c>
      <c r="O61" s="49">
        <f t="shared" si="10"/>
        <v>787.79</v>
      </c>
      <c r="P61" s="43">
        <f t="shared" si="11"/>
        <v>87.963999999999999</v>
      </c>
      <c r="Q61" s="41" t="s">
        <v>2329</v>
      </c>
      <c r="R61" s="48" t="str">
        <f t="shared" si="9"/>
        <v>(1,'PC-01-GPDF','Poste de Coupure n°01 GPDF','Monday-01-jj','Monday-01-jj',NULL,1,),</v>
      </c>
    </row>
    <row r="62" spans="1:18" ht="20.100000000000001" customHeight="1" x14ac:dyDescent="0.25">
      <c r="A62" s="38">
        <v>1</v>
      </c>
      <c r="B62" s="38" t="s">
        <v>434</v>
      </c>
      <c r="C62" s="38">
        <v>16</v>
      </c>
      <c r="D62" s="45" t="str">
        <f t="shared" si="7"/>
        <v>PC-01-EGPDF</v>
      </c>
      <c r="E62" s="48" t="str">
        <f t="shared" si="8"/>
        <v>Poste de Coupure n°01 EGPDF</v>
      </c>
      <c r="F62" s="19">
        <v>44197</v>
      </c>
      <c r="G62" s="19">
        <v>44197</v>
      </c>
      <c r="H62" s="41" t="s">
        <v>20</v>
      </c>
      <c r="I62" s="41">
        <v>1</v>
      </c>
      <c r="J62" s="41" t="s">
        <v>3556</v>
      </c>
      <c r="K62" s="41">
        <v>15</v>
      </c>
      <c r="L62" s="41"/>
      <c r="M62" s="41" t="s">
        <v>436</v>
      </c>
      <c r="N62" s="41" t="s">
        <v>2359</v>
      </c>
      <c r="O62" s="49" t="e">
        <f t="shared" si="10"/>
        <v>#VALUE!</v>
      </c>
      <c r="P62" s="43">
        <f t="shared" si="11"/>
        <v>103.121</v>
      </c>
      <c r="Q62" s="60" t="s">
        <v>2360</v>
      </c>
      <c r="R62" s="48" t="str">
        <f t="shared" si="9"/>
        <v>(1,'PC-01-EGPDF','Poste de Coupure n°01 EGPDF','Friday-01-jj','Friday-01-jj',NULL,1,),</v>
      </c>
    </row>
    <row r="63" spans="1:18" ht="20.100000000000001" customHeight="1" x14ac:dyDescent="0.25">
      <c r="A63" s="38">
        <v>2</v>
      </c>
      <c r="B63" s="38" t="s">
        <v>434</v>
      </c>
      <c r="C63" s="38">
        <v>16</v>
      </c>
      <c r="D63" s="45" t="str">
        <f t="shared" si="7"/>
        <v>PC-02-GPDF</v>
      </c>
      <c r="E63" s="48" t="str">
        <f t="shared" si="8"/>
        <v>Poste de Coupure n°02 GPDF</v>
      </c>
      <c r="F63" s="19">
        <v>35065</v>
      </c>
      <c r="G63" s="19">
        <v>35065</v>
      </c>
      <c r="H63" s="41" t="s">
        <v>20</v>
      </c>
      <c r="I63" s="41">
        <v>1</v>
      </c>
      <c r="J63" s="41" t="s">
        <v>3556</v>
      </c>
      <c r="K63" s="41">
        <v>15</v>
      </c>
      <c r="L63" s="41"/>
      <c r="M63" s="41" t="s">
        <v>434</v>
      </c>
      <c r="N63" s="41" t="s">
        <v>2354</v>
      </c>
      <c r="O63" s="49">
        <f t="shared" si="10"/>
        <v>807</v>
      </c>
      <c r="P63" s="43">
        <f t="shared" si="11"/>
        <v>175.97800000000001</v>
      </c>
      <c r="Q63" s="60" t="s">
        <v>2358</v>
      </c>
      <c r="R63" s="48" t="str">
        <f t="shared" si="9"/>
        <v>(2,'PC-02-GPDF','Poste de Coupure n°02 GPDF','Monday-01-jj','Monday-01-jj',NULL,1,),</v>
      </c>
    </row>
    <row r="64" spans="1:18" ht="20.100000000000001" customHeight="1" x14ac:dyDescent="0.25">
      <c r="A64" s="38">
        <v>3</v>
      </c>
      <c r="B64" s="38" t="s">
        <v>434</v>
      </c>
      <c r="C64" s="38">
        <v>16</v>
      </c>
      <c r="D64" s="45" t="str">
        <f t="shared" si="7"/>
        <v>PC-03-GPDF</v>
      </c>
      <c r="E64" s="48" t="str">
        <f t="shared" si="8"/>
        <v>Poste de Coupure n°03 GPDF</v>
      </c>
      <c r="F64" s="19">
        <v>35065</v>
      </c>
      <c r="G64" s="19">
        <v>35065</v>
      </c>
      <c r="H64" s="41" t="s">
        <v>20</v>
      </c>
      <c r="I64" s="41">
        <v>1</v>
      </c>
      <c r="J64" s="41" t="s">
        <v>3556</v>
      </c>
      <c r="K64" s="41">
        <v>15</v>
      </c>
      <c r="L64" s="41"/>
      <c r="M64" s="41" t="s">
        <v>434</v>
      </c>
      <c r="N64" s="41" t="s">
        <v>2355</v>
      </c>
      <c r="O64" s="49">
        <f t="shared" si="10"/>
        <v>965.96</v>
      </c>
      <c r="P64" s="43">
        <f t="shared" si="11"/>
        <v>267.59899999999999</v>
      </c>
      <c r="Q64" s="58" t="s">
        <v>2331</v>
      </c>
      <c r="R64" s="48" t="str">
        <f t="shared" si="9"/>
        <v>(3,'PC-03-GPDF','Poste de Coupure n°03 GPDF','Monday-01-jj','Monday-01-jj',NULL,1,),</v>
      </c>
    </row>
    <row r="65" spans="1:18" ht="20.100000000000001" customHeight="1" x14ac:dyDescent="0.25">
      <c r="A65" s="38">
        <v>4</v>
      </c>
      <c r="B65" s="38" t="s">
        <v>434</v>
      </c>
      <c r="C65" s="38">
        <v>16</v>
      </c>
      <c r="D65" s="45" t="str">
        <f t="shared" ref="D65:D101" si="12">CONCATENATE("PC-",TEXT(A65,"00"),"-",M65)</f>
        <v>PC-04-GPDF</v>
      </c>
      <c r="E65" s="48" t="str">
        <f t="shared" ref="E65:E101" si="13">CONCATENATE("Poste de Coupure n°",TEXT(A65,"00")," ",M65)</f>
        <v>Poste de Coupure n°04 GPDF</v>
      </c>
      <c r="F65" s="19">
        <v>35065</v>
      </c>
      <c r="G65" s="19">
        <v>35065</v>
      </c>
      <c r="H65" s="41" t="s">
        <v>20</v>
      </c>
      <c r="I65" s="41">
        <v>1</v>
      </c>
      <c r="J65" s="41" t="s">
        <v>3556</v>
      </c>
      <c r="K65" s="41">
        <v>15</v>
      </c>
      <c r="L65" s="41"/>
      <c r="M65" s="41" t="s">
        <v>434</v>
      </c>
      <c r="N65" s="41" t="s">
        <v>2356</v>
      </c>
      <c r="O65" s="49">
        <f t="shared" si="10"/>
        <v>1225.5999999999999</v>
      </c>
      <c r="P65" s="43">
        <f t="shared" si="11"/>
        <v>341.91699999999997</v>
      </c>
      <c r="Q65" s="41" t="s">
        <v>2334</v>
      </c>
      <c r="R65" s="48" t="str">
        <f t="shared" ref="R65:R101" si="14">CONCATENATE("(",A65,",'",D65,"','",E65,"','",TEXT(F65,"aaaa-mm-jj"),"','",TEXT(G65,"aaaa-mm-jj"),"',",H65,",",I65,",",L65,"),")</f>
        <v>(4,'PC-04-GPDF','Poste de Coupure n°04 GPDF','Monday-01-jj','Monday-01-jj',NULL,1,),</v>
      </c>
    </row>
    <row r="66" spans="1:18" ht="20.100000000000001" customHeight="1" x14ac:dyDescent="0.25">
      <c r="A66" s="38">
        <v>5</v>
      </c>
      <c r="B66" s="38" t="s">
        <v>434</v>
      </c>
      <c r="C66" s="38">
        <v>16</v>
      </c>
      <c r="D66" s="45" t="str">
        <f t="shared" si="12"/>
        <v>PC-05-GPDF</v>
      </c>
      <c r="E66" s="48" t="str">
        <f t="shared" si="13"/>
        <v>Poste de Coupure n°05 GPDF</v>
      </c>
      <c r="F66" s="19">
        <v>35065</v>
      </c>
      <c r="G66" s="19">
        <v>35065</v>
      </c>
      <c r="H66" s="41" t="s">
        <v>20</v>
      </c>
      <c r="I66" s="41">
        <v>1</v>
      </c>
      <c r="J66" s="41" t="s">
        <v>3556</v>
      </c>
      <c r="K66" s="41">
        <v>15</v>
      </c>
      <c r="L66" s="41"/>
      <c r="M66" s="41" t="s">
        <v>434</v>
      </c>
      <c r="N66" s="41" t="s">
        <v>2357</v>
      </c>
      <c r="O66" s="49">
        <f t="shared" si="10"/>
        <v>1077.31</v>
      </c>
      <c r="P66" s="43">
        <f t="shared" si="11"/>
        <v>441.01600000000002</v>
      </c>
      <c r="Q66" s="58" t="s">
        <v>2335</v>
      </c>
      <c r="R66" s="48" t="str">
        <f t="shared" si="14"/>
        <v>(5,'PC-05-GPDF','Poste de Coupure n°05 GPDF','Monday-01-jj','Monday-01-jj',NULL,1,),</v>
      </c>
    </row>
    <row r="67" spans="1:18" ht="20.100000000000001" customHeight="1" x14ac:dyDescent="0.25">
      <c r="A67" s="38">
        <v>1</v>
      </c>
      <c r="B67" s="38" t="s">
        <v>650</v>
      </c>
      <c r="C67" s="38">
        <v>17</v>
      </c>
      <c r="D67" s="39" t="str">
        <f t="shared" si="12"/>
        <v>PC-01-GK1</v>
      </c>
      <c r="E67" s="48" t="str">
        <f t="shared" si="13"/>
        <v>Poste de Coupure n°01 GK1</v>
      </c>
      <c r="F67" s="19">
        <v>28491</v>
      </c>
      <c r="G67" s="19">
        <v>28491</v>
      </c>
      <c r="H67" s="41" t="s">
        <v>20</v>
      </c>
      <c r="I67" s="41">
        <v>1</v>
      </c>
      <c r="J67" s="41" t="s">
        <v>3556</v>
      </c>
      <c r="K67" s="41">
        <v>15</v>
      </c>
      <c r="L67" s="41"/>
      <c r="M67" s="41" t="s">
        <v>394</v>
      </c>
      <c r="N67" s="41" t="s">
        <v>3005</v>
      </c>
      <c r="O67" s="49">
        <f t="shared" si="10"/>
        <v>715.5</v>
      </c>
      <c r="P67" s="43">
        <f t="shared" si="11"/>
        <v>83.215000000000003</v>
      </c>
      <c r="Q67" s="58" t="s">
        <v>2070</v>
      </c>
      <c r="R67" s="48" t="str">
        <f t="shared" si="14"/>
        <v>(1,'PC-01-GK1','Poste de Coupure n°01 GK1','Sunday-01-jj','Sunday-01-jj',NULL,1,),</v>
      </c>
    </row>
    <row r="68" spans="1:18" ht="20.100000000000001" customHeight="1" x14ac:dyDescent="0.25">
      <c r="A68" s="38">
        <v>2</v>
      </c>
      <c r="B68" s="38" t="s">
        <v>650</v>
      </c>
      <c r="C68" s="38">
        <v>17</v>
      </c>
      <c r="D68" s="39" t="str">
        <f t="shared" si="12"/>
        <v>PC-02-GK1</v>
      </c>
      <c r="E68" s="48" t="str">
        <f t="shared" si="13"/>
        <v>Poste de Coupure n°02 GK1</v>
      </c>
      <c r="F68" s="19">
        <v>28491</v>
      </c>
      <c r="G68" s="19">
        <v>28491</v>
      </c>
      <c r="H68" s="41" t="s">
        <v>20</v>
      </c>
      <c r="I68" s="41">
        <v>1</v>
      </c>
      <c r="J68" s="41" t="s">
        <v>3556</v>
      </c>
      <c r="K68" s="41">
        <v>15</v>
      </c>
      <c r="L68" s="41"/>
      <c r="M68" s="41" t="s">
        <v>394</v>
      </c>
      <c r="N68" s="41" t="s">
        <v>3006</v>
      </c>
      <c r="O68" s="49">
        <f t="shared" si="10"/>
        <v>397</v>
      </c>
      <c r="P68" s="43">
        <f t="shared" si="11"/>
        <v>179.37299999999999</v>
      </c>
      <c r="Q68" s="41" t="s">
        <v>3010</v>
      </c>
      <c r="R68" s="48" t="str">
        <f t="shared" si="14"/>
        <v>(2,'PC-02-GK1','Poste de Coupure n°02 GK1','Sunday-01-jj','Sunday-01-jj',NULL,1,),</v>
      </c>
    </row>
    <row r="69" spans="1:18" ht="20.100000000000001" customHeight="1" x14ac:dyDescent="0.25">
      <c r="A69" s="38">
        <v>3</v>
      </c>
      <c r="B69" s="38" t="s">
        <v>650</v>
      </c>
      <c r="C69" s="38">
        <v>17</v>
      </c>
      <c r="D69" s="39" t="str">
        <f t="shared" si="12"/>
        <v>PC-03-GK1</v>
      </c>
      <c r="E69" s="48" t="str">
        <f t="shared" si="13"/>
        <v>Poste de Coupure n°03 GK1</v>
      </c>
      <c r="F69" s="19">
        <v>28491</v>
      </c>
      <c r="G69" s="19">
        <v>28491</v>
      </c>
      <c r="H69" s="41" t="s">
        <v>20</v>
      </c>
      <c r="I69" s="41">
        <v>1</v>
      </c>
      <c r="J69" s="41" t="s">
        <v>3556</v>
      </c>
      <c r="K69" s="41">
        <v>15</v>
      </c>
      <c r="L69" s="41"/>
      <c r="M69" s="41" t="s">
        <v>394</v>
      </c>
      <c r="N69" s="41" t="s">
        <v>3007</v>
      </c>
      <c r="O69" s="49">
        <f t="shared" si="10"/>
        <v>389</v>
      </c>
      <c r="P69" s="43">
        <f t="shared" si="11"/>
        <v>270.78500000000003</v>
      </c>
      <c r="Q69" s="41" t="s">
        <v>2071</v>
      </c>
      <c r="R69" s="48" t="str">
        <f t="shared" si="14"/>
        <v>(3,'PC-03-GK1','Poste de Coupure n°03 GK1','Sunday-01-jj','Sunday-01-jj',NULL,1,),</v>
      </c>
    </row>
    <row r="70" spans="1:18" ht="20.100000000000001" customHeight="1" x14ac:dyDescent="0.25">
      <c r="A70" s="38">
        <v>4</v>
      </c>
      <c r="B70" s="38" t="s">
        <v>650</v>
      </c>
      <c r="C70" s="38">
        <v>17</v>
      </c>
      <c r="D70" s="39" t="str">
        <f t="shared" si="12"/>
        <v>PC-04-GK1</v>
      </c>
      <c r="E70" s="48" t="str">
        <f t="shared" si="13"/>
        <v>Poste de Coupure n°04 GK1</v>
      </c>
      <c r="F70" s="19">
        <v>28491</v>
      </c>
      <c r="G70" s="19">
        <v>28491</v>
      </c>
      <c r="H70" s="41" t="s">
        <v>20</v>
      </c>
      <c r="I70" s="41">
        <v>1</v>
      </c>
      <c r="J70" s="41" t="s">
        <v>3556</v>
      </c>
      <c r="K70" s="41">
        <v>15</v>
      </c>
      <c r="L70" s="41"/>
      <c r="M70" s="41" t="s">
        <v>394</v>
      </c>
      <c r="N70" s="41" t="s">
        <v>3008</v>
      </c>
      <c r="O70" s="49">
        <f t="shared" si="10"/>
        <v>575</v>
      </c>
      <c r="P70" s="43">
        <f t="shared" si="11"/>
        <v>354.89</v>
      </c>
      <c r="Q70" s="41" t="s">
        <v>2073</v>
      </c>
      <c r="R70" s="48" t="str">
        <f t="shared" si="14"/>
        <v>(4,'PC-04-GK1','Poste de Coupure n°04 GK1','Sunday-01-jj','Sunday-01-jj',NULL,1,),</v>
      </c>
    </row>
    <row r="71" spans="1:18" ht="20.100000000000001" customHeight="1" x14ac:dyDescent="0.25">
      <c r="A71" s="38">
        <v>5</v>
      </c>
      <c r="B71" s="38" t="s">
        <v>650</v>
      </c>
      <c r="C71" s="38">
        <v>17</v>
      </c>
      <c r="D71" s="39" t="str">
        <f t="shared" si="12"/>
        <v>PC-05-GK1</v>
      </c>
      <c r="E71" s="48" t="str">
        <f t="shared" si="13"/>
        <v>Poste de Coupure n°05 GK1</v>
      </c>
      <c r="F71" s="19">
        <v>28491</v>
      </c>
      <c r="G71" s="19">
        <v>28491</v>
      </c>
      <c r="H71" s="41" t="s">
        <v>20</v>
      </c>
      <c r="I71" s="41">
        <v>1</v>
      </c>
      <c r="J71" s="41" t="s">
        <v>3556</v>
      </c>
      <c r="K71" s="41">
        <v>15</v>
      </c>
      <c r="L71" s="41"/>
      <c r="M71" s="41" t="s">
        <v>394</v>
      </c>
      <c r="N71" s="41" t="s">
        <v>3009</v>
      </c>
      <c r="O71" s="49">
        <f t="shared" si="10"/>
        <v>926</v>
      </c>
      <c r="P71" s="43">
        <f t="shared" si="11"/>
        <v>430.79</v>
      </c>
      <c r="Q71" s="41" t="s">
        <v>3011</v>
      </c>
      <c r="R71" s="48" t="str">
        <f t="shared" si="14"/>
        <v>(5,'PC-05-GK1','Poste de Coupure n°05 GK1','Sunday-01-jj','Sunday-01-jj',NULL,1,),</v>
      </c>
    </row>
    <row r="72" spans="1:18" ht="20.100000000000001" customHeight="1" x14ac:dyDescent="0.25">
      <c r="A72" s="38">
        <v>1</v>
      </c>
      <c r="B72" s="38" t="s">
        <v>650</v>
      </c>
      <c r="C72" s="38">
        <v>17</v>
      </c>
      <c r="D72" s="39" t="str">
        <f t="shared" ref="D72:D76" si="15">CONCATENATE("PC-",TEXT(A72,"00"),"-",M72)</f>
        <v>PC-01-GK2</v>
      </c>
      <c r="E72" s="48" t="str">
        <f t="shared" ref="E72:E76" si="16">CONCATENATE("Poste de Coupure n°",TEXT(A72,"00")," ",M72)</f>
        <v>Poste de Coupure n°01 GK2</v>
      </c>
      <c r="F72" s="19">
        <v>28491</v>
      </c>
      <c r="G72" s="19">
        <v>28491</v>
      </c>
      <c r="H72" s="41" t="s">
        <v>20</v>
      </c>
      <c r="I72" s="41">
        <v>1</v>
      </c>
      <c r="J72" s="41" t="s">
        <v>3556</v>
      </c>
      <c r="K72" s="41">
        <v>15</v>
      </c>
      <c r="L72" s="41"/>
      <c r="M72" s="41" t="s">
        <v>398</v>
      </c>
      <c r="N72" s="41" t="s">
        <v>3005</v>
      </c>
      <c r="O72" s="49">
        <f t="shared" ref="O72:O76" si="17">VALUE(RIGHT(N72,LEN(N72)-SEARCH("/",N72)))</f>
        <v>715.5</v>
      </c>
      <c r="P72" s="43">
        <f t="shared" ref="P72:P76" si="18">VALUE(SUBSTITUTE(LEFT(N72,SEARCH("/",N72)-1),"+",","))</f>
        <v>83.215000000000003</v>
      </c>
      <c r="Q72" s="58" t="s">
        <v>2070</v>
      </c>
      <c r="R72" s="48" t="str">
        <f t="shared" ref="R72:R76" si="19">CONCATENATE("(",A72,",'",D72,"','",E72,"','",TEXT(F72,"aaaa-mm-jj"),"','",TEXT(G72,"aaaa-mm-jj"),"',",H72,",",I72,",",L72,"),")</f>
        <v>(1,'PC-01-GK2','Poste de Coupure n°01 GK2','Sunday-01-jj','Sunday-01-jj',NULL,1,),</v>
      </c>
    </row>
    <row r="73" spans="1:18" ht="20.100000000000001" customHeight="1" x14ac:dyDescent="0.25">
      <c r="A73" s="38">
        <v>2</v>
      </c>
      <c r="B73" s="38" t="s">
        <v>650</v>
      </c>
      <c r="C73" s="38">
        <v>17</v>
      </c>
      <c r="D73" s="39" t="str">
        <f t="shared" si="15"/>
        <v>PC-02-GK2</v>
      </c>
      <c r="E73" s="48" t="str">
        <f t="shared" si="16"/>
        <v>Poste de Coupure n°02 GK2</v>
      </c>
      <c r="F73" s="19">
        <v>28491</v>
      </c>
      <c r="G73" s="19">
        <v>28491</v>
      </c>
      <c r="H73" s="41" t="s">
        <v>20</v>
      </c>
      <c r="I73" s="41">
        <v>1</v>
      </c>
      <c r="J73" s="41" t="s">
        <v>3556</v>
      </c>
      <c r="K73" s="41">
        <v>15</v>
      </c>
      <c r="L73" s="41"/>
      <c r="M73" s="41" t="s">
        <v>398</v>
      </c>
      <c r="N73" s="41" t="s">
        <v>3006</v>
      </c>
      <c r="O73" s="49">
        <f t="shared" si="17"/>
        <v>397</v>
      </c>
      <c r="P73" s="43">
        <f t="shared" si="18"/>
        <v>179.37299999999999</v>
      </c>
      <c r="Q73" s="41" t="s">
        <v>3010</v>
      </c>
      <c r="R73" s="48" t="str">
        <f t="shared" si="19"/>
        <v>(2,'PC-02-GK2','Poste de Coupure n°02 GK2','Sunday-01-jj','Sunday-01-jj',NULL,1,),</v>
      </c>
    </row>
    <row r="74" spans="1:18" ht="20.100000000000001" customHeight="1" x14ac:dyDescent="0.25">
      <c r="A74" s="38">
        <v>3</v>
      </c>
      <c r="B74" s="38" t="s">
        <v>650</v>
      </c>
      <c r="C74" s="38">
        <v>17</v>
      </c>
      <c r="D74" s="39" t="str">
        <f t="shared" si="15"/>
        <v>PC-03-GK2</v>
      </c>
      <c r="E74" s="48" t="str">
        <f t="shared" si="16"/>
        <v>Poste de Coupure n°03 GK2</v>
      </c>
      <c r="F74" s="19">
        <v>28491</v>
      </c>
      <c r="G74" s="19">
        <v>28491</v>
      </c>
      <c r="H74" s="41" t="s">
        <v>20</v>
      </c>
      <c r="I74" s="41">
        <v>1</v>
      </c>
      <c r="J74" s="41" t="s">
        <v>3556</v>
      </c>
      <c r="K74" s="41">
        <v>15</v>
      </c>
      <c r="L74" s="41"/>
      <c r="M74" s="41" t="s">
        <v>398</v>
      </c>
      <c r="N74" s="41" t="s">
        <v>3007</v>
      </c>
      <c r="O74" s="49">
        <f t="shared" si="17"/>
        <v>389</v>
      </c>
      <c r="P74" s="43">
        <f t="shared" si="18"/>
        <v>270.78500000000003</v>
      </c>
      <c r="Q74" s="41" t="s">
        <v>2071</v>
      </c>
      <c r="R74" s="48" t="str">
        <f t="shared" si="19"/>
        <v>(3,'PC-03-GK2','Poste de Coupure n°03 GK2','Sunday-01-jj','Sunday-01-jj',NULL,1,),</v>
      </c>
    </row>
    <row r="75" spans="1:18" ht="20.100000000000001" customHeight="1" x14ac:dyDescent="0.25">
      <c r="A75" s="38">
        <v>4</v>
      </c>
      <c r="B75" s="38" t="s">
        <v>650</v>
      </c>
      <c r="C75" s="38">
        <v>17</v>
      </c>
      <c r="D75" s="39" t="str">
        <f t="shared" si="15"/>
        <v>PC-04-GK2</v>
      </c>
      <c r="E75" s="48" t="str">
        <f t="shared" si="16"/>
        <v>Poste de Coupure n°04 GK2</v>
      </c>
      <c r="F75" s="19">
        <v>28491</v>
      </c>
      <c r="G75" s="19">
        <v>28491</v>
      </c>
      <c r="H75" s="41" t="s">
        <v>20</v>
      </c>
      <c r="I75" s="41">
        <v>1</v>
      </c>
      <c r="J75" s="41" t="s">
        <v>3556</v>
      </c>
      <c r="K75" s="41">
        <v>15</v>
      </c>
      <c r="L75" s="41"/>
      <c r="M75" s="41" t="s">
        <v>398</v>
      </c>
      <c r="N75" s="41" t="s">
        <v>3008</v>
      </c>
      <c r="O75" s="49">
        <f t="shared" si="17"/>
        <v>575</v>
      </c>
      <c r="P75" s="43">
        <f t="shared" si="18"/>
        <v>354.89</v>
      </c>
      <c r="Q75" s="41" t="s">
        <v>2073</v>
      </c>
      <c r="R75" s="48" t="str">
        <f t="shared" si="19"/>
        <v>(4,'PC-04-GK2','Poste de Coupure n°04 GK2','Sunday-01-jj','Sunday-01-jj',NULL,1,),</v>
      </c>
    </row>
    <row r="76" spans="1:18" ht="20.100000000000001" customHeight="1" x14ac:dyDescent="0.25">
      <c r="A76" s="38">
        <v>5</v>
      </c>
      <c r="B76" s="38" t="s">
        <v>650</v>
      </c>
      <c r="C76" s="38">
        <v>17</v>
      </c>
      <c r="D76" s="39" t="str">
        <f t="shared" si="15"/>
        <v>PC-05-GK2</v>
      </c>
      <c r="E76" s="48" t="str">
        <f t="shared" si="16"/>
        <v>Poste de Coupure n°05 GK2</v>
      </c>
      <c r="F76" s="19">
        <v>28491</v>
      </c>
      <c r="G76" s="19">
        <v>28491</v>
      </c>
      <c r="H76" s="41" t="s">
        <v>20</v>
      </c>
      <c r="I76" s="41">
        <v>1</v>
      </c>
      <c r="J76" s="41" t="s">
        <v>3556</v>
      </c>
      <c r="K76" s="41">
        <v>15</v>
      </c>
      <c r="L76" s="41"/>
      <c r="M76" s="41" t="s">
        <v>398</v>
      </c>
      <c r="N76" s="41" t="s">
        <v>3009</v>
      </c>
      <c r="O76" s="49">
        <f t="shared" si="17"/>
        <v>926</v>
      </c>
      <c r="P76" s="43">
        <f t="shared" si="18"/>
        <v>430.79</v>
      </c>
      <c r="Q76" s="41" t="s">
        <v>3011</v>
      </c>
      <c r="R76" s="48" t="str">
        <f t="shared" si="19"/>
        <v>(5,'PC-05-GK2','Poste de Coupure n°05 GK2','Sunday-01-jj','Sunday-01-jj',NULL,1,),</v>
      </c>
    </row>
    <row r="77" spans="1:18" ht="20.100000000000001" customHeight="1" x14ac:dyDescent="0.25">
      <c r="A77" s="38">
        <v>1</v>
      </c>
      <c r="B77" s="38" t="s">
        <v>655</v>
      </c>
      <c r="C77" s="38">
        <v>18</v>
      </c>
      <c r="D77" s="45" t="str">
        <f t="shared" si="12"/>
        <v>PC-01-GK3</v>
      </c>
      <c r="E77" s="48" t="str">
        <f t="shared" si="13"/>
        <v>Poste de Coupure n°01 GK3</v>
      </c>
      <c r="F77" s="19">
        <v>40909</v>
      </c>
      <c r="G77" s="19">
        <v>40909</v>
      </c>
      <c r="H77" s="41" t="s">
        <v>20</v>
      </c>
      <c r="I77" s="41">
        <v>1</v>
      </c>
      <c r="J77" s="41" t="s">
        <v>3556</v>
      </c>
      <c r="K77" s="41">
        <v>15</v>
      </c>
      <c r="L77" s="41"/>
      <c r="M77" s="41" t="s">
        <v>655</v>
      </c>
      <c r="N77" s="41" t="s">
        <v>2202</v>
      </c>
      <c r="O77" s="49">
        <f t="shared" si="10"/>
        <v>744.7</v>
      </c>
      <c r="P77" s="43">
        <f t="shared" si="11"/>
        <v>81.8</v>
      </c>
      <c r="Q77" s="41" t="s">
        <v>2070</v>
      </c>
      <c r="R77" s="48" t="str">
        <f t="shared" si="14"/>
        <v>(1,'PC-01-GK3','Poste de Coupure n°01 GK3','Sunday-01-jj','Sunday-01-jj',NULL,1,),</v>
      </c>
    </row>
    <row r="78" spans="1:18" ht="20.100000000000001" customHeight="1" x14ac:dyDescent="0.25">
      <c r="A78" s="38">
        <v>2</v>
      </c>
      <c r="B78" s="38" t="s">
        <v>655</v>
      </c>
      <c r="C78" s="38">
        <v>18</v>
      </c>
      <c r="D78" s="45" t="str">
        <f t="shared" si="12"/>
        <v>PC-02-GK3</v>
      </c>
      <c r="E78" s="48" t="str">
        <f t="shared" si="13"/>
        <v>Poste de Coupure n°02 GK3</v>
      </c>
      <c r="F78" s="19">
        <v>40909</v>
      </c>
      <c r="G78" s="19">
        <v>40909</v>
      </c>
      <c r="H78" s="41" t="s">
        <v>20</v>
      </c>
      <c r="I78" s="41">
        <v>1</v>
      </c>
      <c r="J78" s="41" t="s">
        <v>3556</v>
      </c>
      <c r="K78" s="41">
        <v>15</v>
      </c>
      <c r="L78" s="41"/>
      <c r="M78" s="41" t="s">
        <v>655</v>
      </c>
      <c r="N78" s="41" t="s">
        <v>2203</v>
      </c>
      <c r="O78" s="49">
        <f t="shared" si="10"/>
        <v>398.32</v>
      </c>
      <c r="P78" s="43">
        <f t="shared" si="11"/>
        <v>178.31800000000001</v>
      </c>
      <c r="Q78" s="41" t="s">
        <v>2209</v>
      </c>
      <c r="R78" s="48" t="str">
        <f t="shared" si="14"/>
        <v>(2,'PC-02-GK3','Poste de Coupure n°02 GK3','Sunday-01-jj','Sunday-01-jj',NULL,1,),</v>
      </c>
    </row>
    <row r="79" spans="1:18" ht="20.100000000000001" customHeight="1" x14ac:dyDescent="0.25">
      <c r="A79" s="38">
        <v>3</v>
      </c>
      <c r="B79" s="38" t="s">
        <v>655</v>
      </c>
      <c r="C79" s="38">
        <v>18</v>
      </c>
      <c r="D79" s="45" t="str">
        <f t="shared" si="12"/>
        <v>PC-03-GK3</v>
      </c>
      <c r="E79" s="48" t="str">
        <f t="shared" si="13"/>
        <v>Poste de Coupure n°03 GK3</v>
      </c>
      <c r="F79" s="19">
        <v>40909</v>
      </c>
      <c r="G79" s="19">
        <v>40909</v>
      </c>
      <c r="H79" s="41" t="s">
        <v>20</v>
      </c>
      <c r="I79" s="41">
        <v>1</v>
      </c>
      <c r="J79" s="41" t="s">
        <v>3556</v>
      </c>
      <c r="K79" s="41">
        <v>15</v>
      </c>
      <c r="L79" s="41"/>
      <c r="M79" s="41" t="s">
        <v>655</v>
      </c>
      <c r="N79" s="41" t="s">
        <v>2204</v>
      </c>
      <c r="O79" s="49">
        <f t="shared" si="10"/>
        <v>358.13</v>
      </c>
      <c r="P79" s="43">
        <f t="shared" si="11"/>
        <v>269.44400000000002</v>
      </c>
      <c r="Q79" s="41" t="s">
        <v>2071</v>
      </c>
      <c r="R79" s="48" t="str">
        <f t="shared" si="14"/>
        <v>(3,'PC-03-GK3','Poste de Coupure n°03 GK3','Sunday-01-jj','Sunday-01-jj',NULL,1,),</v>
      </c>
    </row>
    <row r="80" spans="1:18" ht="20.100000000000001" customHeight="1" x14ac:dyDescent="0.25">
      <c r="A80" s="38">
        <v>4</v>
      </c>
      <c r="B80" s="38" t="s">
        <v>655</v>
      </c>
      <c r="C80" s="38">
        <v>18</v>
      </c>
      <c r="D80" s="45" t="str">
        <f t="shared" si="12"/>
        <v>PC-04-GK3</v>
      </c>
      <c r="E80" s="48" t="str">
        <f t="shared" si="13"/>
        <v>Poste de Coupure n°04 GK3</v>
      </c>
      <c r="F80" s="19">
        <v>40909</v>
      </c>
      <c r="G80" s="19">
        <v>40909</v>
      </c>
      <c r="H80" s="41" t="s">
        <v>20</v>
      </c>
      <c r="I80" s="41">
        <v>1</v>
      </c>
      <c r="J80" s="41" t="s">
        <v>3556</v>
      </c>
      <c r="K80" s="41">
        <v>15</v>
      </c>
      <c r="L80" s="41"/>
      <c r="M80" s="41" t="s">
        <v>655</v>
      </c>
      <c r="N80" s="41" t="s">
        <v>2205</v>
      </c>
      <c r="O80" s="49">
        <f t="shared" si="10"/>
        <v>599.75</v>
      </c>
      <c r="P80" s="43">
        <f t="shared" si="11"/>
        <v>354.55200000000002</v>
      </c>
      <c r="Q80" s="41" t="s">
        <v>2210</v>
      </c>
      <c r="R80" s="48" t="str">
        <f t="shared" si="14"/>
        <v>(4,'PC-04-GK3','Poste de Coupure n°04 GK3','Sunday-01-jj','Sunday-01-jj',NULL,1,),</v>
      </c>
    </row>
    <row r="81" spans="1:18" ht="20.100000000000001" customHeight="1" x14ac:dyDescent="0.25">
      <c r="A81" s="38">
        <v>5</v>
      </c>
      <c r="B81" s="38" t="s">
        <v>655</v>
      </c>
      <c r="C81" s="38">
        <v>18</v>
      </c>
      <c r="D81" s="45" t="str">
        <f t="shared" si="12"/>
        <v>PC-05-GK3</v>
      </c>
      <c r="E81" s="48" t="str">
        <f t="shared" si="13"/>
        <v>Poste de Coupure n°05 GK3</v>
      </c>
      <c r="F81" s="19">
        <v>40909</v>
      </c>
      <c r="G81" s="19">
        <v>40909</v>
      </c>
      <c r="H81" s="41" t="s">
        <v>20</v>
      </c>
      <c r="I81" s="41">
        <v>1</v>
      </c>
      <c r="J81" s="41" t="s">
        <v>3556</v>
      </c>
      <c r="K81" s="41">
        <v>15</v>
      </c>
      <c r="L81" s="41"/>
      <c r="M81" s="41" t="s">
        <v>655</v>
      </c>
      <c r="N81" s="41" t="s">
        <v>2206</v>
      </c>
      <c r="O81" s="49">
        <f t="shared" si="10"/>
        <v>934.86</v>
      </c>
      <c r="P81" s="43">
        <f t="shared" si="11"/>
        <v>431.71899999999999</v>
      </c>
      <c r="Q81" s="41" t="s">
        <v>2211</v>
      </c>
      <c r="R81" s="48" t="str">
        <f t="shared" si="14"/>
        <v>(5,'PC-05-GK3','Poste de Coupure n°05 GK3','Sunday-01-jj','Sunday-01-jj',NULL,1,),</v>
      </c>
    </row>
    <row r="82" spans="1:18" ht="20.100000000000001" customHeight="1" x14ac:dyDescent="0.25">
      <c r="A82" s="38">
        <v>6</v>
      </c>
      <c r="B82" s="38" t="s">
        <v>655</v>
      </c>
      <c r="C82" s="38">
        <v>18</v>
      </c>
      <c r="D82" s="45" t="str">
        <f t="shared" si="12"/>
        <v>PC-06-GK3</v>
      </c>
      <c r="E82" s="48" t="str">
        <f t="shared" si="13"/>
        <v>Poste de Coupure n°06 GK3</v>
      </c>
      <c r="F82" s="19">
        <v>40909</v>
      </c>
      <c r="G82" s="19">
        <v>40909</v>
      </c>
      <c r="H82" s="41" t="s">
        <v>20</v>
      </c>
      <c r="I82" s="41">
        <v>1</v>
      </c>
      <c r="J82" s="41" t="s">
        <v>3556</v>
      </c>
      <c r="K82" s="41">
        <v>15</v>
      </c>
      <c r="L82" s="41"/>
      <c r="M82" s="41" t="s">
        <v>655</v>
      </c>
      <c r="N82" s="41" t="s">
        <v>2207</v>
      </c>
      <c r="O82" s="49">
        <f t="shared" si="10"/>
        <v>1007.13</v>
      </c>
      <c r="P82" s="43">
        <f t="shared" si="11"/>
        <v>102.274</v>
      </c>
      <c r="Q82" s="41" t="s">
        <v>2186</v>
      </c>
      <c r="R82" s="48" t="str">
        <f t="shared" si="14"/>
        <v>(6,'PC-06-GK3','Poste de Coupure n°06 GK3','Sunday-01-jj','Sunday-01-jj',NULL,1,),</v>
      </c>
    </row>
    <row r="83" spans="1:18" ht="20.100000000000001" customHeight="1" x14ac:dyDescent="0.25">
      <c r="A83" s="38">
        <v>7</v>
      </c>
      <c r="B83" s="38" t="s">
        <v>655</v>
      </c>
      <c r="C83" s="38">
        <v>18</v>
      </c>
      <c r="D83" s="45" t="str">
        <f t="shared" si="12"/>
        <v>PC-07-GK3</v>
      </c>
      <c r="E83" s="48" t="str">
        <f t="shared" si="13"/>
        <v>Poste de Coupure n°07 GK3</v>
      </c>
      <c r="F83" s="19">
        <v>40909</v>
      </c>
      <c r="G83" s="19">
        <v>40909</v>
      </c>
      <c r="H83" s="41" t="s">
        <v>20</v>
      </c>
      <c r="I83" s="41">
        <v>1</v>
      </c>
      <c r="J83" s="41" t="s">
        <v>3556</v>
      </c>
      <c r="K83" s="41">
        <v>15</v>
      </c>
      <c r="L83" s="41"/>
      <c r="M83" s="41" t="s">
        <v>655</v>
      </c>
      <c r="N83" s="41" t="s">
        <v>2208</v>
      </c>
      <c r="O83" s="49">
        <f t="shared" si="10"/>
        <v>136.01</v>
      </c>
      <c r="P83" s="43">
        <f t="shared" si="11"/>
        <v>181.59399999999999</v>
      </c>
      <c r="Q83" s="41" t="s">
        <v>2212</v>
      </c>
      <c r="R83" s="48" t="str">
        <f t="shared" si="14"/>
        <v>(7,'PC-07-GK3','Poste de Coupure n°07 GK3','Sunday-01-jj','Sunday-01-jj',NULL,1,),</v>
      </c>
    </row>
    <row r="84" spans="1:18" ht="20.100000000000001" customHeight="1" x14ac:dyDescent="0.25">
      <c r="A84" s="38">
        <v>1</v>
      </c>
      <c r="B84" s="38" t="s">
        <v>685</v>
      </c>
      <c r="C84" s="38">
        <v>19</v>
      </c>
      <c r="D84" s="45" t="str">
        <f t="shared" si="12"/>
        <v>PC-01-GO1</v>
      </c>
      <c r="E84" s="48" t="str">
        <f t="shared" si="13"/>
        <v>Poste de Coupure n°01 GO1</v>
      </c>
      <c r="F84" s="19">
        <v>29952</v>
      </c>
      <c r="G84" s="19">
        <v>29952</v>
      </c>
      <c r="H84" s="41" t="s">
        <v>20</v>
      </c>
      <c r="I84" s="41">
        <v>1</v>
      </c>
      <c r="J84" s="41" t="s">
        <v>3556</v>
      </c>
      <c r="K84" s="41">
        <v>15</v>
      </c>
      <c r="L84" s="41"/>
      <c r="M84" s="41" t="s">
        <v>439</v>
      </c>
      <c r="N84" s="41" t="s">
        <v>2375</v>
      </c>
      <c r="O84" s="49">
        <f t="shared" si="10"/>
        <v>449.5</v>
      </c>
      <c r="P84" s="43">
        <f t="shared" si="11"/>
        <v>168.29900000000001</v>
      </c>
      <c r="Q84" s="41" t="s">
        <v>2384</v>
      </c>
      <c r="R84" s="48" t="str">
        <f t="shared" si="14"/>
        <v>(1,'PC-01-GO1','Poste de Coupure n°01 GO1','Friday-01-jj','Friday-01-jj',NULL,1,),</v>
      </c>
    </row>
    <row r="85" spans="1:18" ht="20.100000000000001" customHeight="1" x14ac:dyDescent="0.25">
      <c r="A85" s="38">
        <v>1</v>
      </c>
      <c r="B85" s="38" t="s">
        <v>685</v>
      </c>
      <c r="C85" s="38">
        <v>19</v>
      </c>
      <c r="D85" s="45" t="str">
        <f t="shared" si="12"/>
        <v>PC-01-GO2</v>
      </c>
      <c r="E85" s="48" t="str">
        <f t="shared" si="13"/>
        <v>Poste de Coupure n°01 GO2</v>
      </c>
      <c r="F85" s="19">
        <v>31778</v>
      </c>
      <c r="G85" s="19">
        <v>31778</v>
      </c>
      <c r="H85" s="41" t="s">
        <v>20</v>
      </c>
      <c r="I85" s="41">
        <v>1</v>
      </c>
      <c r="J85" s="41" t="s">
        <v>3556</v>
      </c>
      <c r="K85" s="41">
        <v>15</v>
      </c>
      <c r="L85" s="41"/>
      <c r="M85" s="41" t="s">
        <v>441</v>
      </c>
      <c r="N85" s="41" t="s">
        <v>2378</v>
      </c>
      <c r="O85" s="49">
        <f t="shared" si="10"/>
        <v>449.5</v>
      </c>
      <c r="P85" s="43">
        <f t="shared" si="11"/>
        <v>168.49100000000001</v>
      </c>
      <c r="Q85" s="41" t="s">
        <v>2384</v>
      </c>
      <c r="R85" s="48" t="str">
        <f t="shared" si="14"/>
        <v>(1,'PC-01-GO2','Poste de Coupure n°01 GO2','Thursday-01-jj','Thursday-01-jj',NULL,1,),</v>
      </c>
    </row>
    <row r="86" spans="1:18" ht="20.100000000000001" customHeight="1" x14ac:dyDescent="0.25">
      <c r="A86" s="38">
        <v>1</v>
      </c>
      <c r="B86" s="38" t="s">
        <v>685</v>
      </c>
      <c r="C86" s="38">
        <v>19</v>
      </c>
      <c r="D86" s="45" t="str">
        <f t="shared" si="12"/>
        <v>PC-01-GO3</v>
      </c>
      <c r="E86" s="48" t="str">
        <f t="shared" si="13"/>
        <v>Poste de Coupure n°01 GO3</v>
      </c>
      <c r="F86" s="19">
        <v>39448</v>
      </c>
      <c r="G86" s="19">
        <v>39448</v>
      </c>
      <c r="H86" s="41" t="s">
        <v>20</v>
      </c>
      <c r="I86" s="41">
        <v>1</v>
      </c>
      <c r="J86" s="41" t="s">
        <v>3556</v>
      </c>
      <c r="K86" s="41">
        <v>15</v>
      </c>
      <c r="L86" s="41"/>
      <c r="M86" s="41" t="s">
        <v>444</v>
      </c>
      <c r="N86" s="41" t="s">
        <v>2381</v>
      </c>
      <c r="O86" s="49">
        <f t="shared" si="10"/>
        <v>449.5</v>
      </c>
      <c r="P86" s="43">
        <f t="shared" si="11"/>
        <v>168.73099999999999</v>
      </c>
      <c r="Q86" s="41" t="s">
        <v>2384</v>
      </c>
      <c r="R86" s="48" t="str">
        <f t="shared" si="14"/>
        <v>(1,'PC-01-GO3','Poste de Coupure n°01 GO3','Tuesday-01-jj','Tuesday-01-jj',NULL,1,),</v>
      </c>
    </row>
    <row r="87" spans="1:18" ht="20.100000000000001" customHeight="1" x14ac:dyDescent="0.25">
      <c r="A87" s="38">
        <v>2</v>
      </c>
      <c r="B87" s="38" t="s">
        <v>685</v>
      </c>
      <c r="C87" s="38">
        <v>19</v>
      </c>
      <c r="D87" s="45" t="str">
        <f t="shared" si="12"/>
        <v>PC-02-GO1</v>
      </c>
      <c r="E87" s="48" t="str">
        <f t="shared" si="13"/>
        <v>Poste de Coupure n°02 GO1</v>
      </c>
      <c r="F87" s="19">
        <v>29952</v>
      </c>
      <c r="G87" s="19">
        <v>29952</v>
      </c>
      <c r="H87" s="41" t="s">
        <v>20</v>
      </c>
      <c r="I87" s="41">
        <v>1</v>
      </c>
      <c r="J87" s="41" t="s">
        <v>3556</v>
      </c>
      <c r="K87" s="41">
        <v>15</v>
      </c>
      <c r="L87" s="41"/>
      <c r="M87" s="41" t="s">
        <v>439</v>
      </c>
      <c r="N87" s="41" t="s">
        <v>2376</v>
      </c>
      <c r="O87" s="49">
        <f t="shared" si="10"/>
        <v>-1.6</v>
      </c>
      <c r="P87" s="43">
        <f t="shared" si="11"/>
        <v>348.38099999999997</v>
      </c>
      <c r="Q87" s="41" t="s">
        <v>2385</v>
      </c>
      <c r="R87" s="48" t="str">
        <f t="shared" si="14"/>
        <v>(2,'PC-02-GO1','Poste de Coupure n°02 GO1','Friday-01-jj','Friday-01-jj',NULL,1,),</v>
      </c>
    </row>
    <row r="88" spans="1:18" ht="20.100000000000001" customHeight="1" x14ac:dyDescent="0.25">
      <c r="A88" s="38">
        <v>2</v>
      </c>
      <c r="B88" s="38" t="s">
        <v>685</v>
      </c>
      <c r="C88" s="38">
        <v>19</v>
      </c>
      <c r="D88" s="45" t="str">
        <f t="shared" si="12"/>
        <v>PC-02-GO2</v>
      </c>
      <c r="E88" s="48" t="str">
        <f t="shared" si="13"/>
        <v>Poste de Coupure n°02 GO2</v>
      </c>
      <c r="F88" s="19">
        <v>31778</v>
      </c>
      <c r="G88" s="19">
        <v>31778</v>
      </c>
      <c r="H88" s="41" t="s">
        <v>20</v>
      </c>
      <c r="I88" s="41">
        <v>1</v>
      </c>
      <c r="J88" s="41" t="s">
        <v>3556</v>
      </c>
      <c r="K88" s="41">
        <v>15</v>
      </c>
      <c r="L88" s="41"/>
      <c r="M88" s="41" t="s">
        <v>441</v>
      </c>
      <c r="N88" s="41" t="s">
        <v>2379</v>
      </c>
      <c r="O88" s="49">
        <f t="shared" si="10"/>
        <v>-1.6</v>
      </c>
      <c r="P88" s="43">
        <f t="shared" si="11"/>
        <v>348.18900000000002</v>
      </c>
      <c r="Q88" s="41" t="s">
        <v>2385</v>
      </c>
      <c r="R88" s="48" t="str">
        <f t="shared" si="14"/>
        <v>(2,'PC-02-GO2','Poste de Coupure n°02 GO2','Thursday-01-jj','Thursday-01-jj',NULL,1,),</v>
      </c>
    </row>
    <row r="89" spans="1:18" ht="20.100000000000001" customHeight="1" x14ac:dyDescent="0.25">
      <c r="A89" s="38">
        <v>2</v>
      </c>
      <c r="B89" s="38" t="s">
        <v>685</v>
      </c>
      <c r="C89" s="38">
        <v>19</v>
      </c>
      <c r="D89" s="45" t="str">
        <f t="shared" si="12"/>
        <v>PC-02-GO3</v>
      </c>
      <c r="E89" s="48" t="str">
        <f t="shared" si="13"/>
        <v>Poste de Coupure n°02 GO3</v>
      </c>
      <c r="F89" s="19">
        <v>39448</v>
      </c>
      <c r="G89" s="19">
        <v>39448</v>
      </c>
      <c r="H89" s="41" t="s">
        <v>20</v>
      </c>
      <c r="I89" s="41">
        <v>1</v>
      </c>
      <c r="J89" s="41" t="s">
        <v>3556</v>
      </c>
      <c r="K89" s="41">
        <v>15</v>
      </c>
      <c r="L89" s="41"/>
      <c r="M89" s="41" t="s">
        <v>444</v>
      </c>
      <c r="N89" s="41" t="s">
        <v>2382</v>
      </c>
      <c r="O89" s="49">
        <f t="shared" si="10"/>
        <v>-1.6</v>
      </c>
      <c r="P89" s="43">
        <f t="shared" si="11"/>
        <v>348.56</v>
      </c>
      <c r="Q89" s="41" t="s">
        <v>2385</v>
      </c>
      <c r="R89" s="48" t="str">
        <f t="shared" si="14"/>
        <v>(2,'PC-02-GO3','Poste de Coupure n°02 GO3','Tuesday-01-jj','Tuesday-01-jj',NULL,1,),</v>
      </c>
    </row>
    <row r="90" spans="1:18" ht="20.100000000000001" customHeight="1" x14ac:dyDescent="0.25">
      <c r="A90" s="38">
        <v>3</v>
      </c>
      <c r="B90" s="38" t="s">
        <v>685</v>
      </c>
      <c r="C90" s="38">
        <v>19</v>
      </c>
      <c r="D90" s="45" t="str">
        <f t="shared" si="12"/>
        <v>PC-03-GO1</v>
      </c>
      <c r="E90" s="48" t="str">
        <f t="shared" si="13"/>
        <v>Poste de Coupure n°03 GO1</v>
      </c>
      <c r="F90" s="19">
        <v>29952</v>
      </c>
      <c r="G90" s="19">
        <v>29952</v>
      </c>
      <c r="H90" s="41" t="s">
        <v>20</v>
      </c>
      <c r="I90" s="41">
        <v>1</v>
      </c>
      <c r="J90" s="41" t="s">
        <v>3556</v>
      </c>
      <c r="K90" s="41">
        <v>15</v>
      </c>
      <c r="L90" s="41"/>
      <c r="M90" s="41" t="s">
        <v>439</v>
      </c>
      <c r="N90" s="41" t="s">
        <v>2377</v>
      </c>
      <c r="O90" s="49">
        <f t="shared" si="10"/>
        <v>305</v>
      </c>
      <c r="P90" s="43">
        <f t="shared" si="11"/>
        <v>461.03199999999998</v>
      </c>
      <c r="Q90" s="41" t="s">
        <v>2386</v>
      </c>
      <c r="R90" s="48" t="str">
        <f t="shared" si="14"/>
        <v>(3,'PC-03-GO1','Poste de Coupure n°03 GO1','Friday-01-jj','Friday-01-jj',NULL,1,),</v>
      </c>
    </row>
    <row r="91" spans="1:18" ht="20.100000000000001" customHeight="1" x14ac:dyDescent="0.25">
      <c r="A91" s="38">
        <v>3</v>
      </c>
      <c r="B91" s="38" t="s">
        <v>685</v>
      </c>
      <c r="C91" s="38">
        <v>19</v>
      </c>
      <c r="D91" s="45" t="str">
        <f t="shared" si="12"/>
        <v>PC-03-GO2</v>
      </c>
      <c r="E91" s="48" t="str">
        <f t="shared" si="13"/>
        <v>Poste de Coupure n°03 GO2</v>
      </c>
      <c r="F91" s="19">
        <v>31778</v>
      </c>
      <c r="G91" s="19">
        <v>31778</v>
      </c>
      <c r="H91" s="41" t="s">
        <v>20</v>
      </c>
      <c r="I91" s="41">
        <v>1</v>
      </c>
      <c r="J91" s="41" t="s">
        <v>3556</v>
      </c>
      <c r="K91" s="41">
        <v>15</v>
      </c>
      <c r="L91" s="41"/>
      <c r="M91" s="41" t="s">
        <v>441</v>
      </c>
      <c r="N91" s="41" t="s">
        <v>2380</v>
      </c>
      <c r="O91" s="49">
        <f t="shared" si="10"/>
        <v>305</v>
      </c>
      <c r="P91" s="43">
        <f t="shared" si="11"/>
        <v>460.87200000000001</v>
      </c>
      <c r="Q91" s="41" t="s">
        <v>2386</v>
      </c>
      <c r="R91" s="48" t="str">
        <f t="shared" si="14"/>
        <v>(3,'PC-03-GO2','Poste de Coupure n°03 GO2','Thursday-01-jj','Thursday-01-jj',NULL,1,),</v>
      </c>
    </row>
    <row r="92" spans="1:18" ht="20.100000000000001" customHeight="1" x14ac:dyDescent="0.25">
      <c r="A92" s="38">
        <v>3</v>
      </c>
      <c r="B92" s="38" t="s">
        <v>685</v>
      </c>
      <c r="C92" s="38">
        <v>19</v>
      </c>
      <c r="D92" s="45" t="str">
        <f t="shared" si="12"/>
        <v>PC-03-GO3</v>
      </c>
      <c r="E92" s="48" t="str">
        <f t="shared" si="13"/>
        <v>Poste de Coupure n°03 GO3</v>
      </c>
      <c r="F92" s="19">
        <v>39448</v>
      </c>
      <c r="G92" s="19">
        <v>39448</v>
      </c>
      <c r="H92" s="41" t="s">
        <v>20</v>
      </c>
      <c r="I92" s="41">
        <v>1</v>
      </c>
      <c r="J92" s="41" t="s">
        <v>3556</v>
      </c>
      <c r="K92" s="41">
        <v>15</v>
      </c>
      <c r="L92" s="41"/>
      <c r="M92" s="41" t="s">
        <v>444</v>
      </c>
      <c r="N92" s="41" t="s">
        <v>2383</v>
      </c>
      <c r="O92" s="49">
        <f t="shared" si="10"/>
        <v>305</v>
      </c>
      <c r="P92" s="43">
        <f t="shared" si="11"/>
        <v>460.68</v>
      </c>
      <c r="Q92" s="41" t="s">
        <v>2386</v>
      </c>
      <c r="R92" s="48" t="str">
        <f t="shared" si="14"/>
        <v>(3,'PC-03-GO3','Poste de Coupure n°03 GO3','Tuesday-01-jj','Tuesday-01-jj',NULL,1,),</v>
      </c>
    </row>
    <row r="93" spans="1:18" ht="20.100000000000001" customHeight="1" x14ac:dyDescent="0.25">
      <c r="A93" s="38">
        <v>1</v>
      </c>
      <c r="B93" s="38" t="s">
        <v>407</v>
      </c>
      <c r="C93" s="38">
        <v>20</v>
      </c>
      <c r="D93" s="45" t="str">
        <f t="shared" si="12"/>
        <v>PC-01-GG1</v>
      </c>
      <c r="E93" s="48" t="str">
        <f t="shared" si="13"/>
        <v>Poste de Coupure n°01 GG1</v>
      </c>
      <c r="F93" s="19">
        <v>29587</v>
      </c>
      <c r="G93" s="19">
        <v>29587</v>
      </c>
      <c r="H93" s="41" t="s">
        <v>20</v>
      </c>
      <c r="I93" s="41">
        <v>1</v>
      </c>
      <c r="J93" s="41" t="s">
        <v>3556</v>
      </c>
      <c r="K93" s="41">
        <v>15</v>
      </c>
      <c r="L93" s="41"/>
      <c r="M93" s="41" t="s">
        <v>407</v>
      </c>
      <c r="N93" s="41" t="s">
        <v>2229</v>
      </c>
      <c r="O93" s="49">
        <f t="shared" si="10"/>
        <v>820</v>
      </c>
      <c r="P93" s="43">
        <f t="shared" si="11"/>
        <v>59.5</v>
      </c>
      <c r="Q93" s="41" t="s">
        <v>2070</v>
      </c>
      <c r="R93" s="48" t="str">
        <f t="shared" si="14"/>
        <v>(1,'PC-01-GG1','Poste de Coupure n°01 GG1','Thursday-01-jj','Thursday-01-jj',NULL,1,),</v>
      </c>
    </row>
    <row r="94" spans="1:18" ht="20.100000000000001" customHeight="1" x14ac:dyDescent="0.25">
      <c r="A94" s="38">
        <v>1</v>
      </c>
      <c r="B94" s="38" t="s">
        <v>407</v>
      </c>
      <c r="C94" s="38">
        <v>20</v>
      </c>
      <c r="D94" s="45" t="str">
        <f t="shared" si="12"/>
        <v>PC-01-RGG1</v>
      </c>
      <c r="E94" s="48" t="str">
        <f t="shared" si="13"/>
        <v>Poste de Coupure n°01 RGG1</v>
      </c>
      <c r="F94" s="19">
        <v>43466</v>
      </c>
      <c r="G94" s="19">
        <v>43466</v>
      </c>
      <c r="H94" s="41" t="s">
        <v>20</v>
      </c>
      <c r="I94" s="41">
        <v>1</v>
      </c>
      <c r="J94" s="41" t="s">
        <v>3556</v>
      </c>
      <c r="K94" s="41">
        <v>15</v>
      </c>
      <c r="L94" s="41"/>
      <c r="M94" s="41" t="s">
        <v>410</v>
      </c>
      <c r="N94" s="41" t="s">
        <v>2236</v>
      </c>
      <c r="O94" s="49">
        <f t="shared" si="10"/>
        <v>584</v>
      </c>
      <c r="P94" s="43">
        <f t="shared" si="11"/>
        <v>92.977999999999994</v>
      </c>
      <c r="Q94" s="41" t="s">
        <v>2235</v>
      </c>
      <c r="R94" s="48" t="str">
        <f t="shared" si="14"/>
        <v>(1,'PC-01-RGG1','Poste de Coupure n°01 RGG1','Tuesday-01-jj','Tuesday-01-jj',NULL,1,),</v>
      </c>
    </row>
    <row r="95" spans="1:18" ht="20.100000000000001" customHeight="1" x14ac:dyDescent="0.25">
      <c r="A95" s="38">
        <v>2</v>
      </c>
      <c r="B95" s="38" t="s">
        <v>407</v>
      </c>
      <c r="C95" s="38">
        <v>20</v>
      </c>
      <c r="D95" s="45" t="str">
        <f t="shared" si="12"/>
        <v>PC-02-GG1</v>
      </c>
      <c r="E95" s="48" t="str">
        <f t="shared" si="13"/>
        <v>Poste de Coupure n°02 GG1</v>
      </c>
      <c r="F95" s="19">
        <v>29587</v>
      </c>
      <c r="G95" s="19">
        <v>29587</v>
      </c>
      <c r="H95" s="41" t="s">
        <v>20</v>
      </c>
      <c r="I95" s="41">
        <v>1</v>
      </c>
      <c r="J95" s="41" t="s">
        <v>3556</v>
      </c>
      <c r="K95" s="41">
        <v>15</v>
      </c>
      <c r="L95" s="41"/>
      <c r="M95" s="41" t="s">
        <v>407</v>
      </c>
      <c r="N95" s="41" t="s">
        <v>2230</v>
      </c>
      <c r="O95" s="49">
        <f t="shared" ref="O95:O100" si="20">VALUE(RIGHT(N95,LEN(N95)-SEARCH("/",N95)))</f>
        <v>860</v>
      </c>
      <c r="P95" s="43">
        <f t="shared" ref="P95:P100" si="21">VALUE(SUBSTITUTE(LEFT(N95,SEARCH("/",N95)-1),"+",","))</f>
        <v>126.7</v>
      </c>
      <c r="Q95" s="41" t="s">
        <v>2233</v>
      </c>
      <c r="R95" s="48" t="str">
        <f t="shared" si="14"/>
        <v>(2,'PC-02-GG1','Poste de Coupure n°02 GG1','Thursday-01-jj','Thursday-01-jj',NULL,1,),</v>
      </c>
    </row>
    <row r="96" spans="1:18" ht="20.100000000000001" customHeight="1" x14ac:dyDescent="0.25">
      <c r="A96" s="38">
        <v>4</v>
      </c>
      <c r="B96" s="38" t="s">
        <v>407</v>
      </c>
      <c r="C96" s="38">
        <v>20</v>
      </c>
      <c r="D96" s="45" t="str">
        <f t="shared" si="12"/>
        <v>PC-04-GG1</v>
      </c>
      <c r="E96" s="48" t="str">
        <f t="shared" si="13"/>
        <v>Poste de Coupure n°04 GG1</v>
      </c>
      <c r="F96" s="19">
        <v>29587</v>
      </c>
      <c r="G96" s="19">
        <v>29587</v>
      </c>
      <c r="H96" s="41" t="s">
        <v>20</v>
      </c>
      <c r="I96" s="41">
        <v>1</v>
      </c>
      <c r="J96" s="41" t="s">
        <v>3556</v>
      </c>
      <c r="K96" s="41">
        <v>15</v>
      </c>
      <c r="L96" s="41"/>
      <c r="M96" s="41" t="s">
        <v>407</v>
      </c>
      <c r="N96" s="41" t="s">
        <v>2231</v>
      </c>
      <c r="O96" s="49">
        <f t="shared" si="20"/>
        <v>833</v>
      </c>
      <c r="P96" s="43">
        <f t="shared" si="21"/>
        <v>253.1</v>
      </c>
      <c r="Q96" s="41" t="s">
        <v>2234</v>
      </c>
      <c r="R96" s="48" t="str">
        <f t="shared" si="14"/>
        <v>(4,'PC-04-GG1','Poste de Coupure n°04 GG1','Thursday-01-jj','Thursday-01-jj',NULL,1,),</v>
      </c>
    </row>
    <row r="97" spans="1:18" ht="20.100000000000001" customHeight="1" x14ac:dyDescent="0.25">
      <c r="A97" s="38">
        <v>5</v>
      </c>
      <c r="B97" s="38" t="s">
        <v>407</v>
      </c>
      <c r="C97" s="38">
        <v>20</v>
      </c>
      <c r="D97" s="45" t="str">
        <f t="shared" si="12"/>
        <v>PC-05-GG1</v>
      </c>
      <c r="E97" s="48" t="str">
        <f t="shared" si="13"/>
        <v>Poste de Coupure n°05 GG1</v>
      </c>
      <c r="F97" s="19">
        <v>29587</v>
      </c>
      <c r="G97" s="19">
        <v>29587</v>
      </c>
      <c r="H97" s="41" t="s">
        <v>20</v>
      </c>
      <c r="I97" s="41">
        <v>1</v>
      </c>
      <c r="J97" s="41" t="s">
        <v>3556</v>
      </c>
      <c r="K97" s="41">
        <v>15</v>
      </c>
      <c r="L97" s="41"/>
      <c r="M97" s="41" t="s">
        <v>407</v>
      </c>
      <c r="N97" s="41" t="s">
        <v>2232</v>
      </c>
      <c r="O97" s="49">
        <f t="shared" si="20"/>
        <v>591</v>
      </c>
      <c r="P97" s="43">
        <f t="shared" si="21"/>
        <v>325.89999999999998</v>
      </c>
      <c r="Q97" s="41" t="s">
        <v>2235</v>
      </c>
      <c r="R97" s="48" t="str">
        <f t="shared" si="14"/>
        <v>(5,'PC-05-GG1','Poste de Coupure n°05 GG1','Thursday-01-jj','Thursday-01-jj',NULL,1,),</v>
      </c>
    </row>
    <row r="98" spans="1:18" ht="20.100000000000001" customHeight="1" x14ac:dyDescent="0.25">
      <c r="A98" s="38">
        <v>1</v>
      </c>
      <c r="B98" s="38" t="s">
        <v>664</v>
      </c>
      <c r="C98" s="38">
        <v>21</v>
      </c>
      <c r="D98" s="45" t="str">
        <f t="shared" si="12"/>
        <v>PC-01-GR1</v>
      </c>
      <c r="E98" s="48" t="str">
        <f t="shared" si="13"/>
        <v>Poste de Coupure n°01 GR1</v>
      </c>
      <c r="F98" s="19">
        <v>35065</v>
      </c>
      <c r="G98" s="19">
        <v>35065</v>
      </c>
      <c r="H98" s="41" t="s">
        <v>20</v>
      </c>
      <c r="I98" s="41">
        <v>1</v>
      </c>
      <c r="J98" s="41" t="s">
        <v>3556</v>
      </c>
      <c r="K98" s="41">
        <v>15</v>
      </c>
      <c r="L98" s="41"/>
      <c r="M98" s="41" t="s">
        <v>415</v>
      </c>
      <c r="N98" s="41" t="s">
        <v>2474</v>
      </c>
      <c r="O98" s="49">
        <f t="shared" si="20"/>
        <v>555</v>
      </c>
      <c r="P98" s="43">
        <f t="shared" si="21"/>
        <v>101.01</v>
      </c>
      <c r="Q98" s="41" t="s">
        <v>2484</v>
      </c>
      <c r="R98" s="48" t="str">
        <f t="shared" si="14"/>
        <v>(1,'PC-01-GR1','Poste de Coupure n°01 GR1','Monday-01-jj','Monday-01-jj',NULL,1,),</v>
      </c>
    </row>
    <row r="99" spans="1:18" ht="20.100000000000001" customHeight="1" x14ac:dyDescent="0.25">
      <c r="A99" s="38">
        <v>1</v>
      </c>
      <c r="B99" s="38" t="s">
        <v>664</v>
      </c>
      <c r="C99" s="38">
        <v>21</v>
      </c>
      <c r="D99" s="45" t="str">
        <f t="shared" si="12"/>
        <v>PC-01-GR2</v>
      </c>
      <c r="E99" s="48" t="str">
        <f t="shared" si="13"/>
        <v>Poste de Coupure n°01 GR2</v>
      </c>
      <c r="F99" s="19">
        <v>36161</v>
      </c>
      <c r="G99" s="19">
        <v>36161</v>
      </c>
      <c r="H99" s="41" t="s">
        <v>20</v>
      </c>
      <c r="I99" s="41">
        <v>1</v>
      </c>
      <c r="J99" s="41" t="s">
        <v>3556</v>
      </c>
      <c r="K99" s="41">
        <v>15</v>
      </c>
      <c r="L99" s="41"/>
      <c r="M99" s="41" t="s">
        <v>418</v>
      </c>
      <c r="N99" s="41" t="s">
        <v>2474</v>
      </c>
      <c r="O99" s="49">
        <f t="shared" si="20"/>
        <v>555</v>
      </c>
      <c r="P99" s="43">
        <f t="shared" si="21"/>
        <v>101.01</v>
      </c>
      <c r="Q99" s="41" t="s">
        <v>2484</v>
      </c>
      <c r="R99" s="48" t="str">
        <f t="shared" si="14"/>
        <v>(1,'PC-01-GR2','Poste de Coupure n°01 GR2','Friday-01-jj','Friday-01-jj',NULL,1,),</v>
      </c>
    </row>
    <row r="100" spans="1:18" ht="20.100000000000001" customHeight="1" x14ac:dyDescent="0.25">
      <c r="A100" s="38">
        <v>1</v>
      </c>
      <c r="B100" s="38" t="s">
        <v>664</v>
      </c>
      <c r="C100" s="38">
        <v>21</v>
      </c>
      <c r="D100" s="45" t="str">
        <f t="shared" si="12"/>
        <v>PC-01-GR4</v>
      </c>
      <c r="E100" s="48" t="str">
        <f t="shared" si="13"/>
        <v>Poste de Coupure n°01 GR4</v>
      </c>
      <c r="F100" s="19">
        <v>41640</v>
      </c>
      <c r="G100" s="19">
        <v>41640</v>
      </c>
      <c r="H100" s="41" t="s">
        <v>20</v>
      </c>
      <c r="I100" s="41">
        <v>1</v>
      </c>
      <c r="J100" s="41" t="s">
        <v>3556</v>
      </c>
      <c r="K100" s="41">
        <v>15</v>
      </c>
      <c r="L100" s="41"/>
      <c r="M100" s="41" t="s">
        <v>423</v>
      </c>
      <c r="N100" s="41" t="s">
        <v>2493</v>
      </c>
      <c r="O100" s="49">
        <f t="shared" si="20"/>
        <v>208</v>
      </c>
      <c r="P100" s="43">
        <f t="shared" si="21"/>
        <v>73</v>
      </c>
      <c r="Q100" s="41" t="s">
        <v>2488</v>
      </c>
      <c r="R100" s="48" t="str">
        <f t="shared" si="14"/>
        <v>(1,'PC-01-GR4','Poste de Coupure n°01 GR4','Wednesday-01-jj','Wednesday-01-jj',NULL,1,),</v>
      </c>
    </row>
    <row r="101" spans="1:18" ht="20.100000000000001" customHeight="1" x14ac:dyDescent="0.25">
      <c r="A101" s="38">
        <v>1</v>
      </c>
      <c r="B101" s="38" t="s">
        <v>664</v>
      </c>
      <c r="C101" s="38">
        <v>21</v>
      </c>
      <c r="D101" s="45" t="str">
        <f t="shared" si="12"/>
        <v>PC-01-GR6</v>
      </c>
      <c r="E101" s="48" t="str">
        <f t="shared" si="13"/>
        <v>Poste de Coupure n°01 GR6</v>
      </c>
      <c r="F101" s="19">
        <v>42736</v>
      </c>
      <c r="G101" s="19">
        <v>42736</v>
      </c>
      <c r="H101" s="41" t="s">
        <v>20</v>
      </c>
      <c r="I101" s="41">
        <v>1</v>
      </c>
      <c r="J101" s="41" t="s">
        <v>3556</v>
      </c>
      <c r="K101" s="41">
        <v>15</v>
      </c>
      <c r="L101" s="41"/>
      <c r="M101" s="41" t="s">
        <v>428</v>
      </c>
      <c r="N101" s="41" t="s">
        <v>2499</v>
      </c>
      <c r="O101" s="65">
        <v>0</v>
      </c>
      <c r="P101" s="43">
        <f>VALUE(SUBSTITUTE(N101,"+",","))</f>
        <v>71.302999999999997</v>
      </c>
      <c r="Q101" s="41" t="s">
        <v>2488</v>
      </c>
      <c r="R101" s="48" t="str">
        <f t="shared" si="14"/>
        <v>(1,'PC-01-GR6','Poste de Coupure n°01 GR6','Sunday-01-jj','Sunday-01-jj',NULL,1,),</v>
      </c>
    </row>
    <row r="102" spans="1:18" ht="20.100000000000001" customHeight="1" x14ac:dyDescent="0.25">
      <c r="A102" s="38">
        <v>2</v>
      </c>
      <c r="B102" s="38" t="s">
        <v>664</v>
      </c>
      <c r="C102" s="38">
        <v>21</v>
      </c>
      <c r="D102" s="45" t="str">
        <f t="shared" ref="D102:D138" si="22">CONCATENATE("PC-",TEXT(A102,"00"),"-",M102)</f>
        <v>PC-02-GR1</v>
      </c>
      <c r="E102" s="48" t="str">
        <f t="shared" ref="E102:E138" si="23">CONCATENATE("Poste de Coupure n°",TEXT(A102,"00")," ",M102)</f>
        <v>Poste de Coupure n°02 GR1</v>
      </c>
      <c r="F102" s="19">
        <v>35065</v>
      </c>
      <c r="G102" s="19">
        <v>35065</v>
      </c>
      <c r="H102" s="41" t="s">
        <v>20</v>
      </c>
      <c r="I102" s="41">
        <v>1</v>
      </c>
      <c r="J102" s="41" t="s">
        <v>3556</v>
      </c>
      <c r="K102" s="41">
        <v>15</v>
      </c>
      <c r="L102" s="41"/>
      <c r="M102" s="41" t="s">
        <v>415</v>
      </c>
      <c r="N102" s="41" t="s">
        <v>2475</v>
      </c>
      <c r="O102" s="49">
        <f>VALUE(RIGHT(N102,LEN(N102)-SEARCH("/",N102)))</f>
        <v>470</v>
      </c>
      <c r="P102" s="43">
        <f>VALUE(SUBSTITUTE(LEFT(N102,SEARCH("/",N102)-1),"+",","))</f>
        <v>232.38</v>
      </c>
      <c r="Q102" s="41" t="s">
        <v>2485</v>
      </c>
      <c r="R102" s="48" t="str">
        <f t="shared" ref="R102:R138" si="24">CONCATENATE("(",A102,",'",D102,"','",E102,"','",TEXT(F102,"aaaa-mm-jj"),"','",TEXT(G102,"aaaa-mm-jj"),"',",H102,",",I102,",",L102,"),")</f>
        <v>(2,'PC-02-GR1','Poste de Coupure n°02 GR1','Monday-01-jj','Monday-01-jj',NULL,1,),</v>
      </c>
    </row>
    <row r="103" spans="1:18" ht="20.100000000000001" customHeight="1" x14ac:dyDescent="0.25">
      <c r="A103" s="38">
        <v>2</v>
      </c>
      <c r="B103" s="38" t="s">
        <v>664</v>
      </c>
      <c r="C103" s="38">
        <v>21</v>
      </c>
      <c r="D103" s="45" t="str">
        <f t="shared" si="22"/>
        <v>PC-02-GR2</v>
      </c>
      <c r="E103" s="48" t="str">
        <f t="shared" si="23"/>
        <v>Poste de Coupure n°02 GR2</v>
      </c>
      <c r="F103" s="19">
        <v>36161</v>
      </c>
      <c r="G103" s="19">
        <v>36161</v>
      </c>
      <c r="H103" s="41" t="s">
        <v>20</v>
      </c>
      <c r="I103" s="41">
        <v>1</v>
      </c>
      <c r="J103" s="41" t="s">
        <v>3556</v>
      </c>
      <c r="K103" s="41">
        <v>15</v>
      </c>
      <c r="L103" s="41"/>
      <c r="M103" s="41" t="s">
        <v>418</v>
      </c>
      <c r="N103" s="41" t="s">
        <v>2475</v>
      </c>
      <c r="O103" s="49">
        <f>VALUE(RIGHT(N103,LEN(N103)-SEARCH("/",N103)))</f>
        <v>470</v>
      </c>
      <c r="P103" s="43">
        <f>VALUE(SUBSTITUTE(LEFT(N103,SEARCH("/",N103)-1),"+",","))</f>
        <v>232.38</v>
      </c>
      <c r="Q103" s="41" t="s">
        <v>2485</v>
      </c>
      <c r="R103" s="48" t="str">
        <f t="shared" si="24"/>
        <v>(2,'PC-02-GR2','Poste de Coupure n°02 GR2','Friday-01-jj','Friday-01-jj',NULL,1,),</v>
      </c>
    </row>
    <row r="104" spans="1:18" ht="20.100000000000001" customHeight="1" x14ac:dyDescent="0.25">
      <c r="A104" s="38">
        <v>2</v>
      </c>
      <c r="B104" s="38" t="s">
        <v>664</v>
      </c>
      <c r="C104" s="38">
        <v>21</v>
      </c>
      <c r="D104" s="45" t="str">
        <f t="shared" si="22"/>
        <v>PC-02-GR4</v>
      </c>
      <c r="E104" s="48" t="str">
        <f t="shared" si="23"/>
        <v>Poste de Coupure n°02 GR4</v>
      </c>
      <c r="F104" s="19">
        <v>41640</v>
      </c>
      <c r="G104" s="19">
        <v>41640</v>
      </c>
      <c r="H104" s="41" t="s">
        <v>20</v>
      </c>
      <c r="I104" s="41">
        <v>1</v>
      </c>
      <c r="J104" s="41" t="s">
        <v>3556</v>
      </c>
      <c r="K104" s="41">
        <v>15</v>
      </c>
      <c r="L104" s="41"/>
      <c r="M104" s="41" t="s">
        <v>423</v>
      </c>
      <c r="N104" s="41" t="s">
        <v>2494</v>
      </c>
      <c r="O104" s="49">
        <f>VALUE(RIGHT(N104,LEN(N104)-SEARCH("/",N104)))</f>
        <v>166</v>
      </c>
      <c r="P104" s="43">
        <f>VALUE(SUBSTITUTE(LEFT(N104,SEARCH("/",N104)-1),"+",","))</f>
        <v>154.65</v>
      </c>
      <c r="Q104" s="41" t="s">
        <v>2489</v>
      </c>
      <c r="R104" s="48" t="str">
        <f t="shared" si="24"/>
        <v>(2,'PC-02-GR4','Poste de Coupure n°02 GR4','Wednesday-01-jj','Wednesday-01-jj',NULL,1,),</v>
      </c>
    </row>
    <row r="105" spans="1:18" ht="20.100000000000001" customHeight="1" x14ac:dyDescent="0.25">
      <c r="A105" s="38">
        <v>2</v>
      </c>
      <c r="B105" s="38" t="s">
        <v>664</v>
      </c>
      <c r="C105" s="38">
        <v>21</v>
      </c>
      <c r="D105" s="45" t="str">
        <f t="shared" si="22"/>
        <v>PC-02-GR6</v>
      </c>
      <c r="E105" s="48" t="str">
        <f t="shared" si="23"/>
        <v>Poste de Coupure n°02 GR6</v>
      </c>
      <c r="F105" s="19">
        <v>42736</v>
      </c>
      <c r="G105" s="19">
        <v>42736</v>
      </c>
      <c r="H105" s="41" t="s">
        <v>20</v>
      </c>
      <c r="I105" s="41">
        <v>1</v>
      </c>
      <c r="J105" s="41" t="s">
        <v>3556</v>
      </c>
      <c r="K105" s="41">
        <v>15</v>
      </c>
      <c r="L105" s="41"/>
      <c r="M105" s="41" t="s">
        <v>428</v>
      </c>
      <c r="N105" s="41" t="s">
        <v>2500</v>
      </c>
      <c r="O105" s="65">
        <v>0</v>
      </c>
      <c r="P105" s="43">
        <f>VALUE(SUBSTITUTE(N105,"+",","))</f>
        <v>153.892</v>
      </c>
      <c r="Q105" s="41" t="s">
        <v>2489</v>
      </c>
      <c r="R105" s="48" t="str">
        <f t="shared" si="24"/>
        <v>(2,'PC-02-GR6','Poste de Coupure n°02 GR6','Sunday-01-jj','Sunday-01-jj',NULL,1,),</v>
      </c>
    </row>
    <row r="106" spans="1:18" ht="20.100000000000001" customHeight="1" x14ac:dyDescent="0.25">
      <c r="A106" s="38">
        <v>3</v>
      </c>
      <c r="B106" s="38" t="s">
        <v>664</v>
      </c>
      <c r="C106" s="38">
        <v>21</v>
      </c>
      <c r="D106" s="45" t="str">
        <f t="shared" si="22"/>
        <v>PC-03-GR1</v>
      </c>
      <c r="E106" s="48" t="str">
        <f t="shared" si="23"/>
        <v>Poste de Coupure n°03 GR1</v>
      </c>
      <c r="F106" s="19">
        <v>35065</v>
      </c>
      <c r="G106" s="19">
        <v>35065</v>
      </c>
      <c r="H106" s="41" t="s">
        <v>20</v>
      </c>
      <c r="I106" s="41">
        <v>1</v>
      </c>
      <c r="J106" s="41" t="s">
        <v>3556</v>
      </c>
      <c r="K106" s="41">
        <v>15</v>
      </c>
      <c r="L106" s="41"/>
      <c r="M106" s="41" t="s">
        <v>415</v>
      </c>
      <c r="N106" s="41" t="s">
        <v>2476</v>
      </c>
      <c r="O106" s="49">
        <f>VALUE(RIGHT(N106,LEN(N106)-SEARCH("/",N106)))</f>
        <v>348</v>
      </c>
      <c r="P106" s="43">
        <f>VALUE(SUBSTITUTE(LEFT(N106,SEARCH("/",N106)-1),"+",","))</f>
        <v>298.375</v>
      </c>
      <c r="Q106" s="41" t="s">
        <v>2486</v>
      </c>
      <c r="R106" s="48" t="str">
        <f t="shared" si="24"/>
        <v>(3,'PC-03-GR1','Poste de Coupure n°03 GR1','Monday-01-jj','Monday-01-jj',NULL,1,),</v>
      </c>
    </row>
    <row r="107" spans="1:18" ht="20.100000000000001" customHeight="1" x14ac:dyDescent="0.25">
      <c r="A107" s="38">
        <v>3</v>
      </c>
      <c r="B107" s="38" t="s">
        <v>664</v>
      </c>
      <c r="C107" s="38">
        <v>21</v>
      </c>
      <c r="D107" s="45" t="str">
        <f t="shared" si="22"/>
        <v>PC-03-GR2</v>
      </c>
      <c r="E107" s="48" t="str">
        <f t="shared" si="23"/>
        <v>Poste de Coupure n°03 GR2</v>
      </c>
      <c r="F107" s="19">
        <v>36161</v>
      </c>
      <c r="G107" s="19">
        <v>36161</v>
      </c>
      <c r="H107" s="41" t="s">
        <v>20</v>
      </c>
      <c r="I107" s="41">
        <v>1</v>
      </c>
      <c r="J107" s="41" t="s">
        <v>3556</v>
      </c>
      <c r="K107" s="41">
        <v>15</v>
      </c>
      <c r="L107" s="41"/>
      <c r="M107" s="41" t="s">
        <v>418</v>
      </c>
      <c r="N107" s="41" t="s">
        <v>2476</v>
      </c>
      <c r="O107" s="49">
        <f>VALUE(RIGHT(N107,LEN(N107)-SEARCH("/",N107)))</f>
        <v>348</v>
      </c>
      <c r="P107" s="43">
        <f>VALUE(SUBSTITUTE(LEFT(N107,SEARCH("/",N107)-1),"+",","))</f>
        <v>298.375</v>
      </c>
      <c r="Q107" s="41" t="s">
        <v>2486</v>
      </c>
      <c r="R107" s="48" t="str">
        <f t="shared" si="24"/>
        <v>(3,'PC-03-GR2','Poste de Coupure n°03 GR2','Friday-01-jj','Friday-01-jj',NULL,1,),</v>
      </c>
    </row>
    <row r="108" spans="1:18" ht="20.100000000000001" customHeight="1" x14ac:dyDescent="0.25">
      <c r="A108" s="38">
        <v>3</v>
      </c>
      <c r="B108" s="38" t="s">
        <v>664</v>
      </c>
      <c r="C108" s="38">
        <v>21</v>
      </c>
      <c r="D108" s="45" t="str">
        <f t="shared" si="22"/>
        <v>PC-03-GR4</v>
      </c>
      <c r="E108" s="48" t="str">
        <f t="shared" si="23"/>
        <v>Poste de Coupure n°03 GR4</v>
      </c>
      <c r="F108" s="19">
        <v>41640</v>
      </c>
      <c r="G108" s="19">
        <v>41640</v>
      </c>
      <c r="H108" s="41" t="s">
        <v>20</v>
      </c>
      <c r="I108" s="41">
        <v>1</v>
      </c>
      <c r="J108" s="41" t="s">
        <v>3556</v>
      </c>
      <c r="K108" s="41">
        <v>15</v>
      </c>
      <c r="L108" s="41"/>
      <c r="M108" s="41" t="s">
        <v>423</v>
      </c>
      <c r="N108" s="41" t="s">
        <v>2495</v>
      </c>
      <c r="O108" s="49">
        <f>VALUE(RIGHT(N108,LEN(N108)-SEARCH("/",N108)))</f>
        <v>169</v>
      </c>
      <c r="P108" s="43">
        <f>VALUE(SUBSTITUTE(LEFT(N108,SEARCH("/",N108)-1),"+",","))</f>
        <v>222.92599999999999</v>
      </c>
      <c r="Q108" s="41" t="s">
        <v>2492</v>
      </c>
      <c r="R108" s="48" t="str">
        <f t="shared" si="24"/>
        <v>(3,'PC-03-GR4','Poste de Coupure n°03 GR4','Wednesday-01-jj','Wednesday-01-jj',NULL,1,),</v>
      </c>
    </row>
    <row r="109" spans="1:18" ht="20.100000000000001" customHeight="1" x14ac:dyDescent="0.25">
      <c r="A109" s="38">
        <v>3</v>
      </c>
      <c r="B109" s="38" t="s">
        <v>664</v>
      </c>
      <c r="C109" s="38">
        <v>21</v>
      </c>
      <c r="D109" s="45" t="str">
        <f t="shared" si="22"/>
        <v>PC-03-GR6</v>
      </c>
      <c r="E109" s="48" t="str">
        <f t="shared" si="23"/>
        <v>Poste de Coupure n°03 GR6</v>
      </c>
      <c r="F109" s="19">
        <v>42736</v>
      </c>
      <c r="G109" s="19">
        <v>42736</v>
      </c>
      <c r="H109" s="41" t="s">
        <v>20</v>
      </c>
      <c r="I109" s="41">
        <v>1</v>
      </c>
      <c r="J109" s="41" t="s">
        <v>3556</v>
      </c>
      <c r="K109" s="41">
        <v>15</v>
      </c>
      <c r="L109" s="41"/>
      <c r="M109" s="41" t="s">
        <v>428</v>
      </c>
      <c r="N109" s="41" t="s">
        <v>2501</v>
      </c>
      <c r="O109" s="65">
        <v>0</v>
      </c>
      <c r="P109" s="43">
        <f>VALUE(SUBSTITUTE(N109,"+",","))</f>
        <v>221.60599999999999</v>
      </c>
      <c r="Q109" s="41" t="s">
        <v>2492</v>
      </c>
      <c r="R109" s="48" t="str">
        <f t="shared" si="24"/>
        <v>(3,'PC-03-GR6','Poste de Coupure n°03 GR6','Sunday-01-jj','Sunday-01-jj',NULL,1,),</v>
      </c>
    </row>
    <row r="110" spans="1:18" ht="20.100000000000001" customHeight="1" x14ac:dyDescent="0.25">
      <c r="A110" s="38">
        <v>4</v>
      </c>
      <c r="B110" s="38" t="s">
        <v>664</v>
      </c>
      <c r="C110" s="38">
        <v>21</v>
      </c>
      <c r="D110" s="45" t="str">
        <f t="shared" si="22"/>
        <v>PC-04-GR1</v>
      </c>
      <c r="E110" s="48" t="str">
        <f t="shared" si="23"/>
        <v>Poste de Coupure n°04 GR1</v>
      </c>
      <c r="F110" s="19">
        <v>35065</v>
      </c>
      <c r="G110" s="19">
        <v>35065</v>
      </c>
      <c r="H110" s="41" t="s">
        <v>20</v>
      </c>
      <c r="I110" s="41">
        <v>1</v>
      </c>
      <c r="J110" s="41" t="s">
        <v>3556</v>
      </c>
      <c r="K110" s="41">
        <v>15</v>
      </c>
      <c r="L110" s="41"/>
      <c r="M110" s="41" t="s">
        <v>415</v>
      </c>
      <c r="N110" s="41" t="s">
        <v>2477</v>
      </c>
      <c r="O110" s="49">
        <f>VALUE(RIGHT(N110,LEN(N110)-SEARCH("/",N110)))</f>
        <v>252</v>
      </c>
      <c r="P110" s="43">
        <f>VALUE(SUBSTITUTE(LEFT(N110,SEARCH("/",N110)-1),"+",","))</f>
        <v>432.72</v>
      </c>
      <c r="Q110" s="41" t="s">
        <v>2487</v>
      </c>
      <c r="R110" s="48" t="str">
        <f t="shared" si="24"/>
        <v>(4,'PC-04-GR1','Poste de Coupure n°04 GR1','Monday-01-jj','Monday-01-jj',NULL,1,),</v>
      </c>
    </row>
    <row r="111" spans="1:18" ht="20.100000000000001" customHeight="1" x14ac:dyDescent="0.25">
      <c r="A111" s="38">
        <v>4</v>
      </c>
      <c r="B111" s="38" t="s">
        <v>664</v>
      </c>
      <c r="C111" s="38">
        <v>21</v>
      </c>
      <c r="D111" s="45" t="str">
        <f t="shared" si="22"/>
        <v>PC-04-GR2</v>
      </c>
      <c r="E111" s="48" t="str">
        <f t="shared" si="23"/>
        <v>Poste de Coupure n°04 GR2</v>
      </c>
      <c r="F111" s="19">
        <v>36161</v>
      </c>
      <c r="G111" s="19">
        <v>36161</v>
      </c>
      <c r="H111" s="41" t="s">
        <v>20</v>
      </c>
      <c r="I111" s="41">
        <v>1</v>
      </c>
      <c r="J111" s="41" t="s">
        <v>3556</v>
      </c>
      <c r="K111" s="41">
        <v>15</v>
      </c>
      <c r="L111" s="41"/>
      <c r="M111" s="41" t="s">
        <v>418</v>
      </c>
      <c r="N111" s="41" t="s">
        <v>2477</v>
      </c>
      <c r="O111" s="49">
        <f>VALUE(RIGHT(N111,LEN(N111)-SEARCH("/",N111)))</f>
        <v>252</v>
      </c>
      <c r="P111" s="43">
        <f>VALUE(SUBSTITUTE(LEFT(N111,SEARCH("/",N111)-1),"+",","))</f>
        <v>432.72</v>
      </c>
      <c r="Q111" s="41" t="s">
        <v>2487</v>
      </c>
      <c r="R111" s="48" t="str">
        <f t="shared" si="24"/>
        <v>(4,'PC-04-GR2','Poste de Coupure n°04 GR2','Friday-01-jj','Friday-01-jj',NULL,1,),</v>
      </c>
    </row>
    <row r="112" spans="1:18" ht="20.100000000000001" customHeight="1" x14ac:dyDescent="0.25">
      <c r="A112" s="38">
        <v>4</v>
      </c>
      <c r="B112" s="38" t="s">
        <v>664</v>
      </c>
      <c r="C112" s="38">
        <v>21</v>
      </c>
      <c r="D112" s="45" t="str">
        <f t="shared" si="22"/>
        <v>PC-04-GR4</v>
      </c>
      <c r="E112" s="48" t="str">
        <f t="shared" si="23"/>
        <v>Poste de Coupure n°04 GR4</v>
      </c>
      <c r="F112" s="19">
        <v>41640</v>
      </c>
      <c r="G112" s="19">
        <v>41640</v>
      </c>
      <c r="H112" s="41" t="s">
        <v>20</v>
      </c>
      <c r="I112" s="41">
        <v>1</v>
      </c>
      <c r="J112" s="41" t="s">
        <v>3556</v>
      </c>
      <c r="K112" s="41">
        <v>15</v>
      </c>
      <c r="L112" s="41"/>
      <c r="M112" s="41" t="s">
        <v>423</v>
      </c>
      <c r="N112" s="41" t="s">
        <v>2496</v>
      </c>
      <c r="O112" s="49">
        <f>VALUE(RIGHT(N112,LEN(N112)-SEARCH("/",N112)))</f>
        <v>226</v>
      </c>
      <c r="P112" s="43">
        <f>VALUE(SUBSTITUTE(LEFT(N112,SEARCH("/",N112)-1),"+",","))</f>
        <v>336.62700000000001</v>
      </c>
      <c r="Q112" s="41" t="s">
        <v>2491</v>
      </c>
      <c r="R112" s="48" t="str">
        <f t="shared" si="24"/>
        <v>(4,'PC-04-GR4','Poste de Coupure n°04 GR4','Wednesday-01-jj','Wednesday-01-jj',NULL,1,),</v>
      </c>
    </row>
    <row r="113" spans="1:18" ht="20.100000000000001" customHeight="1" x14ac:dyDescent="0.25">
      <c r="A113" s="38">
        <v>4</v>
      </c>
      <c r="B113" s="38" t="s">
        <v>664</v>
      </c>
      <c r="C113" s="38">
        <v>21</v>
      </c>
      <c r="D113" s="45" t="str">
        <f t="shared" si="22"/>
        <v>PC-04-GR6</v>
      </c>
      <c r="E113" s="48" t="str">
        <f t="shared" si="23"/>
        <v>Poste de Coupure n°04 GR6</v>
      </c>
      <c r="F113" s="19">
        <v>42736</v>
      </c>
      <c r="G113" s="19">
        <v>42736</v>
      </c>
      <c r="H113" s="41" t="s">
        <v>20</v>
      </c>
      <c r="I113" s="41">
        <v>1</v>
      </c>
      <c r="J113" s="41" t="s">
        <v>3556</v>
      </c>
      <c r="K113" s="41">
        <v>15</v>
      </c>
      <c r="L113" s="41"/>
      <c r="M113" s="41" t="s">
        <v>428</v>
      </c>
      <c r="N113" s="41" t="s">
        <v>2502</v>
      </c>
      <c r="O113" s="65">
        <v>0</v>
      </c>
      <c r="P113" s="43">
        <f>VALUE(SUBSTITUTE(N113,"+",","))</f>
        <v>332.8</v>
      </c>
      <c r="Q113" s="41" t="s">
        <v>2491</v>
      </c>
      <c r="R113" s="48" t="str">
        <f t="shared" si="24"/>
        <v>(4,'PC-04-GR6','Poste de Coupure n°04 GR6','Sunday-01-jj','Sunday-01-jj',NULL,1,),</v>
      </c>
    </row>
    <row r="114" spans="1:18" ht="20.100000000000001" customHeight="1" x14ac:dyDescent="0.25">
      <c r="A114" s="38">
        <v>5</v>
      </c>
      <c r="B114" s="38" t="s">
        <v>664</v>
      </c>
      <c r="C114" s="38">
        <v>21</v>
      </c>
      <c r="D114" s="45" t="str">
        <f t="shared" si="22"/>
        <v>PC-05-GR1</v>
      </c>
      <c r="E114" s="48" t="str">
        <f t="shared" si="23"/>
        <v>Poste de Coupure n°05 GR1</v>
      </c>
      <c r="F114" s="19">
        <v>35065</v>
      </c>
      <c r="G114" s="19">
        <v>35065</v>
      </c>
      <c r="H114" s="41" t="s">
        <v>20</v>
      </c>
      <c r="I114" s="41">
        <v>1</v>
      </c>
      <c r="J114" s="41" t="s">
        <v>3556</v>
      </c>
      <c r="K114" s="41">
        <v>15</v>
      </c>
      <c r="L114" s="41"/>
      <c r="M114" s="41" t="s">
        <v>415</v>
      </c>
      <c r="N114" s="41" t="s">
        <v>2478</v>
      </c>
      <c r="O114" s="49">
        <f>VALUE(RIGHT(N114,LEN(N114)-SEARCH("/",N114)))</f>
        <v>208</v>
      </c>
      <c r="P114" s="43">
        <f>VALUE(SUBSTITUTE(LEFT(N114,SEARCH("/",N114)-1),"+",","))</f>
        <v>505.54</v>
      </c>
      <c r="Q114" s="41" t="s">
        <v>2488</v>
      </c>
      <c r="R114" s="48" t="str">
        <f t="shared" si="24"/>
        <v>(5,'PC-05-GR1','Poste de Coupure n°05 GR1','Monday-01-jj','Monday-01-jj',NULL,1,),</v>
      </c>
    </row>
    <row r="115" spans="1:18" ht="20.100000000000001" customHeight="1" x14ac:dyDescent="0.25">
      <c r="A115" s="38">
        <v>5</v>
      </c>
      <c r="B115" s="38" t="s">
        <v>664</v>
      </c>
      <c r="C115" s="38">
        <v>21</v>
      </c>
      <c r="D115" s="45" t="str">
        <f t="shared" si="22"/>
        <v>PC-05-GR2</v>
      </c>
      <c r="E115" s="48" t="str">
        <f t="shared" si="23"/>
        <v>Poste de Coupure n°05 GR2</v>
      </c>
      <c r="F115" s="19">
        <v>36161</v>
      </c>
      <c r="G115" s="19">
        <v>36161</v>
      </c>
      <c r="H115" s="41" t="s">
        <v>20</v>
      </c>
      <c r="I115" s="41">
        <v>1</v>
      </c>
      <c r="J115" s="41" t="s">
        <v>3556</v>
      </c>
      <c r="K115" s="41">
        <v>15</v>
      </c>
      <c r="L115" s="41"/>
      <c r="M115" s="41" t="s">
        <v>418</v>
      </c>
      <c r="N115" s="41" t="s">
        <v>2478</v>
      </c>
      <c r="O115" s="49">
        <f>VALUE(RIGHT(N115,LEN(N115)-SEARCH("/",N115)))</f>
        <v>208</v>
      </c>
      <c r="P115" s="43">
        <f>VALUE(SUBSTITUTE(LEFT(N115,SEARCH("/",N115)-1),"+",","))</f>
        <v>505.54</v>
      </c>
      <c r="Q115" s="41" t="s">
        <v>2488</v>
      </c>
      <c r="R115" s="48" t="str">
        <f t="shared" si="24"/>
        <v>(5,'PC-05-GR2','Poste de Coupure n°05 GR2','Friday-01-jj','Friday-01-jj',NULL,1,),</v>
      </c>
    </row>
    <row r="116" spans="1:18" ht="20.100000000000001" customHeight="1" x14ac:dyDescent="0.25">
      <c r="A116" s="38">
        <v>5</v>
      </c>
      <c r="B116" s="38" t="s">
        <v>664</v>
      </c>
      <c r="C116" s="38">
        <v>21</v>
      </c>
      <c r="D116" s="45" t="str">
        <f t="shared" si="22"/>
        <v>PC-05-GR4</v>
      </c>
      <c r="E116" s="48" t="str">
        <f t="shared" si="23"/>
        <v>Poste de Coupure n°05 GR4</v>
      </c>
      <c r="F116" s="19">
        <v>41640</v>
      </c>
      <c r="G116" s="19">
        <v>41640</v>
      </c>
      <c r="H116" s="41" t="s">
        <v>20</v>
      </c>
      <c r="I116" s="41">
        <v>1</v>
      </c>
      <c r="J116" s="41" t="s">
        <v>3556</v>
      </c>
      <c r="K116" s="41">
        <v>15</v>
      </c>
      <c r="L116" s="41"/>
      <c r="M116" s="41" t="s">
        <v>423</v>
      </c>
      <c r="N116" s="41" t="s">
        <v>2497</v>
      </c>
      <c r="O116" s="49">
        <f>VALUE(RIGHT(N116,LEN(N116)-SEARCH("/",N116)))</f>
        <v>400</v>
      </c>
      <c r="P116" s="43">
        <f>VALUE(SUBSTITUTE(LEFT(N116,SEARCH("/",N116)-1),"+",","))</f>
        <v>437.654</v>
      </c>
      <c r="Q116" s="41" t="s">
        <v>745</v>
      </c>
      <c r="R116" s="48" t="str">
        <f t="shared" si="24"/>
        <v>(5,'PC-05-GR4','Poste de Coupure n°05 GR4','Wednesday-01-jj','Wednesday-01-jj',NULL,1,),</v>
      </c>
    </row>
    <row r="117" spans="1:18" ht="20.100000000000001" customHeight="1" x14ac:dyDescent="0.25">
      <c r="A117" s="38">
        <v>5</v>
      </c>
      <c r="B117" s="38" t="s">
        <v>664</v>
      </c>
      <c r="C117" s="38">
        <v>21</v>
      </c>
      <c r="D117" s="45" t="str">
        <f t="shared" si="22"/>
        <v>PC-05-GR6</v>
      </c>
      <c r="E117" s="48" t="str">
        <f t="shared" si="23"/>
        <v>Poste de Coupure n°05 GR6</v>
      </c>
      <c r="F117" s="19">
        <v>42736</v>
      </c>
      <c r="G117" s="19">
        <v>42736</v>
      </c>
      <c r="H117" s="41" t="s">
        <v>20</v>
      </c>
      <c r="I117" s="41">
        <v>1</v>
      </c>
      <c r="J117" s="41" t="s">
        <v>3556</v>
      </c>
      <c r="K117" s="41">
        <v>15</v>
      </c>
      <c r="L117" s="41"/>
      <c r="M117" s="41" t="s">
        <v>428</v>
      </c>
      <c r="N117" s="41" t="s">
        <v>2503</v>
      </c>
      <c r="O117" s="65">
        <v>0</v>
      </c>
      <c r="P117" s="43">
        <f>VALUE(SUBSTITUTE(N117,"+",","))</f>
        <v>433.755</v>
      </c>
      <c r="Q117" s="41" t="s">
        <v>745</v>
      </c>
      <c r="R117" s="48" t="str">
        <f t="shared" si="24"/>
        <v>(5,'PC-05-GR6','Poste de Coupure n°05 GR6','Sunday-01-jj','Sunday-01-jj',NULL,1,),</v>
      </c>
    </row>
    <row r="118" spans="1:18" ht="20.100000000000001" customHeight="1" x14ac:dyDescent="0.25">
      <c r="A118" s="38">
        <v>6</v>
      </c>
      <c r="B118" s="38" t="s">
        <v>664</v>
      </c>
      <c r="C118" s="38">
        <v>21</v>
      </c>
      <c r="D118" s="45" t="str">
        <f t="shared" si="22"/>
        <v>PC-06-GR1</v>
      </c>
      <c r="E118" s="48" t="str">
        <f t="shared" si="23"/>
        <v>Poste de Coupure n°06 GR1</v>
      </c>
      <c r="F118" s="19">
        <v>35065</v>
      </c>
      <c r="G118" s="19">
        <v>35065</v>
      </c>
      <c r="H118" s="41" t="s">
        <v>20</v>
      </c>
      <c r="I118" s="41">
        <v>1</v>
      </c>
      <c r="J118" s="41" t="s">
        <v>3556</v>
      </c>
      <c r="K118" s="41">
        <v>15</v>
      </c>
      <c r="L118" s="41"/>
      <c r="M118" s="41" t="s">
        <v>415</v>
      </c>
      <c r="N118" s="41" t="s">
        <v>2479</v>
      </c>
      <c r="O118" s="49">
        <f>VALUE(RIGHT(N118,LEN(N118)-SEARCH("/",N118)))</f>
        <v>166</v>
      </c>
      <c r="P118" s="43">
        <f>VALUE(SUBSTITUTE(LEFT(N118,SEARCH("/",N118)-1),"+",","))</f>
        <v>588.35</v>
      </c>
      <c r="Q118" s="41" t="s">
        <v>2489</v>
      </c>
      <c r="R118" s="48" t="str">
        <f t="shared" si="24"/>
        <v>(6,'PC-06-GR1','Poste de Coupure n°06 GR1','Monday-01-jj','Monday-01-jj',NULL,1,),</v>
      </c>
    </row>
    <row r="119" spans="1:18" ht="20.100000000000001" customHeight="1" x14ac:dyDescent="0.25">
      <c r="A119" s="38">
        <v>6</v>
      </c>
      <c r="B119" s="38" t="s">
        <v>664</v>
      </c>
      <c r="C119" s="38">
        <v>21</v>
      </c>
      <c r="D119" s="45" t="str">
        <f t="shared" si="22"/>
        <v>PC-06-GR2</v>
      </c>
      <c r="E119" s="48" t="str">
        <f t="shared" si="23"/>
        <v>Poste de Coupure n°06 GR2</v>
      </c>
      <c r="F119" s="19">
        <v>36161</v>
      </c>
      <c r="G119" s="19">
        <v>36161</v>
      </c>
      <c r="H119" s="41" t="s">
        <v>20</v>
      </c>
      <c r="I119" s="41">
        <v>1</v>
      </c>
      <c r="J119" s="41" t="s">
        <v>3556</v>
      </c>
      <c r="K119" s="41">
        <v>15</v>
      </c>
      <c r="L119" s="41"/>
      <c r="M119" s="41" t="s">
        <v>418</v>
      </c>
      <c r="N119" s="41" t="s">
        <v>2479</v>
      </c>
      <c r="O119" s="49">
        <f>VALUE(RIGHT(N119,LEN(N119)-SEARCH("/",N119)))</f>
        <v>166</v>
      </c>
      <c r="P119" s="43">
        <f>VALUE(SUBSTITUTE(LEFT(N119,SEARCH("/",N119)-1),"+",","))</f>
        <v>588.35</v>
      </c>
      <c r="Q119" s="41" t="s">
        <v>2489</v>
      </c>
      <c r="R119" s="48" t="str">
        <f t="shared" si="24"/>
        <v>(6,'PC-06-GR2','Poste de Coupure n°06 GR2','Friday-01-jj','Friday-01-jj',NULL,1,),</v>
      </c>
    </row>
    <row r="120" spans="1:18" ht="20.100000000000001" customHeight="1" x14ac:dyDescent="0.25">
      <c r="A120" s="38">
        <v>6</v>
      </c>
      <c r="B120" s="38" t="s">
        <v>664</v>
      </c>
      <c r="C120" s="38">
        <v>21</v>
      </c>
      <c r="D120" s="45" t="str">
        <f t="shared" si="22"/>
        <v>PC-06-GR4</v>
      </c>
      <c r="E120" s="48" t="str">
        <f t="shared" si="23"/>
        <v>Poste de Coupure n°06 GR4</v>
      </c>
      <c r="F120" s="19">
        <v>41640</v>
      </c>
      <c r="G120" s="19">
        <v>41640</v>
      </c>
      <c r="H120" s="41" t="s">
        <v>20</v>
      </c>
      <c r="I120" s="41">
        <v>1</v>
      </c>
      <c r="J120" s="41" t="s">
        <v>3556</v>
      </c>
      <c r="K120" s="41">
        <v>15</v>
      </c>
      <c r="L120" s="41"/>
      <c r="M120" s="41" t="s">
        <v>423</v>
      </c>
      <c r="N120" s="41" t="s">
        <v>2498</v>
      </c>
      <c r="O120" s="49">
        <f>VALUE(RIGHT(N120,LEN(N120)-SEARCH("/",N120)))</f>
        <v>779</v>
      </c>
      <c r="P120" s="43">
        <f>VALUE(SUBSTITUTE(LEFT(N120,SEARCH("/",N120)-1),"+",","))</f>
        <v>530.5</v>
      </c>
      <c r="Q120" s="44" t="s">
        <v>2490</v>
      </c>
      <c r="R120" s="48" t="str">
        <f t="shared" si="24"/>
        <v>(6,'PC-06-GR4','Poste de Coupure n°06 GR4','Wednesday-01-jj','Wednesday-01-jj',NULL,1,),</v>
      </c>
    </row>
    <row r="121" spans="1:18" ht="20.100000000000001" customHeight="1" x14ac:dyDescent="0.25">
      <c r="A121" s="38">
        <v>6</v>
      </c>
      <c r="B121" s="38" t="s">
        <v>664</v>
      </c>
      <c r="C121" s="38">
        <v>21</v>
      </c>
      <c r="D121" s="45" t="str">
        <f t="shared" si="22"/>
        <v>PC-06-GR6</v>
      </c>
      <c r="E121" s="48" t="str">
        <f t="shared" si="23"/>
        <v>Poste de Coupure n°06 GR6</v>
      </c>
      <c r="F121" s="19">
        <v>42736</v>
      </c>
      <c r="G121" s="19">
        <v>42736</v>
      </c>
      <c r="H121" s="41" t="s">
        <v>20</v>
      </c>
      <c r="I121" s="41">
        <v>1</v>
      </c>
      <c r="J121" s="41" t="s">
        <v>3556</v>
      </c>
      <c r="K121" s="41">
        <v>15</v>
      </c>
      <c r="L121" s="41"/>
      <c r="M121" s="41" t="s">
        <v>428</v>
      </c>
      <c r="N121" s="41" t="s">
        <v>2504</v>
      </c>
      <c r="O121" s="65">
        <v>0</v>
      </c>
      <c r="P121" s="43">
        <f>VALUE(SUBSTITUTE(N121,"+",","))</f>
        <v>522.98</v>
      </c>
      <c r="Q121" s="44" t="s">
        <v>2490</v>
      </c>
      <c r="R121" s="48" t="str">
        <f t="shared" si="24"/>
        <v>(6,'PC-06-GR6','Poste de Coupure n°06 GR6','Sunday-01-jj','Sunday-01-jj',NULL,1,),</v>
      </c>
    </row>
    <row r="122" spans="1:18" ht="20.100000000000001" customHeight="1" x14ac:dyDescent="0.25">
      <c r="A122" s="38">
        <v>7</v>
      </c>
      <c r="B122" s="38" t="s">
        <v>664</v>
      </c>
      <c r="C122" s="38">
        <v>21</v>
      </c>
      <c r="D122" s="45" t="str">
        <f t="shared" si="22"/>
        <v>PC-07-GR1</v>
      </c>
      <c r="E122" s="48" t="str">
        <f t="shared" si="23"/>
        <v>Poste de Coupure n°07 GR1</v>
      </c>
      <c r="F122" s="19">
        <v>35065</v>
      </c>
      <c r="G122" s="19">
        <v>35065</v>
      </c>
      <c r="H122" s="41" t="s">
        <v>20</v>
      </c>
      <c r="I122" s="41">
        <v>1</v>
      </c>
      <c r="J122" s="41" t="s">
        <v>3556</v>
      </c>
      <c r="K122" s="41">
        <v>15</v>
      </c>
      <c r="L122" s="41"/>
      <c r="M122" s="41" t="s">
        <v>415</v>
      </c>
      <c r="N122" s="41" t="s">
        <v>2480</v>
      </c>
      <c r="O122" s="49">
        <f t="shared" ref="O122:O138" si="25">VALUE(RIGHT(N122,LEN(N122)-SEARCH("/",N122)))</f>
        <v>169</v>
      </c>
      <c r="P122" s="43">
        <f t="shared" ref="P122:P138" si="26">VALUE(SUBSTITUTE(LEFT(N122,SEARCH("/",N122)-1),"+",","))</f>
        <v>655.66</v>
      </c>
      <c r="Q122" s="41" t="s">
        <v>2492</v>
      </c>
      <c r="R122" s="48" t="str">
        <f t="shared" si="24"/>
        <v>(7,'PC-07-GR1','Poste de Coupure n°07 GR1','Monday-01-jj','Monday-01-jj',NULL,1,),</v>
      </c>
    </row>
    <row r="123" spans="1:18" ht="20.100000000000001" customHeight="1" x14ac:dyDescent="0.25">
      <c r="A123" s="38">
        <v>7</v>
      </c>
      <c r="B123" s="38" t="s">
        <v>664</v>
      </c>
      <c r="C123" s="38">
        <v>21</v>
      </c>
      <c r="D123" s="45" t="str">
        <f t="shared" si="22"/>
        <v>PC-07-GR2</v>
      </c>
      <c r="E123" s="48" t="str">
        <f t="shared" si="23"/>
        <v>Poste de Coupure n°07 GR2</v>
      </c>
      <c r="F123" s="19">
        <v>36161</v>
      </c>
      <c r="G123" s="19">
        <v>36161</v>
      </c>
      <c r="H123" s="41" t="s">
        <v>20</v>
      </c>
      <c r="I123" s="41">
        <v>1</v>
      </c>
      <c r="J123" s="41" t="s">
        <v>3556</v>
      </c>
      <c r="K123" s="41">
        <v>15</v>
      </c>
      <c r="L123" s="41"/>
      <c r="M123" s="41" t="s">
        <v>418</v>
      </c>
      <c r="N123" s="41" t="s">
        <v>2480</v>
      </c>
      <c r="O123" s="49">
        <f t="shared" si="25"/>
        <v>169</v>
      </c>
      <c r="P123" s="43">
        <f t="shared" si="26"/>
        <v>655.66</v>
      </c>
      <c r="Q123" s="41" t="s">
        <v>2492</v>
      </c>
      <c r="R123" s="48" t="str">
        <f t="shared" si="24"/>
        <v>(7,'PC-07-GR2','Poste de Coupure n°07 GR2','Friday-01-jj','Friday-01-jj',NULL,1,),</v>
      </c>
    </row>
    <row r="124" spans="1:18" ht="20.100000000000001" customHeight="1" x14ac:dyDescent="0.25">
      <c r="A124" s="38">
        <v>8</v>
      </c>
      <c r="B124" s="38" t="s">
        <v>664</v>
      </c>
      <c r="C124" s="38">
        <v>21</v>
      </c>
      <c r="D124" s="45" t="str">
        <f t="shared" si="22"/>
        <v>PC-08-GR1</v>
      </c>
      <c r="E124" s="48" t="str">
        <f t="shared" si="23"/>
        <v>Poste de Coupure n°08 GR1</v>
      </c>
      <c r="F124" s="19">
        <v>35065</v>
      </c>
      <c r="G124" s="19">
        <v>35065</v>
      </c>
      <c r="H124" s="41" t="s">
        <v>20</v>
      </c>
      <c r="I124" s="41">
        <v>1</v>
      </c>
      <c r="J124" s="41" t="s">
        <v>3556</v>
      </c>
      <c r="K124" s="41">
        <v>15</v>
      </c>
      <c r="L124" s="41"/>
      <c r="M124" s="41" t="s">
        <v>415</v>
      </c>
      <c r="N124" s="41" t="s">
        <v>2481</v>
      </c>
      <c r="O124" s="49">
        <f t="shared" si="25"/>
        <v>226</v>
      </c>
      <c r="P124" s="43">
        <f t="shared" si="26"/>
        <v>766.61099999999999</v>
      </c>
      <c r="Q124" s="41" t="s">
        <v>2491</v>
      </c>
      <c r="R124" s="48" t="str">
        <f t="shared" si="24"/>
        <v>(8,'PC-08-GR1','Poste de Coupure n°08 GR1','Monday-01-jj','Monday-01-jj',NULL,1,),</v>
      </c>
    </row>
    <row r="125" spans="1:18" ht="20.100000000000001" customHeight="1" x14ac:dyDescent="0.25">
      <c r="A125" s="38">
        <v>8</v>
      </c>
      <c r="B125" s="38" t="s">
        <v>664</v>
      </c>
      <c r="C125" s="38">
        <v>21</v>
      </c>
      <c r="D125" s="45" t="str">
        <f t="shared" si="22"/>
        <v>PC-08-GR2</v>
      </c>
      <c r="E125" s="48" t="str">
        <f t="shared" si="23"/>
        <v>Poste de Coupure n°08 GR2</v>
      </c>
      <c r="F125" s="19">
        <v>36161</v>
      </c>
      <c r="G125" s="19">
        <v>36161</v>
      </c>
      <c r="H125" s="41" t="s">
        <v>20</v>
      </c>
      <c r="I125" s="41">
        <v>1</v>
      </c>
      <c r="J125" s="41" t="s">
        <v>3556</v>
      </c>
      <c r="K125" s="41">
        <v>15</v>
      </c>
      <c r="L125" s="41"/>
      <c r="M125" s="41" t="s">
        <v>418</v>
      </c>
      <c r="N125" s="41" t="s">
        <v>2481</v>
      </c>
      <c r="O125" s="49">
        <f t="shared" si="25"/>
        <v>226</v>
      </c>
      <c r="P125" s="43">
        <f t="shared" si="26"/>
        <v>766.61099999999999</v>
      </c>
      <c r="Q125" s="41" t="s">
        <v>2491</v>
      </c>
      <c r="R125" s="48" t="str">
        <f t="shared" si="24"/>
        <v>(8,'PC-08-GR2','Poste de Coupure n°08 GR2','Friday-01-jj','Friday-01-jj',NULL,1,),</v>
      </c>
    </row>
    <row r="126" spans="1:18" ht="20.100000000000001" customHeight="1" x14ac:dyDescent="0.25">
      <c r="A126" s="38">
        <v>9</v>
      </c>
      <c r="B126" s="38" t="s">
        <v>664</v>
      </c>
      <c r="C126" s="38">
        <v>21</v>
      </c>
      <c r="D126" s="45" t="str">
        <f t="shared" si="22"/>
        <v>PC-09-GR1</v>
      </c>
      <c r="E126" s="48" t="str">
        <f t="shared" si="23"/>
        <v>Poste de Coupure n°09 GR1</v>
      </c>
      <c r="F126" s="19">
        <v>35065</v>
      </c>
      <c r="G126" s="19">
        <v>35065</v>
      </c>
      <c r="H126" s="41" t="s">
        <v>20</v>
      </c>
      <c r="I126" s="41">
        <v>1</v>
      </c>
      <c r="J126" s="41" t="s">
        <v>3556</v>
      </c>
      <c r="K126" s="41">
        <v>15</v>
      </c>
      <c r="L126" s="41"/>
      <c r="M126" s="41" t="s">
        <v>415</v>
      </c>
      <c r="N126" s="41" t="s">
        <v>2482</v>
      </c>
      <c r="O126" s="49">
        <f t="shared" si="25"/>
        <v>400</v>
      </c>
      <c r="P126" s="43">
        <f t="shared" si="26"/>
        <v>867.89</v>
      </c>
      <c r="Q126" s="41" t="s">
        <v>745</v>
      </c>
      <c r="R126" s="48" t="str">
        <f t="shared" si="24"/>
        <v>(9,'PC-09-GR1','Poste de Coupure n°09 GR1','Monday-01-jj','Monday-01-jj',NULL,1,),</v>
      </c>
    </row>
    <row r="127" spans="1:18" ht="20.100000000000001" customHeight="1" x14ac:dyDescent="0.25">
      <c r="A127" s="38">
        <v>9</v>
      </c>
      <c r="B127" s="38" t="s">
        <v>664</v>
      </c>
      <c r="C127" s="38">
        <v>21</v>
      </c>
      <c r="D127" s="45" t="str">
        <f t="shared" si="22"/>
        <v>PC-09-GR2</v>
      </c>
      <c r="E127" s="48" t="str">
        <f t="shared" si="23"/>
        <v>Poste de Coupure n°09 GR2</v>
      </c>
      <c r="F127" s="19">
        <v>36161</v>
      </c>
      <c r="G127" s="19">
        <v>36161</v>
      </c>
      <c r="H127" s="41" t="s">
        <v>20</v>
      </c>
      <c r="I127" s="41">
        <v>1</v>
      </c>
      <c r="J127" s="41" t="s">
        <v>3556</v>
      </c>
      <c r="K127" s="41">
        <v>15</v>
      </c>
      <c r="L127" s="41"/>
      <c r="M127" s="41" t="s">
        <v>418</v>
      </c>
      <c r="N127" s="41" t="s">
        <v>2482</v>
      </c>
      <c r="O127" s="49">
        <f t="shared" si="25"/>
        <v>400</v>
      </c>
      <c r="P127" s="43">
        <f t="shared" si="26"/>
        <v>867.89</v>
      </c>
      <c r="Q127" s="41" t="s">
        <v>745</v>
      </c>
      <c r="R127" s="48" t="str">
        <f t="shared" si="24"/>
        <v>(9,'PC-09-GR2','Poste de Coupure n°09 GR2','Friday-01-jj','Friday-01-jj',NULL,1,),</v>
      </c>
    </row>
    <row r="128" spans="1:18" ht="20.100000000000001" customHeight="1" x14ac:dyDescent="0.25">
      <c r="A128" s="38">
        <v>10</v>
      </c>
      <c r="B128" s="38" t="s">
        <v>664</v>
      </c>
      <c r="C128" s="38">
        <v>21</v>
      </c>
      <c r="D128" s="45" t="str">
        <f t="shared" si="22"/>
        <v>PC-10-GR1</v>
      </c>
      <c r="E128" s="48" t="str">
        <f t="shared" si="23"/>
        <v>Poste de Coupure n°10 GR1</v>
      </c>
      <c r="F128" s="19">
        <v>35065</v>
      </c>
      <c r="G128" s="19">
        <v>35065</v>
      </c>
      <c r="H128" s="41" t="s">
        <v>20</v>
      </c>
      <c r="I128" s="41">
        <v>1</v>
      </c>
      <c r="J128" s="41" t="s">
        <v>3556</v>
      </c>
      <c r="K128" s="41">
        <v>15</v>
      </c>
      <c r="L128" s="41"/>
      <c r="M128" s="41" t="s">
        <v>415</v>
      </c>
      <c r="N128" s="41" t="s">
        <v>2483</v>
      </c>
      <c r="O128" s="49">
        <f t="shared" si="25"/>
        <v>779</v>
      </c>
      <c r="P128" s="43">
        <f t="shared" si="26"/>
        <v>961.47</v>
      </c>
      <c r="Q128" s="44" t="s">
        <v>2490</v>
      </c>
      <c r="R128" s="48" t="str">
        <f t="shared" si="24"/>
        <v>(10,'PC-10-GR1','Poste de Coupure n°10 GR1','Monday-01-jj','Monday-01-jj',NULL,1,),</v>
      </c>
    </row>
    <row r="129" spans="1:18" ht="20.100000000000001" customHeight="1" x14ac:dyDescent="0.25">
      <c r="A129" s="38">
        <v>10</v>
      </c>
      <c r="B129" s="38" t="s">
        <v>664</v>
      </c>
      <c r="C129" s="38">
        <v>21</v>
      </c>
      <c r="D129" s="45" t="str">
        <f t="shared" si="22"/>
        <v>PC-10-GR2</v>
      </c>
      <c r="E129" s="48" t="str">
        <f t="shared" si="23"/>
        <v>Poste de Coupure n°10 GR2</v>
      </c>
      <c r="F129" s="19">
        <v>36161</v>
      </c>
      <c r="G129" s="19">
        <v>36161</v>
      </c>
      <c r="H129" s="41" t="s">
        <v>20</v>
      </c>
      <c r="I129" s="41">
        <v>1</v>
      </c>
      <c r="J129" s="41" t="s">
        <v>3556</v>
      </c>
      <c r="K129" s="41">
        <v>15</v>
      </c>
      <c r="L129" s="41"/>
      <c r="M129" s="41" t="s">
        <v>418</v>
      </c>
      <c r="N129" s="41" t="s">
        <v>2483</v>
      </c>
      <c r="O129" s="49">
        <f t="shared" si="25"/>
        <v>779</v>
      </c>
      <c r="P129" s="43">
        <f t="shared" si="26"/>
        <v>961.47</v>
      </c>
      <c r="Q129" s="44" t="s">
        <v>2490</v>
      </c>
      <c r="R129" s="48" t="str">
        <f t="shared" si="24"/>
        <v>(10,'PC-10-GR2','Poste de Coupure n°10 GR2','Friday-01-jj','Friday-01-jj',NULL,1,),</v>
      </c>
    </row>
    <row r="130" spans="1:18" ht="20.100000000000001" customHeight="1" x14ac:dyDescent="0.25">
      <c r="A130" s="38">
        <v>1</v>
      </c>
      <c r="B130" s="38" t="s">
        <v>675</v>
      </c>
      <c r="C130" s="38">
        <v>22</v>
      </c>
      <c r="D130" s="45" t="str">
        <f t="shared" si="22"/>
        <v>PC-01-GR5</v>
      </c>
      <c r="E130" s="48" t="str">
        <f t="shared" si="23"/>
        <v>Poste de Coupure n°01 GR5</v>
      </c>
      <c r="F130" s="19">
        <v>42887</v>
      </c>
      <c r="G130" s="19">
        <v>42887</v>
      </c>
      <c r="H130" s="41" t="s">
        <v>20</v>
      </c>
      <c r="I130" s="41">
        <v>1</v>
      </c>
      <c r="J130" s="41" t="s">
        <v>3556</v>
      </c>
      <c r="K130" s="41">
        <v>15</v>
      </c>
      <c r="L130" s="41"/>
      <c r="M130" s="41" t="s">
        <v>425</v>
      </c>
      <c r="N130" s="41" t="s">
        <v>2744</v>
      </c>
      <c r="O130" s="49">
        <f t="shared" si="25"/>
        <v>406</v>
      </c>
      <c r="P130" s="43">
        <f t="shared" si="26"/>
        <v>75</v>
      </c>
      <c r="Q130" s="41" t="s">
        <v>2763</v>
      </c>
      <c r="R130" s="48" t="str">
        <f t="shared" si="24"/>
        <v>(1,'PC-01-GR5','Poste de Coupure n°01 GR5','Thursday-06-jj','Thursday-06-jj',NULL,1,),</v>
      </c>
    </row>
    <row r="131" spans="1:18" ht="20.100000000000001" customHeight="1" x14ac:dyDescent="0.25">
      <c r="A131" s="38">
        <v>1</v>
      </c>
      <c r="B131" s="38" t="s">
        <v>675</v>
      </c>
      <c r="C131" s="38">
        <v>22</v>
      </c>
      <c r="D131" s="45" t="str">
        <f t="shared" si="22"/>
        <v>PC-01-GR7</v>
      </c>
      <c r="E131" s="48" t="str">
        <f t="shared" si="23"/>
        <v>Poste de Coupure n°01 GR7</v>
      </c>
      <c r="F131" s="19">
        <v>43830</v>
      </c>
      <c r="G131" s="19">
        <v>43830</v>
      </c>
      <c r="H131" s="41" t="s">
        <v>20</v>
      </c>
      <c r="I131" s="41">
        <v>1</v>
      </c>
      <c r="J131" s="41" t="s">
        <v>3556</v>
      </c>
      <c r="K131" s="41">
        <v>15</v>
      </c>
      <c r="L131" s="41"/>
      <c r="M131" s="41" t="s">
        <v>431</v>
      </c>
      <c r="N131" s="41" t="s">
        <v>2754</v>
      </c>
      <c r="O131" s="49">
        <f t="shared" si="25"/>
        <v>458</v>
      </c>
      <c r="P131" s="43">
        <f t="shared" si="26"/>
        <v>115</v>
      </c>
      <c r="Q131" s="41" t="s">
        <v>2757</v>
      </c>
      <c r="R131" s="48" t="str">
        <f t="shared" si="24"/>
        <v>(1,'PC-01-GR7','Poste de Coupure n°01 GR7','Tuesday-12-jj','Tuesday-12-jj',NULL,1,),</v>
      </c>
    </row>
    <row r="132" spans="1:18" ht="20.100000000000001" customHeight="1" x14ac:dyDescent="0.25">
      <c r="A132" s="38">
        <v>2</v>
      </c>
      <c r="B132" s="38" t="s">
        <v>675</v>
      </c>
      <c r="C132" s="38">
        <v>22</v>
      </c>
      <c r="D132" s="45" t="str">
        <f t="shared" si="22"/>
        <v>PC-02-GR5</v>
      </c>
      <c r="E132" s="48" t="str">
        <f t="shared" si="23"/>
        <v>Poste de Coupure n°02 GR5</v>
      </c>
      <c r="F132" s="19">
        <v>42887</v>
      </c>
      <c r="G132" s="19">
        <v>42887</v>
      </c>
      <c r="H132" s="41" t="s">
        <v>20</v>
      </c>
      <c r="I132" s="41">
        <v>1</v>
      </c>
      <c r="J132" s="41" t="s">
        <v>3556</v>
      </c>
      <c r="K132" s="41">
        <v>15</v>
      </c>
      <c r="L132" s="41"/>
      <c r="M132" s="41" t="s">
        <v>425</v>
      </c>
      <c r="N132" s="41" t="s">
        <v>2745</v>
      </c>
      <c r="O132" s="49">
        <f t="shared" si="25"/>
        <v>410.5</v>
      </c>
      <c r="P132" s="43">
        <f t="shared" si="26"/>
        <v>195</v>
      </c>
      <c r="Q132" s="41" t="s">
        <v>2764</v>
      </c>
      <c r="R132" s="48" t="str">
        <f t="shared" si="24"/>
        <v>(2,'PC-02-GR5','Poste de Coupure n°02 GR5','Thursday-06-jj','Thursday-06-jj',NULL,1,),</v>
      </c>
    </row>
    <row r="133" spans="1:18" ht="20.100000000000001" customHeight="1" x14ac:dyDescent="0.25">
      <c r="A133" s="38">
        <v>2</v>
      </c>
      <c r="B133" s="38" t="s">
        <v>675</v>
      </c>
      <c r="C133" s="38">
        <v>22</v>
      </c>
      <c r="D133" s="45" t="str">
        <f t="shared" si="22"/>
        <v>PC-02-GR7</v>
      </c>
      <c r="E133" s="48" t="str">
        <f t="shared" si="23"/>
        <v>Poste de Coupure n°02 GR7</v>
      </c>
      <c r="F133" s="19">
        <v>43830</v>
      </c>
      <c r="G133" s="19">
        <v>43830</v>
      </c>
      <c r="H133" s="41" t="s">
        <v>20</v>
      </c>
      <c r="I133" s="41">
        <v>1</v>
      </c>
      <c r="J133" s="41" t="s">
        <v>3556</v>
      </c>
      <c r="K133" s="41">
        <v>15</v>
      </c>
      <c r="L133" s="41"/>
      <c r="M133" s="41" t="s">
        <v>431</v>
      </c>
      <c r="N133" s="41" t="s">
        <v>2755</v>
      </c>
      <c r="O133" s="49">
        <f t="shared" si="25"/>
        <v>536</v>
      </c>
      <c r="P133" s="43">
        <f t="shared" si="26"/>
        <v>231</v>
      </c>
      <c r="Q133" s="41" t="s">
        <v>2758</v>
      </c>
      <c r="R133" s="48" t="str">
        <f t="shared" si="24"/>
        <v>(2,'PC-02-GR7','Poste de Coupure n°02 GR7','Tuesday-12-jj','Tuesday-12-jj',NULL,1,),</v>
      </c>
    </row>
    <row r="134" spans="1:18" ht="20.100000000000001" customHeight="1" x14ac:dyDescent="0.25">
      <c r="A134" s="38">
        <v>3</v>
      </c>
      <c r="B134" s="38" t="s">
        <v>675</v>
      </c>
      <c r="C134" s="38">
        <v>22</v>
      </c>
      <c r="D134" s="45" t="str">
        <f t="shared" si="22"/>
        <v>PC-03-GR5</v>
      </c>
      <c r="E134" s="48" t="str">
        <f t="shared" si="23"/>
        <v>Poste de Coupure n°03 GR5</v>
      </c>
      <c r="F134" s="19">
        <v>42887</v>
      </c>
      <c r="G134" s="19">
        <v>42887</v>
      </c>
      <c r="H134" s="41" t="s">
        <v>20</v>
      </c>
      <c r="I134" s="41">
        <v>1</v>
      </c>
      <c r="J134" s="41" t="s">
        <v>3556</v>
      </c>
      <c r="K134" s="41">
        <v>15</v>
      </c>
      <c r="L134" s="41"/>
      <c r="M134" s="41" t="s">
        <v>425</v>
      </c>
      <c r="N134" s="41" t="s">
        <v>2746</v>
      </c>
      <c r="O134" s="49">
        <f t="shared" si="25"/>
        <v>429</v>
      </c>
      <c r="P134" s="43">
        <f t="shared" si="26"/>
        <v>309</v>
      </c>
      <c r="Q134" s="41" t="s">
        <v>2762</v>
      </c>
      <c r="R134" s="48" t="str">
        <f t="shared" si="24"/>
        <v>(3,'PC-03-GR5','Poste de Coupure n°03 GR5','Thursday-06-jj','Thursday-06-jj',NULL,1,),</v>
      </c>
    </row>
    <row r="135" spans="1:18" ht="20.100000000000001" customHeight="1" x14ac:dyDescent="0.25">
      <c r="A135" s="38">
        <v>4</v>
      </c>
      <c r="B135" s="38" t="s">
        <v>675</v>
      </c>
      <c r="C135" s="38">
        <v>22</v>
      </c>
      <c r="D135" s="45" t="str">
        <f t="shared" si="22"/>
        <v>PC-04-GR5</v>
      </c>
      <c r="E135" s="48" t="str">
        <f t="shared" si="23"/>
        <v>Poste de Coupure n°04 GR5</v>
      </c>
      <c r="F135" s="19">
        <v>42887</v>
      </c>
      <c r="G135" s="19">
        <v>42887</v>
      </c>
      <c r="H135" s="41" t="s">
        <v>20</v>
      </c>
      <c r="I135" s="41">
        <v>1</v>
      </c>
      <c r="J135" s="41" t="s">
        <v>3556</v>
      </c>
      <c r="K135" s="41">
        <v>15</v>
      </c>
      <c r="L135" s="41"/>
      <c r="M135" s="41" t="s">
        <v>425</v>
      </c>
      <c r="N135" s="41" t="s">
        <v>2747</v>
      </c>
      <c r="O135" s="49">
        <f t="shared" si="25"/>
        <v>425</v>
      </c>
      <c r="P135" s="43">
        <f t="shared" si="26"/>
        <v>418</v>
      </c>
      <c r="Q135" s="41" t="s">
        <v>2762</v>
      </c>
      <c r="R135" s="48" t="str">
        <f t="shared" si="24"/>
        <v>(4,'PC-04-GR5','Poste de Coupure n°04 GR5','Thursday-06-jj','Thursday-06-jj',NULL,1,),</v>
      </c>
    </row>
    <row r="136" spans="1:18" ht="20.100000000000001" customHeight="1" x14ac:dyDescent="0.25">
      <c r="A136" s="38">
        <v>5</v>
      </c>
      <c r="B136" s="38" t="s">
        <v>675</v>
      </c>
      <c r="C136" s="38">
        <v>22</v>
      </c>
      <c r="D136" s="45" t="str">
        <f t="shared" si="22"/>
        <v>PC-05-GR5</v>
      </c>
      <c r="E136" s="48" t="str">
        <f t="shared" si="23"/>
        <v>Poste de Coupure n°05 GR5</v>
      </c>
      <c r="F136" s="19">
        <v>42887</v>
      </c>
      <c r="G136" s="19">
        <v>42887</v>
      </c>
      <c r="H136" s="41" t="s">
        <v>20</v>
      </c>
      <c r="I136" s="41">
        <v>1</v>
      </c>
      <c r="J136" s="41" t="s">
        <v>3556</v>
      </c>
      <c r="K136" s="41">
        <v>15</v>
      </c>
      <c r="L136" s="41"/>
      <c r="M136" s="41" t="s">
        <v>425</v>
      </c>
      <c r="N136" s="41" t="s">
        <v>2748</v>
      </c>
      <c r="O136" s="49">
        <f t="shared" si="25"/>
        <v>458</v>
      </c>
      <c r="P136" s="43">
        <f t="shared" si="26"/>
        <v>533</v>
      </c>
      <c r="Q136" s="67" t="s">
        <v>2761</v>
      </c>
      <c r="R136" s="48" t="str">
        <f t="shared" si="24"/>
        <v>(5,'PC-05-GR5','Poste de Coupure n°05 GR5','Thursday-06-jj','Thursday-06-jj',NULL,1,),</v>
      </c>
    </row>
    <row r="137" spans="1:18" ht="20.100000000000001" customHeight="1" x14ac:dyDescent="0.25">
      <c r="A137" s="38">
        <v>6</v>
      </c>
      <c r="B137" s="38" t="s">
        <v>675</v>
      </c>
      <c r="C137" s="38">
        <v>22</v>
      </c>
      <c r="D137" s="45" t="str">
        <f t="shared" si="22"/>
        <v>PC-06-GR5</v>
      </c>
      <c r="E137" s="48" t="str">
        <f t="shared" si="23"/>
        <v>Poste de Coupure n°06 GR5</v>
      </c>
      <c r="F137" s="19">
        <v>42887</v>
      </c>
      <c r="G137" s="19">
        <v>42887</v>
      </c>
      <c r="H137" s="41" t="s">
        <v>20</v>
      </c>
      <c r="I137" s="41">
        <v>1</v>
      </c>
      <c r="J137" s="41" t="s">
        <v>3556</v>
      </c>
      <c r="K137" s="41">
        <v>15</v>
      </c>
      <c r="L137" s="41"/>
      <c r="M137" s="41" t="s">
        <v>425</v>
      </c>
      <c r="N137" s="41" t="s">
        <v>2749</v>
      </c>
      <c r="O137" s="49">
        <f t="shared" si="25"/>
        <v>538</v>
      </c>
      <c r="P137" s="43">
        <f t="shared" si="26"/>
        <v>649.55899999999997</v>
      </c>
      <c r="Q137" s="41" t="s">
        <v>2760</v>
      </c>
      <c r="R137" s="48" t="str">
        <f t="shared" si="24"/>
        <v>(6,'PC-06-GR5','Poste de Coupure n°06 GR5','Thursday-06-jj','Thursday-06-jj',NULL,1,),</v>
      </c>
    </row>
    <row r="138" spans="1:18" ht="20.100000000000001" customHeight="1" x14ac:dyDescent="0.25">
      <c r="A138" s="38">
        <v>7</v>
      </c>
      <c r="B138" s="38" t="s">
        <v>675</v>
      </c>
      <c r="C138" s="38">
        <v>22</v>
      </c>
      <c r="D138" s="45" t="str">
        <f t="shared" si="22"/>
        <v>PC-07-GR5</v>
      </c>
      <c r="E138" s="48" t="str">
        <f t="shared" si="23"/>
        <v>Poste de Coupure n°07 GR5</v>
      </c>
      <c r="F138" s="19">
        <v>42887</v>
      </c>
      <c r="G138" s="19">
        <v>42887</v>
      </c>
      <c r="H138" s="41" t="s">
        <v>20</v>
      </c>
      <c r="I138" s="41">
        <v>1</v>
      </c>
      <c r="J138" s="41" t="s">
        <v>3556</v>
      </c>
      <c r="K138" s="41">
        <v>15</v>
      </c>
      <c r="L138" s="41"/>
      <c r="M138" s="41" t="s">
        <v>425</v>
      </c>
      <c r="N138" s="41" t="s">
        <v>2750</v>
      </c>
      <c r="O138" s="49">
        <f t="shared" si="25"/>
        <v>763</v>
      </c>
      <c r="P138" s="43">
        <f t="shared" si="26"/>
        <v>762.59</v>
      </c>
      <c r="Q138" s="41" t="s">
        <v>2759</v>
      </c>
      <c r="R138" s="48" t="str">
        <f t="shared" si="24"/>
        <v>(7,'PC-07-GR5','Poste de Coupure n°07 GR5','Thursday-06-jj','Thursday-06-jj',NULL,1,),</v>
      </c>
    </row>
  </sheetData>
  <autoFilter ref="A2:R138">
    <sortState ref="A3:R135">
      <sortCondition ref="C3:C135"/>
      <sortCondition ref="A3:A135"/>
    </sortState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FF00"/>
  </sheetPr>
  <dimension ref="A1:R829"/>
  <sheetViews>
    <sheetView zoomScaleNormal="100" workbookViewId="0">
      <pane ySplit="2" topLeftCell="A95" activePane="bottomLeft" state="frozen"/>
      <selection activeCell="A2" sqref="A2"/>
      <selection pane="bottomLeft" activeCell="P113" sqref="P113"/>
    </sheetView>
  </sheetViews>
  <sheetFormatPr baseColWidth="10" defaultColWidth="10.85546875" defaultRowHeight="15.75" x14ac:dyDescent="0.25"/>
  <cols>
    <col min="1" max="1" width="6.85546875" style="2" bestFit="1" customWidth="1"/>
    <col min="2" max="2" width="16.85546875" style="2" bestFit="1" customWidth="1"/>
    <col min="3" max="3" width="8.85546875" style="2" bestFit="1" customWidth="1"/>
    <col min="4" max="4" width="15" style="2" bestFit="1" customWidth="1"/>
    <col min="5" max="5" width="33.85546875" style="2" bestFit="1" customWidth="1"/>
    <col min="6" max="7" width="15.5703125" style="2" customWidth="1"/>
    <col min="8" max="8" width="17.28515625" style="2" customWidth="1"/>
    <col min="9" max="9" width="15.5703125" style="2" customWidth="1"/>
    <col min="10" max="10" width="17.7109375" style="2" bestFit="1" customWidth="1"/>
    <col min="11" max="11" width="8.42578125" style="2" bestFit="1" customWidth="1"/>
    <col min="12" max="12" width="15.5703125" style="2" customWidth="1"/>
    <col min="13" max="13" width="6.5703125" style="2" customWidth="1"/>
    <col min="14" max="14" width="15.5703125" style="2" customWidth="1"/>
    <col min="15" max="16" width="10.5703125" style="2" customWidth="1"/>
    <col min="17" max="17" width="27.42578125" style="2" bestFit="1" customWidth="1"/>
    <col min="18" max="18" width="50.5703125" style="2" customWidth="1"/>
    <col min="19" max="16384" width="10.85546875" style="2"/>
  </cols>
  <sheetData>
    <row r="1" spans="1:18" ht="20.100000000000001" customHeight="1" x14ac:dyDescent="0.25">
      <c r="A1" s="1" t="s">
        <v>0</v>
      </c>
      <c r="B1" s="1" t="s">
        <v>496</v>
      </c>
      <c r="C1" s="1" t="s">
        <v>497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3551</v>
      </c>
      <c r="K1" s="1" t="s">
        <v>3555</v>
      </c>
      <c r="L1" s="1" t="s">
        <v>7</v>
      </c>
      <c r="M1" s="1" t="s">
        <v>692</v>
      </c>
      <c r="N1" s="1"/>
      <c r="O1" s="1"/>
      <c r="P1" s="1"/>
      <c r="Q1" s="1"/>
      <c r="R1" s="1" t="s">
        <v>8</v>
      </c>
    </row>
    <row r="2" spans="1:18" ht="20.100000000000001" customHeight="1" x14ac:dyDescent="0.25">
      <c r="A2" s="1" t="s">
        <v>9</v>
      </c>
      <c r="B2" s="1"/>
      <c r="C2" s="1"/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/>
      <c r="K2" s="1"/>
      <c r="L2" s="1" t="s">
        <v>16</v>
      </c>
      <c r="M2" s="1"/>
      <c r="N2" s="1"/>
      <c r="O2" s="1"/>
      <c r="P2" s="1"/>
      <c r="Q2" s="1"/>
      <c r="R2" s="1" t="s">
        <v>17</v>
      </c>
    </row>
    <row r="3" spans="1:18" ht="20.100000000000001" hidden="1" customHeight="1" x14ac:dyDescent="0.25">
      <c r="A3" s="38">
        <v>1</v>
      </c>
      <c r="B3" s="38" t="s">
        <v>529</v>
      </c>
      <c r="C3" s="38">
        <v>1</v>
      </c>
      <c r="D3" s="45" t="str">
        <f>CONCATENATE("PS-",TEXT(A3,"00"),"-",M3)</f>
        <v>PS-01-OZ1</v>
      </c>
      <c r="E3" s="48" t="str">
        <f>CONCATENATE("Poste de Sectionnement n°",TEXT(A3,"00")," ",M3)</f>
        <v>Poste de Sectionnement n°01 OZ1</v>
      </c>
      <c r="F3" s="19">
        <v>24053</v>
      </c>
      <c r="G3" s="19">
        <v>24053</v>
      </c>
      <c r="H3" s="41" t="s">
        <v>20</v>
      </c>
      <c r="I3" s="41">
        <v>1</v>
      </c>
      <c r="J3" s="41" t="s">
        <v>3557</v>
      </c>
      <c r="K3" s="41">
        <v>16</v>
      </c>
      <c r="L3" s="41"/>
      <c r="M3" s="41" t="s">
        <v>300</v>
      </c>
      <c r="N3" s="41" t="s">
        <v>720</v>
      </c>
      <c r="O3" s="49">
        <f>VALUE(RIGHT(N3,LEN(N3)-SEARCH("/",N3)))</f>
        <v>150</v>
      </c>
      <c r="P3" s="43">
        <f>VALUE(SUBSTITUTE(LEFT(N3,SEARCH("/",N3)-1),"+",","))</f>
        <v>0</v>
      </c>
      <c r="Q3" s="41" t="s">
        <v>741</v>
      </c>
      <c r="R3" s="48" t="str">
        <f t="shared" ref="R3:R15" si="0">CONCATENATE("(",A3,",'",D3,"','",E3,"','",TEXT(F3,"aaaa-mm-jj"),"','",TEXT(G3,"aaaa-mm-jj"),"',",H3,",",I3,",",L3,"),")</f>
        <v>(1,'PS-01-OZ1','Poste de Sectionnement n°01 OZ1','Sunday-11-jj','Sunday-11-jj',NULL,1,),</v>
      </c>
    </row>
    <row r="4" spans="1:18" ht="20.100000000000001" hidden="1" customHeight="1" x14ac:dyDescent="0.25">
      <c r="A4" s="38">
        <v>2</v>
      </c>
      <c r="B4" s="38" t="s">
        <v>529</v>
      </c>
      <c r="C4" s="38">
        <v>1</v>
      </c>
      <c r="D4" s="45" t="str">
        <f t="shared" ref="D4:D49" si="1">CONCATENATE("PS-",TEXT(A4,"00"),"-",M4)</f>
        <v>PS-02-OZ1</v>
      </c>
      <c r="E4" s="48" t="str">
        <f t="shared" ref="E4:E49" si="2">CONCATENATE("Poste de Sectionnement n°",TEXT(A4,"00")," ",M4)</f>
        <v>Poste de Sectionnement n°02 OZ1</v>
      </c>
      <c r="F4" s="19">
        <v>24053</v>
      </c>
      <c r="G4" s="19">
        <v>24053</v>
      </c>
      <c r="H4" s="41" t="s">
        <v>20</v>
      </c>
      <c r="I4" s="41">
        <v>1</v>
      </c>
      <c r="J4" s="41" t="s">
        <v>3557</v>
      </c>
      <c r="K4" s="41">
        <v>16</v>
      </c>
      <c r="L4" s="41"/>
      <c r="M4" s="41" t="s">
        <v>300</v>
      </c>
      <c r="N4" s="41" t="s">
        <v>721</v>
      </c>
      <c r="O4" s="49">
        <f t="shared" ref="O4:O23" si="3">VALUE(RIGHT(N4,LEN(N4)-SEARCH("/",N4)))</f>
        <v>150</v>
      </c>
      <c r="P4" s="43">
        <f t="shared" ref="P4:P23" si="4">VALUE(SUBSTITUTE(LEFT(N4,SEARCH("/",N4)-1),"+",","))</f>
        <v>44.2</v>
      </c>
      <c r="Q4" s="41" t="s">
        <v>742</v>
      </c>
      <c r="R4" s="48" t="str">
        <f t="shared" si="0"/>
        <v>(2,'PS-02-OZ1','Poste de Sectionnement n°02 OZ1','Sunday-11-jj','Sunday-11-jj',NULL,1,),</v>
      </c>
    </row>
    <row r="5" spans="1:18" ht="20.100000000000001" hidden="1" customHeight="1" x14ac:dyDescent="0.25">
      <c r="A5" s="38">
        <v>3</v>
      </c>
      <c r="B5" s="38" t="s">
        <v>529</v>
      </c>
      <c r="C5" s="38">
        <v>1</v>
      </c>
      <c r="D5" s="45" t="str">
        <f t="shared" si="1"/>
        <v>PS-03-OZ1</v>
      </c>
      <c r="E5" s="48" t="str">
        <f t="shared" si="2"/>
        <v>Poste de Sectionnement n°03 OZ1</v>
      </c>
      <c r="F5" s="19">
        <v>24053</v>
      </c>
      <c r="G5" s="19">
        <v>24053</v>
      </c>
      <c r="H5" s="41" t="s">
        <v>20</v>
      </c>
      <c r="I5" s="41">
        <v>1</v>
      </c>
      <c r="J5" s="41" t="s">
        <v>3557</v>
      </c>
      <c r="K5" s="41">
        <v>16</v>
      </c>
      <c r="L5" s="41"/>
      <c r="M5" s="41" t="s">
        <v>300</v>
      </c>
      <c r="N5" s="41" t="s">
        <v>722</v>
      </c>
      <c r="O5" s="49">
        <f t="shared" si="3"/>
        <v>210</v>
      </c>
      <c r="P5" s="43">
        <f t="shared" si="4"/>
        <v>72</v>
      </c>
      <c r="Q5" s="41" t="s">
        <v>743</v>
      </c>
      <c r="R5" s="48" t="str">
        <f t="shared" si="0"/>
        <v>(3,'PS-03-OZ1','Poste de Sectionnement n°03 OZ1','Sunday-11-jj','Sunday-11-jj',NULL,1,),</v>
      </c>
    </row>
    <row r="6" spans="1:18" ht="20.100000000000001" hidden="1" customHeight="1" x14ac:dyDescent="0.25">
      <c r="A6" s="38">
        <v>4</v>
      </c>
      <c r="B6" s="38" t="s">
        <v>529</v>
      </c>
      <c r="C6" s="38">
        <v>1</v>
      </c>
      <c r="D6" s="45" t="str">
        <f t="shared" si="1"/>
        <v>PS-04-OZ1</v>
      </c>
      <c r="E6" s="48" t="str">
        <f t="shared" si="2"/>
        <v>Poste de Sectionnement n°04 OZ1</v>
      </c>
      <c r="F6" s="19">
        <v>24053</v>
      </c>
      <c r="G6" s="19">
        <v>24053</v>
      </c>
      <c r="H6" s="41" t="s">
        <v>20</v>
      </c>
      <c r="I6" s="41">
        <v>1</v>
      </c>
      <c r="J6" s="41" t="s">
        <v>3557</v>
      </c>
      <c r="K6" s="41">
        <v>16</v>
      </c>
      <c r="L6" s="41"/>
      <c r="M6" s="41" t="s">
        <v>300</v>
      </c>
      <c r="N6" s="41" t="s">
        <v>723</v>
      </c>
      <c r="O6" s="49">
        <f t="shared" si="3"/>
        <v>295</v>
      </c>
      <c r="P6" s="43">
        <f t="shared" si="4"/>
        <v>145.47300000000001</v>
      </c>
      <c r="Q6" s="41" t="s">
        <v>744</v>
      </c>
      <c r="R6" s="48" t="str">
        <f t="shared" si="0"/>
        <v>(4,'PS-04-OZ1','Poste de Sectionnement n°04 OZ1','Sunday-11-jj','Sunday-11-jj',NULL,1,),</v>
      </c>
    </row>
    <row r="7" spans="1:18" ht="20.100000000000001" hidden="1" customHeight="1" x14ac:dyDescent="0.25">
      <c r="A7" s="38">
        <v>5</v>
      </c>
      <c r="B7" s="38" t="s">
        <v>529</v>
      </c>
      <c r="C7" s="38">
        <v>1</v>
      </c>
      <c r="D7" s="45" t="str">
        <f t="shared" si="1"/>
        <v>PS-05-OZ1</v>
      </c>
      <c r="E7" s="48" t="str">
        <f t="shared" si="2"/>
        <v>Poste de Sectionnement n°05 OZ1</v>
      </c>
      <c r="F7" s="19">
        <v>24053</v>
      </c>
      <c r="G7" s="19">
        <v>24053</v>
      </c>
      <c r="H7" s="41" t="s">
        <v>20</v>
      </c>
      <c r="I7" s="41">
        <v>1</v>
      </c>
      <c r="J7" s="41" t="s">
        <v>3557</v>
      </c>
      <c r="K7" s="41">
        <v>16</v>
      </c>
      <c r="L7" s="41"/>
      <c r="M7" s="41" t="s">
        <v>300</v>
      </c>
      <c r="N7" s="41" t="s">
        <v>724</v>
      </c>
      <c r="O7" s="49">
        <f t="shared" si="3"/>
        <v>365</v>
      </c>
      <c r="P7" s="43">
        <f t="shared" si="4"/>
        <v>184.2</v>
      </c>
      <c r="Q7" s="41" t="s">
        <v>745</v>
      </c>
      <c r="R7" s="48" t="str">
        <f t="shared" si="0"/>
        <v>(5,'PS-05-OZ1','Poste de Sectionnement n°05 OZ1','Sunday-11-jj','Sunday-11-jj',NULL,1,),</v>
      </c>
    </row>
    <row r="8" spans="1:18" ht="20.100000000000001" hidden="1" customHeight="1" x14ac:dyDescent="0.25">
      <c r="A8" s="38">
        <v>6</v>
      </c>
      <c r="B8" s="38" t="s">
        <v>529</v>
      </c>
      <c r="C8" s="38">
        <v>1</v>
      </c>
      <c r="D8" s="45" t="str">
        <f t="shared" si="1"/>
        <v>PS-06-OZ1</v>
      </c>
      <c r="E8" s="48" t="str">
        <f t="shared" si="2"/>
        <v>Poste de Sectionnement n°06 OZ1</v>
      </c>
      <c r="F8" s="19">
        <v>24053</v>
      </c>
      <c r="G8" s="19">
        <v>24053</v>
      </c>
      <c r="H8" s="41" t="s">
        <v>20</v>
      </c>
      <c r="I8" s="41">
        <v>1</v>
      </c>
      <c r="J8" s="41" t="s">
        <v>3557</v>
      </c>
      <c r="K8" s="41">
        <v>16</v>
      </c>
      <c r="L8" s="41"/>
      <c r="M8" s="41" t="s">
        <v>300</v>
      </c>
      <c r="N8" s="41" t="s">
        <v>725</v>
      </c>
      <c r="O8" s="49">
        <f t="shared" si="3"/>
        <v>562</v>
      </c>
      <c r="P8" s="43">
        <f t="shared" si="4"/>
        <v>236.47499999999999</v>
      </c>
      <c r="Q8" s="41" t="s">
        <v>746</v>
      </c>
      <c r="R8" s="48" t="str">
        <f t="shared" si="0"/>
        <v>(6,'PS-06-OZ1','Poste de Sectionnement n°06 OZ1','Sunday-11-jj','Sunday-11-jj',NULL,1,),</v>
      </c>
    </row>
    <row r="9" spans="1:18" ht="20.100000000000001" hidden="1" customHeight="1" x14ac:dyDescent="0.25">
      <c r="A9" s="38">
        <v>7</v>
      </c>
      <c r="B9" s="38" t="s">
        <v>529</v>
      </c>
      <c r="C9" s="38">
        <v>1</v>
      </c>
      <c r="D9" s="45" t="str">
        <f t="shared" si="1"/>
        <v>PS-07-OZ1</v>
      </c>
      <c r="E9" s="48" t="str">
        <f t="shared" si="2"/>
        <v>Poste de Sectionnement n°07 OZ1</v>
      </c>
      <c r="F9" s="19">
        <v>24053</v>
      </c>
      <c r="G9" s="19">
        <v>24053</v>
      </c>
      <c r="H9" s="41" t="s">
        <v>20</v>
      </c>
      <c r="I9" s="41">
        <v>1</v>
      </c>
      <c r="J9" s="41" t="s">
        <v>3557</v>
      </c>
      <c r="K9" s="41">
        <v>16</v>
      </c>
      <c r="L9" s="41"/>
      <c r="M9" s="41" t="s">
        <v>300</v>
      </c>
      <c r="N9" s="41" t="s">
        <v>726</v>
      </c>
      <c r="O9" s="49">
        <f t="shared" si="3"/>
        <v>631</v>
      </c>
      <c r="P9" s="43">
        <f t="shared" si="4"/>
        <v>256</v>
      </c>
      <c r="Q9" s="41" t="s">
        <v>747</v>
      </c>
      <c r="R9" s="48" t="str">
        <f t="shared" si="0"/>
        <v>(7,'PS-07-OZ1','Poste de Sectionnement n°07 OZ1','Sunday-11-jj','Sunday-11-jj',NULL,1,),</v>
      </c>
    </row>
    <row r="10" spans="1:18" ht="20.100000000000001" hidden="1" customHeight="1" x14ac:dyDescent="0.25">
      <c r="A10" s="38">
        <v>8</v>
      </c>
      <c r="B10" s="38" t="s">
        <v>529</v>
      </c>
      <c r="C10" s="38">
        <v>1</v>
      </c>
      <c r="D10" s="45" t="str">
        <f t="shared" si="1"/>
        <v>PS-08-OZ1</v>
      </c>
      <c r="E10" s="48" t="str">
        <f t="shared" si="2"/>
        <v>Poste de Sectionnement n°08 OZ1</v>
      </c>
      <c r="F10" s="19">
        <v>24053</v>
      </c>
      <c r="G10" s="19">
        <v>24053</v>
      </c>
      <c r="H10" s="41" t="s">
        <v>20</v>
      </c>
      <c r="I10" s="41">
        <v>1</v>
      </c>
      <c r="J10" s="41" t="s">
        <v>3557</v>
      </c>
      <c r="K10" s="41">
        <v>16</v>
      </c>
      <c r="L10" s="41"/>
      <c r="M10" s="41" t="s">
        <v>300</v>
      </c>
      <c r="N10" s="41" t="s">
        <v>727</v>
      </c>
      <c r="O10" s="49">
        <f t="shared" si="3"/>
        <v>762</v>
      </c>
      <c r="P10" s="43">
        <f t="shared" si="4"/>
        <v>328.04700000000003</v>
      </c>
      <c r="Q10" s="41" t="s">
        <v>748</v>
      </c>
      <c r="R10" s="48" t="str">
        <f t="shared" si="0"/>
        <v>(8,'PS-08-OZ1','Poste de Sectionnement n°08 OZ1','Sunday-11-jj','Sunday-11-jj',NULL,1,),</v>
      </c>
    </row>
    <row r="11" spans="1:18" ht="20.100000000000001" hidden="1" customHeight="1" x14ac:dyDescent="0.25">
      <c r="A11" s="38">
        <v>9</v>
      </c>
      <c r="B11" s="38" t="s">
        <v>529</v>
      </c>
      <c r="C11" s="38">
        <v>1</v>
      </c>
      <c r="D11" s="45" t="str">
        <f t="shared" si="1"/>
        <v>PS-09-OZ1</v>
      </c>
      <c r="E11" s="48" t="str">
        <f t="shared" si="2"/>
        <v>Poste de Sectionnement n°09 OZ1</v>
      </c>
      <c r="F11" s="19">
        <v>24053</v>
      </c>
      <c r="G11" s="19">
        <v>24053</v>
      </c>
      <c r="H11" s="41" t="s">
        <v>20</v>
      </c>
      <c r="I11" s="41">
        <v>1</v>
      </c>
      <c r="J11" s="41" t="s">
        <v>3557</v>
      </c>
      <c r="K11" s="41">
        <v>16</v>
      </c>
      <c r="L11" s="41"/>
      <c r="M11" s="41" t="s">
        <v>300</v>
      </c>
      <c r="N11" s="41" t="s">
        <v>728</v>
      </c>
      <c r="O11" s="49">
        <f t="shared" si="3"/>
        <v>1275</v>
      </c>
      <c r="P11" s="43">
        <f t="shared" si="4"/>
        <v>466.9</v>
      </c>
      <c r="Q11" s="41" t="s">
        <v>749</v>
      </c>
      <c r="R11" s="48" t="str">
        <f t="shared" si="0"/>
        <v>(9,'PS-09-OZ1','Poste de Sectionnement n°09 OZ1','Sunday-11-jj','Sunday-11-jj',NULL,1,),</v>
      </c>
    </row>
    <row r="12" spans="1:18" ht="20.100000000000001" hidden="1" customHeight="1" x14ac:dyDescent="0.25">
      <c r="A12" s="38">
        <v>10</v>
      </c>
      <c r="B12" s="38" t="s">
        <v>529</v>
      </c>
      <c r="C12" s="38">
        <v>1</v>
      </c>
      <c r="D12" s="45" t="str">
        <f t="shared" si="1"/>
        <v>PS-10-OZ1</v>
      </c>
      <c r="E12" s="48" t="str">
        <f t="shared" si="2"/>
        <v>Poste de Sectionnement n°10 OZ1</v>
      </c>
      <c r="F12" s="19">
        <v>24053</v>
      </c>
      <c r="G12" s="19">
        <v>24053</v>
      </c>
      <c r="H12" s="41" t="s">
        <v>20</v>
      </c>
      <c r="I12" s="41">
        <v>1</v>
      </c>
      <c r="J12" s="41" t="s">
        <v>3557</v>
      </c>
      <c r="K12" s="41">
        <v>16</v>
      </c>
      <c r="L12" s="41"/>
      <c r="M12" s="41" t="s">
        <v>300</v>
      </c>
      <c r="N12" s="41" t="s">
        <v>729</v>
      </c>
      <c r="O12" s="49">
        <f t="shared" si="3"/>
        <v>1083</v>
      </c>
      <c r="P12" s="43">
        <f t="shared" si="4"/>
        <v>489.91500000000002</v>
      </c>
      <c r="Q12" s="41" t="s">
        <v>750</v>
      </c>
      <c r="R12" s="48" t="str">
        <f t="shared" si="0"/>
        <v>(10,'PS-10-OZ1','Poste de Sectionnement n°10 OZ1','Sunday-11-jj','Sunday-11-jj',NULL,1,),</v>
      </c>
    </row>
    <row r="13" spans="1:18" ht="20.100000000000001" hidden="1" customHeight="1" x14ac:dyDescent="0.25">
      <c r="A13" s="38">
        <v>11</v>
      </c>
      <c r="B13" s="38" t="s">
        <v>529</v>
      </c>
      <c r="C13" s="38">
        <v>1</v>
      </c>
      <c r="D13" s="45" t="str">
        <f t="shared" si="1"/>
        <v>PS-11-OZ1</v>
      </c>
      <c r="E13" s="48" t="str">
        <f t="shared" si="2"/>
        <v>Poste de Sectionnement n°11 OZ1</v>
      </c>
      <c r="F13" s="19">
        <v>24053</v>
      </c>
      <c r="G13" s="19">
        <v>24053</v>
      </c>
      <c r="H13" s="41" t="s">
        <v>20</v>
      </c>
      <c r="I13" s="41">
        <v>1</v>
      </c>
      <c r="J13" s="41" t="s">
        <v>3557</v>
      </c>
      <c r="K13" s="41">
        <v>16</v>
      </c>
      <c r="L13" s="41"/>
      <c r="M13" s="41" t="s">
        <v>300</v>
      </c>
      <c r="N13" s="41" t="s">
        <v>730</v>
      </c>
      <c r="O13" s="49">
        <f t="shared" si="3"/>
        <v>970</v>
      </c>
      <c r="P13" s="43">
        <f t="shared" si="4"/>
        <v>533.94000000000005</v>
      </c>
      <c r="Q13" s="41" t="s">
        <v>751</v>
      </c>
      <c r="R13" s="48" t="str">
        <f t="shared" si="0"/>
        <v>(11,'PS-11-OZ1','Poste de Sectionnement n°11 OZ1','Sunday-11-jj','Sunday-11-jj',NULL,1,),</v>
      </c>
    </row>
    <row r="14" spans="1:18" ht="20.100000000000001" hidden="1" customHeight="1" x14ac:dyDescent="0.25">
      <c r="A14" s="38">
        <v>12</v>
      </c>
      <c r="B14" s="38" t="s">
        <v>529</v>
      </c>
      <c r="C14" s="38">
        <v>1</v>
      </c>
      <c r="D14" s="45" t="str">
        <f t="shared" si="1"/>
        <v>PS-12-OZ1</v>
      </c>
      <c r="E14" s="48" t="str">
        <f t="shared" si="2"/>
        <v>Poste de Sectionnement n°12 OZ1</v>
      </c>
      <c r="F14" s="19">
        <v>24053</v>
      </c>
      <c r="G14" s="19">
        <v>24053</v>
      </c>
      <c r="H14" s="41" t="s">
        <v>20</v>
      </c>
      <c r="I14" s="41">
        <v>1</v>
      </c>
      <c r="J14" s="41" t="s">
        <v>3557</v>
      </c>
      <c r="K14" s="41">
        <v>16</v>
      </c>
      <c r="L14" s="41"/>
      <c r="M14" s="41" t="s">
        <v>300</v>
      </c>
      <c r="N14" s="41" t="s">
        <v>731</v>
      </c>
      <c r="O14" s="49">
        <f t="shared" si="3"/>
        <v>970</v>
      </c>
      <c r="P14" s="43">
        <f t="shared" si="4"/>
        <v>534.05999999999995</v>
      </c>
      <c r="Q14" s="41" t="s">
        <v>751</v>
      </c>
      <c r="R14" s="48" t="str">
        <f t="shared" si="0"/>
        <v>(12,'PS-12-OZ1','Poste de Sectionnement n°12 OZ1','Sunday-11-jj','Sunday-11-jj',NULL,1,),</v>
      </c>
    </row>
    <row r="15" spans="1:18" ht="20.100000000000001" hidden="1" customHeight="1" x14ac:dyDescent="0.25">
      <c r="A15" s="38">
        <v>13</v>
      </c>
      <c r="B15" s="38" t="s">
        <v>529</v>
      </c>
      <c r="C15" s="38">
        <v>1</v>
      </c>
      <c r="D15" s="45" t="str">
        <f t="shared" si="1"/>
        <v>PS-13-OZ1</v>
      </c>
      <c r="E15" s="48" t="str">
        <f t="shared" si="2"/>
        <v>Poste de Sectionnement n°13 OZ1</v>
      </c>
      <c r="F15" s="19">
        <v>24053</v>
      </c>
      <c r="G15" s="19">
        <v>24053</v>
      </c>
      <c r="H15" s="41" t="s">
        <v>20</v>
      </c>
      <c r="I15" s="41">
        <v>1</v>
      </c>
      <c r="J15" s="41" t="s">
        <v>3557</v>
      </c>
      <c r="K15" s="41">
        <v>16</v>
      </c>
      <c r="L15" s="41"/>
      <c r="M15" s="41" t="s">
        <v>300</v>
      </c>
      <c r="N15" s="41" t="s">
        <v>732</v>
      </c>
      <c r="O15" s="49">
        <f t="shared" si="3"/>
        <v>1100</v>
      </c>
      <c r="P15" s="43">
        <f t="shared" si="4"/>
        <v>552.12199999999996</v>
      </c>
      <c r="Q15" s="41" t="s">
        <v>752</v>
      </c>
      <c r="R15" s="48" t="str">
        <f t="shared" si="0"/>
        <v>(13,'PS-13-OZ1','Poste de Sectionnement n°13 OZ1','Sunday-11-jj','Sunday-11-jj',NULL,1,),</v>
      </c>
    </row>
    <row r="16" spans="1:18" ht="20.100000000000001" hidden="1" customHeight="1" x14ac:dyDescent="0.25">
      <c r="A16" s="38">
        <v>14</v>
      </c>
      <c r="B16" s="38" t="s">
        <v>529</v>
      </c>
      <c r="C16" s="38">
        <v>1</v>
      </c>
      <c r="D16" s="45" t="str">
        <f t="shared" si="1"/>
        <v>PS-14-OZ1</v>
      </c>
      <c r="E16" s="48" t="str">
        <f t="shared" si="2"/>
        <v>Poste de Sectionnement n°14 OZ1</v>
      </c>
      <c r="F16" s="19">
        <v>24053</v>
      </c>
      <c r="G16" s="19">
        <v>24053</v>
      </c>
      <c r="H16" s="41" t="s">
        <v>20</v>
      </c>
      <c r="I16" s="41">
        <v>1</v>
      </c>
      <c r="J16" s="41" t="s">
        <v>3557</v>
      </c>
      <c r="K16" s="41">
        <v>16</v>
      </c>
      <c r="L16" s="41"/>
      <c r="M16" s="41" t="s">
        <v>300</v>
      </c>
      <c r="N16" s="41" t="s">
        <v>733</v>
      </c>
      <c r="O16" s="49">
        <f t="shared" si="3"/>
        <v>1100</v>
      </c>
      <c r="P16" s="43">
        <f t="shared" si="4"/>
        <v>611.375</v>
      </c>
      <c r="Q16" s="41" t="s">
        <v>753</v>
      </c>
      <c r="R16" s="48" t="str">
        <f t="shared" ref="R16:R76" si="5">CONCATENATE("(",A16,",'",D16,"','",E16,"','",TEXT(F16,"aaaa-mm-jj"),"','",TEXT(G16,"aaaa-mm-jj"),"',",H16,",",I16,",",L16,"),")</f>
        <v>(14,'PS-14-OZ1','Poste de Sectionnement n°14 OZ1','Sunday-11-jj','Sunday-11-jj',NULL,1,),</v>
      </c>
    </row>
    <row r="17" spans="1:18" ht="20.100000000000001" hidden="1" customHeight="1" x14ac:dyDescent="0.25">
      <c r="A17" s="38">
        <v>15</v>
      </c>
      <c r="B17" s="38" t="s">
        <v>529</v>
      </c>
      <c r="C17" s="38">
        <v>1</v>
      </c>
      <c r="D17" s="45" t="str">
        <f t="shared" si="1"/>
        <v>PS-15-OZ1</v>
      </c>
      <c r="E17" s="48" t="str">
        <f t="shared" si="2"/>
        <v>Poste de Sectionnement n°15 OZ1</v>
      </c>
      <c r="F17" s="19">
        <v>24053</v>
      </c>
      <c r="G17" s="19">
        <v>24053</v>
      </c>
      <c r="H17" s="41" t="s">
        <v>20</v>
      </c>
      <c r="I17" s="41">
        <v>1</v>
      </c>
      <c r="J17" s="41" t="s">
        <v>3557</v>
      </c>
      <c r="K17" s="41">
        <v>16</v>
      </c>
      <c r="L17" s="41"/>
      <c r="M17" s="41" t="s">
        <v>300</v>
      </c>
      <c r="N17" s="41" t="s">
        <v>734</v>
      </c>
      <c r="O17" s="49">
        <f t="shared" si="3"/>
        <v>758</v>
      </c>
      <c r="P17" s="43">
        <f t="shared" si="4"/>
        <v>648</v>
      </c>
      <c r="Q17" s="41" t="s">
        <v>754</v>
      </c>
      <c r="R17" s="48" t="str">
        <f t="shared" si="5"/>
        <v>(15,'PS-15-OZ1','Poste de Sectionnement n°15 OZ1','Sunday-11-jj','Sunday-11-jj',NULL,1,),</v>
      </c>
    </row>
    <row r="18" spans="1:18" ht="20.100000000000001" hidden="1" customHeight="1" x14ac:dyDescent="0.25">
      <c r="A18" s="38">
        <v>16</v>
      </c>
      <c r="B18" s="38" t="s">
        <v>529</v>
      </c>
      <c r="C18" s="38">
        <v>1</v>
      </c>
      <c r="D18" s="45" t="str">
        <f t="shared" si="1"/>
        <v>PS-16-OZ1</v>
      </c>
      <c r="E18" s="48" t="str">
        <f t="shared" si="2"/>
        <v>Poste de Sectionnement n°16 OZ1</v>
      </c>
      <c r="F18" s="19">
        <v>24053</v>
      </c>
      <c r="G18" s="19">
        <v>24053</v>
      </c>
      <c r="H18" s="41" t="s">
        <v>20</v>
      </c>
      <c r="I18" s="41">
        <v>1</v>
      </c>
      <c r="J18" s="41" t="s">
        <v>3557</v>
      </c>
      <c r="K18" s="41">
        <v>16</v>
      </c>
      <c r="L18" s="41"/>
      <c r="M18" s="41" t="s">
        <v>300</v>
      </c>
      <c r="N18" s="41" t="s">
        <v>735</v>
      </c>
      <c r="O18" s="49">
        <f t="shared" si="3"/>
        <v>620</v>
      </c>
      <c r="P18" s="43">
        <f t="shared" si="4"/>
        <v>669.30200000000002</v>
      </c>
      <c r="Q18" s="41" t="s">
        <v>755</v>
      </c>
      <c r="R18" s="48" t="str">
        <f t="shared" si="5"/>
        <v>(16,'PS-16-OZ1','Poste de Sectionnement n°16 OZ1','Sunday-11-jj','Sunday-11-jj',NULL,1,),</v>
      </c>
    </row>
    <row r="19" spans="1:18" ht="20.100000000000001" hidden="1" customHeight="1" x14ac:dyDescent="0.25">
      <c r="A19" s="38">
        <v>17</v>
      </c>
      <c r="B19" s="38" t="s">
        <v>529</v>
      </c>
      <c r="C19" s="38">
        <v>1</v>
      </c>
      <c r="D19" s="45" t="str">
        <f t="shared" si="1"/>
        <v>PS-17-OZ1</v>
      </c>
      <c r="E19" s="48" t="str">
        <f t="shared" si="2"/>
        <v>Poste de Sectionnement n°17 OZ1</v>
      </c>
      <c r="F19" s="19">
        <v>24053</v>
      </c>
      <c r="G19" s="19">
        <v>24053</v>
      </c>
      <c r="H19" s="41" t="s">
        <v>20</v>
      </c>
      <c r="I19" s="41">
        <v>1</v>
      </c>
      <c r="J19" s="41" t="s">
        <v>3557</v>
      </c>
      <c r="K19" s="41">
        <v>16</v>
      </c>
      <c r="L19" s="41"/>
      <c r="M19" s="41" t="s">
        <v>300</v>
      </c>
      <c r="N19" s="41" t="s">
        <v>736</v>
      </c>
      <c r="O19" s="49">
        <f t="shared" si="3"/>
        <v>270</v>
      </c>
      <c r="P19" s="43">
        <f t="shared" si="4"/>
        <v>701.54399999999998</v>
      </c>
      <c r="Q19" s="41" t="s">
        <v>756</v>
      </c>
      <c r="R19" s="48" t="str">
        <f t="shared" si="5"/>
        <v>(17,'PS-17-OZ1','Poste de Sectionnement n°17 OZ1','Sunday-11-jj','Sunday-11-jj',NULL,1,),</v>
      </c>
    </row>
    <row r="20" spans="1:18" ht="20.100000000000001" hidden="1" customHeight="1" x14ac:dyDescent="0.25">
      <c r="A20" s="38">
        <v>18</v>
      </c>
      <c r="B20" s="38" t="s">
        <v>529</v>
      </c>
      <c r="C20" s="38">
        <v>1</v>
      </c>
      <c r="D20" s="45" t="str">
        <f t="shared" si="1"/>
        <v>PS-18-OZ1</v>
      </c>
      <c r="E20" s="48" t="str">
        <f t="shared" si="2"/>
        <v>Poste de Sectionnement n°18 OZ1</v>
      </c>
      <c r="F20" s="19">
        <v>24053</v>
      </c>
      <c r="G20" s="19">
        <v>24053</v>
      </c>
      <c r="H20" s="41" t="s">
        <v>20</v>
      </c>
      <c r="I20" s="41">
        <v>1</v>
      </c>
      <c r="J20" s="41" t="s">
        <v>3557</v>
      </c>
      <c r="K20" s="41">
        <v>16</v>
      </c>
      <c r="L20" s="41"/>
      <c r="M20" s="41" t="s">
        <v>300</v>
      </c>
      <c r="N20" s="41" t="s">
        <v>737</v>
      </c>
      <c r="O20" s="49">
        <f t="shared" si="3"/>
        <v>87</v>
      </c>
      <c r="P20" s="43">
        <f t="shared" si="4"/>
        <v>715.88499999999999</v>
      </c>
      <c r="Q20" s="41" t="s">
        <v>757</v>
      </c>
      <c r="R20" s="48" t="str">
        <f t="shared" si="5"/>
        <v>(18,'PS-18-OZ1','Poste de Sectionnement n°18 OZ1','Sunday-11-jj','Sunday-11-jj',NULL,1,),</v>
      </c>
    </row>
    <row r="21" spans="1:18" ht="20.100000000000001" hidden="1" customHeight="1" x14ac:dyDescent="0.25">
      <c r="A21" s="38">
        <v>19</v>
      </c>
      <c r="B21" s="38" t="s">
        <v>529</v>
      </c>
      <c r="C21" s="38">
        <v>1</v>
      </c>
      <c r="D21" s="45" t="str">
        <f t="shared" si="1"/>
        <v>PS-19-OZ1</v>
      </c>
      <c r="E21" s="48" t="str">
        <f t="shared" si="2"/>
        <v>Poste de Sectionnement n°19 OZ1</v>
      </c>
      <c r="F21" s="19">
        <v>24053</v>
      </c>
      <c r="G21" s="19">
        <v>24053</v>
      </c>
      <c r="H21" s="41" t="s">
        <v>20</v>
      </c>
      <c r="I21" s="41">
        <v>1</v>
      </c>
      <c r="J21" s="41" t="s">
        <v>3557</v>
      </c>
      <c r="K21" s="41">
        <v>16</v>
      </c>
      <c r="L21" s="41"/>
      <c r="M21" s="41" t="s">
        <v>300</v>
      </c>
      <c r="N21" s="41" t="s">
        <v>738</v>
      </c>
      <c r="O21" s="49">
        <f t="shared" si="3"/>
        <v>25</v>
      </c>
      <c r="P21" s="43">
        <f t="shared" si="4"/>
        <v>758.279</v>
      </c>
      <c r="Q21" s="41" t="s">
        <v>758</v>
      </c>
      <c r="R21" s="48" t="str">
        <f t="shared" si="5"/>
        <v>(19,'PS-19-OZ1','Poste de Sectionnement n°19 OZ1','Sunday-11-jj','Sunday-11-jj',NULL,1,),</v>
      </c>
    </row>
    <row r="22" spans="1:18" ht="20.100000000000001" hidden="1" customHeight="1" x14ac:dyDescent="0.25">
      <c r="A22" s="38">
        <v>20</v>
      </c>
      <c r="B22" s="38" t="s">
        <v>529</v>
      </c>
      <c r="C22" s="38">
        <v>1</v>
      </c>
      <c r="D22" s="45" t="str">
        <f t="shared" si="1"/>
        <v>PS-20-OZ1</v>
      </c>
      <c r="E22" s="48" t="str">
        <f t="shared" si="2"/>
        <v>Poste de Sectionnement n°20 OZ1</v>
      </c>
      <c r="F22" s="19">
        <v>24053</v>
      </c>
      <c r="G22" s="19">
        <v>24053</v>
      </c>
      <c r="H22" s="41" t="s">
        <v>20</v>
      </c>
      <c r="I22" s="41">
        <v>1</v>
      </c>
      <c r="J22" s="41" t="s">
        <v>3557</v>
      </c>
      <c r="K22" s="41">
        <v>16</v>
      </c>
      <c r="L22" s="41"/>
      <c r="M22" s="41" t="s">
        <v>300</v>
      </c>
      <c r="N22" s="41" t="s">
        <v>739</v>
      </c>
      <c r="O22" s="49">
        <f t="shared" si="3"/>
        <v>8</v>
      </c>
      <c r="P22" s="43">
        <f t="shared" si="4"/>
        <v>781.59400000000005</v>
      </c>
      <c r="Q22" s="41" t="s">
        <v>758</v>
      </c>
      <c r="R22" s="48" t="str">
        <f t="shared" si="5"/>
        <v>(20,'PS-20-OZ1','Poste de Sectionnement n°20 OZ1','Sunday-11-jj','Sunday-11-jj',NULL,1,),</v>
      </c>
    </row>
    <row r="23" spans="1:18" ht="20.100000000000001" hidden="1" customHeight="1" x14ac:dyDescent="0.25">
      <c r="A23" s="38">
        <v>21</v>
      </c>
      <c r="B23" s="38" t="s">
        <v>529</v>
      </c>
      <c r="C23" s="38">
        <v>1</v>
      </c>
      <c r="D23" s="45" t="str">
        <f t="shared" si="1"/>
        <v>PS-21-OZ1</v>
      </c>
      <c r="E23" s="48" t="str">
        <f t="shared" si="2"/>
        <v>Poste de Sectionnement n°21 OZ1</v>
      </c>
      <c r="F23" s="19">
        <v>24053</v>
      </c>
      <c r="G23" s="19">
        <v>24053</v>
      </c>
      <c r="H23" s="41" t="s">
        <v>20</v>
      </c>
      <c r="I23" s="41">
        <v>1</v>
      </c>
      <c r="J23" s="41" t="s">
        <v>3557</v>
      </c>
      <c r="K23" s="41">
        <v>16</v>
      </c>
      <c r="L23" s="41"/>
      <c r="M23" s="41" t="s">
        <v>300</v>
      </c>
      <c r="N23" s="41" t="s">
        <v>740</v>
      </c>
      <c r="O23" s="49">
        <f t="shared" si="3"/>
        <v>8</v>
      </c>
      <c r="P23" s="43">
        <f t="shared" si="4"/>
        <v>781.72</v>
      </c>
      <c r="Q23" s="41" t="s">
        <v>759</v>
      </c>
      <c r="R23" s="48" t="str">
        <f t="shared" si="5"/>
        <v>(21,'PS-21-OZ1','Poste de Sectionnement n°21 OZ1','Sunday-11-jj','Sunday-11-jj',NULL,1,),</v>
      </c>
    </row>
    <row r="24" spans="1:18" ht="20.100000000000001" hidden="1" customHeight="1" x14ac:dyDescent="0.25">
      <c r="A24" s="38">
        <v>1</v>
      </c>
      <c r="B24" s="38" t="s">
        <v>529</v>
      </c>
      <c r="C24" s="38">
        <v>1</v>
      </c>
      <c r="D24" s="45" t="str">
        <f t="shared" si="1"/>
        <v>PS-01-OZ2</v>
      </c>
      <c r="E24" s="48" t="str">
        <f t="shared" si="2"/>
        <v>Poste de Sectionnement n°01 OZ2</v>
      </c>
      <c r="F24" s="19">
        <v>37851</v>
      </c>
      <c r="G24" s="19">
        <v>37851</v>
      </c>
      <c r="H24" s="41" t="s">
        <v>20</v>
      </c>
      <c r="I24" s="41">
        <v>1</v>
      </c>
      <c r="J24" s="41" t="s">
        <v>3557</v>
      </c>
      <c r="K24" s="41">
        <v>16</v>
      </c>
      <c r="L24" s="41"/>
      <c r="M24" s="41" t="s">
        <v>302</v>
      </c>
      <c r="N24" s="41" t="s">
        <v>760</v>
      </c>
      <c r="O24" s="49">
        <f t="shared" ref="O24:O48" si="6">VALUE(RIGHT(N24,LEN(N24)-SEARCH("/",N24)))</f>
        <v>142</v>
      </c>
      <c r="P24" s="43">
        <f t="shared" ref="P24:P48" si="7">VALUE(SUBSTITUTE(LEFT(N24,SEARCH("/",N24)-1),"+",","))</f>
        <v>22</v>
      </c>
      <c r="Q24" s="41" t="s">
        <v>785</v>
      </c>
      <c r="R24" s="48" t="str">
        <f t="shared" si="5"/>
        <v>(1,'PS-01-OZ2','Poste de Sectionnement n°01 OZ2','Monday-08-jj','Monday-08-jj',NULL,1,),</v>
      </c>
    </row>
    <row r="25" spans="1:18" ht="20.100000000000001" hidden="1" customHeight="1" x14ac:dyDescent="0.25">
      <c r="A25" s="38">
        <v>2</v>
      </c>
      <c r="B25" s="38" t="s">
        <v>529</v>
      </c>
      <c r="C25" s="38">
        <v>1</v>
      </c>
      <c r="D25" s="45" t="str">
        <f t="shared" si="1"/>
        <v>PS-02-OZ2</v>
      </c>
      <c r="E25" s="48" t="str">
        <f t="shared" si="2"/>
        <v>Poste de Sectionnement n°02 OZ2</v>
      </c>
      <c r="F25" s="19">
        <v>37851</v>
      </c>
      <c r="G25" s="19">
        <v>37851</v>
      </c>
      <c r="H25" s="41" t="s">
        <v>20</v>
      </c>
      <c r="I25" s="41">
        <v>1</v>
      </c>
      <c r="J25" s="41" t="s">
        <v>3557</v>
      </c>
      <c r="K25" s="41">
        <v>16</v>
      </c>
      <c r="L25" s="41"/>
      <c r="M25" s="41" t="s">
        <v>302</v>
      </c>
      <c r="N25" s="41" t="s">
        <v>761</v>
      </c>
      <c r="O25" s="49">
        <f t="shared" si="6"/>
        <v>149</v>
      </c>
      <c r="P25" s="43">
        <f t="shared" si="7"/>
        <v>43.9</v>
      </c>
      <c r="Q25" s="41" t="s">
        <v>786</v>
      </c>
      <c r="R25" s="48" t="str">
        <f t="shared" si="5"/>
        <v>(2,'PS-02-OZ2','Poste de Sectionnement n°02 OZ2','Monday-08-jj','Monday-08-jj',NULL,1,),</v>
      </c>
    </row>
    <row r="26" spans="1:18" ht="20.100000000000001" hidden="1" customHeight="1" x14ac:dyDescent="0.25">
      <c r="A26" s="38">
        <v>3</v>
      </c>
      <c r="B26" s="38" t="s">
        <v>529</v>
      </c>
      <c r="C26" s="38">
        <v>1</v>
      </c>
      <c r="D26" s="45" t="str">
        <f t="shared" si="1"/>
        <v>PS-03-OZ2</v>
      </c>
      <c r="E26" s="48" t="str">
        <f t="shared" si="2"/>
        <v>Poste de Sectionnement n°03 OZ2</v>
      </c>
      <c r="F26" s="19">
        <v>37851</v>
      </c>
      <c r="G26" s="19">
        <v>37851</v>
      </c>
      <c r="H26" s="41" t="s">
        <v>20</v>
      </c>
      <c r="I26" s="41">
        <v>1</v>
      </c>
      <c r="J26" s="41" t="s">
        <v>3557</v>
      </c>
      <c r="K26" s="41">
        <v>16</v>
      </c>
      <c r="L26" s="41"/>
      <c r="M26" s="41" t="s">
        <v>302</v>
      </c>
      <c r="N26" s="41" t="s">
        <v>762</v>
      </c>
      <c r="O26" s="49">
        <f t="shared" si="6"/>
        <v>186</v>
      </c>
      <c r="P26" s="43">
        <f t="shared" si="7"/>
        <v>73</v>
      </c>
      <c r="Q26" s="41" t="s">
        <v>744</v>
      </c>
      <c r="R26" s="48" t="str">
        <f t="shared" si="5"/>
        <v>(3,'PS-03-OZ2','Poste de Sectionnement n°03 OZ2','Monday-08-jj','Monday-08-jj',NULL,1,),</v>
      </c>
    </row>
    <row r="27" spans="1:18" ht="20.100000000000001" hidden="1" customHeight="1" x14ac:dyDescent="0.25">
      <c r="A27" s="38">
        <v>4</v>
      </c>
      <c r="B27" s="38" t="s">
        <v>529</v>
      </c>
      <c r="C27" s="38">
        <v>1</v>
      </c>
      <c r="D27" s="45" t="str">
        <f t="shared" si="1"/>
        <v>PS-04-OZ2</v>
      </c>
      <c r="E27" s="48" t="str">
        <f t="shared" si="2"/>
        <v>Poste de Sectionnement n°04 OZ2</v>
      </c>
      <c r="F27" s="19">
        <v>37851</v>
      </c>
      <c r="G27" s="19">
        <v>37851</v>
      </c>
      <c r="H27" s="41" t="s">
        <v>20</v>
      </c>
      <c r="I27" s="41">
        <v>1</v>
      </c>
      <c r="J27" s="41" t="s">
        <v>3557</v>
      </c>
      <c r="K27" s="41">
        <v>16</v>
      </c>
      <c r="L27" s="41"/>
      <c r="M27" s="41" t="s">
        <v>302</v>
      </c>
      <c r="N27" s="41" t="s">
        <v>763</v>
      </c>
      <c r="O27" s="49">
        <f t="shared" si="6"/>
        <v>223</v>
      </c>
      <c r="P27" s="43">
        <f t="shared" si="7"/>
        <v>102</v>
      </c>
      <c r="Q27" s="41" t="s">
        <v>744</v>
      </c>
      <c r="R27" s="48" t="str">
        <f t="shared" si="5"/>
        <v>(4,'PS-04-OZ2','Poste de Sectionnement n°04 OZ2','Monday-08-jj','Monday-08-jj',NULL,1,),</v>
      </c>
    </row>
    <row r="28" spans="1:18" ht="20.100000000000001" hidden="1" customHeight="1" x14ac:dyDescent="0.25">
      <c r="A28" s="38">
        <v>5</v>
      </c>
      <c r="B28" s="38" t="s">
        <v>529</v>
      </c>
      <c r="C28" s="38">
        <v>1</v>
      </c>
      <c r="D28" s="45" t="str">
        <f t="shared" si="1"/>
        <v>PS-05-OZ2</v>
      </c>
      <c r="E28" s="48" t="str">
        <f t="shared" si="2"/>
        <v>Poste de Sectionnement n°05 OZ2</v>
      </c>
      <c r="F28" s="19">
        <v>37851</v>
      </c>
      <c r="G28" s="19">
        <v>37851</v>
      </c>
      <c r="H28" s="41" t="s">
        <v>20</v>
      </c>
      <c r="I28" s="41">
        <v>1</v>
      </c>
      <c r="J28" s="41" t="s">
        <v>3557</v>
      </c>
      <c r="K28" s="41">
        <v>16</v>
      </c>
      <c r="L28" s="41"/>
      <c r="M28" s="41" t="s">
        <v>302</v>
      </c>
      <c r="N28" s="41" t="s">
        <v>764</v>
      </c>
      <c r="O28" s="49">
        <f t="shared" si="6"/>
        <v>300</v>
      </c>
      <c r="P28" s="43">
        <f t="shared" si="7"/>
        <v>150</v>
      </c>
      <c r="Q28" s="41" t="s">
        <v>744</v>
      </c>
      <c r="R28" s="48" t="str">
        <f t="shared" si="5"/>
        <v>(5,'PS-05-OZ2','Poste de Sectionnement n°05 OZ2','Monday-08-jj','Monday-08-jj',NULL,1,),</v>
      </c>
    </row>
    <row r="29" spans="1:18" ht="20.100000000000001" hidden="1" customHeight="1" x14ac:dyDescent="0.25">
      <c r="A29" s="38">
        <v>6</v>
      </c>
      <c r="B29" s="38" t="s">
        <v>529</v>
      </c>
      <c r="C29" s="38">
        <v>1</v>
      </c>
      <c r="D29" s="45" t="str">
        <f t="shared" si="1"/>
        <v>PS-06-OZ2</v>
      </c>
      <c r="E29" s="48" t="str">
        <f t="shared" si="2"/>
        <v>Poste de Sectionnement n°06 OZ2</v>
      </c>
      <c r="F29" s="19">
        <v>37851</v>
      </c>
      <c r="G29" s="19">
        <v>37851</v>
      </c>
      <c r="H29" s="41" t="s">
        <v>20</v>
      </c>
      <c r="I29" s="41">
        <v>1</v>
      </c>
      <c r="J29" s="41" t="s">
        <v>3557</v>
      </c>
      <c r="K29" s="41">
        <v>16</v>
      </c>
      <c r="L29" s="41"/>
      <c r="M29" s="41" t="s">
        <v>302</v>
      </c>
      <c r="N29" s="41" t="s">
        <v>765</v>
      </c>
      <c r="O29" s="49">
        <f t="shared" si="6"/>
        <v>350</v>
      </c>
      <c r="P29" s="43">
        <f t="shared" si="7"/>
        <v>180</v>
      </c>
      <c r="Q29" s="41" t="s">
        <v>787</v>
      </c>
      <c r="R29" s="48" t="str">
        <f t="shared" si="5"/>
        <v>(6,'PS-06-OZ2','Poste de Sectionnement n°06 OZ2','Monday-08-jj','Monday-08-jj',NULL,1,),</v>
      </c>
    </row>
    <row r="30" spans="1:18" ht="20.100000000000001" hidden="1" customHeight="1" x14ac:dyDescent="0.25">
      <c r="A30" s="38">
        <v>7</v>
      </c>
      <c r="B30" s="38" t="s">
        <v>529</v>
      </c>
      <c r="C30" s="38">
        <v>1</v>
      </c>
      <c r="D30" s="45" t="str">
        <f t="shared" si="1"/>
        <v>PS-07-OZ2</v>
      </c>
      <c r="E30" s="48" t="str">
        <f t="shared" si="2"/>
        <v>Poste de Sectionnement n°07 OZ2</v>
      </c>
      <c r="F30" s="19">
        <v>37851</v>
      </c>
      <c r="G30" s="19">
        <v>37851</v>
      </c>
      <c r="H30" s="41" t="s">
        <v>20</v>
      </c>
      <c r="I30" s="41">
        <v>1</v>
      </c>
      <c r="J30" s="41" t="s">
        <v>3557</v>
      </c>
      <c r="K30" s="41">
        <v>16</v>
      </c>
      <c r="L30" s="41"/>
      <c r="M30" s="41" t="s">
        <v>302</v>
      </c>
      <c r="N30" s="41" t="s">
        <v>766</v>
      </c>
      <c r="O30" s="49">
        <f t="shared" si="6"/>
        <v>467</v>
      </c>
      <c r="P30" s="43">
        <f t="shared" si="7"/>
        <v>210</v>
      </c>
      <c r="Q30" s="41" t="s">
        <v>788</v>
      </c>
      <c r="R30" s="48" t="str">
        <f t="shared" si="5"/>
        <v>(7,'PS-07-OZ2','Poste de Sectionnement n°07 OZ2','Monday-08-jj','Monday-08-jj',NULL,1,),</v>
      </c>
    </row>
    <row r="31" spans="1:18" ht="20.100000000000001" hidden="1" customHeight="1" x14ac:dyDescent="0.25">
      <c r="A31" s="38">
        <v>8</v>
      </c>
      <c r="B31" s="38" t="s">
        <v>529</v>
      </c>
      <c r="C31" s="38">
        <v>1</v>
      </c>
      <c r="D31" s="45" t="str">
        <f t="shared" si="1"/>
        <v>PS-08-OZ2</v>
      </c>
      <c r="E31" s="48" t="str">
        <f t="shared" si="2"/>
        <v>Poste de Sectionnement n°08 OZ2</v>
      </c>
      <c r="F31" s="19">
        <v>37851</v>
      </c>
      <c r="G31" s="19">
        <v>37851</v>
      </c>
      <c r="H31" s="41" t="s">
        <v>20</v>
      </c>
      <c r="I31" s="41">
        <v>1</v>
      </c>
      <c r="J31" s="41" t="s">
        <v>3557</v>
      </c>
      <c r="K31" s="41">
        <v>16</v>
      </c>
      <c r="L31" s="41"/>
      <c r="M31" s="41" t="s">
        <v>302</v>
      </c>
      <c r="N31" s="41" t="s">
        <v>767</v>
      </c>
      <c r="O31" s="49">
        <f t="shared" si="6"/>
        <v>566</v>
      </c>
      <c r="P31" s="43">
        <f t="shared" si="7"/>
        <v>236.5</v>
      </c>
      <c r="Q31" s="41" t="s">
        <v>746</v>
      </c>
      <c r="R31" s="48" t="str">
        <f t="shared" si="5"/>
        <v>(8,'PS-08-OZ2','Poste de Sectionnement n°08 OZ2','Monday-08-jj','Monday-08-jj',NULL,1,),</v>
      </c>
    </row>
    <row r="32" spans="1:18" ht="20.100000000000001" hidden="1" customHeight="1" x14ac:dyDescent="0.25">
      <c r="A32" s="38">
        <v>9</v>
      </c>
      <c r="B32" s="38" t="s">
        <v>529</v>
      </c>
      <c r="C32" s="38">
        <v>1</v>
      </c>
      <c r="D32" s="45" t="str">
        <f t="shared" si="1"/>
        <v>PS-09-OZ2</v>
      </c>
      <c r="E32" s="48" t="str">
        <f t="shared" si="2"/>
        <v>Poste de Sectionnement n°09 OZ2</v>
      </c>
      <c r="F32" s="19">
        <v>37851</v>
      </c>
      <c r="G32" s="19">
        <v>37851</v>
      </c>
      <c r="H32" s="41" t="s">
        <v>20</v>
      </c>
      <c r="I32" s="41">
        <v>1</v>
      </c>
      <c r="J32" s="41" t="s">
        <v>3557</v>
      </c>
      <c r="K32" s="41">
        <v>16</v>
      </c>
      <c r="L32" s="41"/>
      <c r="M32" s="41" t="s">
        <v>302</v>
      </c>
      <c r="N32" s="41" t="s">
        <v>768</v>
      </c>
      <c r="O32" s="49">
        <f t="shared" si="6"/>
        <v>688</v>
      </c>
      <c r="P32" s="43">
        <f t="shared" si="7"/>
        <v>265.75</v>
      </c>
      <c r="Q32" s="41" t="s">
        <v>789</v>
      </c>
      <c r="R32" s="48" t="str">
        <f t="shared" si="5"/>
        <v>(9,'PS-09-OZ2','Poste de Sectionnement n°09 OZ2','Monday-08-jj','Monday-08-jj',NULL,1,),</v>
      </c>
    </row>
    <row r="33" spans="1:18" ht="20.100000000000001" hidden="1" customHeight="1" x14ac:dyDescent="0.25">
      <c r="A33" s="38">
        <v>10</v>
      </c>
      <c r="B33" s="38" t="s">
        <v>529</v>
      </c>
      <c r="C33" s="38">
        <v>1</v>
      </c>
      <c r="D33" s="45" t="str">
        <f t="shared" si="1"/>
        <v>PS-10-OZ2</v>
      </c>
      <c r="E33" s="48" t="str">
        <f t="shared" si="2"/>
        <v>Poste de Sectionnement n°10 OZ2</v>
      </c>
      <c r="F33" s="19">
        <v>37851</v>
      </c>
      <c r="G33" s="19">
        <v>37851</v>
      </c>
      <c r="H33" s="41" t="s">
        <v>20</v>
      </c>
      <c r="I33" s="41">
        <v>1</v>
      </c>
      <c r="J33" s="41" t="s">
        <v>3557</v>
      </c>
      <c r="K33" s="41">
        <v>16</v>
      </c>
      <c r="L33" s="41"/>
      <c r="M33" s="41" t="s">
        <v>302</v>
      </c>
      <c r="N33" s="41" t="s">
        <v>769</v>
      </c>
      <c r="O33" s="49">
        <f t="shared" si="6"/>
        <v>756</v>
      </c>
      <c r="P33" s="43">
        <f t="shared" si="7"/>
        <v>295.5</v>
      </c>
      <c r="Q33" s="41" t="s">
        <v>790</v>
      </c>
      <c r="R33" s="48" t="str">
        <f t="shared" si="5"/>
        <v>(10,'PS-10-OZ2','Poste de Sectionnement n°10 OZ2','Monday-08-jj','Monday-08-jj',NULL,1,),</v>
      </c>
    </row>
    <row r="34" spans="1:18" ht="20.100000000000001" hidden="1" customHeight="1" x14ac:dyDescent="0.25">
      <c r="A34" s="38">
        <v>11</v>
      </c>
      <c r="B34" s="38" t="s">
        <v>529</v>
      </c>
      <c r="C34" s="38">
        <v>1</v>
      </c>
      <c r="D34" s="45" t="str">
        <f t="shared" si="1"/>
        <v>PS-11-OZ2</v>
      </c>
      <c r="E34" s="48" t="str">
        <f t="shared" si="2"/>
        <v>Poste de Sectionnement n°11 OZ2</v>
      </c>
      <c r="F34" s="19">
        <v>37851</v>
      </c>
      <c r="G34" s="19">
        <v>37851</v>
      </c>
      <c r="H34" s="41" t="s">
        <v>20</v>
      </c>
      <c r="I34" s="41">
        <v>1</v>
      </c>
      <c r="J34" s="41" t="s">
        <v>3557</v>
      </c>
      <c r="K34" s="41">
        <v>16</v>
      </c>
      <c r="L34" s="41"/>
      <c r="M34" s="41" t="s">
        <v>302</v>
      </c>
      <c r="N34" s="41" t="s">
        <v>770</v>
      </c>
      <c r="O34" s="49">
        <f t="shared" si="6"/>
        <v>766</v>
      </c>
      <c r="P34" s="43">
        <f t="shared" si="7"/>
        <v>330</v>
      </c>
      <c r="Q34" s="41" t="s">
        <v>790</v>
      </c>
      <c r="R34" s="48" t="str">
        <f t="shared" si="5"/>
        <v>(11,'PS-11-OZ2','Poste de Sectionnement n°11 OZ2','Monday-08-jj','Monday-08-jj',NULL,1,),</v>
      </c>
    </row>
    <row r="35" spans="1:18" ht="20.100000000000001" hidden="1" customHeight="1" x14ac:dyDescent="0.25">
      <c r="A35" s="38">
        <v>12</v>
      </c>
      <c r="B35" s="38" t="s">
        <v>529</v>
      </c>
      <c r="C35" s="38">
        <v>1</v>
      </c>
      <c r="D35" s="45" t="str">
        <f t="shared" si="1"/>
        <v>PS-12-OZ2</v>
      </c>
      <c r="E35" s="48" t="str">
        <f t="shared" si="2"/>
        <v>Poste de Sectionnement n°12 OZ2</v>
      </c>
      <c r="F35" s="19">
        <v>37851</v>
      </c>
      <c r="G35" s="19">
        <v>37851</v>
      </c>
      <c r="H35" s="41" t="s">
        <v>20</v>
      </c>
      <c r="I35" s="41">
        <v>1</v>
      </c>
      <c r="J35" s="41" t="s">
        <v>3557</v>
      </c>
      <c r="K35" s="41">
        <v>16</v>
      </c>
      <c r="L35" s="41"/>
      <c r="M35" s="41" t="s">
        <v>302</v>
      </c>
      <c r="N35" s="41" t="s">
        <v>771</v>
      </c>
      <c r="O35" s="49">
        <f t="shared" si="6"/>
        <v>848</v>
      </c>
      <c r="P35" s="43">
        <f t="shared" si="7"/>
        <v>360</v>
      </c>
      <c r="Q35" s="41" t="s">
        <v>791</v>
      </c>
      <c r="R35" s="48" t="str">
        <f t="shared" si="5"/>
        <v>(12,'PS-12-OZ2','Poste de Sectionnement n°12 OZ2','Monday-08-jj','Monday-08-jj',NULL,1,),</v>
      </c>
    </row>
    <row r="36" spans="1:18" ht="20.100000000000001" hidden="1" customHeight="1" x14ac:dyDescent="0.25">
      <c r="A36" s="38">
        <v>13</v>
      </c>
      <c r="B36" s="38" t="s">
        <v>529</v>
      </c>
      <c r="C36" s="38">
        <v>1</v>
      </c>
      <c r="D36" s="45" t="str">
        <f t="shared" si="1"/>
        <v>PS-13-OZ2</v>
      </c>
      <c r="E36" s="48" t="str">
        <f t="shared" si="2"/>
        <v>Poste de Sectionnement n°13 OZ2</v>
      </c>
      <c r="F36" s="19">
        <v>37851</v>
      </c>
      <c r="G36" s="19">
        <v>37851</v>
      </c>
      <c r="H36" s="41" t="s">
        <v>20</v>
      </c>
      <c r="I36" s="41">
        <v>1</v>
      </c>
      <c r="J36" s="41" t="s">
        <v>3557</v>
      </c>
      <c r="K36" s="41">
        <v>16</v>
      </c>
      <c r="L36" s="41"/>
      <c r="M36" s="41" t="s">
        <v>302</v>
      </c>
      <c r="N36" s="41" t="s">
        <v>772</v>
      </c>
      <c r="O36" s="49">
        <f t="shared" si="6"/>
        <v>790</v>
      </c>
      <c r="P36" s="43">
        <f t="shared" si="7"/>
        <v>390</v>
      </c>
      <c r="Q36" s="41" t="s">
        <v>792</v>
      </c>
      <c r="R36" s="48" t="str">
        <f t="shared" si="5"/>
        <v>(13,'PS-13-OZ2','Poste de Sectionnement n°13 OZ2','Monday-08-jj','Monday-08-jj',NULL,1,),</v>
      </c>
    </row>
    <row r="37" spans="1:18" ht="20.100000000000001" hidden="1" customHeight="1" x14ac:dyDescent="0.25">
      <c r="A37" s="38">
        <v>14</v>
      </c>
      <c r="B37" s="38" t="s">
        <v>529</v>
      </c>
      <c r="C37" s="38">
        <v>1</v>
      </c>
      <c r="D37" s="45" t="str">
        <f t="shared" si="1"/>
        <v>PS-14-OZ2</v>
      </c>
      <c r="E37" s="48" t="str">
        <f t="shared" si="2"/>
        <v>Poste de Sectionnement n°14 OZ2</v>
      </c>
      <c r="F37" s="19">
        <v>37851</v>
      </c>
      <c r="G37" s="19">
        <v>37851</v>
      </c>
      <c r="H37" s="41" t="s">
        <v>20</v>
      </c>
      <c r="I37" s="41">
        <v>1</v>
      </c>
      <c r="J37" s="41" t="s">
        <v>3557</v>
      </c>
      <c r="K37" s="41">
        <v>16</v>
      </c>
      <c r="L37" s="41"/>
      <c r="M37" s="41" t="s">
        <v>302</v>
      </c>
      <c r="N37" s="41" t="s">
        <v>773</v>
      </c>
      <c r="O37" s="49">
        <f t="shared" si="6"/>
        <v>1050</v>
      </c>
      <c r="P37" s="43">
        <f t="shared" si="7"/>
        <v>445</v>
      </c>
      <c r="Q37" s="41" t="s">
        <v>793</v>
      </c>
      <c r="R37" s="48" t="str">
        <f t="shared" si="5"/>
        <v>(14,'PS-14-OZ2','Poste de Sectionnement n°14 OZ2','Monday-08-jj','Monday-08-jj',NULL,1,),</v>
      </c>
    </row>
    <row r="38" spans="1:18" ht="20.100000000000001" hidden="1" customHeight="1" x14ac:dyDescent="0.25">
      <c r="A38" s="38">
        <v>15</v>
      </c>
      <c r="B38" s="38" t="s">
        <v>529</v>
      </c>
      <c r="C38" s="38">
        <v>1</v>
      </c>
      <c r="D38" s="45" t="str">
        <f t="shared" si="1"/>
        <v>PS-15-OZ2</v>
      </c>
      <c r="E38" s="48" t="str">
        <f t="shared" si="2"/>
        <v>Poste de Sectionnement n°15 OZ2</v>
      </c>
      <c r="F38" s="19">
        <v>37851</v>
      </c>
      <c r="G38" s="19">
        <v>37851</v>
      </c>
      <c r="H38" s="41" t="s">
        <v>20</v>
      </c>
      <c r="I38" s="41">
        <v>1</v>
      </c>
      <c r="J38" s="41" t="s">
        <v>3557</v>
      </c>
      <c r="K38" s="41">
        <v>16</v>
      </c>
      <c r="L38" s="41"/>
      <c r="M38" s="41" t="s">
        <v>302</v>
      </c>
      <c r="N38" s="41" t="s">
        <v>774</v>
      </c>
      <c r="O38" s="49">
        <f t="shared" si="6"/>
        <v>1215</v>
      </c>
      <c r="P38" s="43">
        <f t="shared" si="7"/>
        <v>475</v>
      </c>
      <c r="Q38" s="41" t="s">
        <v>794</v>
      </c>
      <c r="R38" s="48" t="str">
        <f t="shared" si="5"/>
        <v>(15,'PS-15-OZ2','Poste de Sectionnement n°15 OZ2','Monday-08-jj','Monday-08-jj',NULL,1,),</v>
      </c>
    </row>
    <row r="39" spans="1:18" ht="20.100000000000001" hidden="1" customHeight="1" x14ac:dyDescent="0.25">
      <c r="A39" s="38">
        <v>16</v>
      </c>
      <c r="B39" s="38" t="s">
        <v>529</v>
      </c>
      <c r="C39" s="38">
        <v>1</v>
      </c>
      <c r="D39" s="45" t="str">
        <f t="shared" si="1"/>
        <v>PS-16-OZ2</v>
      </c>
      <c r="E39" s="48" t="str">
        <f t="shared" si="2"/>
        <v>Poste de Sectionnement n°16 OZ2</v>
      </c>
      <c r="F39" s="19">
        <v>37851</v>
      </c>
      <c r="G39" s="19">
        <v>37851</v>
      </c>
      <c r="H39" s="41" t="s">
        <v>20</v>
      </c>
      <c r="I39" s="41">
        <v>1</v>
      </c>
      <c r="J39" s="41" t="s">
        <v>3557</v>
      </c>
      <c r="K39" s="41">
        <v>16</v>
      </c>
      <c r="L39" s="41"/>
      <c r="M39" s="41" t="s">
        <v>302</v>
      </c>
      <c r="N39" s="41" t="s">
        <v>775</v>
      </c>
      <c r="O39" s="49">
        <f t="shared" si="6"/>
        <v>986</v>
      </c>
      <c r="P39" s="43">
        <f t="shared" si="7"/>
        <v>505</v>
      </c>
      <c r="Q39" s="41" t="s">
        <v>795</v>
      </c>
      <c r="R39" s="48" t="str">
        <f t="shared" si="5"/>
        <v>(16,'PS-16-OZ2','Poste de Sectionnement n°16 OZ2','Monday-08-jj','Monday-08-jj',NULL,1,),</v>
      </c>
    </row>
    <row r="40" spans="1:18" ht="20.100000000000001" hidden="1" customHeight="1" x14ac:dyDescent="0.25">
      <c r="A40" s="38">
        <v>17</v>
      </c>
      <c r="B40" s="38" t="s">
        <v>529</v>
      </c>
      <c r="C40" s="38">
        <v>1</v>
      </c>
      <c r="D40" s="45" t="str">
        <f t="shared" si="1"/>
        <v>PS-17-OZ2</v>
      </c>
      <c r="E40" s="48" t="str">
        <f t="shared" si="2"/>
        <v>Poste de Sectionnement n°17 OZ2</v>
      </c>
      <c r="F40" s="19">
        <v>37851</v>
      </c>
      <c r="G40" s="19">
        <v>37851</v>
      </c>
      <c r="H40" s="41" t="s">
        <v>20</v>
      </c>
      <c r="I40" s="41">
        <v>1</v>
      </c>
      <c r="J40" s="41" t="s">
        <v>3557</v>
      </c>
      <c r="K40" s="41">
        <v>16</v>
      </c>
      <c r="L40" s="41"/>
      <c r="M40" s="41" t="s">
        <v>302</v>
      </c>
      <c r="N40" s="41" t="s">
        <v>776</v>
      </c>
      <c r="O40" s="49">
        <f t="shared" si="6"/>
        <v>1132</v>
      </c>
      <c r="P40" s="43">
        <f t="shared" si="7"/>
        <v>564.5</v>
      </c>
      <c r="Q40" s="41" t="s">
        <v>752</v>
      </c>
      <c r="R40" s="48" t="str">
        <f t="shared" si="5"/>
        <v>(17,'PS-17-OZ2','Poste de Sectionnement n°17 OZ2','Monday-08-jj','Monday-08-jj',NULL,1,),</v>
      </c>
    </row>
    <row r="41" spans="1:18" ht="20.100000000000001" hidden="1" customHeight="1" x14ac:dyDescent="0.25">
      <c r="A41" s="38">
        <v>18</v>
      </c>
      <c r="B41" s="38" t="s">
        <v>529</v>
      </c>
      <c r="C41" s="38">
        <v>1</v>
      </c>
      <c r="D41" s="45" t="str">
        <f t="shared" si="1"/>
        <v>PS-18-OZ2</v>
      </c>
      <c r="E41" s="48" t="str">
        <f t="shared" si="2"/>
        <v>Poste de Sectionnement n°18 OZ2</v>
      </c>
      <c r="F41" s="19">
        <v>37851</v>
      </c>
      <c r="G41" s="19">
        <v>37851</v>
      </c>
      <c r="H41" s="41" t="s">
        <v>20</v>
      </c>
      <c r="I41" s="41">
        <v>1</v>
      </c>
      <c r="J41" s="41" t="s">
        <v>3557</v>
      </c>
      <c r="K41" s="41">
        <v>16</v>
      </c>
      <c r="L41" s="41"/>
      <c r="M41" s="41" t="s">
        <v>302</v>
      </c>
      <c r="N41" s="41" t="s">
        <v>777</v>
      </c>
      <c r="O41" s="49">
        <f t="shared" si="6"/>
        <v>1225</v>
      </c>
      <c r="P41" s="43">
        <f t="shared" si="7"/>
        <v>594</v>
      </c>
      <c r="Q41" s="41" t="s">
        <v>796</v>
      </c>
      <c r="R41" s="48" t="str">
        <f t="shared" si="5"/>
        <v>(18,'PS-18-OZ2','Poste de Sectionnement n°18 OZ2','Monday-08-jj','Monday-08-jj',NULL,1,),</v>
      </c>
    </row>
    <row r="42" spans="1:18" ht="20.100000000000001" hidden="1" customHeight="1" x14ac:dyDescent="0.25">
      <c r="A42" s="38">
        <v>19</v>
      </c>
      <c r="B42" s="38" t="s">
        <v>529</v>
      </c>
      <c r="C42" s="38">
        <v>1</v>
      </c>
      <c r="D42" s="45" t="str">
        <f t="shared" si="1"/>
        <v>PS-19-OZ2</v>
      </c>
      <c r="E42" s="48" t="str">
        <f t="shared" si="2"/>
        <v>Poste de Sectionnement n°19 OZ2</v>
      </c>
      <c r="F42" s="19">
        <v>37851</v>
      </c>
      <c r="G42" s="19">
        <v>37851</v>
      </c>
      <c r="H42" s="41" t="s">
        <v>20</v>
      </c>
      <c r="I42" s="41">
        <v>1</v>
      </c>
      <c r="J42" s="41" t="s">
        <v>3557</v>
      </c>
      <c r="K42" s="41">
        <v>16</v>
      </c>
      <c r="L42" s="41"/>
      <c r="M42" s="41" t="s">
        <v>302</v>
      </c>
      <c r="N42" s="41" t="s">
        <v>778</v>
      </c>
      <c r="O42" s="49">
        <f t="shared" si="6"/>
        <v>997</v>
      </c>
      <c r="P42" s="43">
        <f t="shared" si="7"/>
        <v>624</v>
      </c>
      <c r="Q42" s="41" t="s">
        <v>797</v>
      </c>
      <c r="R42" s="48" t="str">
        <f t="shared" si="5"/>
        <v>(19,'PS-19-OZ2','Poste de Sectionnement n°19 OZ2','Monday-08-jj','Monday-08-jj',NULL,1,),</v>
      </c>
    </row>
    <row r="43" spans="1:18" ht="20.100000000000001" hidden="1" customHeight="1" x14ac:dyDescent="0.25">
      <c r="A43" s="38">
        <v>20</v>
      </c>
      <c r="B43" s="38" t="s">
        <v>529</v>
      </c>
      <c r="C43" s="38">
        <v>1</v>
      </c>
      <c r="D43" s="45" t="str">
        <f t="shared" si="1"/>
        <v>PS-20-OZ2</v>
      </c>
      <c r="E43" s="48" t="str">
        <f t="shared" si="2"/>
        <v>Poste de Sectionnement n°20 OZ2</v>
      </c>
      <c r="F43" s="19">
        <v>37851</v>
      </c>
      <c r="G43" s="19">
        <v>37851</v>
      </c>
      <c r="H43" s="41" t="s">
        <v>20</v>
      </c>
      <c r="I43" s="41">
        <v>1</v>
      </c>
      <c r="J43" s="41" t="s">
        <v>3557</v>
      </c>
      <c r="K43" s="41">
        <v>16</v>
      </c>
      <c r="L43" s="41"/>
      <c r="M43" s="41" t="s">
        <v>302</v>
      </c>
      <c r="N43" s="41" t="s">
        <v>779</v>
      </c>
      <c r="O43" s="49">
        <f t="shared" si="6"/>
        <v>599</v>
      </c>
      <c r="P43" s="43">
        <f t="shared" si="7"/>
        <v>654</v>
      </c>
      <c r="Q43" s="41" t="s">
        <v>798</v>
      </c>
      <c r="R43" s="48" t="str">
        <f t="shared" si="5"/>
        <v>(20,'PS-20-OZ2','Poste de Sectionnement n°20 OZ2','Monday-08-jj','Monday-08-jj',NULL,1,),</v>
      </c>
    </row>
    <row r="44" spans="1:18" ht="20.100000000000001" hidden="1" customHeight="1" x14ac:dyDescent="0.25">
      <c r="A44" s="38">
        <v>21</v>
      </c>
      <c r="B44" s="38" t="s">
        <v>529</v>
      </c>
      <c r="C44" s="38">
        <v>1</v>
      </c>
      <c r="D44" s="45" t="str">
        <f t="shared" si="1"/>
        <v>PS-21-OZ2</v>
      </c>
      <c r="E44" s="48" t="str">
        <f t="shared" si="2"/>
        <v>Poste de Sectionnement n°21 OZ2</v>
      </c>
      <c r="F44" s="19">
        <v>37851</v>
      </c>
      <c r="G44" s="19">
        <v>37851</v>
      </c>
      <c r="H44" s="41" t="s">
        <v>20</v>
      </c>
      <c r="I44" s="41">
        <v>1</v>
      </c>
      <c r="J44" s="41" t="s">
        <v>3557</v>
      </c>
      <c r="K44" s="41">
        <v>16</v>
      </c>
      <c r="L44" s="41"/>
      <c r="M44" s="41" t="s">
        <v>302</v>
      </c>
      <c r="N44" s="41" t="s">
        <v>780</v>
      </c>
      <c r="O44" s="49">
        <f t="shared" si="6"/>
        <v>553</v>
      </c>
      <c r="P44" s="43">
        <f t="shared" si="7"/>
        <v>684</v>
      </c>
      <c r="Q44" s="41" t="s">
        <v>799</v>
      </c>
      <c r="R44" s="48" t="str">
        <f t="shared" si="5"/>
        <v>(21,'PS-21-OZ2','Poste de Sectionnement n°21 OZ2','Monday-08-jj','Monday-08-jj',NULL,1,),</v>
      </c>
    </row>
    <row r="45" spans="1:18" ht="20.100000000000001" hidden="1" customHeight="1" x14ac:dyDescent="0.25">
      <c r="A45" s="38">
        <v>22</v>
      </c>
      <c r="B45" s="38" t="s">
        <v>529</v>
      </c>
      <c r="C45" s="38">
        <v>1</v>
      </c>
      <c r="D45" s="45" t="str">
        <f t="shared" si="1"/>
        <v>PS-22-OZ2</v>
      </c>
      <c r="E45" s="48" t="str">
        <f t="shared" si="2"/>
        <v>Poste de Sectionnement n°22 OZ2</v>
      </c>
      <c r="F45" s="19">
        <v>37851</v>
      </c>
      <c r="G45" s="19">
        <v>37851</v>
      </c>
      <c r="H45" s="41" t="s">
        <v>20</v>
      </c>
      <c r="I45" s="41">
        <v>1</v>
      </c>
      <c r="J45" s="41" t="s">
        <v>3557</v>
      </c>
      <c r="K45" s="41">
        <v>16</v>
      </c>
      <c r="L45" s="41"/>
      <c r="M45" s="41" t="s">
        <v>302</v>
      </c>
      <c r="N45" s="41" t="s">
        <v>781</v>
      </c>
      <c r="O45" s="49">
        <f t="shared" si="6"/>
        <v>146</v>
      </c>
      <c r="P45" s="43">
        <f t="shared" si="7"/>
        <v>714</v>
      </c>
      <c r="Q45" s="41" t="s">
        <v>757</v>
      </c>
      <c r="R45" s="48" t="str">
        <f t="shared" si="5"/>
        <v>(22,'PS-22-OZ2','Poste de Sectionnement n°22 OZ2','Monday-08-jj','Monday-08-jj',NULL,1,),</v>
      </c>
    </row>
    <row r="46" spans="1:18" ht="20.100000000000001" hidden="1" customHeight="1" x14ac:dyDescent="0.25">
      <c r="A46" s="38">
        <v>23</v>
      </c>
      <c r="B46" s="38" t="s">
        <v>529</v>
      </c>
      <c r="C46" s="38">
        <v>1</v>
      </c>
      <c r="D46" s="45" t="str">
        <f t="shared" si="1"/>
        <v>PS-23-OZ2</v>
      </c>
      <c r="E46" s="48" t="str">
        <f t="shared" si="2"/>
        <v>Poste de Sectionnement n°23 OZ2</v>
      </c>
      <c r="F46" s="19">
        <v>37851</v>
      </c>
      <c r="G46" s="19">
        <v>37851</v>
      </c>
      <c r="H46" s="41" t="s">
        <v>20</v>
      </c>
      <c r="I46" s="41">
        <v>1</v>
      </c>
      <c r="J46" s="41" t="s">
        <v>3557</v>
      </c>
      <c r="K46" s="41">
        <v>16</v>
      </c>
      <c r="L46" s="41"/>
      <c r="M46" s="41" t="s">
        <v>302</v>
      </c>
      <c r="N46" s="41" t="s">
        <v>782</v>
      </c>
      <c r="O46" s="49">
        <f t="shared" si="6"/>
        <v>150</v>
      </c>
      <c r="P46" s="43">
        <f t="shared" si="7"/>
        <v>744</v>
      </c>
      <c r="Q46" s="41" t="s">
        <v>800</v>
      </c>
      <c r="R46" s="48" t="str">
        <f t="shared" si="5"/>
        <v>(23,'PS-23-OZ2','Poste de Sectionnement n°23 OZ2','Monday-08-jj','Monday-08-jj',NULL,1,),</v>
      </c>
    </row>
    <row r="47" spans="1:18" ht="20.100000000000001" hidden="1" customHeight="1" x14ac:dyDescent="0.25">
      <c r="A47" s="38">
        <v>24</v>
      </c>
      <c r="B47" s="38" t="s">
        <v>529</v>
      </c>
      <c r="C47" s="38">
        <v>1</v>
      </c>
      <c r="D47" s="45" t="str">
        <f t="shared" si="1"/>
        <v>PS-24-OZ2</v>
      </c>
      <c r="E47" s="48" t="str">
        <f t="shared" si="2"/>
        <v>Poste de Sectionnement n°24 OZ2</v>
      </c>
      <c r="F47" s="19">
        <v>37851</v>
      </c>
      <c r="G47" s="19">
        <v>37851</v>
      </c>
      <c r="H47" s="41" t="s">
        <v>20</v>
      </c>
      <c r="I47" s="41">
        <v>1</v>
      </c>
      <c r="J47" s="41" t="s">
        <v>3557</v>
      </c>
      <c r="K47" s="41">
        <v>16</v>
      </c>
      <c r="L47" s="41"/>
      <c r="M47" s="41" t="s">
        <v>302</v>
      </c>
      <c r="N47" s="41" t="s">
        <v>783</v>
      </c>
      <c r="O47" s="49">
        <f t="shared" si="6"/>
        <v>26</v>
      </c>
      <c r="P47" s="43">
        <f t="shared" si="7"/>
        <v>774</v>
      </c>
      <c r="Q47" s="41" t="s">
        <v>758</v>
      </c>
      <c r="R47" s="48" t="str">
        <f t="shared" si="5"/>
        <v>(24,'PS-24-OZ2','Poste de Sectionnement n°24 OZ2','Monday-08-jj','Monday-08-jj',NULL,1,),</v>
      </c>
    </row>
    <row r="48" spans="1:18" ht="20.100000000000001" hidden="1" customHeight="1" x14ac:dyDescent="0.25">
      <c r="A48" s="38">
        <v>25</v>
      </c>
      <c r="B48" s="38" t="s">
        <v>529</v>
      </c>
      <c r="C48" s="38">
        <v>1</v>
      </c>
      <c r="D48" s="45" t="str">
        <f t="shared" si="1"/>
        <v>PS-25-OZ2</v>
      </c>
      <c r="E48" s="48" t="str">
        <f t="shared" si="2"/>
        <v>Poste de Sectionnement n°25 OZ2</v>
      </c>
      <c r="F48" s="19">
        <v>37851</v>
      </c>
      <c r="G48" s="19">
        <v>37851</v>
      </c>
      <c r="H48" s="41" t="s">
        <v>20</v>
      </c>
      <c r="I48" s="41">
        <v>1</v>
      </c>
      <c r="J48" s="41" t="s">
        <v>3557</v>
      </c>
      <c r="K48" s="41">
        <v>16</v>
      </c>
      <c r="L48" s="41"/>
      <c r="M48" s="41" t="s">
        <v>302</v>
      </c>
      <c r="N48" s="41" t="s">
        <v>784</v>
      </c>
      <c r="O48" s="49">
        <f t="shared" si="6"/>
        <v>196</v>
      </c>
      <c r="P48" s="43">
        <f t="shared" si="7"/>
        <v>804</v>
      </c>
      <c r="Q48" s="41" t="s">
        <v>801</v>
      </c>
      <c r="R48" s="48" t="str">
        <f t="shared" si="5"/>
        <v>(25,'PS-25-OZ2','Poste de Sectionnement n°25 OZ2','Monday-08-jj','Monday-08-jj',NULL,1,),</v>
      </c>
    </row>
    <row r="49" spans="1:18" ht="20.100000000000001" hidden="1" customHeight="1" x14ac:dyDescent="0.25">
      <c r="A49" s="38">
        <v>1</v>
      </c>
      <c r="B49" s="38" t="s">
        <v>305</v>
      </c>
      <c r="C49" s="38">
        <v>2</v>
      </c>
      <c r="D49" s="45" t="str">
        <f t="shared" si="1"/>
        <v>PS-01-OK1</v>
      </c>
      <c r="E49" s="48" t="str">
        <f t="shared" si="2"/>
        <v>Poste de Sectionnement n°01 OK1</v>
      </c>
      <c r="F49" s="19">
        <v>26299</v>
      </c>
      <c r="G49" s="19">
        <v>26299</v>
      </c>
      <c r="H49" s="41" t="s">
        <v>20</v>
      </c>
      <c r="I49" s="41">
        <v>1</v>
      </c>
      <c r="J49" s="41" t="s">
        <v>3557</v>
      </c>
      <c r="K49" s="41">
        <v>16</v>
      </c>
      <c r="L49" s="41"/>
      <c r="M49" s="41" t="s">
        <v>305</v>
      </c>
      <c r="N49" s="41" t="s">
        <v>802</v>
      </c>
      <c r="O49" s="49">
        <f t="shared" ref="O49:O70" si="8">VALUE(RIGHT(N49,LEN(N49)-SEARCH("/",N49)))</f>
        <v>159</v>
      </c>
      <c r="P49" s="43">
        <f t="shared" ref="P49:P70" si="9">VALUE(SUBSTITUTE(LEFT(N49,SEARCH("/",N49)-1),"+",","))</f>
        <v>0</v>
      </c>
      <c r="Q49" s="41" t="s">
        <v>821</v>
      </c>
      <c r="R49" s="48" t="str">
        <f t="shared" si="5"/>
        <v>(1,'PS-01-OK1','Poste de Sectionnement n°01 OK1','Saturday-01-jj','Saturday-01-jj',NULL,1,),</v>
      </c>
    </row>
    <row r="50" spans="1:18" ht="20.100000000000001" hidden="1" customHeight="1" x14ac:dyDescent="0.25">
      <c r="A50" s="38">
        <v>2</v>
      </c>
      <c r="B50" s="38" t="s">
        <v>305</v>
      </c>
      <c r="C50" s="38">
        <v>2</v>
      </c>
      <c r="D50" s="45" t="str">
        <f t="shared" ref="D50:D71" si="10">CONCATENATE("PS-",TEXT(A50,"00"),"-",M50)</f>
        <v>PS-02-OK1</v>
      </c>
      <c r="E50" s="48" t="str">
        <f t="shared" ref="E50:E71" si="11">CONCATENATE("Poste de Sectionnement n°",TEXT(A50,"00")," ",M50)</f>
        <v>Poste de Sectionnement n°02 OK1</v>
      </c>
      <c r="F50" s="19">
        <v>26299</v>
      </c>
      <c r="G50" s="19">
        <v>26299</v>
      </c>
      <c r="H50" s="41" t="s">
        <v>20</v>
      </c>
      <c r="I50" s="41">
        <v>1</v>
      </c>
      <c r="J50" s="41" t="s">
        <v>3557</v>
      </c>
      <c r="K50" s="41">
        <v>16</v>
      </c>
      <c r="L50" s="41"/>
      <c r="M50" s="41" t="s">
        <v>305</v>
      </c>
      <c r="N50" s="41" t="s">
        <v>803</v>
      </c>
      <c r="O50" s="49">
        <f t="shared" si="8"/>
        <v>160</v>
      </c>
      <c r="P50" s="43">
        <f t="shared" si="9"/>
        <v>32</v>
      </c>
      <c r="Q50" s="41" t="s">
        <v>822</v>
      </c>
      <c r="R50" s="48" t="str">
        <f t="shared" si="5"/>
        <v>(2,'PS-02-OK1','Poste de Sectionnement n°02 OK1','Saturday-01-jj','Saturday-01-jj',NULL,1,),</v>
      </c>
    </row>
    <row r="51" spans="1:18" ht="20.100000000000001" hidden="1" customHeight="1" x14ac:dyDescent="0.25">
      <c r="A51" s="38">
        <v>3</v>
      </c>
      <c r="B51" s="38" t="s">
        <v>305</v>
      </c>
      <c r="C51" s="38">
        <v>2</v>
      </c>
      <c r="D51" s="45" t="str">
        <f t="shared" si="10"/>
        <v>PS-03-OK1</v>
      </c>
      <c r="E51" s="48" t="str">
        <f t="shared" si="11"/>
        <v>Poste de Sectionnement n°03 OK1</v>
      </c>
      <c r="F51" s="19">
        <v>26299</v>
      </c>
      <c r="G51" s="19">
        <v>26299</v>
      </c>
      <c r="H51" s="41" t="s">
        <v>20</v>
      </c>
      <c r="I51" s="41">
        <v>1</v>
      </c>
      <c r="J51" s="41" t="s">
        <v>3557</v>
      </c>
      <c r="K51" s="41">
        <v>16</v>
      </c>
      <c r="L51" s="41"/>
      <c r="M51" s="41" t="s">
        <v>305</v>
      </c>
      <c r="N51" s="41" t="s">
        <v>804</v>
      </c>
      <c r="O51" s="49">
        <f t="shared" si="8"/>
        <v>150</v>
      </c>
      <c r="P51" s="43">
        <f t="shared" si="9"/>
        <v>63.113999999999997</v>
      </c>
      <c r="Q51" s="41" t="s">
        <v>823</v>
      </c>
      <c r="R51" s="48" t="str">
        <f t="shared" si="5"/>
        <v>(3,'PS-03-OK1','Poste de Sectionnement n°03 OK1','Saturday-01-jj','Saturday-01-jj',NULL,1,),</v>
      </c>
    </row>
    <row r="52" spans="1:18" ht="20.100000000000001" hidden="1" customHeight="1" x14ac:dyDescent="0.25">
      <c r="A52" s="38">
        <v>4</v>
      </c>
      <c r="B52" s="38" t="s">
        <v>305</v>
      </c>
      <c r="C52" s="38">
        <v>2</v>
      </c>
      <c r="D52" s="45" t="str">
        <f t="shared" si="10"/>
        <v>PS-04-OK1</v>
      </c>
      <c r="E52" s="48" t="str">
        <f t="shared" si="11"/>
        <v>Poste de Sectionnement n°04 OK1</v>
      </c>
      <c r="F52" s="19">
        <v>26299</v>
      </c>
      <c r="G52" s="19">
        <v>26299</v>
      </c>
      <c r="H52" s="41" t="s">
        <v>20</v>
      </c>
      <c r="I52" s="41">
        <v>1</v>
      </c>
      <c r="J52" s="41" t="s">
        <v>3557</v>
      </c>
      <c r="K52" s="41">
        <v>16</v>
      </c>
      <c r="L52" s="41"/>
      <c r="M52" s="41" t="s">
        <v>305</v>
      </c>
      <c r="N52" s="41" t="s">
        <v>805</v>
      </c>
      <c r="O52" s="49">
        <f t="shared" si="8"/>
        <v>110</v>
      </c>
      <c r="P52" s="43">
        <f t="shared" si="9"/>
        <v>126.057</v>
      </c>
      <c r="Q52" s="41" t="s">
        <v>824</v>
      </c>
      <c r="R52" s="48" t="str">
        <f t="shared" si="5"/>
        <v>(4,'PS-04-OK1','Poste de Sectionnement n°04 OK1','Saturday-01-jj','Saturday-01-jj',NULL,1,),</v>
      </c>
    </row>
    <row r="53" spans="1:18" ht="20.100000000000001" hidden="1" customHeight="1" x14ac:dyDescent="0.25">
      <c r="A53" s="38">
        <v>5</v>
      </c>
      <c r="B53" s="38" t="s">
        <v>305</v>
      </c>
      <c r="C53" s="38">
        <v>2</v>
      </c>
      <c r="D53" s="45" t="str">
        <f t="shared" si="10"/>
        <v>PS-05-OK1</v>
      </c>
      <c r="E53" s="48" t="str">
        <f t="shared" si="11"/>
        <v>Poste de Sectionnement n°05 OK1</v>
      </c>
      <c r="F53" s="19">
        <v>26299</v>
      </c>
      <c r="G53" s="19">
        <v>26299</v>
      </c>
      <c r="H53" s="41" t="s">
        <v>20</v>
      </c>
      <c r="I53" s="41">
        <v>1</v>
      </c>
      <c r="J53" s="41" t="s">
        <v>3557</v>
      </c>
      <c r="K53" s="41">
        <v>16</v>
      </c>
      <c r="L53" s="41"/>
      <c r="M53" s="41" t="s">
        <v>305</v>
      </c>
      <c r="N53" s="41" t="s">
        <v>806</v>
      </c>
      <c r="O53" s="49">
        <f t="shared" si="8"/>
        <v>80</v>
      </c>
      <c r="P53" s="43">
        <f t="shared" si="9"/>
        <v>190.56</v>
      </c>
      <c r="Q53" s="41" t="s">
        <v>825</v>
      </c>
      <c r="R53" s="48" t="str">
        <f t="shared" si="5"/>
        <v>(5,'PS-05-OK1','Poste de Sectionnement n°05 OK1','Saturday-01-jj','Saturday-01-jj',NULL,1,),</v>
      </c>
    </row>
    <row r="54" spans="1:18" ht="20.100000000000001" hidden="1" customHeight="1" x14ac:dyDescent="0.25">
      <c r="A54" s="38">
        <v>6</v>
      </c>
      <c r="B54" s="38" t="s">
        <v>305</v>
      </c>
      <c r="C54" s="38">
        <v>2</v>
      </c>
      <c r="D54" s="45" t="str">
        <f t="shared" si="10"/>
        <v>PS-06-OK1</v>
      </c>
      <c r="E54" s="48" t="str">
        <f t="shared" si="11"/>
        <v>Poste de Sectionnement n°06 OK1</v>
      </c>
      <c r="F54" s="19">
        <v>26299</v>
      </c>
      <c r="G54" s="19">
        <v>26299</v>
      </c>
      <c r="H54" s="41" t="s">
        <v>20</v>
      </c>
      <c r="I54" s="41">
        <v>1</v>
      </c>
      <c r="J54" s="41" t="s">
        <v>3557</v>
      </c>
      <c r="K54" s="41">
        <v>16</v>
      </c>
      <c r="L54" s="41"/>
      <c r="M54" s="41" t="s">
        <v>305</v>
      </c>
      <c r="N54" s="41" t="s">
        <v>806</v>
      </c>
      <c r="O54" s="49">
        <f t="shared" si="8"/>
        <v>80</v>
      </c>
      <c r="P54" s="43">
        <f t="shared" si="9"/>
        <v>190.56</v>
      </c>
      <c r="Q54" s="41" t="s">
        <v>825</v>
      </c>
      <c r="R54" s="48" t="str">
        <f t="shared" si="5"/>
        <v>(6,'PS-06-OK1','Poste de Sectionnement n°06 OK1','Saturday-01-jj','Saturday-01-jj',NULL,1,),</v>
      </c>
    </row>
    <row r="55" spans="1:18" ht="20.100000000000001" hidden="1" customHeight="1" x14ac:dyDescent="0.25">
      <c r="A55" s="38">
        <v>7</v>
      </c>
      <c r="B55" s="38" t="s">
        <v>305</v>
      </c>
      <c r="C55" s="38">
        <v>2</v>
      </c>
      <c r="D55" s="45" t="str">
        <f t="shared" si="10"/>
        <v>PS-07-OK1</v>
      </c>
      <c r="E55" s="48" t="str">
        <f t="shared" si="11"/>
        <v>Poste de Sectionnement n°07 OK1</v>
      </c>
      <c r="F55" s="19">
        <v>26299</v>
      </c>
      <c r="G55" s="19">
        <v>26299</v>
      </c>
      <c r="H55" s="41" t="s">
        <v>20</v>
      </c>
      <c r="I55" s="41">
        <v>1</v>
      </c>
      <c r="J55" s="41" t="s">
        <v>3557</v>
      </c>
      <c r="K55" s="41">
        <v>16</v>
      </c>
      <c r="L55" s="41"/>
      <c r="M55" s="41" t="s">
        <v>305</v>
      </c>
      <c r="N55" s="41" t="s">
        <v>807</v>
      </c>
      <c r="O55" s="49">
        <f t="shared" si="8"/>
        <v>80</v>
      </c>
      <c r="P55" s="43">
        <f t="shared" si="9"/>
        <v>233.40100000000001</v>
      </c>
      <c r="Q55" s="41" t="s">
        <v>826</v>
      </c>
      <c r="R55" s="48" t="str">
        <f t="shared" si="5"/>
        <v>(7,'PS-07-OK1','Poste de Sectionnement n°07 OK1','Saturday-01-jj','Saturday-01-jj',NULL,1,),</v>
      </c>
    </row>
    <row r="56" spans="1:18" ht="20.100000000000001" hidden="1" customHeight="1" x14ac:dyDescent="0.25">
      <c r="A56" s="38">
        <v>8</v>
      </c>
      <c r="B56" s="38" t="s">
        <v>305</v>
      </c>
      <c r="C56" s="38">
        <v>2</v>
      </c>
      <c r="D56" s="45" t="str">
        <f t="shared" si="10"/>
        <v>PS-08-OK1</v>
      </c>
      <c r="E56" s="48" t="str">
        <f t="shared" si="11"/>
        <v>Poste de Sectionnement n°08 OK1</v>
      </c>
      <c r="F56" s="19">
        <v>26299</v>
      </c>
      <c r="G56" s="19">
        <v>26299</v>
      </c>
      <c r="H56" s="41" t="s">
        <v>20</v>
      </c>
      <c r="I56" s="41">
        <v>1</v>
      </c>
      <c r="J56" s="41" t="s">
        <v>3557</v>
      </c>
      <c r="K56" s="41">
        <v>16</v>
      </c>
      <c r="L56" s="41"/>
      <c r="M56" s="41" t="s">
        <v>305</v>
      </c>
      <c r="N56" s="41" t="s">
        <v>808</v>
      </c>
      <c r="O56" s="49">
        <f t="shared" si="8"/>
        <v>100</v>
      </c>
      <c r="P56" s="43">
        <f t="shared" si="9"/>
        <v>265.084</v>
      </c>
      <c r="Q56" s="41" t="s">
        <v>827</v>
      </c>
      <c r="R56" s="48" t="str">
        <f t="shared" si="5"/>
        <v>(8,'PS-08-OK1','Poste de Sectionnement n°08 OK1','Saturday-01-jj','Saturday-01-jj',NULL,1,),</v>
      </c>
    </row>
    <row r="57" spans="1:18" ht="20.100000000000001" hidden="1" customHeight="1" x14ac:dyDescent="0.25">
      <c r="A57" s="38">
        <v>9</v>
      </c>
      <c r="B57" s="38" t="s">
        <v>305</v>
      </c>
      <c r="C57" s="38">
        <v>2</v>
      </c>
      <c r="D57" s="45" t="str">
        <f t="shared" si="10"/>
        <v>PS-09-OK1</v>
      </c>
      <c r="E57" s="48" t="str">
        <f t="shared" si="11"/>
        <v>Poste de Sectionnement n°09 OK1</v>
      </c>
      <c r="F57" s="19">
        <v>26299</v>
      </c>
      <c r="G57" s="19">
        <v>26299</v>
      </c>
      <c r="H57" s="41" t="s">
        <v>20</v>
      </c>
      <c r="I57" s="41">
        <v>1</v>
      </c>
      <c r="J57" s="41" t="s">
        <v>3557</v>
      </c>
      <c r="K57" s="41">
        <v>16</v>
      </c>
      <c r="L57" s="41"/>
      <c r="M57" s="41" t="s">
        <v>305</v>
      </c>
      <c r="N57" s="41" t="s">
        <v>809</v>
      </c>
      <c r="O57" s="49">
        <f t="shared" si="8"/>
        <v>190</v>
      </c>
      <c r="P57" s="43">
        <f t="shared" si="9"/>
        <v>338.64299999999997</v>
      </c>
      <c r="Q57" s="41" t="s">
        <v>828</v>
      </c>
      <c r="R57" s="48" t="str">
        <f t="shared" si="5"/>
        <v>(9,'PS-09-OK1','Poste de Sectionnement n°09 OK1','Saturday-01-jj','Saturday-01-jj',NULL,1,),</v>
      </c>
    </row>
    <row r="58" spans="1:18" ht="20.100000000000001" hidden="1" customHeight="1" x14ac:dyDescent="0.25">
      <c r="A58" s="38">
        <v>10</v>
      </c>
      <c r="B58" s="38" t="s">
        <v>305</v>
      </c>
      <c r="C58" s="38">
        <v>2</v>
      </c>
      <c r="D58" s="45" t="str">
        <f t="shared" si="10"/>
        <v>PS-10-OK1</v>
      </c>
      <c r="E58" s="48" t="str">
        <f t="shared" si="11"/>
        <v>Poste de Sectionnement n°10 OK1</v>
      </c>
      <c r="F58" s="19">
        <v>26299</v>
      </c>
      <c r="G58" s="19">
        <v>26299</v>
      </c>
      <c r="H58" s="41" t="s">
        <v>20</v>
      </c>
      <c r="I58" s="41">
        <v>1</v>
      </c>
      <c r="J58" s="41" t="s">
        <v>3557</v>
      </c>
      <c r="K58" s="41">
        <v>16</v>
      </c>
      <c r="L58" s="41"/>
      <c r="M58" s="41" t="s">
        <v>305</v>
      </c>
      <c r="N58" s="41" t="s">
        <v>809</v>
      </c>
      <c r="O58" s="49">
        <f t="shared" si="8"/>
        <v>190</v>
      </c>
      <c r="P58" s="43">
        <f t="shared" si="9"/>
        <v>338.64299999999997</v>
      </c>
      <c r="Q58" s="41" t="s">
        <v>828</v>
      </c>
      <c r="R58" s="48" t="str">
        <f t="shared" si="5"/>
        <v>(10,'PS-10-OK1','Poste de Sectionnement n°10 OK1','Saturday-01-jj','Saturday-01-jj',NULL,1,),</v>
      </c>
    </row>
    <row r="59" spans="1:18" ht="20.100000000000001" hidden="1" customHeight="1" x14ac:dyDescent="0.25">
      <c r="A59" s="38" t="s">
        <v>839</v>
      </c>
      <c r="B59" s="38" t="s">
        <v>305</v>
      </c>
      <c r="C59" s="38">
        <v>2</v>
      </c>
      <c r="D59" s="45" t="str">
        <f t="shared" si="10"/>
        <v>PS-10Bis-OK1</v>
      </c>
      <c r="E59" s="48" t="str">
        <f t="shared" si="11"/>
        <v>Poste de Sectionnement n°10Bis OK1</v>
      </c>
      <c r="F59" s="19">
        <v>26299</v>
      </c>
      <c r="G59" s="19">
        <v>26299</v>
      </c>
      <c r="H59" s="41" t="s">
        <v>20</v>
      </c>
      <c r="I59" s="41">
        <v>1</v>
      </c>
      <c r="J59" s="41" t="s">
        <v>3557</v>
      </c>
      <c r="K59" s="41">
        <v>16</v>
      </c>
      <c r="L59" s="41"/>
      <c r="M59" s="41" t="s">
        <v>305</v>
      </c>
      <c r="N59" s="41" t="s">
        <v>810</v>
      </c>
      <c r="O59" s="49">
        <f t="shared" ref="O59:O60" si="12">VALUE(RIGHT(N59,LEN(N59)-SEARCH("/",N59)))</f>
        <v>310</v>
      </c>
      <c r="P59" s="43">
        <f t="shared" ref="P59:P60" si="13">VALUE(SUBSTITUTE(LEFT(N59,SEARCH("/",N59)-1),"+",","))</f>
        <v>366.87</v>
      </c>
      <c r="Q59" s="41" t="s">
        <v>829</v>
      </c>
      <c r="R59" s="48" t="str">
        <f t="shared" si="5"/>
        <v>(10Bis,'PS-10Bis-OK1','Poste de Sectionnement n°10Bis OK1','Saturday-01-jj','Saturday-01-jj',NULL,1,),</v>
      </c>
    </row>
    <row r="60" spans="1:18" ht="20.100000000000001" hidden="1" customHeight="1" x14ac:dyDescent="0.25">
      <c r="A60" s="38" t="s">
        <v>840</v>
      </c>
      <c r="B60" s="38" t="s">
        <v>305</v>
      </c>
      <c r="C60" s="38">
        <v>2</v>
      </c>
      <c r="D60" s="45" t="str">
        <f t="shared" si="10"/>
        <v>PS-10Ter-OK1</v>
      </c>
      <c r="E60" s="48" t="str">
        <f t="shared" si="11"/>
        <v>Poste de Sectionnement n°10Ter OK1</v>
      </c>
      <c r="F60" s="19">
        <v>26299</v>
      </c>
      <c r="G60" s="19">
        <v>26299</v>
      </c>
      <c r="H60" s="41" t="s">
        <v>20</v>
      </c>
      <c r="I60" s="41">
        <v>1</v>
      </c>
      <c r="J60" s="41" t="s">
        <v>3557</v>
      </c>
      <c r="K60" s="41">
        <v>16</v>
      </c>
      <c r="L60" s="41"/>
      <c r="M60" s="41" t="s">
        <v>305</v>
      </c>
      <c r="N60" s="41" t="s">
        <v>811</v>
      </c>
      <c r="O60" s="49">
        <f t="shared" si="12"/>
        <v>280</v>
      </c>
      <c r="P60" s="43">
        <f t="shared" si="13"/>
        <v>396.85399999999998</v>
      </c>
      <c r="Q60" s="41" t="s">
        <v>829</v>
      </c>
      <c r="R60" s="48" t="str">
        <f t="shared" si="5"/>
        <v>(10Ter,'PS-10Ter-OK1','Poste de Sectionnement n°10Ter OK1','Saturday-01-jj','Saturday-01-jj',NULL,1,),</v>
      </c>
    </row>
    <row r="61" spans="1:18" ht="20.100000000000001" hidden="1" customHeight="1" x14ac:dyDescent="0.25">
      <c r="A61" s="38">
        <v>11</v>
      </c>
      <c r="B61" s="38" t="s">
        <v>305</v>
      </c>
      <c r="C61" s="38">
        <v>2</v>
      </c>
      <c r="D61" s="45" t="str">
        <f t="shared" si="10"/>
        <v>PS-11-OK1</v>
      </c>
      <c r="E61" s="48" t="str">
        <f t="shared" si="11"/>
        <v>Poste de Sectionnement n°11 OK1</v>
      </c>
      <c r="F61" s="19">
        <v>26299</v>
      </c>
      <c r="G61" s="19">
        <v>26299</v>
      </c>
      <c r="H61" s="41" t="s">
        <v>20</v>
      </c>
      <c r="I61" s="41">
        <v>1</v>
      </c>
      <c r="J61" s="41" t="s">
        <v>3557</v>
      </c>
      <c r="K61" s="41">
        <v>16</v>
      </c>
      <c r="L61" s="41"/>
      <c r="M61" s="41" t="s">
        <v>305</v>
      </c>
      <c r="N61" s="41" t="s">
        <v>812</v>
      </c>
      <c r="O61" s="49">
        <f t="shared" si="8"/>
        <v>640</v>
      </c>
      <c r="P61" s="43">
        <f t="shared" si="9"/>
        <v>431.42700000000002</v>
      </c>
      <c r="Q61" s="41" t="s">
        <v>830</v>
      </c>
      <c r="R61" s="48" t="str">
        <f t="shared" si="5"/>
        <v>(11,'PS-11-OK1','Poste de Sectionnement n°11 OK1','Saturday-01-jj','Saturday-01-jj',NULL,1,),</v>
      </c>
    </row>
    <row r="62" spans="1:18" ht="20.100000000000001" hidden="1" customHeight="1" x14ac:dyDescent="0.25">
      <c r="A62" s="38">
        <v>12</v>
      </c>
      <c r="B62" s="38" t="s">
        <v>305</v>
      </c>
      <c r="C62" s="38">
        <v>2</v>
      </c>
      <c r="D62" s="45" t="str">
        <f t="shared" si="10"/>
        <v>PS-12-OK1</v>
      </c>
      <c r="E62" s="48" t="str">
        <f t="shared" si="11"/>
        <v>Poste de Sectionnement n°12 OK1</v>
      </c>
      <c r="F62" s="19">
        <v>26299</v>
      </c>
      <c r="G62" s="19">
        <v>26299</v>
      </c>
      <c r="H62" s="41" t="s">
        <v>20</v>
      </c>
      <c r="I62" s="41">
        <v>1</v>
      </c>
      <c r="J62" s="41" t="s">
        <v>3557</v>
      </c>
      <c r="K62" s="41">
        <v>16</v>
      </c>
      <c r="L62" s="41"/>
      <c r="M62" s="41" t="s">
        <v>305</v>
      </c>
      <c r="N62" s="41" t="s">
        <v>812</v>
      </c>
      <c r="O62" s="49">
        <f t="shared" si="8"/>
        <v>640</v>
      </c>
      <c r="P62" s="43">
        <f t="shared" si="9"/>
        <v>431.42700000000002</v>
      </c>
      <c r="Q62" s="41" t="s">
        <v>830</v>
      </c>
      <c r="R62" s="48" t="str">
        <f t="shared" si="5"/>
        <v>(12,'PS-12-OK1','Poste de Sectionnement n°12 OK1','Saturday-01-jj','Saturday-01-jj',NULL,1,),</v>
      </c>
    </row>
    <row r="63" spans="1:18" ht="20.100000000000001" hidden="1" customHeight="1" x14ac:dyDescent="0.25">
      <c r="A63" s="38">
        <v>13</v>
      </c>
      <c r="B63" s="38" t="s">
        <v>305</v>
      </c>
      <c r="C63" s="38">
        <v>2</v>
      </c>
      <c r="D63" s="45" t="str">
        <f t="shared" si="10"/>
        <v>PS-13-OK1</v>
      </c>
      <c r="E63" s="48" t="str">
        <f t="shared" si="11"/>
        <v>Poste de Sectionnement n°13 OK1</v>
      </c>
      <c r="F63" s="19">
        <v>26299</v>
      </c>
      <c r="G63" s="19">
        <v>26299</v>
      </c>
      <c r="H63" s="41" t="s">
        <v>20</v>
      </c>
      <c r="I63" s="41">
        <v>1</v>
      </c>
      <c r="J63" s="41" t="s">
        <v>3557</v>
      </c>
      <c r="K63" s="41">
        <v>16</v>
      </c>
      <c r="L63" s="41"/>
      <c r="M63" s="41" t="s">
        <v>305</v>
      </c>
      <c r="N63" s="41" t="s">
        <v>813</v>
      </c>
      <c r="O63" s="49">
        <f t="shared" si="8"/>
        <v>930</v>
      </c>
      <c r="P63" s="43">
        <f t="shared" si="9"/>
        <v>463.12099999999998</v>
      </c>
      <c r="Q63" s="41" t="s">
        <v>831</v>
      </c>
      <c r="R63" s="48" t="str">
        <f t="shared" si="5"/>
        <v>(13,'PS-13-OK1','Poste de Sectionnement n°13 OK1','Saturday-01-jj','Saturday-01-jj',NULL,1,),</v>
      </c>
    </row>
    <row r="64" spans="1:18" ht="20.100000000000001" hidden="1" customHeight="1" x14ac:dyDescent="0.25">
      <c r="A64" s="38">
        <v>14</v>
      </c>
      <c r="B64" s="38" t="s">
        <v>305</v>
      </c>
      <c r="C64" s="38">
        <v>2</v>
      </c>
      <c r="D64" s="45" t="str">
        <f t="shared" si="10"/>
        <v>PS-14-OK1</v>
      </c>
      <c r="E64" s="48" t="str">
        <f t="shared" si="11"/>
        <v>Poste de Sectionnement n°14 OK1</v>
      </c>
      <c r="F64" s="19">
        <v>26299</v>
      </c>
      <c r="G64" s="19">
        <v>26299</v>
      </c>
      <c r="H64" s="41" t="s">
        <v>20</v>
      </c>
      <c r="I64" s="41">
        <v>1</v>
      </c>
      <c r="J64" s="41" t="s">
        <v>3557</v>
      </c>
      <c r="K64" s="41">
        <v>16</v>
      </c>
      <c r="L64" s="41"/>
      <c r="M64" s="41" t="s">
        <v>305</v>
      </c>
      <c r="N64" s="41" t="s">
        <v>814</v>
      </c>
      <c r="O64" s="49">
        <f t="shared" si="8"/>
        <v>950</v>
      </c>
      <c r="P64" s="43">
        <f t="shared" si="9"/>
        <v>494.38600000000002</v>
      </c>
      <c r="Q64" s="41" t="s">
        <v>832</v>
      </c>
      <c r="R64" s="48" t="str">
        <f t="shared" si="5"/>
        <v>(14,'PS-14-OK1','Poste de Sectionnement n°14 OK1','Saturday-01-jj','Saturday-01-jj',NULL,1,),</v>
      </c>
    </row>
    <row r="65" spans="1:18" ht="20.100000000000001" hidden="1" customHeight="1" x14ac:dyDescent="0.25">
      <c r="A65" s="38" t="s">
        <v>841</v>
      </c>
      <c r="B65" s="38" t="s">
        <v>305</v>
      </c>
      <c r="C65" s="38">
        <v>2</v>
      </c>
      <c r="D65" s="45" t="str">
        <f t="shared" ref="D65" si="14">CONCATENATE("PS-",TEXT(A65,"00"),"-",M65)</f>
        <v>PS-14Bis-OK1</v>
      </c>
      <c r="E65" s="48" t="str">
        <f t="shared" ref="E65" si="15">CONCATENATE("Poste de Sectionnement n°",TEXT(A65,"00")," ",M65)</f>
        <v>Poste de Sectionnement n°14Bis OK1</v>
      </c>
      <c r="F65" s="19">
        <v>26299</v>
      </c>
      <c r="G65" s="19">
        <v>26299</v>
      </c>
      <c r="H65" s="41" t="s">
        <v>20</v>
      </c>
      <c r="I65" s="41">
        <v>1</v>
      </c>
      <c r="J65" s="41" t="s">
        <v>3557</v>
      </c>
      <c r="K65" s="41">
        <v>16</v>
      </c>
      <c r="L65" s="41"/>
      <c r="M65" s="41" t="s">
        <v>305</v>
      </c>
      <c r="N65" s="41" t="s">
        <v>815</v>
      </c>
      <c r="O65" s="49">
        <f t="shared" ref="O65" si="16">VALUE(RIGHT(N65,LEN(N65)-SEARCH("/",N65)))</f>
        <v>830</v>
      </c>
      <c r="P65" s="43">
        <f t="shared" ref="P65" si="17">VALUE(SUBSTITUTE(LEFT(N65,SEARCH("/",N65)-1),"+",","))</f>
        <v>516.94600000000003</v>
      </c>
      <c r="Q65" s="41" t="s">
        <v>833</v>
      </c>
      <c r="R65" s="48" t="str">
        <f t="shared" si="5"/>
        <v>(14Bis,'PS-14Bis-OK1','Poste de Sectionnement n°14Bis OK1','Saturday-01-jj','Saturday-01-jj',NULL,1,),</v>
      </c>
    </row>
    <row r="66" spans="1:18" ht="20.100000000000001" hidden="1" customHeight="1" x14ac:dyDescent="0.25">
      <c r="A66" s="38">
        <v>15</v>
      </c>
      <c r="B66" s="38" t="s">
        <v>305</v>
      </c>
      <c r="C66" s="38">
        <v>2</v>
      </c>
      <c r="D66" s="45" t="str">
        <f t="shared" si="10"/>
        <v>PS-15-OK1</v>
      </c>
      <c r="E66" s="48" t="str">
        <f t="shared" si="11"/>
        <v>Poste de Sectionnement n°15 OK1</v>
      </c>
      <c r="F66" s="19">
        <v>26299</v>
      </c>
      <c r="G66" s="19">
        <v>26299</v>
      </c>
      <c r="H66" s="41" t="s">
        <v>20</v>
      </c>
      <c r="I66" s="41">
        <v>1</v>
      </c>
      <c r="J66" s="41" t="s">
        <v>3557</v>
      </c>
      <c r="K66" s="41">
        <v>16</v>
      </c>
      <c r="L66" s="41"/>
      <c r="M66" s="41" t="s">
        <v>305</v>
      </c>
      <c r="N66" s="41" t="s">
        <v>816</v>
      </c>
      <c r="O66" s="49">
        <f t="shared" si="8"/>
        <v>670</v>
      </c>
      <c r="P66" s="43">
        <f t="shared" si="9"/>
        <v>547.42700000000002</v>
      </c>
      <c r="Q66" s="41" t="s">
        <v>834</v>
      </c>
      <c r="R66" s="48" t="str">
        <f t="shared" si="5"/>
        <v>(15,'PS-15-OK1','Poste de Sectionnement n°15 OK1','Saturday-01-jj','Saturday-01-jj',NULL,1,),</v>
      </c>
    </row>
    <row r="67" spans="1:18" ht="20.100000000000001" hidden="1" customHeight="1" x14ac:dyDescent="0.25">
      <c r="A67" s="38">
        <v>16</v>
      </c>
      <c r="B67" s="38" t="s">
        <v>305</v>
      </c>
      <c r="C67" s="38">
        <v>2</v>
      </c>
      <c r="D67" s="45" t="str">
        <f t="shared" si="10"/>
        <v>PS-16-OK1</v>
      </c>
      <c r="E67" s="48" t="str">
        <f t="shared" si="11"/>
        <v>Poste de Sectionnement n°16 OK1</v>
      </c>
      <c r="F67" s="19">
        <v>26299</v>
      </c>
      <c r="G67" s="19">
        <v>26299</v>
      </c>
      <c r="H67" s="41" t="s">
        <v>20</v>
      </c>
      <c r="I67" s="41">
        <v>1</v>
      </c>
      <c r="J67" s="41" t="s">
        <v>3557</v>
      </c>
      <c r="K67" s="41">
        <v>16</v>
      </c>
      <c r="L67" s="41"/>
      <c r="M67" s="41" t="s">
        <v>305</v>
      </c>
      <c r="N67" s="41" t="s">
        <v>817</v>
      </c>
      <c r="O67" s="49">
        <f t="shared" si="8"/>
        <v>600</v>
      </c>
      <c r="P67" s="43">
        <f t="shared" si="9"/>
        <v>576.28499999999997</v>
      </c>
      <c r="Q67" s="41" t="s">
        <v>835</v>
      </c>
      <c r="R67" s="48" t="str">
        <f t="shared" si="5"/>
        <v>(16,'PS-16-OK1','Poste de Sectionnement n°16 OK1','Saturday-01-jj','Saturday-01-jj',NULL,1,),</v>
      </c>
    </row>
    <row r="68" spans="1:18" ht="20.100000000000001" hidden="1" customHeight="1" x14ac:dyDescent="0.25">
      <c r="A68" s="38" t="s">
        <v>842</v>
      </c>
      <c r="B68" s="38" t="s">
        <v>305</v>
      </c>
      <c r="C68" s="38">
        <v>2</v>
      </c>
      <c r="D68" s="45" t="str">
        <f t="shared" ref="D68" si="18">CONCATENATE("PS-",TEXT(A68,"00"),"-",M68)</f>
        <v>PS-16Bis-OK1</v>
      </c>
      <c r="E68" s="48" t="str">
        <f t="shared" ref="E68" si="19">CONCATENATE("Poste de Sectionnement n°",TEXT(A68,"00")," ",M68)</f>
        <v>Poste de Sectionnement n°16Bis OK1</v>
      </c>
      <c r="F68" s="19">
        <v>26299</v>
      </c>
      <c r="G68" s="19">
        <v>26299</v>
      </c>
      <c r="H68" s="41" t="s">
        <v>20</v>
      </c>
      <c r="I68" s="41">
        <v>1</v>
      </c>
      <c r="J68" s="41" t="s">
        <v>3557</v>
      </c>
      <c r="K68" s="41">
        <v>16</v>
      </c>
      <c r="L68" s="41"/>
      <c r="M68" s="41" t="s">
        <v>305</v>
      </c>
      <c r="N68" s="41" t="s">
        <v>818</v>
      </c>
      <c r="O68" s="49">
        <f t="shared" ref="O68" si="20">VALUE(RIGHT(N68,LEN(N68)-SEARCH("/",N68)))</f>
        <v>460</v>
      </c>
      <c r="P68" s="43">
        <f t="shared" ref="P68" si="21">VALUE(SUBSTITUTE(LEFT(N68,SEARCH("/",N68)-1),"+",","))</f>
        <v>596.13699999999994</v>
      </c>
      <c r="Q68" s="41" t="s">
        <v>836</v>
      </c>
      <c r="R68" s="48" t="str">
        <f t="shared" si="5"/>
        <v>(16Bis,'PS-16Bis-OK1','Poste de Sectionnement n°16Bis OK1','Saturday-01-jj','Saturday-01-jj',NULL,1,),</v>
      </c>
    </row>
    <row r="69" spans="1:18" ht="20.100000000000001" hidden="1" customHeight="1" x14ac:dyDescent="0.25">
      <c r="A69" s="38">
        <v>17</v>
      </c>
      <c r="B69" s="38" t="s">
        <v>305</v>
      </c>
      <c r="C69" s="38">
        <v>2</v>
      </c>
      <c r="D69" s="45" t="str">
        <f t="shared" si="10"/>
        <v>PS-17-OK1</v>
      </c>
      <c r="E69" s="48" t="str">
        <f t="shared" si="11"/>
        <v>Poste de Sectionnement n°17 OK1</v>
      </c>
      <c r="F69" s="19">
        <v>26299</v>
      </c>
      <c r="G69" s="19">
        <v>26299</v>
      </c>
      <c r="H69" s="41" t="s">
        <v>20</v>
      </c>
      <c r="I69" s="41">
        <v>1</v>
      </c>
      <c r="J69" s="41" t="s">
        <v>3557</v>
      </c>
      <c r="K69" s="41">
        <v>16</v>
      </c>
      <c r="L69" s="41"/>
      <c r="M69" s="41" t="s">
        <v>305</v>
      </c>
      <c r="N69" s="41" t="s">
        <v>819</v>
      </c>
      <c r="O69" s="49">
        <f t="shared" si="8"/>
        <v>12</v>
      </c>
      <c r="P69" s="43">
        <f t="shared" si="9"/>
        <v>615.01199999999994</v>
      </c>
      <c r="Q69" s="41" t="s">
        <v>837</v>
      </c>
      <c r="R69" s="48" t="str">
        <f t="shared" si="5"/>
        <v>(17,'PS-17-OK1','Poste de Sectionnement n°17 OK1','Saturday-01-jj','Saturday-01-jj',NULL,1,),</v>
      </c>
    </row>
    <row r="70" spans="1:18" ht="20.100000000000001" hidden="1" customHeight="1" x14ac:dyDescent="0.25">
      <c r="A70" s="38">
        <v>18</v>
      </c>
      <c r="B70" s="38" t="s">
        <v>305</v>
      </c>
      <c r="C70" s="38">
        <v>2</v>
      </c>
      <c r="D70" s="45" t="str">
        <f t="shared" si="10"/>
        <v>PS-18-OK1</v>
      </c>
      <c r="E70" s="48" t="str">
        <f t="shared" si="11"/>
        <v>Poste de Sectionnement n°18 OK1</v>
      </c>
      <c r="F70" s="19">
        <v>26299</v>
      </c>
      <c r="G70" s="19">
        <v>26299</v>
      </c>
      <c r="H70" s="41" t="s">
        <v>20</v>
      </c>
      <c r="I70" s="41">
        <v>1</v>
      </c>
      <c r="J70" s="41" t="s">
        <v>3557</v>
      </c>
      <c r="K70" s="41">
        <v>16</v>
      </c>
      <c r="L70" s="41"/>
      <c r="M70" s="41" t="s">
        <v>305</v>
      </c>
      <c r="N70" s="41" t="s">
        <v>820</v>
      </c>
      <c r="O70" s="49">
        <f t="shared" si="8"/>
        <v>12</v>
      </c>
      <c r="P70" s="43">
        <f t="shared" si="9"/>
        <v>646.74699999999996</v>
      </c>
      <c r="Q70" s="41" t="s">
        <v>838</v>
      </c>
      <c r="R70" s="48" t="str">
        <f t="shared" si="5"/>
        <v>(18,'PS-18-OK1','Poste de Sectionnement n°18 OK1','Saturday-01-jj','Saturday-01-jj',NULL,1,),</v>
      </c>
    </row>
    <row r="71" spans="1:18" ht="20.100000000000001" customHeight="1" x14ac:dyDescent="0.25">
      <c r="A71" s="38">
        <v>1</v>
      </c>
      <c r="B71" s="38" t="s">
        <v>548</v>
      </c>
      <c r="C71" s="38">
        <v>3</v>
      </c>
      <c r="D71" s="39" t="str">
        <f t="shared" si="10"/>
        <v>PS-01-OB1</v>
      </c>
      <c r="E71" s="48" t="str">
        <f t="shared" si="11"/>
        <v>Poste de Sectionnement n°01 OB1</v>
      </c>
      <c r="F71" s="19">
        <v>21864</v>
      </c>
      <c r="G71" s="19">
        <v>21864</v>
      </c>
      <c r="H71" s="41" t="s">
        <v>20</v>
      </c>
      <c r="I71" s="41">
        <v>1</v>
      </c>
      <c r="J71" s="41" t="s">
        <v>3557</v>
      </c>
      <c r="K71" s="41">
        <v>16</v>
      </c>
      <c r="L71" s="41"/>
      <c r="M71" s="41" t="s">
        <v>308</v>
      </c>
      <c r="N71" s="41" t="s">
        <v>844</v>
      </c>
      <c r="O71" s="49">
        <f t="shared" ref="O71:O76" si="22">VALUE(RIGHT(N71,LEN(N71)-SEARCH("/",N71)))</f>
        <v>119.9</v>
      </c>
      <c r="P71" s="43">
        <f t="shared" ref="P71:P76" si="23">VALUE(SUBSTITUTE(LEFT(N71,SEARCH("/",N71)-1),"+",","))</f>
        <v>64.447999999999993</v>
      </c>
      <c r="Q71" s="41" t="s">
        <v>850</v>
      </c>
      <c r="R71" s="48" t="str">
        <f t="shared" si="5"/>
        <v>(1,'PS-01-OB1','Poste de Sectionnement n°01 OB1','Tuesday-11-jj','Tuesday-11-jj',NULL,1,),</v>
      </c>
    </row>
    <row r="72" spans="1:18" ht="20.100000000000001" customHeight="1" x14ac:dyDescent="0.25">
      <c r="A72" s="38">
        <v>2</v>
      </c>
      <c r="B72" s="38" t="s">
        <v>548</v>
      </c>
      <c r="C72" s="38">
        <v>3</v>
      </c>
      <c r="D72" s="39" t="str">
        <f t="shared" ref="D72:D77" si="24">CONCATENATE("PS-",TEXT(A72,"00"),"-",M72)</f>
        <v>PS-02-OB1</v>
      </c>
      <c r="E72" s="48" t="str">
        <f t="shared" ref="E72:E77" si="25">CONCATENATE("Poste de Sectionnement n°",TEXT(A72,"00")," ",M72)</f>
        <v>Poste de Sectionnement n°02 OB1</v>
      </c>
      <c r="F72" s="19">
        <v>21864</v>
      </c>
      <c r="G72" s="19">
        <v>21864</v>
      </c>
      <c r="H72" s="41" t="s">
        <v>20</v>
      </c>
      <c r="I72" s="41">
        <v>1</v>
      </c>
      <c r="J72" s="41" t="s">
        <v>3557</v>
      </c>
      <c r="K72" s="41">
        <v>16</v>
      </c>
      <c r="L72" s="41"/>
      <c r="M72" s="41" t="s">
        <v>308</v>
      </c>
      <c r="N72" s="41" t="s">
        <v>845</v>
      </c>
      <c r="O72" s="49">
        <f t="shared" si="22"/>
        <v>89.5</v>
      </c>
      <c r="P72" s="43">
        <f t="shared" si="23"/>
        <v>134.96</v>
      </c>
      <c r="Q72" s="41" t="s">
        <v>851</v>
      </c>
      <c r="R72" s="48" t="str">
        <f t="shared" si="5"/>
        <v>(2,'PS-02-OB1','Poste de Sectionnement n°02 OB1','Tuesday-11-jj','Tuesday-11-jj',NULL,1,),</v>
      </c>
    </row>
    <row r="73" spans="1:18" ht="20.100000000000001" customHeight="1" x14ac:dyDescent="0.25">
      <c r="A73" s="38">
        <v>3</v>
      </c>
      <c r="B73" s="38" t="s">
        <v>548</v>
      </c>
      <c r="C73" s="38">
        <v>3</v>
      </c>
      <c r="D73" s="39" t="str">
        <f t="shared" si="24"/>
        <v>PS-03-OB1</v>
      </c>
      <c r="E73" s="48" t="str">
        <f t="shared" si="25"/>
        <v>Poste de Sectionnement n°03 OB1</v>
      </c>
      <c r="F73" s="19">
        <v>21864</v>
      </c>
      <c r="G73" s="19">
        <v>21864</v>
      </c>
      <c r="H73" s="41" t="s">
        <v>20</v>
      </c>
      <c r="I73" s="41">
        <v>1</v>
      </c>
      <c r="J73" s="41" t="s">
        <v>3557</v>
      </c>
      <c r="K73" s="41">
        <v>16</v>
      </c>
      <c r="L73" s="41"/>
      <c r="M73" s="41" t="s">
        <v>308</v>
      </c>
      <c r="N73" s="41" t="s">
        <v>846</v>
      </c>
      <c r="O73" s="49">
        <f t="shared" si="22"/>
        <v>82.82</v>
      </c>
      <c r="P73" s="43">
        <f t="shared" si="23"/>
        <v>265.02999999999997</v>
      </c>
      <c r="Q73" s="41" t="s">
        <v>852</v>
      </c>
      <c r="R73" s="48" t="str">
        <f t="shared" si="5"/>
        <v>(3,'PS-03-OB1','Poste de Sectionnement n°03 OB1','Tuesday-11-jj','Tuesday-11-jj',NULL,1,),</v>
      </c>
    </row>
    <row r="74" spans="1:18" ht="20.100000000000001" customHeight="1" x14ac:dyDescent="0.25">
      <c r="A74" s="38">
        <v>4</v>
      </c>
      <c r="B74" s="38" t="s">
        <v>548</v>
      </c>
      <c r="C74" s="38">
        <v>3</v>
      </c>
      <c r="D74" s="39" t="str">
        <f t="shared" si="24"/>
        <v>PS-04-OB1</v>
      </c>
      <c r="E74" s="48" t="str">
        <f t="shared" si="25"/>
        <v>Poste de Sectionnement n°04 OB1</v>
      </c>
      <c r="F74" s="19">
        <v>21864</v>
      </c>
      <c r="G74" s="19">
        <v>21864</v>
      </c>
      <c r="H74" s="41" t="s">
        <v>20</v>
      </c>
      <c r="I74" s="41">
        <v>1</v>
      </c>
      <c r="J74" s="41" t="s">
        <v>3557</v>
      </c>
      <c r="K74" s="41">
        <v>16</v>
      </c>
      <c r="L74" s="41"/>
      <c r="M74" s="41" t="s">
        <v>308</v>
      </c>
      <c r="N74" s="41" t="s">
        <v>847</v>
      </c>
      <c r="O74" s="49">
        <f t="shared" si="22"/>
        <v>46.96</v>
      </c>
      <c r="P74" s="43">
        <f t="shared" si="23"/>
        <v>313.54000000000002</v>
      </c>
      <c r="Q74" s="41" t="s">
        <v>853</v>
      </c>
      <c r="R74" s="48" t="str">
        <f t="shared" si="5"/>
        <v>(4,'PS-04-OB1','Poste de Sectionnement n°04 OB1','Tuesday-11-jj','Tuesday-11-jj',NULL,1,),</v>
      </c>
    </row>
    <row r="75" spans="1:18" ht="20.100000000000001" customHeight="1" x14ac:dyDescent="0.25">
      <c r="A75" s="38" t="s">
        <v>843</v>
      </c>
      <c r="B75" s="38" t="s">
        <v>548</v>
      </c>
      <c r="C75" s="38">
        <v>3</v>
      </c>
      <c r="D75" s="39" t="str">
        <f t="shared" si="24"/>
        <v>PS-04Bis-OB1</v>
      </c>
      <c r="E75" s="48" t="str">
        <f t="shared" si="25"/>
        <v>Poste de Sectionnement n°04Bis OB1</v>
      </c>
      <c r="F75" s="19">
        <v>21864</v>
      </c>
      <c r="G75" s="19">
        <v>21864</v>
      </c>
      <c r="H75" s="41" t="s">
        <v>20</v>
      </c>
      <c r="I75" s="41">
        <v>1</v>
      </c>
      <c r="J75" s="41" t="s">
        <v>3557</v>
      </c>
      <c r="K75" s="41">
        <v>16</v>
      </c>
      <c r="L75" s="41"/>
      <c r="M75" s="41" t="s">
        <v>308</v>
      </c>
      <c r="N75" s="41" t="s">
        <v>848</v>
      </c>
      <c r="O75" s="49">
        <f t="shared" si="22"/>
        <v>294.27699999999999</v>
      </c>
      <c r="P75" s="43">
        <f t="shared" si="23"/>
        <v>373.43099999999998</v>
      </c>
      <c r="Q75" s="41" t="s">
        <v>854</v>
      </c>
      <c r="R75" s="48" t="str">
        <f t="shared" si="5"/>
        <v>(04Bis,'PS-04Bis-OB1','Poste de Sectionnement n°04Bis OB1','Tuesday-11-jj','Tuesday-11-jj',NULL,1,),</v>
      </c>
    </row>
    <row r="76" spans="1:18" ht="20.100000000000001" customHeight="1" x14ac:dyDescent="0.25">
      <c r="A76" s="38">
        <v>5</v>
      </c>
      <c r="B76" s="38" t="s">
        <v>548</v>
      </c>
      <c r="C76" s="38">
        <v>3</v>
      </c>
      <c r="D76" s="39" t="str">
        <f t="shared" si="24"/>
        <v>PS-05-OB1</v>
      </c>
      <c r="E76" s="48" t="str">
        <f t="shared" si="25"/>
        <v>Poste de Sectionnement n°05 OB1</v>
      </c>
      <c r="F76" s="19">
        <v>21864</v>
      </c>
      <c r="G76" s="19">
        <v>21864</v>
      </c>
      <c r="H76" s="41" t="s">
        <v>20</v>
      </c>
      <c r="I76" s="41">
        <v>1</v>
      </c>
      <c r="J76" s="41" t="s">
        <v>3557</v>
      </c>
      <c r="K76" s="41">
        <v>16</v>
      </c>
      <c r="L76" s="41"/>
      <c r="M76" s="41" t="s">
        <v>308</v>
      </c>
      <c r="N76" s="41" t="s">
        <v>849</v>
      </c>
      <c r="O76" s="49">
        <f t="shared" si="22"/>
        <v>419.75</v>
      </c>
      <c r="P76" s="43">
        <f t="shared" si="23"/>
        <v>449.6</v>
      </c>
      <c r="Q76" s="41" t="s">
        <v>855</v>
      </c>
      <c r="R76" s="48" t="str">
        <f t="shared" si="5"/>
        <v>(5,'PS-05-OB1','Poste de Sectionnement n°05 OB1','Tuesday-11-jj','Tuesday-11-jj',NULL,1,),</v>
      </c>
    </row>
    <row r="77" spans="1:18" ht="20.100000000000001" customHeight="1" x14ac:dyDescent="0.25">
      <c r="A77" s="38" t="s">
        <v>858</v>
      </c>
      <c r="B77" s="38" t="s">
        <v>548</v>
      </c>
      <c r="C77" s="38">
        <v>3</v>
      </c>
      <c r="D77" s="39" t="str">
        <f t="shared" si="24"/>
        <v>PS-N01-ROB1</v>
      </c>
      <c r="E77" s="48" t="str">
        <f t="shared" si="25"/>
        <v>Poste de Sectionnement n°N01 ROB1</v>
      </c>
      <c r="F77" s="19">
        <v>44089</v>
      </c>
      <c r="G77" s="19">
        <v>44089</v>
      </c>
      <c r="H77" s="41" t="s">
        <v>20</v>
      </c>
      <c r="I77" s="41">
        <v>1</v>
      </c>
      <c r="J77" s="41" t="s">
        <v>3557</v>
      </c>
      <c r="K77" s="41">
        <v>16</v>
      </c>
      <c r="L77" s="41"/>
      <c r="M77" s="41" t="s">
        <v>856</v>
      </c>
      <c r="N77" s="41" t="s">
        <v>873</v>
      </c>
      <c r="O77" s="49">
        <f t="shared" ref="O77:O96" si="26">VALUE(RIGHT(N77,LEN(N77)-SEARCH("/",N77)))</f>
        <v>527</v>
      </c>
      <c r="P77" s="43">
        <f t="shared" ref="P77:P96" si="27">VALUE(SUBSTITUTE(LEFT(N77,SEARCH("/",N77)-1),"+",","))</f>
        <v>10.201000000000001</v>
      </c>
      <c r="Q77" s="41" t="s">
        <v>960</v>
      </c>
      <c r="R77" s="48" t="str">
        <f t="shared" ref="R77:R96" si="28">CONCATENATE("(",A77,",'",D77,"','",E77,"','",TEXT(F77,"aaaa-mm-jj"),"','",TEXT(G77,"aaaa-mm-jj"),"',",H77,",",I77,",",L77,"),")</f>
        <v>(N01,'PS-N01-ROB1','Poste de Sectionnement n°N01 ROB1','Tuesday-09-jj','Tuesday-09-jj',NULL,1,),</v>
      </c>
    </row>
    <row r="78" spans="1:18" ht="20.100000000000001" customHeight="1" x14ac:dyDescent="0.25">
      <c r="A78" s="38" t="s">
        <v>859</v>
      </c>
      <c r="B78" s="38" t="s">
        <v>548</v>
      </c>
      <c r="C78" s="38">
        <v>3</v>
      </c>
      <c r="D78" s="39" t="str">
        <f t="shared" ref="D78:D82" si="29">CONCATENATE("PS-",TEXT(A78,"00"),"-",M78)</f>
        <v>PS-N02-ROB1</v>
      </c>
      <c r="E78" s="48" t="str">
        <f t="shared" ref="E78:E82" si="30">CONCATENATE("Poste de Sectionnement n°",TEXT(A78,"00")," ",M78)</f>
        <v>Poste de Sectionnement n°N02 ROB1</v>
      </c>
      <c r="F78" s="19">
        <v>44089</v>
      </c>
      <c r="G78" s="19">
        <v>44089</v>
      </c>
      <c r="H78" s="41" t="s">
        <v>20</v>
      </c>
      <c r="I78" s="41">
        <v>1</v>
      </c>
      <c r="J78" s="41" t="s">
        <v>3557</v>
      </c>
      <c r="K78" s="41">
        <v>16</v>
      </c>
      <c r="L78" s="41"/>
      <c r="M78" s="41" t="s">
        <v>856</v>
      </c>
      <c r="N78" s="41" t="s">
        <v>874</v>
      </c>
      <c r="O78" s="49">
        <f t="shared" si="26"/>
        <v>669.4</v>
      </c>
      <c r="P78" s="43">
        <f t="shared" si="27"/>
        <v>23.334</v>
      </c>
      <c r="Q78" s="41" t="s">
        <v>961</v>
      </c>
      <c r="R78" s="48" t="str">
        <f t="shared" si="28"/>
        <v>(N02,'PS-N02-ROB1','Poste de Sectionnement n°N02 ROB1','Tuesday-09-jj','Tuesday-09-jj',NULL,1,),</v>
      </c>
    </row>
    <row r="79" spans="1:18" ht="20.100000000000001" customHeight="1" x14ac:dyDescent="0.25">
      <c r="A79" s="38" t="s">
        <v>860</v>
      </c>
      <c r="B79" s="38" t="s">
        <v>548</v>
      </c>
      <c r="C79" s="38">
        <v>3</v>
      </c>
      <c r="D79" s="39" t="str">
        <f t="shared" si="29"/>
        <v>PS-N03-ROB1</v>
      </c>
      <c r="E79" s="48" t="str">
        <f t="shared" si="30"/>
        <v>Poste de Sectionnement n°N03 ROB1</v>
      </c>
      <c r="F79" s="19">
        <v>44089</v>
      </c>
      <c r="G79" s="19">
        <v>44089</v>
      </c>
      <c r="H79" s="41" t="s">
        <v>20</v>
      </c>
      <c r="I79" s="41">
        <v>1</v>
      </c>
      <c r="J79" s="41" t="s">
        <v>3557</v>
      </c>
      <c r="K79" s="41">
        <v>16</v>
      </c>
      <c r="L79" s="41"/>
      <c r="M79" s="41" t="s">
        <v>856</v>
      </c>
      <c r="N79" s="41" t="s">
        <v>875</v>
      </c>
      <c r="O79" s="49">
        <f t="shared" si="26"/>
        <v>828.3</v>
      </c>
      <c r="P79" s="43">
        <f t="shared" si="27"/>
        <v>35.04</v>
      </c>
      <c r="Q79" s="41" t="s">
        <v>961</v>
      </c>
      <c r="R79" s="48" t="str">
        <f t="shared" si="28"/>
        <v>(N03,'PS-N03-ROB1','Poste de Sectionnement n°N03 ROB1','Tuesday-09-jj','Tuesday-09-jj',NULL,1,),</v>
      </c>
    </row>
    <row r="80" spans="1:18" ht="20.100000000000001" customHeight="1" x14ac:dyDescent="0.25">
      <c r="A80" s="38" t="s">
        <v>863</v>
      </c>
      <c r="B80" s="38" t="s">
        <v>548</v>
      </c>
      <c r="C80" s="38">
        <v>3</v>
      </c>
      <c r="D80" s="39" t="str">
        <f t="shared" si="29"/>
        <v>PS-N03Bis-ROB1</v>
      </c>
      <c r="E80" s="48" t="str">
        <f t="shared" si="30"/>
        <v>Poste de Sectionnement n°N03Bis ROB1</v>
      </c>
      <c r="F80" s="19">
        <v>44089</v>
      </c>
      <c r="G80" s="19">
        <v>44089</v>
      </c>
      <c r="H80" s="41" t="s">
        <v>20</v>
      </c>
      <c r="I80" s="41">
        <v>1</v>
      </c>
      <c r="J80" s="41" t="s">
        <v>3557</v>
      </c>
      <c r="K80" s="41">
        <v>16</v>
      </c>
      <c r="L80" s="41"/>
      <c r="M80" s="41" t="s">
        <v>856</v>
      </c>
      <c r="N80" s="41" t="s">
        <v>876</v>
      </c>
      <c r="O80" s="49">
        <f t="shared" si="26"/>
        <v>1032.25</v>
      </c>
      <c r="P80" s="43">
        <f t="shared" si="27"/>
        <v>45.691000000000003</v>
      </c>
      <c r="Q80" s="41" t="s">
        <v>962</v>
      </c>
      <c r="R80" s="48" t="str">
        <f t="shared" si="28"/>
        <v>(N03Bis,'PS-N03Bis-ROB1','Poste de Sectionnement n°N03Bis ROB1','Tuesday-09-jj','Tuesday-09-jj',NULL,1,),</v>
      </c>
    </row>
    <row r="81" spans="1:18" ht="20.100000000000001" customHeight="1" x14ac:dyDescent="0.25">
      <c r="A81" s="38" t="s">
        <v>861</v>
      </c>
      <c r="B81" s="38" t="s">
        <v>548</v>
      </c>
      <c r="C81" s="38">
        <v>3</v>
      </c>
      <c r="D81" s="39" t="str">
        <f>CONCATENATE("PS-",TEXT(A81,"00"),"-",M81)</f>
        <v>PS-N04-ROB1</v>
      </c>
      <c r="E81" s="48" t="str">
        <f>CONCATENATE("Poste de Sectionnement n°",TEXT(A81,"00")," ",M81)</f>
        <v>Poste de Sectionnement n°N04 ROB1</v>
      </c>
      <c r="F81" s="19">
        <v>44089</v>
      </c>
      <c r="G81" s="19">
        <v>44089</v>
      </c>
      <c r="H81" s="41" t="s">
        <v>20</v>
      </c>
      <c r="I81" s="41">
        <v>1</v>
      </c>
      <c r="J81" s="41" t="s">
        <v>3557</v>
      </c>
      <c r="K81" s="41">
        <v>16</v>
      </c>
      <c r="L81" s="41"/>
      <c r="M81" s="41" t="s">
        <v>856</v>
      </c>
      <c r="N81" s="41" t="s">
        <v>877</v>
      </c>
      <c r="O81" s="49">
        <f t="shared" si="26"/>
        <v>645.59</v>
      </c>
      <c r="P81" s="43">
        <f t="shared" si="27"/>
        <v>55.241</v>
      </c>
      <c r="Q81" s="41" t="s">
        <v>962</v>
      </c>
      <c r="R81" s="48" t="str">
        <f t="shared" si="28"/>
        <v>(N04,'PS-N04-ROB1','Poste de Sectionnement n°N04 ROB1','Tuesday-09-jj','Tuesday-09-jj',NULL,1,),</v>
      </c>
    </row>
    <row r="82" spans="1:18" ht="20.100000000000001" customHeight="1" x14ac:dyDescent="0.25">
      <c r="A82" s="38" t="s">
        <v>862</v>
      </c>
      <c r="B82" s="38" t="s">
        <v>548</v>
      </c>
      <c r="C82" s="38">
        <v>3</v>
      </c>
      <c r="D82" s="39" t="str">
        <f t="shared" si="29"/>
        <v>PS-N05-ROB1</v>
      </c>
      <c r="E82" s="48" t="str">
        <f t="shared" si="30"/>
        <v>Poste de Sectionnement n°N05 ROB1</v>
      </c>
      <c r="F82" s="19">
        <v>44089</v>
      </c>
      <c r="G82" s="19">
        <v>44089</v>
      </c>
      <c r="H82" s="41" t="s">
        <v>20</v>
      </c>
      <c r="I82" s="41">
        <v>1</v>
      </c>
      <c r="J82" s="41" t="s">
        <v>3557</v>
      </c>
      <c r="K82" s="41">
        <v>16</v>
      </c>
      <c r="L82" s="41"/>
      <c r="M82" s="41" t="s">
        <v>856</v>
      </c>
      <c r="N82" s="41" t="s">
        <v>878</v>
      </c>
      <c r="O82" s="49">
        <f t="shared" si="26"/>
        <v>499.52</v>
      </c>
      <c r="P82" s="43">
        <f t="shared" si="27"/>
        <v>66.156999999999996</v>
      </c>
      <c r="Q82" s="41" t="s">
        <v>962</v>
      </c>
      <c r="R82" s="48" t="str">
        <f t="shared" si="28"/>
        <v>(N05,'PS-N05-ROB1','Poste de Sectionnement n°N05 ROB1','Tuesday-09-jj','Tuesday-09-jj',NULL,1,),</v>
      </c>
    </row>
    <row r="83" spans="1:18" ht="20.100000000000001" customHeight="1" x14ac:dyDescent="0.25">
      <c r="A83" s="38" t="s">
        <v>864</v>
      </c>
      <c r="B83" s="38" t="s">
        <v>548</v>
      </c>
      <c r="C83" s="38">
        <v>3</v>
      </c>
      <c r="D83" s="39" t="str">
        <f t="shared" ref="D83:D91" si="31">CONCATENATE("PS-",TEXT(A83,"00"),"-",M83)</f>
        <v>PS-N06-ROB1</v>
      </c>
      <c r="E83" s="48" t="str">
        <f t="shared" ref="E83:E91" si="32">CONCATENATE("Poste de Sectionnement n°",TEXT(A83,"00")," ",M83)</f>
        <v>Poste de Sectionnement n°N06 ROB1</v>
      </c>
      <c r="F83" s="19">
        <v>44089</v>
      </c>
      <c r="G83" s="19">
        <v>44089</v>
      </c>
      <c r="H83" s="41" t="s">
        <v>20</v>
      </c>
      <c r="I83" s="41">
        <v>1</v>
      </c>
      <c r="J83" s="41" t="s">
        <v>3557</v>
      </c>
      <c r="K83" s="41">
        <v>16</v>
      </c>
      <c r="L83" s="41"/>
      <c r="M83" s="41" t="s">
        <v>856</v>
      </c>
      <c r="N83" s="41" t="s">
        <v>879</v>
      </c>
      <c r="O83" s="49">
        <f t="shared" si="26"/>
        <v>383.8</v>
      </c>
      <c r="P83" s="43">
        <f t="shared" si="27"/>
        <v>80.11</v>
      </c>
      <c r="Q83" s="41" t="s">
        <v>963</v>
      </c>
      <c r="R83" s="48" t="str">
        <f t="shared" si="28"/>
        <v>(N06,'PS-N06-ROB1','Poste de Sectionnement n°N06 ROB1','Tuesday-09-jj','Tuesday-09-jj',NULL,1,),</v>
      </c>
    </row>
    <row r="84" spans="1:18" ht="20.100000000000001" customHeight="1" x14ac:dyDescent="0.25">
      <c r="A84" s="38" t="s">
        <v>872</v>
      </c>
      <c r="B84" s="38" t="s">
        <v>548</v>
      </c>
      <c r="C84" s="38">
        <v>3</v>
      </c>
      <c r="D84" s="39" t="str">
        <f t="shared" si="31"/>
        <v>PS-N06Bis-ROB1</v>
      </c>
      <c r="E84" s="48" t="str">
        <f t="shared" si="32"/>
        <v>Poste de Sectionnement n°N06Bis ROB1</v>
      </c>
      <c r="F84" s="19">
        <v>44089</v>
      </c>
      <c r="G84" s="19">
        <v>44089</v>
      </c>
      <c r="H84" s="41" t="s">
        <v>20</v>
      </c>
      <c r="I84" s="41">
        <v>1</v>
      </c>
      <c r="J84" s="41" t="s">
        <v>3557</v>
      </c>
      <c r="K84" s="41">
        <v>16</v>
      </c>
      <c r="L84" s="41"/>
      <c r="M84" s="41" t="s">
        <v>856</v>
      </c>
      <c r="N84" s="41" t="s">
        <v>880</v>
      </c>
      <c r="O84" s="49">
        <f t="shared" si="26"/>
        <v>348.31</v>
      </c>
      <c r="P84" s="43">
        <f t="shared" si="27"/>
        <v>87.917000000000002</v>
      </c>
      <c r="Q84" s="41" t="s">
        <v>964</v>
      </c>
      <c r="R84" s="48" t="str">
        <f t="shared" si="28"/>
        <v>(N06Bis,'PS-N06Bis-ROB1','Poste de Sectionnement n°N06Bis ROB1','Tuesday-09-jj','Tuesday-09-jj',NULL,1,),</v>
      </c>
    </row>
    <row r="85" spans="1:18" ht="20.100000000000001" customHeight="1" x14ac:dyDescent="0.25">
      <c r="A85" s="38" t="s">
        <v>865</v>
      </c>
      <c r="B85" s="38" t="s">
        <v>548</v>
      </c>
      <c r="C85" s="38">
        <v>3</v>
      </c>
      <c r="D85" s="39" t="str">
        <f t="shared" si="31"/>
        <v>PS-N07-ROB1</v>
      </c>
      <c r="E85" s="48" t="str">
        <f t="shared" si="32"/>
        <v>Poste de Sectionnement n°N07 ROB1</v>
      </c>
      <c r="F85" s="19">
        <v>44089</v>
      </c>
      <c r="G85" s="19">
        <v>44089</v>
      </c>
      <c r="H85" s="41" t="s">
        <v>20</v>
      </c>
      <c r="I85" s="41">
        <v>1</v>
      </c>
      <c r="J85" s="41" t="s">
        <v>3557</v>
      </c>
      <c r="K85" s="41">
        <v>16</v>
      </c>
      <c r="L85" s="41"/>
      <c r="M85" s="41" t="s">
        <v>856</v>
      </c>
      <c r="N85" s="41" t="s">
        <v>881</v>
      </c>
      <c r="O85" s="49">
        <f t="shared" si="26"/>
        <v>228.55</v>
      </c>
      <c r="P85" s="43">
        <f t="shared" si="27"/>
        <v>99.33</v>
      </c>
      <c r="Q85" s="41" t="s">
        <v>965</v>
      </c>
      <c r="R85" s="48" t="str">
        <f t="shared" si="28"/>
        <v>(N07,'PS-N07-ROB1','Poste de Sectionnement n°N07 ROB1','Tuesday-09-jj','Tuesday-09-jj',NULL,1,),</v>
      </c>
    </row>
    <row r="86" spans="1:18" ht="20.100000000000001" customHeight="1" x14ac:dyDescent="0.25">
      <c r="A86" s="38" t="s">
        <v>866</v>
      </c>
      <c r="B86" s="38" t="s">
        <v>548</v>
      </c>
      <c r="C86" s="38">
        <v>3</v>
      </c>
      <c r="D86" s="39" t="str">
        <f t="shared" si="31"/>
        <v>PS-N08-ROB1</v>
      </c>
      <c r="E86" s="48" t="str">
        <f t="shared" si="32"/>
        <v>Poste de Sectionnement n°N08 ROB1</v>
      </c>
      <c r="F86" s="19">
        <v>44089</v>
      </c>
      <c r="G86" s="19">
        <v>44089</v>
      </c>
      <c r="H86" s="41" t="s">
        <v>20</v>
      </c>
      <c r="I86" s="41">
        <v>1</v>
      </c>
      <c r="J86" s="41" t="s">
        <v>3557</v>
      </c>
      <c r="K86" s="41">
        <v>16</v>
      </c>
      <c r="L86" s="41"/>
      <c r="M86" s="41" t="s">
        <v>856</v>
      </c>
      <c r="N86" s="41" t="s">
        <v>882</v>
      </c>
      <c r="O86" s="49">
        <f t="shared" si="26"/>
        <v>183.24</v>
      </c>
      <c r="P86" s="43">
        <f t="shared" si="27"/>
        <v>111.46299999999999</v>
      </c>
      <c r="Q86" s="41" t="s">
        <v>966</v>
      </c>
      <c r="R86" s="48" t="str">
        <f t="shared" si="28"/>
        <v>(N08,'PS-N08-ROB1','Poste de Sectionnement n°N08 ROB1','Tuesday-09-jj','Tuesday-09-jj',NULL,1,),</v>
      </c>
    </row>
    <row r="87" spans="1:18" ht="20.100000000000001" customHeight="1" x14ac:dyDescent="0.25">
      <c r="A87" s="38" t="s">
        <v>867</v>
      </c>
      <c r="B87" s="38" t="s">
        <v>548</v>
      </c>
      <c r="C87" s="38">
        <v>3</v>
      </c>
      <c r="D87" s="39" t="str">
        <f t="shared" si="31"/>
        <v>PS-N09-ROB1</v>
      </c>
      <c r="E87" s="48" t="str">
        <f t="shared" si="32"/>
        <v>Poste de Sectionnement n°N09 ROB1</v>
      </c>
      <c r="F87" s="19">
        <v>44089</v>
      </c>
      <c r="G87" s="19">
        <v>44089</v>
      </c>
      <c r="H87" s="41" t="s">
        <v>20</v>
      </c>
      <c r="I87" s="41">
        <v>1</v>
      </c>
      <c r="J87" s="41" t="s">
        <v>3557</v>
      </c>
      <c r="K87" s="41">
        <v>16</v>
      </c>
      <c r="L87" s="41"/>
      <c r="M87" s="41" t="s">
        <v>856</v>
      </c>
      <c r="N87" s="41" t="s">
        <v>883</v>
      </c>
      <c r="O87" s="49">
        <f t="shared" si="26"/>
        <v>138.97</v>
      </c>
      <c r="P87" s="43">
        <f t="shared" si="27"/>
        <v>122.13</v>
      </c>
      <c r="Q87" s="41" t="s">
        <v>967</v>
      </c>
      <c r="R87" s="48" t="str">
        <f t="shared" si="28"/>
        <v>(N09,'PS-N09-ROB1','Poste de Sectionnement n°N09 ROB1','Tuesday-09-jj','Tuesday-09-jj',NULL,1,),</v>
      </c>
    </row>
    <row r="88" spans="1:18" ht="20.100000000000001" customHeight="1" x14ac:dyDescent="0.25">
      <c r="A88" s="38" t="s">
        <v>868</v>
      </c>
      <c r="B88" s="38" t="s">
        <v>548</v>
      </c>
      <c r="C88" s="38">
        <v>3</v>
      </c>
      <c r="D88" s="39" t="str">
        <f t="shared" si="31"/>
        <v>PS-N10-ROB1</v>
      </c>
      <c r="E88" s="48" t="str">
        <f t="shared" si="32"/>
        <v>Poste de Sectionnement n°N10 ROB1</v>
      </c>
      <c r="F88" s="19">
        <v>44089</v>
      </c>
      <c r="G88" s="19">
        <v>44089</v>
      </c>
      <c r="H88" s="41" t="s">
        <v>20</v>
      </c>
      <c r="I88" s="41">
        <v>1</v>
      </c>
      <c r="J88" s="41" t="s">
        <v>3557</v>
      </c>
      <c r="K88" s="41">
        <v>16</v>
      </c>
      <c r="L88" s="41"/>
      <c r="M88" s="41" t="s">
        <v>856</v>
      </c>
      <c r="N88" s="41" t="s">
        <v>884</v>
      </c>
      <c r="O88" s="49">
        <f t="shared" si="26"/>
        <v>97.74</v>
      </c>
      <c r="P88" s="43">
        <f t="shared" si="27"/>
        <v>133.07</v>
      </c>
      <c r="Q88" s="41" t="s">
        <v>968</v>
      </c>
      <c r="R88" s="48" t="str">
        <f t="shared" si="28"/>
        <v>(N10,'PS-N10-ROB1','Poste de Sectionnement n°N10 ROB1','Tuesday-09-jj','Tuesday-09-jj',NULL,1,),</v>
      </c>
    </row>
    <row r="89" spans="1:18" ht="20.100000000000001" customHeight="1" x14ac:dyDescent="0.25">
      <c r="A89" s="38" t="s">
        <v>869</v>
      </c>
      <c r="B89" s="38" t="s">
        <v>548</v>
      </c>
      <c r="C89" s="38">
        <v>3</v>
      </c>
      <c r="D89" s="39" t="str">
        <f t="shared" si="31"/>
        <v>PS-N11-ROB1</v>
      </c>
      <c r="E89" s="48" t="str">
        <f t="shared" si="32"/>
        <v>Poste de Sectionnement n°N11 ROB1</v>
      </c>
      <c r="F89" s="19">
        <v>44089</v>
      </c>
      <c r="G89" s="19">
        <v>44089</v>
      </c>
      <c r="H89" s="41" t="s">
        <v>20</v>
      </c>
      <c r="I89" s="41">
        <v>1</v>
      </c>
      <c r="J89" s="41" t="s">
        <v>3557</v>
      </c>
      <c r="K89" s="41">
        <v>16</v>
      </c>
      <c r="L89" s="41"/>
      <c r="M89" s="41" t="s">
        <v>856</v>
      </c>
      <c r="N89" s="41" t="s">
        <v>885</v>
      </c>
      <c r="O89" s="49">
        <f t="shared" si="26"/>
        <v>64.069999999999993</v>
      </c>
      <c r="P89" s="43">
        <f t="shared" si="27"/>
        <v>145.178</v>
      </c>
      <c r="Q89" s="41" t="s">
        <v>969</v>
      </c>
      <c r="R89" s="48" t="str">
        <f t="shared" si="28"/>
        <v>(N11,'PS-N11-ROB1','Poste de Sectionnement n°N11 ROB1','Tuesday-09-jj','Tuesday-09-jj',NULL,1,),</v>
      </c>
    </row>
    <row r="90" spans="1:18" ht="20.100000000000001" customHeight="1" x14ac:dyDescent="0.25">
      <c r="A90" s="38" t="s">
        <v>870</v>
      </c>
      <c r="B90" s="38" t="s">
        <v>548</v>
      </c>
      <c r="C90" s="38">
        <v>3</v>
      </c>
      <c r="D90" s="39" t="str">
        <f t="shared" si="31"/>
        <v>PS-N12-ROB1</v>
      </c>
      <c r="E90" s="48" t="str">
        <f t="shared" si="32"/>
        <v>Poste de Sectionnement n°N12 ROB1</v>
      </c>
      <c r="F90" s="19">
        <v>44089</v>
      </c>
      <c r="G90" s="19">
        <v>44089</v>
      </c>
      <c r="H90" s="41" t="s">
        <v>20</v>
      </c>
      <c r="I90" s="41">
        <v>1</v>
      </c>
      <c r="J90" s="41" t="s">
        <v>3557</v>
      </c>
      <c r="K90" s="41">
        <v>16</v>
      </c>
      <c r="L90" s="41"/>
      <c r="M90" s="41" t="s">
        <v>856</v>
      </c>
      <c r="N90" s="41" t="s">
        <v>886</v>
      </c>
      <c r="O90" s="49">
        <f t="shared" si="26"/>
        <v>33.68</v>
      </c>
      <c r="P90" s="43">
        <f t="shared" si="27"/>
        <v>155.577</v>
      </c>
      <c r="Q90" s="41" t="s">
        <v>970</v>
      </c>
      <c r="R90" s="48" t="str">
        <f t="shared" si="28"/>
        <v>(N12,'PS-N12-ROB1','Poste de Sectionnement n°N12 ROB1','Tuesday-09-jj','Tuesday-09-jj',NULL,1,),</v>
      </c>
    </row>
    <row r="91" spans="1:18" ht="20.100000000000001" customHeight="1" x14ac:dyDescent="0.25">
      <c r="A91" s="38" t="s">
        <v>871</v>
      </c>
      <c r="B91" s="38" t="s">
        <v>548</v>
      </c>
      <c r="C91" s="38">
        <v>3</v>
      </c>
      <c r="D91" s="39" t="str">
        <f t="shared" si="31"/>
        <v>PS-N13-ROB1</v>
      </c>
      <c r="E91" s="48" t="str">
        <f t="shared" si="32"/>
        <v>Poste de Sectionnement n°N13 ROB1</v>
      </c>
      <c r="F91" s="19">
        <v>44089</v>
      </c>
      <c r="G91" s="19">
        <v>44089</v>
      </c>
      <c r="H91" s="41" t="s">
        <v>20</v>
      </c>
      <c r="I91" s="41">
        <v>1</v>
      </c>
      <c r="J91" s="41" t="s">
        <v>3557</v>
      </c>
      <c r="K91" s="41">
        <v>16</v>
      </c>
      <c r="L91" s="41"/>
      <c r="M91" s="41" t="s">
        <v>856</v>
      </c>
      <c r="N91" s="41" t="s">
        <v>887</v>
      </c>
      <c r="O91" s="49">
        <f t="shared" si="26"/>
        <v>13.17</v>
      </c>
      <c r="P91" s="43">
        <f t="shared" si="27"/>
        <v>166.18100000000001</v>
      </c>
      <c r="Q91" s="41" t="s">
        <v>971</v>
      </c>
      <c r="R91" s="48" t="str">
        <f t="shared" si="28"/>
        <v>(N13,'PS-N13-ROB1','Poste de Sectionnement n°N13 ROB1','Tuesday-09-jj','Tuesday-09-jj',NULL,1,),</v>
      </c>
    </row>
    <row r="92" spans="1:18" ht="20.100000000000001" customHeight="1" x14ac:dyDescent="0.25">
      <c r="A92" s="38" t="s">
        <v>857</v>
      </c>
      <c r="B92" s="38" t="s">
        <v>548</v>
      </c>
      <c r="C92" s="38">
        <v>3</v>
      </c>
      <c r="D92" s="39" t="str">
        <f t="shared" ref="D92:D113" si="33">CONCATENATE("PS-",TEXT(A92,"00"),"-",M92)</f>
        <v>PS-S01-ROB1</v>
      </c>
      <c r="E92" s="48" t="str">
        <f t="shared" ref="E92:E113" si="34">CONCATENATE("Poste de Sectionnement n°",TEXT(A92,"00")," ",M92)</f>
        <v>Poste de Sectionnement n°S01 ROB1</v>
      </c>
      <c r="F92" s="19">
        <v>45231</v>
      </c>
      <c r="G92" s="19">
        <v>45231</v>
      </c>
      <c r="H92" s="41" t="s">
        <v>20</v>
      </c>
      <c r="I92" s="41">
        <v>1</v>
      </c>
      <c r="J92" s="41" t="s">
        <v>3557</v>
      </c>
      <c r="K92" s="41">
        <v>16</v>
      </c>
      <c r="L92" s="41"/>
      <c r="M92" s="41" t="s">
        <v>856</v>
      </c>
      <c r="N92" s="41" t="s">
        <v>909</v>
      </c>
      <c r="O92" s="49">
        <f t="shared" si="26"/>
        <v>163</v>
      </c>
      <c r="P92" s="43">
        <f t="shared" si="27"/>
        <v>19</v>
      </c>
      <c r="Q92" s="41" t="s">
        <v>931</v>
      </c>
      <c r="R92" s="48" t="str">
        <f t="shared" si="28"/>
        <v>(S01,'PS-S01-ROB1','Poste de Sectionnement n°S01 ROB1','Wednesday-11-jj','Wednesday-11-jj',NULL,1,),</v>
      </c>
    </row>
    <row r="93" spans="1:18" ht="20.100000000000001" customHeight="1" x14ac:dyDescent="0.25">
      <c r="A93" s="38" t="s">
        <v>888</v>
      </c>
      <c r="B93" s="38" t="s">
        <v>548</v>
      </c>
      <c r="C93" s="38">
        <v>3</v>
      </c>
      <c r="D93" s="39" t="str">
        <f t="shared" si="33"/>
        <v>PS-S02-ROB1</v>
      </c>
      <c r="E93" s="48" t="str">
        <f t="shared" si="34"/>
        <v>Poste de Sectionnement n°S02 ROB1</v>
      </c>
      <c r="F93" s="19">
        <v>45231</v>
      </c>
      <c r="G93" s="19">
        <v>45231</v>
      </c>
      <c r="H93" s="41" t="s">
        <v>20</v>
      </c>
      <c r="I93" s="41">
        <v>1</v>
      </c>
      <c r="J93" s="41" t="s">
        <v>3557</v>
      </c>
      <c r="K93" s="41">
        <v>16</v>
      </c>
      <c r="L93" s="41"/>
      <c r="M93" s="41" t="s">
        <v>856</v>
      </c>
      <c r="N93" s="41" t="s">
        <v>910</v>
      </c>
      <c r="O93" s="49">
        <f t="shared" si="26"/>
        <v>140</v>
      </c>
      <c r="P93" s="43">
        <f t="shared" si="27"/>
        <v>38</v>
      </c>
      <c r="Q93" s="41" t="s">
        <v>931</v>
      </c>
      <c r="R93" s="48" t="str">
        <f t="shared" si="28"/>
        <v>(S02,'PS-S02-ROB1','Poste de Sectionnement n°S02 ROB1','Wednesday-11-jj','Wednesday-11-jj',NULL,1,),</v>
      </c>
    </row>
    <row r="94" spans="1:18" ht="20.100000000000001" customHeight="1" x14ac:dyDescent="0.25">
      <c r="A94" s="38" t="s">
        <v>889</v>
      </c>
      <c r="B94" s="38" t="s">
        <v>548</v>
      </c>
      <c r="C94" s="38">
        <v>3</v>
      </c>
      <c r="D94" s="39" t="str">
        <f t="shared" si="33"/>
        <v>PS-S03-ROB1</v>
      </c>
      <c r="E94" s="48" t="str">
        <f t="shared" si="34"/>
        <v>Poste de Sectionnement n°S03 ROB1</v>
      </c>
      <c r="F94" s="19">
        <v>45231</v>
      </c>
      <c r="G94" s="19">
        <v>45231</v>
      </c>
      <c r="H94" s="41" t="s">
        <v>20</v>
      </c>
      <c r="I94" s="41">
        <v>1</v>
      </c>
      <c r="J94" s="41" t="s">
        <v>3557</v>
      </c>
      <c r="K94" s="41">
        <v>16</v>
      </c>
      <c r="L94" s="41"/>
      <c r="M94" s="41" t="s">
        <v>856</v>
      </c>
      <c r="N94" s="41" t="s">
        <v>911</v>
      </c>
      <c r="O94" s="49">
        <f t="shared" si="26"/>
        <v>130</v>
      </c>
      <c r="P94" s="43">
        <f t="shared" si="27"/>
        <v>60</v>
      </c>
      <c r="Q94" s="41" t="s">
        <v>932</v>
      </c>
      <c r="R94" s="48" t="str">
        <f t="shared" si="28"/>
        <v>(S03,'PS-S03-ROB1','Poste de Sectionnement n°S03 ROB1','Wednesday-11-jj','Wednesday-11-jj',NULL,1,),</v>
      </c>
    </row>
    <row r="95" spans="1:18" ht="20.100000000000001" customHeight="1" x14ac:dyDescent="0.25">
      <c r="A95" s="38" t="s">
        <v>890</v>
      </c>
      <c r="B95" s="38" t="s">
        <v>548</v>
      </c>
      <c r="C95" s="38">
        <v>3</v>
      </c>
      <c r="D95" s="39" t="str">
        <f t="shared" si="33"/>
        <v>PS-S04-ROB1</v>
      </c>
      <c r="E95" s="48" t="str">
        <f t="shared" si="34"/>
        <v>Poste de Sectionnement n°S04 ROB1</v>
      </c>
      <c r="F95" s="19">
        <v>45231</v>
      </c>
      <c r="G95" s="19">
        <v>45231</v>
      </c>
      <c r="H95" s="41" t="s">
        <v>20</v>
      </c>
      <c r="I95" s="41">
        <v>1</v>
      </c>
      <c r="J95" s="41" t="s">
        <v>3557</v>
      </c>
      <c r="K95" s="41">
        <v>16</v>
      </c>
      <c r="L95" s="41"/>
      <c r="M95" s="41" t="s">
        <v>856</v>
      </c>
      <c r="N95" s="41" t="s">
        <v>912</v>
      </c>
      <c r="O95" s="49">
        <f t="shared" si="26"/>
        <v>123</v>
      </c>
      <c r="P95" s="43">
        <f t="shared" si="27"/>
        <v>77</v>
      </c>
      <c r="Q95" s="41" t="s">
        <v>932</v>
      </c>
      <c r="R95" s="48" t="str">
        <f t="shared" si="28"/>
        <v>(S04,'PS-S04-ROB1','Poste de Sectionnement n°S04 ROB1','Wednesday-11-jj','Wednesday-11-jj',NULL,1,),</v>
      </c>
    </row>
    <row r="96" spans="1:18" ht="20.100000000000001" customHeight="1" x14ac:dyDescent="0.25">
      <c r="A96" s="38" t="s">
        <v>891</v>
      </c>
      <c r="B96" s="38" t="s">
        <v>548</v>
      </c>
      <c r="C96" s="38">
        <v>3</v>
      </c>
      <c r="D96" s="39" t="str">
        <f t="shared" si="33"/>
        <v>PS-S05-ROB1</v>
      </c>
      <c r="E96" s="48" t="str">
        <f t="shared" si="34"/>
        <v>Poste de Sectionnement n°S05 ROB1</v>
      </c>
      <c r="F96" s="19">
        <v>45231</v>
      </c>
      <c r="G96" s="19">
        <v>45231</v>
      </c>
      <c r="H96" s="41" t="s">
        <v>20</v>
      </c>
      <c r="I96" s="41">
        <v>1</v>
      </c>
      <c r="J96" s="41" t="s">
        <v>3557</v>
      </c>
      <c r="K96" s="41">
        <v>16</v>
      </c>
      <c r="L96" s="41"/>
      <c r="M96" s="41" t="s">
        <v>856</v>
      </c>
      <c r="N96" s="41" t="s">
        <v>913</v>
      </c>
      <c r="O96" s="49">
        <f t="shared" si="26"/>
        <v>106</v>
      </c>
      <c r="P96" s="43">
        <f t="shared" si="27"/>
        <v>97</v>
      </c>
      <c r="Q96" s="41" t="s">
        <v>932</v>
      </c>
      <c r="R96" s="48" t="str">
        <f t="shared" si="28"/>
        <v>(S05,'PS-S05-ROB1','Poste de Sectionnement n°S05 ROB1','Wednesday-11-jj','Wednesday-11-jj',NULL,1,),</v>
      </c>
    </row>
    <row r="97" spans="1:18" ht="20.100000000000001" customHeight="1" x14ac:dyDescent="0.25">
      <c r="A97" s="38" t="s">
        <v>892</v>
      </c>
      <c r="B97" s="38" t="s">
        <v>548</v>
      </c>
      <c r="C97" s="38">
        <v>3</v>
      </c>
      <c r="D97" s="39" t="str">
        <f t="shared" si="33"/>
        <v>PS-S06-ROB1</v>
      </c>
      <c r="E97" s="48" t="str">
        <f t="shared" si="34"/>
        <v>Poste de Sectionnement n°S06 ROB1</v>
      </c>
      <c r="F97" s="19">
        <v>45231</v>
      </c>
      <c r="G97" s="19">
        <v>45231</v>
      </c>
      <c r="H97" s="41" t="s">
        <v>20</v>
      </c>
      <c r="I97" s="41">
        <v>1</v>
      </c>
      <c r="J97" s="41" t="s">
        <v>3557</v>
      </c>
      <c r="K97" s="41">
        <v>16</v>
      </c>
      <c r="L97" s="41"/>
      <c r="M97" s="41" t="s">
        <v>856</v>
      </c>
      <c r="N97" s="41" t="s">
        <v>914</v>
      </c>
      <c r="O97" s="49">
        <f t="shared" ref="O97:O113" si="35">VALUE(RIGHT(N97,LEN(N97)-SEARCH("/",N97)))</f>
        <v>98</v>
      </c>
      <c r="P97" s="43">
        <f t="shared" ref="P97:P113" si="36">VALUE(SUBSTITUTE(LEFT(N97,SEARCH("/",N97)-1),"+",","))</f>
        <v>117</v>
      </c>
      <c r="Q97" s="41" t="s">
        <v>932</v>
      </c>
      <c r="R97" s="48" t="str">
        <f t="shared" ref="R97:R113" si="37">CONCATENATE("(",A97,",'",D97,"','",E97,"','",TEXT(F97,"aaaa-mm-jj"),"','",TEXT(G97,"aaaa-mm-jj"),"',",H97,",",I97,",",L97,"),")</f>
        <v>(S06,'PS-S06-ROB1','Poste de Sectionnement n°S06 ROB1','Wednesday-11-jj','Wednesday-11-jj',NULL,1,),</v>
      </c>
    </row>
    <row r="98" spans="1:18" ht="20.100000000000001" customHeight="1" x14ac:dyDescent="0.25">
      <c r="A98" s="38" t="s">
        <v>893</v>
      </c>
      <c r="B98" s="38" t="s">
        <v>548</v>
      </c>
      <c r="C98" s="38">
        <v>3</v>
      </c>
      <c r="D98" s="39" t="str">
        <f t="shared" si="33"/>
        <v>PS-S07-ROB1</v>
      </c>
      <c r="E98" s="48" t="str">
        <f t="shared" si="34"/>
        <v>Poste de Sectionnement n°S07 ROB1</v>
      </c>
      <c r="F98" s="19">
        <v>45231</v>
      </c>
      <c r="G98" s="19">
        <v>45231</v>
      </c>
      <c r="H98" s="41" t="s">
        <v>20</v>
      </c>
      <c r="I98" s="41">
        <v>1</v>
      </c>
      <c r="J98" s="41" t="s">
        <v>3557</v>
      </c>
      <c r="K98" s="41">
        <v>16</v>
      </c>
      <c r="L98" s="41"/>
      <c r="M98" s="41" t="s">
        <v>856</v>
      </c>
      <c r="N98" s="41" t="s">
        <v>915</v>
      </c>
      <c r="O98" s="49">
        <f t="shared" si="35"/>
        <v>86</v>
      </c>
      <c r="P98" s="43">
        <f t="shared" si="36"/>
        <v>135</v>
      </c>
      <c r="Q98" s="41" t="s">
        <v>933</v>
      </c>
      <c r="R98" s="48" t="str">
        <f t="shared" si="37"/>
        <v>(S07,'PS-S07-ROB1','Poste de Sectionnement n°S07 ROB1','Wednesday-11-jj','Wednesday-11-jj',NULL,1,),</v>
      </c>
    </row>
    <row r="99" spans="1:18" ht="20.100000000000001" customHeight="1" x14ac:dyDescent="0.25">
      <c r="A99" s="38" t="s">
        <v>894</v>
      </c>
      <c r="B99" s="38" t="s">
        <v>548</v>
      </c>
      <c r="C99" s="38">
        <v>3</v>
      </c>
      <c r="D99" s="39" t="str">
        <f t="shared" si="33"/>
        <v>PS-S08-ROB1</v>
      </c>
      <c r="E99" s="48" t="str">
        <f t="shared" si="34"/>
        <v>Poste de Sectionnement n°S08 ROB1</v>
      </c>
      <c r="F99" s="19">
        <v>45231</v>
      </c>
      <c r="G99" s="19">
        <v>45231</v>
      </c>
      <c r="H99" s="41" t="s">
        <v>20</v>
      </c>
      <c r="I99" s="41">
        <v>1</v>
      </c>
      <c r="J99" s="41" t="s">
        <v>3557</v>
      </c>
      <c r="K99" s="41">
        <v>16</v>
      </c>
      <c r="L99" s="41"/>
      <c r="M99" s="41" t="s">
        <v>856</v>
      </c>
      <c r="N99" s="41" t="s">
        <v>916</v>
      </c>
      <c r="O99" s="49">
        <f t="shared" si="35"/>
        <v>69</v>
      </c>
      <c r="P99" s="43">
        <f t="shared" si="36"/>
        <v>154</v>
      </c>
      <c r="Q99" s="41" t="s">
        <v>934</v>
      </c>
      <c r="R99" s="48" t="str">
        <f t="shared" si="37"/>
        <v>(S08,'PS-S08-ROB1','Poste de Sectionnement n°S08 ROB1','Wednesday-11-jj','Wednesday-11-jj',NULL,1,),</v>
      </c>
    </row>
    <row r="100" spans="1:18" ht="20.100000000000001" customHeight="1" x14ac:dyDescent="0.25">
      <c r="A100" s="38" t="s">
        <v>895</v>
      </c>
      <c r="B100" s="38" t="s">
        <v>548</v>
      </c>
      <c r="C100" s="38">
        <v>3</v>
      </c>
      <c r="D100" s="39" t="str">
        <f t="shared" si="33"/>
        <v>PS-S09-ROB1</v>
      </c>
      <c r="E100" s="48" t="str">
        <f t="shared" si="34"/>
        <v>Poste de Sectionnement n°S09 ROB1</v>
      </c>
      <c r="F100" s="19">
        <v>45231</v>
      </c>
      <c r="G100" s="19">
        <v>45231</v>
      </c>
      <c r="H100" s="41" t="s">
        <v>20</v>
      </c>
      <c r="I100" s="41">
        <v>1</v>
      </c>
      <c r="J100" s="41" t="s">
        <v>3557</v>
      </c>
      <c r="K100" s="41">
        <v>16</v>
      </c>
      <c r="L100" s="41"/>
      <c r="M100" s="41" t="s">
        <v>856</v>
      </c>
      <c r="N100" s="41" t="s">
        <v>917</v>
      </c>
      <c r="O100" s="49">
        <f t="shared" si="35"/>
        <v>71</v>
      </c>
      <c r="P100" s="43">
        <f t="shared" si="36"/>
        <v>174</v>
      </c>
      <c r="Q100" s="41" t="s">
        <v>935</v>
      </c>
      <c r="R100" s="48" t="str">
        <f t="shared" si="37"/>
        <v>(S09,'PS-S09-ROB1','Poste de Sectionnement n°S09 ROB1','Wednesday-11-jj','Wednesday-11-jj',NULL,1,),</v>
      </c>
    </row>
    <row r="101" spans="1:18" ht="20.100000000000001" customHeight="1" x14ac:dyDescent="0.25">
      <c r="A101" s="38" t="s">
        <v>896</v>
      </c>
      <c r="B101" s="38" t="s">
        <v>548</v>
      </c>
      <c r="C101" s="38">
        <v>3</v>
      </c>
      <c r="D101" s="39" t="str">
        <f t="shared" si="33"/>
        <v>PS-S10-ROB1</v>
      </c>
      <c r="E101" s="48" t="str">
        <f t="shared" si="34"/>
        <v>Poste de Sectionnement n°S10 ROB1</v>
      </c>
      <c r="F101" s="19">
        <v>46388</v>
      </c>
      <c r="G101" s="19">
        <v>46388</v>
      </c>
      <c r="H101" s="41" t="s">
        <v>20</v>
      </c>
      <c r="I101" s="41">
        <v>1</v>
      </c>
      <c r="J101" s="41" t="s">
        <v>3557</v>
      </c>
      <c r="K101" s="41">
        <v>16</v>
      </c>
      <c r="L101" s="41"/>
      <c r="M101" s="41" t="s">
        <v>856</v>
      </c>
      <c r="N101" s="41" t="s">
        <v>918</v>
      </c>
      <c r="O101" s="49">
        <f t="shared" si="35"/>
        <v>106</v>
      </c>
      <c r="P101" s="43">
        <f t="shared" si="36"/>
        <v>211</v>
      </c>
      <c r="Q101" s="41" t="s">
        <v>936</v>
      </c>
      <c r="R101" s="48" t="str">
        <f t="shared" si="37"/>
        <v>(S10,'PS-S10-ROB1','Poste de Sectionnement n°S10 ROB1','Friday-01-jj','Friday-01-jj',NULL,1,),</v>
      </c>
    </row>
    <row r="102" spans="1:18" ht="20.100000000000001" customHeight="1" x14ac:dyDescent="0.25">
      <c r="A102" s="38" t="s">
        <v>897</v>
      </c>
      <c r="B102" s="38" t="s">
        <v>548</v>
      </c>
      <c r="C102" s="38">
        <v>3</v>
      </c>
      <c r="D102" s="39" t="str">
        <f t="shared" si="33"/>
        <v>PS-S11-ROB1</v>
      </c>
      <c r="E102" s="48" t="str">
        <f t="shared" si="34"/>
        <v>Poste de Sectionnement n°S11 ROB1</v>
      </c>
      <c r="F102" s="19">
        <v>46388</v>
      </c>
      <c r="G102" s="19">
        <v>46388</v>
      </c>
      <c r="H102" s="41" t="s">
        <v>20</v>
      </c>
      <c r="I102" s="41">
        <v>1</v>
      </c>
      <c r="J102" s="41" t="s">
        <v>3557</v>
      </c>
      <c r="K102" s="41">
        <v>16</v>
      </c>
      <c r="L102" s="41"/>
      <c r="M102" s="41" t="s">
        <v>856</v>
      </c>
      <c r="N102" s="41" t="s">
        <v>919</v>
      </c>
      <c r="O102" s="49">
        <f t="shared" si="35"/>
        <v>63</v>
      </c>
      <c r="P102" s="43">
        <f t="shared" si="36"/>
        <v>231</v>
      </c>
      <c r="Q102" s="41" t="s">
        <v>937</v>
      </c>
      <c r="R102" s="48" t="str">
        <f t="shared" si="37"/>
        <v>(S11,'PS-S11-ROB1','Poste de Sectionnement n°S11 ROB1','Friday-01-jj','Friday-01-jj',NULL,1,),</v>
      </c>
    </row>
    <row r="103" spans="1:18" ht="20.100000000000001" customHeight="1" x14ac:dyDescent="0.25">
      <c r="A103" s="38" t="s">
        <v>898</v>
      </c>
      <c r="B103" s="38" t="s">
        <v>548</v>
      </c>
      <c r="C103" s="38">
        <v>3</v>
      </c>
      <c r="D103" s="39" t="str">
        <f t="shared" si="33"/>
        <v>PS-S12-ROB1</v>
      </c>
      <c r="E103" s="48" t="str">
        <f t="shared" si="34"/>
        <v>Poste de Sectionnement n°S12 ROB1</v>
      </c>
      <c r="F103" s="19">
        <v>46388</v>
      </c>
      <c r="G103" s="19">
        <v>46388</v>
      </c>
      <c r="H103" s="41" t="s">
        <v>20</v>
      </c>
      <c r="I103" s="41">
        <v>1</v>
      </c>
      <c r="J103" s="41" t="s">
        <v>3557</v>
      </c>
      <c r="K103" s="41">
        <v>16</v>
      </c>
      <c r="L103" s="41"/>
      <c r="M103" s="41" t="s">
        <v>856</v>
      </c>
      <c r="N103" s="41" t="s">
        <v>920</v>
      </c>
      <c r="O103" s="49">
        <f t="shared" si="35"/>
        <v>79</v>
      </c>
      <c r="P103" s="43">
        <f t="shared" si="36"/>
        <v>251</v>
      </c>
      <c r="Q103" s="41" t="s">
        <v>938</v>
      </c>
      <c r="R103" s="48" t="str">
        <f t="shared" si="37"/>
        <v>(S12,'PS-S12-ROB1','Poste de Sectionnement n°S12 ROB1','Friday-01-jj','Friday-01-jj',NULL,1,),</v>
      </c>
    </row>
    <row r="104" spans="1:18" ht="20.100000000000001" customHeight="1" x14ac:dyDescent="0.25">
      <c r="A104" s="38" t="s">
        <v>899</v>
      </c>
      <c r="B104" s="38" t="s">
        <v>548</v>
      </c>
      <c r="C104" s="38">
        <v>3</v>
      </c>
      <c r="D104" s="39" t="str">
        <f t="shared" si="33"/>
        <v>PS-S13-ROB1</v>
      </c>
      <c r="E104" s="48" t="str">
        <f t="shared" si="34"/>
        <v>Poste de Sectionnement n°S13 ROB1</v>
      </c>
      <c r="F104" s="19">
        <v>46388</v>
      </c>
      <c r="G104" s="19">
        <v>46388</v>
      </c>
      <c r="H104" s="41" t="s">
        <v>20</v>
      </c>
      <c r="I104" s="41">
        <v>1</v>
      </c>
      <c r="J104" s="41" t="s">
        <v>3557</v>
      </c>
      <c r="K104" s="41">
        <v>16</v>
      </c>
      <c r="L104" s="41"/>
      <c r="M104" s="41" t="s">
        <v>856</v>
      </c>
      <c r="N104" s="41" t="s">
        <v>921</v>
      </c>
      <c r="O104" s="49">
        <f t="shared" si="35"/>
        <v>81</v>
      </c>
      <c r="P104" s="43">
        <f t="shared" si="36"/>
        <v>271</v>
      </c>
      <c r="Q104" s="41" t="s">
        <v>939</v>
      </c>
      <c r="R104" s="48" t="str">
        <f t="shared" si="37"/>
        <v>(S13,'PS-S13-ROB1','Poste de Sectionnement n°S13 ROB1','Friday-01-jj','Friday-01-jj',NULL,1,),</v>
      </c>
    </row>
    <row r="105" spans="1:18" ht="20.100000000000001" customHeight="1" x14ac:dyDescent="0.25">
      <c r="A105" s="38" t="s">
        <v>900</v>
      </c>
      <c r="B105" s="38" t="s">
        <v>548</v>
      </c>
      <c r="C105" s="38">
        <v>3</v>
      </c>
      <c r="D105" s="39" t="str">
        <f t="shared" si="33"/>
        <v>PS-S14-ROB1</v>
      </c>
      <c r="E105" s="48" t="str">
        <f t="shared" si="34"/>
        <v>Poste de Sectionnement n°S14 ROB1</v>
      </c>
      <c r="F105" s="19">
        <v>46388</v>
      </c>
      <c r="G105" s="19">
        <v>46388</v>
      </c>
      <c r="H105" s="41" t="s">
        <v>20</v>
      </c>
      <c r="I105" s="41">
        <v>1</v>
      </c>
      <c r="J105" s="41" t="s">
        <v>3557</v>
      </c>
      <c r="K105" s="41">
        <v>16</v>
      </c>
      <c r="L105" s="41"/>
      <c r="M105" s="41" t="s">
        <v>856</v>
      </c>
      <c r="N105" s="41" t="s">
        <v>922</v>
      </c>
      <c r="O105" s="49">
        <f t="shared" si="35"/>
        <v>80</v>
      </c>
      <c r="P105" s="43">
        <f t="shared" si="36"/>
        <v>291</v>
      </c>
      <c r="Q105" s="41" t="s">
        <v>940</v>
      </c>
      <c r="R105" s="48" t="str">
        <f t="shared" si="37"/>
        <v>(S14,'PS-S14-ROB1','Poste de Sectionnement n°S14 ROB1','Friday-01-jj','Friday-01-jj',NULL,1,),</v>
      </c>
    </row>
    <row r="106" spans="1:18" ht="20.100000000000001" customHeight="1" x14ac:dyDescent="0.25">
      <c r="A106" s="38" t="s">
        <v>901</v>
      </c>
      <c r="B106" s="38" t="s">
        <v>548</v>
      </c>
      <c r="C106" s="38">
        <v>3</v>
      </c>
      <c r="D106" s="39" t="str">
        <f t="shared" si="33"/>
        <v>PS-S15-ROB1</v>
      </c>
      <c r="E106" s="48" t="str">
        <f t="shared" si="34"/>
        <v>Poste de Sectionnement n°S15 ROB1</v>
      </c>
      <c r="F106" s="19">
        <v>46388</v>
      </c>
      <c r="G106" s="19">
        <v>46388</v>
      </c>
      <c r="H106" s="41" t="s">
        <v>20</v>
      </c>
      <c r="I106" s="41">
        <v>1</v>
      </c>
      <c r="J106" s="41" t="s">
        <v>3557</v>
      </c>
      <c r="K106" s="41">
        <v>16</v>
      </c>
      <c r="L106" s="41"/>
      <c r="M106" s="41" t="s">
        <v>856</v>
      </c>
      <c r="N106" s="41" t="s">
        <v>923</v>
      </c>
      <c r="O106" s="49">
        <f t="shared" si="35"/>
        <v>70</v>
      </c>
      <c r="P106" s="43">
        <f t="shared" si="36"/>
        <v>311</v>
      </c>
      <c r="Q106" s="41" t="s">
        <v>940</v>
      </c>
      <c r="R106" s="48" t="str">
        <f t="shared" si="37"/>
        <v>(S15,'PS-S15-ROB1','Poste de Sectionnement n°S15 ROB1','Friday-01-jj','Friday-01-jj',NULL,1,),</v>
      </c>
    </row>
    <row r="107" spans="1:18" ht="20.100000000000001" customHeight="1" x14ac:dyDescent="0.25">
      <c r="A107" s="38" t="s">
        <v>902</v>
      </c>
      <c r="B107" s="38" t="s">
        <v>548</v>
      </c>
      <c r="C107" s="38">
        <v>3</v>
      </c>
      <c r="D107" s="39" t="str">
        <f t="shared" si="33"/>
        <v>PS-S16-ROB1</v>
      </c>
      <c r="E107" s="48" t="str">
        <f t="shared" si="34"/>
        <v>Poste de Sectionnement n°S16 ROB1</v>
      </c>
      <c r="F107" s="19">
        <v>46388</v>
      </c>
      <c r="G107" s="19">
        <v>46388</v>
      </c>
      <c r="H107" s="41" t="s">
        <v>20</v>
      </c>
      <c r="I107" s="41">
        <v>1</v>
      </c>
      <c r="J107" s="41" t="s">
        <v>3557</v>
      </c>
      <c r="K107" s="41">
        <v>16</v>
      </c>
      <c r="L107" s="41"/>
      <c r="M107" s="41" t="s">
        <v>856</v>
      </c>
      <c r="N107" s="41" t="s">
        <v>924</v>
      </c>
      <c r="O107" s="49">
        <f t="shared" si="35"/>
        <v>215</v>
      </c>
      <c r="P107" s="43">
        <f t="shared" si="36"/>
        <v>331</v>
      </c>
      <c r="Q107" s="41" t="s">
        <v>941</v>
      </c>
      <c r="R107" s="48" t="str">
        <f t="shared" si="37"/>
        <v>(S16,'PS-S16-ROB1','Poste de Sectionnement n°S16 ROB1','Friday-01-jj','Friday-01-jj',NULL,1,),</v>
      </c>
    </row>
    <row r="108" spans="1:18" ht="20.100000000000001" customHeight="1" x14ac:dyDescent="0.25">
      <c r="A108" s="38" t="s">
        <v>903</v>
      </c>
      <c r="B108" s="38" t="s">
        <v>548</v>
      </c>
      <c r="C108" s="38">
        <v>3</v>
      </c>
      <c r="D108" s="39" t="str">
        <f t="shared" si="33"/>
        <v>PS-S17-ROB1</v>
      </c>
      <c r="E108" s="48" t="str">
        <f t="shared" si="34"/>
        <v>Poste de Sectionnement n°S17 ROB1</v>
      </c>
      <c r="F108" s="19">
        <v>46388</v>
      </c>
      <c r="G108" s="19">
        <v>46388</v>
      </c>
      <c r="H108" s="41" t="s">
        <v>20</v>
      </c>
      <c r="I108" s="41">
        <v>1</v>
      </c>
      <c r="J108" s="41" t="s">
        <v>3557</v>
      </c>
      <c r="K108" s="41">
        <v>16</v>
      </c>
      <c r="L108" s="41"/>
      <c r="M108" s="41" t="s">
        <v>856</v>
      </c>
      <c r="N108" s="41" t="s">
        <v>925</v>
      </c>
      <c r="O108" s="49">
        <f t="shared" si="35"/>
        <v>324</v>
      </c>
      <c r="P108" s="43">
        <f t="shared" si="36"/>
        <v>370</v>
      </c>
      <c r="Q108" s="41" t="s">
        <v>942</v>
      </c>
      <c r="R108" s="48" t="str">
        <f t="shared" si="37"/>
        <v>(S17,'PS-S17-ROB1','Poste de Sectionnement n°S17 ROB1','Friday-01-jj','Friday-01-jj',NULL,1,),</v>
      </c>
    </row>
    <row r="109" spans="1:18" ht="20.100000000000001" customHeight="1" x14ac:dyDescent="0.25">
      <c r="A109" s="38" t="s">
        <v>904</v>
      </c>
      <c r="B109" s="38" t="s">
        <v>548</v>
      </c>
      <c r="C109" s="38">
        <v>3</v>
      </c>
      <c r="D109" s="39" t="str">
        <f t="shared" si="33"/>
        <v>PS-S18-ROB1</v>
      </c>
      <c r="E109" s="48" t="str">
        <f t="shared" si="34"/>
        <v>Poste de Sectionnement n°S18 ROB1</v>
      </c>
      <c r="F109" s="19">
        <v>46388</v>
      </c>
      <c r="G109" s="19">
        <v>46388</v>
      </c>
      <c r="H109" s="41" t="s">
        <v>20</v>
      </c>
      <c r="I109" s="41">
        <v>1</v>
      </c>
      <c r="J109" s="41" t="s">
        <v>3557</v>
      </c>
      <c r="K109" s="41">
        <v>16</v>
      </c>
      <c r="L109" s="41"/>
      <c r="M109" s="41" t="s">
        <v>856</v>
      </c>
      <c r="N109" s="41" t="s">
        <v>926</v>
      </c>
      <c r="O109" s="49">
        <f t="shared" si="35"/>
        <v>437</v>
      </c>
      <c r="P109" s="43">
        <f t="shared" si="36"/>
        <v>389</v>
      </c>
      <c r="Q109" s="41" t="s">
        <v>942</v>
      </c>
      <c r="R109" s="48" t="str">
        <f t="shared" si="37"/>
        <v>(S18,'PS-S18-ROB1','Poste de Sectionnement n°S18 ROB1','Friday-01-jj','Friday-01-jj',NULL,1,),</v>
      </c>
    </row>
    <row r="110" spans="1:18" ht="20.100000000000001" customHeight="1" x14ac:dyDescent="0.25">
      <c r="A110" s="38" t="s">
        <v>905</v>
      </c>
      <c r="B110" s="38" t="s">
        <v>548</v>
      </c>
      <c r="C110" s="38">
        <v>3</v>
      </c>
      <c r="D110" s="39" t="str">
        <f t="shared" si="33"/>
        <v>PS-S19-ROB1</v>
      </c>
      <c r="E110" s="48" t="str">
        <f t="shared" si="34"/>
        <v>Poste de Sectionnement n°S19 ROB1</v>
      </c>
      <c r="F110" s="19">
        <v>46388</v>
      </c>
      <c r="G110" s="19">
        <v>46388</v>
      </c>
      <c r="H110" s="41" t="s">
        <v>20</v>
      </c>
      <c r="I110" s="41">
        <v>1</v>
      </c>
      <c r="J110" s="41" t="s">
        <v>3557</v>
      </c>
      <c r="K110" s="41">
        <v>16</v>
      </c>
      <c r="L110" s="41"/>
      <c r="M110" s="41" t="s">
        <v>856</v>
      </c>
      <c r="N110" s="41" t="s">
        <v>927</v>
      </c>
      <c r="O110" s="49">
        <f t="shared" si="35"/>
        <v>461</v>
      </c>
      <c r="P110" s="43">
        <f t="shared" si="36"/>
        <v>408</v>
      </c>
      <c r="Q110" s="41" t="s">
        <v>942</v>
      </c>
      <c r="R110" s="48" t="str">
        <f t="shared" si="37"/>
        <v>(S19,'PS-S19-ROB1','Poste de Sectionnement n°S19 ROB1','Friday-01-jj','Friday-01-jj',NULL,1,),</v>
      </c>
    </row>
    <row r="111" spans="1:18" ht="20.100000000000001" customHeight="1" x14ac:dyDescent="0.25">
      <c r="A111" s="38" t="s">
        <v>906</v>
      </c>
      <c r="B111" s="38" t="s">
        <v>548</v>
      </c>
      <c r="C111" s="38">
        <v>3</v>
      </c>
      <c r="D111" s="39" t="str">
        <f t="shared" si="33"/>
        <v>PS-S20-ROB1</v>
      </c>
      <c r="E111" s="48" t="str">
        <f t="shared" si="34"/>
        <v>Poste de Sectionnement n°S20 ROB1</v>
      </c>
      <c r="F111" s="19">
        <v>46388</v>
      </c>
      <c r="G111" s="19">
        <v>46388</v>
      </c>
      <c r="H111" s="41" t="s">
        <v>20</v>
      </c>
      <c r="I111" s="41">
        <v>1</v>
      </c>
      <c r="J111" s="41" t="s">
        <v>3557</v>
      </c>
      <c r="K111" s="41">
        <v>16</v>
      </c>
      <c r="L111" s="41"/>
      <c r="M111" s="41" t="s">
        <v>856</v>
      </c>
      <c r="N111" s="41" t="s">
        <v>928</v>
      </c>
      <c r="O111" s="49">
        <f t="shared" si="35"/>
        <v>417</v>
      </c>
      <c r="P111" s="43">
        <f t="shared" si="36"/>
        <v>430</v>
      </c>
      <c r="Q111" s="41" t="s">
        <v>943</v>
      </c>
      <c r="R111" s="48" t="str">
        <f t="shared" si="37"/>
        <v>(S20,'PS-S20-ROB1','Poste de Sectionnement n°S20 ROB1','Friday-01-jj','Friday-01-jj',NULL,1,),</v>
      </c>
    </row>
    <row r="112" spans="1:18" ht="20.100000000000001" customHeight="1" x14ac:dyDescent="0.25">
      <c r="A112" s="38" t="s">
        <v>907</v>
      </c>
      <c r="B112" s="38" t="s">
        <v>548</v>
      </c>
      <c r="C112" s="38">
        <v>3</v>
      </c>
      <c r="D112" s="39" t="str">
        <f t="shared" si="33"/>
        <v>PS-S21-ROB1</v>
      </c>
      <c r="E112" s="48" t="str">
        <f t="shared" si="34"/>
        <v>Poste de Sectionnement n°S21 ROB1</v>
      </c>
      <c r="F112" s="19">
        <v>46388</v>
      </c>
      <c r="G112" s="19">
        <v>46388</v>
      </c>
      <c r="H112" s="41" t="s">
        <v>20</v>
      </c>
      <c r="I112" s="41">
        <v>1</v>
      </c>
      <c r="J112" s="41" t="s">
        <v>3557</v>
      </c>
      <c r="K112" s="41">
        <v>16</v>
      </c>
      <c r="L112" s="41"/>
      <c r="M112" s="41" t="s">
        <v>856</v>
      </c>
      <c r="N112" s="41" t="s">
        <v>929</v>
      </c>
      <c r="O112" s="49">
        <f t="shared" si="35"/>
        <v>422</v>
      </c>
      <c r="P112" s="43">
        <f t="shared" si="36"/>
        <v>450</v>
      </c>
      <c r="Q112" s="41" t="s">
        <v>944</v>
      </c>
      <c r="R112" s="48" t="str">
        <f t="shared" si="37"/>
        <v>(S21,'PS-S21-ROB1','Poste de Sectionnement n°S21 ROB1','Friday-01-jj','Friday-01-jj',NULL,1,),</v>
      </c>
    </row>
    <row r="113" spans="1:18" ht="20.100000000000001" customHeight="1" x14ac:dyDescent="0.25">
      <c r="A113" s="38" t="s">
        <v>908</v>
      </c>
      <c r="B113" s="38" t="s">
        <v>548</v>
      </c>
      <c r="C113" s="38">
        <v>3</v>
      </c>
      <c r="D113" s="39" t="str">
        <f t="shared" si="33"/>
        <v>PS-S22-ROB1</v>
      </c>
      <c r="E113" s="48" t="str">
        <f t="shared" si="34"/>
        <v>Poste de Sectionnement n°S22 ROB1</v>
      </c>
      <c r="F113" s="19">
        <v>46388</v>
      </c>
      <c r="G113" s="19">
        <v>46388</v>
      </c>
      <c r="H113" s="41" t="s">
        <v>20</v>
      </c>
      <c r="I113" s="41">
        <v>1</v>
      </c>
      <c r="J113" s="41" t="s">
        <v>3557</v>
      </c>
      <c r="K113" s="41">
        <v>16</v>
      </c>
      <c r="L113" s="41"/>
      <c r="M113" s="41" t="s">
        <v>856</v>
      </c>
      <c r="N113" s="41" t="s">
        <v>930</v>
      </c>
      <c r="O113" s="49">
        <f t="shared" si="35"/>
        <v>420</v>
      </c>
      <c r="P113" s="43">
        <f t="shared" si="36"/>
        <v>477</v>
      </c>
      <c r="Q113" s="41" t="s">
        <v>945</v>
      </c>
      <c r="R113" s="48" t="str">
        <f t="shared" si="37"/>
        <v>(S22,'PS-S22-ROB1','Poste de Sectionnement n°S22 ROB1','Friday-01-jj','Friday-01-jj',NULL,1,),</v>
      </c>
    </row>
    <row r="114" spans="1:18" ht="20.100000000000001" hidden="1" customHeight="1" x14ac:dyDescent="0.25">
      <c r="A114" s="38">
        <v>1</v>
      </c>
      <c r="B114" s="38" t="s">
        <v>548</v>
      </c>
      <c r="C114" s="38">
        <v>3</v>
      </c>
      <c r="D114" s="39" t="str">
        <f t="shared" ref="D114:D121" si="38">CONCATENATE("PS-",TEXT(A114,"00"),"-",M114)</f>
        <v>PS-01-OG1</v>
      </c>
      <c r="E114" s="48" t="str">
        <f t="shared" ref="E114:E121" si="39">CONCATENATE("Poste de Sectionnement n°",TEXT(A114,"00")," ",M114)</f>
        <v>Poste de Sectionnement n°01 OG1</v>
      </c>
      <c r="F114" s="19">
        <v>38537</v>
      </c>
      <c r="G114" s="19">
        <v>38537</v>
      </c>
      <c r="H114" s="41" t="s">
        <v>20</v>
      </c>
      <c r="I114" s="41">
        <v>1</v>
      </c>
      <c r="J114" s="41" t="s">
        <v>3557</v>
      </c>
      <c r="K114" s="41">
        <v>16</v>
      </c>
      <c r="L114" s="41"/>
      <c r="M114" s="41" t="s">
        <v>314</v>
      </c>
      <c r="N114" s="41" t="s">
        <v>953</v>
      </c>
      <c r="O114" s="49">
        <f t="shared" ref="O114:O120" si="40">VALUE(RIGHT(N114,LEN(N114)-SEARCH("/",N114)))</f>
        <v>429</v>
      </c>
      <c r="P114" s="43">
        <f t="shared" ref="P114:P120" si="41">VALUE(SUBSTITUTE(LEFT(N114,SEARCH("/",N114)-1),"+",","))</f>
        <v>18.920000000000002</v>
      </c>
      <c r="Q114" s="41" t="s">
        <v>946</v>
      </c>
      <c r="R114" s="48" t="str">
        <f t="shared" ref="R114:R148" si="42">CONCATENATE("(",A114,",'",D114,"','",E114,"','",TEXT(F114,"aaaa-mm-jj"),"','",TEXT(G114,"aaaa-mm-jj"),"',",H114,",",I114,",",L114,"),")</f>
        <v>(1,'PS-01-OG1','Poste de Sectionnement n°01 OG1','Monday-07-jj','Monday-07-jj',NULL,1,),</v>
      </c>
    </row>
    <row r="115" spans="1:18" ht="20.100000000000001" hidden="1" customHeight="1" x14ac:dyDescent="0.25">
      <c r="A115" s="38">
        <v>2</v>
      </c>
      <c r="B115" s="38" t="s">
        <v>548</v>
      </c>
      <c r="C115" s="38">
        <v>3</v>
      </c>
      <c r="D115" s="39" t="str">
        <f t="shared" si="38"/>
        <v>PS-02-OG1</v>
      </c>
      <c r="E115" s="48" t="str">
        <f t="shared" si="39"/>
        <v>Poste de Sectionnement n°02 OG1</v>
      </c>
      <c r="F115" s="19">
        <v>38537</v>
      </c>
      <c r="G115" s="19">
        <v>38537</v>
      </c>
      <c r="H115" s="41" t="s">
        <v>20</v>
      </c>
      <c r="I115" s="41">
        <v>1</v>
      </c>
      <c r="J115" s="41" t="s">
        <v>3557</v>
      </c>
      <c r="K115" s="41">
        <v>16</v>
      </c>
      <c r="L115" s="41"/>
      <c r="M115" s="41" t="s">
        <v>314</v>
      </c>
      <c r="N115" s="41" t="s">
        <v>954</v>
      </c>
      <c r="O115" s="49">
        <f t="shared" si="40"/>
        <v>594</v>
      </c>
      <c r="P115" s="43">
        <f t="shared" si="41"/>
        <v>37.94</v>
      </c>
      <c r="Q115" s="41" t="s">
        <v>947</v>
      </c>
      <c r="R115" s="48" t="str">
        <f t="shared" si="42"/>
        <v>(2,'PS-02-OG1','Poste de Sectionnement n°02 OG1','Monday-07-jj','Monday-07-jj',NULL,1,),</v>
      </c>
    </row>
    <row r="116" spans="1:18" ht="20.100000000000001" hidden="1" customHeight="1" x14ac:dyDescent="0.25">
      <c r="A116" s="38">
        <v>3</v>
      </c>
      <c r="B116" s="38" t="s">
        <v>548</v>
      </c>
      <c r="C116" s="38">
        <v>3</v>
      </c>
      <c r="D116" s="39" t="str">
        <f t="shared" si="38"/>
        <v>PS-03-OG1</v>
      </c>
      <c r="E116" s="48" t="str">
        <f t="shared" si="39"/>
        <v>Poste de Sectionnement n°03 OG1</v>
      </c>
      <c r="F116" s="19">
        <v>38537</v>
      </c>
      <c r="G116" s="19">
        <v>38537</v>
      </c>
      <c r="H116" s="41" t="s">
        <v>20</v>
      </c>
      <c r="I116" s="41">
        <v>1</v>
      </c>
      <c r="J116" s="41" t="s">
        <v>3557</v>
      </c>
      <c r="K116" s="41">
        <v>16</v>
      </c>
      <c r="L116" s="41"/>
      <c r="M116" s="41" t="s">
        <v>314</v>
      </c>
      <c r="N116" s="41" t="s">
        <v>955</v>
      </c>
      <c r="O116" s="49">
        <f t="shared" si="40"/>
        <v>733</v>
      </c>
      <c r="P116" s="43">
        <f t="shared" si="41"/>
        <v>60.2</v>
      </c>
      <c r="Q116" s="41" t="s">
        <v>948</v>
      </c>
      <c r="R116" s="48" t="str">
        <f t="shared" si="42"/>
        <v>(3,'PS-03-OG1','Poste de Sectionnement n°03 OG1','Monday-07-jj','Monday-07-jj',NULL,1,),</v>
      </c>
    </row>
    <row r="117" spans="1:18" ht="20.100000000000001" hidden="1" customHeight="1" x14ac:dyDescent="0.25">
      <c r="A117" s="38">
        <v>4</v>
      </c>
      <c r="B117" s="38" t="s">
        <v>548</v>
      </c>
      <c r="C117" s="38">
        <v>3</v>
      </c>
      <c r="D117" s="39" t="str">
        <f t="shared" si="38"/>
        <v>PS-04-OG1</v>
      </c>
      <c r="E117" s="48" t="str">
        <f t="shared" si="39"/>
        <v>Poste de Sectionnement n°04 OG1</v>
      </c>
      <c r="F117" s="19">
        <v>38537</v>
      </c>
      <c r="G117" s="19">
        <v>38537</v>
      </c>
      <c r="H117" s="41" t="s">
        <v>20</v>
      </c>
      <c r="I117" s="41">
        <v>1</v>
      </c>
      <c r="J117" s="41" t="s">
        <v>3557</v>
      </c>
      <c r="K117" s="41">
        <v>16</v>
      </c>
      <c r="L117" s="41"/>
      <c r="M117" s="41" t="s">
        <v>314</v>
      </c>
      <c r="N117" s="41" t="s">
        <v>956</v>
      </c>
      <c r="O117" s="49">
        <f t="shared" si="40"/>
        <v>726</v>
      </c>
      <c r="P117" s="43">
        <f t="shared" si="41"/>
        <v>78.84</v>
      </c>
      <c r="Q117" s="41" t="s">
        <v>949</v>
      </c>
      <c r="R117" s="48" t="str">
        <f t="shared" si="42"/>
        <v>(4,'PS-04-OG1','Poste de Sectionnement n°04 OG1','Monday-07-jj','Monday-07-jj',NULL,1,),</v>
      </c>
    </row>
    <row r="118" spans="1:18" ht="20.100000000000001" hidden="1" customHeight="1" x14ac:dyDescent="0.25">
      <c r="A118" s="38">
        <v>5</v>
      </c>
      <c r="B118" s="38" t="s">
        <v>548</v>
      </c>
      <c r="C118" s="38">
        <v>3</v>
      </c>
      <c r="D118" s="39" t="str">
        <f t="shared" si="38"/>
        <v>PS-05-OG1</v>
      </c>
      <c r="E118" s="48" t="str">
        <f t="shared" si="39"/>
        <v>Poste de Sectionnement n°05 OG1</v>
      </c>
      <c r="F118" s="19">
        <v>38537</v>
      </c>
      <c r="G118" s="19">
        <v>38537</v>
      </c>
      <c r="H118" s="41" t="s">
        <v>20</v>
      </c>
      <c r="I118" s="41">
        <v>1</v>
      </c>
      <c r="J118" s="41" t="s">
        <v>3557</v>
      </c>
      <c r="K118" s="41">
        <v>16</v>
      </c>
      <c r="L118" s="41"/>
      <c r="M118" s="41" t="s">
        <v>314</v>
      </c>
      <c r="N118" s="41" t="s">
        <v>957</v>
      </c>
      <c r="O118" s="49">
        <f t="shared" si="40"/>
        <v>451</v>
      </c>
      <c r="P118" s="43">
        <f t="shared" si="41"/>
        <v>99.5</v>
      </c>
      <c r="Q118" s="41" t="s">
        <v>950</v>
      </c>
      <c r="R118" s="48" t="str">
        <f t="shared" si="42"/>
        <v>(5,'PS-05-OG1','Poste de Sectionnement n°05 OG1','Monday-07-jj','Monday-07-jj',NULL,1,),</v>
      </c>
    </row>
    <row r="119" spans="1:18" ht="20.100000000000001" hidden="1" customHeight="1" x14ac:dyDescent="0.25">
      <c r="A119" s="38">
        <v>6</v>
      </c>
      <c r="B119" s="38" t="s">
        <v>548</v>
      </c>
      <c r="C119" s="38">
        <v>3</v>
      </c>
      <c r="D119" s="39" t="str">
        <f t="shared" si="38"/>
        <v>PS-06-OG1</v>
      </c>
      <c r="E119" s="48" t="str">
        <f t="shared" si="39"/>
        <v>Poste de Sectionnement n°06 OG1</v>
      </c>
      <c r="F119" s="19">
        <v>38537</v>
      </c>
      <c r="G119" s="19">
        <v>38537</v>
      </c>
      <c r="H119" s="41" t="s">
        <v>20</v>
      </c>
      <c r="I119" s="41">
        <v>1</v>
      </c>
      <c r="J119" s="41" t="s">
        <v>3557</v>
      </c>
      <c r="K119" s="41">
        <v>16</v>
      </c>
      <c r="L119" s="41"/>
      <c r="M119" s="41" t="s">
        <v>314</v>
      </c>
      <c r="N119" s="41" t="s">
        <v>958</v>
      </c>
      <c r="O119" s="49">
        <f t="shared" si="40"/>
        <v>772</v>
      </c>
      <c r="P119" s="43">
        <f t="shared" si="41"/>
        <v>123.82</v>
      </c>
      <c r="Q119" s="41" t="s">
        <v>951</v>
      </c>
      <c r="R119" s="48" t="str">
        <f t="shared" si="42"/>
        <v>(6,'PS-06-OG1','Poste de Sectionnement n°06 OG1','Monday-07-jj','Monday-07-jj',NULL,1,),</v>
      </c>
    </row>
    <row r="120" spans="1:18" ht="20.100000000000001" hidden="1" customHeight="1" x14ac:dyDescent="0.25">
      <c r="A120" s="38">
        <v>7</v>
      </c>
      <c r="B120" s="38" t="s">
        <v>548</v>
      </c>
      <c r="C120" s="38">
        <v>3</v>
      </c>
      <c r="D120" s="39" t="str">
        <f t="shared" si="38"/>
        <v>PS-07-OG1</v>
      </c>
      <c r="E120" s="48" t="str">
        <f t="shared" si="39"/>
        <v>Poste de Sectionnement n°07 OG1</v>
      </c>
      <c r="F120" s="19">
        <v>38537</v>
      </c>
      <c r="G120" s="19">
        <v>38537</v>
      </c>
      <c r="H120" s="41" t="s">
        <v>20</v>
      </c>
      <c r="I120" s="41">
        <v>1</v>
      </c>
      <c r="J120" s="41" t="s">
        <v>3557</v>
      </c>
      <c r="K120" s="41">
        <v>16</v>
      </c>
      <c r="L120" s="41"/>
      <c r="M120" s="41" t="s">
        <v>314</v>
      </c>
      <c r="N120" s="41" t="s">
        <v>959</v>
      </c>
      <c r="O120" s="49">
        <f t="shared" si="40"/>
        <v>84</v>
      </c>
      <c r="P120" s="43">
        <f t="shared" si="41"/>
        <v>132.44999999999999</v>
      </c>
      <c r="Q120" s="41" t="s">
        <v>952</v>
      </c>
      <c r="R120" s="48" t="str">
        <f t="shared" si="42"/>
        <v>(7,'PS-07-OG1','Poste de Sectionnement n°07 OG1','Monday-07-jj','Monday-07-jj',NULL,1,),</v>
      </c>
    </row>
    <row r="121" spans="1:18" ht="20.100000000000001" hidden="1" customHeight="1" x14ac:dyDescent="0.25">
      <c r="A121" s="38">
        <v>1</v>
      </c>
      <c r="B121" s="38" t="s">
        <v>317</v>
      </c>
      <c r="C121" s="38">
        <v>4</v>
      </c>
      <c r="D121" s="39" t="str">
        <f t="shared" si="38"/>
        <v>PS-01-OT1</v>
      </c>
      <c r="E121" s="48" t="str">
        <f t="shared" si="39"/>
        <v>Poste de Sectionnement n°01 OT1</v>
      </c>
      <c r="F121" s="19">
        <v>21916</v>
      </c>
      <c r="G121" s="19">
        <v>21916</v>
      </c>
      <c r="H121" s="41" t="s">
        <v>20</v>
      </c>
      <c r="I121" s="41">
        <v>1</v>
      </c>
      <c r="J121" s="41" t="s">
        <v>3557</v>
      </c>
      <c r="K121" s="41">
        <v>16</v>
      </c>
      <c r="L121" s="41"/>
      <c r="M121" s="41" t="s">
        <v>317</v>
      </c>
      <c r="N121" s="41" t="s">
        <v>972</v>
      </c>
      <c r="O121" s="49">
        <f t="shared" ref="O121:O127" si="43">VALUE(RIGHT(N121,LEN(N121)-SEARCH("/",N121)))</f>
        <v>544</v>
      </c>
      <c r="P121" s="43">
        <f t="shared" ref="P121:P127" si="44">VALUE(SUBSTITUTE(LEFT(N121,SEARCH("/",N121)-1),"+",","))</f>
        <v>54.1</v>
      </c>
      <c r="Q121" s="41" t="s">
        <v>979</v>
      </c>
      <c r="R121" s="48" t="str">
        <f t="shared" si="42"/>
        <v>(1,'PS-01-OT1','Poste de Sectionnement n°01 OT1','Friday-01-jj','Friday-01-jj',NULL,1,),</v>
      </c>
    </row>
    <row r="122" spans="1:18" ht="20.100000000000001" hidden="1" customHeight="1" x14ac:dyDescent="0.25">
      <c r="A122" s="38">
        <v>2</v>
      </c>
      <c r="B122" s="38" t="s">
        <v>317</v>
      </c>
      <c r="C122" s="38">
        <v>4</v>
      </c>
      <c r="D122" s="39" t="str">
        <f t="shared" ref="D122:D133" si="45">CONCATENATE("PS-",TEXT(A122,"00"),"-",M122)</f>
        <v>PS-02-OT1</v>
      </c>
      <c r="E122" s="48" t="str">
        <f t="shared" ref="E122:E133" si="46">CONCATENATE("Poste de Sectionnement n°",TEXT(A122,"00")," ",M122)</f>
        <v>Poste de Sectionnement n°02 OT1</v>
      </c>
      <c r="F122" s="19">
        <v>21916</v>
      </c>
      <c r="G122" s="19">
        <v>21916</v>
      </c>
      <c r="H122" s="41" t="s">
        <v>20</v>
      </c>
      <c r="I122" s="41">
        <v>1</v>
      </c>
      <c r="J122" s="41" t="s">
        <v>3557</v>
      </c>
      <c r="K122" s="41">
        <v>16</v>
      </c>
      <c r="L122" s="41"/>
      <c r="M122" s="41" t="s">
        <v>317</v>
      </c>
      <c r="N122" s="41" t="s">
        <v>973</v>
      </c>
      <c r="O122" s="49">
        <f t="shared" si="43"/>
        <v>662</v>
      </c>
      <c r="P122" s="43">
        <f t="shared" si="44"/>
        <v>83.9</v>
      </c>
      <c r="Q122" s="41" t="s">
        <v>979</v>
      </c>
      <c r="R122" s="48" t="str">
        <f t="shared" si="42"/>
        <v>(2,'PS-02-OT1','Poste de Sectionnement n°02 OT1','Friday-01-jj','Friday-01-jj',NULL,1,),</v>
      </c>
    </row>
    <row r="123" spans="1:18" ht="20.100000000000001" hidden="1" customHeight="1" x14ac:dyDescent="0.25">
      <c r="A123" s="38">
        <v>3</v>
      </c>
      <c r="B123" s="38" t="s">
        <v>317</v>
      </c>
      <c r="C123" s="38">
        <v>4</v>
      </c>
      <c r="D123" s="39" t="str">
        <f t="shared" si="45"/>
        <v>PS-03-OT1</v>
      </c>
      <c r="E123" s="48" t="str">
        <f t="shared" si="46"/>
        <v>Poste de Sectionnement n°03 OT1</v>
      </c>
      <c r="F123" s="19">
        <v>21916</v>
      </c>
      <c r="G123" s="19">
        <v>21916</v>
      </c>
      <c r="H123" s="41" t="s">
        <v>20</v>
      </c>
      <c r="I123" s="41">
        <v>1</v>
      </c>
      <c r="J123" s="41" t="s">
        <v>3557</v>
      </c>
      <c r="K123" s="41">
        <v>16</v>
      </c>
      <c r="L123" s="41"/>
      <c r="M123" s="41" t="s">
        <v>317</v>
      </c>
      <c r="N123" s="41" t="s">
        <v>974</v>
      </c>
      <c r="O123" s="49">
        <f t="shared" si="43"/>
        <v>600</v>
      </c>
      <c r="P123" s="43">
        <f t="shared" si="44"/>
        <v>123.1</v>
      </c>
      <c r="Q123" s="41" t="s">
        <v>979</v>
      </c>
      <c r="R123" s="48" t="str">
        <f t="shared" si="42"/>
        <v>(3,'PS-03-OT1','Poste de Sectionnement n°03 OT1','Friday-01-jj','Friday-01-jj',NULL,1,),</v>
      </c>
    </row>
    <row r="124" spans="1:18" ht="20.100000000000001" hidden="1" customHeight="1" x14ac:dyDescent="0.25">
      <c r="A124" s="38">
        <v>4</v>
      </c>
      <c r="B124" s="38" t="s">
        <v>317</v>
      </c>
      <c r="C124" s="38">
        <v>4</v>
      </c>
      <c r="D124" s="39" t="str">
        <f t="shared" si="45"/>
        <v>PS-04-OT1</v>
      </c>
      <c r="E124" s="48" t="str">
        <f t="shared" si="46"/>
        <v>Poste de Sectionnement n°04 OT1</v>
      </c>
      <c r="F124" s="19">
        <v>21916</v>
      </c>
      <c r="G124" s="19">
        <v>21916</v>
      </c>
      <c r="H124" s="41" t="s">
        <v>20</v>
      </c>
      <c r="I124" s="41">
        <v>1</v>
      </c>
      <c r="J124" s="41" t="s">
        <v>3557</v>
      </c>
      <c r="K124" s="41">
        <v>16</v>
      </c>
      <c r="L124" s="41"/>
      <c r="M124" s="41" t="s">
        <v>317</v>
      </c>
      <c r="N124" s="41" t="s">
        <v>975</v>
      </c>
      <c r="O124" s="49">
        <f t="shared" si="43"/>
        <v>525</v>
      </c>
      <c r="P124" s="43">
        <f t="shared" si="44"/>
        <v>151</v>
      </c>
      <c r="Q124" s="41" t="s">
        <v>980</v>
      </c>
      <c r="R124" s="48" t="str">
        <f t="shared" si="42"/>
        <v>(4,'PS-04-OT1','Poste de Sectionnement n°04 OT1','Friday-01-jj','Friday-01-jj',NULL,1,),</v>
      </c>
    </row>
    <row r="125" spans="1:18" ht="20.100000000000001" hidden="1" customHeight="1" x14ac:dyDescent="0.25">
      <c r="A125" s="38">
        <v>5</v>
      </c>
      <c r="B125" s="38" t="s">
        <v>317</v>
      </c>
      <c r="C125" s="38">
        <v>4</v>
      </c>
      <c r="D125" s="39" t="str">
        <f t="shared" si="45"/>
        <v>PS-05-OT1</v>
      </c>
      <c r="E125" s="48" t="str">
        <f t="shared" si="46"/>
        <v>Poste de Sectionnement n°05 OT1</v>
      </c>
      <c r="F125" s="19">
        <v>21916</v>
      </c>
      <c r="G125" s="19">
        <v>21916</v>
      </c>
      <c r="H125" s="41" t="s">
        <v>20</v>
      </c>
      <c r="I125" s="41">
        <v>1</v>
      </c>
      <c r="J125" s="41" t="s">
        <v>3557</v>
      </c>
      <c r="K125" s="41">
        <v>16</v>
      </c>
      <c r="L125" s="41"/>
      <c r="M125" s="41" t="s">
        <v>317</v>
      </c>
      <c r="N125" s="41" t="s">
        <v>976</v>
      </c>
      <c r="O125" s="49">
        <f t="shared" si="43"/>
        <v>400</v>
      </c>
      <c r="P125" s="43">
        <f t="shared" si="44"/>
        <v>210.1</v>
      </c>
      <c r="Q125" s="41" t="s">
        <v>980</v>
      </c>
      <c r="R125" s="48" t="str">
        <f t="shared" si="42"/>
        <v>(5,'PS-05-OT1','Poste de Sectionnement n°05 OT1','Friday-01-jj','Friday-01-jj',NULL,1,),</v>
      </c>
    </row>
    <row r="126" spans="1:18" ht="20.100000000000001" hidden="1" customHeight="1" x14ac:dyDescent="0.25">
      <c r="A126" s="38">
        <v>6</v>
      </c>
      <c r="B126" s="38" t="s">
        <v>317</v>
      </c>
      <c r="C126" s="38">
        <v>4</v>
      </c>
      <c r="D126" s="39" t="str">
        <f t="shared" si="45"/>
        <v>PS-06-OT1</v>
      </c>
      <c r="E126" s="48" t="str">
        <f t="shared" si="46"/>
        <v>Poste de Sectionnement n°06 OT1</v>
      </c>
      <c r="F126" s="19">
        <v>21916</v>
      </c>
      <c r="G126" s="19">
        <v>21916</v>
      </c>
      <c r="H126" s="41" t="s">
        <v>20</v>
      </c>
      <c r="I126" s="41">
        <v>1</v>
      </c>
      <c r="J126" s="41" t="s">
        <v>3557</v>
      </c>
      <c r="K126" s="41">
        <v>16</v>
      </c>
      <c r="L126" s="41"/>
      <c r="M126" s="41" t="s">
        <v>317</v>
      </c>
      <c r="N126" s="41" t="s">
        <v>977</v>
      </c>
      <c r="O126" s="49">
        <f t="shared" si="43"/>
        <v>315</v>
      </c>
      <c r="P126" s="43">
        <f t="shared" si="44"/>
        <v>240.7</v>
      </c>
      <c r="Q126" s="41" t="s">
        <v>980</v>
      </c>
      <c r="R126" s="48" t="str">
        <f t="shared" si="42"/>
        <v>(6,'PS-06-OT1','Poste de Sectionnement n°06 OT1','Friday-01-jj','Friday-01-jj',NULL,1,),</v>
      </c>
    </row>
    <row r="127" spans="1:18" ht="20.100000000000001" hidden="1" customHeight="1" x14ac:dyDescent="0.25">
      <c r="A127" s="38">
        <v>7</v>
      </c>
      <c r="B127" s="38" t="s">
        <v>317</v>
      </c>
      <c r="C127" s="38">
        <v>4</v>
      </c>
      <c r="D127" s="39" t="str">
        <f t="shared" si="45"/>
        <v>PS-07-OT1</v>
      </c>
      <c r="E127" s="48" t="str">
        <f t="shared" si="46"/>
        <v>Poste de Sectionnement n°07 OT1</v>
      </c>
      <c r="F127" s="19">
        <v>21916</v>
      </c>
      <c r="G127" s="19">
        <v>21916</v>
      </c>
      <c r="H127" s="41" t="s">
        <v>20</v>
      </c>
      <c r="I127" s="41">
        <v>1</v>
      </c>
      <c r="J127" s="41" t="s">
        <v>3557</v>
      </c>
      <c r="K127" s="41">
        <v>16</v>
      </c>
      <c r="L127" s="41"/>
      <c r="M127" s="41" t="s">
        <v>317</v>
      </c>
      <c r="N127" s="41" t="s">
        <v>978</v>
      </c>
      <c r="O127" s="49">
        <f t="shared" si="43"/>
        <v>280</v>
      </c>
      <c r="P127" s="43">
        <f t="shared" si="44"/>
        <v>263.89999999999998</v>
      </c>
      <c r="Q127" s="41" t="s">
        <v>980</v>
      </c>
      <c r="R127" s="48" t="str">
        <f t="shared" si="42"/>
        <v>(7,'PS-07-OT1','Poste de Sectionnement n°07 OT1','Friday-01-jj','Friday-01-jj',NULL,1,),</v>
      </c>
    </row>
    <row r="128" spans="1:18" ht="20.100000000000001" hidden="1" customHeight="1" x14ac:dyDescent="0.25">
      <c r="A128" s="38">
        <v>1</v>
      </c>
      <c r="B128" s="38" t="s">
        <v>3533</v>
      </c>
      <c r="C128" s="38" t="e">
        <f ca="1">_xlfn.XLOOKUP(B128,'02-03-07'!B$3:B$24,'02-03-07'!A$3:A$24)</f>
        <v>#NAME?</v>
      </c>
      <c r="D128" s="39" t="str">
        <f t="shared" si="45"/>
        <v>PS-01-OD1</v>
      </c>
      <c r="E128" s="48" t="str">
        <f t="shared" si="46"/>
        <v>Poste de Sectionnement n°01 OD1</v>
      </c>
      <c r="F128" s="19">
        <v>28207</v>
      </c>
      <c r="G128" s="19">
        <v>28207</v>
      </c>
      <c r="H128" s="41" t="s">
        <v>20</v>
      </c>
      <c r="I128" s="41">
        <v>1</v>
      </c>
      <c r="J128" s="41" t="s">
        <v>3557</v>
      </c>
      <c r="K128" s="41">
        <v>16</v>
      </c>
      <c r="L128" s="41"/>
      <c r="M128" s="41" t="s">
        <v>332</v>
      </c>
      <c r="N128" s="41" t="s">
        <v>981</v>
      </c>
      <c r="O128" s="49">
        <f t="shared" ref="O128:O131" si="47">VALUE(RIGHT(N128,LEN(N128)-SEARCH("/",N128)))</f>
        <v>224</v>
      </c>
      <c r="P128" s="43">
        <f t="shared" ref="P128:P131" si="48">VALUE(SUBSTITUTE(LEFT(N128,SEARCH("/",N128)-1),"+",","))</f>
        <v>32.4</v>
      </c>
      <c r="Q128" s="41" t="s">
        <v>985</v>
      </c>
      <c r="R128" s="48" t="str">
        <f t="shared" si="42"/>
        <v>(1,'PS-01-OD1','Poste de Sectionnement n°01 OD1','Wednesday-03-jj','Wednesday-03-jj',NULL,1,),</v>
      </c>
    </row>
    <row r="129" spans="1:18" ht="20.100000000000001" hidden="1" customHeight="1" x14ac:dyDescent="0.25">
      <c r="A129" s="38">
        <v>2</v>
      </c>
      <c r="B129" s="38" t="s">
        <v>3533</v>
      </c>
      <c r="C129" s="38">
        <v>6</v>
      </c>
      <c r="D129" s="39" t="str">
        <f t="shared" si="45"/>
        <v>PS-02-OD1</v>
      </c>
      <c r="E129" s="48" t="str">
        <f t="shared" si="46"/>
        <v>Poste de Sectionnement n°02 OD1</v>
      </c>
      <c r="F129" s="19">
        <v>28207</v>
      </c>
      <c r="G129" s="19">
        <v>28207</v>
      </c>
      <c r="H129" s="41" t="s">
        <v>20</v>
      </c>
      <c r="I129" s="41">
        <v>1</v>
      </c>
      <c r="J129" s="41" t="s">
        <v>3557</v>
      </c>
      <c r="K129" s="41">
        <v>16</v>
      </c>
      <c r="L129" s="41"/>
      <c r="M129" s="41" t="s">
        <v>332</v>
      </c>
      <c r="N129" s="41" t="s">
        <v>982</v>
      </c>
      <c r="O129" s="49">
        <f t="shared" si="47"/>
        <v>195</v>
      </c>
      <c r="P129" s="43">
        <f t="shared" si="48"/>
        <v>74.8</v>
      </c>
      <c r="Q129" s="41" t="s">
        <v>985</v>
      </c>
      <c r="R129" s="48" t="str">
        <f t="shared" si="42"/>
        <v>(2,'PS-02-OD1','Poste de Sectionnement n°02 OD1','Wednesday-03-jj','Wednesday-03-jj',NULL,1,),</v>
      </c>
    </row>
    <row r="130" spans="1:18" ht="20.100000000000001" hidden="1" customHeight="1" x14ac:dyDescent="0.25">
      <c r="A130" s="38">
        <v>3</v>
      </c>
      <c r="B130" s="38" t="s">
        <v>3533</v>
      </c>
      <c r="C130" s="38">
        <v>6</v>
      </c>
      <c r="D130" s="39" t="str">
        <f t="shared" si="45"/>
        <v>PS-03-OD1</v>
      </c>
      <c r="E130" s="48" t="str">
        <f t="shared" si="46"/>
        <v>Poste de Sectionnement n°03 OD1</v>
      </c>
      <c r="F130" s="19">
        <v>28207</v>
      </c>
      <c r="G130" s="19">
        <v>28207</v>
      </c>
      <c r="H130" s="41" t="s">
        <v>20</v>
      </c>
      <c r="I130" s="41">
        <v>1</v>
      </c>
      <c r="J130" s="41" t="s">
        <v>3557</v>
      </c>
      <c r="K130" s="41">
        <v>16</v>
      </c>
      <c r="L130" s="41"/>
      <c r="M130" s="41" t="s">
        <v>332</v>
      </c>
      <c r="N130" s="41" t="s">
        <v>983</v>
      </c>
      <c r="O130" s="49">
        <f t="shared" si="47"/>
        <v>162</v>
      </c>
      <c r="P130" s="43">
        <f t="shared" si="48"/>
        <v>144.80000000000001</v>
      </c>
      <c r="Q130" s="41" t="s">
        <v>985</v>
      </c>
      <c r="R130" s="48" t="str">
        <f t="shared" si="42"/>
        <v>(3,'PS-03-OD1','Poste de Sectionnement n°03 OD1','Wednesday-03-jj','Wednesday-03-jj',NULL,1,),</v>
      </c>
    </row>
    <row r="131" spans="1:18" ht="20.100000000000001" hidden="1" customHeight="1" x14ac:dyDescent="0.25">
      <c r="A131" s="38">
        <v>4</v>
      </c>
      <c r="B131" s="38" t="s">
        <v>3533</v>
      </c>
      <c r="C131" s="38">
        <v>6</v>
      </c>
      <c r="D131" s="39" t="str">
        <f t="shared" si="45"/>
        <v>PS-04-OD1</v>
      </c>
      <c r="E131" s="48" t="str">
        <f t="shared" si="46"/>
        <v>Poste de Sectionnement n°04 OD1</v>
      </c>
      <c r="F131" s="19">
        <v>28207</v>
      </c>
      <c r="G131" s="19">
        <v>28207</v>
      </c>
      <c r="H131" s="41" t="s">
        <v>20</v>
      </c>
      <c r="I131" s="41">
        <v>1</v>
      </c>
      <c r="J131" s="41" t="s">
        <v>3557</v>
      </c>
      <c r="K131" s="41">
        <v>16</v>
      </c>
      <c r="L131" s="41"/>
      <c r="M131" s="41" t="s">
        <v>332</v>
      </c>
      <c r="N131" s="41" t="s">
        <v>984</v>
      </c>
      <c r="O131" s="49">
        <f t="shared" si="47"/>
        <v>162</v>
      </c>
      <c r="P131" s="43">
        <f t="shared" si="48"/>
        <v>239.2</v>
      </c>
      <c r="Q131" s="41" t="s">
        <v>985</v>
      </c>
      <c r="R131" s="48" t="str">
        <f t="shared" si="42"/>
        <v>(4,'PS-04-OD1','Poste de Sectionnement n°04 OD1','Wednesday-03-jj','Wednesday-03-jj',NULL,1,),</v>
      </c>
    </row>
    <row r="132" spans="1:18" ht="20.100000000000001" hidden="1" customHeight="1" x14ac:dyDescent="0.25">
      <c r="A132" s="38">
        <v>1</v>
      </c>
      <c r="B132" s="38" t="s">
        <v>3533</v>
      </c>
      <c r="C132" s="38">
        <v>6</v>
      </c>
      <c r="D132" s="39" t="str">
        <f t="shared" si="45"/>
        <v>PS-01-ROD1</v>
      </c>
      <c r="E132" s="48" t="str">
        <f t="shared" si="46"/>
        <v>Poste de Sectionnement n°01 ROD1</v>
      </c>
      <c r="F132" s="19">
        <v>45444</v>
      </c>
      <c r="G132" s="19">
        <v>45444</v>
      </c>
      <c r="H132" s="41" t="s">
        <v>20</v>
      </c>
      <c r="I132" s="41">
        <v>1</v>
      </c>
      <c r="J132" s="41" t="s">
        <v>3557</v>
      </c>
      <c r="K132" s="41">
        <v>16</v>
      </c>
      <c r="L132" s="41"/>
      <c r="M132" s="41" t="s">
        <v>335</v>
      </c>
      <c r="N132" s="41" t="s">
        <v>986</v>
      </c>
      <c r="O132" s="49">
        <f t="shared" ref="O132:O143" si="49">VALUE(RIGHT(N132,LEN(N132)-SEARCH("/",N132)))</f>
        <v>211</v>
      </c>
      <c r="P132" s="43">
        <f t="shared" ref="P132:P143" si="50">VALUE(SUBSTITUTE(LEFT(N132,SEARCH("/",N132)-1),"+",","))</f>
        <v>25.238</v>
      </c>
      <c r="Q132" s="41" t="s">
        <v>985</v>
      </c>
      <c r="R132" s="48" t="str">
        <f t="shared" si="42"/>
        <v>(1,'PS-01-ROD1','Poste de Sectionnement n°01 ROD1','Saturday-06-jj','Saturday-06-jj',NULL,1,),</v>
      </c>
    </row>
    <row r="133" spans="1:18" ht="20.100000000000001" hidden="1" customHeight="1" x14ac:dyDescent="0.25">
      <c r="A133" s="38">
        <v>2</v>
      </c>
      <c r="B133" s="38" t="s">
        <v>3533</v>
      </c>
      <c r="C133" s="38">
        <v>6</v>
      </c>
      <c r="D133" s="39" t="str">
        <f t="shared" si="45"/>
        <v>PS-02-ROD1</v>
      </c>
      <c r="E133" s="48" t="str">
        <f t="shared" si="46"/>
        <v>Poste de Sectionnement n°02 ROD1</v>
      </c>
      <c r="F133" s="19">
        <v>45444</v>
      </c>
      <c r="G133" s="19">
        <v>45444</v>
      </c>
      <c r="H133" s="41" t="s">
        <v>20</v>
      </c>
      <c r="I133" s="41">
        <v>1</v>
      </c>
      <c r="J133" s="41" t="s">
        <v>3557</v>
      </c>
      <c r="K133" s="41">
        <v>16</v>
      </c>
      <c r="L133" s="41"/>
      <c r="M133" s="41" t="s">
        <v>335</v>
      </c>
      <c r="N133" s="41" t="s">
        <v>987</v>
      </c>
      <c r="O133" s="49">
        <f t="shared" si="49"/>
        <v>197</v>
      </c>
      <c r="P133" s="43">
        <f t="shared" si="50"/>
        <v>50.671999999999997</v>
      </c>
      <c r="Q133" s="41" t="s">
        <v>985</v>
      </c>
      <c r="R133" s="48" t="str">
        <f t="shared" si="42"/>
        <v>(2,'PS-02-ROD1','Poste de Sectionnement n°02 ROD1','Saturday-06-jj','Saturday-06-jj',NULL,1,),</v>
      </c>
    </row>
    <row r="134" spans="1:18" ht="20.100000000000001" hidden="1" customHeight="1" x14ac:dyDescent="0.25">
      <c r="A134" s="38">
        <v>3</v>
      </c>
      <c r="B134" s="38" t="s">
        <v>3533</v>
      </c>
      <c r="C134" s="38">
        <v>6</v>
      </c>
      <c r="D134" s="39" t="str">
        <f t="shared" ref="D134:D142" si="51">CONCATENATE("PS-",TEXT(A134,"00"),"-",M134)</f>
        <v>PS-03-ROD1</v>
      </c>
      <c r="E134" s="48" t="str">
        <f t="shared" ref="E134:E142" si="52">CONCATENATE("Poste de Sectionnement n°",TEXT(A134,"00")," ",M134)</f>
        <v>Poste de Sectionnement n°03 ROD1</v>
      </c>
      <c r="F134" s="19">
        <v>45444</v>
      </c>
      <c r="G134" s="19">
        <v>45444</v>
      </c>
      <c r="H134" s="41" t="s">
        <v>20</v>
      </c>
      <c r="I134" s="41">
        <v>1</v>
      </c>
      <c r="J134" s="41" t="s">
        <v>3557</v>
      </c>
      <c r="K134" s="41">
        <v>16</v>
      </c>
      <c r="L134" s="41"/>
      <c r="M134" s="41" t="s">
        <v>335</v>
      </c>
      <c r="N134" s="41" t="s">
        <v>988</v>
      </c>
      <c r="O134" s="49">
        <f t="shared" si="49"/>
        <v>200</v>
      </c>
      <c r="P134" s="43">
        <f t="shared" si="50"/>
        <v>74.968999999999994</v>
      </c>
      <c r="Q134" s="41" t="s">
        <v>985</v>
      </c>
      <c r="R134" s="48" t="str">
        <f t="shared" si="42"/>
        <v>(3,'PS-03-ROD1','Poste de Sectionnement n°03 ROD1','Saturday-06-jj','Saturday-06-jj',NULL,1,),</v>
      </c>
    </row>
    <row r="135" spans="1:18" ht="20.100000000000001" hidden="1" customHeight="1" x14ac:dyDescent="0.25">
      <c r="A135" s="38">
        <v>4</v>
      </c>
      <c r="B135" s="38" t="s">
        <v>3533</v>
      </c>
      <c r="C135" s="38">
        <v>6</v>
      </c>
      <c r="D135" s="39" t="str">
        <f t="shared" si="51"/>
        <v>PS-04-ROD1</v>
      </c>
      <c r="E135" s="48" t="str">
        <f t="shared" si="52"/>
        <v>Poste de Sectionnement n°04 ROD1</v>
      </c>
      <c r="F135" s="19">
        <v>45444</v>
      </c>
      <c r="G135" s="19">
        <v>45444</v>
      </c>
      <c r="H135" s="41" t="s">
        <v>20</v>
      </c>
      <c r="I135" s="41">
        <v>1</v>
      </c>
      <c r="J135" s="41" t="s">
        <v>3557</v>
      </c>
      <c r="K135" s="41">
        <v>16</v>
      </c>
      <c r="L135" s="41"/>
      <c r="M135" s="41" t="s">
        <v>335</v>
      </c>
      <c r="N135" s="41" t="s">
        <v>989</v>
      </c>
      <c r="O135" s="49">
        <f t="shared" si="49"/>
        <v>166</v>
      </c>
      <c r="P135" s="43">
        <f t="shared" si="50"/>
        <v>102.209</v>
      </c>
      <c r="Q135" s="41" t="s">
        <v>985</v>
      </c>
      <c r="R135" s="48" t="str">
        <f t="shared" si="42"/>
        <v>(4,'PS-04-ROD1','Poste de Sectionnement n°04 ROD1','Saturday-06-jj','Saturday-06-jj',NULL,1,),</v>
      </c>
    </row>
    <row r="136" spans="1:18" ht="20.100000000000001" hidden="1" customHeight="1" x14ac:dyDescent="0.25">
      <c r="A136" s="38">
        <v>5</v>
      </c>
      <c r="B136" s="38" t="s">
        <v>3533</v>
      </c>
      <c r="C136" s="38">
        <v>6</v>
      </c>
      <c r="D136" s="39" t="str">
        <f t="shared" si="51"/>
        <v>PS-05-ROD1</v>
      </c>
      <c r="E136" s="48" t="str">
        <f t="shared" si="52"/>
        <v>Poste de Sectionnement n°05 ROD1</v>
      </c>
      <c r="F136" s="19">
        <v>45444</v>
      </c>
      <c r="G136" s="19">
        <v>45444</v>
      </c>
      <c r="H136" s="41" t="s">
        <v>20</v>
      </c>
      <c r="I136" s="41">
        <v>1</v>
      </c>
      <c r="J136" s="41" t="s">
        <v>3557</v>
      </c>
      <c r="K136" s="41">
        <v>16</v>
      </c>
      <c r="L136" s="41"/>
      <c r="M136" s="41" t="s">
        <v>335</v>
      </c>
      <c r="N136" s="41" t="s">
        <v>990</v>
      </c>
      <c r="O136" s="49">
        <f t="shared" si="49"/>
        <v>162</v>
      </c>
      <c r="P136" s="43">
        <f t="shared" si="50"/>
        <v>119.709</v>
      </c>
      <c r="Q136" s="41" t="s">
        <v>985</v>
      </c>
      <c r="R136" s="48" t="str">
        <f t="shared" si="42"/>
        <v>(5,'PS-05-ROD1','Poste de Sectionnement n°05 ROD1','Saturday-06-jj','Saturday-06-jj',NULL,1,),</v>
      </c>
    </row>
    <row r="137" spans="1:18" ht="20.100000000000001" hidden="1" customHeight="1" x14ac:dyDescent="0.25">
      <c r="A137" s="38">
        <v>6</v>
      </c>
      <c r="B137" s="38" t="s">
        <v>3533</v>
      </c>
      <c r="C137" s="38">
        <v>6</v>
      </c>
      <c r="D137" s="39" t="str">
        <f t="shared" si="51"/>
        <v>PS-06-ROD1</v>
      </c>
      <c r="E137" s="48" t="str">
        <f t="shared" si="52"/>
        <v>Poste de Sectionnement n°06 ROD1</v>
      </c>
      <c r="F137" s="19">
        <v>46143</v>
      </c>
      <c r="G137" s="19">
        <v>46143</v>
      </c>
      <c r="H137" s="41" t="s">
        <v>20</v>
      </c>
      <c r="I137" s="41">
        <v>1</v>
      </c>
      <c r="J137" s="41" t="s">
        <v>3557</v>
      </c>
      <c r="K137" s="41">
        <v>16</v>
      </c>
      <c r="L137" s="41"/>
      <c r="M137" s="41" t="s">
        <v>335</v>
      </c>
      <c r="N137" s="41" t="s">
        <v>991</v>
      </c>
      <c r="O137" s="49">
        <f t="shared" si="49"/>
        <v>155</v>
      </c>
      <c r="P137" s="43">
        <f t="shared" si="50"/>
        <v>159.51300000000001</v>
      </c>
      <c r="Q137" s="41" t="s">
        <v>985</v>
      </c>
      <c r="R137" s="48" t="str">
        <f t="shared" si="42"/>
        <v>(6,'PS-06-ROD1','Poste de Sectionnement n°06 ROD1','Friday-05-jj','Friday-05-jj',NULL,1,),</v>
      </c>
    </row>
    <row r="138" spans="1:18" ht="20.100000000000001" hidden="1" customHeight="1" x14ac:dyDescent="0.25">
      <c r="A138" s="38">
        <v>7</v>
      </c>
      <c r="B138" s="38" t="s">
        <v>3533</v>
      </c>
      <c r="C138" s="38">
        <v>6</v>
      </c>
      <c r="D138" s="39" t="str">
        <f t="shared" si="51"/>
        <v>PS-07-ROD1</v>
      </c>
      <c r="E138" s="48" t="str">
        <f t="shared" si="52"/>
        <v>Poste de Sectionnement n°07 ROD1</v>
      </c>
      <c r="F138" s="19">
        <v>46143</v>
      </c>
      <c r="G138" s="19">
        <v>46143</v>
      </c>
      <c r="H138" s="41" t="s">
        <v>20</v>
      </c>
      <c r="I138" s="41">
        <v>1</v>
      </c>
      <c r="J138" s="41" t="s">
        <v>3557</v>
      </c>
      <c r="K138" s="41">
        <v>16</v>
      </c>
      <c r="L138" s="41"/>
      <c r="M138" s="41" t="s">
        <v>335</v>
      </c>
      <c r="N138" s="41" t="s">
        <v>992</v>
      </c>
      <c r="O138" s="49">
        <f t="shared" si="49"/>
        <v>169</v>
      </c>
      <c r="P138" s="43">
        <f t="shared" si="50"/>
        <v>182.024</v>
      </c>
      <c r="Q138" s="41" t="s">
        <v>985</v>
      </c>
      <c r="R138" s="48" t="str">
        <f t="shared" si="42"/>
        <v>(7,'PS-07-ROD1','Poste de Sectionnement n°07 ROD1','Friday-05-jj','Friday-05-jj',NULL,1,),</v>
      </c>
    </row>
    <row r="139" spans="1:18" ht="20.100000000000001" hidden="1" customHeight="1" x14ac:dyDescent="0.25">
      <c r="A139" s="38">
        <v>8</v>
      </c>
      <c r="B139" s="38" t="s">
        <v>3533</v>
      </c>
      <c r="C139" s="38">
        <v>6</v>
      </c>
      <c r="D139" s="39" t="str">
        <f t="shared" si="51"/>
        <v>PS-08-ROD1</v>
      </c>
      <c r="E139" s="48" t="str">
        <f t="shared" si="52"/>
        <v>Poste de Sectionnement n°08 ROD1</v>
      </c>
      <c r="F139" s="19">
        <v>46143</v>
      </c>
      <c r="G139" s="19">
        <v>46143</v>
      </c>
      <c r="H139" s="41" t="s">
        <v>20</v>
      </c>
      <c r="I139" s="41">
        <v>1</v>
      </c>
      <c r="J139" s="41" t="s">
        <v>3557</v>
      </c>
      <c r="K139" s="41">
        <v>16</v>
      </c>
      <c r="L139" s="41"/>
      <c r="M139" s="41" t="s">
        <v>335</v>
      </c>
      <c r="N139" s="41" t="s">
        <v>993</v>
      </c>
      <c r="O139" s="49">
        <f t="shared" si="49"/>
        <v>151</v>
      </c>
      <c r="P139" s="43">
        <f t="shared" si="50"/>
        <v>204.429</v>
      </c>
      <c r="Q139" s="41" t="s">
        <v>985</v>
      </c>
      <c r="R139" s="48" t="str">
        <f t="shared" si="42"/>
        <v>(8,'PS-08-ROD1','Poste de Sectionnement n°08 ROD1','Friday-05-jj','Friday-05-jj',NULL,1,),</v>
      </c>
    </row>
    <row r="140" spans="1:18" ht="20.100000000000001" hidden="1" customHeight="1" x14ac:dyDescent="0.25">
      <c r="A140" s="38">
        <v>9</v>
      </c>
      <c r="B140" s="38" t="s">
        <v>3533</v>
      </c>
      <c r="C140" s="38">
        <v>6</v>
      </c>
      <c r="D140" s="39" t="str">
        <f t="shared" si="51"/>
        <v>PS-09-ROD1</v>
      </c>
      <c r="E140" s="48" t="str">
        <f t="shared" si="52"/>
        <v>Poste de Sectionnement n°09 ROD1</v>
      </c>
      <c r="F140" s="19">
        <v>46143</v>
      </c>
      <c r="G140" s="19">
        <v>46143</v>
      </c>
      <c r="H140" s="41" t="s">
        <v>20</v>
      </c>
      <c r="I140" s="41">
        <v>1</v>
      </c>
      <c r="J140" s="41" t="s">
        <v>3557</v>
      </c>
      <c r="K140" s="41">
        <v>16</v>
      </c>
      <c r="L140" s="41"/>
      <c r="M140" s="41" t="s">
        <v>335</v>
      </c>
      <c r="N140" s="41" t="s">
        <v>994</v>
      </c>
      <c r="O140" s="49">
        <f t="shared" si="49"/>
        <v>154</v>
      </c>
      <c r="P140" s="43">
        <f t="shared" si="50"/>
        <v>227.00200000000001</v>
      </c>
      <c r="Q140" s="41" t="s">
        <v>985</v>
      </c>
      <c r="R140" s="48" t="str">
        <f t="shared" si="42"/>
        <v>(9,'PS-09-ROD1','Poste de Sectionnement n°09 ROD1','Friday-05-jj','Friday-05-jj',NULL,1,),</v>
      </c>
    </row>
    <row r="141" spans="1:18" ht="20.100000000000001" hidden="1" customHeight="1" x14ac:dyDescent="0.25">
      <c r="A141" s="38">
        <v>10</v>
      </c>
      <c r="B141" s="38" t="s">
        <v>3533</v>
      </c>
      <c r="C141" s="38">
        <v>6</v>
      </c>
      <c r="D141" s="39" t="str">
        <f t="shared" si="51"/>
        <v>PS-10-ROD1</v>
      </c>
      <c r="E141" s="48" t="str">
        <f t="shared" si="52"/>
        <v>Poste de Sectionnement n°10 ROD1</v>
      </c>
      <c r="F141" s="19">
        <v>46143</v>
      </c>
      <c r="G141" s="19">
        <v>46143</v>
      </c>
      <c r="H141" s="41" t="s">
        <v>20</v>
      </c>
      <c r="I141" s="41">
        <v>1</v>
      </c>
      <c r="J141" s="41" t="s">
        <v>3557</v>
      </c>
      <c r="K141" s="41">
        <v>16</v>
      </c>
      <c r="L141" s="41"/>
      <c r="M141" s="41" t="s">
        <v>335</v>
      </c>
      <c r="N141" s="41" t="s">
        <v>995</v>
      </c>
      <c r="O141" s="49">
        <f t="shared" si="49"/>
        <v>155</v>
      </c>
      <c r="P141" s="43">
        <f t="shared" si="50"/>
        <v>248.065</v>
      </c>
      <c r="Q141" s="41" t="s">
        <v>985</v>
      </c>
      <c r="R141" s="48" t="str">
        <f t="shared" si="42"/>
        <v>(10,'PS-10-ROD1','Poste de Sectionnement n°10 ROD1','Friday-05-jj','Friday-05-jj',NULL,1,),</v>
      </c>
    </row>
    <row r="142" spans="1:18" ht="20.100000000000001" hidden="1" customHeight="1" x14ac:dyDescent="0.25">
      <c r="A142" s="38">
        <v>1</v>
      </c>
      <c r="B142" s="38" t="s">
        <v>3533</v>
      </c>
      <c r="C142" s="38">
        <v>6</v>
      </c>
      <c r="D142" s="39" t="str">
        <f t="shared" si="51"/>
        <v>PS-01-OH2</v>
      </c>
      <c r="E142" s="48" t="str">
        <f t="shared" si="52"/>
        <v>Poste de Sectionnement n°01 OH2</v>
      </c>
      <c r="F142" s="19">
        <v>26399</v>
      </c>
      <c r="G142" s="19">
        <v>26399</v>
      </c>
      <c r="H142" s="41" t="s">
        <v>20</v>
      </c>
      <c r="I142" s="41">
        <v>1</v>
      </c>
      <c r="J142" s="41" t="s">
        <v>3557</v>
      </c>
      <c r="K142" s="41">
        <v>16</v>
      </c>
      <c r="L142" s="41"/>
      <c r="M142" s="41" t="s">
        <v>324</v>
      </c>
      <c r="N142" s="41" t="s">
        <v>996</v>
      </c>
      <c r="O142" s="49">
        <f t="shared" si="49"/>
        <v>155</v>
      </c>
      <c r="P142" s="43">
        <f t="shared" si="50"/>
        <v>19.7</v>
      </c>
      <c r="Q142" s="41" t="s">
        <v>998</v>
      </c>
      <c r="R142" s="48" t="str">
        <f t="shared" si="42"/>
        <v>(1,'PS-01-OH2','Poste de Sectionnement n°01 OH2','Monday-04-jj','Monday-04-jj',NULL,1,),</v>
      </c>
    </row>
    <row r="143" spans="1:18" ht="20.100000000000001" hidden="1" customHeight="1" x14ac:dyDescent="0.25">
      <c r="A143" s="38">
        <v>2</v>
      </c>
      <c r="B143" s="38" t="s">
        <v>3533</v>
      </c>
      <c r="C143" s="38">
        <v>6</v>
      </c>
      <c r="D143" s="39" t="str">
        <f t="shared" ref="D143:D145" si="53">CONCATENATE("PS-",TEXT(A143,"00"),"-",M143)</f>
        <v>PS-02-OH2</v>
      </c>
      <c r="E143" s="48" t="str">
        <f t="shared" ref="E143:E145" si="54">CONCATENATE("Poste de Sectionnement n°",TEXT(A143,"00")," ",M143)</f>
        <v>Poste de Sectionnement n°02 OH2</v>
      </c>
      <c r="F143" s="19">
        <v>26399</v>
      </c>
      <c r="G143" s="19">
        <v>26399</v>
      </c>
      <c r="H143" s="41" t="s">
        <v>20</v>
      </c>
      <c r="I143" s="41">
        <v>1</v>
      </c>
      <c r="J143" s="41" t="s">
        <v>3557</v>
      </c>
      <c r="K143" s="41">
        <v>16</v>
      </c>
      <c r="L143" s="41"/>
      <c r="M143" s="41" t="s">
        <v>324</v>
      </c>
      <c r="N143" s="41" t="s">
        <v>997</v>
      </c>
      <c r="O143" s="49">
        <f t="shared" si="49"/>
        <v>145</v>
      </c>
      <c r="P143" s="43">
        <f t="shared" si="50"/>
        <v>62</v>
      </c>
      <c r="Q143" s="41" t="s">
        <v>998</v>
      </c>
      <c r="R143" s="48" t="str">
        <f t="shared" si="42"/>
        <v>(2,'PS-02-OH2','Poste de Sectionnement n°02 OH2','Monday-04-jj','Monday-04-jj',NULL,1,),</v>
      </c>
    </row>
    <row r="144" spans="1:18" ht="20.100000000000001" hidden="1" customHeight="1" x14ac:dyDescent="0.25">
      <c r="A144" s="38">
        <v>1</v>
      </c>
      <c r="B144" s="38" t="s">
        <v>588</v>
      </c>
      <c r="C144" s="38">
        <v>7</v>
      </c>
      <c r="D144" s="39" t="str">
        <f t="shared" si="53"/>
        <v>PS-01-OH3</v>
      </c>
      <c r="E144" s="48" t="str">
        <f t="shared" si="54"/>
        <v>Poste de Sectionnement n°01 OH3</v>
      </c>
      <c r="F144" s="19">
        <v>36161</v>
      </c>
      <c r="G144" s="19">
        <v>36161</v>
      </c>
      <c r="H144" s="41" t="s">
        <v>20</v>
      </c>
      <c r="I144" s="41">
        <v>1</v>
      </c>
      <c r="J144" s="41" t="s">
        <v>3557</v>
      </c>
      <c r="K144" s="41">
        <v>16</v>
      </c>
      <c r="L144" s="41"/>
      <c r="M144" s="41" t="s">
        <v>327</v>
      </c>
      <c r="N144" s="41" t="s">
        <v>1032</v>
      </c>
      <c r="O144" s="49">
        <f t="shared" ref="O144:O151" si="55">VALUE(RIGHT(N144,LEN(N144)-SEARCH("/",N144)))</f>
        <v>196</v>
      </c>
      <c r="P144" s="43">
        <f t="shared" ref="P144:P151" si="56">VALUE(SUBSTITUTE(LEFT(N144,SEARCH("/",N144)-1),"+",","))</f>
        <v>31.4</v>
      </c>
      <c r="Q144" s="41" t="s">
        <v>1040</v>
      </c>
      <c r="R144" s="48" t="str">
        <f t="shared" si="42"/>
        <v>(1,'PS-01-OH3','Poste de Sectionnement n°01 OH3','Friday-01-jj','Friday-01-jj',NULL,1,),</v>
      </c>
    </row>
    <row r="145" spans="1:18" ht="20.100000000000001" hidden="1" customHeight="1" x14ac:dyDescent="0.25">
      <c r="A145" s="38">
        <v>2</v>
      </c>
      <c r="B145" s="38" t="s">
        <v>588</v>
      </c>
      <c r="C145" s="38">
        <v>7</v>
      </c>
      <c r="D145" s="39" t="str">
        <f t="shared" si="53"/>
        <v>PS-02-OH3</v>
      </c>
      <c r="E145" s="48" t="str">
        <f t="shared" si="54"/>
        <v>Poste de Sectionnement n°02 OH3</v>
      </c>
      <c r="F145" s="19">
        <v>36161</v>
      </c>
      <c r="G145" s="19">
        <v>36161</v>
      </c>
      <c r="H145" s="41" t="s">
        <v>20</v>
      </c>
      <c r="I145" s="41">
        <v>1</v>
      </c>
      <c r="J145" s="41" t="s">
        <v>3557</v>
      </c>
      <c r="K145" s="41">
        <v>16</v>
      </c>
      <c r="L145" s="41"/>
      <c r="M145" s="41" t="s">
        <v>327</v>
      </c>
      <c r="N145" s="41" t="s">
        <v>1033</v>
      </c>
      <c r="O145" s="49">
        <f t="shared" si="55"/>
        <v>185</v>
      </c>
      <c r="P145" s="43">
        <f t="shared" si="56"/>
        <v>63.5</v>
      </c>
      <c r="Q145" s="41" t="s">
        <v>1040</v>
      </c>
      <c r="R145" s="48" t="str">
        <f t="shared" si="42"/>
        <v>(2,'PS-02-OH3','Poste de Sectionnement n°02 OH3','Friday-01-jj','Friday-01-jj',NULL,1,),</v>
      </c>
    </row>
    <row r="146" spans="1:18" ht="20.100000000000001" hidden="1" customHeight="1" x14ac:dyDescent="0.25">
      <c r="A146" s="38">
        <v>3</v>
      </c>
      <c r="B146" s="38" t="s">
        <v>588</v>
      </c>
      <c r="C146" s="38">
        <v>7</v>
      </c>
      <c r="D146" s="39" t="str">
        <f t="shared" ref="D146:D163" si="57">CONCATENATE("PS-",TEXT(A146,"00"),"-",M146)</f>
        <v>PS-03-OH3</v>
      </c>
      <c r="E146" s="48" t="str">
        <f t="shared" ref="E146:E163" si="58">CONCATENATE("Poste de Sectionnement n°",TEXT(A146,"00")," ",M146)</f>
        <v>Poste de Sectionnement n°03 OH3</v>
      </c>
      <c r="F146" s="19">
        <v>36161</v>
      </c>
      <c r="G146" s="19">
        <v>36161</v>
      </c>
      <c r="H146" s="41" t="s">
        <v>20</v>
      </c>
      <c r="I146" s="41">
        <v>1</v>
      </c>
      <c r="J146" s="41" t="s">
        <v>3557</v>
      </c>
      <c r="K146" s="41">
        <v>16</v>
      </c>
      <c r="L146" s="41"/>
      <c r="M146" s="41" t="s">
        <v>327</v>
      </c>
      <c r="N146" s="41" t="s">
        <v>1034</v>
      </c>
      <c r="O146" s="49">
        <f t="shared" si="55"/>
        <v>187</v>
      </c>
      <c r="P146" s="43">
        <f t="shared" si="56"/>
        <v>93.4</v>
      </c>
      <c r="Q146" s="41" t="s">
        <v>998</v>
      </c>
      <c r="R146" s="48" t="str">
        <f t="shared" si="42"/>
        <v>(3,'PS-03-OH3','Poste de Sectionnement n°03 OH3','Friday-01-jj','Friday-01-jj',NULL,1,),</v>
      </c>
    </row>
    <row r="147" spans="1:18" ht="20.100000000000001" hidden="1" customHeight="1" x14ac:dyDescent="0.25">
      <c r="A147" s="38">
        <v>4</v>
      </c>
      <c r="B147" s="38" t="s">
        <v>588</v>
      </c>
      <c r="C147" s="38">
        <v>7</v>
      </c>
      <c r="D147" s="39" t="str">
        <f t="shared" si="57"/>
        <v>PS-04-OH3</v>
      </c>
      <c r="E147" s="48" t="str">
        <f t="shared" si="58"/>
        <v>Poste de Sectionnement n°04 OH3</v>
      </c>
      <c r="F147" s="19">
        <v>36161</v>
      </c>
      <c r="G147" s="19">
        <v>36161</v>
      </c>
      <c r="H147" s="41" t="s">
        <v>20</v>
      </c>
      <c r="I147" s="41">
        <v>1</v>
      </c>
      <c r="J147" s="41" t="s">
        <v>3557</v>
      </c>
      <c r="K147" s="41">
        <v>16</v>
      </c>
      <c r="L147" s="41"/>
      <c r="M147" s="41" t="s">
        <v>327</v>
      </c>
      <c r="N147" s="41" t="s">
        <v>1035</v>
      </c>
      <c r="O147" s="49">
        <f t="shared" si="55"/>
        <v>190</v>
      </c>
      <c r="P147" s="43">
        <f t="shared" si="56"/>
        <v>123.4</v>
      </c>
      <c r="Q147" s="41" t="s">
        <v>998</v>
      </c>
      <c r="R147" s="48" t="str">
        <f t="shared" si="42"/>
        <v>(4,'PS-04-OH3','Poste de Sectionnement n°04 OH3','Friday-01-jj','Friday-01-jj',NULL,1,),</v>
      </c>
    </row>
    <row r="148" spans="1:18" ht="20.100000000000001" hidden="1" customHeight="1" x14ac:dyDescent="0.25">
      <c r="A148" s="38">
        <v>5</v>
      </c>
      <c r="B148" s="38" t="s">
        <v>588</v>
      </c>
      <c r="C148" s="38">
        <v>7</v>
      </c>
      <c r="D148" s="39" t="str">
        <f t="shared" si="57"/>
        <v>PS-05-OH3</v>
      </c>
      <c r="E148" s="48" t="str">
        <f t="shared" si="58"/>
        <v>Poste de Sectionnement n°05 OH3</v>
      </c>
      <c r="F148" s="19">
        <v>36161</v>
      </c>
      <c r="G148" s="19">
        <v>36161</v>
      </c>
      <c r="H148" s="41" t="s">
        <v>20</v>
      </c>
      <c r="I148" s="41">
        <v>1</v>
      </c>
      <c r="J148" s="41" t="s">
        <v>3557</v>
      </c>
      <c r="K148" s="41">
        <v>16</v>
      </c>
      <c r="L148" s="41"/>
      <c r="M148" s="41" t="s">
        <v>327</v>
      </c>
      <c r="N148" s="41" t="s">
        <v>1036</v>
      </c>
      <c r="O148" s="49">
        <f t="shared" si="55"/>
        <v>184</v>
      </c>
      <c r="P148" s="43">
        <f t="shared" si="56"/>
        <v>173.3</v>
      </c>
      <c r="Q148" s="41" t="s">
        <v>998</v>
      </c>
      <c r="R148" s="48" t="str">
        <f t="shared" si="42"/>
        <v>(5,'PS-05-OH3','Poste de Sectionnement n°05 OH3','Friday-01-jj','Friday-01-jj',NULL,1,),</v>
      </c>
    </row>
    <row r="149" spans="1:18" ht="20.100000000000001" hidden="1" customHeight="1" x14ac:dyDescent="0.25">
      <c r="A149" s="38">
        <v>6</v>
      </c>
      <c r="B149" s="38" t="s">
        <v>588</v>
      </c>
      <c r="C149" s="38">
        <v>7</v>
      </c>
      <c r="D149" s="39" t="str">
        <f t="shared" si="57"/>
        <v>PS-06-OH3</v>
      </c>
      <c r="E149" s="48" t="str">
        <f t="shared" si="58"/>
        <v>Poste de Sectionnement n°06 OH3</v>
      </c>
      <c r="F149" s="19">
        <v>36161</v>
      </c>
      <c r="G149" s="19">
        <v>36161</v>
      </c>
      <c r="H149" s="41" t="s">
        <v>20</v>
      </c>
      <c r="I149" s="41">
        <v>1</v>
      </c>
      <c r="J149" s="41" t="s">
        <v>3557</v>
      </c>
      <c r="K149" s="41">
        <v>16</v>
      </c>
      <c r="L149" s="41"/>
      <c r="M149" s="41" t="s">
        <v>327</v>
      </c>
      <c r="N149" s="41" t="s">
        <v>1037</v>
      </c>
      <c r="O149" s="49">
        <f t="shared" si="55"/>
        <v>165</v>
      </c>
      <c r="P149" s="43">
        <f t="shared" si="56"/>
        <v>204</v>
      </c>
      <c r="Q149" s="41" t="s">
        <v>998</v>
      </c>
      <c r="R149" s="48" t="str">
        <f t="shared" ref="R149:R212" si="59">CONCATENATE("(",A149,",'",D149,"','",E149,"','",TEXT(F149,"aaaa-mm-jj"),"','",TEXT(G149,"aaaa-mm-jj"),"',",H149,",",I149,",",L149,"),")</f>
        <v>(6,'PS-06-OH3','Poste de Sectionnement n°06 OH3','Friday-01-jj','Friday-01-jj',NULL,1,),</v>
      </c>
    </row>
    <row r="150" spans="1:18" ht="20.100000000000001" hidden="1" customHeight="1" x14ac:dyDescent="0.25">
      <c r="A150" s="38">
        <v>7</v>
      </c>
      <c r="B150" s="38" t="s">
        <v>588</v>
      </c>
      <c r="C150" s="38">
        <v>7</v>
      </c>
      <c r="D150" s="39" t="str">
        <f t="shared" si="57"/>
        <v>PS-07-OH3</v>
      </c>
      <c r="E150" s="48" t="str">
        <f t="shared" si="58"/>
        <v>Poste de Sectionnement n°07 OH3</v>
      </c>
      <c r="F150" s="19">
        <v>36161</v>
      </c>
      <c r="G150" s="19">
        <v>36161</v>
      </c>
      <c r="H150" s="41" t="s">
        <v>20</v>
      </c>
      <c r="I150" s="41">
        <v>1</v>
      </c>
      <c r="J150" s="41" t="s">
        <v>3557</v>
      </c>
      <c r="K150" s="41">
        <v>16</v>
      </c>
      <c r="L150" s="41"/>
      <c r="M150" s="41" t="s">
        <v>327</v>
      </c>
      <c r="N150" s="41" t="s">
        <v>1038</v>
      </c>
      <c r="O150" s="49">
        <f t="shared" si="55"/>
        <v>156.79</v>
      </c>
      <c r="P150" s="43">
        <f t="shared" si="56"/>
        <v>233</v>
      </c>
      <c r="Q150" s="41" t="s">
        <v>998</v>
      </c>
      <c r="R150" s="48" t="str">
        <f t="shared" si="59"/>
        <v>(7,'PS-07-OH3','Poste de Sectionnement n°07 OH3','Friday-01-jj','Friday-01-jj',NULL,1,),</v>
      </c>
    </row>
    <row r="151" spans="1:18" ht="20.100000000000001" hidden="1" customHeight="1" x14ac:dyDescent="0.25">
      <c r="A151" s="38">
        <v>8</v>
      </c>
      <c r="B151" s="38" t="s">
        <v>588</v>
      </c>
      <c r="C151" s="38">
        <v>7</v>
      </c>
      <c r="D151" s="11" t="str">
        <f t="shared" si="57"/>
        <v>PS-08-OH3</v>
      </c>
      <c r="E151" s="9" t="str">
        <f t="shared" si="58"/>
        <v>Poste de Sectionnement n°08 OH3</v>
      </c>
      <c r="F151" s="12">
        <v>36161</v>
      </c>
      <c r="G151" s="12">
        <v>36161</v>
      </c>
      <c r="H151" s="13" t="s">
        <v>20</v>
      </c>
      <c r="I151" s="41">
        <v>1</v>
      </c>
      <c r="J151" s="41" t="s">
        <v>3557</v>
      </c>
      <c r="K151" s="41">
        <v>16</v>
      </c>
      <c r="L151" s="13"/>
      <c r="M151" s="13" t="s">
        <v>327</v>
      </c>
      <c r="N151" s="13" t="s">
        <v>1039</v>
      </c>
      <c r="O151" s="55">
        <f t="shared" si="55"/>
        <v>169.65</v>
      </c>
      <c r="P151" s="56">
        <f t="shared" si="56"/>
        <v>262</v>
      </c>
      <c r="Q151" s="41" t="s">
        <v>998</v>
      </c>
      <c r="R151" s="48" t="str">
        <f t="shared" si="59"/>
        <v>(8,'PS-08-OH3','Poste de Sectionnement n°08 OH3','Friday-01-jj','Friday-01-jj',NULL,1,),</v>
      </c>
    </row>
    <row r="152" spans="1:18" ht="20.100000000000001" hidden="1" customHeight="1" x14ac:dyDescent="0.25">
      <c r="A152" s="38">
        <v>1</v>
      </c>
      <c r="B152" s="38" t="s">
        <v>588</v>
      </c>
      <c r="C152" s="38">
        <v>7</v>
      </c>
      <c r="D152" s="11" t="str">
        <f t="shared" si="57"/>
        <v>PS-01-OH4</v>
      </c>
      <c r="E152" s="9" t="str">
        <f t="shared" si="58"/>
        <v>Poste de Sectionnement n°01 OH4</v>
      </c>
      <c r="F152" s="12">
        <v>36161</v>
      </c>
      <c r="G152" s="12">
        <v>36161</v>
      </c>
      <c r="H152" s="13" t="s">
        <v>20</v>
      </c>
      <c r="I152" s="41">
        <v>1</v>
      </c>
      <c r="J152" s="41" t="s">
        <v>3557</v>
      </c>
      <c r="K152" s="41">
        <v>16</v>
      </c>
      <c r="L152" s="13"/>
      <c r="M152" s="13" t="s">
        <v>329</v>
      </c>
      <c r="N152" s="13" t="s">
        <v>1032</v>
      </c>
      <c r="O152" s="55">
        <f t="shared" ref="O152:O159" si="60">VALUE(RIGHT(N152,LEN(N152)-SEARCH("/",N152)))</f>
        <v>196</v>
      </c>
      <c r="P152" s="56">
        <f t="shared" ref="P152:P159" si="61">VALUE(SUBSTITUTE(LEFT(N152,SEARCH("/",N152)-1),"+",","))</f>
        <v>31.4</v>
      </c>
      <c r="Q152" s="41" t="s">
        <v>1040</v>
      </c>
      <c r="R152" s="48" t="str">
        <f t="shared" si="59"/>
        <v>(1,'PS-01-OH4','Poste de Sectionnement n°01 OH4','Friday-01-jj','Friday-01-jj',NULL,1,),</v>
      </c>
    </row>
    <row r="153" spans="1:18" ht="20.100000000000001" hidden="1" customHeight="1" x14ac:dyDescent="0.25">
      <c r="A153" s="38">
        <v>2</v>
      </c>
      <c r="B153" s="38" t="s">
        <v>588</v>
      </c>
      <c r="C153" s="38">
        <v>7</v>
      </c>
      <c r="D153" s="11" t="str">
        <f t="shared" si="57"/>
        <v>PS-02-OH4</v>
      </c>
      <c r="E153" s="9" t="str">
        <f t="shared" si="58"/>
        <v>Poste de Sectionnement n°02 OH4</v>
      </c>
      <c r="F153" s="12">
        <v>36161</v>
      </c>
      <c r="G153" s="12">
        <v>36161</v>
      </c>
      <c r="H153" s="13" t="s">
        <v>20</v>
      </c>
      <c r="I153" s="41">
        <v>1</v>
      </c>
      <c r="J153" s="41" t="s">
        <v>3557</v>
      </c>
      <c r="K153" s="41">
        <v>16</v>
      </c>
      <c r="L153" s="13"/>
      <c r="M153" s="13" t="s">
        <v>329</v>
      </c>
      <c r="N153" s="13" t="s">
        <v>1033</v>
      </c>
      <c r="O153" s="55">
        <f t="shared" si="60"/>
        <v>185</v>
      </c>
      <c r="P153" s="56">
        <f t="shared" si="61"/>
        <v>63.5</v>
      </c>
      <c r="Q153" s="41" t="s">
        <v>1040</v>
      </c>
      <c r="R153" s="48" t="str">
        <f t="shared" si="59"/>
        <v>(2,'PS-02-OH4','Poste de Sectionnement n°02 OH4','Friday-01-jj','Friday-01-jj',NULL,1,),</v>
      </c>
    </row>
    <row r="154" spans="1:18" ht="20.100000000000001" hidden="1" customHeight="1" x14ac:dyDescent="0.25">
      <c r="A154" s="38">
        <v>3</v>
      </c>
      <c r="B154" s="38" t="s">
        <v>588</v>
      </c>
      <c r="C154" s="38">
        <v>7</v>
      </c>
      <c r="D154" s="11" t="str">
        <f t="shared" si="57"/>
        <v>PS-03-OH4</v>
      </c>
      <c r="E154" s="9" t="str">
        <f t="shared" si="58"/>
        <v>Poste de Sectionnement n°03 OH4</v>
      </c>
      <c r="F154" s="12">
        <v>36161</v>
      </c>
      <c r="G154" s="12">
        <v>36161</v>
      </c>
      <c r="H154" s="13" t="s">
        <v>20</v>
      </c>
      <c r="I154" s="41">
        <v>1</v>
      </c>
      <c r="J154" s="41" t="s">
        <v>3557</v>
      </c>
      <c r="K154" s="41">
        <v>16</v>
      </c>
      <c r="L154" s="13"/>
      <c r="M154" s="13" t="s">
        <v>329</v>
      </c>
      <c r="N154" s="13" t="s">
        <v>1041</v>
      </c>
      <c r="O154" s="55">
        <f t="shared" si="60"/>
        <v>187</v>
      </c>
      <c r="P154" s="56">
        <f t="shared" si="61"/>
        <v>93.5</v>
      </c>
      <c r="Q154" s="41" t="s">
        <v>998</v>
      </c>
      <c r="R154" s="48" t="str">
        <f t="shared" si="59"/>
        <v>(3,'PS-03-OH4','Poste de Sectionnement n°03 OH4','Friday-01-jj','Friday-01-jj',NULL,1,),</v>
      </c>
    </row>
    <row r="155" spans="1:18" ht="20.100000000000001" hidden="1" customHeight="1" x14ac:dyDescent="0.25">
      <c r="A155" s="38">
        <v>4</v>
      </c>
      <c r="B155" s="38" t="s">
        <v>588</v>
      </c>
      <c r="C155" s="38">
        <v>7</v>
      </c>
      <c r="D155" s="11" t="str">
        <f t="shared" si="57"/>
        <v>PS-04-OH4</v>
      </c>
      <c r="E155" s="9" t="str">
        <f t="shared" si="58"/>
        <v>Poste de Sectionnement n°04 OH4</v>
      </c>
      <c r="F155" s="12">
        <v>36161</v>
      </c>
      <c r="G155" s="12">
        <v>36161</v>
      </c>
      <c r="H155" s="13" t="s">
        <v>20</v>
      </c>
      <c r="I155" s="41">
        <v>1</v>
      </c>
      <c r="J155" s="41" t="s">
        <v>3557</v>
      </c>
      <c r="K155" s="41">
        <v>16</v>
      </c>
      <c r="L155" s="13"/>
      <c r="M155" s="13" t="s">
        <v>329</v>
      </c>
      <c r="N155" s="13" t="s">
        <v>1035</v>
      </c>
      <c r="O155" s="55">
        <f t="shared" si="60"/>
        <v>190</v>
      </c>
      <c r="P155" s="56">
        <f t="shared" si="61"/>
        <v>123.4</v>
      </c>
      <c r="Q155" s="41" t="s">
        <v>998</v>
      </c>
      <c r="R155" s="48" t="str">
        <f t="shared" si="59"/>
        <v>(4,'PS-04-OH4','Poste de Sectionnement n°04 OH4','Friday-01-jj','Friday-01-jj',NULL,1,),</v>
      </c>
    </row>
    <row r="156" spans="1:18" ht="20.100000000000001" hidden="1" customHeight="1" x14ac:dyDescent="0.25">
      <c r="A156" s="38">
        <v>5</v>
      </c>
      <c r="B156" s="38" t="s">
        <v>588</v>
      </c>
      <c r="C156" s="38">
        <v>7</v>
      </c>
      <c r="D156" s="11" t="str">
        <f t="shared" si="57"/>
        <v>PS-05-OH4</v>
      </c>
      <c r="E156" s="9" t="str">
        <f t="shared" si="58"/>
        <v>Poste de Sectionnement n°05 OH4</v>
      </c>
      <c r="F156" s="12">
        <v>36161</v>
      </c>
      <c r="G156" s="12">
        <v>36161</v>
      </c>
      <c r="H156" s="13" t="s">
        <v>20</v>
      </c>
      <c r="I156" s="41">
        <v>1</v>
      </c>
      <c r="J156" s="41" t="s">
        <v>3557</v>
      </c>
      <c r="K156" s="41">
        <v>16</v>
      </c>
      <c r="L156" s="13"/>
      <c r="M156" s="13" t="s">
        <v>329</v>
      </c>
      <c r="N156" s="13" t="s">
        <v>1042</v>
      </c>
      <c r="O156" s="55">
        <f t="shared" si="60"/>
        <v>184</v>
      </c>
      <c r="P156" s="56">
        <f t="shared" si="61"/>
        <v>173.245</v>
      </c>
      <c r="Q156" s="41" t="s">
        <v>998</v>
      </c>
      <c r="R156" s="48" t="str">
        <f t="shared" si="59"/>
        <v>(5,'PS-05-OH4','Poste de Sectionnement n°05 OH4','Friday-01-jj','Friday-01-jj',NULL,1,),</v>
      </c>
    </row>
    <row r="157" spans="1:18" ht="20.100000000000001" hidden="1" customHeight="1" x14ac:dyDescent="0.25">
      <c r="A157" s="38">
        <v>6</v>
      </c>
      <c r="B157" s="38" t="s">
        <v>588</v>
      </c>
      <c r="C157" s="38">
        <v>7</v>
      </c>
      <c r="D157" s="11" t="str">
        <f t="shared" si="57"/>
        <v>PS-06-OH4</v>
      </c>
      <c r="E157" s="9" t="str">
        <f t="shared" si="58"/>
        <v>Poste de Sectionnement n°06 OH4</v>
      </c>
      <c r="F157" s="12">
        <v>36161</v>
      </c>
      <c r="G157" s="12">
        <v>36161</v>
      </c>
      <c r="H157" s="13" t="s">
        <v>20</v>
      </c>
      <c r="I157" s="41">
        <v>1</v>
      </c>
      <c r="J157" s="41" t="s">
        <v>3557</v>
      </c>
      <c r="K157" s="41">
        <v>16</v>
      </c>
      <c r="L157" s="13"/>
      <c r="M157" s="13" t="s">
        <v>329</v>
      </c>
      <c r="N157" s="13" t="s">
        <v>1043</v>
      </c>
      <c r="O157" s="55">
        <f t="shared" si="60"/>
        <v>165</v>
      </c>
      <c r="P157" s="56">
        <f t="shared" si="61"/>
        <v>204.01</v>
      </c>
      <c r="Q157" s="41" t="s">
        <v>998</v>
      </c>
      <c r="R157" s="48" t="str">
        <f t="shared" si="59"/>
        <v>(6,'PS-06-OH4','Poste de Sectionnement n°06 OH4','Friday-01-jj','Friday-01-jj',NULL,1,),</v>
      </c>
    </row>
    <row r="158" spans="1:18" ht="20.100000000000001" hidden="1" customHeight="1" x14ac:dyDescent="0.25">
      <c r="A158" s="38">
        <v>7</v>
      </c>
      <c r="B158" s="38" t="s">
        <v>588</v>
      </c>
      <c r="C158" s="38">
        <v>7</v>
      </c>
      <c r="D158" s="11" t="str">
        <f t="shared" si="57"/>
        <v>PS-07-OH4</v>
      </c>
      <c r="E158" s="9" t="str">
        <f t="shared" si="58"/>
        <v>Poste de Sectionnement n°07 OH4</v>
      </c>
      <c r="F158" s="12">
        <v>36161</v>
      </c>
      <c r="G158" s="12">
        <v>36161</v>
      </c>
      <c r="H158" s="13" t="s">
        <v>20</v>
      </c>
      <c r="I158" s="41">
        <v>1</v>
      </c>
      <c r="J158" s="41" t="s">
        <v>3557</v>
      </c>
      <c r="K158" s="41">
        <v>16</v>
      </c>
      <c r="L158" s="13"/>
      <c r="M158" s="13" t="s">
        <v>329</v>
      </c>
      <c r="N158" s="13" t="s">
        <v>1044</v>
      </c>
      <c r="O158" s="55">
        <f t="shared" si="60"/>
        <v>156.79</v>
      </c>
      <c r="P158" s="56">
        <f t="shared" si="61"/>
        <v>233.041</v>
      </c>
      <c r="Q158" s="41" t="s">
        <v>998</v>
      </c>
      <c r="R158" s="48" t="str">
        <f t="shared" si="59"/>
        <v>(7,'PS-07-OH4','Poste de Sectionnement n°07 OH4','Friday-01-jj','Friday-01-jj',NULL,1,),</v>
      </c>
    </row>
    <row r="159" spans="1:18" ht="20.100000000000001" hidden="1" customHeight="1" x14ac:dyDescent="0.25">
      <c r="A159" s="38">
        <v>8</v>
      </c>
      <c r="B159" s="38" t="s">
        <v>588</v>
      </c>
      <c r="C159" s="38">
        <v>7</v>
      </c>
      <c r="D159" s="11" t="str">
        <f t="shared" si="57"/>
        <v>PS-08-OH4</v>
      </c>
      <c r="E159" s="9" t="str">
        <f t="shared" si="58"/>
        <v>Poste de Sectionnement n°08 OH4</v>
      </c>
      <c r="F159" s="12">
        <v>36161</v>
      </c>
      <c r="G159" s="12">
        <v>36161</v>
      </c>
      <c r="H159" s="13" t="s">
        <v>20</v>
      </c>
      <c r="I159" s="41">
        <v>1</v>
      </c>
      <c r="J159" s="41" t="s">
        <v>3557</v>
      </c>
      <c r="K159" s="41">
        <v>16</v>
      </c>
      <c r="L159" s="13"/>
      <c r="M159" s="13" t="s">
        <v>329</v>
      </c>
      <c r="N159" s="13" t="s">
        <v>1045</v>
      </c>
      <c r="O159" s="55">
        <f t="shared" si="60"/>
        <v>169.65</v>
      </c>
      <c r="P159" s="56">
        <f t="shared" si="61"/>
        <v>263</v>
      </c>
      <c r="Q159" s="41" t="s">
        <v>998</v>
      </c>
      <c r="R159" s="48" t="str">
        <f t="shared" si="59"/>
        <v>(8,'PS-08-OH4','Poste de Sectionnement n°08 OH4','Friday-01-jj','Friday-01-jj',NULL,1,),</v>
      </c>
    </row>
    <row r="160" spans="1:18" ht="20.100000000000001" hidden="1" customHeight="1" x14ac:dyDescent="0.25">
      <c r="A160" s="38">
        <v>1</v>
      </c>
      <c r="B160" s="38" t="s">
        <v>341</v>
      </c>
      <c r="C160" s="38">
        <v>8</v>
      </c>
      <c r="D160" s="39" t="str">
        <f t="shared" si="57"/>
        <v>PS-01-NZ1</v>
      </c>
      <c r="E160" s="48" t="str">
        <f t="shared" si="58"/>
        <v>Poste de Sectionnement n°01 NZ1</v>
      </c>
      <c r="F160" s="19">
        <v>28795</v>
      </c>
      <c r="G160" s="19">
        <v>28795</v>
      </c>
      <c r="H160" s="41" t="s">
        <v>20</v>
      </c>
      <c r="I160" s="41">
        <v>1</v>
      </c>
      <c r="J160" s="41" t="s">
        <v>3557</v>
      </c>
      <c r="K160" s="41">
        <v>16</v>
      </c>
      <c r="L160" s="41"/>
      <c r="M160" s="41" t="s">
        <v>341</v>
      </c>
      <c r="N160" s="41" t="s">
        <v>1046</v>
      </c>
      <c r="O160" s="57">
        <v>780</v>
      </c>
      <c r="P160" s="43">
        <f>VALUE(SUBSTITUTE(N160,"+",","))</f>
        <v>0.44600000000000001</v>
      </c>
      <c r="Q160" s="41" t="s">
        <v>1073</v>
      </c>
      <c r="R160" s="48" t="str">
        <f t="shared" si="59"/>
        <v>(1,'PS-01-NZ1','Poste de Sectionnement n°01 NZ1','Wednesday-11-jj','Wednesday-11-jj',NULL,1,),</v>
      </c>
    </row>
    <row r="161" spans="1:18" ht="20.100000000000001" hidden="1" customHeight="1" x14ac:dyDescent="0.25">
      <c r="A161" s="38">
        <v>2</v>
      </c>
      <c r="B161" s="38" t="s">
        <v>341</v>
      </c>
      <c r="C161" s="38">
        <v>8</v>
      </c>
      <c r="D161" s="39" t="str">
        <f t="shared" si="57"/>
        <v>PS-02-NZ1</v>
      </c>
      <c r="E161" s="48" t="str">
        <f t="shared" si="58"/>
        <v>Poste de Sectionnement n°02 NZ1</v>
      </c>
      <c r="F161" s="19">
        <v>28795</v>
      </c>
      <c r="G161" s="19">
        <v>28795</v>
      </c>
      <c r="H161" s="41" t="s">
        <v>20</v>
      </c>
      <c r="I161" s="41">
        <v>1</v>
      </c>
      <c r="J161" s="41" t="s">
        <v>3557</v>
      </c>
      <c r="K161" s="41">
        <v>16</v>
      </c>
      <c r="L161" s="41"/>
      <c r="M161" s="41" t="s">
        <v>341</v>
      </c>
      <c r="N161" s="41" t="s">
        <v>1047</v>
      </c>
      <c r="O161" s="57">
        <v>752</v>
      </c>
      <c r="P161" s="43">
        <f t="shared" ref="P161:P183" si="62">VALUE(SUBSTITUTE(N161,"+",","))</f>
        <v>7</v>
      </c>
      <c r="Q161" s="41" t="s">
        <v>1073</v>
      </c>
      <c r="R161" s="48" t="str">
        <f t="shared" si="59"/>
        <v>(2,'PS-02-NZ1','Poste de Sectionnement n°02 NZ1','Wednesday-11-jj','Wednesday-11-jj',NULL,1,),</v>
      </c>
    </row>
    <row r="162" spans="1:18" ht="20.100000000000001" hidden="1" customHeight="1" x14ac:dyDescent="0.25">
      <c r="A162" s="38">
        <v>3</v>
      </c>
      <c r="B162" s="38" t="s">
        <v>341</v>
      </c>
      <c r="C162" s="38">
        <v>8</v>
      </c>
      <c r="D162" s="39" t="str">
        <f t="shared" si="57"/>
        <v>PS-03-NZ1</v>
      </c>
      <c r="E162" s="48" t="str">
        <f t="shared" si="58"/>
        <v>Poste de Sectionnement n°03 NZ1</v>
      </c>
      <c r="F162" s="19">
        <v>28795</v>
      </c>
      <c r="G162" s="19">
        <v>28795</v>
      </c>
      <c r="H162" s="41" t="s">
        <v>20</v>
      </c>
      <c r="I162" s="41">
        <v>1</v>
      </c>
      <c r="J162" s="41" t="s">
        <v>3557</v>
      </c>
      <c r="K162" s="41">
        <v>16</v>
      </c>
      <c r="L162" s="41"/>
      <c r="M162" s="41" t="s">
        <v>341</v>
      </c>
      <c r="N162" s="41" t="s">
        <v>1048</v>
      </c>
      <c r="O162" s="57">
        <v>767</v>
      </c>
      <c r="P162" s="43">
        <f t="shared" si="62"/>
        <v>22.96</v>
      </c>
      <c r="Q162" s="41" t="s">
        <v>1074</v>
      </c>
      <c r="R162" s="48" t="str">
        <f t="shared" si="59"/>
        <v>(3,'PS-03-NZ1','Poste de Sectionnement n°03 NZ1','Wednesday-11-jj','Wednesday-11-jj',NULL,1,),</v>
      </c>
    </row>
    <row r="163" spans="1:18" ht="20.100000000000001" hidden="1" customHeight="1" x14ac:dyDescent="0.25">
      <c r="A163" s="38">
        <v>4</v>
      </c>
      <c r="B163" s="38" t="s">
        <v>341</v>
      </c>
      <c r="C163" s="38">
        <v>8</v>
      </c>
      <c r="D163" s="39" t="str">
        <f t="shared" si="57"/>
        <v>PS-04-NZ1</v>
      </c>
      <c r="E163" s="48" t="str">
        <f t="shared" si="58"/>
        <v>Poste de Sectionnement n°04 NZ1</v>
      </c>
      <c r="F163" s="19">
        <v>28795</v>
      </c>
      <c r="G163" s="19">
        <v>28795</v>
      </c>
      <c r="H163" s="41" t="s">
        <v>20</v>
      </c>
      <c r="I163" s="41">
        <v>1</v>
      </c>
      <c r="J163" s="41" t="s">
        <v>3557</v>
      </c>
      <c r="K163" s="41">
        <v>16</v>
      </c>
      <c r="L163" s="41"/>
      <c r="M163" s="41" t="s">
        <v>341</v>
      </c>
      <c r="N163" s="41" t="s">
        <v>1049</v>
      </c>
      <c r="O163" s="57">
        <v>840</v>
      </c>
      <c r="P163" s="43">
        <f t="shared" si="62"/>
        <v>77</v>
      </c>
      <c r="Q163" s="41" t="s">
        <v>1074</v>
      </c>
      <c r="R163" s="48" t="str">
        <f t="shared" si="59"/>
        <v>(4,'PS-04-NZ1','Poste de Sectionnement n°04 NZ1','Wednesday-11-jj','Wednesday-11-jj',NULL,1,),</v>
      </c>
    </row>
    <row r="164" spans="1:18" ht="20.100000000000001" hidden="1" customHeight="1" x14ac:dyDescent="0.25">
      <c r="A164" s="38">
        <v>5</v>
      </c>
      <c r="B164" s="38" t="s">
        <v>341</v>
      </c>
      <c r="C164" s="38">
        <v>8</v>
      </c>
      <c r="D164" s="39" t="str">
        <f t="shared" ref="D164:D185" si="63">CONCATENATE("PS-",TEXT(A164,"00"),"-",M164)</f>
        <v>PS-05-NZ1</v>
      </c>
      <c r="E164" s="48" t="str">
        <f t="shared" ref="E164:E185" si="64">CONCATENATE("Poste de Sectionnement n°",TEXT(A164,"00")," ",M164)</f>
        <v>Poste de Sectionnement n°05 NZ1</v>
      </c>
      <c r="F164" s="19">
        <v>28795</v>
      </c>
      <c r="G164" s="19">
        <v>28795</v>
      </c>
      <c r="H164" s="41" t="s">
        <v>20</v>
      </c>
      <c r="I164" s="41">
        <v>1</v>
      </c>
      <c r="J164" s="41" t="s">
        <v>3557</v>
      </c>
      <c r="K164" s="41">
        <v>16</v>
      </c>
      <c r="L164" s="41"/>
      <c r="M164" s="41" t="s">
        <v>341</v>
      </c>
      <c r="N164" s="41" t="s">
        <v>1050</v>
      </c>
      <c r="O164" s="43">
        <v>806</v>
      </c>
      <c r="P164" s="43">
        <f t="shared" si="62"/>
        <v>95</v>
      </c>
      <c r="Q164" s="41" t="s">
        <v>1075</v>
      </c>
      <c r="R164" s="48" t="str">
        <f t="shared" si="59"/>
        <v>(5,'PS-05-NZ1','Poste de Sectionnement n°05 NZ1','Wednesday-11-jj','Wednesday-11-jj',NULL,1,),</v>
      </c>
    </row>
    <row r="165" spans="1:18" ht="20.100000000000001" hidden="1" customHeight="1" x14ac:dyDescent="0.25">
      <c r="A165" s="38">
        <v>6</v>
      </c>
      <c r="B165" s="38" t="s">
        <v>341</v>
      </c>
      <c r="C165" s="38">
        <v>8</v>
      </c>
      <c r="D165" s="39" t="str">
        <f t="shared" si="63"/>
        <v>PS-06-NZ1</v>
      </c>
      <c r="E165" s="48" t="str">
        <f t="shared" si="64"/>
        <v>Poste de Sectionnement n°06 NZ1</v>
      </c>
      <c r="F165" s="19">
        <v>28795</v>
      </c>
      <c r="G165" s="19">
        <v>28795</v>
      </c>
      <c r="H165" s="41" t="s">
        <v>20</v>
      </c>
      <c r="I165" s="41">
        <v>1</v>
      </c>
      <c r="J165" s="41" t="s">
        <v>3557</v>
      </c>
      <c r="K165" s="41">
        <v>16</v>
      </c>
      <c r="L165" s="41"/>
      <c r="M165" s="41" t="s">
        <v>341</v>
      </c>
      <c r="N165" s="41" t="s">
        <v>1051</v>
      </c>
      <c r="O165" s="43">
        <v>878</v>
      </c>
      <c r="P165" s="43">
        <f t="shared" si="62"/>
        <v>109.274</v>
      </c>
      <c r="Q165" s="41" t="s">
        <v>1076</v>
      </c>
      <c r="R165" s="48" t="str">
        <f t="shared" si="59"/>
        <v>(6,'PS-06-NZ1','Poste de Sectionnement n°06 NZ1','Wednesday-11-jj','Wednesday-11-jj',NULL,1,),</v>
      </c>
    </row>
    <row r="166" spans="1:18" ht="20.100000000000001" hidden="1" customHeight="1" x14ac:dyDescent="0.25">
      <c r="A166" s="38">
        <v>7</v>
      </c>
      <c r="B166" s="38" t="s">
        <v>341</v>
      </c>
      <c r="C166" s="38">
        <v>8</v>
      </c>
      <c r="D166" s="39" t="str">
        <f t="shared" si="63"/>
        <v>PS-07-NZ1</v>
      </c>
      <c r="E166" s="48" t="str">
        <f t="shared" si="64"/>
        <v>Poste de Sectionnement n°07 NZ1</v>
      </c>
      <c r="F166" s="19">
        <v>28795</v>
      </c>
      <c r="G166" s="19">
        <v>28795</v>
      </c>
      <c r="H166" s="41" t="s">
        <v>20</v>
      </c>
      <c r="I166" s="41">
        <v>1</v>
      </c>
      <c r="J166" s="41" t="s">
        <v>3557</v>
      </c>
      <c r="K166" s="41">
        <v>16</v>
      </c>
      <c r="L166" s="41"/>
      <c r="M166" s="41" t="s">
        <v>341</v>
      </c>
      <c r="N166" s="41" t="s">
        <v>1051</v>
      </c>
      <c r="O166" s="43">
        <v>890</v>
      </c>
      <c r="P166" s="43">
        <f t="shared" si="62"/>
        <v>109.274</v>
      </c>
      <c r="Q166" s="41" t="s">
        <v>1076</v>
      </c>
      <c r="R166" s="48" t="str">
        <f t="shared" si="59"/>
        <v>(7,'PS-07-NZ1','Poste de Sectionnement n°07 NZ1','Wednesday-11-jj','Wednesday-11-jj',NULL,1,),</v>
      </c>
    </row>
    <row r="167" spans="1:18" ht="20.100000000000001" hidden="1" customHeight="1" x14ac:dyDescent="0.25">
      <c r="A167" s="38">
        <v>8</v>
      </c>
      <c r="B167" s="38" t="s">
        <v>341</v>
      </c>
      <c r="C167" s="38">
        <v>8</v>
      </c>
      <c r="D167" s="39" t="str">
        <f t="shared" si="63"/>
        <v>PS-08-NZ1</v>
      </c>
      <c r="E167" s="48" t="str">
        <f t="shared" si="64"/>
        <v>Poste de Sectionnement n°08 NZ1</v>
      </c>
      <c r="F167" s="19">
        <v>28795</v>
      </c>
      <c r="G167" s="19">
        <v>28795</v>
      </c>
      <c r="H167" s="41" t="s">
        <v>20</v>
      </c>
      <c r="I167" s="41">
        <v>1</v>
      </c>
      <c r="J167" s="41" t="s">
        <v>3557</v>
      </c>
      <c r="K167" s="41">
        <v>16</v>
      </c>
      <c r="L167" s="41"/>
      <c r="M167" s="41" t="s">
        <v>341</v>
      </c>
      <c r="N167" s="41" t="s">
        <v>1052</v>
      </c>
      <c r="O167" s="43">
        <v>1057</v>
      </c>
      <c r="P167" s="43">
        <f t="shared" si="62"/>
        <v>139.08600000000001</v>
      </c>
      <c r="Q167" s="41" t="s">
        <v>1076</v>
      </c>
      <c r="R167" s="48" t="str">
        <f t="shared" si="59"/>
        <v>(8,'PS-08-NZ1','Poste de Sectionnement n°08 NZ1','Wednesday-11-jj','Wednesday-11-jj',NULL,1,),</v>
      </c>
    </row>
    <row r="168" spans="1:18" ht="20.100000000000001" hidden="1" customHeight="1" x14ac:dyDescent="0.25">
      <c r="A168" s="38">
        <v>9</v>
      </c>
      <c r="B168" s="38" t="s">
        <v>341</v>
      </c>
      <c r="C168" s="38">
        <v>8</v>
      </c>
      <c r="D168" s="39" t="str">
        <f t="shared" si="63"/>
        <v>PS-09-NZ1</v>
      </c>
      <c r="E168" s="48" t="str">
        <f t="shared" si="64"/>
        <v>Poste de Sectionnement n°09 NZ1</v>
      </c>
      <c r="F168" s="19">
        <v>28795</v>
      </c>
      <c r="G168" s="19">
        <v>28795</v>
      </c>
      <c r="H168" s="41" t="s">
        <v>20</v>
      </c>
      <c r="I168" s="41">
        <v>1</v>
      </c>
      <c r="J168" s="41" t="s">
        <v>3557</v>
      </c>
      <c r="K168" s="41">
        <v>16</v>
      </c>
      <c r="L168" s="41"/>
      <c r="M168" s="41" t="s">
        <v>341</v>
      </c>
      <c r="N168" s="41" t="s">
        <v>1053</v>
      </c>
      <c r="O168" s="43">
        <v>1007</v>
      </c>
      <c r="P168" s="43">
        <f t="shared" si="62"/>
        <v>194.55099999999999</v>
      </c>
      <c r="Q168" s="41" t="s">
        <v>1087</v>
      </c>
      <c r="R168" s="48" t="str">
        <f t="shared" si="59"/>
        <v>(9,'PS-09-NZ1','Poste de Sectionnement n°09 NZ1','Wednesday-11-jj','Wednesday-11-jj',NULL,1,),</v>
      </c>
    </row>
    <row r="169" spans="1:18" ht="20.100000000000001" hidden="1" customHeight="1" x14ac:dyDescent="0.25">
      <c r="A169" s="38">
        <v>10</v>
      </c>
      <c r="B169" s="38" t="s">
        <v>341</v>
      </c>
      <c r="C169" s="38">
        <v>8</v>
      </c>
      <c r="D169" s="39" t="str">
        <f t="shared" si="63"/>
        <v>PS-10-NZ1</v>
      </c>
      <c r="E169" s="48" t="str">
        <f t="shared" si="64"/>
        <v>Poste de Sectionnement n°10 NZ1</v>
      </c>
      <c r="F169" s="19">
        <v>28795</v>
      </c>
      <c r="G169" s="19">
        <v>28795</v>
      </c>
      <c r="H169" s="41" t="s">
        <v>20</v>
      </c>
      <c r="I169" s="41">
        <v>1</v>
      </c>
      <c r="J169" s="41" t="s">
        <v>3557</v>
      </c>
      <c r="K169" s="41">
        <v>16</v>
      </c>
      <c r="L169" s="41"/>
      <c r="M169" s="41" t="s">
        <v>341</v>
      </c>
      <c r="N169" s="41" t="s">
        <v>1054</v>
      </c>
      <c r="O169" s="43">
        <v>978</v>
      </c>
      <c r="P169" s="43">
        <f t="shared" si="62"/>
        <v>230.02199999999999</v>
      </c>
      <c r="Q169" s="41" t="s">
        <v>1077</v>
      </c>
      <c r="R169" s="48" t="str">
        <f t="shared" si="59"/>
        <v>(10,'PS-10-NZ1','Poste de Sectionnement n°10 NZ1','Wednesday-11-jj','Wednesday-11-jj',NULL,1,),</v>
      </c>
    </row>
    <row r="170" spans="1:18" ht="20.100000000000001" hidden="1" customHeight="1" x14ac:dyDescent="0.25">
      <c r="A170" s="38">
        <v>11</v>
      </c>
      <c r="B170" s="38" t="s">
        <v>341</v>
      </c>
      <c r="C170" s="38">
        <v>8</v>
      </c>
      <c r="D170" s="39" t="str">
        <f t="shared" si="63"/>
        <v>PS-11-NZ1</v>
      </c>
      <c r="E170" s="48" t="str">
        <f t="shared" si="64"/>
        <v>Poste de Sectionnement n°11 NZ1</v>
      </c>
      <c r="F170" s="19">
        <v>28795</v>
      </c>
      <c r="G170" s="19">
        <v>28795</v>
      </c>
      <c r="H170" s="41" t="s">
        <v>20</v>
      </c>
      <c r="I170" s="41">
        <v>1</v>
      </c>
      <c r="J170" s="41" t="s">
        <v>3557</v>
      </c>
      <c r="K170" s="41">
        <v>16</v>
      </c>
      <c r="L170" s="41"/>
      <c r="M170" s="41" t="s">
        <v>341</v>
      </c>
      <c r="N170" s="41" t="s">
        <v>1054</v>
      </c>
      <c r="O170" s="43">
        <v>977</v>
      </c>
      <c r="P170" s="43">
        <f t="shared" si="62"/>
        <v>230.02199999999999</v>
      </c>
      <c r="Q170" s="41" t="s">
        <v>1077</v>
      </c>
      <c r="R170" s="48" t="str">
        <f t="shared" si="59"/>
        <v>(11,'PS-11-NZ1','Poste de Sectionnement n°11 NZ1','Wednesday-11-jj','Wednesday-11-jj',NULL,1,),</v>
      </c>
    </row>
    <row r="171" spans="1:18" ht="20.100000000000001" hidden="1" customHeight="1" x14ac:dyDescent="0.25">
      <c r="A171" s="38">
        <v>12</v>
      </c>
      <c r="B171" s="38" t="s">
        <v>341</v>
      </c>
      <c r="C171" s="38">
        <v>8</v>
      </c>
      <c r="D171" s="39" t="str">
        <f t="shared" si="63"/>
        <v>PS-12-NZ1</v>
      </c>
      <c r="E171" s="48" t="str">
        <f t="shared" si="64"/>
        <v>Poste de Sectionnement n°12 NZ1</v>
      </c>
      <c r="F171" s="19">
        <v>28795</v>
      </c>
      <c r="G171" s="19">
        <v>28795</v>
      </c>
      <c r="H171" s="41" t="s">
        <v>20</v>
      </c>
      <c r="I171" s="41">
        <v>1</v>
      </c>
      <c r="J171" s="41" t="s">
        <v>3557</v>
      </c>
      <c r="K171" s="41">
        <v>16</v>
      </c>
      <c r="L171" s="41"/>
      <c r="M171" s="41" t="s">
        <v>341</v>
      </c>
      <c r="N171" s="41" t="s">
        <v>1055</v>
      </c>
      <c r="O171" s="43">
        <v>1102</v>
      </c>
      <c r="P171" s="43">
        <f t="shared" si="62"/>
        <v>247.4</v>
      </c>
      <c r="Q171" s="41" t="s">
        <v>1077</v>
      </c>
      <c r="R171" s="48" t="str">
        <f t="shared" si="59"/>
        <v>(12,'PS-12-NZ1','Poste de Sectionnement n°12 NZ1','Wednesday-11-jj','Wednesday-11-jj',NULL,1,),</v>
      </c>
    </row>
    <row r="172" spans="1:18" ht="20.100000000000001" hidden="1" customHeight="1" x14ac:dyDescent="0.25">
      <c r="A172" s="38">
        <v>13</v>
      </c>
      <c r="B172" s="38" t="s">
        <v>341</v>
      </c>
      <c r="C172" s="38">
        <v>8</v>
      </c>
      <c r="D172" s="39" t="str">
        <f t="shared" si="63"/>
        <v>PS-13-NZ1</v>
      </c>
      <c r="E172" s="48" t="str">
        <f t="shared" si="64"/>
        <v>Poste de Sectionnement n°13 NZ1</v>
      </c>
      <c r="F172" s="19">
        <v>28795</v>
      </c>
      <c r="G172" s="19">
        <v>28795</v>
      </c>
      <c r="H172" s="41" t="s">
        <v>20</v>
      </c>
      <c r="I172" s="41">
        <v>1</v>
      </c>
      <c r="J172" s="41" t="s">
        <v>3557</v>
      </c>
      <c r="K172" s="41">
        <v>16</v>
      </c>
      <c r="L172" s="41"/>
      <c r="M172" s="41" t="s">
        <v>341</v>
      </c>
      <c r="N172" s="41" t="s">
        <v>1056</v>
      </c>
      <c r="O172" s="43">
        <v>1156</v>
      </c>
      <c r="P172" s="43">
        <f t="shared" si="62"/>
        <v>262</v>
      </c>
      <c r="Q172" s="41" t="s">
        <v>1077</v>
      </c>
      <c r="R172" s="48" t="str">
        <f t="shared" si="59"/>
        <v>(13,'PS-13-NZ1','Poste de Sectionnement n°13 NZ1','Wednesday-11-jj','Wednesday-11-jj',NULL,1,),</v>
      </c>
    </row>
    <row r="173" spans="1:18" ht="20.100000000000001" hidden="1" customHeight="1" x14ac:dyDescent="0.25">
      <c r="A173" s="38">
        <v>14</v>
      </c>
      <c r="B173" s="38" t="s">
        <v>341</v>
      </c>
      <c r="C173" s="38">
        <v>8</v>
      </c>
      <c r="D173" s="39" t="str">
        <f t="shared" si="63"/>
        <v>PS-14-NZ1</v>
      </c>
      <c r="E173" s="48" t="str">
        <f t="shared" si="64"/>
        <v>Poste de Sectionnement n°14 NZ1</v>
      </c>
      <c r="F173" s="19">
        <v>28795</v>
      </c>
      <c r="G173" s="19">
        <v>28795</v>
      </c>
      <c r="H173" s="41" t="s">
        <v>20</v>
      </c>
      <c r="I173" s="41">
        <v>1</v>
      </c>
      <c r="J173" s="41" t="s">
        <v>3557</v>
      </c>
      <c r="K173" s="41">
        <v>16</v>
      </c>
      <c r="L173" s="41"/>
      <c r="M173" s="41" t="s">
        <v>341</v>
      </c>
      <c r="N173" s="41" t="s">
        <v>1057</v>
      </c>
      <c r="O173" s="43">
        <v>1096</v>
      </c>
      <c r="P173" s="43">
        <f t="shared" si="62"/>
        <v>306.786</v>
      </c>
      <c r="Q173" s="41" t="s">
        <v>1078</v>
      </c>
      <c r="R173" s="48" t="str">
        <f t="shared" si="59"/>
        <v>(14,'PS-14-NZ1','Poste de Sectionnement n°14 NZ1','Wednesday-11-jj','Wednesday-11-jj',NULL,1,),</v>
      </c>
    </row>
    <row r="174" spans="1:18" ht="20.100000000000001" hidden="1" customHeight="1" x14ac:dyDescent="0.25">
      <c r="A174" s="38">
        <v>15</v>
      </c>
      <c r="B174" s="38" t="s">
        <v>341</v>
      </c>
      <c r="C174" s="38">
        <v>8</v>
      </c>
      <c r="D174" s="39" t="str">
        <f t="shared" si="63"/>
        <v>PS-15-NZ1</v>
      </c>
      <c r="E174" s="48" t="str">
        <f t="shared" si="64"/>
        <v>Poste de Sectionnement n°15 NZ1</v>
      </c>
      <c r="F174" s="19">
        <v>28795</v>
      </c>
      <c r="G174" s="19">
        <v>28795</v>
      </c>
      <c r="H174" s="41" t="s">
        <v>20</v>
      </c>
      <c r="I174" s="41">
        <v>1</v>
      </c>
      <c r="J174" s="41" t="s">
        <v>3557</v>
      </c>
      <c r="K174" s="41">
        <v>16</v>
      </c>
      <c r="L174" s="41"/>
      <c r="M174" s="41" t="s">
        <v>341</v>
      </c>
      <c r="N174" s="41" t="s">
        <v>1058</v>
      </c>
      <c r="O174" s="43">
        <v>965</v>
      </c>
      <c r="P174" s="43">
        <f t="shared" si="62"/>
        <v>317.5</v>
      </c>
      <c r="Q174" s="41" t="s">
        <v>1078</v>
      </c>
      <c r="R174" s="48" t="str">
        <f t="shared" si="59"/>
        <v>(15,'PS-15-NZ1','Poste de Sectionnement n°15 NZ1','Wednesday-11-jj','Wednesday-11-jj',NULL,1,),</v>
      </c>
    </row>
    <row r="175" spans="1:18" ht="20.100000000000001" hidden="1" customHeight="1" x14ac:dyDescent="0.25">
      <c r="A175" s="38">
        <v>16</v>
      </c>
      <c r="B175" s="38" t="s">
        <v>341</v>
      </c>
      <c r="C175" s="38">
        <v>8</v>
      </c>
      <c r="D175" s="39" t="str">
        <f t="shared" si="63"/>
        <v>PS-16-NZ1</v>
      </c>
      <c r="E175" s="48" t="str">
        <f t="shared" si="64"/>
        <v>Poste de Sectionnement n°16 NZ1</v>
      </c>
      <c r="F175" s="19">
        <v>28795</v>
      </c>
      <c r="G175" s="19">
        <v>28795</v>
      </c>
      <c r="H175" s="41" t="s">
        <v>20</v>
      </c>
      <c r="I175" s="41">
        <v>1</v>
      </c>
      <c r="J175" s="41" t="s">
        <v>3557</v>
      </c>
      <c r="K175" s="41">
        <v>16</v>
      </c>
      <c r="L175" s="41"/>
      <c r="M175" s="41" t="s">
        <v>341</v>
      </c>
      <c r="N175" s="41" t="s">
        <v>1059</v>
      </c>
      <c r="O175" s="43">
        <v>813</v>
      </c>
      <c r="P175" s="43">
        <f t="shared" si="62"/>
        <v>337.3</v>
      </c>
      <c r="Q175" s="41" t="s">
        <v>1079</v>
      </c>
      <c r="R175" s="48" t="str">
        <f t="shared" si="59"/>
        <v>(16,'PS-16-NZ1','Poste de Sectionnement n°16 NZ1','Wednesday-11-jj','Wednesday-11-jj',NULL,1,),</v>
      </c>
    </row>
    <row r="176" spans="1:18" ht="20.100000000000001" hidden="1" customHeight="1" x14ac:dyDescent="0.25">
      <c r="A176" s="38">
        <v>17</v>
      </c>
      <c r="B176" s="38" t="s">
        <v>341</v>
      </c>
      <c r="C176" s="38">
        <v>8</v>
      </c>
      <c r="D176" s="39" t="str">
        <f t="shared" si="63"/>
        <v>PS-17-NZ1</v>
      </c>
      <c r="E176" s="48" t="str">
        <f t="shared" si="64"/>
        <v>Poste de Sectionnement n°17 NZ1</v>
      </c>
      <c r="F176" s="19">
        <v>28795</v>
      </c>
      <c r="G176" s="19">
        <v>28795</v>
      </c>
      <c r="H176" s="41" t="s">
        <v>20</v>
      </c>
      <c r="I176" s="41">
        <v>1</v>
      </c>
      <c r="J176" s="41" t="s">
        <v>3557</v>
      </c>
      <c r="K176" s="41">
        <v>16</v>
      </c>
      <c r="L176" s="41"/>
      <c r="M176" s="41" t="s">
        <v>341</v>
      </c>
      <c r="N176" s="41" t="s">
        <v>1060</v>
      </c>
      <c r="O176" s="43">
        <v>628</v>
      </c>
      <c r="P176" s="43">
        <f t="shared" si="62"/>
        <v>364.36700000000002</v>
      </c>
      <c r="Q176" s="41" t="s">
        <v>1080</v>
      </c>
      <c r="R176" s="48" t="str">
        <f t="shared" si="59"/>
        <v>(17,'PS-17-NZ1','Poste de Sectionnement n°17 NZ1','Wednesday-11-jj','Wednesday-11-jj',NULL,1,),</v>
      </c>
    </row>
    <row r="177" spans="1:18" ht="20.100000000000001" hidden="1" customHeight="1" x14ac:dyDescent="0.25">
      <c r="A177" s="38">
        <v>18</v>
      </c>
      <c r="B177" s="38" t="s">
        <v>341</v>
      </c>
      <c r="C177" s="38">
        <v>8</v>
      </c>
      <c r="D177" s="39" t="str">
        <f t="shared" si="63"/>
        <v>PS-18-NZ1</v>
      </c>
      <c r="E177" s="48" t="str">
        <f t="shared" si="64"/>
        <v>Poste de Sectionnement n°18 NZ1</v>
      </c>
      <c r="F177" s="19">
        <v>28795</v>
      </c>
      <c r="G177" s="19">
        <v>28795</v>
      </c>
      <c r="H177" s="41" t="s">
        <v>20</v>
      </c>
      <c r="I177" s="41">
        <v>1</v>
      </c>
      <c r="J177" s="41" t="s">
        <v>3557</v>
      </c>
      <c r="K177" s="41">
        <v>16</v>
      </c>
      <c r="L177" s="41"/>
      <c r="M177" s="41" t="s">
        <v>341</v>
      </c>
      <c r="N177" s="41" t="s">
        <v>1061</v>
      </c>
      <c r="O177" s="43">
        <v>290</v>
      </c>
      <c r="P177" s="43">
        <f t="shared" si="62"/>
        <v>397.32799999999997</v>
      </c>
      <c r="Q177" s="41" t="s">
        <v>1081</v>
      </c>
      <c r="R177" s="48" t="str">
        <f t="shared" si="59"/>
        <v>(18,'PS-18-NZ1','Poste de Sectionnement n°18 NZ1','Wednesday-11-jj','Wednesday-11-jj',NULL,1,),</v>
      </c>
    </row>
    <row r="178" spans="1:18" ht="20.100000000000001" hidden="1" customHeight="1" x14ac:dyDescent="0.25">
      <c r="A178" s="38">
        <v>19</v>
      </c>
      <c r="B178" s="38" t="s">
        <v>341</v>
      </c>
      <c r="C178" s="38">
        <v>8</v>
      </c>
      <c r="D178" s="39" t="str">
        <f t="shared" si="63"/>
        <v>PS-19-NZ1</v>
      </c>
      <c r="E178" s="48" t="str">
        <f t="shared" si="64"/>
        <v>Poste de Sectionnement n°19 NZ1</v>
      </c>
      <c r="F178" s="19">
        <v>28795</v>
      </c>
      <c r="G178" s="19">
        <v>28795</v>
      </c>
      <c r="H178" s="41" t="s">
        <v>20</v>
      </c>
      <c r="I178" s="41">
        <v>1</v>
      </c>
      <c r="J178" s="41" t="s">
        <v>3557</v>
      </c>
      <c r="K178" s="41">
        <v>16</v>
      </c>
      <c r="L178" s="41"/>
      <c r="M178" s="41" t="s">
        <v>341</v>
      </c>
      <c r="N178" s="41" t="s">
        <v>1062</v>
      </c>
      <c r="O178" s="43">
        <v>93</v>
      </c>
      <c r="P178" s="43">
        <f t="shared" si="62"/>
        <v>411.43799999999999</v>
      </c>
      <c r="Q178" s="41" t="s">
        <v>1082</v>
      </c>
      <c r="R178" s="48" t="str">
        <f t="shared" si="59"/>
        <v>(19,'PS-19-NZ1','Poste de Sectionnement n°19 NZ1','Wednesday-11-jj','Wednesday-11-jj',NULL,1,),</v>
      </c>
    </row>
    <row r="179" spans="1:18" ht="20.100000000000001" hidden="1" customHeight="1" x14ac:dyDescent="0.25">
      <c r="A179" s="38">
        <v>20</v>
      </c>
      <c r="B179" s="38" t="s">
        <v>341</v>
      </c>
      <c r="C179" s="38">
        <v>8</v>
      </c>
      <c r="D179" s="39" t="str">
        <f t="shared" si="63"/>
        <v>PS-20-NZ1</v>
      </c>
      <c r="E179" s="48" t="str">
        <f t="shared" si="64"/>
        <v>Poste de Sectionnement n°20 NZ1</v>
      </c>
      <c r="F179" s="19">
        <v>28795</v>
      </c>
      <c r="G179" s="19">
        <v>28795</v>
      </c>
      <c r="H179" s="41" t="s">
        <v>20</v>
      </c>
      <c r="I179" s="41">
        <v>1</v>
      </c>
      <c r="J179" s="41" t="s">
        <v>3557</v>
      </c>
      <c r="K179" s="41">
        <v>16</v>
      </c>
      <c r="L179" s="41"/>
      <c r="M179" s="41" t="s">
        <v>341</v>
      </c>
      <c r="N179" s="41" t="s">
        <v>1063</v>
      </c>
      <c r="O179" s="43">
        <v>80</v>
      </c>
      <c r="P179" s="43">
        <f t="shared" si="62"/>
        <v>424</v>
      </c>
      <c r="Q179" s="41" t="s">
        <v>1083</v>
      </c>
      <c r="R179" s="48" t="str">
        <f t="shared" si="59"/>
        <v>(20,'PS-20-NZ1','Poste de Sectionnement n°20 NZ1','Wednesday-11-jj','Wednesday-11-jj',NULL,1,),</v>
      </c>
    </row>
    <row r="180" spans="1:18" ht="20.100000000000001" hidden="1" customHeight="1" x14ac:dyDescent="0.25">
      <c r="A180" s="38">
        <v>21</v>
      </c>
      <c r="B180" s="38" t="s">
        <v>341</v>
      </c>
      <c r="C180" s="38">
        <v>8</v>
      </c>
      <c r="D180" s="39" t="str">
        <f t="shared" si="63"/>
        <v>PS-21-NZ1</v>
      </c>
      <c r="E180" s="48" t="str">
        <f t="shared" si="64"/>
        <v>Poste de Sectionnement n°21 NZ1</v>
      </c>
      <c r="F180" s="19">
        <v>28795</v>
      </c>
      <c r="G180" s="19">
        <v>28795</v>
      </c>
      <c r="H180" s="41" t="s">
        <v>20</v>
      </c>
      <c r="I180" s="41">
        <v>1</v>
      </c>
      <c r="J180" s="41" t="s">
        <v>3557</v>
      </c>
      <c r="K180" s="41">
        <v>16</v>
      </c>
      <c r="L180" s="41"/>
      <c r="M180" s="41" t="s">
        <v>341</v>
      </c>
      <c r="N180" s="41" t="s">
        <v>1064</v>
      </c>
      <c r="O180" s="43">
        <v>20</v>
      </c>
      <c r="P180" s="43">
        <f t="shared" si="62"/>
        <v>463.666</v>
      </c>
      <c r="Q180" s="41" t="s">
        <v>1084</v>
      </c>
      <c r="R180" s="48" t="str">
        <f t="shared" si="59"/>
        <v>(21,'PS-21-NZ1','Poste de Sectionnement n°21 NZ1','Wednesday-11-jj','Wednesday-11-jj',NULL,1,),</v>
      </c>
    </row>
    <row r="181" spans="1:18" ht="20.100000000000001" hidden="1" customHeight="1" x14ac:dyDescent="0.25">
      <c r="A181" s="38">
        <v>22</v>
      </c>
      <c r="B181" s="38" t="s">
        <v>341</v>
      </c>
      <c r="C181" s="38">
        <v>8</v>
      </c>
      <c r="D181" s="39" t="str">
        <f t="shared" si="63"/>
        <v>PS-22-NZ1</v>
      </c>
      <c r="E181" s="48" t="str">
        <f t="shared" si="64"/>
        <v>Poste de Sectionnement n°22 NZ1</v>
      </c>
      <c r="F181" s="19">
        <v>28795</v>
      </c>
      <c r="G181" s="19">
        <v>28795</v>
      </c>
      <c r="H181" s="41" t="s">
        <v>20</v>
      </c>
      <c r="I181" s="41">
        <v>1</v>
      </c>
      <c r="J181" s="41" t="s">
        <v>3557</v>
      </c>
      <c r="K181" s="41">
        <v>16</v>
      </c>
      <c r="L181" s="41"/>
      <c r="M181" s="41" t="s">
        <v>341</v>
      </c>
      <c r="N181" s="41" t="s">
        <v>1065</v>
      </c>
      <c r="O181" s="43">
        <v>5</v>
      </c>
      <c r="P181" s="43">
        <f t="shared" si="62"/>
        <v>477</v>
      </c>
      <c r="Q181" s="41" t="s">
        <v>1085</v>
      </c>
      <c r="R181" s="48" t="str">
        <f t="shared" si="59"/>
        <v>(22,'PS-22-NZ1','Poste de Sectionnement n°22 NZ1','Wednesday-11-jj','Wednesday-11-jj',NULL,1,),</v>
      </c>
    </row>
    <row r="182" spans="1:18" ht="20.100000000000001" hidden="1" customHeight="1" x14ac:dyDescent="0.25">
      <c r="A182" s="38">
        <v>23</v>
      </c>
      <c r="B182" s="38" t="s">
        <v>341</v>
      </c>
      <c r="C182" s="38">
        <v>8</v>
      </c>
      <c r="D182" s="39" t="str">
        <f t="shared" si="63"/>
        <v>PS-23-NZ1</v>
      </c>
      <c r="E182" s="48" t="str">
        <f t="shared" si="64"/>
        <v>Poste de Sectionnement n°23 NZ1</v>
      </c>
      <c r="F182" s="19">
        <v>28795</v>
      </c>
      <c r="G182" s="19">
        <v>28795</v>
      </c>
      <c r="H182" s="41" t="s">
        <v>20</v>
      </c>
      <c r="I182" s="41">
        <v>1</v>
      </c>
      <c r="J182" s="41" t="s">
        <v>3557</v>
      </c>
      <c r="K182" s="41">
        <v>16</v>
      </c>
      <c r="L182" s="41"/>
      <c r="M182" s="41" t="s">
        <v>341</v>
      </c>
      <c r="N182" s="41" t="s">
        <v>1066</v>
      </c>
      <c r="O182" s="43">
        <v>6</v>
      </c>
      <c r="P182" s="43">
        <f t="shared" si="62"/>
        <v>488</v>
      </c>
      <c r="Q182" s="41" t="s">
        <v>1086</v>
      </c>
      <c r="R182" s="48" t="str">
        <f t="shared" si="59"/>
        <v>(23,'PS-23-NZ1','Poste de Sectionnement n°23 NZ1','Wednesday-11-jj','Wednesday-11-jj',NULL,1,),</v>
      </c>
    </row>
    <row r="183" spans="1:18" ht="20.100000000000001" hidden="1" customHeight="1" x14ac:dyDescent="0.25">
      <c r="A183" s="38">
        <v>24</v>
      </c>
      <c r="B183" s="38" t="s">
        <v>341</v>
      </c>
      <c r="C183" s="38">
        <v>8</v>
      </c>
      <c r="D183" s="39" t="str">
        <f t="shared" si="63"/>
        <v>PS-24-NZ1</v>
      </c>
      <c r="E183" s="48" t="str">
        <f t="shared" si="64"/>
        <v>Poste de Sectionnement n°24 NZ1</v>
      </c>
      <c r="F183" s="19">
        <v>28795</v>
      </c>
      <c r="G183" s="19">
        <v>28795</v>
      </c>
      <c r="H183" s="41" t="s">
        <v>20</v>
      </c>
      <c r="I183" s="41">
        <v>1</v>
      </c>
      <c r="J183" s="41" t="s">
        <v>3557</v>
      </c>
      <c r="K183" s="41">
        <v>16</v>
      </c>
      <c r="L183" s="41"/>
      <c r="M183" s="41" t="s">
        <v>341</v>
      </c>
      <c r="N183" s="41" t="s">
        <v>1067</v>
      </c>
      <c r="O183" s="43">
        <v>14</v>
      </c>
      <c r="P183" s="43">
        <f t="shared" si="62"/>
        <v>490.60500000000002</v>
      </c>
      <c r="Q183" s="41" t="s">
        <v>1086</v>
      </c>
      <c r="R183" s="48" t="str">
        <f t="shared" si="59"/>
        <v>(24,'PS-24-NZ1','Poste de Sectionnement n°24 NZ1','Wednesday-11-jj','Wednesday-11-jj',NULL,1,),</v>
      </c>
    </row>
    <row r="184" spans="1:18" ht="20.100000000000001" hidden="1" customHeight="1" x14ac:dyDescent="0.25">
      <c r="A184" s="38">
        <v>1</v>
      </c>
      <c r="B184" s="38" t="s">
        <v>344</v>
      </c>
      <c r="C184" s="38">
        <v>9</v>
      </c>
      <c r="D184" s="39" t="str">
        <f t="shared" si="63"/>
        <v>PS-01-NK1</v>
      </c>
      <c r="E184" s="48" t="str">
        <f t="shared" si="64"/>
        <v>Poste de Sectionnement n°01 NK1</v>
      </c>
      <c r="F184" s="19">
        <v>40029</v>
      </c>
      <c r="G184" s="19">
        <v>40029</v>
      </c>
      <c r="H184" s="41" t="s">
        <v>20</v>
      </c>
      <c r="I184" s="41">
        <v>1</v>
      </c>
      <c r="J184" s="41" t="s">
        <v>3557</v>
      </c>
      <c r="K184" s="41">
        <v>16</v>
      </c>
      <c r="L184" s="41"/>
      <c r="M184" s="41" t="s">
        <v>344</v>
      </c>
      <c r="N184" s="41" t="s">
        <v>1648</v>
      </c>
      <c r="O184" s="43">
        <f t="shared" ref="O184" si="65">VALUE(RIGHT(N184,LEN(N184)-SEARCH("/",N184)))</f>
        <v>173</v>
      </c>
      <c r="P184" s="43">
        <f t="shared" ref="P184" si="66">VALUE(SUBSTITUTE(LEFT(N184,SEARCH("/",N184)-1),"+",","))</f>
        <v>19.141999999999999</v>
      </c>
      <c r="Q184" s="41" t="s">
        <v>1666</v>
      </c>
      <c r="R184" s="48" t="str">
        <f t="shared" si="59"/>
        <v>(1,'PS-01-NK1','Poste de Sectionnement n°01 NK1','Tuesday-08-jj','Tuesday-08-jj',NULL,1,),</v>
      </c>
    </row>
    <row r="185" spans="1:18" ht="20.100000000000001" hidden="1" customHeight="1" x14ac:dyDescent="0.25">
      <c r="A185" s="38">
        <v>2</v>
      </c>
      <c r="B185" s="38" t="s">
        <v>344</v>
      </c>
      <c r="C185" s="38">
        <v>9</v>
      </c>
      <c r="D185" s="39" t="str">
        <f t="shared" si="63"/>
        <v>PS-02-NK1</v>
      </c>
      <c r="E185" s="48" t="str">
        <f t="shared" si="64"/>
        <v>Poste de Sectionnement n°02 NK1</v>
      </c>
      <c r="F185" s="19">
        <v>40029</v>
      </c>
      <c r="G185" s="19">
        <v>40029</v>
      </c>
      <c r="H185" s="41" t="s">
        <v>20</v>
      </c>
      <c r="I185" s="41">
        <v>1</v>
      </c>
      <c r="J185" s="41" t="s">
        <v>3557</v>
      </c>
      <c r="K185" s="41">
        <v>16</v>
      </c>
      <c r="L185" s="41"/>
      <c r="M185" s="41" t="s">
        <v>344</v>
      </c>
      <c r="N185" s="41" t="s">
        <v>1649</v>
      </c>
      <c r="O185" s="43">
        <f t="shared" ref="O185:O200" si="67">VALUE(RIGHT(N185,LEN(N185)-SEARCH("/",N185)))</f>
        <v>170</v>
      </c>
      <c r="P185" s="43">
        <f t="shared" ref="P185:P200" si="68">VALUE(SUBSTITUTE(LEFT(N185,SEARCH("/",N185)-1),"+",","))</f>
        <v>39.03</v>
      </c>
      <c r="Q185" s="41" t="s">
        <v>1666</v>
      </c>
      <c r="R185" s="48" t="str">
        <f t="shared" si="59"/>
        <v>(2,'PS-02-NK1','Poste de Sectionnement n°02 NK1','Tuesday-08-jj','Tuesday-08-jj',NULL,1,),</v>
      </c>
    </row>
    <row r="186" spans="1:18" ht="20.100000000000001" hidden="1" customHeight="1" x14ac:dyDescent="0.25">
      <c r="A186" s="38">
        <v>3</v>
      </c>
      <c r="B186" s="38" t="s">
        <v>344</v>
      </c>
      <c r="C186" s="38">
        <v>9</v>
      </c>
      <c r="D186" s="39" t="str">
        <f t="shared" ref="D186:D201" si="69">CONCATENATE("PS-",TEXT(A186,"00"),"-",M186)</f>
        <v>PS-03-NK1</v>
      </c>
      <c r="E186" s="48" t="str">
        <f t="shared" ref="E186:E201" si="70">CONCATENATE("Poste de Sectionnement n°",TEXT(A186,"00")," ",M186)</f>
        <v>Poste de Sectionnement n°03 NK1</v>
      </c>
      <c r="F186" s="19">
        <v>40029</v>
      </c>
      <c r="G186" s="19">
        <v>40029</v>
      </c>
      <c r="H186" s="41" t="s">
        <v>20</v>
      </c>
      <c r="I186" s="41">
        <v>1</v>
      </c>
      <c r="J186" s="41" t="s">
        <v>3557</v>
      </c>
      <c r="K186" s="41">
        <v>16</v>
      </c>
      <c r="L186" s="41"/>
      <c r="M186" s="41" t="s">
        <v>344</v>
      </c>
      <c r="N186" s="41" t="s">
        <v>1650</v>
      </c>
      <c r="O186" s="43">
        <f t="shared" si="67"/>
        <v>127</v>
      </c>
      <c r="P186" s="43">
        <f t="shared" si="68"/>
        <v>58.423000000000002</v>
      </c>
      <c r="Q186" s="41" t="s">
        <v>1667</v>
      </c>
      <c r="R186" s="48" t="str">
        <f t="shared" si="59"/>
        <v>(3,'PS-03-NK1','Poste de Sectionnement n°03 NK1','Tuesday-08-jj','Tuesday-08-jj',NULL,1,),</v>
      </c>
    </row>
    <row r="187" spans="1:18" ht="20.100000000000001" hidden="1" customHeight="1" x14ac:dyDescent="0.25">
      <c r="A187" s="38">
        <v>4</v>
      </c>
      <c r="B187" s="38" t="s">
        <v>344</v>
      </c>
      <c r="C187" s="38">
        <v>9</v>
      </c>
      <c r="D187" s="39" t="str">
        <f t="shared" si="69"/>
        <v>PS-04-NK1</v>
      </c>
      <c r="E187" s="48" t="str">
        <f t="shared" si="70"/>
        <v>Poste de Sectionnement n°04 NK1</v>
      </c>
      <c r="F187" s="19">
        <v>40029</v>
      </c>
      <c r="G187" s="19">
        <v>40029</v>
      </c>
      <c r="H187" s="41" t="s">
        <v>20</v>
      </c>
      <c r="I187" s="41">
        <v>1</v>
      </c>
      <c r="J187" s="41" t="s">
        <v>3557</v>
      </c>
      <c r="K187" s="41">
        <v>16</v>
      </c>
      <c r="L187" s="41"/>
      <c r="M187" s="41" t="s">
        <v>344</v>
      </c>
      <c r="N187" s="41" t="s">
        <v>1651</v>
      </c>
      <c r="O187" s="43">
        <f t="shared" si="67"/>
        <v>119</v>
      </c>
      <c r="P187" s="43">
        <f t="shared" si="68"/>
        <v>78</v>
      </c>
      <c r="Q187" s="41" t="s">
        <v>1667</v>
      </c>
      <c r="R187" s="48" t="str">
        <f t="shared" si="59"/>
        <v>(4,'PS-04-NK1','Poste de Sectionnement n°04 NK1','Tuesday-08-jj','Tuesday-08-jj',NULL,1,),</v>
      </c>
    </row>
    <row r="188" spans="1:18" ht="20.100000000000001" hidden="1" customHeight="1" x14ac:dyDescent="0.25">
      <c r="A188" s="38">
        <v>5</v>
      </c>
      <c r="B188" s="38" t="s">
        <v>344</v>
      </c>
      <c r="C188" s="38">
        <v>9</v>
      </c>
      <c r="D188" s="39" t="str">
        <f t="shared" si="69"/>
        <v>PS-05-NK1</v>
      </c>
      <c r="E188" s="48" t="str">
        <f t="shared" si="70"/>
        <v>Poste de Sectionnement n°05 NK1</v>
      </c>
      <c r="F188" s="19">
        <v>40029</v>
      </c>
      <c r="G188" s="19">
        <v>40029</v>
      </c>
      <c r="H188" s="41" t="s">
        <v>20</v>
      </c>
      <c r="I188" s="41">
        <v>1</v>
      </c>
      <c r="J188" s="41" t="s">
        <v>3557</v>
      </c>
      <c r="K188" s="41">
        <v>16</v>
      </c>
      <c r="L188" s="41"/>
      <c r="M188" s="41" t="s">
        <v>344</v>
      </c>
      <c r="N188" s="41" t="s">
        <v>1652</v>
      </c>
      <c r="O188" s="43">
        <f t="shared" si="67"/>
        <v>112</v>
      </c>
      <c r="P188" s="43">
        <f t="shared" si="68"/>
        <v>97.503</v>
      </c>
      <c r="Q188" s="41" t="s">
        <v>1667</v>
      </c>
      <c r="R188" s="48" t="str">
        <f t="shared" si="59"/>
        <v>(5,'PS-05-NK1','Poste de Sectionnement n°05 NK1','Tuesday-08-jj','Tuesday-08-jj',NULL,1,),</v>
      </c>
    </row>
    <row r="189" spans="1:18" ht="20.100000000000001" hidden="1" customHeight="1" x14ac:dyDescent="0.25">
      <c r="A189" s="38">
        <v>6</v>
      </c>
      <c r="B189" s="38" t="s">
        <v>344</v>
      </c>
      <c r="C189" s="38">
        <v>9</v>
      </c>
      <c r="D189" s="39" t="str">
        <f t="shared" si="69"/>
        <v>PS-06-NK1</v>
      </c>
      <c r="E189" s="48" t="str">
        <f t="shared" si="70"/>
        <v>Poste de Sectionnement n°06 NK1</v>
      </c>
      <c r="F189" s="19">
        <v>40029</v>
      </c>
      <c r="G189" s="19">
        <v>40029</v>
      </c>
      <c r="H189" s="41" t="s">
        <v>20</v>
      </c>
      <c r="I189" s="41">
        <v>1</v>
      </c>
      <c r="J189" s="41" t="s">
        <v>3557</v>
      </c>
      <c r="K189" s="41">
        <v>16</v>
      </c>
      <c r="L189" s="41"/>
      <c r="M189" s="41" t="s">
        <v>344</v>
      </c>
      <c r="N189" s="41" t="s">
        <v>1653</v>
      </c>
      <c r="O189" s="43">
        <f t="shared" si="67"/>
        <v>98</v>
      </c>
      <c r="P189" s="43">
        <f t="shared" si="68"/>
        <v>117.11199999999999</v>
      </c>
      <c r="Q189" s="41" t="s">
        <v>1667</v>
      </c>
      <c r="R189" s="48" t="str">
        <f t="shared" si="59"/>
        <v>(6,'PS-06-NK1','Poste de Sectionnement n°06 NK1','Tuesday-08-jj','Tuesday-08-jj',NULL,1,),</v>
      </c>
    </row>
    <row r="190" spans="1:18" ht="20.100000000000001" hidden="1" customHeight="1" x14ac:dyDescent="0.25">
      <c r="A190" s="38">
        <v>7</v>
      </c>
      <c r="B190" s="38" t="s">
        <v>344</v>
      </c>
      <c r="C190" s="38">
        <v>9</v>
      </c>
      <c r="D190" s="39" t="str">
        <f t="shared" si="69"/>
        <v>PS-07-NK1</v>
      </c>
      <c r="E190" s="48" t="str">
        <f t="shared" si="70"/>
        <v>Poste de Sectionnement n°07 NK1</v>
      </c>
      <c r="F190" s="19">
        <v>40029</v>
      </c>
      <c r="G190" s="19">
        <v>40029</v>
      </c>
      <c r="H190" s="41" t="s">
        <v>20</v>
      </c>
      <c r="I190" s="41">
        <v>1</v>
      </c>
      <c r="J190" s="41" t="s">
        <v>3557</v>
      </c>
      <c r="K190" s="41">
        <v>16</v>
      </c>
      <c r="L190" s="41"/>
      <c r="M190" s="41" t="s">
        <v>344</v>
      </c>
      <c r="N190" s="41" t="s">
        <v>1654</v>
      </c>
      <c r="O190" s="43">
        <f t="shared" si="67"/>
        <v>88</v>
      </c>
      <c r="P190" s="43">
        <f t="shared" si="68"/>
        <v>136.69800000000001</v>
      </c>
      <c r="Q190" s="41" t="s">
        <v>1668</v>
      </c>
      <c r="R190" s="48" t="str">
        <f t="shared" si="59"/>
        <v>(7,'PS-07-NK1','Poste de Sectionnement n°07 NK1','Tuesday-08-jj','Tuesday-08-jj',NULL,1,),</v>
      </c>
    </row>
    <row r="191" spans="1:18" ht="20.100000000000001" hidden="1" customHeight="1" x14ac:dyDescent="0.25">
      <c r="A191" s="38">
        <v>8</v>
      </c>
      <c r="B191" s="38" t="s">
        <v>344</v>
      </c>
      <c r="C191" s="38">
        <v>9</v>
      </c>
      <c r="D191" s="39" t="str">
        <f t="shared" si="69"/>
        <v>PS-08-NK1</v>
      </c>
      <c r="E191" s="48" t="str">
        <f t="shared" si="70"/>
        <v>Poste de Sectionnement n°08 NK1</v>
      </c>
      <c r="F191" s="19">
        <v>40029</v>
      </c>
      <c r="G191" s="19">
        <v>40029</v>
      </c>
      <c r="H191" s="41" t="s">
        <v>20</v>
      </c>
      <c r="I191" s="41">
        <v>1</v>
      </c>
      <c r="J191" s="41" t="s">
        <v>3557</v>
      </c>
      <c r="K191" s="41">
        <v>16</v>
      </c>
      <c r="L191" s="41"/>
      <c r="M191" s="41" t="s">
        <v>344</v>
      </c>
      <c r="N191" s="41" t="s">
        <v>1655</v>
      </c>
      <c r="O191" s="43">
        <f t="shared" si="67"/>
        <v>71</v>
      </c>
      <c r="P191" s="43">
        <f t="shared" si="68"/>
        <v>156.44800000000001</v>
      </c>
      <c r="Q191" s="41" t="s">
        <v>1669</v>
      </c>
      <c r="R191" s="48" t="str">
        <f t="shared" si="59"/>
        <v>(8,'PS-08-NK1','Poste de Sectionnement n°08 NK1','Tuesday-08-jj','Tuesday-08-jj',NULL,1,),</v>
      </c>
    </row>
    <row r="192" spans="1:18" ht="20.100000000000001" hidden="1" customHeight="1" x14ac:dyDescent="0.25">
      <c r="A192" s="38">
        <v>9</v>
      </c>
      <c r="B192" s="38" t="s">
        <v>344</v>
      </c>
      <c r="C192" s="38">
        <v>9</v>
      </c>
      <c r="D192" s="39" t="str">
        <f t="shared" si="69"/>
        <v>PS-09-NK1</v>
      </c>
      <c r="E192" s="48" t="str">
        <f t="shared" si="70"/>
        <v>Poste de Sectionnement n°09 NK1</v>
      </c>
      <c r="F192" s="19">
        <v>40029</v>
      </c>
      <c r="G192" s="19">
        <v>40029</v>
      </c>
      <c r="H192" s="41" t="s">
        <v>20</v>
      </c>
      <c r="I192" s="41">
        <v>1</v>
      </c>
      <c r="J192" s="41" t="s">
        <v>3557</v>
      </c>
      <c r="K192" s="41">
        <v>16</v>
      </c>
      <c r="L192" s="41"/>
      <c r="M192" s="41" t="s">
        <v>344</v>
      </c>
      <c r="N192" s="41" t="s">
        <v>1656</v>
      </c>
      <c r="O192" s="43">
        <f t="shared" si="67"/>
        <v>77</v>
      </c>
      <c r="P192" s="43">
        <f t="shared" si="68"/>
        <v>175.5</v>
      </c>
      <c r="Q192" s="41" t="s">
        <v>1670</v>
      </c>
      <c r="R192" s="48" t="str">
        <f t="shared" si="59"/>
        <v>(9,'PS-09-NK1','Poste de Sectionnement n°09 NK1','Tuesday-08-jj','Tuesday-08-jj',NULL,1,),</v>
      </c>
    </row>
    <row r="193" spans="1:18" ht="20.100000000000001" hidden="1" customHeight="1" x14ac:dyDescent="0.25">
      <c r="A193" s="38">
        <v>10</v>
      </c>
      <c r="B193" s="38" t="s">
        <v>344</v>
      </c>
      <c r="C193" s="38">
        <v>9</v>
      </c>
      <c r="D193" s="39" t="str">
        <f t="shared" si="69"/>
        <v>PS-10-NK1</v>
      </c>
      <c r="E193" s="48" t="str">
        <f t="shared" si="70"/>
        <v>Poste de Sectionnement n°10 NK1</v>
      </c>
      <c r="F193" s="19">
        <v>40029</v>
      </c>
      <c r="G193" s="19">
        <v>40029</v>
      </c>
      <c r="H193" s="41" t="s">
        <v>20</v>
      </c>
      <c r="I193" s="41">
        <v>1</v>
      </c>
      <c r="J193" s="41" t="s">
        <v>3557</v>
      </c>
      <c r="K193" s="41">
        <v>16</v>
      </c>
      <c r="L193" s="41"/>
      <c r="M193" s="41" t="s">
        <v>344</v>
      </c>
      <c r="N193" s="41" t="s">
        <v>1657</v>
      </c>
      <c r="O193" s="43">
        <f t="shared" si="67"/>
        <v>110</v>
      </c>
      <c r="P193" s="43">
        <f t="shared" si="68"/>
        <v>209.315</v>
      </c>
      <c r="Q193" s="41" t="s">
        <v>1671</v>
      </c>
      <c r="R193" s="48" t="str">
        <f t="shared" si="59"/>
        <v>(10,'PS-10-NK1','Poste de Sectionnement n°10 NK1','Tuesday-08-jj','Tuesday-08-jj',NULL,1,),</v>
      </c>
    </row>
    <row r="194" spans="1:18" ht="20.100000000000001" hidden="1" customHeight="1" x14ac:dyDescent="0.25">
      <c r="A194" s="38">
        <v>11</v>
      </c>
      <c r="B194" s="38" t="s">
        <v>344</v>
      </c>
      <c r="C194" s="38">
        <v>9</v>
      </c>
      <c r="D194" s="39" t="str">
        <f t="shared" si="69"/>
        <v>PS-11-NK1</v>
      </c>
      <c r="E194" s="48" t="str">
        <f t="shared" si="70"/>
        <v>Poste de Sectionnement n°11 NK1</v>
      </c>
      <c r="F194" s="19">
        <v>40029</v>
      </c>
      <c r="G194" s="19">
        <v>40029</v>
      </c>
      <c r="H194" s="41" t="s">
        <v>20</v>
      </c>
      <c r="I194" s="41">
        <v>1</v>
      </c>
      <c r="J194" s="41" t="s">
        <v>3557</v>
      </c>
      <c r="K194" s="41">
        <v>16</v>
      </c>
      <c r="L194" s="41"/>
      <c r="M194" s="41" t="s">
        <v>344</v>
      </c>
      <c r="N194" s="41" t="s">
        <v>1658</v>
      </c>
      <c r="O194" s="43">
        <f t="shared" si="67"/>
        <v>78</v>
      </c>
      <c r="P194" s="43">
        <f t="shared" si="68"/>
        <v>228.535</v>
      </c>
      <c r="Q194" s="41" t="s">
        <v>1672</v>
      </c>
      <c r="R194" s="48" t="str">
        <f t="shared" si="59"/>
        <v>(11,'PS-11-NK1','Poste de Sectionnement n°11 NK1','Tuesday-08-jj','Tuesday-08-jj',NULL,1,),</v>
      </c>
    </row>
    <row r="195" spans="1:18" ht="20.100000000000001" hidden="1" customHeight="1" x14ac:dyDescent="0.25">
      <c r="A195" s="38">
        <v>12</v>
      </c>
      <c r="B195" s="38" t="s">
        <v>344</v>
      </c>
      <c r="C195" s="38">
        <v>9</v>
      </c>
      <c r="D195" s="39" t="str">
        <f t="shared" si="69"/>
        <v>PS-12-NK1</v>
      </c>
      <c r="E195" s="48" t="str">
        <f t="shared" si="70"/>
        <v>Poste de Sectionnement n°12 NK1</v>
      </c>
      <c r="F195" s="19">
        <v>40029</v>
      </c>
      <c r="G195" s="19">
        <v>40029</v>
      </c>
      <c r="H195" s="41" t="s">
        <v>20</v>
      </c>
      <c r="I195" s="41">
        <v>1</v>
      </c>
      <c r="J195" s="41" t="s">
        <v>3557</v>
      </c>
      <c r="K195" s="41">
        <v>16</v>
      </c>
      <c r="L195" s="41"/>
      <c r="M195" s="41" t="s">
        <v>344</v>
      </c>
      <c r="N195" s="41" t="s">
        <v>1659</v>
      </c>
      <c r="O195" s="43">
        <f t="shared" si="67"/>
        <v>42</v>
      </c>
      <c r="P195" s="43">
        <f t="shared" si="68"/>
        <v>248.00299999999999</v>
      </c>
      <c r="Q195" s="41" t="s">
        <v>1673</v>
      </c>
      <c r="R195" s="48" t="str">
        <f t="shared" si="59"/>
        <v>(12,'PS-12-NK1','Poste de Sectionnement n°12 NK1','Tuesday-08-jj','Tuesday-08-jj',NULL,1,),</v>
      </c>
    </row>
    <row r="196" spans="1:18" ht="20.100000000000001" hidden="1" customHeight="1" x14ac:dyDescent="0.25">
      <c r="A196" s="38">
        <v>13</v>
      </c>
      <c r="B196" s="38" t="s">
        <v>344</v>
      </c>
      <c r="C196" s="38">
        <v>9</v>
      </c>
      <c r="D196" s="39" t="str">
        <f t="shared" si="69"/>
        <v>PS-13-NK1</v>
      </c>
      <c r="E196" s="48" t="str">
        <f t="shared" si="70"/>
        <v>Poste de Sectionnement n°13 NK1</v>
      </c>
      <c r="F196" s="19">
        <v>40029</v>
      </c>
      <c r="G196" s="19">
        <v>40029</v>
      </c>
      <c r="H196" s="41" t="s">
        <v>20</v>
      </c>
      <c r="I196" s="41">
        <v>1</v>
      </c>
      <c r="J196" s="41" t="s">
        <v>3557</v>
      </c>
      <c r="K196" s="41">
        <v>16</v>
      </c>
      <c r="L196" s="41"/>
      <c r="M196" s="41" t="s">
        <v>344</v>
      </c>
      <c r="N196" s="41" t="s">
        <v>1660</v>
      </c>
      <c r="O196" s="43">
        <f t="shared" si="67"/>
        <v>93</v>
      </c>
      <c r="P196" s="43">
        <f t="shared" si="68"/>
        <v>267.65100000000001</v>
      </c>
      <c r="Q196" s="41" t="s">
        <v>1674</v>
      </c>
      <c r="R196" s="48" t="str">
        <f t="shared" si="59"/>
        <v>(13,'PS-13-NK1','Poste de Sectionnement n°13 NK1','Tuesday-08-jj','Tuesday-08-jj',NULL,1,),</v>
      </c>
    </row>
    <row r="197" spans="1:18" ht="20.100000000000001" hidden="1" customHeight="1" x14ac:dyDescent="0.25">
      <c r="A197" s="38">
        <v>14</v>
      </c>
      <c r="B197" s="38" t="s">
        <v>344</v>
      </c>
      <c r="C197" s="38">
        <v>9</v>
      </c>
      <c r="D197" s="39" t="str">
        <f t="shared" si="69"/>
        <v>PS-14-NK1</v>
      </c>
      <c r="E197" s="48" t="str">
        <f t="shared" si="70"/>
        <v>Poste de Sectionnement n°14 NK1</v>
      </c>
      <c r="F197" s="19">
        <v>40029</v>
      </c>
      <c r="G197" s="19">
        <v>40029</v>
      </c>
      <c r="H197" s="41" t="s">
        <v>20</v>
      </c>
      <c r="I197" s="41">
        <v>1</v>
      </c>
      <c r="J197" s="41" t="s">
        <v>3557</v>
      </c>
      <c r="K197" s="41">
        <v>16</v>
      </c>
      <c r="L197" s="41"/>
      <c r="M197" s="41" t="s">
        <v>344</v>
      </c>
      <c r="N197" s="41" t="s">
        <v>1661</v>
      </c>
      <c r="O197" s="43">
        <f t="shared" si="67"/>
        <v>85</v>
      </c>
      <c r="P197" s="43">
        <f t="shared" si="68"/>
        <v>287.16300000000001</v>
      </c>
      <c r="Q197" s="41" t="s">
        <v>1675</v>
      </c>
      <c r="R197" s="48" t="str">
        <f t="shared" si="59"/>
        <v>(14,'PS-14-NK1','Poste de Sectionnement n°14 NK1','Tuesday-08-jj','Tuesday-08-jj',NULL,1,),</v>
      </c>
    </row>
    <row r="198" spans="1:18" ht="20.100000000000001" hidden="1" customHeight="1" x14ac:dyDescent="0.25">
      <c r="A198" s="38">
        <v>15</v>
      </c>
      <c r="B198" s="38" t="s">
        <v>344</v>
      </c>
      <c r="C198" s="38">
        <v>9</v>
      </c>
      <c r="D198" s="39" t="str">
        <f t="shared" si="69"/>
        <v>PS-15-NK1</v>
      </c>
      <c r="E198" s="48" t="str">
        <f t="shared" si="70"/>
        <v>Poste de Sectionnement n°15 NK1</v>
      </c>
      <c r="F198" s="19">
        <v>40029</v>
      </c>
      <c r="G198" s="19">
        <v>40029</v>
      </c>
      <c r="H198" s="41" t="s">
        <v>20</v>
      </c>
      <c r="I198" s="41">
        <v>1</v>
      </c>
      <c r="J198" s="41" t="s">
        <v>3557</v>
      </c>
      <c r="K198" s="41">
        <v>16</v>
      </c>
      <c r="L198" s="41"/>
      <c r="M198" s="41" t="s">
        <v>344</v>
      </c>
      <c r="N198" s="41" t="s">
        <v>1662</v>
      </c>
      <c r="O198" s="43">
        <f t="shared" si="67"/>
        <v>78</v>
      </c>
      <c r="P198" s="43">
        <f t="shared" si="68"/>
        <v>306.745</v>
      </c>
      <c r="Q198" s="41" t="s">
        <v>1676</v>
      </c>
      <c r="R198" s="48" t="str">
        <f t="shared" si="59"/>
        <v>(15,'PS-15-NK1','Poste de Sectionnement n°15 NK1','Tuesday-08-jj','Tuesday-08-jj',NULL,1,),</v>
      </c>
    </row>
    <row r="199" spans="1:18" ht="20.100000000000001" hidden="1" customHeight="1" x14ac:dyDescent="0.25">
      <c r="A199" s="38">
        <v>16</v>
      </c>
      <c r="B199" s="38" t="s">
        <v>344</v>
      </c>
      <c r="C199" s="38">
        <v>9</v>
      </c>
      <c r="D199" s="39" t="str">
        <f t="shared" si="69"/>
        <v>PS-16-NK1</v>
      </c>
      <c r="E199" s="48" t="str">
        <f t="shared" si="70"/>
        <v>Poste de Sectionnement n°16 NK1</v>
      </c>
      <c r="F199" s="19">
        <v>40029</v>
      </c>
      <c r="G199" s="19">
        <v>40029</v>
      </c>
      <c r="H199" s="41" t="s">
        <v>20</v>
      </c>
      <c r="I199" s="41">
        <v>1</v>
      </c>
      <c r="J199" s="41" t="s">
        <v>3557</v>
      </c>
      <c r="K199" s="41">
        <v>16</v>
      </c>
      <c r="L199" s="41"/>
      <c r="M199" s="41" t="s">
        <v>344</v>
      </c>
      <c r="N199" s="41" t="s">
        <v>1663</v>
      </c>
      <c r="O199" s="43">
        <f t="shared" si="67"/>
        <v>150</v>
      </c>
      <c r="P199" s="43">
        <f t="shared" si="68"/>
        <v>326.50700000000001</v>
      </c>
      <c r="Q199" s="41" t="s">
        <v>1677</v>
      </c>
      <c r="R199" s="48" t="str">
        <f t="shared" si="59"/>
        <v>(16,'PS-16-NK1','Poste de Sectionnement n°16 NK1','Tuesday-08-jj','Tuesday-08-jj',NULL,1,),</v>
      </c>
    </row>
    <row r="200" spans="1:18" ht="20.100000000000001" hidden="1" customHeight="1" x14ac:dyDescent="0.25">
      <c r="A200" s="38">
        <v>17</v>
      </c>
      <c r="B200" s="38" t="s">
        <v>344</v>
      </c>
      <c r="C200" s="38">
        <v>9</v>
      </c>
      <c r="D200" s="39" t="str">
        <f t="shared" si="69"/>
        <v>PS-17-NK1</v>
      </c>
      <c r="E200" s="48" t="str">
        <f t="shared" si="70"/>
        <v>Poste de Sectionnement n°17 NK1</v>
      </c>
      <c r="F200" s="19">
        <v>40029</v>
      </c>
      <c r="G200" s="19">
        <v>40029</v>
      </c>
      <c r="H200" s="41" t="s">
        <v>20</v>
      </c>
      <c r="I200" s="41">
        <v>1</v>
      </c>
      <c r="J200" s="41" t="s">
        <v>3557</v>
      </c>
      <c r="K200" s="41">
        <v>16</v>
      </c>
      <c r="L200" s="41"/>
      <c r="M200" s="41" t="s">
        <v>344</v>
      </c>
      <c r="N200" s="41" t="s">
        <v>1664</v>
      </c>
      <c r="O200" s="43">
        <f t="shared" si="67"/>
        <v>241</v>
      </c>
      <c r="P200" s="43">
        <f t="shared" si="68"/>
        <v>357.11399999999998</v>
      </c>
      <c r="Q200" s="41" t="s">
        <v>1678</v>
      </c>
      <c r="R200" s="48" t="str">
        <f t="shared" si="59"/>
        <v>(17,'PS-17-NK1','Poste de Sectionnement n°17 NK1','Tuesday-08-jj','Tuesday-08-jj',NULL,1,),</v>
      </c>
    </row>
    <row r="201" spans="1:18" ht="20.100000000000001" hidden="1" customHeight="1" x14ac:dyDescent="0.25">
      <c r="A201" s="38">
        <v>18</v>
      </c>
      <c r="B201" s="38" t="s">
        <v>344</v>
      </c>
      <c r="C201" s="38">
        <v>9</v>
      </c>
      <c r="D201" s="39" t="str">
        <f t="shared" si="69"/>
        <v>PS-18-NK1</v>
      </c>
      <c r="E201" s="48" t="str">
        <f t="shared" si="70"/>
        <v>Poste de Sectionnement n°18 NK1</v>
      </c>
      <c r="F201" s="19">
        <v>40029</v>
      </c>
      <c r="G201" s="19">
        <v>40029</v>
      </c>
      <c r="H201" s="41" t="s">
        <v>20</v>
      </c>
      <c r="I201" s="41">
        <v>1</v>
      </c>
      <c r="J201" s="41" t="s">
        <v>3557</v>
      </c>
      <c r="K201" s="41">
        <v>16</v>
      </c>
      <c r="L201" s="41"/>
      <c r="M201" s="41" t="s">
        <v>344</v>
      </c>
      <c r="N201" s="41" t="s">
        <v>1665</v>
      </c>
      <c r="O201" s="43">
        <f t="shared" ref="O201" si="71">VALUE(RIGHT(N201,LEN(N201)-SEARCH("/",N201)))</f>
        <v>403</v>
      </c>
      <c r="P201" s="43">
        <f t="shared" ref="P201" si="72">VALUE(SUBSTITUTE(LEFT(N201,SEARCH("/",N201)-1),"+",","))</f>
        <v>375.16399999999999</v>
      </c>
      <c r="Q201" s="41" t="s">
        <v>1678</v>
      </c>
      <c r="R201" s="48" t="str">
        <f t="shared" si="59"/>
        <v>(18,'PS-18-NK1','Poste de Sectionnement n°18 NK1','Tuesday-08-jj','Tuesday-08-jj',NULL,1,),</v>
      </c>
    </row>
    <row r="202" spans="1:18" ht="20.100000000000001" hidden="1" customHeight="1" x14ac:dyDescent="0.25">
      <c r="A202" s="38">
        <v>19</v>
      </c>
      <c r="B202" s="38" t="s">
        <v>344</v>
      </c>
      <c r="C202" s="38">
        <v>9</v>
      </c>
      <c r="D202" s="39" t="str">
        <f t="shared" ref="D202:D223" si="73">CONCATENATE("PS-",TEXT(A202,"00"),"-",M202)</f>
        <v>PS-19-NK1</v>
      </c>
      <c r="E202" s="48" t="str">
        <f t="shared" ref="E202:E223" si="74">CONCATENATE("Poste de Sectionnement n°",TEXT(A202,"00")," ",M202)</f>
        <v>Poste de Sectionnement n°19 NK1</v>
      </c>
      <c r="F202" s="19">
        <v>40029</v>
      </c>
      <c r="G202" s="19">
        <v>40029</v>
      </c>
      <c r="H202" s="41" t="s">
        <v>20</v>
      </c>
      <c r="I202" s="41">
        <v>1</v>
      </c>
      <c r="J202" s="41" t="s">
        <v>3557</v>
      </c>
      <c r="K202" s="41">
        <v>16</v>
      </c>
      <c r="L202" s="41"/>
      <c r="M202" s="41" t="s">
        <v>344</v>
      </c>
      <c r="N202" s="41" t="s">
        <v>1693</v>
      </c>
      <c r="O202" s="43">
        <f t="shared" ref="O202:O219" si="75">VALUE(RIGHT(N202,LEN(N202)-SEARCH("/",N202)))</f>
        <v>538</v>
      </c>
      <c r="P202" s="43">
        <f t="shared" ref="P202:P219" si="76">VALUE(SUBSTITUTE(LEFT(N202,SEARCH("/",N202)-1),"+",","))</f>
        <v>394.30099999999999</v>
      </c>
      <c r="Q202" s="41" t="s">
        <v>829</v>
      </c>
      <c r="R202" s="48" t="str">
        <f t="shared" si="59"/>
        <v>(19,'PS-19-NK1','Poste de Sectionnement n°19 NK1','Tuesday-08-jj','Tuesday-08-jj',NULL,1,),</v>
      </c>
    </row>
    <row r="203" spans="1:18" ht="20.100000000000001" hidden="1" customHeight="1" x14ac:dyDescent="0.25">
      <c r="A203" s="38">
        <v>20</v>
      </c>
      <c r="B203" s="38" t="s">
        <v>344</v>
      </c>
      <c r="C203" s="38">
        <v>9</v>
      </c>
      <c r="D203" s="39" t="str">
        <f t="shared" si="73"/>
        <v>PS-20-NK1</v>
      </c>
      <c r="E203" s="48" t="str">
        <f t="shared" si="74"/>
        <v>Poste de Sectionnement n°20 NK1</v>
      </c>
      <c r="F203" s="19">
        <v>40029</v>
      </c>
      <c r="G203" s="19">
        <v>40029</v>
      </c>
      <c r="H203" s="41" t="s">
        <v>20</v>
      </c>
      <c r="I203" s="41">
        <v>1</v>
      </c>
      <c r="J203" s="41" t="s">
        <v>3557</v>
      </c>
      <c r="K203" s="41">
        <v>16</v>
      </c>
      <c r="L203" s="41"/>
      <c r="M203" s="41" t="s">
        <v>344</v>
      </c>
      <c r="N203" s="41" t="s">
        <v>1694</v>
      </c>
      <c r="O203" s="43">
        <f t="shared" si="75"/>
        <v>474</v>
      </c>
      <c r="P203" s="43">
        <f t="shared" si="76"/>
        <v>411.12900000000002</v>
      </c>
      <c r="Q203" s="41" t="s">
        <v>829</v>
      </c>
      <c r="R203" s="48" t="str">
        <f t="shared" si="59"/>
        <v>(20,'PS-20-NK1','Poste de Sectionnement n°20 NK1','Tuesday-08-jj','Tuesday-08-jj',NULL,1,),</v>
      </c>
    </row>
    <row r="204" spans="1:18" ht="20.100000000000001" hidden="1" customHeight="1" x14ac:dyDescent="0.25">
      <c r="A204" s="38">
        <v>21</v>
      </c>
      <c r="B204" s="38" t="s">
        <v>344</v>
      </c>
      <c r="C204" s="38">
        <v>9</v>
      </c>
      <c r="D204" s="39" t="str">
        <f t="shared" si="73"/>
        <v>PS-21-NK1</v>
      </c>
      <c r="E204" s="48" t="str">
        <f t="shared" si="74"/>
        <v>Poste de Sectionnement n°21 NK1</v>
      </c>
      <c r="F204" s="19">
        <v>40029</v>
      </c>
      <c r="G204" s="19">
        <v>40029</v>
      </c>
      <c r="H204" s="41" t="s">
        <v>20</v>
      </c>
      <c r="I204" s="41">
        <v>1</v>
      </c>
      <c r="J204" s="41" t="s">
        <v>3557</v>
      </c>
      <c r="K204" s="41">
        <v>16</v>
      </c>
      <c r="L204" s="41"/>
      <c r="M204" s="41" t="s">
        <v>344</v>
      </c>
      <c r="N204" s="41" t="s">
        <v>1695</v>
      </c>
      <c r="O204" s="43">
        <f t="shared" si="75"/>
        <v>705</v>
      </c>
      <c r="P204" s="43">
        <f t="shared" si="76"/>
        <v>446.33699999999999</v>
      </c>
      <c r="Q204" s="41" t="s">
        <v>1679</v>
      </c>
      <c r="R204" s="48" t="str">
        <f t="shared" si="59"/>
        <v>(21,'PS-21-NK1','Poste de Sectionnement n°21 NK1','Tuesday-08-jj','Tuesday-08-jj',NULL,1,),</v>
      </c>
    </row>
    <row r="205" spans="1:18" ht="20.100000000000001" hidden="1" customHeight="1" x14ac:dyDescent="0.25">
      <c r="A205" s="38">
        <v>22</v>
      </c>
      <c r="B205" s="38" t="s">
        <v>344</v>
      </c>
      <c r="C205" s="38">
        <v>9</v>
      </c>
      <c r="D205" s="39" t="str">
        <f t="shared" si="73"/>
        <v>PS-22-NK1</v>
      </c>
      <c r="E205" s="48" t="str">
        <f t="shared" si="74"/>
        <v>Poste de Sectionnement n°22 NK1</v>
      </c>
      <c r="F205" s="19">
        <v>40029</v>
      </c>
      <c r="G205" s="19">
        <v>40029</v>
      </c>
      <c r="H205" s="41" t="s">
        <v>20</v>
      </c>
      <c r="I205" s="41">
        <v>1</v>
      </c>
      <c r="J205" s="41" t="s">
        <v>3557</v>
      </c>
      <c r="K205" s="41">
        <v>16</v>
      </c>
      <c r="L205" s="41"/>
      <c r="M205" s="41" t="s">
        <v>344</v>
      </c>
      <c r="N205" s="41" t="s">
        <v>1696</v>
      </c>
      <c r="O205" s="43">
        <f t="shared" si="75"/>
        <v>854</v>
      </c>
      <c r="P205" s="43">
        <f t="shared" si="76"/>
        <v>461.375</v>
      </c>
      <c r="Q205" s="41" t="s">
        <v>1680</v>
      </c>
      <c r="R205" s="48" t="str">
        <f t="shared" si="59"/>
        <v>(22,'PS-22-NK1','Poste de Sectionnement n°22 NK1','Tuesday-08-jj','Tuesday-08-jj',NULL,1,),</v>
      </c>
    </row>
    <row r="206" spans="1:18" ht="20.100000000000001" hidden="1" customHeight="1" x14ac:dyDescent="0.25">
      <c r="A206" s="38">
        <v>23</v>
      </c>
      <c r="B206" s="38" t="s">
        <v>344</v>
      </c>
      <c r="C206" s="38">
        <v>9</v>
      </c>
      <c r="D206" s="39" t="str">
        <f t="shared" si="73"/>
        <v>PS-23-NK1</v>
      </c>
      <c r="E206" s="48" t="str">
        <f t="shared" si="74"/>
        <v>Poste de Sectionnement n°23 NK1</v>
      </c>
      <c r="F206" s="19">
        <v>40029</v>
      </c>
      <c r="G206" s="19">
        <v>40029</v>
      </c>
      <c r="H206" s="41" t="s">
        <v>20</v>
      </c>
      <c r="I206" s="41">
        <v>1</v>
      </c>
      <c r="J206" s="41" t="s">
        <v>3557</v>
      </c>
      <c r="K206" s="41">
        <v>16</v>
      </c>
      <c r="L206" s="41"/>
      <c r="M206" s="41" t="s">
        <v>344</v>
      </c>
      <c r="N206" s="41" t="s">
        <v>1697</v>
      </c>
      <c r="O206" s="43">
        <f t="shared" si="75"/>
        <v>934</v>
      </c>
      <c r="P206" s="43">
        <f t="shared" si="76"/>
        <v>478.15</v>
      </c>
      <c r="Q206" s="41" t="s">
        <v>1681</v>
      </c>
      <c r="R206" s="48" t="str">
        <f t="shared" si="59"/>
        <v>(23,'PS-23-NK1','Poste de Sectionnement n°23 NK1','Tuesday-08-jj','Tuesday-08-jj',NULL,1,),</v>
      </c>
    </row>
    <row r="207" spans="1:18" ht="20.100000000000001" hidden="1" customHeight="1" x14ac:dyDescent="0.25">
      <c r="A207" s="38">
        <v>24</v>
      </c>
      <c r="B207" s="38" t="s">
        <v>344</v>
      </c>
      <c r="C207" s="38">
        <v>9</v>
      </c>
      <c r="D207" s="39" t="str">
        <f t="shared" si="73"/>
        <v>PS-24-NK1</v>
      </c>
      <c r="E207" s="48" t="str">
        <f t="shared" si="74"/>
        <v>Poste de Sectionnement n°24 NK1</v>
      </c>
      <c r="F207" s="19">
        <v>40029</v>
      </c>
      <c r="G207" s="19">
        <v>40029</v>
      </c>
      <c r="H207" s="41" t="s">
        <v>20</v>
      </c>
      <c r="I207" s="41">
        <v>1</v>
      </c>
      <c r="J207" s="41" t="s">
        <v>3557</v>
      </c>
      <c r="K207" s="41">
        <v>16</v>
      </c>
      <c r="L207" s="41"/>
      <c r="M207" s="41" t="s">
        <v>344</v>
      </c>
      <c r="N207" s="41" t="s">
        <v>1698</v>
      </c>
      <c r="O207" s="43">
        <f t="shared" si="75"/>
        <v>874</v>
      </c>
      <c r="P207" s="43">
        <f t="shared" si="76"/>
        <v>496.24099999999999</v>
      </c>
      <c r="Q207" s="41" t="s">
        <v>1682</v>
      </c>
      <c r="R207" s="48" t="str">
        <f t="shared" si="59"/>
        <v>(24,'PS-24-NK1','Poste de Sectionnement n°24 NK1','Tuesday-08-jj','Tuesday-08-jj',NULL,1,),</v>
      </c>
    </row>
    <row r="208" spans="1:18" ht="20.100000000000001" hidden="1" customHeight="1" x14ac:dyDescent="0.25">
      <c r="A208" s="38">
        <v>25</v>
      </c>
      <c r="B208" s="38" t="s">
        <v>344</v>
      </c>
      <c r="C208" s="38">
        <v>9</v>
      </c>
      <c r="D208" s="39" t="str">
        <f t="shared" si="73"/>
        <v>PS-25-NK1</v>
      </c>
      <c r="E208" s="48" t="str">
        <f t="shared" si="74"/>
        <v>Poste de Sectionnement n°25 NK1</v>
      </c>
      <c r="F208" s="19">
        <v>40029</v>
      </c>
      <c r="G208" s="19">
        <v>40029</v>
      </c>
      <c r="H208" s="41" t="s">
        <v>20</v>
      </c>
      <c r="I208" s="41">
        <v>1</v>
      </c>
      <c r="J208" s="41" t="s">
        <v>3557</v>
      </c>
      <c r="K208" s="41">
        <v>16</v>
      </c>
      <c r="L208" s="41"/>
      <c r="M208" s="41" t="s">
        <v>344</v>
      </c>
      <c r="N208" s="41" t="s">
        <v>1699</v>
      </c>
      <c r="O208" s="43">
        <f t="shared" si="75"/>
        <v>957</v>
      </c>
      <c r="P208" s="43">
        <f t="shared" si="76"/>
        <v>508.36399999999998</v>
      </c>
      <c r="Q208" s="41" t="s">
        <v>1683</v>
      </c>
      <c r="R208" s="48" t="str">
        <f t="shared" si="59"/>
        <v>(25,'PS-25-NK1','Poste de Sectionnement n°25 NK1','Tuesday-08-jj','Tuesday-08-jj',NULL,1,),</v>
      </c>
    </row>
    <row r="209" spans="1:18" ht="20.100000000000001" hidden="1" customHeight="1" x14ac:dyDescent="0.25">
      <c r="A209" s="38">
        <v>26</v>
      </c>
      <c r="B209" s="38" t="s">
        <v>344</v>
      </c>
      <c r="C209" s="38">
        <v>9</v>
      </c>
      <c r="D209" s="39" t="str">
        <f t="shared" si="73"/>
        <v>PS-26-NK1</v>
      </c>
      <c r="E209" s="48" t="str">
        <f t="shared" si="74"/>
        <v>Poste de Sectionnement n°26 NK1</v>
      </c>
      <c r="F209" s="19">
        <v>40029</v>
      </c>
      <c r="G209" s="19">
        <v>40029</v>
      </c>
      <c r="H209" s="41" t="s">
        <v>20</v>
      </c>
      <c r="I209" s="41">
        <v>1</v>
      </c>
      <c r="J209" s="41" t="s">
        <v>3557</v>
      </c>
      <c r="K209" s="41">
        <v>16</v>
      </c>
      <c r="L209" s="41"/>
      <c r="M209" s="41" t="s">
        <v>344</v>
      </c>
      <c r="N209" s="41" t="s">
        <v>1700</v>
      </c>
      <c r="O209" s="43">
        <f t="shared" si="75"/>
        <v>833</v>
      </c>
      <c r="P209" s="43">
        <f t="shared" si="76"/>
        <v>525.23900000000003</v>
      </c>
      <c r="Q209" s="41" t="s">
        <v>1684</v>
      </c>
      <c r="R209" s="48" t="str">
        <f t="shared" si="59"/>
        <v>(26,'PS-26-NK1','Poste de Sectionnement n°26 NK1','Tuesday-08-jj','Tuesday-08-jj',NULL,1,),</v>
      </c>
    </row>
    <row r="210" spans="1:18" ht="20.100000000000001" hidden="1" customHeight="1" x14ac:dyDescent="0.25">
      <c r="A210" s="38">
        <v>27</v>
      </c>
      <c r="B210" s="38" t="s">
        <v>344</v>
      </c>
      <c r="C210" s="38">
        <v>9</v>
      </c>
      <c r="D210" s="39" t="str">
        <f t="shared" si="73"/>
        <v>PS-27-NK1</v>
      </c>
      <c r="E210" s="48" t="str">
        <f t="shared" si="74"/>
        <v>Poste de Sectionnement n°27 NK1</v>
      </c>
      <c r="F210" s="19">
        <v>40029</v>
      </c>
      <c r="G210" s="19">
        <v>40029</v>
      </c>
      <c r="H210" s="41" t="s">
        <v>20</v>
      </c>
      <c r="I210" s="41">
        <v>1</v>
      </c>
      <c r="J210" s="41" t="s">
        <v>3557</v>
      </c>
      <c r="K210" s="41">
        <v>16</v>
      </c>
      <c r="L210" s="41"/>
      <c r="M210" s="41" t="s">
        <v>344</v>
      </c>
      <c r="N210" s="41" t="s">
        <v>1701</v>
      </c>
      <c r="O210" s="43">
        <f t="shared" si="75"/>
        <v>780</v>
      </c>
      <c r="P210" s="43">
        <f t="shared" si="76"/>
        <v>540.75300000000004</v>
      </c>
      <c r="Q210" s="41" t="s">
        <v>1685</v>
      </c>
      <c r="R210" s="48" t="str">
        <f t="shared" si="59"/>
        <v>(27,'PS-27-NK1','Poste de Sectionnement n°27 NK1','Tuesday-08-jj','Tuesday-08-jj',NULL,1,),</v>
      </c>
    </row>
    <row r="211" spans="1:18" ht="20.100000000000001" hidden="1" customHeight="1" x14ac:dyDescent="0.25">
      <c r="A211" s="38">
        <v>28</v>
      </c>
      <c r="B211" s="38" t="s">
        <v>344</v>
      </c>
      <c r="C211" s="38">
        <v>9</v>
      </c>
      <c r="D211" s="39" t="str">
        <f t="shared" si="73"/>
        <v>PS-28-NK1</v>
      </c>
      <c r="E211" s="48" t="str">
        <f t="shared" si="74"/>
        <v>Poste de Sectionnement n°28 NK1</v>
      </c>
      <c r="F211" s="19">
        <v>40029</v>
      </c>
      <c r="G211" s="19">
        <v>40029</v>
      </c>
      <c r="H211" s="41" t="s">
        <v>20</v>
      </c>
      <c r="I211" s="41">
        <v>1</v>
      </c>
      <c r="J211" s="41" t="s">
        <v>3557</v>
      </c>
      <c r="K211" s="41">
        <v>16</v>
      </c>
      <c r="L211" s="41"/>
      <c r="M211" s="41" t="s">
        <v>344</v>
      </c>
      <c r="N211" s="41" t="s">
        <v>1702</v>
      </c>
      <c r="O211" s="43">
        <f t="shared" si="75"/>
        <v>660</v>
      </c>
      <c r="P211" s="43">
        <f t="shared" si="76"/>
        <v>554.19299999999998</v>
      </c>
      <c r="Q211" s="41" t="s">
        <v>1686</v>
      </c>
      <c r="R211" s="48" t="str">
        <f t="shared" si="59"/>
        <v>(28,'PS-28-NK1','Poste de Sectionnement n°28 NK1','Tuesday-08-jj','Tuesday-08-jj',NULL,1,),</v>
      </c>
    </row>
    <row r="212" spans="1:18" ht="20.100000000000001" hidden="1" customHeight="1" x14ac:dyDescent="0.25">
      <c r="A212" s="38">
        <v>29</v>
      </c>
      <c r="B212" s="38" t="s">
        <v>344</v>
      </c>
      <c r="C212" s="38">
        <v>9</v>
      </c>
      <c r="D212" s="39" t="str">
        <f t="shared" si="73"/>
        <v>PS-29-NK1</v>
      </c>
      <c r="E212" s="48" t="str">
        <f t="shared" si="74"/>
        <v>Poste de Sectionnement n°29 NK1</v>
      </c>
      <c r="F212" s="19">
        <v>40029</v>
      </c>
      <c r="G212" s="19">
        <v>40029</v>
      </c>
      <c r="H212" s="41" t="s">
        <v>20</v>
      </c>
      <c r="I212" s="41">
        <v>1</v>
      </c>
      <c r="J212" s="41" t="s">
        <v>3557</v>
      </c>
      <c r="K212" s="41">
        <v>16</v>
      </c>
      <c r="L212" s="41"/>
      <c r="M212" s="41" t="s">
        <v>344</v>
      </c>
      <c r="N212" s="41" t="s">
        <v>1703</v>
      </c>
      <c r="O212" s="43">
        <f t="shared" si="75"/>
        <v>770</v>
      </c>
      <c r="P212" s="43">
        <f t="shared" si="76"/>
        <v>568.76099999999997</v>
      </c>
      <c r="Q212" s="41" t="s">
        <v>1687</v>
      </c>
      <c r="R212" s="48" t="str">
        <f t="shared" si="59"/>
        <v>(29,'PS-29-NK1','Poste de Sectionnement n°29 NK1','Tuesday-08-jj','Tuesday-08-jj',NULL,1,),</v>
      </c>
    </row>
    <row r="213" spans="1:18" ht="20.100000000000001" hidden="1" customHeight="1" x14ac:dyDescent="0.25">
      <c r="A213" s="38">
        <v>30</v>
      </c>
      <c r="B213" s="38" t="s">
        <v>344</v>
      </c>
      <c r="C213" s="38">
        <v>9</v>
      </c>
      <c r="D213" s="39" t="str">
        <f t="shared" si="73"/>
        <v>PS-30-NK1</v>
      </c>
      <c r="E213" s="48" t="str">
        <f t="shared" si="74"/>
        <v>Poste de Sectionnement n°30 NK1</v>
      </c>
      <c r="F213" s="19">
        <v>40029</v>
      </c>
      <c r="G213" s="19">
        <v>40029</v>
      </c>
      <c r="H213" s="41" t="s">
        <v>20</v>
      </c>
      <c r="I213" s="41">
        <v>1</v>
      </c>
      <c r="J213" s="41" t="s">
        <v>3557</v>
      </c>
      <c r="K213" s="41">
        <v>16</v>
      </c>
      <c r="L213" s="41"/>
      <c r="M213" s="41" t="s">
        <v>344</v>
      </c>
      <c r="N213" s="41" t="s">
        <v>1704</v>
      </c>
      <c r="O213" s="43">
        <f t="shared" si="75"/>
        <v>432</v>
      </c>
      <c r="P213" s="43">
        <f t="shared" si="76"/>
        <v>576.08000000000004</v>
      </c>
      <c r="Q213" s="41" t="s">
        <v>835</v>
      </c>
      <c r="R213" s="48" t="str">
        <f t="shared" ref="R213:R276" si="77">CONCATENATE("(",A213,",'",D213,"','",E213,"','",TEXT(F213,"aaaa-mm-jj"),"','",TEXT(G213,"aaaa-mm-jj"),"',",H213,",",I213,",",L213,"),")</f>
        <v>(30,'PS-30-NK1','Poste de Sectionnement n°30 NK1','Tuesday-08-jj','Tuesday-08-jj',NULL,1,),</v>
      </c>
    </row>
    <row r="214" spans="1:18" ht="20.100000000000001" hidden="1" customHeight="1" x14ac:dyDescent="0.25">
      <c r="A214" s="38">
        <v>31</v>
      </c>
      <c r="B214" s="38" t="s">
        <v>344</v>
      </c>
      <c r="C214" s="38">
        <v>9</v>
      </c>
      <c r="D214" s="39" t="str">
        <f t="shared" si="73"/>
        <v>PS-31-NK1</v>
      </c>
      <c r="E214" s="48" t="str">
        <f t="shared" si="74"/>
        <v>Poste de Sectionnement n°31 NK1</v>
      </c>
      <c r="F214" s="19">
        <v>40029</v>
      </c>
      <c r="G214" s="19">
        <v>40029</v>
      </c>
      <c r="H214" s="41" t="s">
        <v>20</v>
      </c>
      <c r="I214" s="41">
        <v>1</v>
      </c>
      <c r="J214" s="41" t="s">
        <v>3557</v>
      </c>
      <c r="K214" s="41">
        <v>16</v>
      </c>
      <c r="L214" s="41"/>
      <c r="M214" s="41" t="s">
        <v>344</v>
      </c>
      <c r="N214" s="41" t="s">
        <v>1705</v>
      </c>
      <c r="O214" s="43">
        <f t="shared" si="75"/>
        <v>594</v>
      </c>
      <c r="P214" s="43">
        <f t="shared" si="76"/>
        <v>588.96</v>
      </c>
      <c r="Q214" s="41" t="s">
        <v>1688</v>
      </c>
      <c r="R214" s="48" t="str">
        <f t="shared" si="77"/>
        <v>(31,'PS-31-NK1','Poste de Sectionnement n°31 NK1','Tuesday-08-jj','Tuesday-08-jj',NULL,1,),</v>
      </c>
    </row>
    <row r="215" spans="1:18" ht="20.100000000000001" hidden="1" customHeight="1" x14ac:dyDescent="0.25">
      <c r="A215" s="38">
        <v>32</v>
      </c>
      <c r="B215" s="38" t="s">
        <v>344</v>
      </c>
      <c r="C215" s="38">
        <v>9</v>
      </c>
      <c r="D215" s="39" t="str">
        <f t="shared" si="73"/>
        <v>PS-32-NK1</v>
      </c>
      <c r="E215" s="48" t="str">
        <f t="shared" si="74"/>
        <v>Poste de Sectionnement n°32 NK1</v>
      </c>
      <c r="F215" s="19">
        <v>40029</v>
      </c>
      <c r="G215" s="19">
        <v>40029</v>
      </c>
      <c r="H215" s="41" t="s">
        <v>20</v>
      </c>
      <c r="I215" s="41">
        <v>1</v>
      </c>
      <c r="J215" s="41" t="s">
        <v>3557</v>
      </c>
      <c r="K215" s="41">
        <v>16</v>
      </c>
      <c r="L215" s="41"/>
      <c r="M215" s="41" t="s">
        <v>344</v>
      </c>
      <c r="N215" s="41" t="s">
        <v>1706</v>
      </c>
      <c r="O215" s="43">
        <f t="shared" si="75"/>
        <v>568</v>
      </c>
      <c r="P215" s="43">
        <f t="shared" si="76"/>
        <v>599.88800000000003</v>
      </c>
      <c r="Q215" s="41" t="s">
        <v>1689</v>
      </c>
      <c r="R215" s="48" t="str">
        <f t="shared" si="77"/>
        <v>(32,'PS-32-NK1','Poste de Sectionnement n°32 NK1','Tuesday-08-jj','Tuesday-08-jj',NULL,1,),</v>
      </c>
    </row>
    <row r="216" spans="1:18" ht="20.100000000000001" hidden="1" customHeight="1" x14ac:dyDescent="0.25">
      <c r="A216" s="38">
        <v>33</v>
      </c>
      <c r="B216" s="38" t="s">
        <v>344</v>
      </c>
      <c r="C216" s="38">
        <v>9</v>
      </c>
      <c r="D216" s="39" t="str">
        <f t="shared" si="73"/>
        <v>PS-33-NK1</v>
      </c>
      <c r="E216" s="48" t="str">
        <f t="shared" si="74"/>
        <v>Poste de Sectionnement n°33 NK1</v>
      </c>
      <c r="F216" s="19">
        <v>40029</v>
      </c>
      <c r="G216" s="19">
        <v>40029</v>
      </c>
      <c r="H216" s="41" t="s">
        <v>20</v>
      </c>
      <c r="I216" s="41">
        <v>1</v>
      </c>
      <c r="J216" s="41" t="s">
        <v>3557</v>
      </c>
      <c r="K216" s="41">
        <v>16</v>
      </c>
      <c r="L216" s="41"/>
      <c r="M216" s="41" t="s">
        <v>344</v>
      </c>
      <c r="N216" s="41" t="s">
        <v>1707</v>
      </c>
      <c r="O216" s="43">
        <f t="shared" si="75"/>
        <v>172</v>
      </c>
      <c r="P216" s="43">
        <f t="shared" si="76"/>
        <v>614.43499999999995</v>
      </c>
      <c r="Q216" s="41" t="s">
        <v>1690</v>
      </c>
      <c r="R216" s="48" t="str">
        <f t="shared" si="77"/>
        <v>(33,'PS-33-NK1','Poste de Sectionnement n°33 NK1','Tuesday-08-jj','Tuesday-08-jj',NULL,1,),</v>
      </c>
    </row>
    <row r="217" spans="1:18" ht="20.100000000000001" hidden="1" customHeight="1" x14ac:dyDescent="0.25">
      <c r="A217" s="38">
        <v>34</v>
      </c>
      <c r="B217" s="38" t="s">
        <v>344</v>
      </c>
      <c r="C217" s="38">
        <v>9</v>
      </c>
      <c r="D217" s="39" t="str">
        <f t="shared" si="73"/>
        <v>PS-34-NK1</v>
      </c>
      <c r="E217" s="48" t="str">
        <f t="shared" si="74"/>
        <v>Poste de Sectionnement n°34 NK1</v>
      </c>
      <c r="F217" s="19">
        <v>40029</v>
      </c>
      <c r="G217" s="19">
        <v>40029</v>
      </c>
      <c r="H217" s="41" t="s">
        <v>20</v>
      </c>
      <c r="I217" s="41">
        <v>1</v>
      </c>
      <c r="J217" s="41" t="s">
        <v>3557</v>
      </c>
      <c r="K217" s="41">
        <v>16</v>
      </c>
      <c r="L217" s="41"/>
      <c r="M217" s="41" t="s">
        <v>344</v>
      </c>
      <c r="N217" s="41" t="s">
        <v>1708</v>
      </c>
      <c r="O217" s="43">
        <f t="shared" si="75"/>
        <v>149</v>
      </c>
      <c r="P217" s="43">
        <f t="shared" si="76"/>
        <v>623.41700000000003</v>
      </c>
      <c r="Q217" s="41" t="s">
        <v>1691</v>
      </c>
      <c r="R217" s="48" t="str">
        <f t="shared" si="77"/>
        <v>(34,'PS-34-NK1','Poste de Sectionnement n°34 NK1','Tuesday-08-jj','Tuesday-08-jj',NULL,1,),</v>
      </c>
    </row>
    <row r="218" spans="1:18" ht="20.100000000000001" hidden="1" customHeight="1" x14ac:dyDescent="0.25">
      <c r="A218" s="38">
        <v>35</v>
      </c>
      <c r="B218" s="38" t="s">
        <v>344</v>
      </c>
      <c r="C218" s="38">
        <v>9</v>
      </c>
      <c r="D218" s="39" t="str">
        <f t="shared" si="73"/>
        <v>PS-35-NK1</v>
      </c>
      <c r="E218" s="48" t="str">
        <f t="shared" si="74"/>
        <v>Poste de Sectionnement n°35 NK1</v>
      </c>
      <c r="F218" s="19">
        <v>40029</v>
      </c>
      <c r="G218" s="19">
        <v>40029</v>
      </c>
      <c r="H218" s="41" t="s">
        <v>20</v>
      </c>
      <c r="I218" s="41">
        <v>1</v>
      </c>
      <c r="J218" s="41" t="s">
        <v>3557</v>
      </c>
      <c r="K218" s="41">
        <v>16</v>
      </c>
      <c r="L218" s="41"/>
      <c r="M218" s="41" t="s">
        <v>344</v>
      </c>
      <c r="N218" s="41" t="s">
        <v>1709</v>
      </c>
      <c r="O218" s="43">
        <f t="shared" si="75"/>
        <v>60</v>
      </c>
      <c r="P218" s="43">
        <f t="shared" si="76"/>
        <v>633.08500000000004</v>
      </c>
      <c r="Q218" s="41" t="s">
        <v>1692</v>
      </c>
      <c r="R218" s="48" t="str">
        <f t="shared" si="77"/>
        <v>(35,'PS-35-NK1','Poste de Sectionnement n°35 NK1','Tuesday-08-jj','Tuesday-08-jj',NULL,1,),</v>
      </c>
    </row>
    <row r="219" spans="1:18" ht="20.100000000000001" hidden="1" customHeight="1" x14ac:dyDescent="0.25">
      <c r="A219" s="38">
        <v>36</v>
      </c>
      <c r="B219" s="38" t="s">
        <v>344</v>
      </c>
      <c r="C219" s="38">
        <v>9</v>
      </c>
      <c r="D219" s="39" t="str">
        <f t="shared" si="73"/>
        <v>PS-36-NK1</v>
      </c>
      <c r="E219" s="48" t="str">
        <f t="shared" si="74"/>
        <v>Poste de Sectionnement n°36 NK1</v>
      </c>
      <c r="F219" s="19">
        <v>40029</v>
      </c>
      <c r="G219" s="19">
        <v>40029</v>
      </c>
      <c r="H219" s="41" t="s">
        <v>20</v>
      </c>
      <c r="I219" s="41">
        <v>1</v>
      </c>
      <c r="J219" s="41" t="s">
        <v>3557</v>
      </c>
      <c r="K219" s="41">
        <v>16</v>
      </c>
      <c r="L219" s="41"/>
      <c r="M219" s="41" t="s">
        <v>344</v>
      </c>
      <c r="N219" s="41" t="s">
        <v>1710</v>
      </c>
      <c r="O219" s="43">
        <f t="shared" si="75"/>
        <v>30</v>
      </c>
      <c r="P219" s="43">
        <f t="shared" si="76"/>
        <v>641.44399999999996</v>
      </c>
      <c r="Q219" s="41" t="s">
        <v>838</v>
      </c>
      <c r="R219" s="48" t="str">
        <f t="shared" si="77"/>
        <v>(36,'PS-36-NK1','Poste de Sectionnement n°36 NK1','Tuesday-08-jj','Tuesday-08-jj',NULL,1,),</v>
      </c>
    </row>
    <row r="220" spans="1:18" ht="20.100000000000001" hidden="1" customHeight="1" x14ac:dyDescent="0.25">
      <c r="A220" s="38">
        <v>1</v>
      </c>
      <c r="B220" s="38" t="s">
        <v>347</v>
      </c>
      <c r="C220" s="38">
        <v>10</v>
      </c>
      <c r="D220" s="39" t="str">
        <f t="shared" si="73"/>
        <v>PS-01-NH2</v>
      </c>
      <c r="E220" s="48" t="str">
        <f t="shared" si="74"/>
        <v>Poste de Sectionnement n°01 NH2</v>
      </c>
      <c r="F220" s="19">
        <v>30317</v>
      </c>
      <c r="G220" s="19">
        <v>30317</v>
      </c>
      <c r="H220" s="41" t="s">
        <v>20</v>
      </c>
      <c r="I220" s="41">
        <v>1</v>
      </c>
      <c r="J220" s="41" t="s">
        <v>3557</v>
      </c>
      <c r="K220" s="41">
        <v>16</v>
      </c>
      <c r="L220" s="41"/>
      <c r="M220" s="41" t="s">
        <v>347</v>
      </c>
      <c r="N220" s="41" t="s">
        <v>1711</v>
      </c>
      <c r="O220" s="43">
        <f t="shared" ref="O220:O229" si="78">VALUE(RIGHT(N220,LEN(N220)-SEARCH("/",N220)))</f>
        <v>637</v>
      </c>
      <c r="P220" s="43">
        <f t="shared" ref="P220:P229" si="79">VALUE(SUBSTITUTE(LEFT(N220,SEARCH("/",N220)-1),"+",","))</f>
        <v>27</v>
      </c>
      <c r="Q220" s="41" t="s">
        <v>1721</v>
      </c>
      <c r="R220" s="48" t="str">
        <f t="shared" si="77"/>
        <v>(1,'PS-01-NH2','Poste de Sectionnement n°01 NH2','Saturday-01-jj','Saturday-01-jj',NULL,1,),</v>
      </c>
    </row>
    <row r="221" spans="1:18" ht="20.100000000000001" hidden="1" customHeight="1" x14ac:dyDescent="0.25">
      <c r="A221" s="38">
        <v>2</v>
      </c>
      <c r="B221" s="38" t="s">
        <v>347</v>
      </c>
      <c r="C221" s="38">
        <v>10</v>
      </c>
      <c r="D221" s="39" t="str">
        <f t="shared" si="73"/>
        <v>PS-02-NH2</v>
      </c>
      <c r="E221" s="48" t="str">
        <f t="shared" si="74"/>
        <v>Poste de Sectionnement n°02 NH2</v>
      </c>
      <c r="F221" s="19">
        <v>30317</v>
      </c>
      <c r="G221" s="19">
        <v>30317</v>
      </c>
      <c r="H221" s="41" t="s">
        <v>20</v>
      </c>
      <c r="I221" s="41">
        <v>1</v>
      </c>
      <c r="J221" s="41" t="s">
        <v>3557</v>
      </c>
      <c r="K221" s="41">
        <v>16</v>
      </c>
      <c r="L221" s="41"/>
      <c r="M221" s="41" t="s">
        <v>347</v>
      </c>
      <c r="N221" s="41" t="s">
        <v>1712</v>
      </c>
      <c r="O221" s="43">
        <f t="shared" si="78"/>
        <v>515</v>
      </c>
      <c r="P221" s="43">
        <f t="shared" si="79"/>
        <v>40</v>
      </c>
      <c r="Q221" s="41" t="s">
        <v>1721</v>
      </c>
      <c r="R221" s="48" t="str">
        <f t="shared" si="77"/>
        <v>(2,'PS-02-NH2','Poste de Sectionnement n°02 NH2','Saturday-01-jj','Saturday-01-jj',NULL,1,),</v>
      </c>
    </row>
    <row r="222" spans="1:18" ht="20.100000000000001" hidden="1" customHeight="1" x14ac:dyDescent="0.25">
      <c r="A222" s="38">
        <v>3</v>
      </c>
      <c r="B222" s="38" t="s">
        <v>347</v>
      </c>
      <c r="C222" s="38">
        <v>10</v>
      </c>
      <c r="D222" s="39" t="str">
        <f t="shared" si="73"/>
        <v>PS-03-NH2</v>
      </c>
      <c r="E222" s="48" t="str">
        <f t="shared" si="74"/>
        <v>Poste de Sectionnement n°03 NH2</v>
      </c>
      <c r="F222" s="19">
        <v>30317</v>
      </c>
      <c r="G222" s="19">
        <v>30317</v>
      </c>
      <c r="H222" s="41" t="s">
        <v>20</v>
      </c>
      <c r="I222" s="41">
        <v>1</v>
      </c>
      <c r="J222" s="41" t="s">
        <v>3557</v>
      </c>
      <c r="K222" s="41">
        <v>16</v>
      </c>
      <c r="L222" s="41"/>
      <c r="M222" s="41" t="s">
        <v>347</v>
      </c>
      <c r="N222" s="41" t="s">
        <v>1713</v>
      </c>
      <c r="O222" s="43">
        <f t="shared" si="78"/>
        <v>438</v>
      </c>
      <c r="P222" s="43">
        <f t="shared" si="79"/>
        <v>78</v>
      </c>
      <c r="Q222" s="41" t="s">
        <v>1722</v>
      </c>
      <c r="R222" s="48" t="str">
        <f t="shared" si="77"/>
        <v>(3,'PS-03-NH2','Poste de Sectionnement n°03 NH2','Saturday-01-jj','Saturday-01-jj',NULL,1,),</v>
      </c>
    </row>
    <row r="223" spans="1:18" ht="20.100000000000001" hidden="1" customHeight="1" x14ac:dyDescent="0.25">
      <c r="A223" s="38">
        <v>4</v>
      </c>
      <c r="B223" s="38" t="s">
        <v>347</v>
      </c>
      <c r="C223" s="38">
        <v>10</v>
      </c>
      <c r="D223" s="39" t="str">
        <f t="shared" si="73"/>
        <v>PS-04-NH2</v>
      </c>
      <c r="E223" s="48" t="str">
        <f t="shared" si="74"/>
        <v>Poste de Sectionnement n°04 NH2</v>
      </c>
      <c r="F223" s="19">
        <v>30317</v>
      </c>
      <c r="G223" s="19">
        <v>30317</v>
      </c>
      <c r="H223" s="41" t="s">
        <v>20</v>
      </c>
      <c r="I223" s="41">
        <v>1</v>
      </c>
      <c r="J223" s="41" t="s">
        <v>3557</v>
      </c>
      <c r="K223" s="41">
        <v>16</v>
      </c>
      <c r="L223" s="41"/>
      <c r="M223" s="41" t="s">
        <v>347</v>
      </c>
      <c r="N223" s="41" t="s">
        <v>1714</v>
      </c>
      <c r="O223" s="43">
        <f t="shared" si="78"/>
        <v>373</v>
      </c>
      <c r="P223" s="43">
        <f t="shared" si="79"/>
        <v>117.3</v>
      </c>
      <c r="Q223" s="41" t="s">
        <v>1722</v>
      </c>
      <c r="R223" s="48" t="str">
        <f t="shared" si="77"/>
        <v>(4,'PS-04-NH2','Poste de Sectionnement n°04 NH2','Saturday-01-jj','Saturday-01-jj',NULL,1,),</v>
      </c>
    </row>
    <row r="224" spans="1:18" ht="20.100000000000001" hidden="1" customHeight="1" x14ac:dyDescent="0.25">
      <c r="A224" s="38">
        <v>5</v>
      </c>
      <c r="B224" s="38" t="s">
        <v>347</v>
      </c>
      <c r="C224" s="38">
        <v>10</v>
      </c>
      <c r="D224" s="39" t="str">
        <f t="shared" ref="D224:D231" si="80">CONCATENATE("PS-",TEXT(A224,"00"),"-",M224)</f>
        <v>PS-05-NH2</v>
      </c>
      <c r="E224" s="48" t="str">
        <f t="shared" ref="E224:E231" si="81">CONCATENATE("Poste de Sectionnement n°",TEXT(A224,"00")," ",M224)</f>
        <v>Poste de Sectionnement n°05 NH2</v>
      </c>
      <c r="F224" s="19">
        <v>30317</v>
      </c>
      <c r="G224" s="19">
        <v>30317</v>
      </c>
      <c r="H224" s="41" t="s">
        <v>20</v>
      </c>
      <c r="I224" s="41">
        <v>1</v>
      </c>
      <c r="J224" s="41" t="s">
        <v>3557</v>
      </c>
      <c r="K224" s="41">
        <v>16</v>
      </c>
      <c r="L224" s="41"/>
      <c r="M224" s="41" t="s">
        <v>347</v>
      </c>
      <c r="N224" s="41" t="s">
        <v>1715</v>
      </c>
      <c r="O224" s="43">
        <f t="shared" si="78"/>
        <v>273</v>
      </c>
      <c r="P224" s="43">
        <f t="shared" si="79"/>
        <v>201.6</v>
      </c>
      <c r="Q224" s="41" t="s">
        <v>1722</v>
      </c>
      <c r="R224" s="48" t="str">
        <f t="shared" si="77"/>
        <v>(5,'PS-05-NH2','Poste de Sectionnement n°05 NH2','Saturday-01-jj','Saturday-01-jj',NULL,1,),</v>
      </c>
    </row>
    <row r="225" spans="1:18" ht="20.100000000000001" hidden="1" customHeight="1" x14ac:dyDescent="0.25">
      <c r="A225" s="38">
        <v>6</v>
      </c>
      <c r="B225" s="38" t="s">
        <v>347</v>
      </c>
      <c r="C225" s="38">
        <v>10</v>
      </c>
      <c r="D225" s="39" t="str">
        <f t="shared" si="80"/>
        <v>PS-06-NH2</v>
      </c>
      <c r="E225" s="48" t="str">
        <f t="shared" si="81"/>
        <v>Poste de Sectionnement n°06 NH2</v>
      </c>
      <c r="F225" s="19">
        <v>30317</v>
      </c>
      <c r="G225" s="19">
        <v>30317</v>
      </c>
      <c r="H225" s="41" t="s">
        <v>20</v>
      </c>
      <c r="I225" s="41">
        <v>1</v>
      </c>
      <c r="J225" s="41" t="s">
        <v>3557</v>
      </c>
      <c r="K225" s="41">
        <v>16</v>
      </c>
      <c r="L225" s="41"/>
      <c r="M225" s="41" t="s">
        <v>347</v>
      </c>
      <c r="N225" s="41" t="s">
        <v>1716</v>
      </c>
      <c r="O225" s="43">
        <f t="shared" si="78"/>
        <v>242</v>
      </c>
      <c r="P225" s="43">
        <f t="shared" si="79"/>
        <v>255.3</v>
      </c>
      <c r="Q225" s="41" t="s">
        <v>1722</v>
      </c>
      <c r="R225" s="48" t="str">
        <f t="shared" si="77"/>
        <v>(6,'PS-06-NH2','Poste de Sectionnement n°06 NH2','Saturday-01-jj','Saturday-01-jj',NULL,1,),</v>
      </c>
    </row>
    <row r="226" spans="1:18" ht="20.100000000000001" hidden="1" customHeight="1" x14ac:dyDescent="0.25">
      <c r="A226" s="38">
        <v>7</v>
      </c>
      <c r="B226" s="38" t="s">
        <v>347</v>
      </c>
      <c r="C226" s="38">
        <v>10</v>
      </c>
      <c r="D226" s="39" t="str">
        <f t="shared" si="80"/>
        <v>PS-07-NH2</v>
      </c>
      <c r="E226" s="48" t="str">
        <f t="shared" si="81"/>
        <v>Poste de Sectionnement n°07 NH2</v>
      </c>
      <c r="F226" s="19">
        <v>30317</v>
      </c>
      <c r="G226" s="19">
        <v>30317</v>
      </c>
      <c r="H226" s="41" t="s">
        <v>20</v>
      </c>
      <c r="I226" s="41">
        <v>1</v>
      </c>
      <c r="J226" s="41" t="s">
        <v>3557</v>
      </c>
      <c r="K226" s="41">
        <v>16</v>
      </c>
      <c r="L226" s="41"/>
      <c r="M226" s="41" t="s">
        <v>347</v>
      </c>
      <c r="N226" s="41" t="s">
        <v>1717</v>
      </c>
      <c r="O226" s="43">
        <f t="shared" si="78"/>
        <v>226</v>
      </c>
      <c r="P226" s="43">
        <f t="shared" si="79"/>
        <v>293.60000000000002</v>
      </c>
      <c r="Q226" s="41" t="s">
        <v>1722</v>
      </c>
      <c r="R226" s="48" t="str">
        <f t="shared" si="77"/>
        <v>(7,'PS-07-NH2','Poste de Sectionnement n°07 NH2','Saturday-01-jj','Saturday-01-jj',NULL,1,),</v>
      </c>
    </row>
    <row r="227" spans="1:18" ht="20.100000000000001" hidden="1" customHeight="1" x14ac:dyDescent="0.25">
      <c r="A227" s="38">
        <v>8</v>
      </c>
      <c r="B227" s="38" t="s">
        <v>347</v>
      </c>
      <c r="C227" s="38">
        <v>10</v>
      </c>
      <c r="D227" s="39" t="str">
        <f t="shared" si="80"/>
        <v>PS-08-NH2</v>
      </c>
      <c r="E227" s="48" t="str">
        <f t="shared" si="81"/>
        <v>Poste de Sectionnement n°08 NH2</v>
      </c>
      <c r="F227" s="19">
        <v>30317</v>
      </c>
      <c r="G227" s="19">
        <v>30317</v>
      </c>
      <c r="H227" s="41" t="s">
        <v>20</v>
      </c>
      <c r="I227" s="41">
        <v>1</v>
      </c>
      <c r="J227" s="41" t="s">
        <v>3557</v>
      </c>
      <c r="K227" s="41">
        <v>16</v>
      </c>
      <c r="L227" s="41"/>
      <c r="M227" s="41" t="s">
        <v>347</v>
      </c>
      <c r="N227" s="41" t="s">
        <v>1718</v>
      </c>
      <c r="O227" s="43">
        <f t="shared" si="78"/>
        <v>183</v>
      </c>
      <c r="P227" s="43">
        <f t="shared" si="79"/>
        <v>386</v>
      </c>
      <c r="Q227" s="41" t="s">
        <v>998</v>
      </c>
      <c r="R227" s="48" t="str">
        <f t="shared" si="77"/>
        <v>(8,'PS-08-NH2','Poste de Sectionnement n°08 NH2','Saturday-01-jj','Saturday-01-jj',NULL,1,),</v>
      </c>
    </row>
    <row r="228" spans="1:18" ht="20.100000000000001" hidden="1" customHeight="1" x14ac:dyDescent="0.25">
      <c r="A228" s="38">
        <v>9</v>
      </c>
      <c r="B228" s="38" t="s">
        <v>347</v>
      </c>
      <c r="C228" s="38">
        <v>10</v>
      </c>
      <c r="D228" s="39" t="str">
        <f t="shared" si="80"/>
        <v>PS-09-NH2</v>
      </c>
      <c r="E228" s="48" t="str">
        <f t="shared" si="81"/>
        <v>Poste de Sectionnement n°09 NH2</v>
      </c>
      <c r="F228" s="19">
        <v>30317</v>
      </c>
      <c r="G228" s="19">
        <v>30317</v>
      </c>
      <c r="H228" s="41" t="s">
        <v>20</v>
      </c>
      <c r="I228" s="41">
        <v>1</v>
      </c>
      <c r="J228" s="41" t="s">
        <v>3557</v>
      </c>
      <c r="K228" s="41">
        <v>16</v>
      </c>
      <c r="L228" s="41"/>
      <c r="M228" s="41" t="s">
        <v>347</v>
      </c>
      <c r="N228" s="41" t="s">
        <v>1719</v>
      </c>
      <c r="O228" s="43">
        <f t="shared" si="78"/>
        <v>159</v>
      </c>
      <c r="P228" s="43">
        <f t="shared" si="79"/>
        <v>435.1</v>
      </c>
      <c r="Q228" s="41" t="s">
        <v>998</v>
      </c>
      <c r="R228" s="48" t="str">
        <f t="shared" si="77"/>
        <v>(9,'PS-09-NH2','Poste de Sectionnement n°09 NH2','Saturday-01-jj','Saturday-01-jj',NULL,1,),</v>
      </c>
    </row>
    <row r="229" spans="1:18" ht="20.100000000000001" hidden="1" customHeight="1" x14ac:dyDescent="0.25">
      <c r="A229" s="38">
        <v>10</v>
      </c>
      <c r="B229" s="38" t="s">
        <v>347</v>
      </c>
      <c r="C229" s="38">
        <v>10</v>
      </c>
      <c r="D229" s="39" t="str">
        <f t="shared" si="80"/>
        <v>PS-10-NH2</v>
      </c>
      <c r="E229" s="48" t="str">
        <f t="shared" si="81"/>
        <v>Poste de Sectionnement n°10 NH2</v>
      </c>
      <c r="F229" s="19">
        <v>30317</v>
      </c>
      <c r="G229" s="19">
        <v>30317</v>
      </c>
      <c r="H229" s="41" t="s">
        <v>20</v>
      </c>
      <c r="I229" s="41">
        <v>1</v>
      </c>
      <c r="J229" s="41" t="s">
        <v>3557</v>
      </c>
      <c r="K229" s="41">
        <v>16</v>
      </c>
      <c r="L229" s="41"/>
      <c r="M229" s="41" t="s">
        <v>347</v>
      </c>
      <c r="N229" s="41" t="s">
        <v>1720</v>
      </c>
      <c r="O229" s="43">
        <f t="shared" si="78"/>
        <v>145</v>
      </c>
      <c r="P229" s="43">
        <f t="shared" si="79"/>
        <v>475.1</v>
      </c>
      <c r="Q229" s="41" t="s">
        <v>998</v>
      </c>
      <c r="R229" s="48" t="str">
        <f t="shared" si="77"/>
        <v>(10,'PS-10-NH2','Poste de Sectionnement n°10 NH2','Saturday-01-jj','Saturday-01-jj',NULL,1,),</v>
      </c>
    </row>
    <row r="230" spans="1:18" ht="20.100000000000001" hidden="1" customHeight="1" x14ac:dyDescent="0.25">
      <c r="A230" s="38">
        <v>1</v>
      </c>
      <c r="B230" s="38" t="s">
        <v>607</v>
      </c>
      <c r="C230" s="38">
        <v>11</v>
      </c>
      <c r="D230" s="39" t="str">
        <f t="shared" si="80"/>
        <v>PS-01-LZ1</v>
      </c>
      <c r="E230" s="48" t="str">
        <f t="shared" si="81"/>
        <v>Poste de Sectionnement n°01 LZ1</v>
      </c>
      <c r="F230" s="19">
        <v>30720</v>
      </c>
      <c r="G230" s="19">
        <v>30720</v>
      </c>
      <c r="H230" s="41" t="s">
        <v>20</v>
      </c>
      <c r="I230" s="41">
        <v>1</v>
      </c>
      <c r="J230" s="41" t="s">
        <v>3557</v>
      </c>
      <c r="K230" s="41">
        <v>16</v>
      </c>
      <c r="L230" s="41"/>
      <c r="M230" s="41" t="s">
        <v>352</v>
      </c>
      <c r="N230" s="41" t="s">
        <v>1723</v>
      </c>
      <c r="O230" s="43">
        <f t="shared" ref="O230:O246" si="82">VALUE(RIGHT(N230,LEN(N230)-SEARCH("/",N230)))</f>
        <v>800</v>
      </c>
      <c r="P230" s="43">
        <f t="shared" ref="P230:P246" si="83">VALUE(SUBSTITUTE(LEFT(N230,SEARCH("/",N230)-1),"+",","))</f>
        <v>33.4</v>
      </c>
      <c r="Q230" s="41" t="s">
        <v>790</v>
      </c>
      <c r="R230" s="48" t="str">
        <f t="shared" si="77"/>
        <v>(1,'PS-01-LZ1','Poste de Sectionnement n°01 LZ1','Wednesday-02-jj','Wednesday-02-jj',NULL,1,),</v>
      </c>
    </row>
    <row r="231" spans="1:18" ht="20.100000000000001" hidden="1" customHeight="1" x14ac:dyDescent="0.25">
      <c r="A231" s="38">
        <v>2</v>
      </c>
      <c r="B231" s="38" t="s">
        <v>607</v>
      </c>
      <c r="C231" s="38">
        <v>11</v>
      </c>
      <c r="D231" s="39" t="str">
        <f t="shared" si="80"/>
        <v>PS-02-LZ1</v>
      </c>
      <c r="E231" s="48" t="str">
        <f t="shared" si="81"/>
        <v>Poste de Sectionnement n°02 LZ1</v>
      </c>
      <c r="F231" s="19">
        <v>30720</v>
      </c>
      <c r="G231" s="19">
        <v>30720</v>
      </c>
      <c r="H231" s="41" t="s">
        <v>20</v>
      </c>
      <c r="I231" s="41">
        <v>1</v>
      </c>
      <c r="J231" s="41" t="s">
        <v>3557</v>
      </c>
      <c r="K231" s="41">
        <v>16</v>
      </c>
      <c r="L231" s="41"/>
      <c r="M231" s="41" t="s">
        <v>352</v>
      </c>
      <c r="N231" s="41" t="s">
        <v>1724</v>
      </c>
      <c r="O231" s="43">
        <f t="shared" si="82"/>
        <v>920</v>
      </c>
      <c r="P231" s="43">
        <f t="shared" si="83"/>
        <v>66.8</v>
      </c>
      <c r="Q231" s="41" t="s">
        <v>1740</v>
      </c>
      <c r="R231" s="48" t="str">
        <f t="shared" si="77"/>
        <v>(2,'PS-02-LZ1','Poste de Sectionnement n°02 LZ1','Wednesday-02-jj','Wednesday-02-jj',NULL,1,),</v>
      </c>
    </row>
    <row r="232" spans="1:18" ht="20.100000000000001" hidden="1" customHeight="1" x14ac:dyDescent="0.25">
      <c r="A232" s="38">
        <v>3</v>
      </c>
      <c r="B232" s="38" t="s">
        <v>607</v>
      </c>
      <c r="C232" s="38">
        <v>11</v>
      </c>
      <c r="D232" s="39" t="str">
        <f t="shared" ref="D232:D263" si="84">CONCATENATE("PS-",TEXT(A232,"00"),"-",M232)</f>
        <v>PS-03-LZ1</v>
      </c>
      <c r="E232" s="48" t="str">
        <f t="shared" ref="E232:E263" si="85">CONCATENATE("Poste de Sectionnement n°",TEXT(A232,"00")," ",M232)</f>
        <v>Poste de Sectionnement n°03 LZ1</v>
      </c>
      <c r="F232" s="19">
        <v>30720</v>
      </c>
      <c r="G232" s="19">
        <v>30720</v>
      </c>
      <c r="H232" s="41" t="s">
        <v>20</v>
      </c>
      <c r="I232" s="41">
        <v>1</v>
      </c>
      <c r="J232" s="41" t="s">
        <v>3557</v>
      </c>
      <c r="K232" s="41">
        <v>16</v>
      </c>
      <c r="L232" s="41"/>
      <c r="M232" s="41" t="s">
        <v>352</v>
      </c>
      <c r="N232" s="41" t="s">
        <v>1725</v>
      </c>
      <c r="O232" s="43">
        <f t="shared" si="82"/>
        <v>820</v>
      </c>
      <c r="P232" s="43">
        <f t="shared" si="83"/>
        <v>91.3</v>
      </c>
      <c r="Q232" s="41" t="s">
        <v>1740</v>
      </c>
      <c r="R232" s="48" t="str">
        <f t="shared" si="77"/>
        <v>(3,'PS-03-LZ1','Poste de Sectionnement n°03 LZ1','Wednesday-02-jj','Wednesday-02-jj',NULL,1,),</v>
      </c>
    </row>
    <row r="233" spans="1:18" ht="20.100000000000001" hidden="1" customHeight="1" x14ac:dyDescent="0.25">
      <c r="A233" s="38">
        <v>4</v>
      </c>
      <c r="B233" s="38" t="s">
        <v>607</v>
      </c>
      <c r="C233" s="38">
        <v>11</v>
      </c>
      <c r="D233" s="39" t="str">
        <f t="shared" si="84"/>
        <v>PS-04-LZ1</v>
      </c>
      <c r="E233" s="48" t="str">
        <f t="shared" si="85"/>
        <v>Poste de Sectionnement n°04 LZ1</v>
      </c>
      <c r="F233" s="19">
        <v>30720</v>
      </c>
      <c r="G233" s="19">
        <v>30720</v>
      </c>
      <c r="H233" s="41" t="s">
        <v>20</v>
      </c>
      <c r="I233" s="41">
        <v>1</v>
      </c>
      <c r="J233" s="41" t="s">
        <v>3557</v>
      </c>
      <c r="K233" s="41">
        <v>16</v>
      </c>
      <c r="L233" s="41"/>
      <c r="M233" s="41" t="s">
        <v>352</v>
      </c>
      <c r="N233" s="41" t="s">
        <v>1726</v>
      </c>
      <c r="O233" s="43">
        <f t="shared" si="82"/>
        <v>1250</v>
      </c>
      <c r="P233" s="43">
        <f t="shared" si="83"/>
        <v>153.5</v>
      </c>
      <c r="Q233" s="41" t="s">
        <v>1741</v>
      </c>
      <c r="R233" s="48" t="str">
        <f t="shared" si="77"/>
        <v>(4,'PS-04-LZ1','Poste de Sectionnement n°04 LZ1','Wednesday-02-jj','Wednesday-02-jj',NULL,1,),</v>
      </c>
    </row>
    <row r="234" spans="1:18" ht="20.100000000000001" hidden="1" customHeight="1" x14ac:dyDescent="0.25">
      <c r="A234" s="38">
        <v>5</v>
      </c>
      <c r="B234" s="38" t="s">
        <v>607</v>
      </c>
      <c r="C234" s="38">
        <v>11</v>
      </c>
      <c r="D234" s="39" t="str">
        <f t="shared" si="84"/>
        <v>PS-05-LZ1</v>
      </c>
      <c r="E234" s="48" t="str">
        <f t="shared" si="85"/>
        <v>Poste de Sectionnement n°05 LZ1</v>
      </c>
      <c r="F234" s="19">
        <v>30720</v>
      </c>
      <c r="G234" s="19">
        <v>30720</v>
      </c>
      <c r="H234" s="41" t="s">
        <v>20</v>
      </c>
      <c r="I234" s="41">
        <v>1</v>
      </c>
      <c r="J234" s="41" t="s">
        <v>3557</v>
      </c>
      <c r="K234" s="41">
        <v>16</v>
      </c>
      <c r="L234" s="41"/>
      <c r="M234" s="41" t="s">
        <v>352</v>
      </c>
      <c r="N234" s="41" t="s">
        <v>1727</v>
      </c>
      <c r="O234" s="43">
        <f t="shared" si="82"/>
        <v>1000</v>
      </c>
      <c r="P234" s="43">
        <f t="shared" si="83"/>
        <v>189</v>
      </c>
      <c r="Q234" s="41" t="s">
        <v>1742</v>
      </c>
      <c r="R234" s="48" t="str">
        <f t="shared" si="77"/>
        <v>(5,'PS-05-LZ1','Poste de Sectionnement n°05 LZ1','Wednesday-02-jj','Wednesday-02-jj',NULL,1,),</v>
      </c>
    </row>
    <row r="235" spans="1:18" ht="20.100000000000001" hidden="1" customHeight="1" x14ac:dyDescent="0.25">
      <c r="A235" s="38">
        <v>6</v>
      </c>
      <c r="B235" s="38" t="s">
        <v>607</v>
      </c>
      <c r="C235" s="38">
        <v>11</v>
      </c>
      <c r="D235" s="39" t="str">
        <f t="shared" si="84"/>
        <v>PS-06-LZ1</v>
      </c>
      <c r="E235" s="48" t="str">
        <f t="shared" si="85"/>
        <v>Poste de Sectionnement n°06 LZ1</v>
      </c>
      <c r="F235" s="19">
        <v>30720</v>
      </c>
      <c r="G235" s="19">
        <v>30720</v>
      </c>
      <c r="H235" s="41" t="s">
        <v>20</v>
      </c>
      <c r="I235" s="41">
        <v>1</v>
      </c>
      <c r="J235" s="41" t="s">
        <v>3557</v>
      </c>
      <c r="K235" s="41">
        <v>16</v>
      </c>
      <c r="L235" s="41"/>
      <c r="M235" s="41" t="s">
        <v>352</v>
      </c>
      <c r="N235" s="41" t="s">
        <v>1728</v>
      </c>
      <c r="O235" s="43">
        <f t="shared" si="82"/>
        <v>920</v>
      </c>
      <c r="P235" s="43">
        <f t="shared" si="83"/>
        <v>219</v>
      </c>
      <c r="Q235" s="41" t="s">
        <v>751</v>
      </c>
      <c r="R235" s="48" t="str">
        <f t="shared" si="77"/>
        <v>(6,'PS-06-LZ1','Poste de Sectionnement n°06 LZ1','Wednesday-02-jj','Wednesday-02-jj',NULL,1,),</v>
      </c>
    </row>
    <row r="236" spans="1:18" ht="20.100000000000001" hidden="1" customHeight="1" x14ac:dyDescent="0.25">
      <c r="A236" s="38">
        <v>7</v>
      </c>
      <c r="B236" s="38" t="s">
        <v>607</v>
      </c>
      <c r="C236" s="38">
        <v>11</v>
      </c>
      <c r="D236" s="39" t="str">
        <f t="shared" si="84"/>
        <v>PS-07-LZ1</v>
      </c>
      <c r="E236" s="48" t="str">
        <f t="shared" si="85"/>
        <v>Poste de Sectionnement n°07 LZ1</v>
      </c>
      <c r="F236" s="19">
        <v>30720</v>
      </c>
      <c r="G236" s="19">
        <v>30720</v>
      </c>
      <c r="H236" s="41" t="s">
        <v>20</v>
      </c>
      <c r="I236" s="41">
        <v>1</v>
      </c>
      <c r="J236" s="41" t="s">
        <v>3557</v>
      </c>
      <c r="K236" s="41">
        <v>16</v>
      </c>
      <c r="L236" s="41"/>
      <c r="M236" s="41" t="s">
        <v>352</v>
      </c>
      <c r="N236" s="41" t="s">
        <v>1729</v>
      </c>
      <c r="O236" s="43">
        <f t="shared" si="82"/>
        <v>1100</v>
      </c>
      <c r="P236" s="43">
        <f t="shared" si="83"/>
        <v>249</v>
      </c>
      <c r="Q236" s="41" t="s">
        <v>751</v>
      </c>
      <c r="R236" s="48" t="str">
        <f t="shared" si="77"/>
        <v>(7,'PS-07-LZ1','Poste de Sectionnement n°07 LZ1','Wednesday-02-jj','Wednesday-02-jj',NULL,1,),</v>
      </c>
    </row>
    <row r="237" spans="1:18" ht="20.100000000000001" hidden="1" customHeight="1" x14ac:dyDescent="0.25">
      <c r="A237" s="38">
        <v>8</v>
      </c>
      <c r="B237" s="38" t="s">
        <v>607</v>
      </c>
      <c r="C237" s="38">
        <v>11</v>
      </c>
      <c r="D237" s="39" t="str">
        <f t="shared" si="84"/>
        <v>PS-08-LZ1</v>
      </c>
      <c r="E237" s="48" t="str">
        <f t="shared" si="85"/>
        <v>Poste de Sectionnement n°08 LZ1</v>
      </c>
      <c r="F237" s="19">
        <v>30720</v>
      </c>
      <c r="G237" s="19">
        <v>30720</v>
      </c>
      <c r="H237" s="41" t="s">
        <v>20</v>
      </c>
      <c r="I237" s="41">
        <v>1</v>
      </c>
      <c r="J237" s="41" t="s">
        <v>3557</v>
      </c>
      <c r="K237" s="41">
        <v>16</v>
      </c>
      <c r="L237" s="41"/>
      <c r="M237" s="41" t="s">
        <v>352</v>
      </c>
      <c r="N237" s="41" t="s">
        <v>1730</v>
      </c>
      <c r="O237" s="43">
        <f t="shared" si="82"/>
        <v>1250</v>
      </c>
      <c r="P237" s="43">
        <f t="shared" si="83"/>
        <v>281</v>
      </c>
      <c r="Q237" s="41" t="s">
        <v>1743</v>
      </c>
      <c r="R237" s="48" t="str">
        <f t="shared" si="77"/>
        <v>(8,'PS-08-LZ1','Poste de Sectionnement n°08 LZ1','Wednesday-02-jj','Wednesday-02-jj',NULL,1,),</v>
      </c>
    </row>
    <row r="238" spans="1:18" ht="20.100000000000001" hidden="1" customHeight="1" x14ac:dyDescent="0.25">
      <c r="A238" s="38">
        <v>9</v>
      </c>
      <c r="B238" s="38" t="s">
        <v>607</v>
      </c>
      <c r="C238" s="38">
        <v>11</v>
      </c>
      <c r="D238" s="39" t="str">
        <f t="shared" si="84"/>
        <v>PS-09-LZ1</v>
      </c>
      <c r="E238" s="48" t="str">
        <f t="shared" si="85"/>
        <v>Poste de Sectionnement n°09 LZ1</v>
      </c>
      <c r="F238" s="19">
        <v>30720</v>
      </c>
      <c r="G238" s="19">
        <v>30720</v>
      </c>
      <c r="H238" s="41" t="s">
        <v>20</v>
      </c>
      <c r="I238" s="41">
        <v>1</v>
      </c>
      <c r="J238" s="41" t="s">
        <v>3557</v>
      </c>
      <c r="K238" s="41">
        <v>16</v>
      </c>
      <c r="L238" s="41"/>
      <c r="M238" s="41" t="s">
        <v>352</v>
      </c>
      <c r="N238" s="41" t="s">
        <v>1731</v>
      </c>
      <c r="O238" s="43">
        <f t="shared" si="82"/>
        <v>1000</v>
      </c>
      <c r="P238" s="43">
        <f t="shared" si="83"/>
        <v>329</v>
      </c>
      <c r="Q238" s="41" t="s">
        <v>1744</v>
      </c>
      <c r="R238" s="48" t="str">
        <f t="shared" si="77"/>
        <v>(9,'PS-09-LZ1','Poste de Sectionnement n°09 LZ1','Wednesday-02-jj','Wednesday-02-jj',NULL,1,),</v>
      </c>
    </row>
    <row r="239" spans="1:18" ht="20.100000000000001" hidden="1" customHeight="1" x14ac:dyDescent="0.25">
      <c r="A239" s="38">
        <v>10</v>
      </c>
      <c r="B239" s="38" t="s">
        <v>607</v>
      </c>
      <c r="C239" s="38">
        <v>11</v>
      </c>
      <c r="D239" s="39" t="str">
        <f t="shared" si="84"/>
        <v>PS-10-LZ1</v>
      </c>
      <c r="E239" s="48" t="str">
        <f t="shared" si="85"/>
        <v>Poste de Sectionnement n°10 LZ1</v>
      </c>
      <c r="F239" s="19">
        <v>30720</v>
      </c>
      <c r="G239" s="19">
        <v>30720</v>
      </c>
      <c r="H239" s="41" t="s">
        <v>20</v>
      </c>
      <c r="I239" s="41">
        <v>1</v>
      </c>
      <c r="J239" s="41" t="s">
        <v>3557</v>
      </c>
      <c r="K239" s="41">
        <v>16</v>
      </c>
      <c r="L239" s="41"/>
      <c r="M239" s="41" t="s">
        <v>352</v>
      </c>
      <c r="N239" s="41" t="s">
        <v>1732</v>
      </c>
      <c r="O239" s="43">
        <f t="shared" si="82"/>
        <v>480</v>
      </c>
      <c r="P239" s="43">
        <f t="shared" si="83"/>
        <v>349.4</v>
      </c>
      <c r="Q239" s="41" t="s">
        <v>754</v>
      </c>
      <c r="R239" s="48" t="str">
        <f t="shared" si="77"/>
        <v>(10,'PS-10-LZ1','Poste de Sectionnement n°10 LZ1','Wednesday-02-jj','Wednesday-02-jj',NULL,1,),</v>
      </c>
    </row>
    <row r="240" spans="1:18" ht="20.100000000000001" hidden="1" customHeight="1" x14ac:dyDescent="0.25">
      <c r="A240" s="38">
        <v>11</v>
      </c>
      <c r="B240" s="38" t="s">
        <v>607</v>
      </c>
      <c r="C240" s="38">
        <v>11</v>
      </c>
      <c r="D240" s="39" t="str">
        <f t="shared" si="84"/>
        <v>PS-11-LZ1</v>
      </c>
      <c r="E240" s="48" t="str">
        <f t="shared" si="85"/>
        <v>Poste de Sectionnement n°11 LZ1</v>
      </c>
      <c r="F240" s="19">
        <v>30720</v>
      </c>
      <c r="G240" s="19">
        <v>30720</v>
      </c>
      <c r="H240" s="41" t="s">
        <v>20</v>
      </c>
      <c r="I240" s="41">
        <v>1</v>
      </c>
      <c r="J240" s="41" t="s">
        <v>3557</v>
      </c>
      <c r="K240" s="41">
        <v>16</v>
      </c>
      <c r="L240" s="41"/>
      <c r="M240" s="41" t="s">
        <v>352</v>
      </c>
      <c r="N240" s="41" t="s">
        <v>1733</v>
      </c>
      <c r="O240" s="43">
        <f t="shared" si="82"/>
        <v>550</v>
      </c>
      <c r="P240" s="43">
        <f t="shared" si="83"/>
        <v>372.8</v>
      </c>
      <c r="Q240" s="41" t="s">
        <v>755</v>
      </c>
      <c r="R240" s="48" t="str">
        <f t="shared" si="77"/>
        <v>(11,'PS-11-LZ1','Poste de Sectionnement n°11 LZ1','Wednesday-02-jj','Wednesday-02-jj',NULL,1,),</v>
      </c>
    </row>
    <row r="241" spans="1:18" ht="20.100000000000001" hidden="1" customHeight="1" x14ac:dyDescent="0.25">
      <c r="A241" s="38">
        <v>12</v>
      </c>
      <c r="B241" s="38" t="s">
        <v>607</v>
      </c>
      <c r="C241" s="38">
        <v>11</v>
      </c>
      <c r="D241" s="39" t="str">
        <f t="shared" si="84"/>
        <v>PS-12-LZ1</v>
      </c>
      <c r="E241" s="48" t="str">
        <f t="shared" si="85"/>
        <v>Poste de Sectionnement n°12 LZ1</v>
      </c>
      <c r="F241" s="19">
        <v>30720</v>
      </c>
      <c r="G241" s="19">
        <v>30720</v>
      </c>
      <c r="H241" s="41" t="s">
        <v>20</v>
      </c>
      <c r="I241" s="41">
        <v>1</v>
      </c>
      <c r="J241" s="41" t="s">
        <v>3557</v>
      </c>
      <c r="K241" s="41">
        <v>16</v>
      </c>
      <c r="L241" s="41"/>
      <c r="M241" s="41" t="s">
        <v>352</v>
      </c>
      <c r="N241" s="41" t="s">
        <v>1734</v>
      </c>
      <c r="O241" s="43">
        <f t="shared" si="82"/>
        <v>510</v>
      </c>
      <c r="P241" s="43">
        <f t="shared" si="83"/>
        <v>388</v>
      </c>
      <c r="Q241" s="41" t="s">
        <v>1745</v>
      </c>
      <c r="R241" s="48" t="str">
        <f t="shared" si="77"/>
        <v>(12,'PS-12-LZ1','Poste de Sectionnement n°12 LZ1','Wednesday-02-jj','Wednesday-02-jj',NULL,1,),</v>
      </c>
    </row>
    <row r="242" spans="1:18" ht="20.100000000000001" hidden="1" customHeight="1" x14ac:dyDescent="0.25">
      <c r="A242" s="38">
        <v>13</v>
      </c>
      <c r="B242" s="38" t="s">
        <v>607</v>
      </c>
      <c r="C242" s="38">
        <v>11</v>
      </c>
      <c r="D242" s="39" t="str">
        <f t="shared" si="84"/>
        <v>PS-13-LZ1</v>
      </c>
      <c r="E242" s="48" t="str">
        <f t="shared" si="85"/>
        <v>Poste de Sectionnement n°13 LZ1</v>
      </c>
      <c r="F242" s="19">
        <v>30720</v>
      </c>
      <c r="G242" s="19">
        <v>30720</v>
      </c>
      <c r="H242" s="41" t="s">
        <v>20</v>
      </c>
      <c r="I242" s="41">
        <v>1</v>
      </c>
      <c r="J242" s="41" t="s">
        <v>3557</v>
      </c>
      <c r="K242" s="41">
        <v>16</v>
      </c>
      <c r="L242" s="41"/>
      <c r="M242" s="41" t="s">
        <v>352</v>
      </c>
      <c r="N242" s="41" t="s">
        <v>1735</v>
      </c>
      <c r="O242" s="43">
        <f t="shared" si="82"/>
        <v>180</v>
      </c>
      <c r="P242" s="43">
        <f t="shared" si="83"/>
        <v>412.2</v>
      </c>
      <c r="Q242" s="41" t="s">
        <v>1746</v>
      </c>
      <c r="R242" s="48" t="str">
        <f t="shared" si="77"/>
        <v>(13,'PS-13-LZ1','Poste de Sectionnement n°13 LZ1','Wednesday-02-jj','Wednesday-02-jj',NULL,1,),</v>
      </c>
    </row>
    <row r="243" spans="1:18" ht="20.100000000000001" hidden="1" customHeight="1" x14ac:dyDescent="0.25">
      <c r="A243" s="38">
        <v>14</v>
      </c>
      <c r="B243" s="38" t="s">
        <v>607</v>
      </c>
      <c r="C243" s="38">
        <v>11</v>
      </c>
      <c r="D243" s="39" t="str">
        <f t="shared" si="84"/>
        <v>PS-14-LZ1</v>
      </c>
      <c r="E243" s="48" t="str">
        <f t="shared" si="85"/>
        <v>Poste de Sectionnement n°14 LZ1</v>
      </c>
      <c r="F243" s="19">
        <v>30720</v>
      </c>
      <c r="G243" s="19">
        <v>30720</v>
      </c>
      <c r="H243" s="41" t="s">
        <v>20</v>
      </c>
      <c r="I243" s="41">
        <v>1</v>
      </c>
      <c r="J243" s="41" t="s">
        <v>3557</v>
      </c>
      <c r="K243" s="41">
        <v>16</v>
      </c>
      <c r="L243" s="41"/>
      <c r="M243" s="41" t="s">
        <v>352</v>
      </c>
      <c r="N243" s="41" t="s">
        <v>1736</v>
      </c>
      <c r="O243" s="43">
        <f t="shared" si="82"/>
        <v>110</v>
      </c>
      <c r="P243" s="43">
        <f t="shared" si="83"/>
        <v>436.3</v>
      </c>
      <c r="Q243" s="41" t="s">
        <v>1747</v>
      </c>
      <c r="R243" s="48" t="str">
        <f t="shared" si="77"/>
        <v>(14,'PS-14-LZ1','Poste de Sectionnement n°14 LZ1','Wednesday-02-jj','Wednesday-02-jj',NULL,1,),</v>
      </c>
    </row>
    <row r="244" spans="1:18" ht="20.100000000000001" hidden="1" customHeight="1" x14ac:dyDescent="0.25">
      <c r="A244" s="38">
        <v>15</v>
      </c>
      <c r="B244" s="38" t="s">
        <v>607</v>
      </c>
      <c r="C244" s="38">
        <v>11</v>
      </c>
      <c r="D244" s="39" t="str">
        <f t="shared" si="84"/>
        <v>PS-15-LZ1</v>
      </c>
      <c r="E244" s="48" t="str">
        <f t="shared" si="85"/>
        <v>Poste de Sectionnement n°15 LZ1</v>
      </c>
      <c r="F244" s="19">
        <v>30720</v>
      </c>
      <c r="G244" s="19">
        <v>30720</v>
      </c>
      <c r="H244" s="41" t="s">
        <v>20</v>
      </c>
      <c r="I244" s="41">
        <v>1</v>
      </c>
      <c r="J244" s="41" t="s">
        <v>3557</v>
      </c>
      <c r="K244" s="41">
        <v>16</v>
      </c>
      <c r="L244" s="41"/>
      <c r="M244" s="41" t="s">
        <v>352</v>
      </c>
      <c r="N244" s="41" t="s">
        <v>1737</v>
      </c>
      <c r="O244" s="43">
        <f t="shared" si="82"/>
        <v>107</v>
      </c>
      <c r="P244" s="43">
        <f t="shared" si="83"/>
        <v>451.4</v>
      </c>
      <c r="Q244" s="41" t="s">
        <v>1748</v>
      </c>
      <c r="R244" s="48" t="str">
        <f t="shared" si="77"/>
        <v>(15,'PS-15-LZ1','Poste de Sectionnement n°15 LZ1','Wednesday-02-jj','Wednesday-02-jj',NULL,1,),</v>
      </c>
    </row>
    <row r="245" spans="1:18" ht="20.100000000000001" hidden="1" customHeight="1" x14ac:dyDescent="0.25">
      <c r="A245" s="38">
        <v>16</v>
      </c>
      <c r="B245" s="38" t="s">
        <v>607</v>
      </c>
      <c r="C245" s="38">
        <v>11</v>
      </c>
      <c r="D245" s="39" t="str">
        <f t="shared" si="84"/>
        <v>PS-16-LZ1</v>
      </c>
      <c r="E245" s="48" t="str">
        <f t="shared" si="85"/>
        <v>Poste de Sectionnement n°16 LZ1</v>
      </c>
      <c r="F245" s="19">
        <v>30720</v>
      </c>
      <c r="G245" s="19">
        <v>30720</v>
      </c>
      <c r="H245" s="41" t="s">
        <v>20</v>
      </c>
      <c r="I245" s="41">
        <v>1</v>
      </c>
      <c r="J245" s="41" t="s">
        <v>3557</v>
      </c>
      <c r="K245" s="41">
        <v>16</v>
      </c>
      <c r="L245" s="41"/>
      <c r="M245" s="41" t="s">
        <v>352</v>
      </c>
      <c r="N245" s="41" t="s">
        <v>1738</v>
      </c>
      <c r="O245" s="43">
        <f t="shared" si="82"/>
        <v>30</v>
      </c>
      <c r="P245" s="43">
        <f t="shared" si="83"/>
        <v>474.3</v>
      </c>
      <c r="Q245" s="41" t="s">
        <v>1749</v>
      </c>
      <c r="R245" s="48" t="str">
        <f t="shared" si="77"/>
        <v>(16,'PS-16-LZ1','Poste de Sectionnement n°16 LZ1','Wednesday-02-jj','Wednesday-02-jj',NULL,1,),</v>
      </c>
    </row>
    <row r="246" spans="1:18" ht="20.100000000000001" hidden="1" customHeight="1" x14ac:dyDescent="0.25">
      <c r="A246" s="38">
        <v>17</v>
      </c>
      <c r="B246" s="38" t="s">
        <v>607</v>
      </c>
      <c r="C246" s="38">
        <v>11</v>
      </c>
      <c r="D246" s="39" t="str">
        <f t="shared" si="84"/>
        <v>PS-17-LZ1</v>
      </c>
      <c r="E246" s="48" t="str">
        <f t="shared" si="85"/>
        <v>Poste de Sectionnement n°17 LZ1</v>
      </c>
      <c r="F246" s="19">
        <v>30720</v>
      </c>
      <c r="G246" s="19">
        <v>30720</v>
      </c>
      <c r="H246" s="41" t="s">
        <v>20</v>
      </c>
      <c r="I246" s="41">
        <v>1</v>
      </c>
      <c r="J246" s="41" t="s">
        <v>3557</v>
      </c>
      <c r="K246" s="41">
        <v>16</v>
      </c>
      <c r="L246" s="41"/>
      <c r="M246" s="41" t="s">
        <v>352</v>
      </c>
      <c r="N246" s="41" t="s">
        <v>1739</v>
      </c>
      <c r="O246" s="43">
        <f t="shared" si="82"/>
        <v>160</v>
      </c>
      <c r="P246" s="43">
        <f t="shared" si="83"/>
        <v>492.7</v>
      </c>
      <c r="Q246" s="41" t="s">
        <v>1750</v>
      </c>
      <c r="R246" s="48" t="str">
        <f t="shared" si="77"/>
        <v>(17,'PS-17-LZ1','Poste de Sectionnement n°17 LZ1','Wednesday-02-jj','Wednesday-02-jj',NULL,1,),</v>
      </c>
    </row>
    <row r="247" spans="1:18" ht="20.100000000000001" hidden="1" customHeight="1" x14ac:dyDescent="0.25">
      <c r="A247" s="38">
        <v>1</v>
      </c>
      <c r="B247" s="38" t="s">
        <v>607</v>
      </c>
      <c r="C247" s="38">
        <v>11</v>
      </c>
      <c r="D247" s="39" t="str">
        <f t="shared" si="84"/>
        <v>PS-01-LZ2</v>
      </c>
      <c r="E247" s="48" t="str">
        <f t="shared" si="85"/>
        <v>Poste de Sectionnement n°01 LZ2</v>
      </c>
      <c r="F247" s="19">
        <v>40179</v>
      </c>
      <c r="G247" s="19">
        <v>40179</v>
      </c>
      <c r="H247" s="41" t="s">
        <v>20</v>
      </c>
      <c r="I247" s="41">
        <v>1</v>
      </c>
      <c r="J247" s="41" t="s">
        <v>3557</v>
      </c>
      <c r="K247" s="41">
        <v>16</v>
      </c>
      <c r="L247" s="41"/>
      <c r="M247" s="41" t="s">
        <v>355</v>
      </c>
      <c r="N247" s="41" t="s">
        <v>1751</v>
      </c>
      <c r="O247" s="43">
        <f t="shared" ref="O247:O277" si="86">VALUE(RIGHT(N247,LEN(N247)-SEARCH("/",N247)))</f>
        <v>760</v>
      </c>
      <c r="P247" s="43">
        <f t="shared" ref="P247:P277" si="87">VALUE(SUBSTITUTE(LEFT(N247,SEARCH("/",N247)-1),"+",","))</f>
        <v>20.983000000000001</v>
      </c>
      <c r="Q247" s="41" t="s">
        <v>1782</v>
      </c>
      <c r="R247" s="48" t="str">
        <f t="shared" si="77"/>
        <v>(1,'PS-01-LZ2','Poste de Sectionnement n°01 LZ2','Friday-01-jj','Friday-01-jj',NULL,1,),</v>
      </c>
    </row>
    <row r="248" spans="1:18" ht="20.100000000000001" hidden="1" customHeight="1" x14ac:dyDescent="0.25">
      <c r="A248" s="38">
        <v>2</v>
      </c>
      <c r="B248" s="38" t="s">
        <v>607</v>
      </c>
      <c r="C248" s="38">
        <v>11</v>
      </c>
      <c r="D248" s="39" t="str">
        <f t="shared" si="84"/>
        <v>PS-02-LZ2</v>
      </c>
      <c r="E248" s="48" t="str">
        <f t="shared" si="85"/>
        <v>Poste de Sectionnement n°02 LZ2</v>
      </c>
      <c r="F248" s="19">
        <v>40179</v>
      </c>
      <c r="G248" s="19">
        <v>40179</v>
      </c>
      <c r="H248" s="41" t="s">
        <v>20</v>
      </c>
      <c r="I248" s="41">
        <v>1</v>
      </c>
      <c r="J248" s="41" t="s">
        <v>3557</v>
      </c>
      <c r="K248" s="41">
        <v>16</v>
      </c>
      <c r="L248" s="41"/>
      <c r="M248" s="41" t="s">
        <v>355</v>
      </c>
      <c r="N248" s="41" t="s">
        <v>1752</v>
      </c>
      <c r="O248" s="43">
        <f t="shared" si="86"/>
        <v>824</v>
      </c>
      <c r="P248" s="43">
        <f t="shared" si="87"/>
        <v>41.247</v>
      </c>
      <c r="Q248" s="41" t="s">
        <v>1782</v>
      </c>
      <c r="R248" s="48" t="str">
        <f t="shared" si="77"/>
        <v>(2,'PS-02-LZ2','Poste de Sectionnement n°02 LZ2','Friday-01-jj','Friday-01-jj',NULL,1,),</v>
      </c>
    </row>
    <row r="249" spans="1:18" ht="20.100000000000001" hidden="1" customHeight="1" x14ac:dyDescent="0.25">
      <c r="A249" s="38">
        <v>3</v>
      </c>
      <c r="B249" s="38" t="s">
        <v>607</v>
      </c>
      <c r="C249" s="38">
        <v>11</v>
      </c>
      <c r="D249" s="39" t="str">
        <f t="shared" si="84"/>
        <v>PS-03-LZ2</v>
      </c>
      <c r="E249" s="48" t="str">
        <f t="shared" si="85"/>
        <v>Poste de Sectionnement n°03 LZ2</v>
      </c>
      <c r="F249" s="19">
        <v>40179</v>
      </c>
      <c r="G249" s="19">
        <v>40179</v>
      </c>
      <c r="H249" s="41" t="s">
        <v>20</v>
      </c>
      <c r="I249" s="41">
        <v>1</v>
      </c>
      <c r="J249" s="41" t="s">
        <v>3557</v>
      </c>
      <c r="K249" s="41">
        <v>16</v>
      </c>
      <c r="L249" s="41"/>
      <c r="M249" s="41" t="s">
        <v>355</v>
      </c>
      <c r="N249" s="41" t="s">
        <v>1753</v>
      </c>
      <c r="O249" s="43">
        <f t="shared" si="86"/>
        <v>875</v>
      </c>
      <c r="P249" s="43">
        <f t="shared" si="87"/>
        <v>60.603999999999999</v>
      </c>
      <c r="Q249" s="41" t="s">
        <v>1740</v>
      </c>
      <c r="R249" s="48" t="str">
        <f t="shared" si="77"/>
        <v>(3,'PS-03-LZ2','Poste de Sectionnement n°03 LZ2','Friday-01-jj','Friday-01-jj',NULL,1,),</v>
      </c>
    </row>
    <row r="250" spans="1:18" ht="20.100000000000001" hidden="1" customHeight="1" x14ac:dyDescent="0.25">
      <c r="A250" s="38">
        <v>4</v>
      </c>
      <c r="B250" s="38" t="s">
        <v>607</v>
      </c>
      <c r="C250" s="38">
        <v>11</v>
      </c>
      <c r="D250" s="39" t="str">
        <f t="shared" si="84"/>
        <v>PS-04-LZ2</v>
      </c>
      <c r="E250" s="48" t="str">
        <f t="shared" si="85"/>
        <v>Poste de Sectionnement n°04 LZ2</v>
      </c>
      <c r="F250" s="19">
        <v>40179</v>
      </c>
      <c r="G250" s="19">
        <v>40179</v>
      </c>
      <c r="H250" s="41" t="s">
        <v>20</v>
      </c>
      <c r="I250" s="41">
        <v>1</v>
      </c>
      <c r="J250" s="41" t="s">
        <v>3557</v>
      </c>
      <c r="K250" s="41">
        <v>16</v>
      </c>
      <c r="L250" s="41"/>
      <c r="M250" s="41" t="s">
        <v>355</v>
      </c>
      <c r="N250" s="41" t="s">
        <v>1754</v>
      </c>
      <c r="O250" s="43">
        <f t="shared" si="86"/>
        <v>800</v>
      </c>
      <c r="P250" s="43">
        <f t="shared" si="87"/>
        <v>80.141000000000005</v>
      </c>
      <c r="Q250" s="41" t="s">
        <v>1740</v>
      </c>
      <c r="R250" s="48" t="str">
        <f t="shared" si="77"/>
        <v>(4,'PS-04-LZ2','Poste de Sectionnement n°04 LZ2','Friday-01-jj','Friday-01-jj',NULL,1,),</v>
      </c>
    </row>
    <row r="251" spans="1:18" ht="20.100000000000001" hidden="1" customHeight="1" x14ac:dyDescent="0.25">
      <c r="A251" s="38">
        <v>5</v>
      </c>
      <c r="B251" s="38" t="s">
        <v>607</v>
      </c>
      <c r="C251" s="38">
        <v>11</v>
      </c>
      <c r="D251" s="39" t="str">
        <f t="shared" si="84"/>
        <v>PS-05-LZ2</v>
      </c>
      <c r="E251" s="48" t="str">
        <f t="shared" si="85"/>
        <v>Poste de Sectionnement n°05 LZ2</v>
      </c>
      <c r="F251" s="19">
        <v>40179</v>
      </c>
      <c r="G251" s="19">
        <v>40179</v>
      </c>
      <c r="H251" s="41" t="s">
        <v>20</v>
      </c>
      <c r="I251" s="41">
        <v>1</v>
      </c>
      <c r="J251" s="41" t="s">
        <v>3557</v>
      </c>
      <c r="K251" s="41">
        <v>16</v>
      </c>
      <c r="L251" s="41"/>
      <c r="M251" s="41" t="s">
        <v>355</v>
      </c>
      <c r="N251" s="41" t="s">
        <v>1755</v>
      </c>
      <c r="O251" s="43">
        <f t="shared" si="86"/>
        <v>795</v>
      </c>
      <c r="P251" s="43">
        <f t="shared" si="87"/>
        <v>97.957999999999998</v>
      </c>
      <c r="Q251" s="41" t="s">
        <v>1740</v>
      </c>
      <c r="R251" s="48" t="str">
        <f t="shared" si="77"/>
        <v>(5,'PS-05-LZ2','Poste de Sectionnement n°05 LZ2','Friday-01-jj','Friday-01-jj',NULL,1,),</v>
      </c>
    </row>
    <row r="252" spans="1:18" ht="20.100000000000001" hidden="1" customHeight="1" x14ac:dyDescent="0.25">
      <c r="A252" s="38">
        <v>6</v>
      </c>
      <c r="B252" s="38" t="s">
        <v>607</v>
      </c>
      <c r="C252" s="38">
        <v>11</v>
      </c>
      <c r="D252" s="39" t="str">
        <f t="shared" si="84"/>
        <v>PS-06-LZ2</v>
      </c>
      <c r="E252" s="48" t="str">
        <f t="shared" si="85"/>
        <v>Poste de Sectionnement n°06 LZ2</v>
      </c>
      <c r="F252" s="19">
        <v>40179</v>
      </c>
      <c r="G252" s="19">
        <v>40179</v>
      </c>
      <c r="H252" s="41" t="s">
        <v>20</v>
      </c>
      <c r="I252" s="41">
        <v>1</v>
      </c>
      <c r="J252" s="41" t="s">
        <v>3557</v>
      </c>
      <c r="K252" s="41">
        <v>16</v>
      </c>
      <c r="L252" s="41"/>
      <c r="M252" s="41" t="s">
        <v>355</v>
      </c>
      <c r="N252" s="41" t="s">
        <v>1756</v>
      </c>
      <c r="O252" s="43">
        <f t="shared" si="86"/>
        <v>953</v>
      </c>
      <c r="P252" s="43">
        <f t="shared" si="87"/>
        <v>119.566</v>
      </c>
      <c r="Q252" s="41" t="s">
        <v>1741</v>
      </c>
      <c r="R252" s="48" t="str">
        <f t="shared" si="77"/>
        <v>(6,'PS-06-LZ2','Poste de Sectionnement n°06 LZ2','Friday-01-jj','Friday-01-jj',NULL,1,),</v>
      </c>
    </row>
    <row r="253" spans="1:18" ht="20.100000000000001" hidden="1" customHeight="1" x14ac:dyDescent="0.25">
      <c r="A253" s="38">
        <v>7</v>
      </c>
      <c r="B253" s="38" t="s">
        <v>607</v>
      </c>
      <c r="C253" s="38">
        <v>11</v>
      </c>
      <c r="D253" s="39" t="str">
        <f t="shared" si="84"/>
        <v>PS-07-LZ2</v>
      </c>
      <c r="E253" s="48" t="str">
        <f t="shared" si="85"/>
        <v>Poste de Sectionnement n°07 LZ2</v>
      </c>
      <c r="F253" s="19">
        <v>40179</v>
      </c>
      <c r="G253" s="19">
        <v>40179</v>
      </c>
      <c r="H253" s="41" t="s">
        <v>20</v>
      </c>
      <c r="I253" s="41">
        <v>1</v>
      </c>
      <c r="J253" s="41" t="s">
        <v>3557</v>
      </c>
      <c r="K253" s="41">
        <v>16</v>
      </c>
      <c r="L253" s="41"/>
      <c r="M253" s="41" t="s">
        <v>355</v>
      </c>
      <c r="N253" s="41" t="s">
        <v>1757</v>
      </c>
      <c r="O253" s="43">
        <f t="shared" si="86"/>
        <v>1069</v>
      </c>
      <c r="P253" s="43">
        <f t="shared" si="87"/>
        <v>140.999</v>
      </c>
      <c r="Q253" s="41" t="s">
        <v>1741</v>
      </c>
      <c r="R253" s="48" t="str">
        <f t="shared" si="77"/>
        <v>(7,'PS-07-LZ2','Poste de Sectionnement n°07 LZ2','Friday-01-jj','Friday-01-jj',NULL,1,),</v>
      </c>
    </row>
    <row r="254" spans="1:18" ht="20.100000000000001" hidden="1" customHeight="1" x14ac:dyDescent="0.25">
      <c r="A254" s="38">
        <v>8</v>
      </c>
      <c r="B254" s="38" t="s">
        <v>607</v>
      </c>
      <c r="C254" s="38">
        <v>11</v>
      </c>
      <c r="D254" s="39" t="str">
        <f t="shared" si="84"/>
        <v>PS-08-LZ2</v>
      </c>
      <c r="E254" s="48" t="str">
        <f t="shared" si="85"/>
        <v>Poste de Sectionnement n°08 LZ2</v>
      </c>
      <c r="F254" s="19">
        <v>40179</v>
      </c>
      <c r="G254" s="19">
        <v>40179</v>
      </c>
      <c r="H254" s="41" t="s">
        <v>20</v>
      </c>
      <c r="I254" s="41">
        <v>1</v>
      </c>
      <c r="J254" s="41" t="s">
        <v>3557</v>
      </c>
      <c r="K254" s="41">
        <v>16</v>
      </c>
      <c r="L254" s="41"/>
      <c r="M254" s="41" t="s">
        <v>355</v>
      </c>
      <c r="N254" s="41" t="s">
        <v>1758</v>
      </c>
      <c r="O254" s="43">
        <f t="shared" si="86"/>
        <v>1237</v>
      </c>
      <c r="P254" s="43">
        <f t="shared" si="87"/>
        <v>160.13399999999999</v>
      </c>
      <c r="Q254" s="41" t="s">
        <v>1741</v>
      </c>
      <c r="R254" s="48" t="str">
        <f t="shared" si="77"/>
        <v>(8,'PS-08-LZ2','Poste de Sectionnement n°08 LZ2','Friday-01-jj','Friday-01-jj',NULL,1,),</v>
      </c>
    </row>
    <row r="255" spans="1:18" ht="20.100000000000001" hidden="1" customHeight="1" x14ac:dyDescent="0.25">
      <c r="A255" s="38">
        <v>9</v>
      </c>
      <c r="B255" s="38" t="s">
        <v>607</v>
      </c>
      <c r="C255" s="38">
        <v>11</v>
      </c>
      <c r="D255" s="39" t="str">
        <f t="shared" si="84"/>
        <v>PS-09-LZ2</v>
      </c>
      <c r="E255" s="48" t="str">
        <f t="shared" si="85"/>
        <v>Poste de Sectionnement n°09 LZ2</v>
      </c>
      <c r="F255" s="19">
        <v>40179</v>
      </c>
      <c r="G255" s="19">
        <v>40179</v>
      </c>
      <c r="H255" s="41" t="s">
        <v>20</v>
      </c>
      <c r="I255" s="41">
        <v>1</v>
      </c>
      <c r="J255" s="41" t="s">
        <v>3557</v>
      </c>
      <c r="K255" s="41">
        <v>16</v>
      </c>
      <c r="L255" s="41"/>
      <c r="M255" s="41" t="s">
        <v>355</v>
      </c>
      <c r="N255" s="41" t="s">
        <v>1759</v>
      </c>
      <c r="O255" s="43">
        <f t="shared" si="86"/>
        <v>1136</v>
      </c>
      <c r="P255" s="43">
        <f t="shared" si="87"/>
        <v>182.012</v>
      </c>
      <c r="Q255" s="41" t="s">
        <v>1741</v>
      </c>
      <c r="R255" s="48" t="str">
        <f t="shared" si="77"/>
        <v>(9,'PS-09-LZ2','Poste de Sectionnement n°09 LZ2','Friday-01-jj','Friday-01-jj',NULL,1,),</v>
      </c>
    </row>
    <row r="256" spans="1:18" ht="20.100000000000001" hidden="1" customHeight="1" x14ac:dyDescent="0.25">
      <c r="A256" s="38">
        <v>10</v>
      </c>
      <c r="B256" s="38" t="s">
        <v>607</v>
      </c>
      <c r="C256" s="38">
        <v>11</v>
      </c>
      <c r="D256" s="39" t="str">
        <f t="shared" si="84"/>
        <v>PS-10-LZ2</v>
      </c>
      <c r="E256" s="48" t="str">
        <f t="shared" si="85"/>
        <v>Poste de Sectionnement n°10 LZ2</v>
      </c>
      <c r="F256" s="19">
        <v>40179</v>
      </c>
      <c r="G256" s="19">
        <v>40179</v>
      </c>
      <c r="H256" s="41" t="s">
        <v>20</v>
      </c>
      <c r="I256" s="41">
        <v>1</v>
      </c>
      <c r="J256" s="41" t="s">
        <v>3557</v>
      </c>
      <c r="K256" s="41">
        <v>16</v>
      </c>
      <c r="L256" s="41"/>
      <c r="M256" s="41" t="s">
        <v>355</v>
      </c>
      <c r="N256" s="41" t="s">
        <v>1760</v>
      </c>
      <c r="O256" s="43">
        <f t="shared" si="86"/>
        <v>971</v>
      </c>
      <c r="P256" s="43">
        <f t="shared" si="87"/>
        <v>199.477</v>
      </c>
      <c r="Q256" s="41" t="s">
        <v>1783</v>
      </c>
      <c r="R256" s="48" t="str">
        <f t="shared" si="77"/>
        <v>(10,'PS-10-LZ2','Poste de Sectionnement n°10 LZ2','Friday-01-jj','Friday-01-jj',NULL,1,),</v>
      </c>
    </row>
    <row r="257" spans="1:18" ht="20.100000000000001" hidden="1" customHeight="1" x14ac:dyDescent="0.25">
      <c r="A257" s="38">
        <v>11</v>
      </c>
      <c r="B257" s="38" t="s">
        <v>607</v>
      </c>
      <c r="C257" s="38">
        <v>11</v>
      </c>
      <c r="D257" s="39" t="str">
        <f t="shared" si="84"/>
        <v>PS-11-LZ2</v>
      </c>
      <c r="E257" s="48" t="str">
        <f t="shared" si="85"/>
        <v>Poste de Sectionnement n°11 LZ2</v>
      </c>
      <c r="F257" s="19">
        <v>40179</v>
      </c>
      <c r="G257" s="19">
        <v>40179</v>
      </c>
      <c r="H257" s="41" t="s">
        <v>20</v>
      </c>
      <c r="I257" s="41">
        <v>1</v>
      </c>
      <c r="J257" s="41" t="s">
        <v>3557</v>
      </c>
      <c r="K257" s="41">
        <v>16</v>
      </c>
      <c r="L257" s="41"/>
      <c r="M257" s="41" t="s">
        <v>355</v>
      </c>
      <c r="N257" s="41" t="s">
        <v>1761</v>
      </c>
      <c r="O257" s="43">
        <f t="shared" si="86"/>
        <v>978</v>
      </c>
      <c r="P257" s="43">
        <f t="shared" si="87"/>
        <v>219.48699999999999</v>
      </c>
      <c r="Q257" s="41" t="s">
        <v>751</v>
      </c>
      <c r="R257" s="48" t="str">
        <f t="shared" si="77"/>
        <v>(11,'PS-11-LZ2','Poste de Sectionnement n°11 LZ2','Friday-01-jj','Friday-01-jj',NULL,1,),</v>
      </c>
    </row>
    <row r="258" spans="1:18" ht="20.100000000000001" hidden="1" customHeight="1" x14ac:dyDescent="0.25">
      <c r="A258" s="38">
        <v>12</v>
      </c>
      <c r="B258" s="38" t="s">
        <v>607</v>
      </c>
      <c r="C258" s="38">
        <v>11</v>
      </c>
      <c r="D258" s="39" t="str">
        <f t="shared" si="84"/>
        <v>PS-12-LZ2</v>
      </c>
      <c r="E258" s="48" t="str">
        <f t="shared" si="85"/>
        <v>Poste de Sectionnement n°12 LZ2</v>
      </c>
      <c r="F258" s="19">
        <v>40179</v>
      </c>
      <c r="G258" s="19">
        <v>40179</v>
      </c>
      <c r="H258" s="41" t="s">
        <v>20</v>
      </c>
      <c r="I258" s="41">
        <v>1</v>
      </c>
      <c r="J258" s="41" t="s">
        <v>3557</v>
      </c>
      <c r="K258" s="41">
        <v>16</v>
      </c>
      <c r="L258" s="41"/>
      <c r="M258" s="41" t="s">
        <v>355</v>
      </c>
      <c r="N258" s="41" t="s">
        <v>1762</v>
      </c>
      <c r="O258" s="43">
        <f t="shared" si="86"/>
        <v>1056</v>
      </c>
      <c r="P258" s="43">
        <f t="shared" si="87"/>
        <v>241.804</v>
      </c>
      <c r="Q258" s="41" t="s">
        <v>751</v>
      </c>
      <c r="R258" s="48" t="str">
        <f t="shared" si="77"/>
        <v>(12,'PS-12-LZ2','Poste de Sectionnement n°12 LZ2','Friday-01-jj','Friday-01-jj',NULL,1,),</v>
      </c>
    </row>
    <row r="259" spans="1:18" ht="20.100000000000001" hidden="1" customHeight="1" x14ac:dyDescent="0.25">
      <c r="A259" s="38">
        <v>13</v>
      </c>
      <c r="B259" s="38" t="s">
        <v>607</v>
      </c>
      <c r="C259" s="38">
        <v>11</v>
      </c>
      <c r="D259" s="39" t="str">
        <f t="shared" si="84"/>
        <v>PS-13-LZ2</v>
      </c>
      <c r="E259" s="48" t="str">
        <f t="shared" si="85"/>
        <v>Poste de Sectionnement n°13 LZ2</v>
      </c>
      <c r="F259" s="19">
        <v>40179</v>
      </c>
      <c r="G259" s="19">
        <v>40179</v>
      </c>
      <c r="H259" s="41" t="s">
        <v>20</v>
      </c>
      <c r="I259" s="41">
        <v>1</v>
      </c>
      <c r="J259" s="41" t="s">
        <v>3557</v>
      </c>
      <c r="K259" s="41">
        <v>16</v>
      </c>
      <c r="L259" s="41"/>
      <c r="M259" s="41" t="s">
        <v>355</v>
      </c>
      <c r="N259" s="41" t="s">
        <v>1763</v>
      </c>
      <c r="O259" s="43">
        <f t="shared" si="86"/>
        <v>1147</v>
      </c>
      <c r="P259" s="43">
        <f t="shared" si="87"/>
        <v>261.91300000000001</v>
      </c>
      <c r="Q259" s="41" t="s">
        <v>751</v>
      </c>
      <c r="R259" s="48" t="str">
        <f t="shared" si="77"/>
        <v>(13,'PS-13-LZ2','Poste de Sectionnement n°13 LZ2','Friday-01-jj','Friday-01-jj',NULL,1,),</v>
      </c>
    </row>
    <row r="260" spans="1:18" ht="20.100000000000001" hidden="1" customHeight="1" x14ac:dyDescent="0.25">
      <c r="A260" s="38">
        <v>14</v>
      </c>
      <c r="B260" s="38" t="s">
        <v>607</v>
      </c>
      <c r="C260" s="38">
        <v>11</v>
      </c>
      <c r="D260" s="39" t="str">
        <f t="shared" si="84"/>
        <v>PS-14-LZ2</v>
      </c>
      <c r="E260" s="48" t="str">
        <f t="shared" si="85"/>
        <v>Poste de Sectionnement n°14 LZ2</v>
      </c>
      <c r="F260" s="19">
        <v>40179</v>
      </c>
      <c r="G260" s="19">
        <v>40179</v>
      </c>
      <c r="H260" s="41" t="s">
        <v>20</v>
      </c>
      <c r="I260" s="41">
        <v>1</v>
      </c>
      <c r="J260" s="41" t="s">
        <v>3557</v>
      </c>
      <c r="K260" s="41">
        <v>16</v>
      </c>
      <c r="L260" s="41"/>
      <c r="M260" s="41" t="s">
        <v>355</v>
      </c>
      <c r="N260" s="41" t="s">
        <v>1764</v>
      </c>
      <c r="O260" s="43">
        <f t="shared" si="86"/>
        <v>1266</v>
      </c>
      <c r="P260" s="43">
        <f t="shared" si="87"/>
        <v>282.03800000000001</v>
      </c>
      <c r="Q260" s="41" t="s">
        <v>1743</v>
      </c>
      <c r="R260" s="48" t="str">
        <f t="shared" si="77"/>
        <v>(14,'PS-14-LZ2','Poste de Sectionnement n°14 LZ2','Friday-01-jj','Friday-01-jj',NULL,1,),</v>
      </c>
    </row>
    <row r="261" spans="1:18" ht="20.100000000000001" hidden="1" customHeight="1" x14ac:dyDescent="0.25">
      <c r="A261" s="38">
        <v>15</v>
      </c>
      <c r="B261" s="38" t="s">
        <v>607</v>
      </c>
      <c r="C261" s="38">
        <v>11</v>
      </c>
      <c r="D261" s="39" t="str">
        <f t="shared" si="84"/>
        <v>PS-15-LZ2</v>
      </c>
      <c r="E261" s="48" t="str">
        <f t="shared" si="85"/>
        <v>Poste de Sectionnement n°15 LZ2</v>
      </c>
      <c r="F261" s="19">
        <v>40179</v>
      </c>
      <c r="G261" s="19">
        <v>40179</v>
      </c>
      <c r="H261" s="41" t="s">
        <v>20</v>
      </c>
      <c r="I261" s="41">
        <v>1</v>
      </c>
      <c r="J261" s="41" t="s">
        <v>3557</v>
      </c>
      <c r="K261" s="41">
        <v>16</v>
      </c>
      <c r="L261" s="41"/>
      <c r="M261" s="41" t="s">
        <v>355</v>
      </c>
      <c r="N261" s="41" t="s">
        <v>1765</v>
      </c>
      <c r="O261" s="43">
        <f t="shared" si="86"/>
        <v>1173</v>
      </c>
      <c r="P261" s="43">
        <f t="shared" si="87"/>
        <v>301.416</v>
      </c>
      <c r="Q261" s="41" t="s">
        <v>1784</v>
      </c>
      <c r="R261" s="48" t="str">
        <f t="shared" si="77"/>
        <v>(15,'PS-15-LZ2','Poste de Sectionnement n°15 LZ2','Friday-01-jj','Friday-01-jj',NULL,1,),</v>
      </c>
    </row>
    <row r="262" spans="1:18" ht="20.100000000000001" hidden="1" customHeight="1" x14ac:dyDescent="0.25">
      <c r="A262" s="38" t="s">
        <v>1791</v>
      </c>
      <c r="B262" s="38" t="s">
        <v>607</v>
      </c>
      <c r="C262" s="38">
        <v>11</v>
      </c>
      <c r="D262" s="39" t="str">
        <f t="shared" si="84"/>
        <v>PS-15 A-LZ2</v>
      </c>
      <c r="E262" s="48" t="str">
        <f t="shared" si="85"/>
        <v>Poste de Sectionnement n°15 A LZ2</v>
      </c>
      <c r="F262" s="19">
        <v>40179</v>
      </c>
      <c r="G262" s="19">
        <v>40179</v>
      </c>
      <c r="H262" s="41" t="s">
        <v>20</v>
      </c>
      <c r="I262" s="41">
        <v>1</v>
      </c>
      <c r="J262" s="41" t="s">
        <v>3557</v>
      </c>
      <c r="K262" s="41">
        <v>16</v>
      </c>
      <c r="L262" s="41"/>
      <c r="M262" s="41" t="s">
        <v>355</v>
      </c>
      <c r="N262" s="41" t="s">
        <v>1766</v>
      </c>
      <c r="O262" s="43">
        <f t="shared" si="86"/>
        <v>995</v>
      </c>
      <c r="P262" s="43">
        <f t="shared" si="87"/>
        <v>325.53399999999999</v>
      </c>
      <c r="Q262" s="41" t="s">
        <v>1744</v>
      </c>
      <c r="R262" s="48" t="str">
        <f t="shared" si="77"/>
        <v>(15 A,'PS-15 A-LZ2','Poste de Sectionnement n°15 A LZ2','Friday-01-jj','Friday-01-jj',NULL,1,),</v>
      </c>
    </row>
    <row r="263" spans="1:18" ht="20.100000000000001" hidden="1" customHeight="1" x14ac:dyDescent="0.25">
      <c r="A263" s="38" t="s">
        <v>1792</v>
      </c>
      <c r="B263" s="38" t="s">
        <v>607</v>
      </c>
      <c r="C263" s="38">
        <v>11</v>
      </c>
      <c r="D263" s="39" t="str">
        <f t="shared" si="84"/>
        <v>PS-15 B-LZ2</v>
      </c>
      <c r="E263" s="48" t="str">
        <f t="shared" si="85"/>
        <v>Poste de Sectionnement n°15 B LZ2</v>
      </c>
      <c r="F263" s="19">
        <v>40179</v>
      </c>
      <c r="G263" s="19">
        <v>40179</v>
      </c>
      <c r="H263" s="41" t="s">
        <v>20</v>
      </c>
      <c r="I263" s="41">
        <v>1</v>
      </c>
      <c r="J263" s="41" t="s">
        <v>3557</v>
      </c>
      <c r="K263" s="41">
        <v>16</v>
      </c>
      <c r="L263" s="41"/>
      <c r="M263" s="41" t="s">
        <v>355</v>
      </c>
      <c r="N263" s="41" t="s">
        <v>1767</v>
      </c>
      <c r="O263" s="43">
        <f t="shared" si="86"/>
        <v>1015</v>
      </c>
      <c r="P263" s="43">
        <f t="shared" si="87"/>
        <v>336.22800000000001</v>
      </c>
      <c r="Q263" s="41" t="s">
        <v>754</v>
      </c>
      <c r="R263" s="48" t="str">
        <f t="shared" si="77"/>
        <v>(15 B,'PS-15 B-LZ2','Poste de Sectionnement n°15 B LZ2','Friday-01-jj','Friday-01-jj',NULL,1,),</v>
      </c>
    </row>
    <row r="264" spans="1:18" ht="20.100000000000001" hidden="1" customHeight="1" x14ac:dyDescent="0.25">
      <c r="A264" s="38">
        <v>16</v>
      </c>
      <c r="B264" s="38" t="s">
        <v>607</v>
      </c>
      <c r="C264" s="38">
        <v>11</v>
      </c>
      <c r="D264" s="39" t="str">
        <f t="shared" ref="D264:D279" si="88">CONCATENATE("PS-",TEXT(A264,"00"),"-",M264)</f>
        <v>PS-16-LZ2</v>
      </c>
      <c r="E264" s="48" t="str">
        <f t="shared" ref="E264:E279" si="89">CONCATENATE("Poste de Sectionnement n°",TEXT(A264,"00")," ",M264)</f>
        <v>Poste de Sectionnement n°16 LZ2</v>
      </c>
      <c r="F264" s="19">
        <v>40179</v>
      </c>
      <c r="G264" s="19">
        <v>40179</v>
      </c>
      <c r="H264" s="41" t="s">
        <v>20</v>
      </c>
      <c r="I264" s="41">
        <v>1</v>
      </c>
      <c r="J264" s="41" t="s">
        <v>3557</v>
      </c>
      <c r="K264" s="41">
        <v>16</v>
      </c>
      <c r="L264" s="41"/>
      <c r="M264" s="41" t="s">
        <v>355</v>
      </c>
      <c r="N264" s="41" t="s">
        <v>1768</v>
      </c>
      <c r="O264" s="43">
        <f t="shared" si="86"/>
        <v>786</v>
      </c>
      <c r="P264" s="43">
        <f t="shared" si="87"/>
        <v>346.71699999999998</v>
      </c>
      <c r="Q264" s="41" t="s">
        <v>754</v>
      </c>
      <c r="R264" s="48" t="str">
        <f t="shared" si="77"/>
        <v>(16,'PS-16-LZ2','Poste de Sectionnement n°16 LZ2','Friday-01-jj','Friday-01-jj',NULL,1,),</v>
      </c>
    </row>
    <row r="265" spans="1:18" ht="20.100000000000001" hidden="1" customHeight="1" x14ac:dyDescent="0.25">
      <c r="A265" s="38">
        <v>17</v>
      </c>
      <c r="B265" s="38" t="s">
        <v>607</v>
      </c>
      <c r="C265" s="38">
        <v>11</v>
      </c>
      <c r="D265" s="39" t="str">
        <f t="shared" si="88"/>
        <v>PS-17-LZ2</v>
      </c>
      <c r="E265" s="48" t="str">
        <f t="shared" si="89"/>
        <v>Poste de Sectionnement n°17 LZ2</v>
      </c>
      <c r="F265" s="19">
        <v>40179</v>
      </c>
      <c r="G265" s="19">
        <v>40179</v>
      </c>
      <c r="H265" s="41" t="s">
        <v>20</v>
      </c>
      <c r="I265" s="41">
        <v>1</v>
      </c>
      <c r="J265" s="41" t="s">
        <v>3557</v>
      </c>
      <c r="K265" s="41">
        <v>16</v>
      </c>
      <c r="L265" s="41"/>
      <c r="M265" s="41" t="s">
        <v>355</v>
      </c>
      <c r="N265" s="41" t="s">
        <v>1769</v>
      </c>
      <c r="O265" s="43">
        <f t="shared" si="86"/>
        <v>673</v>
      </c>
      <c r="P265" s="43">
        <f t="shared" si="87"/>
        <v>358.62099999999998</v>
      </c>
      <c r="Q265" s="41" t="s">
        <v>755</v>
      </c>
      <c r="R265" s="48" t="str">
        <f t="shared" si="77"/>
        <v>(17,'PS-17-LZ2','Poste de Sectionnement n°17 LZ2','Friday-01-jj','Friday-01-jj',NULL,1,),</v>
      </c>
    </row>
    <row r="266" spans="1:18" ht="20.100000000000001" hidden="1" customHeight="1" x14ac:dyDescent="0.25">
      <c r="A266" s="38">
        <v>18</v>
      </c>
      <c r="B266" s="38" t="s">
        <v>607</v>
      </c>
      <c r="C266" s="38">
        <v>11</v>
      </c>
      <c r="D266" s="39" t="str">
        <f t="shared" si="88"/>
        <v>PS-18-LZ2</v>
      </c>
      <c r="E266" s="48" t="str">
        <f t="shared" si="89"/>
        <v>Poste de Sectionnement n°18 LZ2</v>
      </c>
      <c r="F266" s="19">
        <v>40179</v>
      </c>
      <c r="G266" s="19">
        <v>40179</v>
      </c>
      <c r="H266" s="41" t="s">
        <v>20</v>
      </c>
      <c r="I266" s="41">
        <v>1</v>
      </c>
      <c r="J266" s="41" t="s">
        <v>3557</v>
      </c>
      <c r="K266" s="41">
        <v>16</v>
      </c>
      <c r="L266" s="41"/>
      <c r="M266" s="41" t="s">
        <v>355</v>
      </c>
      <c r="N266" s="41" t="s">
        <v>1770</v>
      </c>
      <c r="O266" s="43">
        <f t="shared" si="86"/>
        <v>636</v>
      </c>
      <c r="P266" s="43">
        <f t="shared" si="87"/>
        <v>369.78100000000001</v>
      </c>
      <c r="Q266" s="41" t="s">
        <v>755</v>
      </c>
      <c r="R266" s="48" t="str">
        <f t="shared" si="77"/>
        <v>(18,'PS-18-LZ2','Poste de Sectionnement n°18 LZ2','Friday-01-jj','Friday-01-jj',NULL,1,),</v>
      </c>
    </row>
    <row r="267" spans="1:18" ht="20.100000000000001" hidden="1" customHeight="1" x14ac:dyDescent="0.25">
      <c r="A267" s="38">
        <v>19</v>
      </c>
      <c r="B267" s="38" t="s">
        <v>607</v>
      </c>
      <c r="C267" s="38">
        <v>11</v>
      </c>
      <c r="D267" s="39" t="str">
        <f t="shared" si="88"/>
        <v>PS-19-LZ2</v>
      </c>
      <c r="E267" s="48" t="str">
        <f t="shared" si="89"/>
        <v>Poste de Sectionnement n°19 LZ2</v>
      </c>
      <c r="F267" s="19">
        <v>40179</v>
      </c>
      <c r="G267" s="19">
        <v>40179</v>
      </c>
      <c r="H267" s="41" t="s">
        <v>20</v>
      </c>
      <c r="I267" s="41">
        <v>1</v>
      </c>
      <c r="J267" s="41" t="s">
        <v>3557</v>
      </c>
      <c r="K267" s="41">
        <v>16</v>
      </c>
      <c r="L267" s="41"/>
      <c r="M267" s="41" t="s">
        <v>355</v>
      </c>
      <c r="N267" s="41" t="s">
        <v>1771</v>
      </c>
      <c r="O267" s="43">
        <f t="shared" si="86"/>
        <v>538</v>
      </c>
      <c r="P267" s="43">
        <f t="shared" si="87"/>
        <v>382.14600000000002</v>
      </c>
      <c r="Q267" s="41" t="s">
        <v>1745</v>
      </c>
      <c r="R267" s="48" t="str">
        <f t="shared" si="77"/>
        <v>(19,'PS-19-LZ2','Poste de Sectionnement n°19 LZ2','Friday-01-jj','Friday-01-jj',NULL,1,),</v>
      </c>
    </row>
    <row r="268" spans="1:18" ht="20.100000000000001" hidden="1" customHeight="1" x14ac:dyDescent="0.25">
      <c r="A268" s="38">
        <v>20</v>
      </c>
      <c r="B268" s="38" t="s">
        <v>607</v>
      </c>
      <c r="C268" s="38">
        <v>11</v>
      </c>
      <c r="D268" s="39" t="str">
        <f t="shared" si="88"/>
        <v>PS-20-LZ2</v>
      </c>
      <c r="E268" s="48" t="str">
        <f t="shared" si="89"/>
        <v>Poste de Sectionnement n°20 LZ2</v>
      </c>
      <c r="F268" s="19">
        <v>40179</v>
      </c>
      <c r="G268" s="19">
        <v>40179</v>
      </c>
      <c r="H268" s="41" t="s">
        <v>20</v>
      </c>
      <c r="I268" s="41">
        <v>1</v>
      </c>
      <c r="J268" s="41" t="s">
        <v>3557</v>
      </c>
      <c r="K268" s="41">
        <v>16</v>
      </c>
      <c r="L268" s="41"/>
      <c r="M268" s="41" t="s">
        <v>355</v>
      </c>
      <c r="N268" s="41" t="s">
        <v>1772</v>
      </c>
      <c r="O268" s="43">
        <f t="shared" si="86"/>
        <v>269</v>
      </c>
      <c r="P268" s="43">
        <f t="shared" si="87"/>
        <v>393.13200000000001</v>
      </c>
      <c r="Q268" s="41" t="s">
        <v>1785</v>
      </c>
      <c r="R268" s="48" t="str">
        <f t="shared" si="77"/>
        <v>(20,'PS-20-LZ2','Poste de Sectionnement n°20 LZ2','Friday-01-jj','Friday-01-jj',NULL,1,),</v>
      </c>
    </row>
    <row r="269" spans="1:18" ht="20.100000000000001" hidden="1" customHeight="1" x14ac:dyDescent="0.25">
      <c r="A269" s="38">
        <v>21</v>
      </c>
      <c r="B269" s="38" t="s">
        <v>607</v>
      </c>
      <c r="C269" s="38">
        <v>11</v>
      </c>
      <c r="D269" s="39" t="str">
        <f t="shared" si="88"/>
        <v>PS-21-LZ2</v>
      </c>
      <c r="E269" s="48" t="str">
        <f t="shared" si="89"/>
        <v>Poste de Sectionnement n°21 LZ2</v>
      </c>
      <c r="F269" s="19">
        <v>40179</v>
      </c>
      <c r="G269" s="19">
        <v>40179</v>
      </c>
      <c r="H269" s="41" t="s">
        <v>20</v>
      </c>
      <c r="I269" s="41">
        <v>1</v>
      </c>
      <c r="J269" s="41" t="s">
        <v>3557</v>
      </c>
      <c r="K269" s="41">
        <v>16</v>
      </c>
      <c r="L269" s="41"/>
      <c r="M269" s="41" t="s">
        <v>355</v>
      </c>
      <c r="N269" s="41" t="s">
        <v>1773</v>
      </c>
      <c r="O269" s="43">
        <f t="shared" si="86"/>
        <v>116</v>
      </c>
      <c r="P269" s="43">
        <f t="shared" si="87"/>
        <v>404.39800000000002</v>
      </c>
      <c r="Q269" s="41" t="s">
        <v>1785</v>
      </c>
      <c r="R269" s="48" t="str">
        <f t="shared" si="77"/>
        <v>(21,'PS-21-LZ2','Poste de Sectionnement n°21 LZ2','Friday-01-jj','Friday-01-jj',NULL,1,),</v>
      </c>
    </row>
    <row r="270" spans="1:18" ht="20.100000000000001" hidden="1" customHeight="1" x14ac:dyDescent="0.25">
      <c r="A270" s="38">
        <v>22</v>
      </c>
      <c r="B270" s="38" t="s">
        <v>607</v>
      </c>
      <c r="C270" s="38">
        <v>11</v>
      </c>
      <c r="D270" s="39" t="str">
        <f t="shared" si="88"/>
        <v>PS-22-LZ2</v>
      </c>
      <c r="E270" s="48" t="str">
        <f t="shared" si="89"/>
        <v>Poste de Sectionnement n°22 LZ2</v>
      </c>
      <c r="F270" s="19">
        <v>40179</v>
      </c>
      <c r="G270" s="19">
        <v>40179</v>
      </c>
      <c r="H270" s="41" t="s">
        <v>20</v>
      </c>
      <c r="I270" s="41">
        <v>1</v>
      </c>
      <c r="J270" s="41" t="s">
        <v>3557</v>
      </c>
      <c r="K270" s="41">
        <v>16</v>
      </c>
      <c r="L270" s="41"/>
      <c r="M270" s="41" t="s">
        <v>355</v>
      </c>
      <c r="N270" s="41" t="s">
        <v>1774</v>
      </c>
      <c r="O270" s="43">
        <f t="shared" si="86"/>
        <v>120</v>
      </c>
      <c r="P270" s="43">
        <f t="shared" si="87"/>
        <v>412.41800000000001</v>
      </c>
      <c r="Q270" s="41" t="s">
        <v>1746</v>
      </c>
      <c r="R270" s="48" t="str">
        <f t="shared" si="77"/>
        <v>(22,'PS-22-LZ2','Poste de Sectionnement n°22 LZ2','Friday-01-jj','Friday-01-jj',NULL,1,),</v>
      </c>
    </row>
    <row r="271" spans="1:18" ht="20.100000000000001" hidden="1" customHeight="1" x14ac:dyDescent="0.25">
      <c r="A271" s="38">
        <v>23</v>
      </c>
      <c r="B271" s="38" t="s">
        <v>607</v>
      </c>
      <c r="C271" s="38">
        <v>11</v>
      </c>
      <c r="D271" s="39" t="str">
        <f t="shared" si="88"/>
        <v>PS-23-LZ2</v>
      </c>
      <c r="E271" s="48" t="str">
        <f t="shared" si="89"/>
        <v>Poste de Sectionnement n°23 LZ2</v>
      </c>
      <c r="F271" s="19">
        <v>40179</v>
      </c>
      <c r="G271" s="19">
        <v>40179</v>
      </c>
      <c r="H271" s="41" t="s">
        <v>20</v>
      </c>
      <c r="I271" s="41">
        <v>1</v>
      </c>
      <c r="J271" s="41" t="s">
        <v>3557</v>
      </c>
      <c r="K271" s="41">
        <v>16</v>
      </c>
      <c r="L271" s="41"/>
      <c r="M271" s="41" t="s">
        <v>355</v>
      </c>
      <c r="N271" s="41" t="s">
        <v>1775</v>
      </c>
      <c r="O271" s="43">
        <f t="shared" si="86"/>
        <v>311</v>
      </c>
      <c r="P271" s="43">
        <f t="shared" si="87"/>
        <v>425.31900000000002</v>
      </c>
      <c r="Q271" s="41" t="s">
        <v>1786</v>
      </c>
      <c r="R271" s="48" t="str">
        <f t="shared" si="77"/>
        <v>(23,'PS-23-LZ2','Poste de Sectionnement n°23 LZ2','Friday-01-jj','Friday-01-jj',NULL,1,),</v>
      </c>
    </row>
    <row r="272" spans="1:18" ht="20.100000000000001" hidden="1" customHeight="1" x14ac:dyDescent="0.25">
      <c r="A272" s="38">
        <v>24</v>
      </c>
      <c r="B272" s="38" t="s">
        <v>607</v>
      </c>
      <c r="C272" s="38">
        <v>11</v>
      </c>
      <c r="D272" s="39" t="str">
        <f t="shared" si="88"/>
        <v>PS-24-LZ2</v>
      </c>
      <c r="E272" s="48" t="str">
        <f t="shared" si="89"/>
        <v>Poste de Sectionnement n°24 LZ2</v>
      </c>
      <c r="F272" s="19">
        <v>40179</v>
      </c>
      <c r="G272" s="19">
        <v>40179</v>
      </c>
      <c r="H272" s="41" t="s">
        <v>20</v>
      </c>
      <c r="I272" s="41">
        <v>1</v>
      </c>
      <c r="J272" s="41" t="s">
        <v>3557</v>
      </c>
      <c r="K272" s="41">
        <v>16</v>
      </c>
      <c r="L272" s="41"/>
      <c r="M272" s="41" t="s">
        <v>355</v>
      </c>
      <c r="N272" s="41" t="s">
        <v>1776</v>
      </c>
      <c r="O272" s="43">
        <f t="shared" si="86"/>
        <v>314</v>
      </c>
      <c r="P272" s="43">
        <f t="shared" si="87"/>
        <v>433.72199999999998</v>
      </c>
      <c r="Q272" s="41" t="s">
        <v>1787</v>
      </c>
      <c r="R272" s="48" t="str">
        <f t="shared" si="77"/>
        <v>(24,'PS-24-LZ2','Poste de Sectionnement n°24 LZ2','Friday-01-jj','Friday-01-jj',NULL,1,),</v>
      </c>
    </row>
    <row r="273" spans="1:18" ht="20.100000000000001" hidden="1" customHeight="1" x14ac:dyDescent="0.25">
      <c r="A273" s="38">
        <v>25</v>
      </c>
      <c r="B273" s="38" t="s">
        <v>607</v>
      </c>
      <c r="C273" s="38">
        <v>11</v>
      </c>
      <c r="D273" s="39" t="str">
        <f t="shared" si="88"/>
        <v>PS-25-LZ2</v>
      </c>
      <c r="E273" s="48" t="str">
        <f t="shared" si="89"/>
        <v>Poste de Sectionnement n°25 LZ2</v>
      </c>
      <c r="F273" s="19">
        <v>40179</v>
      </c>
      <c r="G273" s="19">
        <v>40179</v>
      </c>
      <c r="H273" s="41" t="s">
        <v>20</v>
      </c>
      <c r="I273" s="41">
        <v>1</v>
      </c>
      <c r="J273" s="41" t="s">
        <v>3557</v>
      </c>
      <c r="K273" s="41">
        <v>16</v>
      </c>
      <c r="L273" s="41"/>
      <c r="M273" s="41" t="s">
        <v>355</v>
      </c>
      <c r="N273" s="41" t="s">
        <v>1777</v>
      </c>
      <c r="O273" s="43">
        <f t="shared" si="86"/>
        <v>75</v>
      </c>
      <c r="P273" s="43">
        <f t="shared" si="87"/>
        <v>447.16800000000001</v>
      </c>
      <c r="Q273" s="41" t="s">
        <v>1748</v>
      </c>
      <c r="R273" s="48" t="str">
        <f t="shared" si="77"/>
        <v>(25,'PS-25-LZ2','Poste de Sectionnement n°25 LZ2','Friday-01-jj','Friday-01-jj',NULL,1,),</v>
      </c>
    </row>
    <row r="274" spans="1:18" ht="20.100000000000001" hidden="1" customHeight="1" x14ac:dyDescent="0.25">
      <c r="A274" s="38">
        <v>26</v>
      </c>
      <c r="B274" s="38" t="s">
        <v>607</v>
      </c>
      <c r="C274" s="38">
        <v>11</v>
      </c>
      <c r="D274" s="39" t="str">
        <f t="shared" si="88"/>
        <v>PS-26-LZ2</v>
      </c>
      <c r="E274" s="48" t="str">
        <f t="shared" si="89"/>
        <v>Poste de Sectionnement n°26 LZ2</v>
      </c>
      <c r="F274" s="19">
        <v>40179</v>
      </c>
      <c r="G274" s="19">
        <v>40179</v>
      </c>
      <c r="H274" s="41" t="s">
        <v>20</v>
      </c>
      <c r="I274" s="41">
        <v>1</v>
      </c>
      <c r="J274" s="41" t="s">
        <v>3557</v>
      </c>
      <c r="K274" s="41">
        <v>16</v>
      </c>
      <c r="L274" s="41"/>
      <c r="M274" s="41" t="s">
        <v>355</v>
      </c>
      <c r="N274" s="41" t="s">
        <v>1778</v>
      </c>
      <c r="O274" s="43">
        <f t="shared" si="86"/>
        <v>24</v>
      </c>
      <c r="P274" s="43">
        <f t="shared" si="87"/>
        <v>457.03300000000002</v>
      </c>
      <c r="Q274" s="41" t="s">
        <v>1788</v>
      </c>
      <c r="R274" s="48" t="str">
        <f t="shared" si="77"/>
        <v>(26,'PS-26-LZ2','Poste de Sectionnement n°26 LZ2','Friday-01-jj','Friday-01-jj',NULL,1,),</v>
      </c>
    </row>
    <row r="275" spans="1:18" ht="20.100000000000001" hidden="1" customHeight="1" x14ac:dyDescent="0.25">
      <c r="A275" s="38">
        <v>27</v>
      </c>
      <c r="B275" s="38" t="s">
        <v>607</v>
      </c>
      <c r="C275" s="38">
        <v>11</v>
      </c>
      <c r="D275" s="39" t="str">
        <f t="shared" si="88"/>
        <v>PS-27-LZ2</v>
      </c>
      <c r="E275" s="48" t="str">
        <f t="shared" si="89"/>
        <v>Poste de Sectionnement n°27 LZ2</v>
      </c>
      <c r="F275" s="19">
        <v>40179</v>
      </c>
      <c r="G275" s="19">
        <v>40179</v>
      </c>
      <c r="H275" s="41" t="s">
        <v>20</v>
      </c>
      <c r="I275" s="41">
        <v>1</v>
      </c>
      <c r="J275" s="41" t="s">
        <v>3557</v>
      </c>
      <c r="K275" s="41">
        <v>16</v>
      </c>
      <c r="L275" s="41"/>
      <c r="M275" s="41" t="s">
        <v>355</v>
      </c>
      <c r="N275" s="41" t="s">
        <v>1779</v>
      </c>
      <c r="O275" s="43">
        <f t="shared" si="86"/>
        <v>15</v>
      </c>
      <c r="P275" s="43">
        <f t="shared" si="87"/>
        <v>467.13200000000001</v>
      </c>
      <c r="Q275" s="41" t="s">
        <v>1789</v>
      </c>
      <c r="R275" s="48" t="str">
        <f t="shared" si="77"/>
        <v>(27,'PS-27-LZ2','Poste de Sectionnement n°27 LZ2','Friday-01-jj','Friday-01-jj',NULL,1,),</v>
      </c>
    </row>
    <row r="276" spans="1:18" ht="20.100000000000001" hidden="1" customHeight="1" x14ac:dyDescent="0.25">
      <c r="A276" s="38">
        <v>28</v>
      </c>
      <c r="B276" s="38" t="s">
        <v>607</v>
      </c>
      <c r="C276" s="38">
        <v>11</v>
      </c>
      <c r="D276" s="39" t="str">
        <f t="shared" si="88"/>
        <v>PS-28-LZ2</v>
      </c>
      <c r="E276" s="48" t="str">
        <f t="shared" si="89"/>
        <v>Poste de Sectionnement n°28 LZ2</v>
      </c>
      <c r="F276" s="19">
        <v>40179</v>
      </c>
      <c r="G276" s="19">
        <v>40179</v>
      </c>
      <c r="H276" s="41" t="s">
        <v>20</v>
      </c>
      <c r="I276" s="41">
        <v>1</v>
      </c>
      <c r="J276" s="41" t="s">
        <v>3557</v>
      </c>
      <c r="K276" s="41">
        <v>16</v>
      </c>
      <c r="L276" s="41"/>
      <c r="M276" s="41" t="s">
        <v>355</v>
      </c>
      <c r="N276" s="41" t="s">
        <v>1780</v>
      </c>
      <c r="O276" s="43">
        <f t="shared" si="86"/>
        <v>8</v>
      </c>
      <c r="P276" s="43">
        <f t="shared" si="87"/>
        <v>477.35199999999998</v>
      </c>
      <c r="Q276" s="41" t="s">
        <v>1790</v>
      </c>
      <c r="R276" s="48" t="str">
        <f t="shared" si="77"/>
        <v>(28,'PS-28-LZ2','Poste de Sectionnement n°28 LZ2','Friday-01-jj','Friday-01-jj',NULL,1,),</v>
      </c>
    </row>
    <row r="277" spans="1:18" ht="20.100000000000001" hidden="1" customHeight="1" x14ac:dyDescent="0.25">
      <c r="A277" s="38">
        <v>29</v>
      </c>
      <c r="B277" s="38" t="s">
        <v>607</v>
      </c>
      <c r="C277" s="38">
        <v>11</v>
      </c>
      <c r="D277" s="39" t="str">
        <f t="shared" si="88"/>
        <v>PS-29-LZ2</v>
      </c>
      <c r="E277" s="48" t="str">
        <f t="shared" si="89"/>
        <v>Poste de Sectionnement n°29 LZ2</v>
      </c>
      <c r="F277" s="19">
        <v>40179</v>
      </c>
      <c r="G277" s="19">
        <v>40179</v>
      </c>
      <c r="H277" s="41" t="s">
        <v>20</v>
      </c>
      <c r="I277" s="41">
        <v>1</v>
      </c>
      <c r="J277" s="41" t="s">
        <v>3557</v>
      </c>
      <c r="K277" s="41">
        <v>16</v>
      </c>
      <c r="L277" s="41"/>
      <c r="M277" s="41" t="s">
        <v>355</v>
      </c>
      <c r="N277" s="41" t="s">
        <v>1781</v>
      </c>
      <c r="O277" s="43">
        <f t="shared" si="86"/>
        <v>16</v>
      </c>
      <c r="P277" s="43">
        <f t="shared" si="87"/>
        <v>486.01299999999998</v>
      </c>
      <c r="Q277" s="41" t="s">
        <v>1750</v>
      </c>
      <c r="R277" s="48" t="str">
        <f t="shared" ref="R277:R340" si="90">CONCATENATE("(",A277,",'",D277,"','",E277,"','",TEXT(F277,"aaaa-mm-jj"),"','",TEXT(G277,"aaaa-mm-jj"),"',",H277,",",I277,",",L277,"),")</f>
        <v>(29,'PS-29-LZ2','Poste de Sectionnement n°29 LZ2','Friday-01-jj','Friday-01-jj',NULL,1,),</v>
      </c>
    </row>
    <row r="278" spans="1:18" ht="20.100000000000001" hidden="1" customHeight="1" x14ac:dyDescent="0.25">
      <c r="A278" s="38">
        <v>1</v>
      </c>
      <c r="B278" s="38" t="s">
        <v>3372</v>
      </c>
      <c r="C278" s="38">
        <v>12</v>
      </c>
      <c r="D278" s="39" t="str">
        <f t="shared" si="88"/>
        <v>PS-01-LR1</v>
      </c>
      <c r="E278" s="48" t="str">
        <f t="shared" si="89"/>
        <v>Poste de Sectionnement n°01 LR1</v>
      </c>
      <c r="F278" s="19">
        <v>35065</v>
      </c>
      <c r="G278" s="19">
        <v>35065</v>
      </c>
      <c r="H278" s="41" t="s">
        <v>20</v>
      </c>
      <c r="I278" s="41">
        <v>1</v>
      </c>
      <c r="J278" s="41" t="s">
        <v>3557</v>
      </c>
      <c r="K278" s="41">
        <v>16</v>
      </c>
      <c r="L278" s="41"/>
      <c r="M278" s="41" t="s">
        <v>358</v>
      </c>
      <c r="N278" s="41" t="s">
        <v>1793</v>
      </c>
      <c r="O278" s="43">
        <f t="shared" ref="O278:O289" si="91">VALUE(RIGHT(N278,LEN(N278)-SEARCH("/",N278)))</f>
        <v>709</v>
      </c>
      <c r="P278" s="43">
        <f t="shared" ref="P278:P289" si="92">VALUE(SUBSTITUTE(LEFT(N278,SEARCH("/",N278)-1),"+",","))</f>
        <v>20</v>
      </c>
      <c r="Q278" s="41" t="s">
        <v>980</v>
      </c>
      <c r="R278" s="48" t="str">
        <f t="shared" si="90"/>
        <v>(1,'PS-01-LR1','Poste de Sectionnement n°01 LR1','Monday-01-jj','Monday-01-jj',NULL,1,),</v>
      </c>
    </row>
    <row r="279" spans="1:18" ht="20.100000000000001" hidden="1" customHeight="1" x14ac:dyDescent="0.25">
      <c r="A279" s="38">
        <v>2</v>
      </c>
      <c r="B279" s="38" t="s">
        <v>3372</v>
      </c>
      <c r="C279" s="38">
        <v>12</v>
      </c>
      <c r="D279" s="39" t="str">
        <f t="shared" si="88"/>
        <v>PS-02-LR1</v>
      </c>
      <c r="E279" s="48" t="str">
        <f t="shared" si="89"/>
        <v>Poste de Sectionnement n°02 LR1</v>
      </c>
      <c r="F279" s="19">
        <v>35065</v>
      </c>
      <c r="G279" s="19">
        <v>35065</v>
      </c>
      <c r="H279" s="41" t="s">
        <v>20</v>
      </c>
      <c r="I279" s="41">
        <v>1</v>
      </c>
      <c r="J279" s="41" t="s">
        <v>3557</v>
      </c>
      <c r="K279" s="41">
        <v>16</v>
      </c>
      <c r="L279" s="41"/>
      <c r="M279" s="41" t="s">
        <v>358</v>
      </c>
      <c r="N279" s="41" t="s">
        <v>1794</v>
      </c>
      <c r="O279" s="43">
        <f t="shared" si="91"/>
        <v>694</v>
      </c>
      <c r="P279" s="43">
        <f t="shared" si="92"/>
        <v>40</v>
      </c>
      <c r="Q279" s="41" t="s">
        <v>980</v>
      </c>
      <c r="R279" s="48" t="str">
        <f t="shared" si="90"/>
        <v>(2,'PS-02-LR1','Poste de Sectionnement n°02 LR1','Monday-01-jj','Monday-01-jj',NULL,1,),</v>
      </c>
    </row>
    <row r="280" spans="1:18" ht="20.100000000000001" hidden="1" customHeight="1" x14ac:dyDescent="0.25">
      <c r="A280" s="38">
        <v>3</v>
      </c>
      <c r="B280" s="38" t="s">
        <v>3372</v>
      </c>
      <c r="C280" s="38">
        <v>12</v>
      </c>
      <c r="D280" s="39" t="str">
        <f t="shared" ref="D280:D289" si="93">CONCATENATE("PS-",TEXT(A280,"00"),"-",M280)</f>
        <v>PS-03-LR1</v>
      </c>
      <c r="E280" s="48" t="str">
        <f t="shared" ref="E280:E289" si="94">CONCATENATE("Poste de Sectionnement n°",TEXT(A280,"00")," ",M280)</f>
        <v>Poste de Sectionnement n°03 LR1</v>
      </c>
      <c r="F280" s="19">
        <v>35065</v>
      </c>
      <c r="G280" s="19">
        <v>35065</v>
      </c>
      <c r="H280" s="41" t="s">
        <v>20</v>
      </c>
      <c r="I280" s="41">
        <v>1</v>
      </c>
      <c r="J280" s="41" t="s">
        <v>3557</v>
      </c>
      <c r="K280" s="41">
        <v>16</v>
      </c>
      <c r="L280" s="41"/>
      <c r="M280" s="41" t="s">
        <v>358</v>
      </c>
      <c r="N280" s="41" t="s">
        <v>1795</v>
      </c>
      <c r="O280" s="43">
        <f t="shared" si="91"/>
        <v>662</v>
      </c>
      <c r="P280" s="43">
        <f t="shared" si="92"/>
        <v>60</v>
      </c>
      <c r="Q280" s="41" t="s">
        <v>979</v>
      </c>
      <c r="R280" s="48" t="str">
        <f t="shared" si="90"/>
        <v>(3,'PS-03-LR1','Poste de Sectionnement n°03 LR1','Monday-01-jj','Monday-01-jj',NULL,1,),</v>
      </c>
    </row>
    <row r="281" spans="1:18" ht="20.100000000000001" hidden="1" customHeight="1" x14ac:dyDescent="0.25">
      <c r="A281" s="38">
        <v>4</v>
      </c>
      <c r="B281" s="38" t="s">
        <v>3372</v>
      </c>
      <c r="C281" s="38">
        <v>12</v>
      </c>
      <c r="D281" s="39" t="str">
        <f t="shared" si="93"/>
        <v>PS-04-LR1</v>
      </c>
      <c r="E281" s="48" t="str">
        <f t="shared" si="94"/>
        <v>Poste de Sectionnement n°04 LR1</v>
      </c>
      <c r="F281" s="19">
        <v>35065</v>
      </c>
      <c r="G281" s="19">
        <v>35065</v>
      </c>
      <c r="H281" s="41" t="s">
        <v>20</v>
      </c>
      <c r="I281" s="41">
        <v>1</v>
      </c>
      <c r="J281" s="41" t="s">
        <v>3557</v>
      </c>
      <c r="K281" s="41">
        <v>16</v>
      </c>
      <c r="L281" s="41"/>
      <c r="M281" s="41" t="s">
        <v>358</v>
      </c>
      <c r="N281" s="41" t="s">
        <v>1796</v>
      </c>
      <c r="O281" s="43">
        <f t="shared" si="91"/>
        <v>558</v>
      </c>
      <c r="P281" s="43">
        <f t="shared" si="92"/>
        <v>118</v>
      </c>
      <c r="Q281" s="41" t="s">
        <v>1804</v>
      </c>
      <c r="R281" s="48" t="str">
        <f t="shared" si="90"/>
        <v>(4,'PS-04-LR1','Poste de Sectionnement n°04 LR1','Monday-01-jj','Monday-01-jj',NULL,1,),</v>
      </c>
    </row>
    <row r="282" spans="1:18" ht="20.100000000000001" hidden="1" customHeight="1" x14ac:dyDescent="0.25">
      <c r="A282" s="38">
        <v>5</v>
      </c>
      <c r="B282" s="38" t="s">
        <v>3372</v>
      </c>
      <c r="C282" s="38">
        <v>12</v>
      </c>
      <c r="D282" s="39" t="str">
        <f t="shared" si="93"/>
        <v>PS-05-LR1</v>
      </c>
      <c r="E282" s="48" t="str">
        <f t="shared" si="94"/>
        <v>Poste de Sectionnement n°05 LR1</v>
      </c>
      <c r="F282" s="19">
        <v>35065</v>
      </c>
      <c r="G282" s="19">
        <v>35065</v>
      </c>
      <c r="H282" s="41" t="s">
        <v>20</v>
      </c>
      <c r="I282" s="41">
        <v>1</v>
      </c>
      <c r="J282" s="41" t="s">
        <v>3557</v>
      </c>
      <c r="K282" s="41">
        <v>16</v>
      </c>
      <c r="L282" s="41"/>
      <c r="M282" s="41" t="s">
        <v>358</v>
      </c>
      <c r="N282" s="41" t="s">
        <v>1797</v>
      </c>
      <c r="O282" s="43">
        <f t="shared" si="91"/>
        <v>570</v>
      </c>
      <c r="P282" s="43">
        <f t="shared" si="92"/>
        <v>156</v>
      </c>
      <c r="Q282" s="41" t="s">
        <v>1804</v>
      </c>
      <c r="R282" s="48" t="str">
        <f t="shared" si="90"/>
        <v>(5,'PS-05-LR1','Poste de Sectionnement n°05 LR1','Monday-01-jj','Monday-01-jj',NULL,1,),</v>
      </c>
    </row>
    <row r="283" spans="1:18" ht="20.100000000000001" hidden="1" customHeight="1" x14ac:dyDescent="0.25">
      <c r="A283" s="38">
        <v>6</v>
      </c>
      <c r="B283" s="38" t="s">
        <v>3372</v>
      </c>
      <c r="C283" s="38">
        <v>12</v>
      </c>
      <c r="D283" s="39" t="str">
        <f t="shared" si="93"/>
        <v>PS-06-LR1</v>
      </c>
      <c r="E283" s="48" t="str">
        <f t="shared" si="94"/>
        <v>Poste de Sectionnement n°06 LR1</v>
      </c>
      <c r="F283" s="19">
        <v>35065</v>
      </c>
      <c r="G283" s="19">
        <v>35065</v>
      </c>
      <c r="H283" s="41" t="s">
        <v>20</v>
      </c>
      <c r="I283" s="41">
        <v>1</v>
      </c>
      <c r="J283" s="41" t="s">
        <v>3557</v>
      </c>
      <c r="K283" s="41">
        <v>16</v>
      </c>
      <c r="L283" s="41"/>
      <c r="M283" s="41" t="s">
        <v>358</v>
      </c>
      <c r="N283" s="41" t="s">
        <v>1798</v>
      </c>
      <c r="O283" s="43">
        <f t="shared" si="91"/>
        <v>540</v>
      </c>
      <c r="P283" s="43">
        <f t="shared" si="92"/>
        <v>195.6</v>
      </c>
      <c r="Q283" s="41" t="s">
        <v>1804</v>
      </c>
      <c r="R283" s="48" t="str">
        <f t="shared" si="90"/>
        <v>(6,'PS-06-LR1','Poste de Sectionnement n°06 LR1','Monday-01-jj','Monday-01-jj',NULL,1,),</v>
      </c>
    </row>
    <row r="284" spans="1:18" ht="20.100000000000001" hidden="1" customHeight="1" x14ac:dyDescent="0.25">
      <c r="A284" s="38">
        <v>7</v>
      </c>
      <c r="B284" s="38" t="s">
        <v>3372</v>
      </c>
      <c r="C284" s="38">
        <v>12</v>
      </c>
      <c r="D284" s="39" t="str">
        <f t="shared" si="93"/>
        <v>PS-07-LR1</v>
      </c>
      <c r="E284" s="48" t="str">
        <f t="shared" si="94"/>
        <v>Poste de Sectionnement n°07 LR1</v>
      </c>
      <c r="F284" s="19">
        <v>35065</v>
      </c>
      <c r="G284" s="19">
        <v>35065</v>
      </c>
      <c r="H284" s="41" t="s">
        <v>20</v>
      </c>
      <c r="I284" s="41">
        <v>1</v>
      </c>
      <c r="J284" s="41" t="s">
        <v>3557</v>
      </c>
      <c r="K284" s="41">
        <v>16</v>
      </c>
      <c r="L284" s="41"/>
      <c r="M284" s="41" t="s">
        <v>358</v>
      </c>
      <c r="N284" s="41" t="s">
        <v>1799</v>
      </c>
      <c r="O284" s="43">
        <f t="shared" si="91"/>
        <v>423</v>
      </c>
      <c r="P284" s="43">
        <f t="shared" si="92"/>
        <v>263.39999999999998</v>
      </c>
      <c r="Q284" s="41" t="s">
        <v>1804</v>
      </c>
      <c r="R284" s="48" t="str">
        <f t="shared" si="90"/>
        <v>(7,'PS-07-LR1','Poste de Sectionnement n°07 LR1','Monday-01-jj','Monday-01-jj',NULL,1,),</v>
      </c>
    </row>
    <row r="285" spans="1:18" ht="20.100000000000001" hidden="1" customHeight="1" x14ac:dyDescent="0.25">
      <c r="A285" s="38">
        <v>8</v>
      </c>
      <c r="B285" s="38" t="s">
        <v>3372</v>
      </c>
      <c r="C285" s="38">
        <v>12</v>
      </c>
      <c r="D285" s="39" t="str">
        <f t="shared" si="93"/>
        <v>PS-08-LR1</v>
      </c>
      <c r="E285" s="48" t="str">
        <f t="shared" si="94"/>
        <v>Poste de Sectionnement n°08 LR1</v>
      </c>
      <c r="F285" s="19">
        <v>35065</v>
      </c>
      <c r="G285" s="19">
        <v>35065</v>
      </c>
      <c r="H285" s="41" t="s">
        <v>20</v>
      </c>
      <c r="I285" s="41">
        <v>1</v>
      </c>
      <c r="J285" s="41" t="s">
        <v>3557</v>
      </c>
      <c r="K285" s="41">
        <v>16</v>
      </c>
      <c r="L285" s="41"/>
      <c r="M285" s="41" t="s">
        <v>358</v>
      </c>
      <c r="N285" s="41" t="s">
        <v>1800</v>
      </c>
      <c r="O285" s="43">
        <f t="shared" si="91"/>
        <v>348</v>
      </c>
      <c r="P285" s="43">
        <f t="shared" si="92"/>
        <v>298</v>
      </c>
      <c r="Q285" s="41" t="s">
        <v>1804</v>
      </c>
      <c r="R285" s="48" t="str">
        <f t="shared" si="90"/>
        <v>(8,'PS-08-LR1','Poste de Sectionnement n°08 LR1','Monday-01-jj','Monday-01-jj',NULL,1,),</v>
      </c>
    </row>
    <row r="286" spans="1:18" ht="20.100000000000001" hidden="1" customHeight="1" x14ac:dyDescent="0.25">
      <c r="A286" s="38">
        <v>9</v>
      </c>
      <c r="B286" s="38" t="s">
        <v>3372</v>
      </c>
      <c r="C286" s="38">
        <v>12</v>
      </c>
      <c r="D286" s="39" t="str">
        <f t="shared" si="93"/>
        <v>PS-09-LR1</v>
      </c>
      <c r="E286" s="48" t="str">
        <f t="shared" si="94"/>
        <v>Poste de Sectionnement n°09 LR1</v>
      </c>
      <c r="F286" s="19">
        <v>35065</v>
      </c>
      <c r="G286" s="19">
        <v>35065</v>
      </c>
      <c r="H286" s="41" t="s">
        <v>20</v>
      </c>
      <c r="I286" s="41">
        <v>1</v>
      </c>
      <c r="J286" s="41" t="s">
        <v>3557</v>
      </c>
      <c r="K286" s="41">
        <v>16</v>
      </c>
      <c r="L286" s="41"/>
      <c r="M286" s="41" t="s">
        <v>358</v>
      </c>
      <c r="N286" s="41" t="s">
        <v>1801</v>
      </c>
      <c r="O286" s="43">
        <f t="shared" si="91"/>
        <v>318</v>
      </c>
      <c r="P286" s="43">
        <f t="shared" si="92"/>
        <v>316.8</v>
      </c>
      <c r="Q286" s="41" t="s">
        <v>1804</v>
      </c>
      <c r="R286" s="48" t="str">
        <f t="shared" si="90"/>
        <v>(9,'PS-09-LR1','Poste de Sectionnement n°09 LR1','Monday-01-jj','Monday-01-jj',NULL,1,),</v>
      </c>
    </row>
    <row r="287" spans="1:18" ht="20.100000000000001" hidden="1" customHeight="1" x14ac:dyDescent="0.25">
      <c r="A287" s="38">
        <v>10</v>
      </c>
      <c r="B287" s="38" t="s">
        <v>3372</v>
      </c>
      <c r="C287" s="38">
        <v>12</v>
      </c>
      <c r="D287" s="39" t="str">
        <f t="shared" si="93"/>
        <v>PS-10-LR1</v>
      </c>
      <c r="E287" s="48" t="str">
        <f t="shared" si="94"/>
        <v>Poste de Sectionnement n°10 LR1</v>
      </c>
      <c r="F287" s="19">
        <v>35065</v>
      </c>
      <c r="G287" s="19">
        <v>35065</v>
      </c>
      <c r="H287" s="41" t="s">
        <v>20</v>
      </c>
      <c r="I287" s="41">
        <v>1</v>
      </c>
      <c r="J287" s="41" t="s">
        <v>3557</v>
      </c>
      <c r="K287" s="41">
        <v>16</v>
      </c>
      <c r="L287" s="41"/>
      <c r="M287" s="41" t="s">
        <v>358</v>
      </c>
      <c r="N287" s="41" t="s">
        <v>1802</v>
      </c>
      <c r="O287" s="43">
        <f t="shared" si="91"/>
        <v>300</v>
      </c>
      <c r="P287" s="43">
        <f t="shared" si="92"/>
        <v>357.8</v>
      </c>
      <c r="Q287" s="41" t="s">
        <v>1804</v>
      </c>
      <c r="R287" s="48" t="str">
        <f t="shared" si="90"/>
        <v>(10,'PS-10-LR1','Poste de Sectionnement n°10 LR1','Monday-01-jj','Monday-01-jj',NULL,1,),</v>
      </c>
    </row>
    <row r="288" spans="1:18" ht="20.100000000000001" hidden="1" customHeight="1" x14ac:dyDescent="0.25">
      <c r="A288" s="38">
        <v>11</v>
      </c>
      <c r="B288" s="38" t="s">
        <v>3372</v>
      </c>
      <c r="C288" s="38">
        <v>12</v>
      </c>
      <c r="D288" s="39" t="str">
        <f t="shared" si="93"/>
        <v>PS-11-LR1</v>
      </c>
      <c r="E288" s="48" t="str">
        <f t="shared" si="94"/>
        <v>Poste de Sectionnement n°11 LR1</v>
      </c>
      <c r="F288" s="19">
        <v>35065</v>
      </c>
      <c r="G288" s="19">
        <v>35065</v>
      </c>
      <c r="H288" s="41" t="s">
        <v>20</v>
      </c>
      <c r="I288" s="41">
        <v>1</v>
      </c>
      <c r="J288" s="41" t="s">
        <v>3557</v>
      </c>
      <c r="K288" s="41">
        <v>16</v>
      </c>
      <c r="L288" s="41"/>
      <c r="M288" s="41" t="s">
        <v>358</v>
      </c>
      <c r="N288" s="41" t="s">
        <v>1187</v>
      </c>
      <c r="O288" s="43">
        <f t="shared" si="91"/>
        <v>274</v>
      </c>
      <c r="P288" s="43">
        <f t="shared" si="92"/>
        <v>395.7</v>
      </c>
      <c r="Q288" s="41" t="s">
        <v>1804</v>
      </c>
      <c r="R288" s="48" t="str">
        <f t="shared" si="90"/>
        <v>(11,'PS-11-LR1','Poste de Sectionnement n°11 LR1','Monday-01-jj','Monday-01-jj',NULL,1,),</v>
      </c>
    </row>
    <row r="289" spans="1:18" ht="20.100000000000001" hidden="1" customHeight="1" x14ac:dyDescent="0.25">
      <c r="A289" s="38">
        <v>12</v>
      </c>
      <c r="B289" s="38" t="s">
        <v>3372</v>
      </c>
      <c r="C289" s="38">
        <v>12</v>
      </c>
      <c r="D289" s="39" t="str">
        <f t="shared" si="93"/>
        <v>PS-12-LR1</v>
      </c>
      <c r="E289" s="48" t="str">
        <f t="shared" si="94"/>
        <v>Poste de Sectionnement n°12 LR1</v>
      </c>
      <c r="F289" s="19">
        <v>35065</v>
      </c>
      <c r="G289" s="19">
        <v>35065</v>
      </c>
      <c r="H289" s="41" t="s">
        <v>20</v>
      </c>
      <c r="I289" s="41">
        <v>1</v>
      </c>
      <c r="J289" s="41" t="s">
        <v>3557</v>
      </c>
      <c r="K289" s="41">
        <v>16</v>
      </c>
      <c r="L289" s="41"/>
      <c r="M289" s="41" t="s">
        <v>358</v>
      </c>
      <c r="N289" s="41" t="s">
        <v>1803</v>
      </c>
      <c r="O289" s="43">
        <f t="shared" si="91"/>
        <v>240</v>
      </c>
      <c r="P289" s="43">
        <f t="shared" si="92"/>
        <v>448.8</v>
      </c>
      <c r="Q289" s="41" t="s">
        <v>1804</v>
      </c>
      <c r="R289" s="48" t="str">
        <f t="shared" si="90"/>
        <v>(12,'PS-12-LR1','Poste de Sectionnement n°12 LR1','Monday-01-jj','Monday-01-jj',NULL,1,),</v>
      </c>
    </row>
    <row r="290" spans="1:18" ht="20.100000000000001" hidden="1" customHeight="1" x14ac:dyDescent="0.25">
      <c r="A290" s="38">
        <v>13</v>
      </c>
      <c r="B290" s="38" t="s">
        <v>3372</v>
      </c>
      <c r="C290" s="38">
        <v>12</v>
      </c>
      <c r="D290" s="39" t="str">
        <f t="shared" ref="D290:D312" si="95">CONCATENATE("PS-",TEXT(A290,"00"),"-",M290)</f>
        <v>PS-13-LR1</v>
      </c>
      <c r="E290" s="48" t="str">
        <f t="shared" ref="E290:E312" si="96">CONCATENATE("Poste de Sectionnement n°",TEXT(A290,"00")," ",M290)</f>
        <v>Poste de Sectionnement n°13 LR1</v>
      </c>
      <c r="F290" s="19">
        <v>35065</v>
      </c>
      <c r="G290" s="19">
        <v>35065</v>
      </c>
      <c r="H290" s="41" t="s">
        <v>20</v>
      </c>
      <c r="I290" s="41">
        <v>1</v>
      </c>
      <c r="J290" s="41" t="s">
        <v>3557</v>
      </c>
      <c r="K290" s="41">
        <v>16</v>
      </c>
      <c r="L290" s="41"/>
      <c r="M290" s="41" t="s">
        <v>358</v>
      </c>
      <c r="N290" s="41" t="s">
        <v>1806</v>
      </c>
      <c r="O290" s="43">
        <f t="shared" ref="O290:O310" si="97">VALUE(RIGHT(N290,LEN(N290)-SEARCH("/",N290)))</f>
        <v>220</v>
      </c>
      <c r="P290" s="43">
        <f t="shared" ref="P290:P310" si="98">VALUE(SUBSTITUTE(LEFT(N290,SEARCH("/",N290)-1),"+",","))</f>
        <v>484.8</v>
      </c>
      <c r="Q290" s="41" t="s">
        <v>998</v>
      </c>
      <c r="R290" s="48" t="str">
        <f t="shared" si="90"/>
        <v>(13,'PS-13-LR1','Poste de Sectionnement n°13 LR1','Monday-01-jj','Monday-01-jj',NULL,1,),</v>
      </c>
    </row>
    <row r="291" spans="1:18" ht="20.100000000000001" hidden="1" customHeight="1" x14ac:dyDescent="0.25">
      <c r="A291" s="38">
        <v>14</v>
      </c>
      <c r="B291" s="38" t="s">
        <v>3372</v>
      </c>
      <c r="C291" s="38">
        <v>12</v>
      </c>
      <c r="D291" s="39" t="str">
        <f t="shared" si="95"/>
        <v>PS-14-LR1</v>
      </c>
      <c r="E291" s="48" t="str">
        <f t="shared" si="96"/>
        <v>Poste de Sectionnement n°14 LR1</v>
      </c>
      <c r="F291" s="19">
        <v>35065</v>
      </c>
      <c r="G291" s="19">
        <v>35065</v>
      </c>
      <c r="H291" s="41" t="s">
        <v>20</v>
      </c>
      <c r="I291" s="41">
        <v>1</v>
      </c>
      <c r="J291" s="41" t="s">
        <v>3557</v>
      </c>
      <c r="K291" s="41">
        <v>16</v>
      </c>
      <c r="L291" s="41"/>
      <c r="M291" s="41" t="s">
        <v>358</v>
      </c>
      <c r="N291" s="41" t="s">
        <v>1807</v>
      </c>
      <c r="O291" s="43">
        <f t="shared" si="97"/>
        <v>198</v>
      </c>
      <c r="P291" s="43">
        <f t="shared" si="98"/>
        <v>524.29999999999995</v>
      </c>
      <c r="Q291" s="41" t="s">
        <v>998</v>
      </c>
      <c r="R291" s="48" t="str">
        <f t="shared" si="90"/>
        <v>(14,'PS-14-LR1','Poste de Sectionnement n°14 LR1','Monday-01-jj','Monday-01-jj',NULL,1,),</v>
      </c>
    </row>
    <row r="292" spans="1:18" ht="20.100000000000001" hidden="1" customHeight="1" x14ac:dyDescent="0.25">
      <c r="A292" s="38">
        <v>15</v>
      </c>
      <c r="B292" s="38" t="s">
        <v>3372</v>
      </c>
      <c r="C292" s="38">
        <v>12</v>
      </c>
      <c r="D292" s="39" t="str">
        <f t="shared" si="95"/>
        <v>PS-15-LR1</v>
      </c>
      <c r="E292" s="48" t="str">
        <f t="shared" si="96"/>
        <v>Poste de Sectionnement n°15 LR1</v>
      </c>
      <c r="F292" s="19">
        <v>35065</v>
      </c>
      <c r="G292" s="19">
        <v>35065</v>
      </c>
      <c r="H292" s="41" t="s">
        <v>20</v>
      </c>
      <c r="I292" s="41">
        <v>1</v>
      </c>
      <c r="J292" s="41" t="s">
        <v>3557</v>
      </c>
      <c r="K292" s="41">
        <v>16</v>
      </c>
      <c r="L292" s="41"/>
      <c r="M292" s="41" t="s">
        <v>358</v>
      </c>
      <c r="N292" s="41" t="s">
        <v>1808</v>
      </c>
      <c r="O292" s="43">
        <f t="shared" si="97"/>
        <v>186</v>
      </c>
      <c r="P292" s="43">
        <f t="shared" si="98"/>
        <v>544.9</v>
      </c>
      <c r="Q292" s="41" t="s">
        <v>998</v>
      </c>
      <c r="R292" s="48" t="str">
        <f t="shared" si="90"/>
        <v>(15,'PS-15-LR1','Poste de Sectionnement n°15 LR1','Monday-01-jj','Monday-01-jj',NULL,1,),</v>
      </c>
    </row>
    <row r="293" spans="1:18" ht="20.100000000000001" hidden="1" customHeight="1" x14ac:dyDescent="0.25">
      <c r="A293" s="38">
        <v>16</v>
      </c>
      <c r="B293" s="38" t="s">
        <v>3372</v>
      </c>
      <c r="C293" s="38">
        <v>12</v>
      </c>
      <c r="D293" s="39" t="str">
        <f t="shared" si="95"/>
        <v>PS-16-LR1</v>
      </c>
      <c r="E293" s="48" t="str">
        <f t="shared" si="96"/>
        <v>Poste de Sectionnement n°16 LR1</v>
      </c>
      <c r="F293" s="19">
        <v>35065</v>
      </c>
      <c r="G293" s="19">
        <v>35065</v>
      </c>
      <c r="H293" s="41" t="s">
        <v>20</v>
      </c>
      <c r="I293" s="41">
        <v>1</v>
      </c>
      <c r="J293" s="41" t="s">
        <v>3557</v>
      </c>
      <c r="K293" s="41">
        <v>16</v>
      </c>
      <c r="L293" s="41"/>
      <c r="M293" s="41" t="s">
        <v>358</v>
      </c>
      <c r="N293" s="41" t="s">
        <v>1809</v>
      </c>
      <c r="O293" s="43">
        <f t="shared" si="97"/>
        <v>178</v>
      </c>
      <c r="P293" s="43">
        <f t="shared" si="98"/>
        <v>565.6</v>
      </c>
      <c r="Q293" s="41" t="s">
        <v>998</v>
      </c>
      <c r="R293" s="48" t="str">
        <f t="shared" si="90"/>
        <v>(16,'PS-16-LR1','Poste de Sectionnement n°16 LR1','Monday-01-jj','Monday-01-jj',NULL,1,),</v>
      </c>
    </row>
    <row r="294" spans="1:18" ht="20.100000000000001" hidden="1" customHeight="1" x14ac:dyDescent="0.25">
      <c r="A294" s="38">
        <v>17</v>
      </c>
      <c r="B294" s="38" t="s">
        <v>3372</v>
      </c>
      <c r="C294" s="38">
        <v>12</v>
      </c>
      <c r="D294" s="39" t="str">
        <f t="shared" si="95"/>
        <v>PS-17-LR1</v>
      </c>
      <c r="E294" s="48" t="str">
        <f t="shared" si="96"/>
        <v>Poste de Sectionnement n°17 LR1</v>
      </c>
      <c r="F294" s="19">
        <v>35065</v>
      </c>
      <c r="G294" s="19">
        <v>35065</v>
      </c>
      <c r="H294" s="41" t="s">
        <v>20</v>
      </c>
      <c r="I294" s="41">
        <v>1</v>
      </c>
      <c r="J294" s="41" t="s">
        <v>3557</v>
      </c>
      <c r="K294" s="41">
        <v>16</v>
      </c>
      <c r="L294" s="41"/>
      <c r="M294" s="41" t="s">
        <v>358</v>
      </c>
      <c r="N294" s="41" t="s">
        <v>1810</v>
      </c>
      <c r="O294" s="43">
        <f t="shared" si="97"/>
        <v>167</v>
      </c>
      <c r="P294" s="43">
        <f t="shared" si="98"/>
        <v>586.4</v>
      </c>
      <c r="Q294" s="41" t="s">
        <v>998</v>
      </c>
      <c r="R294" s="48" t="str">
        <f t="shared" si="90"/>
        <v>(17,'PS-17-LR1','Poste de Sectionnement n°17 LR1','Monday-01-jj','Monday-01-jj',NULL,1,),</v>
      </c>
    </row>
    <row r="295" spans="1:18" ht="20.100000000000001" hidden="1" customHeight="1" x14ac:dyDescent="0.25">
      <c r="A295" s="38">
        <v>18</v>
      </c>
      <c r="B295" s="38" t="s">
        <v>3372</v>
      </c>
      <c r="C295" s="38">
        <v>12</v>
      </c>
      <c r="D295" s="39" t="str">
        <f t="shared" si="95"/>
        <v>PS-18-LR1</v>
      </c>
      <c r="E295" s="48" t="str">
        <f t="shared" si="96"/>
        <v>Poste de Sectionnement n°18 LR1</v>
      </c>
      <c r="F295" s="19">
        <v>35065</v>
      </c>
      <c r="G295" s="19">
        <v>35065</v>
      </c>
      <c r="H295" s="41" t="s">
        <v>20</v>
      </c>
      <c r="I295" s="41">
        <v>1</v>
      </c>
      <c r="J295" s="41" t="s">
        <v>3557</v>
      </c>
      <c r="K295" s="41">
        <v>16</v>
      </c>
      <c r="L295" s="41"/>
      <c r="M295" s="41" t="s">
        <v>358</v>
      </c>
      <c r="N295" s="41" t="s">
        <v>1811</v>
      </c>
      <c r="O295" s="43">
        <f t="shared" si="97"/>
        <v>160</v>
      </c>
      <c r="P295" s="43">
        <f t="shared" si="98"/>
        <v>604.29999999999995</v>
      </c>
      <c r="Q295" s="41" t="s">
        <v>998</v>
      </c>
      <c r="R295" s="48" t="str">
        <f t="shared" si="90"/>
        <v>(18,'PS-18-LR1','Poste de Sectionnement n°18 LR1','Monday-01-jj','Monday-01-jj',NULL,1,),</v>
      </c>
    </row>
    <row r="296" spans="1:18" ht="20.100000000000001" hidden="1" customHeight="1" x14ac:dyDescent="0.25">
      <c r="A296" s="38">
        <v>19</v>
      </c>
      <c r="B296" s="38" t="s">
        <v>3372</v>
      </c>
      <c r="C296" s="38">
        <v>12</v>
      </c>
      <c r="D296" s="39" t="str">
        <f t="shared" si="95"/>
        <v>PS-19-LR1</v>
      </c>
      <c r="E296" s="48" t="str">
        <f t="shared" si="96"/>
        <v>Poste de Sectionnement n°19 LR1</v>
      </c>
      <c r="F296" s="19">
        <v>35065</v>
      </c>
      <c r="G296" s="19">
        <v>35065</v>
      </c>
      <c r="H296" s="41" t="s">
        <v>20</v>
      </c>
      <c r="I296" s="41">
        <v>1</v>
      </c>
      <c r="J296" s="41" t="s">
        <v>3557</v>
      </c>
      <c r="K296" s="41">
        <v>16</v>
      </c>
      <c r="L296" s="41"/>
      <c r="M296" s="41" t="s">
        <v>358</v>
      </c>
      <c r="N296" s="41" t="s">
        <v>1812</v>
      </c>
      <c r="O296" s="43">
        <f t="shared" si="97"/>
        <v>151</v>
      </c>
      <c r="P296" s="43">
        <f t="shared" si="98"/>
        <v>623.29999999999995</v>
      </c>
      <c r="Q296" s="41" t="s">
        <v>998</v>
      </c>
      <c r="R296" s="48" t="str">
        <f t="shared" si="90"/>
        <v>(19,'PS-19-LR1','Poste de Sectionnement n°19 LR1','Monday-01-jj','Monday-01-jj',NULL,1,),</v>
      </c>
    </row>
    <row r="297" spans="1:18" ht="20.100000000000001" hidden="1" customHeight="1" x14ac:dyDescent="0.25">
      <c r="A297" s="38">
        <v>20</v>
      </c>
      <c r="B297" s="38" t="s">
        <v>3372</v>
      </c>
      <c r="C297" s="38">
        <v>12</v>
      </c>
      <c r="D297" s="39" t="str">
        <f t="shared" si="95"/>
        <v>PS-20-LR1</v>
      </c>
      <c r="E297" s="48" t="str">
        <f t="shared" si="96"/>
        <v>Poste de Sectionnement n°20 LR1</v>
      </c>
      <c r="F297" s="19">
        <v>35065</v>
      </c>
      <c r="G297" s="19">
        <v>35065</v>
      </c>
      <c r="H297" s="41" t="s">
        <v>20</v>
      </c>
      <c r="I297" s="41">
        <v>1</v>
      </c>
      <c r="J297" s="41" t="s">
        <v>3557</v>
      </c>
      <c r="K297" s="41">
        <v>16</v>
      </c>
      <c r="L297" s="41"/>
      <c r="M297" s="41" t="s">
        <v>358</v>
      </c>
      <c r="N297" s="41" t="s">
        <v>1190</v>
      </c>
      <c r="O297" s="43">
        <f t="shared" si="97"/>
        <v>167</v>
      </c>
      <c r="P297" s="43">
        <f t="shared" si="98"/>
        <v>653.5</v>
      </c>
      <c r="Q297" s="41" t="s">
        <v>998</v>
      </c>
      <c r="R297" s="48" t="str">
        <f t="shared" si="90"/>
        <v>(20,'PS-20-LR1','Poste de Sectionnement n°20 LR1','Monday-01-jj','Monday-01-jj',NULL,1,),</v>
      </c>
    </row>
    <row r="298" spans="1:18" ht="20.100000000000001" hidden="1" customHeight="1" x14ac:dyDescent="0.25">
      <c r="A298" s="38" t="s">
        <v>1805</v>
      </c>
      <c r="B298" s="38" t="s">
        <v>3372</v>
      </c>
      <c r="C298" s="38">
        <v>12</v>
      </c>
      <c r="D298" s="39" t="str">
        <f t="shared" si="95"/>
        <v>PS-20 Bis-LR1</v>
      </c>
      <c r="E298" s="48" t="str">
        <f t="shared" si="96"/>
        <v>Poste de Sectionnement n°20 Bis LR1</v>
      </c>
      <c r="F298" s="19">
        <v>35065</v>
      </c>
      <c r="G298" s="19">
        <v>35065</v>
      </c>
      <c r="H298" s="41" t="s">
        <v>20</v>
      </c>
      <c r="I298" s="41">
        <v>1</v>
      </c>
      <c r="J298" s="41" t="s">
        <v>3557</v>
      </c>
      <c r="K298" s="41">
        <v>16</v>
      </c>
      <c r="L298" s="41"/>
      <c r="M298" s="41" t="s">
        <v>358</v>
      </c>
      <c r="N298" s="41" t="s">
        <v>1813</v>
      </c>
      <c r="O298" s="43">
        <f t="shared" si="97"/>
        <v>167</v>
      </c>
      <c r="P298" s="43">
        <f t="shared" si="98"/>
        <v>672.5</v>
      </c>
      <c r="Q298" s="41" t="s">
        <v>998</v>
      </c>
      <c r="R298" s="48" t="str">
        <f t="shared" si="90"/>
        <v>(20 Bis,'PS-20 Bis-LR1','Poste de Sectionnement n°20 Bis LR1','Monday-01-jj','Monday-01-jj',NULL,1,),</v>
      </c>
    </row>
    <row r="299" spans="1:18" ht="20.100000000000001" hidden="1" customHeight="1" x14ac:dyDescent="0.25">
      <c r="A299" s="38">
        <v>21</v>
      </c>
      <c r="B299" s="38" t="s">
        <v>3372</v>
      </c>
      <c r="C299" s="38">
        <v>12</v>
      </c>
      <c r="D299" s="39" t="str">
        <f t="shared" si="95"/>
        <v>PS-21-LR1</v>
      </c>
      <c r="E299" s="48" t="str">
        <f t="shared" si="96"/>
        <v>Poste de Sectionnement n°21 LR1</v>
      </c>
      <c r="F299" s="19">
        <v>35065</v>
      </c>
      <c r="G299" s="19">
        <v>35065</v>
      </c>
      <c r="H299" s="41" t="s">
        <v>20</v>
      </c>
      <c r="I299" s="41">
        <v>1</v>
      </c>
      <c r="J299" s="41" t="s">
        <v>3557</v>
      </c>
      <c r="K299" s="41">
        <v>16</v>
      </c>
      <c r="L299" s="41"/>
      <c r="M299" s="41" t="s">
        <v>358</v>
      </c>
      <c r="N299" s="41" t="s">
        <v>1814</v>
      </c>
      <c r="O299" s="43">
        <f t="shared" si="97"/>
        <v>177</v>
      </c>
      <c r="P299" s="43">
        <f t="shared" si="98"/>
        <v>694.5</v>
      </c>
      <c r="Q299" s="41" t="s">
        <v>744</v>
      </c>
      <c r="R299" s="48" t="str">
        <f t="shared" si="90"/>
        <v>(21,'PS-21-LR1','Poste de Sectionnement n°21 LR1','Monday-01-jj','Monday-01-jj',NULL,1,),</v>
      </c>
    </row>
    <row r="300" spans="1:18" ht="20.100000000000001" hidden="1" customHeight="1" x14ac:dyDescent="0.25">
      <c r="A300" s="38">
        <v>22</v>
      </c>
      <c r="B300" s="38" t="s">
        <v>3372</v>
      </c>
      <c r="C300" s="38">
        <v>12</v>
      </c>
      <c r="D300" s="39" t="str">
        <f t="shared" si="95"/>
        <v>PS-22-LR1</v>
      </c>
      <c r="E300" s="48" t="str">
        <f t="shared" si="96"/>
        <v>Poste de Sectionnement n°22 LR1</v>
      </c>
      <c r="F300" s="19">
        <v>35065</v>
      </c>
      <c r="G300" s="19">
        <v>35065</v>
      </c>
      <c r="H300" s="41" t="s">
        <v>20</v>
      </c>
      <c r="I300" s="41">
        <v>1</v>
      </c>
      <c r="J300" s="41" t="s">
        <v>3557</v>
      </c>
      <c r="K300" s="41">
        <v>16</v>
      </c>
      <c r="L300" s="41"/>
      <c r="M300" s="41" t="s">
        <v>358</v>
      </c>
      <c r="N300" s="41" t="s">
        <v>1815</v>
      </c>
      <c r="O300" s="43">
        <f t="shared" si="97"/>
        <v>148</v>
      </c>
      <c r="P300" s="43">
        <f t="shared" si="98"/>
        <v>715.5</v>
      </c>
      <c r="Q300" s="41" t="s">
        <v>742</v>
      </c>
      <c r="R300" s="48" t="str">
        <f t="shared" si="90"/>
        <v>(22,'PS-22-LR1','Poste de Sectionnement n°22 LR1','Monday-01-jj','Monday-01-jj',NULL,1,),</v>
      </c>
    </row>
    <row r="301" spans="1:18" ht="20.100000000000001" hidden="1" customHeight="1" x14ac:dyDescent="0.25">
      <c r="A301" s="38">
        <v>23</v>
      </c>
      <c r="B301" s="38" t="s">
        <v>3372</v>
      </c>
      <c r="C301" s="38">
        <v>12</v>
      </c>
      <c r="D301" s="39" t="str">
        <f t="shared" si="95"/>
        <v>PS-23-LR1</v>
      </c>
      <c r="E301" s="48" t="str">
        <f t="shared" si="96"/>
        <v>Poste de Sectionnement n°23 LR1</v>
      </c>
      <c r="F301" s="19">
        <v>35065</v>
      </c>
      <c r="G301" s="19">
        <v>35065</v>
      </c>
      <c r="H301" s="41" t="s">
        <v>20</v>
      </c>
      <c r="I301" s="41">
        <v>1</v>
      </c>
      <c r="J301" s="41" t="s">
        <v>3557</v>
      </c>
      <c r="K301" s="41">
        <v>16</v>
      </c>
      <c r="L301" s="41"/>
      <c r="M301" s="41" t="s">
        <v>358</v>
      </c>
      <c r="N301" s="41" t="s">
        <v>1816</v>
      </c>
      <c r="O301" s="43">
        <f t="shared" si="97"/>
        <v>136</v>
      </c>
      <c r="P301" s="43">
        <f t="shared" si="98"/>
        <v>741.6</v>
      </c>
      <c r="Q301" s="41" t="s">
        <v>1826</v>
      </c>
      <c r="R301" s="48" t="str">
        <f t="shared" si="90"/>
        <v>(23,'PS-23-LR1','Poste de Sectionnement n°23 LR1','Monday-01-jj','Monday-01-jj',NULL,1,),</v>
      </c>
    </row>
    <row r="302" spans="1:18" ht="20.100000000000001" hidden="1" customHeight="1" x14ac:dyDescent="0.25">
      <c r="A302" s="38">
        <v>24</v>
      </c>
      <c r="B302" s="38" t="s">
        <v>3372</v>
      </c>
      <c r="C302" s="38">
        <v>12</v>
      </c>
      <c r="D302" s="39" t="str">
        <f t="shared" si="95"/>
        <v>PS-24-LR1</v>
      </c>
      <c r="E302" s="48" t="str">
        <f t="shared" si="96"/>
        <v>Poste de Sectionnement n°24 LR1</v>
      </c>
      <c r="F302" s="19">
        <v>35065</v>
      </c>
      <c r="G302" s="19">
        <v>35065</v>
      </c>
      <c r="H302" s="41" t="s">
        <v>20</v>
      </c>
      <c r="I302" s="41">
        <v>1</v>
      </c>
      <c r="J302" s="41" t="s">
        <v>3557</v>
      </c>
      <c r="K302" s="41">
        <v>16</v>
      </c>
      <c r="L302" s="41"/>
      <c r="M302" s="41" t="s">
        <v>358</v>
      </c>
      <c r="N302" s="41" t="s">
        <v>1817</v>
      </c>
      <c r="O302" s="43">
        <f t="shared" si="97"/>
        <v>160</v>
      </c>
      <c r="P302" s="43">
        <f t="shared" si="98"/>
        <v>769.5</v>
      </c>
      <c r="Q302" s="41" t="s">
        <v>744</v>
      </c>
      <c r="R302" s="48" t="str">
        <f t="shared" si="90"/>
        <v>(24,'PS-24-LR1','Poste de Sectionnement n°24 LR1','Monday-01-jj','Monday-01-jj',NULL,1,),</v>
      </c>
    </row>
    <row r="303" spans="1:18" ht="20.100000000000001" hidden="1" customHeight="1" x14ac:dyDescent="0.25">
      <c r="A303" s="38">
        <v>25</v>
      </c>
      <c r="B303" s="38" t="s">
        <v>3372</v>
      </c>
      <c r="C303" s="38">
        <v>12</v>
      </c>
      <c r="D303" s="39" t="str">
        <f t="shared" si="95"/>
        <v>PS-25-LR1</v>
      </c>
      <c r="E303" s="48" t="str">
        <f t="shared" si="96"/>
        <v>Poste de Sectionnement n°25 LR1</v>
      </c>
      <c r="F303" s="19">
        <v>35065</v>
      </c>
      <c r="G303" s="19">
        <v>35065</v>
      </c>
      <c r="H303" s="41" t="s">
        <v>20</v>
      </c>
      <c r="I303" s="41">
        <v>1</v>
      </c>
      <c r="J303" s="41" t="s">
        <v>3557</v>
      </c>
      <c r="K303" s="41">
        <v>16</v>
      </c>
      <c r="L303" s="41"/>
      <c r="M303" s="41" t="s">
        <v>358</v>
      </c>
      <c r="N303" s="41" t="s">
        <v>1818</v>
      </c>
      <c r="O303" s="43">
        <f t="shared" si="97"/>
        <v>318</v>
      </c>
      <c r="P303" s="43">
        <f t="shared" si="98"/>
        <v>837.6</v>
      </c>
      <c r="Q303" s="41" t="s">
        <v>745</v>
      </c>
      <c r="R303" s="48" t="str">
        <f t="shared" si="90"/>
        <v>(25,'PS-25-LR1','Poste de Sectionnement n°25 LR1','Monday-01-jj','Monday-01-jj',NULL,1,),</v>
      </c>
    </row>
    <row r="304" spans="1:18" ht="20.100000000000001" hidden="1" customHeight="1" x14ac:dyDescent="0.25">
      <c r="A304" s="38">
        <v>26</v>
      </c>
      <c r="B304" s="38" t="s">
        <v>3372</v>
      </c>
      <c r="C304" s="38">
        <v>12</v>
      </c>
      <c r="D304" s="39" t="str">
        <f t="shared" si="95"/>
        <v>PS-26-LR1</v>
      </c>
      <c r="E304" s="48" t="str">
        <f t="shared" si="96"/>
        <v>Poste de Sectionnement n°26 LR1</v>
      </c>
      <c r="F304" s="19">
        <v>35065</v>
      </c>
      <c r="G304" s="19">
        <v>35065</v>
      </c>
      <c r="H304" s="41" t="s">
        <v>20</v>
      </c>
      <c r="I304" s="41">
        <v>1</v>
      </c>
      <c r="J304" s="41" t="s">
        <v>3557</v>
      </c>
      <c r="K304" s="41">
        <v>16</v>
      </c>
      <c r="L304" s="41"/>
      <c r="M304" s="41" t="s">
        <v>358</v>
      </c>
      <c r="N304" s="41" t="s">
        <v>1819</v>
      </c>
      <c r="O304" s="43">
        <f t="shared" si="97"/>
        <v>352</v>
      </c>
      <c r="P304" s="43">
        <f t="shared" si="98"/>
        <v>857.5</v>
      </c>
      <c r="Q304" s="41" t="s">
        <v>745</v>
      </c>
      <c r="R304" s="48" t="str">
        <f t="shared" si="90"/>
        <v>(26,'PS-26-LR1','Poste de Sectionnement n°26 LR1','Monday-01-jj','Monday-01-jj',NULL,1,),</v>
      </c>
    </row>
    <row r="305" spans="1:18" ht="20.100000000000001" hidden="1" customHeight="1" x14ac:dyDescent="0.25">
      <c r="A305" s="38">
        <v>27</v>
      </c>
      <c r="B305" s="38" t="s">
        <v>3372</v>
      </c>
      <c r="C305" s="38">
        <v>12</v>
      </c>
      <c r="D305" s="39" t="str">
        <f t="shared" si="95"/>
        <v>PS-27-LR1</v>
      </c>
      <c r="E305" s="48" t="str">
        <f t="shared" si="96"/>
        <v>Poste de Sectionnement n°27 LR1</v>
      </c>
      <c r="F305" s="19">
        <v>35065</v>
      </c>
      <c r="G305" s="19">
        <v>35065</v>
      </c>
      <c r="H305" s="41" t="s">
        <v>20</v>
      </c>
      <c r="I305" s="41">
        <v>1</v>
      </c>
      <c r="J305" s="41" t="s">
        <v>3557</v>
      </c>
      <c r="K305" s="41">
        <v>16</v>
      </c>
      <c r="L305" s="41"/>
      <c r="M305" s="41" t="s">
        <v>358</v>
      </c>
      <c r="N305" s="41" t="s">
        <v>1820</v>
      </c>
      <c r="O305" s="43">
        <f t="shared" si="97"/>
        <v>412</v>
      </c>
      <c r="P305" s="43">
        <f t="shared" si="98"/>
        <v>878.5</v>
      </c>
      <c r="Q305" s="41" t="s">
        <v>745</v>
      </c>
      <c r="R305" s="48" t="str">
        <f t="shared" si="90"/>
        <v>(27,'PS-27-LR1','Poste de Sectionnement n°27 LR1','Monday-01-jj','Monday-01-jj',NULL,1,),</v>
      </c>
    </row>
    <row r="306" spans="1:18" ht="20.100000000000001" hidden="1" customHeight="1" x14ac:dyDescent="0.25">
      <c r="A306" s="38">
        <v>28</v>
      </c>
      <c r="B306" s="38" t="s">
        <v>3372</v>
      </c>
      <c r="C306" s="38">
        <v>12</v>
      </c>
      <c r="D306" s="39" t="str">
        <f t="shared" si="95"/>
        <v>PS-28-LR1</v>
      </c>
      <c r="E306" s="48" t="str">
        <f t="shared" si="96"/>
        <v>Poste de Sectionnement n°28 LR1</v>
      </c>
      <c r="F306" s="19">
        <v>35065</v>
      </c>
      <c r="G306" s="19">
        <v>35065</v>
      </c>
      <c r="H306" s="41" t="s">
        <v>20</v>
      </c>
      <c r="I306" s="41">
        <v>1</v>
      </c>
      <c r="J306" s="41" t="s">
        <v>3557</v>
      </c>
      <c r="K306" s="41">
        <v>16</v>
      </c>
      <c r="L306" s="41"/>
      <c r="M306" s="41" t="s">
        <v>358</v>
      </c>
      <c r="N306" s="41" t="s">
        <v>1821</v>
      </c>
      <c r="O306" s="43">
        <f t="shared" si="97"/>
        <v>496</v>
      </c>
      <c r="P306" s="43">
        <f t="shared" si="98"/>
        <v>900.7</v>
      </c>
      <c r="Q306" s="41" t="s">
        <v>1827</v>
      </c>
      <c r="R306" s="48" t="str">
        <f t="shared" si="90"/>
        <v>(28,'PS-28-LR1','Poste de Sectionnement n°28 LR1','Monday-01-jj','Monday-01-jj',NULL,1,),</v>
      </c>
    </row>
    <row r="307" spans="1:18" ht="20.100000000000001" hidden="1" customHeight="1" x14ac:dyDescent="0.25">
      <c r="A307" s="38">
        <v>29</v>
      </c>
      <c r="B307" s="38" t="s">
        <v>3372</v>
      </c>
      <c r="C307" s="38">
        <v>12</v>
      </c>
      <c r="D307" s="39" t="str">
        <f t="shared" si="95"/>
        <v>PS-29-LR1</v>
      </c>
      <c r="E307" s="48" t="str">
        <f t="shared" si="96"/>
        <v>Poste de Sectionnement n°29 LR1</v>
      </c>
      <c r="F307" s="19">
        <v>35065</v>
      </c>
      <c r="G307" s="19">
        <v>35065</v>
      </c>
      <c r="H307" s="41" t="s">
        <v>20</v>
      </c>
      <c r="I307" s="41">
        <v>1</v>
      </c>
      <c r="J307" s="41" t="s">
        <v>3557</v>
      </c>
      <c r="K307" s="41">
        <v>16</v>
      </c>
      <c r="L307" s="41"/>
      <c r="M307" s="41" t="s">
        <v>358</v>
      </c>
      <c r="N307" s="41" t="s">
        <v>1822</v>
      </c>
      <c r="O307" s="43">
        <f t="shared" si="97"/>
        <v>558</v>
      </c>
      <c r="P307" s="43">
        <f t="shared" si="98"/>
        <v>918.3</v>
      </c>
      <c r="Q307" s="41" t="s">
        <v>1828</v>
      </c>
      <c r="R307" s="48" t="str">
        <f t="shared" si="90"/>
        <v>(29,'PS-29-LR1','Poste de Sectionnement n°29 LR1','Monday-01-jj','Monday-01-jj',NULL,1,),</v>
      </c>
    </row>
    <row r="308" spans="1:18" ht="20.100000000000001" hidden="1" customHeight="1" x14ac:dyDescent="0.25">
      <c r="A308" s="38">
        <v>30</v>
      </c>
      <c r="B308" s="38" t="s">
        <v>3372</v>
      </c>
      <c r="C308" s="38">
        <v>12</v>
      </c>
      <c r="D308" s="39" t="str">
        <f t="shared" si="95"/>
        <v>PS-30-LR1</v>
      </c>
      <c r="E308" s="48" t="str">
        <f t="shared" si="96"/>
        <v>Poste de Sectionnement n°30 LR1</v>
      </c>
      <c r="F308" s="19">
        <v>35065</v>
      </c>
      <c r="G308" s="19">
        <v>35065</v>
      </c>
      <c r="H308" s="41" t="s">
        <v>20</v>
      </c>
      <c r="I308" s="41">
        <v>1</v>
      </c>
      <c r="J308" s="41" t="s">
        <v>3557</v>
      </c>
      <c r="K308" s="41">
        <v>16</v>
      </c>
      <c r="L308" s="41"/>
      <c r="M308" s="41" t="s">
        <v>358</v>
      </c>
      <c r="N308" s="41" t="s">
        <v>1823</v>
      </c>
      <c r="O308" s="43">
        <f t="shared" si="97"/>
        <v>626</v>
      </c>
      <c r="P308" s="43">
        <f t="shared" si="98"/>
        <v>936.6</v>
      </c>
      <c r="Q308" s="41" t="s">
        <v>1829</v>
      </c>
      <c r="R308" s="48" t="str">
        <f t="shared" si="90"/>
        <v>(30,'PS-30-LR1','Poste de Sectionnement n°30 LR1','Monday-01-jj','Monday-01-jj',NULL,1,),</v>
      </c>
    </row>
    <row r="309" spans="1:18" ht="20.100000000000001" hidden="1" customHeight="1" x14ac:dyDescent="0.25">
      <c r="A309" s="38">
        <v>31</v>
      </c>
      <c r="B309" s="38" t="s">
        <v>3372</v>
      </c>
      <c r="C309" s="38">
        <v>12</v>
      </c>
      <c r="D309" s="39" t="str">
        <f t="shared" si="95"/>
        <v>PS-31-LR1</v>
      </c>
      <c r="E309" s="48" t="str">
        <f t="shared" si="96"/>
        <v>Poste de Sectionnement n°31 LR1</v>
      </c>
      <c r="F309" s="19">
        <v>35065</v>
      </c>
      <c r="G309" s="19">
        <v>35065</v>
      </c>
      <c r="H309" s="41" t="s">
        <v>20</v>
      </c>
      <c r="I309" s="41">
        <v>1</v>
      </c>
      <c r="J309" s="41" t="s">
        <v>3557</v>
      </c>
      <c r="K309" s="41">
        <v>16</v>
      </c>
      <c r="L309" s="41"/>
      <c r="M309" s="41" t="s">
        <v>358</v>
      </c>
      <c r="N309" s="41" t="s">
        <v>1824</v>
      </c>
      <c r="O309" s="43">
        <f t="shared" si="97"/>
        <v>708</v>
      </c>
      <c r="P309" s="43">
        <f t="shared" si="98"/>
        <v>954.3</v>
      </c>
      <c r="Q309" s="41" t="s">
        <v>1829</v>
      </c>
      <c r="R309" s="48" t="str">
        <f t="shared" si="90"/>
        <v>(31,'PS-31-LR1','Poste de Sectionnement n°31 LR1','Monday-01-jj','Monday-01-jj',NULL,1,),</v>
      </c>
    </row>
    <row r="310" spans="1:18" ht="20.100000000000001" hidden="1" customHeight="1" x14ac:dyDescent="0.25">
      <c r="A310" s="38">
        <v>32</v>
      </c>
      <c r="B310" s="38" t="s">
        <v>3372</v>
      </c>
      <c r="C310" s="38">
        <v>12</v>
      </c>
      <c r="D310" s="39" t="str">
        <f t="shared" si="95"/>
        <v>PS-32-LR1</v>
      </c>
      <c r="E310" s="48" t="str">
        <f t="shared" si="96"/>
        <v>Poste de Sectionnement n°32 LR1</v>
      </c>
      <c r="F310" s="19">
        <v>35065</v>
      </c>
      <c r="G310" s="19">
        <v>35065</v>
      </c>
      <c r="H310" s="41" t="s">
        <v>20</v>
      </c>
      <c r="I310" s="41">
        <v>1</v>
      </c>
      <c r="J310" s="41" t="s">
        <v>3557</v>
      </c>
      <c r="K310" s="41">
        <v>16</v>
      </c>
      <c r="L310" s="41"/>
      <c r="M310" s="41" t="s">
        <v>358</v>
      </c>
      <c r="N310" s="41" t="s">
        <v>1825</v>
      </c>
      <c r="O310" s="43">
        <f t="shared" si="97"/>
        <v>770</v>
      </c>
      <c r="P310" s="43">
        <f t="shared" si="98"/>
        <v>971.3</v>
      </c>
      <c r="Q310" s="41" t="s">
        <v>1830</v>
      </c>
      <c r="R310" s="48" t="str">
        <f t="shared" si="90"/>
        <v>(32,'PS-32-LR1','Poste de Sectionnement n°32 LR1','Monday-01-jj','Monday-01-jj',NULL,1,),</v>
      </c>
    </row>
    <row r="311" spans="1:18" ht="20.100000000000001" hidden="1" customHeight="1" x14ac:dyDescent="0.25">
      <c r="A311" s="38">
        <v>1</v>
      </c>
      <c r="B311" s="38" t="s">
        <v>3372</v>
      </c>
      <c r="C311" s="38">
        <v>12</v>
      </c>
      <c r="D311" s="39" t="str">
        <f t="shared" si="95"/>
        <v>PS-01-DLR1</v>
      </c>
      <c r="E311" s="48" t="str">
        <f t="shared" si="96"/>
        <v>Poste de Sectionnement n°01 DLR1</v>
      </c>
      <c r="F311" s="19">
        <v>38182</v>
      </c>
      <c r="G311" s="19">
        <v>38182</v>
      </c>
      <c r="H311" s="41" t="s">
        <v>20</v>
      </c>
      <c r="I311" s="41">
        <v>1</v>
      </c>
      <c r="J311" s="41" t="s">
        <v>3557</v>
      </c>
      <c r="K311" s="41">
        <v>16</v>
      </c>
      <c r="L311" s="41"/>
      <c r="M311" s="41" t="s">
        <v>361</v>
      </c>
      <c r="N311" s="41" t="s">
        <v>1831</v>
      </c>
      <c r="O311" s="43">
        <f t="shared" ref="O311:O335" si="99">VALUE(RIGHT(N311,LEN(N311)-SEARCH("/",N311)))</f>
        <v>558</v>
      </c>
      <c r="P311" s="43">
        <f t="shared" ref="P311:P335" si="100">VALUE(SUBSTITUTE(LEFT(N311,SEARCH("/",N311)-1),"+",","))</f>
        <v>18</v>
      </c>
      <c r="Q311" s="41" t="s">
        <v>980</v>
      </c>
      <c r="R311" s="48" t="str">
        <f t="shared" si="90"/>
        <v>(1,'PS-01-DLR1','Poste de Sectionnement n°01 DLR1','Wednesday-07-jj','Wednesday-07-jj',NULL,1,),</v>
      </c>
    </row>
    <row r="312" spans="1:18" ht="20.100000000000001" hidden="1" customHeight="1" x14ac:dyDescent="0.25">
      <c r="A312" s="38">
        <v>2</v>
      </c>
      <c r="B312" s="38" t="s">
        <v>3372</v>
      </c>
      <c r="C312" s="38">
        <v>12</v>
      </c>
      <c r="D312" s="39" t="str">
        <f t="shared" si="95"/>
        <v>PS-02-DLR1</v>
      </c>
      <c r="E312" s="48" t="str">
        <f t="shared" si="96"/>
        <v>Poste de Sectionnement n°02 DLR1</v>
      </c>
      <c r="F312" s="19">
        <v>38182</v>
      </c>
      <c r="G312" s="19">
        <v>38182</v>
      </c>
      <c r="H312" s="41" t="s">
        <v>20</v>
      </c>
      <c r="I312" s="41">
        <v>1</v>
      </c>
      <c r="J312" s="41" t="s">
        <v>3557</v>
      </c>
      <c r="K312" s="41">
        <v>16</v>
      </c>
      <c r="L312" s="41"/>
      <c r="M312" s="41" t="s">
        <v>361</v>
      </c>
      <c r="N312" s="41" t="s">
        <v>1832</v>
      </c>
      <c r="O312" s="43">
        <f t="shared" si="99"/>
        <v>570</v>
      </c>
      <c r="P312" s="43">
        <f t="shared" si="100"/>
        <v>54</v>
      </c>
      <c r="Q312" s="41" t="s">
        <v>980</v>
      </c>
      <c r="R312" s="48" t="str">
        <f t="shared" si="90"/>
        <v>(2,'PS-02-DLR1','Poste de Sectionnement n°02 DLR1','Wednesday-07-jj','Wednesday-07-jj',NULL,1,),</v>
      </c>
    </row>
    <row r="313" spans="1:18" ht="20.100000000000001" hidden="1" customHeight="1" x14ac:dyDescent="0.25">
      <c r="A313" s="38">
        <v>3</v>
      </c>
      <c r="B313" s="38" t="s">
        <v>3372</v>
      </c>
      <c r="C313" s="38">
        <v>12</v>
      </c>
      <c r="D313" s="39" t="str">
        <f t="shared" ref="D313:D337" si="101">CONCATENATE("PS-",TEXT(A313,"00"),"-",M313)</f>
        <v>PS-03-DLR1</v>
      </c>
      <c r="E313" s="48" t="str">
        <f t="shared" ref="E313:E337" si="102">CONCATENATE("Poste de Sectionnement n°",TEXT(A313,"00")," ",M313)</f>
        <v>Poste de Sectionnement n°03 DLR1</v>
      </c>
      <c r="F313" s="19">
        <v>38182</v>
      </c>
      <c r="G313" s="19">
        <v>38182</v>
      </c>
      <c r="H313" s="41" t="s">
        <v>20</v>
      </c>
      <c r="I313" s="41">
        <v>1</v>
      </c>
      <c r="J313" s="41" t="s">
        <v>3557</v>
      </c>
      <c r="K313" s="41">
        <v>16</v>
      </c>
      <c r="L313" s="41"/>
      <c r="M313" s="41" t="s">
        <v>361</v>
      </c>
      <c r="N313" s="41" t="s">
        <v>1833</v>
      </c>
      <c r="O313" s="43">
        <f t="shared" si="99"/>
        <v>540</v>
      </c>
      <c r="P313" s="43">
        <f t="shared" si="100"/>
        <v>93</v>
      </c>
      <c r="Q313" s="41" t="s">
        <v>1804</v>
      </c>
      <c r="R313" s="48" t="str">
        <f t="shared" si="90"/>
        <v>(3,'PS-03-DLR1','Poste de Sectionnement n°03 DLR1','Wednesday-07-jj','Wednesday-07-jj',NULL,1,),</v>
      </c>
    </row>
    <row r="314" spans="1:18" ht="20.100000000000001" hidden="1" customHeight="1" x14ac:dyDescent="0.25">
      <c r="A314" s="38">
        <v>4</v>
      </c>
      <c r="B314" s="38" t="s">
        <v>3372</v>
      </c>
      <c r="C314" s="38">
        <v>12</v>
      </c>
      <c r="D314" s="39" t="str">
        <f t="shared" si="101"/>
        <v>PS-04-DLR1</v>
      </c>
      <c r="E314" s="48" t="str">
        <f t="shared" si="102"/>
        <v>Poste de Sectionnement n°04 DLR1</v>
      </c>
      <c r="F314" s="19">
        <v>38264</v>
      </c>
      <c r="G314" s="19">
        <v>38264</v>
      </c>
      <c r="H314" s="41" t="s">
        <v>20</v>
      </c>
      <c r="I314" s="41">
        <v>1</v>
      </c>
      <c r="J314" s="41" t="s">
        <v>3557</v>
      </c>
      <c r="K314" s="41">
        <v>16</v>
      </c>
      <c r="L314" s="41"/>
      <c r="M314" s="41" t="s">
        <v>361</v>
      </c>
      <c r="N314" s="41" t="s">
        <v>1834</v>
      </c>
      <c r="O314" s="43">
        <f t="shared" si="99"/>
        <v>423</v>
      </c>
      <c r="P314" s="43">
        <f t="shared" si="100"/>
        <v>161</v>
      </c>
      <c r="Q314" s="41" t="s">
        <v>1804</v>
      </c>
      <c r="R314" s="48" t="str">
        <f t="shared" si="90"/>
        <v>(4,'PS-04-DLR1','Poste de Sectionnement n°04 DLR1','Monday-10-jj','Monday-10-jj',NULL,1,),</v>
      </c>
    </row>
    <row r="315" spans="1:18" ht="20.100000000000001" hidden="1" customHeight="1" x14ac:dyDescent="0.25">
      <c r="A315" s="38">
        <v>5</v>
      </c>
      <c r="B315" s="38" t="s">
        <v>3372</v>
      </c>
      <c r="C315" s="38">
        <v>12</v>
      </c>
      <c r="D315" s="39" t="str">
        <f t="shared" si="101"/>
        <v>PS-05-DLR1</v>
      </c>
      <c r="E315" s="48" t="str">
        <f t="shared" si="102"/>
        <v>Poste de Sectionnement n°05 DLR1</v>
      </c>
      <c r="F315" s="19">
        <v>38264</v>
      </c>
      <c r="G315" s="19">
        <v>38264</v>
      </c>
      <c r="H315" s="41" t="s">
        <v>20</v>
      </c>
      <c r="I315" s="41">
        <v>1</v>
      </c>
      <c r="J315" s="41" t="s">
        <v>3557</v>
      </c>
      <c r="K315" s="41">
        <v>16</v>
      </c>
      <c r="L315" s="41"/>
      <c r="M315" s="41" t="s">
        <v>361</v>
      </c>
      <c r="N315" s="41" t="s">
        <v>1835</v>
      </c>
      <c r="O315" s="43">
        <f t="shared" si="99"/>
        <v>348</v>
      </c>
      <c r="P315" s="43">
        <f t="shared" si="100"/>
        <v>196</v>
      </c>
      <c r="Q315" s="41" t="s">
        <v>1804</v>
      </c>
      <c r="R315" s="48" t="str">
        <f t="shared" si="90"/>
        <v>(5,'PS-05-DLR1','Poste de Sectionnement n°05 DLR1','Monday-10-jj','Monday-10-jj',NULL,1,),</v>
      </c>
    </row>
    <row r="316" spans="1:18" ht="20.100000000000001" hidden="1" customHeight="1" x14ac:dyDescent="0.25">
      <c r="A316" s="38">
        <v>6</v>
      </c>
      <c r="B316" s="38" t="s">
        <v>3372</v>
      </c>
      <c r="C316" s="38">
        <v>12</v>
      </c>
      <c r="D316" s="39" t="str">
        <f t="shared" si="101"/>
        <v>PS-06-DLR1</v>
      </c>
      <c r="E316" s="48" t="str">
        <f t="shared" si="102"/>
        <v>Poste de Sectionnement n°06 DLR1</v>
      </c>
      <c r="F316" s="19">
        <v>38264</v>
      </c>
      <c r="G316" s="19">
        <v>38264</v>
      </c>
      <c r="H316" s="41" t="s">
        <v>20</v>
      </c>
      <c r="I316" s="41">
        <v>1</v>
      </c>
      <c r="J316" s="41" t="s">
        <v>3557</v>
      </c>
      <c r="K316" s="41">
        <v>16</v>
      </c>
      <c r="L316" s="41"/>
      <c r="M316" s="41" t="s">
        <v>361</v>
      </c>
      <c r="N316" s="41" t="s">
        <v>1836</v>
      </c>
      <c r="O316" s="43">
        <f t="shared" si="99"/>
        <v>318</v>
      </c>
      <c r="P316" s="43">
        <f t="shared" si="100"/>
        <v>214</v>
      </c>
      <c r="Q316" s="41" t="s">
        <v>1804</v>
      </c>
      <c r="R316" s="48" t="str">
        <f t="shared" si="90"/>
        <v>(6,'PS-06-DLR1','Poste de Sectionnement n°06 DLR1','Monday-10-jj','Monday-10-jj',NULL,1,),</v>
      </c>
    </row>
    <row r="317" spans="1:18" ht="20.100000000000001" hidden="1" customHeight="1" x14ac:dyDescent="0.25">
      <c r="A317" s="38">
        <v>7</v>
      </c>
      <c r="B317" s="38" t="s">
        <v>3372</v>
      </c>
      <c r="C317" s="38">
        <v>12</v>
      </c>
      <c r="D317" s="39" t="str">
        <f t="shared" si="101"/>
        <v>PS-07-DLR1</v>
      </c>
      <c r="E317" s="48" t="str">
        <f t="shared" si="102"/>
        <v>Poste de Sectionnement n°07 DLR1</v>
      </c>
      <c r="F317" s="19">
        <v>38264</v>
      </c>
      <c r="G317" s="19">
        <v>38264</v>
      </c>
      <c r="H317" s="41" t="s">
        <v>20</v>
      </c>
      <c r="I317" s="41">
        <v>1</v>
      </c>
      <c r="J317" s="41" t="s">
        <v>3557</v>
      </c>
      <c r="K317" s="41">
        <v>16</v>
      </c>
      <c r="L317" s="41"/>
      <c r="M317" s="41" t="s">
        <v>361</v>
      </c>
      <c r="N317" s="41" t="s">
        <v>1837</v>
      </c>
      <c r="O317" s="43">
        <f t="shared" si="99"/>
        <v>300</v>
      </c>
      <c r="P317" s="43">
        <f t="shared" si="100"/>
        <v>255</v>
      </c>
      <c r="Q317" s="41" t="s">
        <v>1804</v>
      </c>
      <c r="R317" s="48" t="str">
        <f t="shared" si="90"/>
        <v>(7,'PS-07-DLR1','Poste de Sectionnement n°07 DLR1','Monday-10-jj','Monday-10-jj',NULL,1,),</v>
      </c>
    </row>
    <row r="318" spans="1:18" ht="20.100000000000001" hidden="1" customHeight="1" x14ac:dyDescent="0.25">
      <c r="A318" s="38">
        <v>8</v>
      </c>
      <c r="B318" s="38" t="s">
        <v>3372</v>
      </c>
      <c r="C318" s="38">
        <v>12</v>
      </c>
      <c r="D318" s="39" t="str">
        <f t="shared" si="101"/>
        <v>PS-08-DLR1</v>
      </c>
      <c r="E318" s="48" t="str">
        <f t="shared" si="102"/>
        <v>Poste de Sectionnement n°08 DLR1</v>
      </c>
      <c r="F318" s="19">
        <v>38264</v>
      </c>
      <c r="G318" s="19">
        <v>38264</v>
      </c>
      <c r="H318" s="41" t="s">
        <v>20</v>
      </c>
      <c r="I318" s="41">
        <v>1</v>
      </c>
      <c r="J318" s="41" t="s">
        <v>3557</v>
      </c>
      <c r="K318" s="41">
        <v>16</v>
      </c>
      <c r="L318" s="41"/>
      <c r="M318" s="41" t="s">
        <v>361</v>
      </c>
      <c r="N318" s="41" t="s">
        <v>1838</v>
      </c>
      <c r="O318" s="43">
        <f t="shared" si="99"/>
        <v>274</v>
      </c>
      <c r="P318" s="43">
        <f t="shared" si="100"/>
        <v>294</v>
      </c>
      <c r="Q318" s="41" t="s">
        <v>1804</v>
      </c>
      <c r="R318" s="48" t="str">
        <f t="shared" si="90"/>
        <v>(8,'PS-08-DLR1','Poste de Sectionnement n°08 DLR1','Monday-10-jj','Monday-10-jj',NULL,1,),</v>
      </c>
    </row>
    <row r="319" spans="1:18" ht="20.100000000000001" hidden="1" customHeight="1" x14ac:dyDescent="0.25">
      <c r="A319" s="38">
        <v>9</v>
      </c>
      <c r="B319" s="38" t="s">
        <v>3372</v>
      </c>
      <c r="C319" s="38">
        <v>12</v>
      </c>
      <c r="D319" s="39" t="str">
        <f t="shared" si="101"/>
        <v>PS-09-DLR1</v>
      </c>
      <c r="E319" s="48" t="str">
        <f t="shared" si="102"/>
        <v>Poste de Sectionnement n°09 DLR1</v>
      </c>
      <c r="F319" s="19">
        <v>38264</v>
      </c>
      <c r="G319" s="19">
        <v>38264</v>
      </c>
      <c r="H319" s="41" t="s">
        <v>20</v>
      </c>
      <c r="I319" s="41">
        <v>1</v>
      </c>
      <c r="J319" s="41" t="s">
        <v>3557</v>
      </c>
      <c r="K319" s="41">
        <v>16</v>
      </c>
      <c r="L319" s="41"/>
      <c r="M319" s="41" t="s">
        <v>361</v>
      </c>
      <c r="N319" s="41" t="s">
        <v>1839</v>
      </c>
      <c r="O319" s="43">
        <f t="shared" si="99"/>
        <v>240</v>
      </c>
      <c r="P319" s="43">
        <f t="shared" si="100"/>
        <v>346</v>
      </c>
      <c r="Q319" s="41" t="s">
        <v>1804</v>
      </c>
      <c r="R319" s="48" t="str">
        <f t="shared" si="90"/>
        <v>(9,'PS-09-DLR1','Poste de Sectionnement n°09 DLR1','Monday-10-jj','Monday-10-jj',NULL,1,),</v>
      </c>
    </row>
    <row r="320" spans="1:18" ht="20.100000000000001" hidden="1" customHeight="1" x14ac:dyDescent="0.25">
      <c r="A320" s="38">
        <v>10</v>
      </c>
      <c r="B320" s="38" t="s">
        <v>3372</v>
      </c>
      <c r="C320" s="38">
        <v>12</v>
      </c>
      <c r="D320" s="39" t="str">
        <f t="shared" si="101"/>
        <v>PS-10-DLR1</v>
      </c>
      <c r="E320" s="48" t="str">
        <f t="shared" si="102"/>
        <v>Poste de Sectionnement n°10 DLR1</v>
      </c>
      <c r="F320" s="19">
        <v>38264</v>
      </c>
      <c r="G320" s="19">
        <v>38264</v>
      </c>
      <c r="H320" s="41" t="s">
        <v>20</v>
      </c>
      <c r="I320" s="41">
        <v>1</v>
      </c>
      <c r="J320" s="41" t="s">
        <v>3557</v>
      </c>
      <c r="K320" s="41">
        <v>16</v>
      </c>
      <c r="L320" s="41"/>
      <c r="M320" s="41" t="s">
        <v>361</v>
      </c>
      <c r="N320" s="41" t="s">
        <v>1840</v>
      </c>
      <c r="O320" s="43">
        <f t="shared" si="99"/>
        <v>220</v>
      </c>
      <c r="P320" s="43">
        <f t="shared" si="100"/>
        <v>382</v>
      </c>
      <c r="Q320" s="41" t="s">
        <v>1804</v>
      </c>
      <c r="R320" s="48" t="str">
        <f t="shared" si="90"/>
        <v>(10,'PS-10-DLR1','Poste de Sectionnement n°10 DLR1','Monday-10-jj','Monday-10-jj',NULL,1,),</v>
      </c>
    </row>
    <row r="321" spans="1:18" ht="20.100000000000001" hidden="1" customHeight="1" x14ac:dyDescent="0.25">
      <c r="A321" s="38">
        <v>1</v>
      </c>
      <c r="B321" s="38" t="s">
        <v>3372</v>
      </c>
      <c r="C321" s="38">
        <v>12</v>
      </c>
      <c r="D321" s="39" t="str">
        <f t="shared" si="101"/>
        <v>PS-01-ELR1</v>
      </c>
      <c r="E321" s="48" t="str">
        <f t="shared" si="102"/>
        <v>Poste de Sectionnement n°01 ELR1</v>
      </c>
      <c r="F321" s="19">
        <v>41640</v>
      </c>
      <c r="G321" s="19">
        <v>41640</v>
      </c>
      <c r="H321" s="41" t="s">
        <v>20</v>
      </c>
      <c r="I321" s="41">
        <v>1</v>
      </c>
      <c r="J321" s="41" t="s">
        <v>3557</v>
      </c>
      <c r="K321" s="41">
        <v>16</v>
      </c>
      <c r="L321" s="41"/>
      <c r="M321" s="41" t="s">
        <v>364</v>
      </c>
      <c r="N321" s="41" t="s">
        <v>1841</v>
      </c>
      <c r="O321" s="43">
        <f t="shared" si="99"/>
        <v>163</v>
      </c>
      <c r="P321" s="43">
        <f t="shared" si="100"/>
        <v>19</v>
      </c>
      <c r="Q321" s="41" t="s">
        <v>998</v>
      </c>
      <c r="R321" s="48" t="str">
        <f t="shared" si="90"/>
        <v>(1,'PS-01-ELR1','Poste de Sectionnement n°01 ELR1','Wednesday-01-jj','Wednesday-01-jj',NULL,1,),</v>
      </c>
    </row>
    <row r="322" spans="1:18" ht="20.100000000000001" hidden="1" customHeight="1" x14ac:dyDescent="0.25">
      <c r="A322" s="38">
        <v>2</v>
      </c>
      <c r="B322" s="38" t="s">
        <v>3372</v>
      </c>
      <c r="C322" s="38">
        <v>12</v>
      </c>
      <c r="D322" s="39" t="str">
        <f t="shared" si="101"/>
        <v>PS-02-ELR1</v>
      </c>
      <c r="E322" s="48" t="str">
        <f t="shared" si="102"/>
        <v>Poste de Sectionnement n°02 ELR1</v>
      </c>
      <c r="F322" s="19">
        <v>41640</v>
      </c>
      <c r="G322" s="19">
        <v>41640</v>
      </c>
      <c r="H322" s="41" t="s">
        <v>20</v>
      </c>
      <c r="I322" s="41">
        <v>1</v>
      </c>
      <c r="J322" s="41" t="s">
        <v>3557</v>
      </c>
      <c r="K322" s="41">
        <v>16</v>
      </c>
      <c r="L322" s="41"/>
      <c r="M322" s="41" t="s">
        <v>364</v>
      </c>
      <c r="N322" s="41" t="s">
        <v>1842</v>
      </c>
      <c r="O322" s="43">
        <f t="shared" si="99"/>
        <v>177</v>
      </c>
      <c r="P322" s="43">
        <f t="shared" si="100"/>
        <v>41</v>
      </c>
      <c r="Q322" s="41" t="s">
        <v>1856</v>
      </c>
      <c r="R322" s="48" t="str">
        <f t="shared" si="90"/>
        <v>(2,'PS-02-ELR1','Poste de Sectionnement n°02 ELR1','Wednesday-01-jj','Wednesday-01-jj',NULL,1,),</v>
      </c>
    </row>
    <row r="323" spans="1:18" ht="20.100000000000001" hidden="1" customHeight="1" x14ac:dyDescent="0.25">
      <c r="A323" s="38">
        <v>3</v>
      </c>
      <c r="B323" s="38" t="s">
        <v>3372</v>
      </c>
      <c r="C323" s="38">
        <v>12</v>
      </c>
      <c r="D323" s="39" t="str">
        <f t="shared" si="101"/>
        <v>PS-03-ELR1</v>
      </c>
      <c r="E323" s="48" t="str">
        <f t="shared" si="102"/>
        <v>Poste de Sectionnement n°03 ELR1</v>
      </c>
      <c r="F323" s="19">
        <v>41640</v>
      </c>
      <c r="G323" s="19">
        <v>41640</v>
      </c>
      <c r="H323" s="41" t="s">
        <v>20</v>
      </c>
      <c r="I323" s="41">
        <v>1</v>
      </c>
      <c r="J323" s="41" t="s">
        <v>3557</v>
      </c>
      <c r="K323" s="41">
        <v>16</v>
      </c>
      <c r="L323" s="41"/>
      <c r="M323" s="41" t="s">
        <v>364</v>
      </c>
      <c r="N323" s="41" t="s">
        <v>1843</v>
      </c>
      <c r="O323" s="43">
        <f t="shared" si="99"/>
        <v>147</v>
      </c>
      <c r="P323" s="43">
        <f t="shared" si="100"/>
        <v>63</v>
      </c>
      <c r="Q323" s="41" t="s">
        <v>1856</v>
      </c>
      <c r="R323" s="48" t="str">
        <f t="shared" si="90"/>
        <v>(3,'PS-03-ELR1','Poste de Sectionnement n°03 ELR1','Wednesday-01-jj','Wednesday-01-jj',NULL,1,),</v>
      </c>
    </row>
    <row r="324" spans="1:18" ht="20.100000000000001" hidden="1" customHeight="1" x14ac:dyDescent="0.25">
      <c r="A324" s="38">
        <v>4</v>
      </c>
      <c r="B324" s="38" t="s">
        <v>3372</v>
      </c>
      <c r="C324" s="38">
        <v>12</v>
      </c>
      <c r="D324" s="39" t="str">
        <f t="shared" si="101"/>
        <v>PS-04-ELR1</v>
      </c>
      <c r="E324" s="48" t="str">
        <f t="shared" si="102"/>
        <v>Poste de Sectionnement n°04 ELR1</v>
      </c>
      <c r="F324" s="19">
        <v>41640</v>
      </c>
      <c r="G324" s="19">
        <v>41640</v>
      </c>
      <c r="H324" s="41" t="s">
        <v>20</v>
      </c>
      <c r="I324" s="41">
        <v>1</v>
      </c>
      <c r="J324" s="41" t="s">
        <v>3557</v>
      </c>
      <c r="K324" s="41">
        <v>16</v>
      </c>
      <c r="L324" s="41"/>
      <c r="M324" s="41" t="s">
        <v>364</v>
      </c>
      <c r="N324" s="41" t="s">
        <v>1844</v>
      </c>
      <c r="O324" s="43">
        <f t="shared" si="99"/>
        <v>140</v>
      </c>
      <c r="P324" s="43">
        <f t="shared" si="100"/>
        <v>84.016999999999996</v>
      </c>
      <c r="Q324" s="41" t="s">
        <v>742</v>
      </c>
      <c r="R324" s="48" t="str">
        <f t="shared" si="90"/>
        <v>(4,'PS-04-ELR1','Poste de Sectionnement n°04 ELR1','Wednesday-01-jj','Wednesday-01-jj',NULL,1,),</v>
      </c>
    </row>
    <row r="325" spans="1:18" ht="20.100000000000001" hidden="1" customHeight="1" x14ac:dyDescent="0.25">
      <c r="A325" s="38">
        <v>5</v>
      </c>
      <c r="B325" s="38" t="s">
        <v>3372</v>
      </c>
      <c r="C325" s="38">
        <v>12</v>
      </c>
      <c r="D325" s="39" t="str">
        <f t="shared" si="101"/>
        <v>PS-05-ELR1</v>
      </c>
      <c r="E325" s="48" t="str">
        <f t="shared" si="102"/>
        <v>Poste de Sectionnement n°05 ELR1</v>
      </c>
      <c r="F325" s="19">
        <v>41640</v>
      </c>
      <c r="G325" s="19">
        <v>41640</v>
      </c>
      <c r="H325" s="41" t="s">
        <v>20</v>
      </c>
      <c r="I325" s="41">
        <v>1</v>
      </c>
      <c r="J325" s="41" t="s">
        <v>3557</v>
      </c>
      <c r="K325" s="41">
        <v>16</v>
      </c>
      <c r="L325" s="41"/>
      <c r="M325" s="41" t="s">
        <v>364</v>
      </c>
      <c r="N325" s="41" t="s">
        <v>1845</v>
      </c>
      <c r="O325" s="43">
        <f t="shared" si="99"/>
        <v>220</v>
      </c>
      <c r="P325" s="43">
        <f t="shared" si="100"/>
        <v>101.80200000000001</v>
      </c>
      <c r="Q325" s="41" t="s">
        <v>744</v>
      </c>
      <c r="R325" s="48" t="str">
        <f t="shared" si="90"/>
        <v>(5,'PS-05-ELR1','Poste de Sectionnement n°05 ELR1','Wednesday-01-jj','Wednesday-01-jj',NULL,1,),</v>
      </c>
    </row>
    <row r="326" spans="1:18" ht="20.100000000000001" hidden="1" customHeight="1" x14ac:dyDescent="0.25">
      <c r="A326" s="38">
        <v>6</v>
      </c>
      <c r="B326" s="38" t="s">
        <v>3372</v>
      </c>
      <c r="C326" s="38">
        <v>12</v>
      </c>
      <c r="D326" s="39" t="str">
        <f t="shared" si="101"/>
        <v>PS-06-ELR1</v>
      </c>
      <c r="E326" s="48" t="str">
        <f t="shared" si="102"/>
        <v>Poste de Sectionnement n°06 ELR1</v>
      </c>
      <c r="F326" s="19">
        <v>41640</v>
      </c>
      <c r="G326" s="19">
        <v>41640</v>
      </c>
      <c r="H326" s="41" t="s">
        <v>20</v>
      </c>
      <c r="I326" s="41">
        <v>1</v>
      </c>
      <c r="J326" s="41" t="s">
        <v>3557</v>
      </c>
      <c r="K326" s="41">
        <v>16</v>
      </c>
      <c r="L326" s="41"/>
      <c r="M326" s="41" t="s">
        <v>364</v>
      </c>
      <c r="N326" s="41" t="s">
        <v>1846</v>
      </c>
      <c r="O326" s="43">
        <f t="shared" si="99"/>
        <v>230</v>
      </c>
      <c r="P326" s="43">
        <f t="shared" si="100"/>
        <v>121.5</v>
      </c>
      <c r="Q326" s="41" t="s">
        <v>744</v>
      </c>
      <c r="R326" s="48" t="str">
        <f t="shared" si="90"/>
        <v>(6,'PS-06-ELR1','Poste de Sectionnement n°06 ELR1','Wednesday-01-jj','Wednesday-01-jj',NULL,1,),</v>
      </c>
    </row>
    <row r="327" spans="1:18" ht="20.100000000000001" hidden="1" customHeight="1" x14ac:dyDescent="0.25">
      <c r="A327" s="38">
        <v>7</v>
      </c>
      <c r="B327" s="38" t="s">
        <v>3372</v>
      </c>
      <c r="C327" s="38">
        <v>12</v>
      </c>
      <c r="D327" s="39" t="str">
        <f t="shared" si="101"/>
        <v>PS-07-ELR1</v>
      </c>
      <c r="E327" s="48" t="str">
        <f t="shared" si="102"/>
        <v>Poste de Sectionnement n°07 ELR1</v>
      </c>
      <c r="F327" s="19">
        <v>41640</v>
      </c>
      <c r="G327" s="19">
        <v>41640</v>
      </c>
      <c r="H327" s="41" t="s">
        <v>20</v>
      </c>
      <c r="I327" s="41">
        <v>1</v>
      </c>
      <c r="J327" s="41" t="s">
        <v>3557</v>
      </c>
      <c r="K327" s="41">
        <v>16</v>
      </c>
      <c r="L327" s="41"/>
      <c r="M327" s="41" t="s">
        <v>364</v>
      </c>
      <c r="N327" s="41" t="s">
        <v>1847</v>
      </c>
      <c r="O327" s="43">
        <f t="shared" si="99"/>
        <v>250</v>
      </c>
      <c r="P327" s="43">
        <f t="shared" si="100"/>
        <v>142</v>
      </c>
      <c r="Q327" s="41" t="s">
        <v>744</v>
      </c>
      <c r="R327" s="48" t="str">
        <f t="shared" si="90"/>
        <v>(7,'PS-07-ELR1','Poste de Sectionnement n°07 ELR1','Wednesday-01-jj','Wednesday-01-jj',NULL,1,),</v>
      </c>
    </row>
    <row r="328" spans="1:18" ht="20.100000000000001" hidden="1" customHeight="1" x14ac:dyDescent="0.25">
      <c r="A328" s="38">
        <v>8</v>
      </c>
      <c r="B328" s="38" t="s">
        <v>3372</v>
      </c>
      <c r="C328" s="38">
        <v>12</v>
      </c>
      <c r="D328" s="39" t="str">
        <f t="shared" si="101"/>
        <v>PS-08-ELR1</v>
      </c>
      <c r="E328" s="48" t="str">
        <f t="shared" si="102"/>
        <v>Poste de Sectionnement n°08 ELR1</v>
      </c>
      <c r="F328" s="19">
        <v>41640</v>
      </c>
      <c r="G328" s="19">
        <v>41640</v>
      </c>
      <c r="H328" s="41" t="s">
        <v>20</v>
      </c>
      <c r="I328" s="41">
        <v>1</v>
      </c>
      <c r="J328" s="41" t="s">
        <v>3557</v>
      </c>
      <c r="K328" s="41">
        <v>16</v>
      </c>
      <c r="L328" s="41"/>
      <c r="M328" s="41" t="s">
        <v>364</v>
      </c>
      <c r="N328" s="41" t="s">
        <v>1848</v>
      </c>
      <c r="O328" s="43">
        <f t="shared" si="99"/>
        <v>310</v>
      </c>
      <c r="P328" s="43">
        <f t="shared" si="100"/>
        <v>171</v>
      </c>
      <c r="Q328" s="41" t="s">
        <v>744</v>
      </c>
      <c r="R328" s="48" t="str">
        <f t="shared" si="90"/>
        <v>(8,'PS-08-ELR1','Poste de Sectionnement n°08 ELR1','Wednesday-01-jj','Wednesday-01-jj',NULL,1,),</v>
      </c>
    </row>
    <row r="329" spans="1:18" ht="20.100000000000001" hidden="1" customHeight="1" x14ac:dyDescent="0.25">
      <c r="A329" s="38">
        <v>9</v>
      </c>
      <c r="B329" s="38" t="s">
        <v>3372</v>
      </c>
      <c r="C329" s="38">
        <v>12</v>
      </c>
      <c r="D329" s="39" t="str">
        <f t="shared" si="101"/>
        <v>PS-09-ELR1</v>
      </c>
      <c r="E329" s="48" t="str">
        <f t="shared" si="102"/>
        <v>Poste de Sectionnement n°09 ELR1</v>
      </c>
      <c r="F329" s="19">
        <v>41640</v>
      </c>
      <c r="G329" s="19">
        <v>41640</v>
      </c>
      <c r="H329" s="41" t="s">
        <v>20</v>
      </c>
      <c r="I329" s="41">
        <v>1</v>
      </c>
      <c r="J329" s="41" t="s">
        <v>3557</v>
      </c>
      <c r="K329" s="41">
        <v>16</v>
      </c>
      <c r="L329" s="41"/>
      <c r="M329" s="41" t="s">
        <v>364</v>
      </c>
      <c r="N329" s="41" t="s">
        <v>1849</v>
      </c>
      <c r="O329" s="43">
        <f t="shared" si="99"/>
        <v>380</v>
      </c>
      <c r="P329" s="43">
        <f t="shared" si="100"/>
        <v>191.27799999999999</v>
      </c>
      <c r="Q329" s="41" t="s">
        <v>745</v>
      </c>
      <c r="R329" s="48" t="str">
        <f t="shared" si="90"/>
        <v>(9,'PS-09-ELR1','Poste de Sectionnement n°09 ELR1','Wednesday-01-jj','Wednesday-01-jj',NULL,1,),</v>
      </c>
    </row>
    <row r="330" spans="1:18" ht="20.100000000000001" hidden="1" customHeight="1" x14ac:dyDescent="0.25">
      <c r="A330" s="38">
        <v>10</v>
      </c>
      <c r="B330" s="38" t="s">
        <v>3372</v>
      </c>
      <c r="C330" s="38">
        <v>12</v>
      </c>
      <c r="D330" s="39" t="str">
        <f t="shared" si="101"/>
        <v>PS-10-ELR1</v>
      </c>
      <c r="E330" s="48" t="str">
        <f t="shared" si="102"/>
        <v>Poste de Sectionnement n°10 ELR1</v>
      </c>
      <c r="F330" s="19">
        <v>41640</v>
      </c>
      <c r="G330" s="19">
        <v>41640</v>
      </c>
      <c r="H330" s="41" t="s">
        <v>20</v>
      </c>
      <c r="I330" s="41">
        <v>1</v>
      </c>
      <c r="J330" s="41" t="s">
        <v>3557</v>
      </c>
      <c r="K330" s="41">
        <v>16</v>
      </c>
      <c r="L330" s="41"/>
      <c r="M330" s="41" t="s">
        <v>364</v>
      </c>
      <c r="N330" s="41" t="s">
        <v>1850</v>
      </c>
      <c r="O330" s="43">
        <f t="shared" si="99"/>
        <v>440</v>
      </c>
      <c r="P330" s="43">
        <f t="shared" si="100"/>
        <v>212</v>
      </c>
      <c r="Q330" s="41" t="s">
        <v>745</v>
      </c>
      <c r="R330" s="48" t="str">
        <f t="shared" si="90"/>
        <v>(10,'PS-10-ELR1','Poste de Sectionnement n°10 ELR1','Wednesday-01-jj','Wednesday-01-jj',NULL,1,),</v>
      </c>
    </row>
    <row r="331" spans="1:18" ht="20.100000000000001" hidden="1" customHeight="1" x14ac:dyDescent="0.25">
      <c r="A331" s="38">
        <v>11</v>
      </c>
      <c r="B331" s="38" t="s">
        <v>3372</v>
      </c>
      <c r="C331" s="38">
        <v>12</v>
      </c>
      <c r="D331" s="39" t="str">
        <f t="shared" si="101"/>
        <v>PS-11-ELR1</v>
      </c>
      <c r="E331" s="48" t="str">
        <f t="shared" si="102"/>
        <v>Poste de Sectionnement n°11 ELR1</v>
      </c>
      <c r="F331" s="19">
        <v>41640</v>
      </c>
      <c r="G331" s="19">
        <v>41640</v>
      </c>
      <c r="H331" s="41" t="s">
        <v>20</v>
      </c>
      <c r="I331" s="41">
        <v>1</v>
      </c>
      <c r="J331" s="41" t="s">
        <v>3557</v>
      </c>
      <c r="K331" s="41">
        <v>16</v>
      </c>
      <c r="L331" s="41"/>
      <c r="M331" s="41" t="s">
        <v>364</v>
      </c>
      <c r="N331" s="41" t="s">
        <v>1851</v>
      </c>
      <c r="O331" s="43">
        <f t="shared" si="99"/>
        <v>470</v>
      </c>
      <c r="P331" s="43">
        <f t="shared" si="100"/>
        <v>233.24</v>
      </c>
      <c r="Q331" s="41" t="s">
        <v>1857</v>
      </c>
      <c r="R331" s="48" t="str">
        <f t="shared" si="90"/>
        <v>(11,'PS-11-ELR1','Poste de Sectionnement n°11 ELR1','Wednesday-01-jj','Wednesday-01-jj',NULL,1,),</v>
      </c>
    </row>
    <row r="332" spans="1:18" ht="20.100000000000001" hidden="1" customHeight="1" x14ac:dyDescent="0.25">
      <c r="A332" s="38">
        <v>12</v>
      </c>
      <c r="B332" s="38" t="s">
        <v>3372</v>
      </c>
      <c r="C332" s="38">
        <v>12</v>
      </c>
      <c r="D332" s="39" t="str">
        <f t="shared" si="101"/>
        <v>PS-12-ELR1</v>
      </c>
      <c r="E332" s="48" t="str">
        <f t="shared" si="102"/>
        <v>Poste de Sectionnement n°12 ELR1</v>
      </c>
      <c r="F332" s="19">
        <v>41640</v>
      </c>
      <c r="G332" s="19">
        <v>41640</v>
      </c>
      <c r="H332" s="41" t="s">
        <v>20</v>
      </c>
      <c r="I332" s="41">
        <v>1</v>
      </c>
      <c r="J332" s="41" t="s">
        <v>3557</v>
      </c>
      <c r="K332" s="41">
        <v>16</v>
      </c>
      <c r="L332" s="41"/>
      <c r="M332" s="41" t="s">
        <v>364</v>
      </c>
      <c r="N332" s="41" t="s">
        <v>1852</v>
      </c>
      <c r="O332" s="43">
        <f t="shared" si="99"/>
        <v>580</v>
      </c>
      <c r="P332" s="43">
        <f t="shared" si="100"/>
        <v>271.322</v>
      </c>
      <c r="Q332" s="41" t="s">
        <v>1827</v>
      </c>
      <c r="R332" s="48" t="str">
        <f t="shared" si="90"/>
        <v>(12,'PS-12-ELR1','Poste de Sectionnement n°12 ELR1','Wednesday-01-jj','Wednesday-01-jj',NULL,1,),</v>
      </c>
    </row>
    <row r="333" spans="1:18" ht="20.100000000000001" hidden="1" customHeight="1" x14ac:dyDescent="0.25">
      <c r="A333" s="38">
        <v>13</v>
      </c>
      <c r="B333" s="38" t="s">
        <v>3372</v>
      </c>
      <c r="C333" s="38">
        <v>12</v>
      </c>
      <c r="D333" s="39" t="str">
        <f t="shared" si="101"/>
        <v>PS-13-ELR1</v>
      </c>
      <c r="E333" s="48" t="str">
        <f t="shared" si="102"/>
        <v>Poste de Sectionnement n°13 ELR1</v>
      </c>
      <c r="F333" s="19">
        <v>41640</v>
      </c>
      <c r="G333" s="19">
        <v>41640</v>
      </c>
      <c r="H333" s="41" t="s">
        <v>20</v>
      </c>
      <c r="I333" s="41">
        <v>1</v>
      </c>
      <c r="J333" s="41" t="s">
        <v>3557</v>
      </c>
      <c r="K333" s="41">
        <v>16</v>
      </c>
      <c r="L333" s="41"/>
      <c r="M333" s="41" t="s">
        <v>364</v>
      </c>
      <c r="N333" s="41" t="s">
        <v>1853</v>
      </c>
      <c r="O333" s="43">
        <f t="shared" si="99"/>
        <v>640</v>
      </c>
      <c r="P333" s="43">
        <f t="shared" si="100"/>
        <v>291.5</v>
      </c>
      <c r="Q333" s="41" t="s">
        <v>1858</v>
      </c>
      <c r="R333" s="48" t="str">
        <f t="shared" si="90"/>
        <v>(13,'PS-13-ELR1','Poste de Sectionnement n°13 ELR1','Wednesday-01-jj','Wednesday-01-jj',NULL,1,),</v>
      </c>
    </row>
    <row r="334" spans="1:18" ht="20.100000000000001" hidden="1" customHeight="1" x14ac:dyDescent="0.25">
      <c r="A334" s="38">
        <v>14</v>
      </c>
      <c r="B334" s="38" t="s">
        <v>3372</v>
      </c>
      <c r="C334" s="38">
        <v>12</v>
      </c>
      <c r="D334" s="39" t="str">
        <f t="shared" si="101"/>
        <v>PS-14-ELR1</v>
      </c>
      <c r="E334" s="48" t="str">
        <f t="shared" si="102"/>
        <v>Poste de Sectionnement n°14 ELR1</v>
      </c>
      <c r="F334" s="19">
        <v>41640</v>
      </c>
      <c r="G334" s="19">
        <v>41640</v>
      </c>
      <c r="H334" s="41" t="s">
        <v>20</v>
      </c>
      <c r="I334" s="41">
        <v>1</v>
      </c>
      <c r="J334" s="41" t="s">
        <v>3557</v>
      </c>
      <c r="K334" s="41">
        <v>16</v>
      </c>
      <c r="L334" s="41"/>
      <c r="M334" s="41" t="s">
        <v>364</v>
      </c>
      <c r="N334" s="41" t="s">
        <v>1854</v>
      </c>
      <c r="O334" s="43">
        <f t="shared" si="99"/>
        <v>690</v>
      </c>
      <c r="P334" s="43">
        <f t="shared" si="100"/>
        <v>305.61799999999999</v>
      </c>
      <c r="Q334" s="41" t="s">
        <v>789</v>
      </c>
      <c r="R334" s="48" t="str">
        <f t="shared" si="90"/>
        <v>(14,'PS-14-ELR1','Poste de Sectionnement n°14 ELR1','Wednesday-01-jj','Wednesday-01-jj',NULL,1,),</v>
      </c>
    </row>
    <row r="335" spans="1:18" ht="20.100000000000001" hidden="1" customHeight="1" x14ac:dyDescent="0.25">
      <c r="A335" s="38">
        <v>15</v>
      </c>
      <c r="B335" s="38" t="s">
        <v>3372</v>
      </c>
      <c r="C335" s="38">
        <v>12</v>
      </c>
      <c r="D335" s="39" t="str">
        <f t="shared" si="101"/>
        <v>PS-15-ELR1</v>
      </c>
      <c r="E335" s="48" t="str">
        <f t="shared" si="102"/>
        <v>Poste de Sectionnement n°15 ELR1</v>
      </c>
      <c r="F335" s="19">
        <v>41640</v>
      </c>
      <c r="G335" s="19">
        <v>41640</v>
      </c>
      <c r="H335" s="41" t="s">
        <v>20</v>
      </c>
      <c r="I335" s="41">
        <v>1</v>
      </c>
      <c r="J335" s="41" t="s">
        <v>3557</v>
      </c>
      <c r="K335" s="41">
        <v>16</v>
      </c>
      <c r="L335" s="41"/>
      <c r="M335" s="41" t="s">
        <v>364</v>
      </c>
      <c r="N335" s="41" t="s">
        <v>1855</v>
      </c>
      <c r="O335" s="43">
        <f t="shared" si="99"/>
        <v>750</v>
      </c>
      <c r="P335" s="43">
        <f t="shared" si="100"/>
        <v>324</v>
      </c>
      <c r="Q335" s="41" t="s">
        <v>1830</v>
      </c>
      <c r="R335" s="48" t="str">
        <f t="shared" si="90"/>
        <v>(15,'PS-15-ELR1','Poste de Sectionnement n°15 ELR1','Wednesday-01-jj','Wednesday-01-jj',NULL,1,),</v>
      </c>
    </row>
    <row r="336" spans="1:18" ht="20.100000000000001" hidden="1" customHeight="1" x14ac:dyDescent="0.25">
      <c r="A336" s="38">
        <v>1</v>
      </c>
      <c r="B336" s="38" t="s">
        <v>367</v>
      </c>
      <c r="C336" s="38">
        <v>13</v>
      </c>
      <c r="D336" s="39" t="str">
        <f t="shared" si="101"/>
        <v>PS-01-GZ0</v>
      </c>
      <c r="E336" s="48" t="str">
        <f t="shared" si="102"/>
        <v>Poste de Sectionnement n°01 GZ0</v>
      </c>
      <c r="F336" s="19">
        <v>22282</v>
      </c>
      <c r="G336" s="19">
        <v>22282</v>
      </c>
      <c r="H336" s="19">
        <v>44838</v>
      </c>
      <c r="I336" s="41">
        <v>8</v>
      </c>
      <c r="J336" s="41" t="s">
        <v>3557</v>
      </c>
      <c r="K336" s="41">
        <v>16</v>
      </c>
      <c r="L336" s="41"/>
      <c r="M336" s="41" t="s">
        <v>367</v>
      </c>
      <c r="N336" s="41" t="s">
        <v>1893</v>
      </c>
      <c r="O336" s="43">
        <f t="shared" ref="O336:O346" si="103">VALUE(RIGHT(N336,LEN(N336)-SEARCH("/",N336)))</f>
        <v>829.2</v>
      </c>
      <c r="P336" s="43">
        <f t="shared" ref="P336:P346" si="104">VALUE(SUBSTITUTE(LEFT(N336,SEARCH("/",N336)-1),"+",","))</f>
        <v>56.305999999999997</v>
      </c>
      <c r="Q336" s="41" t="s">
        <v>790</v>
      </c>
      <c r="R336" s="48" t="str">
        <f t="shared" si="90"/>
        <v>(1,'PS-01-GZ0','Poste de Sectionnement n°01 GZ0','Sunday-01-jj','Sunday-01-jj',44838,8,),</v>
      </c>
    </row>
    <row r="337" spans="1:18" ht="20.100000000000001" hidden="1" customHeight="1" x14ac:dyDescent="0.25">
      <c r="A337" s="38">
        <v>2</v>
      </c>
      <c r="B337" s="38" t="s">
        <v>367</v>
      </c>
      <c r="C337" s="38">
        <v>13</v>
      </c>
      <c r="D337" s="39" t="str">
        <f t="shared" si="101"/>
        <v>PS-02-GZ0</v>
      </c>
      <c r="E337" s="48" t="str">
        <f t="shared" si="102"/>
        <v>Poste de Sectionnement n°02 GZ0</v>
      </c>
      <c r="F337" s="19">
        <v>22282</v>
      </c>
      <c r="G337" s="19">
        <v>22282</v>
      </c>
      <c r="H337" s="19">
        <v>44838</v>
      </c>
      <c r="I337" s="41">
        <v>8</v>
      </c>
      <c r="J337" s="41" t="s">
        <v>3557</v>
      </c>
      <c r="K337" s="41">
        <v>16</v>
      </c>
      <c r="L337" s="41"/>
      <c r="M337" s="41" t="s">
        <v>367</v>
      </c>
      <c r="N337" s="41" t="s">
        <v>1859</v>
      </c>
      <c r="O337" s="43">
        <f t="shared" si="103"/>
        <v>1238</v>
      </c>
      <c r="P337" s="43">
        <f t="shared" si="104"/>
        <v>168.131</v>
      </c>
      <c r="Q337" s="41" t="s">
        <v>1741</v>
      </c>
      <c r="R337" s="48" t="str">
        <f t="shared" si="90"/>
        <v>(2,'PS-02-GZ0','Poste de Sectionnement n°02 GZ0','Sunday-01-jj','Sunday-01-jj',44838,8,),</v>
      </c>
    </row>
    <row r="338" spans="1:18" ht="20.100000000000001" hidden="1" customHeight="1" x14ac:dyDescent="0.25">
      <c r="A338" s="38">
        <v>3</v>
      </c>
      <c r="B338" s="38" t="s">
        <v>367</v>
      </c>
      <c r="C338" s="38">
        <v>13</v>
      </c>
      <c r="D338" s="39" t="str">
        <f t="shared" ref="D338:D347" si="105">CONCATENATE("PS-",TEXT(A338,"00"),"-",M338)</f>
        <v>PS-03-GZ0</v>
      </c>
      <c r="E338" s="48" t="str">
        <f t="shared" ref="E338:E347" si="106">CONCATENATE("Poste de Sectionnement n°",TEXT(A338,"00")," ",M338)</f>
        <v>Poste de Sectionnement n°03 GZ0</v>
      </c>
      <c r="F338" s="19">
        <v>22282</v>
      </c>
      <c r="G338" s="19">
        <v>22282</v>
      </c>
      <c r="H338" s="19">
        <v>44838</v>
      </c>
      <c r="I338" s="41">
        <v>8</v>
      </c>
      <c r="J338" s="41" t="s">
        <v>3557</v>
      </c>
      <c r="K338" s="41">
        <v>16</v>
      </c>
      <c r="L338" s="41"/>
      <c r="M338" s="41" t="s">
        <v>367</v>
      </c>
      <c r="N338" s="41" t="s">
        <v>1860</v>
      </c>
      <c r="O338" s="43">
        <f t="shared" si="103"/>
        <v>1175</v>
      </c>
      <c r="P338" s="43">
        <f t="shared" si="104"/>
        <v>275.084</v>
      </c>
      <c r="Q338" s="41" t="s">
        <v>1867</v>
      </c>
      <c r="R338" s="48" t="str">
        <f t="shared" si="90"/>
        <v>(3,'PS-03-GZ0','Poste de Sectionnement n°03 GZ0','Sunday-01-jj','Sunday-01-jj',44838,8,),</v>
      </c>
    </row>
    <row r="339" spans="1:18" ht="20.100000000000001" hidden="1" customHeight="1" x14ac:dyDescent="0.25">
      <c r="A339" s="38">
        <v>4</v>
      </c>
      <c r="B339" s="38" t="s">
        <v>367</v>
      </c>
      <c r="C339" s="38">
        <v>13</v>
      </c>
      <c r="D339" s="39" t="str">
        <f t="shared" si="105"/>
        <v>PS-04-GZ0</v>
      </c>
      <c r="E339" s="48" t="str">
        <f t="shared" si="106"/>
        <v>Poste de Sectionnement n°04 GZ0</v>
      </c>
      <c r="F339" s="19">
        <v>22282</v>
      </c>
      <c r="G339" s="19">
        <v>22282</v>
      </c>
      <c r="H339" s="19">
        <v>44838</v>
      </c>
      <c r="I339" s="41">
        <v>8</v>
      </c>
      <c r="J339" s="41" t="s">
        <v>3557</v>
      </c>
      <c r="K339" s="41">
        <v>16</v>
      </c>
      <c r="L339" s="41"/>
      <c r="M339" s="41" t="s">
        <v>367</v>
      </c>
      <c r="N339" s="41" t="s">
        <v>1861</v>
      </c>
      <c r="O339" s="43">
        <f t="shared" si="103"/>
        <v>1193</v>
      </c>
      <c r="P339" s="43">
        <f t="shared" si="104"/>
        <v>304.86700000000002</v>
      </c>
      <c r="Q339" s="41" t="s">
        <v>1743</v>
      </c>
      <c r="R339" s="48" t="str">
        <f t="shared" si="90"/>
        <v>(4,'PS-04-GZ0','Poste de Sectionnement n°04 GZ0','Sunday-01-jj','Sunday-01-jj',44838,8,),</v>
      </c>
    </row>
    <row r="340" spans="1:18" ht="20.100000000000001" hidden="1" customHeight="1" x14ac:dyDescent="0.25">
      <c r="A340" s="38">
        <v>5</v>
      </c>
      <c r="B340" s="38" t="s">
        <v>367</v>
      </c>
      <c r="C340" s="38">
        <v>13</v>
      </c>
      <c r="D340" s="39" t="str">
        <f t="shared" si="105"/>
        <v>PS-05-GZ0</v>
      </c>
      <c r="E340" s="48" t="str">
        <f t="shared" si="106"/>
        <v>Poste de Sectionnement n°05 GZ0</v>
      </c>
      <c r="F340" s="19">
        <v>22282</v>
      </c>
      <c r="G340" s="19">
        <v>22282</v>
      </c>
      <c r="H340" s="19">
        <v>44838</v>
      </c>
      <c r="I340" s="41">
        <v>8</v>
      </c>
      <c r="J340" s="41" t="s">
        <v>3557</v>
      </c>
      <c r="K340" s="41">
        <v>16</v>
      </c>
      <c r="L340" s="41"/>
      <c r="M340" s="41" t="s">
        <v>367</v>
      </c>
      <c r="N340" s="41" t="s">
        <v>1892</v>
      </c>
      <c r="O340" s="43">
        <f t="shared" si="103"/>
        <v>647.65</v>
      </c>
      <c r="P340" s="43">
        <f t="shared" si="104"/>
        <v>350.83</v>
      </c>
      <c r="Q340" s="41" t="s">
        <v>754</v>
      </c>
      <c r="R340" s="48" t="str">
        <f t="shared" si="90"/>
        <v>(5,'PS-05-GZ0','Poste de Sectionnement n°05 GZ0','Sunday-01-jj','Sunday-01-jj',44838,8,),</v>
      </c>
    </row>
    <row r="341" spans="1:18" ht="20.100000000000001" hidden="1" customHeight="1" x14ac:dyDescent="0.25">
      <c r="A341" s="38">
        <v>7</v>
      </c>
      <c r="B341" s="38" t="s">
        <v>367</v>
      </c>
      <c r="C341" s="38">
        <v>13</v>
      </c>
      <c r="D341" s="39" t="str">
        <f t="shared" si="105"/>
        <v>PS-07-GZ0</v>
      </c>
      <c r="E341" s="48" t="str">
        <f t="shared" si="106"/>
        <v>Poste de Sectionnement n°07 GZ0</v>
      </c>
      <c r="F341" s="19">
        <v>22282</v>
      </c>
      <c r="G341" s="19">
        <v>22282</v>
      </c>
      <c r="H341" s="19">
        <v>44838</v>
      </c>
      <c r="I341" s="41">
        <v>8</v>
      </c>
      <c r="J341" s="41" t="s">
        <v>3557</v>
      </c>
      <c r="K341" s="41">
        <v>16</v>
      </c>
      <c r="L341" s="41"/>
      <c r="M341" s="41" t="s">
        <v>367</v>
      </c>
      <c r="N341" s="41" t="s">
        <v>1862</v>
      </c>
      <c r="O341" s="43">
        <f t="shared" si="103"/>
        <v>520</v>
      </c>
      <c r="P341" s="43">
        <f t="shared" si="104"/>
        <v>397.798</v>
      </c>
      <c r="Q341" s="41" t="s">
        <v>799</v>
      </c>
      <c r="R341" s="48" t="str">
        <f t="shared" ref="R341:R404" si="107">CONCATENATE("(",A341,",'",D341,"','",E341,"','",TEXT(F341,"aaaa-mm-jj"),"','",TEXT(G341,"aaaa-mm-jj"),"',",H341,",",I341,",",L341,"),")</f>
        <v>(7,'PS-07-GZ0','Poste de Sectionnement n°07 GZ0','Sunday-01-jj','Sunday-01-jj',44838,8,),</v>
      </c>
    </row>
    <row r="342" spans="1:18" ht="20.100000000000001" hidden="1" customHeight="1" x14ac:dyDescent="0.25">
      <c r="A342" s="38">
        <v>8</v>
      </c>
      <c r="B342" s="38" t="s">
        <v>367</v>
      </c>
      <c r="C342" s="38">
        <v>13</v>
      </c>
      <c r="D342" s="39" t="str">
        <f t="shared" si="105"/>
        <v>PS-08-GZ0</v>
      </c>
      <c r="E342" s="48" t="str">
        <f t="shared" si="106"/>
        <v>Poste de Sectionnement n°08 GZ0</v>
      </c>
      <c r="F342" s="19">
        <v>22282</v>
      </c>
      <c r="G342" s="19">
        <v>22282</v>
      </c>
      <c r="H342" s="19">
        <v>44838</v>
      </c>
      <c r="I342" s="41">
        <v>8</v>
      </c>
      <c r="J342" s="41" t="s">
        <v>3557</v>
      </c>
      <c r="K342" s="41">
        <v>16</v>
      </c>
      <c r="L342" s="41"/>
      <c r="M342" s="41" t="s">
        <v>367</v>
      </c>
      <c r="N342" s="41" t="s">
        <v>1863</v>
      </c>
      <c r="O342" s="43">
        <f t="shared" si="103"/>
        <v>127</v>
      </c>
      <c r="P342" s="43">
        <f t="shared" si="104"/>
        <v>442.06200000000001</v>
      </c>
      <c r="Q342" s="41" t="s">
        <v>1868</v>
      </c>
      <c r="R342" s="48" t="str">
        <f t="shared" si="107"/>
        <v>(8,'PS-08-GZ0','Poste de Sectionnement n°08 GZ0','Sunday-01-jj','Sunday-01-jj',44838,8,),</v>
      </c>
    </row>
    <row r="343" spans="1:18" ht="20.100000000000001" hidden="1" customHeight="1" x14ac:dyDescent="0.25">
      <c r="A343" s="38">
        <v>9</v>
      </c>
      <c r="B343" s="38" t="s">
        <v>367</v>
      </c>
      <c r="C343" s="38">
        <v>13</v>
      </c>
      <c r="D343" s="39" t="str">
        <f t="shared" si="105"/>
        <v>PS-09-GZ0</v>
      </c>
      <c r="E343" s="48" t="str">
        <f t="shared" si="106"/>
        <v>Poste de Sectionnement n°09 GZ0</v>
      </c>
      <c r="F343" s="19">
        <v>22282</v>
      </c>
      <c r="G343" s="19">
        <v>22282</v>
      </c>
      <c r="H343" s="19">
        <v>44838</v>
      </c>
      <c r="I343" s="41">
        <v>8</v>
      </c>
      <c r="J343" s="41" t="s">
        <v>3557</v>
      </c>
      <c r="K343" s="41">
        <v>16</v>
      </c>
      <c r="L343" s="41"/>
      <c r="M343" s="41" t="s">
        <v>367</v>
      </c>
      <c r="N343" s="41" t="s">
        <v>1864</v>
      </c>
      <c r="O343" s="43">
        <f t="shared" si="103"/>
        <v>13</v>
      </c>
      <c r="P343" s="43">
        <f t="shared" si="104"/>
        <v>470.44900000000001</v>
      </c>
      <c r="Q343" s="41" t="s">
        <v>1869</v>
      </c>
      <c r="R343" s="48" t="str">
        <f t="shared" si="107"/>
        <v>(9,'PS-09-GZ0','Poste de Sectionnement n°09 GZ0','Sunday-01-jj','Sunday-01-jj',44838,8,),</v>
      </c>
    </row>
    <row r="344" spans="1:18" ht="20.100000000000001" hidden="1" customHeight="1" x14ac:dyDescent="0.25">
      <c r="A344" s="38">
        <v>10</v>
      </c>
      <c r="B344" s="38" t="s">
        <v>367</v>
      </c>
      <c r="C344" s="38">
        <v>13</v>
      </c>
      <c r="D344" s="39" t="str">
        <f t="shared" si="105"/>
        <v>PS-10-GZ0</v>
      </c>
      <c r="E344" s="48" t="str">
        <f t="shared" si="106"/>
        <v>Poste de Sectionnement n°10 GZ0</v>
      </c>
      <c r="F344" s="19">
        <v>22282</v>
      </c>
      <c r="G344" s="19">
        <v>22282</v>
      </c>
      <c r="H344" s="19">
        <v>44838</v>
      </c>
      <c r="I344" s="41">
        <v>8</v>
      </c>
      <c r="J344" s="41" t="s">
        <v>3557</v>
      </c>
      <c r="K344" s="41">
        <v>16</v>
      </c>
      <c r="L344" s="41"/>
      <c r="M344" s="41" t="s">
        <v>367</v>
      </c>
      <c r="N344" s="41" t="s">
        <v>1865</v>
      </c>
      <c r="O344" s="43">
        <f t="shared" si="103"/>
        <v>24</v>
      </c>
      <c r="P344" s="43">
        <f t="shared" si="104"/>
        <v>486.214</v>
      </c>
      <c r="Q344" s="41" t="s">
        <v>1870</v>
      </c>
      <c r="R344" s="48" t="str">
        <f t="shared" si="107"/>
        <v>(10,'PS-10-GZ0','Poste de Sectionnement n°10 GZ0','Sunday-01-jj','Sunday-01-jj',44838,8,),</v>
      </c>
    </row>
    <row r="345" spans="1:18" ht="20.100000000000001" hidden="1" customHeight="1" x14ac:dyDescent="0.25">
      <c r="A345" s="38">
        <v>11</v>
      </c>
      <c r="B345" s="38" t="s">
        <v>367</v>
      </c>
      <c r="C345" s="38">
        <v>13</v>
      </c>
      <c r="D345" s="39" t="str">
        <f t="shared" si="105"/>
        <v>PS-11-GZ0</v>
      </c>
      <c r="E345" s="48" t="str">
        <f t="shared" si="106"/>
        <v>Poste de Sectionnement n°11 GZ0</v>
      </c>
      <c r="F345" s="19">
        <v>22282</v>
      </c>
      <c r="G345" s="19">
        <v>22282</v>
      </c>
      <c r="H345" s="19">
        <v>44838</v>
      </c>
      <c r="I345" s="41">
        <v>8</v>
      </c>
      <c r="J345" s="41" t="s">
        <v>3557</v>
      </c>
      <c r="K345" s="41">
        <v>16</v>
      </c>
      <c r="L345" s="41"/>
      <c r="M345" s="41" t="s">
        <v>367</v>
      </c>
      <c r="N345" s="41" t="s">
        <v>1891</v>
      </c>
      <c r="O345" s="43">
        <f t="shared" si="103"/>
        <v>4.3600000000000003</v>
      </c>
      <c r="P345" s="43">
        <f t="shared" si="104"/>
        <v>486.964</v>
      </c>
      <c r="Q345" s="41" t="s">
        <v>1871</v>
      </c>
      <c r="R345" s="48" t="str">
        <f t="shared" si="107"/>
        <v>(11,'PS-11-GZ0','Poste de Sectionnement n°11 GZ0','Sunday-01-jj','Sunday-01-jj',44838,8,),</v>
      </c>
    </row>
    <row r="346" spans="1:18" ht="20.100000000000001" hidden="1" customHeight="1" x14ac:dyDescent="0.25">
      <c r="A346" s="38">
        <v>12</v>
      </c>
      <c r="B346" s="38" t="s">
        <v>367</v>
      </c>
      <c r="C346" s="38">
        <v>13</v>
      </c>
      <c r="D346" s="39" t="str">
        <f t="shared" si="105"/>
        <v>PS-12-GZ0</v>
      </c>
      <c r="E346" s="48" t="str">
        <f t="shared" si="106"/>
        <v>Poste de Sectionnement n°12 GZ0</v>
      </c>
      <c r="F346" s="19">
        <v>22282</v>
      </c>
      <c r="G346" s="19">
        <v>22282</v>
      </c>
      <c r="H346" s="19">
        <v>44838</v>
      </c>
      <c r="I346" s="41">
        <v>8</v>
      </c>
      <c r="J346" s="41" t="s">
        <v>3557</v>
      </c>
      <c r="K346" s="41">
        <v>16</v>
      </c>
      <c r="L346" s="41"/>
      <c r="M346" s="41" t="s">
        <v>367</v>
      </c>
      <c r="N346" s="41" t="s">
        <v>1866</v>
      </c>
      <c r="O346" s="43">
        <f t="shared" si="103"/>
        <v>53</v>
      </c>
      <c r="P346" s="43">
        <f t="shared" si="104"/>
        <v>504.5</v>
      </c>
      <c r="Q346" s="41" t="s">
        <v>1872</v>
      </c>
      <c r="R346" s="48" t="str">
        <f t="shared" si="107"/>
        <v>(12,'PS-12-GZ0','Poste de Sectionnement n°12 GZ0','Sunday-01-jj','Sunday-01-jj',44838,8,),</v>
      </c>
    </row>
    <row r="347" spans="1:18" ht="20.100000000000001" hidden="1" customHeight="1" x14ac:dyDescent="0.25">
      <c r="A347" s="38">
        <v>1</v>
      </c>
      <c r="B347" s="38" t="s">
        <v>631</v>
      </c>
      <c r="C347" s="38">
        <v>14</v>
      </c>
      <c r="D347" s="39" t="str">
        <f t="shared" si="105"/>
        <v>PS-01-RGZ1</v>
      </c>
      <c r="E347" s="48" t="str">
        <f t="shared" si="106"/>
        <v>Poste de Sectionnement n°01 RGZ1</v>
      </c>
      <c r="F347" s="12"/>
      <c r="G347" s="13"/>
      <c r="H347" s="41" t="s">
        <v>20</v>
      </c>
      <c r="I347" s="41">
        <v>1</v>
      </c>
      <c r="J347" s="41" t="s">
        <v>3557</v>
      </c>
      <c r="K347" s="41">
        <v>16</v>
      </c>
      <c r="L347" s="41"/>
      <c r="M347" s="41" t="s">
        <v>999</v>
      </c>
      <c r="N347" s="41" t="s">
        <v>1873</v>
      </c>
      <c r="O347" s="43">
        <f t="shared" ref="O347:O364" si="108">VALUE(RIGHT(N347,LEN(N347)-SEARCH("/",N347)))</f>
        <v>732</v>
      </c>
      <c r="P347" s="43">
        <f t="shared" ref="P347:P364" si="109">VALUE(SUBSTITUTE(LEFT(N347,SEARCH("/",N347)-1),"+",","))</f>
        <v>17.100000000000001</v>
      </c>
      <c r="Q347" s="41" t="s">
        <v>790</v>
      </c>
      <c r="R347" s="48" t="str">
        <f t="shared" si="107"/>
        <v>(1,'PS-01-RGZ1','Poste de Sectionnement n°01 RGZ1','Saturday-01-jj','Saturday-01-jj',NULL,1,),</v>
      </c>
    </row>
    <row r="348" spans="1:18" ht="20.100000000000001" hidden="1" customHeight="1" x14ac:dyDescent="0.25">
      <c r="A348" s="38">
        <v>2</v>
      </c>
      <c r="B348" s="38" t="s">
        <v>631</v>
      </c>
      <c r="C348" s="38">
        <v>14</v>
      </c>
      <c r="D348" s="39" t="str">
        <f t="shared" ref="D348:D366" si="110">CONCATENATE("PS-",TEXT(A348,"00"),"-",M348)</f>
        <v>PS-02-RGZ1</v>
      </c>
      <c r="E348" s="48" t="str">
        <f t="shared" ref="E348:E366" si="111">CONCATENATE("Poste de Sectionnement n°",TEXT(A348,"00")," ",M348)</f>
        <v>Poste de Sectionnement n°02 RGZ1</v>
      </c>
      <c r="F348" s="12"/>
      <c r="G348" s="13"/>
      <c r="H348" s="41" t="s">
        <v>20</v>
      </c>
      <c r="I348" s="41">
        <v>1</v>
      </c>
      <c r="J348" s="41" t="s">
        <v>3557</v>
      </c>
      <c r="K348" s="41">
        <v>16</v>
      </c>
      <c r="L348" s="41"/>
      <c r="M348" s="41" t="s">
        <v>999</v>
      </c>
      <c r="N348" s="41" t="s">
        <v>1874</v>
      </c>
      <c r="O348" s="43">
        <f t="shared" si="108"/>
        <v>790</v>
      </c>
      <c r="P348" s="43">
        <f t="shared" si="109"/>
        <v>37.4</v>
      </c>
      <c r="Q348" s="41" t="s">
        <v>790</v>
      </c>
      <c r="R348" s="48" t="str">
        <f t="shared" si="107"/>
        <v>(2,'PS-02-RGZ1','Poste de Sectionnement n°02 RGZ1','Saturday-01-jj','Saturday-01-jj',NULL,1,),</v>
      </c>
    </row>
    <row r="349" spans="1:18" ht="20.100000000000001" hidden="1" customHeight="1" x14ac:dyDescent="0.25">
      <c r="A349" s="38">
        <v>3</v>
      </c>
      <c r="B349" s="38" t="s">
        <v>631</v>
      </c>
      <c r="C349" s="38">
        <v>14</v>
      </c>
      <c r="D349" s="39" t="str">
        <f t="shared" si="110"/>
        <v>PS-03-RGZ1</v>
      </c>
      <c r="E349" s="48" t="str">
        <f t="shared" si="111"/>
        <v>Poste de Sectionnement n°03 RGZ1</v>
      </c>
      <c r="F349" s="12"/>
      <c r="G349" s="13"/>
      <c r="H349" s="41" t="s">
        <v>20</v>
      </c>
      <c r="I349" s="41">
        <v>1</v>
      </c>
      <c r="J349" s="41" t="s">
        <v>3557</v>
      </c>
      <c r="K349" s="41">
        <v>16</v>
      </c>
      <c r="L349" s="41"/>
      <c r="M349" s="41" t="s">
        <v>999</v>
      </c>
      <c r="N349" s="41" t="s">
        <v>1875</v>
      </c>
      <c r="O349" s="43">
        <f t="shared" si="108"/>
        <v>810</v>
      </c>
      <c r="P349" s="43">
        <f t="shared" si="109"/>
        <v>55.8</v>
      </c>
      <c r="Q349" s="41" t="s">
        <v>790</v>
      </c>
      <c r="R349" s="48" t="str">
        <f t="shared" si="107"/>
        <v>(3,'PS-03-RGZ1','Poste de Sectionnement n°03 RGZ1','Saturday-01-jj','Saturday-01-jj',NULL,1,),</v>
      </c>
    </row>
    <row r="350" spans="1:18" ht="20.100000000000001" hidden="1" customHeight="1" x14ac:dyDescent="0.25">
      <c r="A350" s="38">
        <v>4</v>
      </c>
      <c r="B350" s="38" t="s">
        <v>631</v>
      </c>
      <c r="C350" s="38">
        <v>14</v>
      </c>
      <c r="D350" s="39" t="str">
        <f t="shared" si="110"/>
        <v>PS-04-RGZ1</v>
      </c>
      <c r="E350" s="48" t="str">
        <f t="shared" si="111"/>
        <v>Poste de Sectionnement n°04 RGZ1</v>
      </c>
      <c r="F350" s="12"/>
      <c r="G350" s="13"/>
      <c r="H350" s="41" t="s">
        <v>20</v>
      </c>
      <c r="I350" s="41">
        <v>1</v>
      </c>
      <c r="J350" s="41" t="s">
        <v>3557</v>
      </c>
      <c r="K350" s="41">
        <v>16</v>
      </c>
      <c r="L350" s="41"/>
      <c r="M350" s="41" t="s">
        <v>999</v>
      </c>
      <c r="N350" s="41" t="s">
        <v>1876</v>
      </c>
      <c r="O350" s="43">
        <f t="shared" si="108"/>
        <v>790</v>
      </c>
      <c r="P350" s="43">
        <f t="shared" si="109"/>
        <v>91.7</v>
      </c>
      <c r="Q350" s="41" t="s">
        <v>1942</v>
      </c>
      <c r="R350" s="48" t="str">
        <f t="shared" si="107"/>
        <v>(4,'PS-04-RGZ1','Poste de Sectionnement n°04 RGZ1','Saturday-01-jj','Saturday-01-jj',NULL,1,),</v>
      </c>
    </row>
    <row r="351" spans="1:18" ht="20.100000000000001" hidden="1" customHeight="1" x14ac:dyDescent="0.25">
      <c r="A351" s="38">
        <v>5</v>
      </c>
      <c r="B351" s="38" t="s">
        <v>631</v>
      </c>
      <c r="C351" s="38">
        <v>14</v>
      </c>
      <c r="D351" s="39" t="str">
        <f t="shared" si="110"/>
        <v>PS-05-RGZ1</v>
      </c>
      <c r="E351" s="48" t="str">
        <f t="shared" si="111"/>
        <v>Poste de Sectionnement n°05 RGZ1</v>
      </c>
      <c r="F351" s="12"/>
      <c r="G351" s="13"/>
      <c r="H351" s="41" t="s">
        <v>20</v>
      </c>
      <c r="I351" s="41">
        <v>1</v>
      </c>
      <c r="J351" s="41" t="s">
        <v>3557</v>
      </c>
      <c r="K351" s="41">
        <v>16</v>
      </c>
      <c r="L351" s="41"/>
      <c r="M351" s="41" t="s">
        <v>999</v>
      </c>
      <c r="N351" s="41" t="s">
        <v>1877</v>
      </c>
      <c r="O351" s="43">
        <f t="shared" si="108"/>
        <v>801</v>
      </c>
      <c r="P351" s="43">
        <f t="shared" si="109"/>
        <v>108.4</v>
      </c>
      <c r="Q351" s="41" t="s">
        <v>1943</v>
      </c>
      <c r="R351" s="48" t="str">
        <f t="shared" si="107"/>
        <v>(5,'PS-05-RGZ1','Poste de Sectionnement n°05 RGZ1','Saturday-01-jj','Saturday-01-jj',NULL,1,),</v>
      </c>
    </row>
    <row r="352" spans="1:18" ht="20.100000000000001" hidden="1" customHeight="1" x14ac:dyDescent="0.25">
      <c r="A352" s="38">
        <v>6</v>
      </c>
      <c r="B352" s="38" t="s">
        <v>631</v>
      </c>
      <c r="C352" s="38">
        <v>14</v>
      </c>
      <c r="D352" s="39" t="str">
        <f t="shared" si="110"/>
        <v>PS-06-RGZ1</v>
      </c>
      <c r="E352" s="48" t="str">
        <f t="shared" si="111"/>
        <v>Poste de Sectionnement n°06 RGZ1</v>
      </c>
      <c r="F352" s="12"/>
      <c r="G352" s="13"/>
      <c r="H352" s="41" t="s">
        <v>20</v>
      </c>
      <c r="I352" s="41">
        <v>1</v>
      </c>
      <c r="J352" s="41" t="s">
        <v>3557</v>
      </c>
      <c r="K352" s="41">
        <v>16</v>
      </c>
      <c r="L352" s="41"/>
      <c r="M352" s="41" t="s">
        <v>999</v>
      </c>
      <c r="N352" s="41" t="s">
        <v>1878</v>
      </c>
      <c r="O352" s="43">
        <f t="shared" si="108"/>
        <v>921</v>
      </c>
      <c r="P352" s="43">
        <f t="shared" si="109"/>
        <v>127.1</v>
      </c>
      <c r="Q352" s="41" t="s">
        <v>1937</v>
      </c>
      <c r="R352" s="48" t="str">
        <f t="shared" si="107"/>
        <v>(6,'PS-06-RGZ1','Poste de Sectionnement n°06 RGZ1','Saturday-01-jj','Saturday-01-jj',NULL,1,),</v>
      </c>
    </row>
    <row r="353" spans="1:18" ht="20.100000000000001" hidden="1" customHeight="1" x14ac:dyDescent="0.25">
      <c r="A353" s="38">
        <v>7</v>
      </c>
      <c r="B353" s="38" t="s">
        <v>631</v>
      </c>
      <c r="C353" s="38">
        <v>14</v>
      </c>
      <c r="D353" s="39" t="str">
        <f t="shared" si="110"/>
        <v>PS-07-RGZ1</v>
      </c>
      <c r="E353" s="48" t="str">
        <f t="shared" si="111"/>
        <v>Poste de Sectionnement n°07 RGZ1</v>
      </c>
      <c r="F353" s="12"/>
      <c r="G353" s="13"/>
      <c r="H353" s="41" t="s">
        <v>20</v>
      </c>
      <c r="I353" s="41">
        <v>1</v>
      </c>
      <c r="J353" s="41" t="s">
        <v>3557</v>
      </c>
      <c r="K353" s="41">
        <v>16</v>
      </c>
      <c r="L353" s="41"/>
      <c r="M353" s="41" t="s">
        <v>999</v>
      </c>
      <c r="N353" s="41" t="s">
        <v>1879</v>
      </c>
      <c r="O353" s="43">
        <f t="shared" si="108"/>
        <v>1172</v>
      </c>
      <c r="P353" s="43">
        <f t="shared" si="109"/>
        <v>156.5</v>
      </c>
      <c r="Q353" s="41" t="s">
        <v>1937</v>
      </c>
      <c r="R353" s="48" t="str">
        <f t="shared" si="107"/>
        <v>(7,'PS-07-RGZ1','Poste de Sectionnement n°07 RGZ1','Saturday-01-jj','Saturday-01-jj',NULL,1,),</v>
      </c>
    </row>
    <row r="354" spans="1:18" ht="20.100000000000001" hidden="1" customHeight="1" x14ac:dyDescent="0.25">
      <c r="A354" s="38">
        <v>8</v>
      </c>
      <c r="B354" s="38" t="s">
        <v>631</v>
      </c>
      <c r="C354" s="38">
        <v>14</v>
      </c>
      <c r="D354" s="39" t="str">
        <f t="shared" si="110"/>
        <v>PS-08-RGZ1</v>
      </c>
      <c r="E354" s="48" t="str">
        <f t="shared" si="111"/>
        <v>Poste de Sectionnement n°08 RGZ1</v>
      </c>
      <c r="F354" s="12"/>
      <c r="G354" s="13"/>
      <c r="H354" s="41" t="s">
        <v>20</v>
      </c>
      <c r="I354" s="41">
        <v>1</v>
      </c>
      <c r="J354" s="41" t="s">
        <v>3557</v>
      </c>
      <c r="K354" s="41">
        <v>16</v>
      </c>
      <c r="L354" s="41"/>
      <c r="M354" s="41" t="s">
        <v>999</v>
      </c>
      <c r="N354" s="41" t="s">
        <v>1880</v>
      </c>
      <c r="O354" s="43">
        <f t="shared" si="108"/>
        <v>1010</v>
      </c>
      <c r="P354" s="43">
        <f t="shared" si="109"/>
        <v>186.3</v>
      </c>
      <c r="Q354" s="41" t="s">
        <v>1937</v>
      </c>
      <c r="R354" s="48" t="str">
        <f t="shared" si="107"/>
        <v>(8,'PS-08-RGZ1','Poste de Sectionnement n°08 RGZ1','Saturday-01-jj','Saturday-01-jj',NULL,1,),</v>
      </c>
    </row>
    <row r="355" spans="1:18" ht="20.100000000000001" hidden="1" customHeight="1" x14ac:dyDescent="0.25">
      <c r="A355" s="38">
        <v>9</v>
      </c>
      <c r="B355" s="38" t="s">
        <v>631</v>
      </c>
      <c r="C355" s="38">
        <v>14</v>
      </c>
      <c r="D355" s="39" t="str">
        <f t="shared" si="110"/>
        <v>PS-09-RGZ1</v>
      </c>
      <c r="E355" s="48" t="str">
        <f t="shared" si="111"/>
        <v>Poste de Sectionnement n°09 RGZ1</v>
      </c>
      <c r="F355" s="12"/>
      <c r="G355" s="13"/>
      <c r="H355" s="41" t="s">
        <v>20</v>
      </c>
      <c r="I355" s="41">
        <v>1</v>
      </c>
      <c r="J355" s="41" t="s">
        <v>3557</v>
      </c>
      <c r="K355" s="41">
        <v>16</v>
      </c>
      <c r="L355" s="41"/>
      <c r="M355" s="41" t="s">
        <v>999</v>
      </c>
      <c r="N355" s="41" t="s">
        <v>1881</v>
      </c>
      <c r="O355" s="43">
        <f t="shared" si="108"/>
        <v>990</v>
      </c>
      <c r="P355" s="43">
        <f t="shared" si="109"/>
        <v>204.6</v>
      </c>
      <c r="Q355" s="41" t="s">
        <v>1944</v>
      </c>
      <c r="R355" s="48" t="str">
        <f t="shared" si="107"/>
        <v>(9,'PS-09-RGZ1','Poste de Sectionnement n°09 RGZ1','Saturday-01-jj','Saturday-01-jj',NULL,1,),</v>
      </c>
    </row>
    <row r="356" spans="1:18" ht="20.100000000000001" hidden="1" customHeight="1" x14ac:dyDescent="0.25">
      <c r="A356" s="38">
        <v>4</v>
      </c>
      <c r="B356" s="38" t="s">
        <v>631</v>
      </c>
      <c r="C356" s="38">
        <v>14</v>
      </c>
      <c r="D356" s="39" t="str">
        <f t="shared" si="110"/>
        <v>PS-04-GZ1</v>
      </c>
      <c r="E356" s="48" t="str">
        <f t="shared" si="111"/>
        <v>Poste de Sectionnement n°04 GZ1</v>
      </c>
      <c r="F356" s="19">
        <v>27760</v>
      </c>
      <c r="G356" s="19">
        <v>27760</v>
      </c>
      <c r="H356" s="41" t="s">
        <v>20</v>
      </c>
      <c r="I356" s="41">
        <v>1</v>
      </c>
      <c r="J356" s="41" t="s">
        <v>3557</v>
      </c>
      <c r="K356" s="41">
        <v>16</v>
      </c>
      <c r="L356" s="41"/>
      <c r="M356" s="41" t="s">
        <v>372</v>
      </c>
      <c r="N356" s="41" t="s">
        <v>1882</v>
      </c>
      <c r="O356" s="43">
        <f t="shared" si="108"/>
        <v>1162</v>
      </c>
      <c r="P356" s="43">
        <f t="shared" si="109"/>
        <v>275.04899999999998</v>
      </c>
      <c r="Q356" s="41" t="s">
        <v>1867</v>
      </c>
      <c r="R356" s="48" t="str">
        <f t="shared" si="107"/>
        <v>(4,'PS-04-GZ1','Poste de Sectionnement n°04 GZ1','Thursday-01-jj','Thursday-01-jj',NULL,1,),</v>
      </c>
    </row>
    <row r="357" spans="1:18" ht="20.100000000000001" hidden="1" customHeight="1" x14ac:dyDescent="0.25">
      <c r="A357" s="38">
        <v>5</v>
      </c>
      <c r="B357" s="38" t="s">
        <v>631</v>
      </c>
      <c r="C357" s="38">
        <v>14</v>
      </c>
      <c r="D357" s="39" t="str">
        <f t="shared" si="110"/>
        <v>PS-05-GZ1</v>
      </c>
      <c r="E357" s="48" t="str">
        <f t="shared" si="111"/>
        <v>Poste de Sectionnement n°05 GZ1</v>
      </c>
      <c r="F357" s="19">
        <v>27760</v>
      </c>
      <c r="G357" s="19">
        <v>27760</v>
      </c>
      <c r="H357" s="41" t="s">
        <v>20</v>
      </c>
      <c r="I357" s="41">
        <v>1</v>
      </c>
      <c r="J357" s="41" t="s">
        <v>3557</v>
      </c>
      <c r="K357" s="41">
        <v>16</v>
      </c>
      <c r="L357" s="41"/>
      <c r="M357" s="41" t="s">
        <v>372</v>
      </c>
      <c r="N357" s="41" t="s">
        <v>1883</v>
      </c>
      <c r="O357" s="43">
        <f t="shared" si="108"/>
        <v>984</v>
      </c>
      <c r="P357" s="43">
        <f t="shared" si="109"/>
        <v>325.27300000000002</v>
      </c>
      <c r="Q357" s="41" t="s">
        <v>1938</v>
      </c>
      <c r="R357" s="48" t="str">
        <f t="shared" si="107"/>
        <v>(5,'PS-05-GZ1','Poste de Sectionnement n°05 GZ1','Thursday-01-jj','Thursday-01-jj',NULL,1,),</v>
      </c>
    </row>
    <row r="358" spans="1:18" ht="20.100000000000001" hidden="1" customHeight="1" x14ac:dyDescent="0.25">
      <c r="A358" s="38">
        <v>6</v>
      </c>
      <c r="B358" s="38" t="s">
        <v>631</v>
      </c>
      <c r="C358" s="38">
        <v>14</v>
      </c>
      <c r="D358" s="39" t="str">
        <f t="shared" si="110"/>
        <v>PS-06-GZ1</v>
      </c>
      <c r="E358" s="48" t="str">
        <f t="shared" si="111"/>
        <v>Poste de Sectionnement n°06 GZ1</v>
      </c>
      <c r="F358" s="19">
        <v>27760</v>
      </c>
      <c r="G358" s="19">
        <v>27760</v>
      </c>
      <c r="H358" s="41" t="s">
        <v>20</v>
      </c>
      <c r="I358" s="41">
        <v>1</v>
      </c>
      <c r="J358" s="41" t="s">
        <v>3557</v>
      </c>
      <c r="K358" s="41">
        <v>16</v>
      </c>
      <c r="L358" s="41"/>
      <c r="M358" s="41" t="s">
        <v>372</v>
      </c>
      <c r="N358" s="41" t="s">
        <v>1884</v>
      </c>
      <c r="O358" s="43">
        <f t="shared" si="108"/>
        <v>630</v>
      </c>
      <c r="P358" s="43">
        <f t="shared" si="109"/>
        <v>351.2</v>
      </c>
      <c r="Q358" s="41" t="s">
        <v>754</v>
      </c>
      <c r="R358" s="48" t="str">
        <f t="shared" si="107"/>
        <v>(6,'PS-06-GZ1','Poste de Sectionnement n°06 GZ1','Thursday-01-jj','Thursday-01-jj',NULL,1,),</v>
      </c>
    </row>
    <row r="359" spans="1:18" ht="20.100000000000001" hidden="1" customHeight="1" x14ac:dyDescent="0.25">
      <c r="A359" s="38">
        <v>7</v>
      </c>
      <c r="B359" s="38" t="s">
        <v>631</v>
      </c>
      <c r="C359" s="38">
        <v>14</v>
      </c>
      <c r="D359" s="39" t="str">
        <f t="shared" si="110"/>
        <v>PS-07-GZ1</v>
      </c>
      <c r="E359" s="48" t="str">
        <f t="shared" si="111"/>
        <v>Poste de Sectionnement n°07 GZ1</v>
      </c>
      <c r="F359" s="19">
        <v>27760</v>
      </c>
      <c r="G359" s="19">
        <v>27760</v>
      </c>
      <c r="H359" s="41" t="s">
        <v>20</v>
      </c>
      <c r="I359" s="41">
        <v>1</v>
      </c>
      <c r="J359" s="41" t="s">
        <v>3557</v>
      </c>
      <c r="K359" s="41">
        <v>16</v>
      </c>
      <c r="L359" s="41"/>
      <c r="M359" s="41" t="s">
        <v>372</v>
      </c>
      <c r="N359" s="41" t="s">
        <v>1885</v>
      </c>
      <c r="O359" s="43">
        <f t="shared" si="108"/>
        <v>670</v>
      </c>
      <c r="P359" s="43">
        <f t="shared" si="109"/>
        <v>371.12799999999999</v>
      </c>
      <c r="Q359" s="41" t="s">
        <v>755</v>
      </c>
      <c r="R359" s="48" t="str">
        <f t="shared" si="107"/>
        <v>(7,'PS-07-GZ1','Poste de Sectionnement n°07 GZ1','Thursday-01-jj','Thursday-01-jj',NULL,1,),</v>
      </c>
    </row>
    <row r="360" spans="1:18" ht="20.100000000000001" hidden="1" customHeight="1" x14ac:dyDescent="0.25">
      <c r="A360" s="38">
        <v>8</v>
      </c>
      <c r="B360" s="38" t="s">
        <v>631</v>
      </c>
      <c r="C360" s="38">
        <v>14</v>
      </c>
      <c r="D360" s="39" t="str">
        <f t="shared" si="110"/>
        <v>PS-08-GZ1</v>
      </c>
      <c r="E360" s="48" t="str">
        <f t="shared" si="111"/>
        <v>Poste de Sectionnement n°08 GZ1</v>
      </c>
      <c r="F360" s="19">
        <v>27760</v>
      </c>
      <c r="G360" s="19">
        <v>27760</v>
      </c>
      <c r="H360" s="41" t="s">
        <v>20</v>
      </c>
      <c r="I360" s="41">
        <v>1</v>
      </c>
      <c r="J360" s="41" t="s">
        <v>3557</v>
      </c>
      <c r="K360" s="41">
        <v>16</v>
      </c>
      <c r="L360" s="41"/>
      <c r="M360" s="41" t="s">
        <v>372</v>
      </c>
      <c r="N360" s="41" t="s">
        <v>1886</v>
      </c>
      <c r="O360" s="43">
        <f t="shared" si="108"/>
        <v>73</v>
      </c>
      <c r="P360" s="43">
        <f t="shared" si="109"/>
        <v>421.375</v>
      </c>
      <c r="Q360" s="41" t="s">
        <v>1939</v>
      </c>
      <c r="R360" s="48" t="str">
        <f t="shared" si="107"/>
        <v>(8,'PS-08-GZ1','Poste de Sectionnement n°08 GZ1','Thursday-01-jj','Thursday-01-jj',NULL,1,),</v>
      </c>
    </row>
    <row r="361" spans="1:18" ht="20.100000000000001" hidden="1" customHeight="1" x14ac:dyDescent="0.25">
      <c r="A361" s="38">
        <v>9</v>
      </c>
      <c r="B361" s="38" t="s">
        <v>631</v>
      </c>
      <c r="C361" s="38">
        <v>14</v>
      </c>
      <c r="D361" s="39" t="str">
        <f t="shared" si="110"/>
        <v>PS-09-GZ1</v>
      </c>
      <c r="E361" s="48" t="str">
        <f t="shared" si="111"/>
        <v>Poste de Sectionnement n°09 GZ1</v>
      </c>
      <c r="F361" s="19">
        <v>27760</v>
      </c>
      <c r="G361" s="19">
        <v>27760</v>
      </c>
      <c r="H361" s="41" t="s">
        <v>20</v>
      </c>
      <c r="I361" s="41">
        <v>1</v>
      </c>
      <c r="J361" s="41" t="s">
        <v>3557</v>
      </c>
      <c r="K361" s="41">
        <v>16</v>
      </c>
      <c r="L361" s="41"/>
      <c r="M361" s="41" t="s">
        <v>372</v>
      </c>
      <c r="N361" s="41" t="s">
        <v>1887</v>
      </c>
      <c r="O361" s="43">
        <f t="shared" si="108"/>
        <v>70</v>
      </c>
      <c r="P361" s="43">
        <f t="shared" si="109"/>
        <v>442.51499999999999</v>
      </c>
      <c r="Q361" s="41" t="s">
        <v>1940</v>
      </c>
      <c r="R361" s="48" t="str">
        <f t="shared" si="107"/>
        <v>(9,'PS-09-GZ1','Poste de Sectionnement n°09 GZ1','Thursday-01-jj','Thursday-01-jj',NULL,1,),</v>
      </c>
    </row>
    <row r="362" spans="1:18" ht="20.100000000000001" hidden="1" customHeight="1" x14ac:dyDescent="0.25">
      <c r="A362" s="38">
        <v>10</v>
      </c>
      <c r="B362" s="38" t="s">
        <v>631</v>
      </c>
      <c r="C362" s="38">
        <v>14</v>
      </c>
      <c r="D362" s="39" t="str">
        <f t="shared" si="110"/>
        <v>PS-10-GZ1</v>
      </c>
      <c r="E362" s="48" t="str">
        <f t="shared" si="111"/>
        <v>Poste de Sectionnement n°10 GZ1</v>
      </c>
      <c r="F362" s="19">
        <v>27760</v>
      </c>
      <c r="G362" s="19">
        <v>27760</v>
      </c>
      <c r="H362" s="41" t="s">
        <v>20</v>
      </c>
      <c r="I362" s="41">
        <v>1</v>
      </c>
      <c r="J362" s="41" t="s">
        <v>3557</v>
      </c>
      <c r="K362" s="41">
        <v>16</v>
      </c>
      <c r="L362" s="41"/>
      <c r="M362" s="41" t="s">
        <v>372</v>
      </c>
      <c r="N362" s="41" t="s">
        <v>1888</v>
      </c>
      <c r="O362" s="43">
        <f t="shared" si="108"/>
        <v>13</v>
      </c>
      <c r="P362" s="43">
        <f t="shared" si="109"/>
        <v>470.26600000000002</v>
      </c>
      <c r="Q362" s="41" t="s">
        <v>1945</v>
      </c>
      <c r="R362" s="48" t="str">
        <f t="shared" si="107"/>
        <v>(10,'PS-10-GZ1','Poste de Sectionnement n°10 GZ1','Thursday-01-jj','Thursday-01-jj',NULL,1,),</v>
      </c>
    </row>
    <row r="363" spans="1:18" ht="20.100000000000001" hidden="1" customHeight="1" x14ac:dyDescent="0.25">
      <c r="A363" s="38">
        <v>11</v>
      </c>
      <c r="B363" s="38" t="s">
        <v>631</v>
      </c>
      <c r="C363" s="38">
        <v>14</v>
      </c>
      <c r="D363" s="39" t="str">
        <f t="shared" si="110"/>
        <v>PS-11-GZ1</v>
      </c>
      <c r="E363" s="48" t="str">
        <f t="shared" si="111"/>
        <v>Poste de Sectionnement n°11 GZ1</v>
      </c>
      <c r="F363" s="19">
        <v>27760</v>
      </c>
      <c r="G363" s="19">
        <v>27760</v>
      </c>
      <c r="H363" s="41" t="s">
        <v>20</v>
      </c>
      <c r="I363" s="41">
        <v>1</v>
      </c>
      <c r="J363" s="41" t="s">
        <v>3557</v>
      </c>
      <c r="K363" s="41">
        <v>16</v>
      </c>
      <c r="L363" s="41"/>
      <c r="M363" s="41" t="s">
        <v>372</v>
      </c>
      <c r="N363" s="41" t="s">
        <v>1889</v>
      </c>
      <c r="O363" s="43">
        <f t="shared" si="108"/>
        <v>24</v>
      </c>
      <c r="P363" s="43">
        <f t="shared" si="109"/>
        <v>486.45</v>
      </c>
      <c r="Q363" s="41" t="s">
        <v>1946</v>
      </c>
      <c r="R363" s="48" t="str">
        <f t="shared" si="107"/>
        <v>(11,'PS-11-GZ1','Poste de Sectionnement n°11 GZ1','Thursday-01-jj','Thursday-01-jj',NULL,1,),</v>
      </c>
    </row>
    <row r="364" spans="1:18" ht="20.100000000000001" hidden="1" customHeight="1" x14ac:dyDescent="0.25">
      <c r="A364" s="38">
        <v>12</v>
      </c>
      <c r="B364" s="38" t="s">
        <v>631</v>
      </c>
      <c r="C364" s="38">
        <v>14</v>
      </c>
      <c r="D364" s="39" t="str">
        <f t="shared" si="110"/>
        <v>PS-12-GZ1</v>
      </c>
      <c r="E364" s="48" t="str">
        <f t="shared" si="111"/>
        <v>Poste de Sectionnement n°12 GZ1</v>
      </c>
      <c r="F364" s="19">
        <v>27760</v>
      </c>
      <c r="G364" s="19">
        <v>27760</v>
      </c>
      <c r="H364" s="41" t="s">
        <v>20</v>
      </c>
      <c r="I364" s="41">
        <v>1</v>
      </c>
      <c r="J364" s="41" t="s">
        <v>3557</v>
      </c>
      <c r="K364" s="41">
        <v>16</v>
      </c>
      <c r="L364" s="41"/>
      <c r="M364" s="41" t="s">
        <v>372</v>
      </c>
      <c r="N364" s="41" t="s">
        <v>1890</v>
      </c>
      <c r="O364" s="43">
        <f t="shared" si="108"/>
        <v>436</v>
      </c>
      <c r="P364" s="43">
        <f t="shared" si="109"/>
        <v>487.72</v>
      </c>
      <c r="Q364" s="41" t="s">
        <v>1947</v>
      </c>
      <c r="R364" s="48" t="str">
        <f t="shared" si="107"/>
        <v>(12,'PS-12-GZ1','Poste de Sectionnement n°12 GZ1','Thursday-01-jj','Thursday-01-jj',NULL,1,),</v>
      </c>
    </row>
    <row r="365" spans="1:18" ht="20.100000000000001" hidden="1" customHeight="1" x14ac:dyDescent="0.25">
      <c r="A365" s="38">
        <v>1</v>
      </c>
      <c r="B365" s="38" t="s">
        <v>631</v>
      </c>
      <c r="C365" s="38">
        <v>14</v>
      </c>
      <c r="D365" s="39" t="str">
        <f t="shared" si="110"/>
        <v>PS-01-GZ2</v>
      </c>
      <c r="E365" s="48" t="str">
        <f t="shared" si="111"/>
        <v>Poste de Sectionnement n°01 GZ2</v>
      </c>
      <c r="F365" s="19">
        <v>29952</v>
      </c>
      <c r="G365" s="19">
        <v>29952</v>
      </c>
      <c r="H365" s="41" t="s">
        <v>20</v>
      </c>
      <c r="I365" s="41">
        <v>1</v>
      </c>
      <c r="J365" s="41" t="s">
        <v>3557</v>
      </c>
      <c r="K365" s="41">
        <v>16</v>
      </c>
      <c r="L365" s="41"/>
      <c r="M365" s="41" t="s">
        <v>375</v>
      </c>
      <c r="N365" s="41" t="s">
        <v>1894</v>
      </c>
      <c r="O365" s="43">
        <f t="shared" ref="O365:O394" si="112">VALUE(RIGHT(N365,LEN(N365)-SEARCH("/",N365)))</f>
        <v>836</v>
      </c>
      <c r="P365" s="43">
        <f t="shared" ref="P365:P394" si="113">VALUE(SUBSTITUTE(LEFT(N365,SEARCH("/",N365)-1),"+",","))</f>
        <v>57.293999999999997</v>
      </c>
      <c r="Q365" s="41" t="s">
        <v>790</v>
      </c>
      <c r="R365" s="48" t="str">
        <f t="shared" si="107"/>
        <v>(1,'PS-01-GZ2','Poste de Sectionnement n°01 GZ2','Friday-01-jj','Friday-01-jj',NULL,1,),</v>
      </c>
    </row>
    <row r="366" spans="1:18" ht="20.100000000000001" hidden="1" customHeight="1" x14ac:dyDescent="0.25">
      <c r="A366" s="38">
        <v>2</v>
      </c>
      <c r="B366" s="38" t="s">
        <v>631</v>
      </c>
      <c r="C366" s="38">
        <v>14</v>
      </c>
      <c r="D366" s="39" t="str">
        <f t="shared" si="110"/>
        <v>PS-02-GZ2</v>
      </c>
      <c r="E366" s="48" t="str">
        <f t="shared" si="111"/>
        <v>Poste de Sectionnement n°02 GZ2</v>
      </c>
      <c r="F366" s="19">
        <v>29952</v>
      </c>
      <c r="G366" s="19">
        <v>29952</v>
      </c>
      <c r="H366" s="41" t="s">
        <v>20</v>
      </c>
      <c r="I366" s="41">
        <v>1</v>
      </c>
      <c r="J366" s="41" t="s">
        <v>3557</v>
      </c>
      <c r="K366" s="41">
        <v>16</v>
      </c>
      <c r="L366" s="41"/>
      <c r="M366" s="41" t="s">
        <v>375</v>
      </c>
      <c r="N366" s="41" t="s">
        <v>1895</v>
      </c>
      <c r="O366" s="43">
        <f t="shared" si="112"/>
        <v>820</v>
      </c>
      <c r="P366" s="43">
        <f t="shared" si="113"/>
        <v>113.494</v>
      </c>
      <c r="Q366" s="41" t="s">
        <v>1937</v>
      </c>
      <c r="R366" s="48" t="str">
        <f t="shared" si="107"/>
        <v>(2,'PS-02-GZ2','Poste de Sectionnement n°02 GZ2','Friday-01-jj','Friday-01-jj',NULL,1,),</v>
      </c>
    </row>
    <row r="367" spans="1:18" ht="20.100000000000001" hidden="1" customHeight="1" x14ac:dyDescent="0.25">
      <c r="A367" s="38">
        <v>3</v>
      </c>
      <c r="B367" s="38" t="s">
        <v>631</v>
      </c>
      <c r="C367" s="38">
        <v>14</v>
      </c>
      <c r="D367" s="39" t="str">
        <f t="shared" ref="D367:D396" si="114">CONCATENATE("PS-",TEXT(A367,"00"),"-",M367)</f>
        <v>PS-03-GZ2</v>
      </c>
      <c r="E367" s="48" t="str">
        <f t="shared" ref="E367:E396" si="115">CONCATENATE("Poste de Sectionnement n°",TEXT(A367,"00")," ",M367)</f>
        <v>Poste de Sectionnement n°03 GZ2</v>
      </c>
      <c r="F367" s="19">
        <v>29952</v>
      </c>
      <c r="G367" s="19">
        <v>29952</v>
      </c>
      <c r="H367" s="41" t="s">
        <v>20</v>
      </c>
      <c r="I367" s="41">
        <v>1</v>
      </c>
      <c r="J367" s="41" t="s">
        <v>3557</v>
      </c>
      <c r="K367" s="41">
        <v>16</v>
      </c>
      <c r="L367" s="41"/>
      <c r="M367" s="41" t="s">
        <v>375</v>
      </c>
      <c r="N367" s="41" t="s">
        <v>1896</v>
      </c>
      <c r="O367" s="43">
        <f t="shared" si="112"/>
        <v>1237</v>
      </c>
      <c r="P367" s="43">
        <f t="shared" si="113"/>
        <v>167.279</v>
      </c>
      <c r="Q367" s="41" t="s">
        <v>1937</v>
      </c>
      <c r="R367" s="48" t="str">
        <f t="shared" si="107"/>
        <v>(3,'PS-03-GZ2','Poste de Sectionnement n°03 GZ2','Friday-01-jj','Friday-01-jj',NULL,1,),</v>
      </c>
    </row>
    <row r="368" spans="1:18" ht="20.100000000000001" hidden="1" customHeight="1" x14ac:dyDescent="0.25">
      <c r="A368" s="38">
        <v>4</v>
      </c>
      <c r="B368" s="38" t="s">
        <v>631</v>
      </c>
      <c r="C368" s="38">
        <v>14</v>
      </c>
      <c r="D368" s="39" t="str">
        <f t="shared" si="114"/>
        <v>PS-04-GZ2</v>
      </c>
      <c r="E368" s="48" t="str">
        <f t="shared" si="115"/>
        <v>Poste de Sectionnement n°04 GZ2</v>
      </c>
      <c r="F368" s="19">
        <v>29952</v>
      </c>
      <c r="G368" s="19">
        <v>29952</v>
      </c>
      <c r="H368" s="41" t="s">
        <v>20</v>
      </c>
      <c r="I368" s="41">
        <v>1</v>
      </c>
      <c r="J368" s="41" t="s">
        <v>3557</v>
      </c>
      <c r="K368" s="41">
        <v>16</v>
      </c>
      <c r="L368" s="41"/>
      <c r="M368" s="41" t="s">
        <v>375</v>
      </c>
      <c r="N368" s="41" t="s">
        <v>1897</v>
      </c>
      <c r="O368" s="43">
        <f t="shared" si="112"/>
        <v>1162</v>
      </c>
      <c r="P368" s="43">
        <f t="shared" si="113"/>
        <v>275.327</v>
      </c>
      <c r="Q368" s="41" t="s">
        <v>1867</v>
      </c>
      <c r="R368" s="48" t="str">
        <f t="shared" si="107"/>
        <v>(4,'PS-04-GZ2','Poste de Sectionnement n°04 GZ2','Friday-01-jj','Friday-01-jj',NULL,1,),</v>
      </c>
    </row>
    <row r="369" spans="1:18" ht="20.100000000000001" hidden="1" customHeight="1" x14ac:dyDescent="0.25">
      <c r="A369" s="38">
        <v>5</v>
      </c>
      <c r="B369" s="38" t="s">
        <v>631</v>
      </c>
      <c r="C369" s="38">
        <v>14</v>
      </c>
      <c r="D369" s="39" t="str">
        <f t="shared" si="114"/>
        <v>PS-05-GZ2</v>
      </c>
      <c r="E369" s="48" t="str">
        <f t="shared" si="115"/>
        <v>Poste de Sectionnement n°05 GZ2</v>
      </c>
      <c r="F369" s="19">
        <v>29952</v>
      </c>
      <c r="G369" s="19">
        <v>29952</v>
      </c>
      <c r="H369" s="41" t="s">
        <v>20</v>
      </c>
      <c r="I369" s="41">
        <v>1</v>
      </c>
      <c r="J369" s="41" t="s">
        <v>3557</v>
      </c>
      <c r="K369" s="41">
        <v>16</v>
      </c>
      <c r="L369" s="41"/>
      <c r="M369" s="41" t="s">
        <v>375</v>
      </c>
      <c r="N369" s="41" t="s">
        <v>1898</v>
      </c>
      <c r="O369" s="43">
        <f t="shared" si="112"/>
        <v>984</v>
      </c>
      <c r="P369" s="43">
        <f t="shared" si="113"/>
        <v>325.846</v>
      </c>
      <c r="Q369" s="41" t="s">
        <v>1938</v>
      </c>
      <c r="R369" s="48" t="str">
        <f t="shared" si="107"/>
        <v>(5,'PS-05-GZ2','Poste de Sectionnement n°05 GZ2','Friday-01-jj','Friday-01-jj',NULL,1,),</v>
      </c>
    </row>
    <row r="370" spans="1:18" ht="20.100000000000001" hidden="1" customHeight="1" x14ac:dyDescent="0.25">
      <c r="A370" s="38">
        <v>6</v>
      </c>
      <c r="B370" s="38" t="s">
        <v>631</v>
      </c>
      <c r="C370" s="38">
        <v>14</v>
      </c>
      <c r="D370" s="39" t="str">
        <f t="shared" si="114"/>
        <v>PS-06-GZ2</v>
      </c>
      <c r="E370" s="48" t="str">
        <f t="shared" si="115"/>
        <v>Poste de Sectionnement n°06 GZ2</v>
      </c>
      <c r="F370" s="19">
        <v>29952</v>
      </c>
      <c r="G370" s="19">
        <v>29952</v>
      </c>
      <c r="H370" s="41" t="s">
        <v>20</v>
      </c>
      <c r="I370" s="41">
        <v>1</v>
      </c>
      <c r="J370" s="41" t="s">
        <v>3557</v>
      </c>
      <c r="K370" s="41">
        <v>16</v>
      </c>
      <c r="L370" s="41"/>
      <c r="M370" s="41" t="s">
        <v>375</v>
      </c>
      <c r="N370" s="41" t="s">
        <v>1899</v>
      </c>
      <c r="O370" s="43">
        <f t="shared" si="112"/>
        <v>630</v>
      </c>
      <c r="P370" s="43">
        <f t="shared" si="113"/>
        <v>351.44900000000001</v>
      </c>
      <c r="Q370" s="41" t="s">
        <v>754</v>
      </c>
      <c r="R370" s="48" t="str">
        <f t="shared" si="107"/>
        <v>(6,'PS-06-GZ2','Poste de Sectionnement n°06 GZ2','Friday-01-jj','Friday-01-jj',NULL,1,),</v>
      </c>
    </row>
    <row r="371" spans="1:18" ht="20.100000000000001" hidden="1" customHeight="1" x14ac:dyDescent="0.25">
      <c r="A371" s="38">
        <v>7</v>
      </c>
      <c r="B371" s="38" t="s">
        <v>631</v>
      </c>
      <c r="C371" s="38">
        <v>14</v>
      </c>
      <c r="D371" s="39" t="str">
        <f t="shared" si="114"/>
        <v>PS-07-GZ2</v>
      </c>
      <c r="E371" s="48" t="str">
        <f t="shared" si="115"/>
        <v>Poste de Sectionnement n°07 GZ2</v>
      </c>
      <c r="F371" s="19">
        <v>29952</v>
      </c>
      <c r="G371" s="19">
        <v>29952</v>
      </c>
      <c r="H371" s="41" t="s">
        <v>20</v>
      </c>
      <c r="I371" s="41">
        <v>1</v>
      </c>
      <c r="J371" s="41" t="s">
        <v>3557</v>
      </c>
      <c r="K371" s="41">
        <v>16</v>
      </c>
      <c r="L371" s="41"/>
      <c r="M371" s="41" t="s">
        <v>375</v>
      </c>
      <c r="N371" s="41" t="s">
        <v>1900</v>
      </c>
      <c r="O371" s="43">
        <f t="shared" si="112"/>
        <v>670</v>
      </c>
      <c r="P371" s="43">
        <f t="shared" si="113"/>
        <v>371.791</v>
      </c>
      <c r="Q371" s="41" t="s">
        <v>755</v>
      </c>
      <c r="R371" s="48" t="str">
        <f t="shared" si="107"/>
        <v>(7,'PS-07-GZ2','Poste de Sectionnement n°07 GZ2','Friday-01-jj','Friday-01-jj',NULL,1,),</v>
      </c>
    </row>
    <row r="372" spans="1:18" ht="20.100000000000001" hidden="1" customHeight="1" x14ac:dyDescent="0.25">
      <c r="A372" s="38">
        <v>8</v>
      </c>
      <c r="B372" s="38" t="s">
        <v>631</v>
      </c>
      <c r="C372" s="38">
        <v>14</v>
      </c>
      <c r="D372" s="39" t="str">
        <f t="shared" si="114"/>
        <v>PS-08-GZ2</v>
      </c>
      <c r="E372" s="48" t="str">
        <f t="shared" si="115"/>
        <v>Poste de Sectionnement n°08 GZ2</v>
      </c>
      <c r="F372" s="19">
        <v>29952</v>
      </c>
      <c r="G372" s="19">
        <v>29952</v>
      </c>
      <c r="H372" s="41" t="s">
        <v>20</v>
      </c>
      <c r="I372" s="41">
        <v>1</v>
      </c>
      <c r="J372" s="41" t="s">
        <v>3557</v>
      </c>
      <c r="K372" s="41">
        <v>16</v>
      </c>
      <c r="L372" s="41"/>
      <c r="M372" s="41" t="s">
        <v>375</v>
      </c>
      <c r="N372" s="41" t="s">
        <v>1901</v>
      </c>
      <c r="O372" s="43">
        <f t="shared" si="112"/>
        <v>73</v>
      </c>
      <c r="P372" s="43">
        <f t="shared" si="113"/>
        <v>423.3</v>
      </c>
      <c r="Q372" s="41" t="s">
        <v>1939</v>
      </c>
      <c r="R372" s="48" t="str">
        <f t="shared" si="107"/>
        <v>(8,'PS-08-GZ2','Poste de Sectionnement n°08 GZ2','Friday-01-jj','Friday-01-jj',NULL,1,),</v>
      </c>
    </row>
    <row r="373" spans="1:18" ht="20.100000000000001" hidden="1" customHeight="1" x14ac:dyDescent="0.25">
      <c r="A373" s="38">
        <v>9</v>
      </c>
      <c r="B373" s="38" t="s">
        <v>631</v>
      </c>
      <c r="C373" s="38">
        <v>14</v>
      </c>
      <c r="D373" s="39" t="str">
        <f t="shared" si="114"/>
        <v>PS-09-GZ2</v>
      </c>
      <c r="E373" s="48" t="str">
        <f t="shared" si="115"/>
        <v>Poste de Sectionnement n°09 GZ2</v>
      </c>
      <c r="F373" s="19">
        <v>29952</v>
      </c>
      <c r="G373" s="19">
        <v>29952</v>
      </c>
      <c r="H373" s="41" t="s">
        <v>20</v>
      </c>
      <c r="I373" s="41">
        <v>1</v>
      </c>
      <c r="J373" s="41" t="s">
        <v>3557</v>
      </c>
      <c r="K373" s="41">
        <v>16</v>
      </c>
      <c r="L373" s="41"/>
      <c r="M373" s="41" t="s">
        <v>375</v>
      </c>
      <c r="N373" s="41" t="s">
        <v>1902</v>
      </c>
      <c r="O373" s="43">
        <f t="shared" si="112"/>
        <v>181</v>
      </c>
      <c r="P373" s="43">
        <f t="shared" si="113"/>
        <v>444.06</v>
      </c>
      <c r="Q373" s="41" t="s">
        <v>1940</v>
      </c>
      <c r="R373" s="48" t="str">
        <f t="shared" si="107"/>
        <v>(9,'PS-09-GZ2','Poste de Sectionnement n°09 GZ2','Friday-01-jj','Friday-01-jj',NULL,1,),</v>
      </c>
    </row>
    <row r="374" spans="1:18" ht="20.100000000000001" hidden="1" customHeight="1" x14ac:dyDescent="0.25">
      <c r="A374" s="38">
        <v>10</v>
      </c>
      <c r="B374" s="38" t="s">
        <v>631</v>
      </c>
      <c r="C374" s="38">
        <v>14</v>
      </c>
      <c r="D374" s="39" t="str">
        <f t="shared" si="114"/>
        <v>PS-10-GZ2</v>
      </c>
      <c r="E374" s="48" t="str">
        <f t="shared" si="115"/>
        <v>Poste de Sectionnement n°10 GZ2</v>
      </c>
      <c r="F374" s="19">
        <v>29952</v>
      </c>
      <c r="G374" s="19">
        <v>29952</v>
      </c>
      <c r="H374" s="41" t="s">
        <v>20</v>
      </c>
      <c r="I374" s="41">
        <v>1</v>
      </c>
      <c r="J374" s="41" t="s">
        <v>3557</v>
      </c>
      <c r="K374" s="41">
        <v>16</v>
      </c>
      <c r="L374" s="41"/>
      <c r="M374" s="41" t="s">
        <v>375</v>
      </c>
      <c r="N374" s="41" t="s">
        <v>1903</v>
      </c>
      <c r="O374" s="43">
        <f t="shared" si="112"/>
        <v>65</v>
      </c>
      <c r="P374" s="43">
        <f t="shared" si="113"/>
        <v>470.71600000000001</v>
      </c>
      <c r="Q374" s="41" t="s">
        <v>1788</v>
      </c>
      <c r="R374" s="48" t="str">
        <f t="shared" si="107"/>
        <v>(10,'PS-10-GZ2','Poste de Sectionnement n°10 GZ2','Friday-01-jj','Friday-01-jj',NULL,1,),</v>
      </c>
    </row>
    <row r="375" spans="1:18" ht="20.100000000000001" hidden="1" customHeight="1" x14ac:dyDescent="0.25">
      <c r="A375" s="38">
        <v>11</v>
      </c>
      <c r="B375" s="38" t="s">
        <v>631</v>
      </c>
      <c r="C375" s="38">
        <v>14</v>
      </c>
      <c r="D375" s="39" t="str">
        <f t="shared" si="114"/>
        <v>PS-11-GZ2</v>
      </c>
      <c r="E375" s="48" t="str">
        <f t="shared" si="115"/>
        <v>Poste de Sectionnement n°11 GZ2</v>
      </c>
      <c r="F375" s="19">
        <v>29952</v>
      </c>
      <c r="G375" s="19">
        <v>29952</v>
      </c>
      <c r="H375" s="41" t="s">
        <v>20</v>
      </c>
      <c r="I375" s="41">
        <v>1</v>
      </c>
      <c r="J375" s="41" t="s">
        <v>3557</v>
      </c>
      <c r="K375" s="41">
        <v>16</v>
      </c>
      <c r="L375" s="41"/>
      <c r="M375" s="41" t="s">
        <v>375</v>
      </c>
      <c r="N375" s="41" t="s">
        <v>1904</v>
      </c>
      <c r="O375" s="43">
        <f t="shared" si="112"/>
        <v>95</v>
      </c>
      <c r="P375" s="43">
        <f t="shared" si="113"/>
        <v>501.85</v>
      </c>
      <c r="Q375" s="41" t="s">
        <v>1941</v>
      </c>
      <c r="R375" s="48" t="str">
        <f t="shared" si="107"/>
        <v>(11,'PS-11-GZ2','Poste de Sectionnement n°11 GZ2','Friday-01-jj','Friday-01-jj',NULL,1,),</v>
      </c>
    </row>
    <row r="376" spans="1:18" ht="20.100000000000001" hidden="1" customHeight="1" x14ac:dyDescent="0.25">
      <c r="A376" s="38">
        <v>1</v>
      </c>
      <c r="B376" s="38" t="s">
        <v>631</v>
      </c>
      <c r="C376" s="38">
        <v>14</v>
      </c>
      <c r="D376" s="39" t="str">
        <f t="shared" si="114"/>
        <v>PS-01-RGZ2</v>
      </c>
      <c r="E376" s="48" t="str">
        <f t="shared" si="115"/>
        <v>Poste de Sectionnement n°01 RGZ2</v>
      </c>
      <c r="F376" s="19"/>
      <c r="G376" s="41"/>
      <c r="H376" s="41" t="s">
        <v>20</v>
      </c>
      <c r="I376" s="41">
        <v>1</v>
      </c>
      <c r="J376" s="41" t="s">
        <v>3557</v>
      </c>
      <c r="K376" s="41">
        <v>16</v>
      </c>
      <c r="L376" s="41"/>
      <c r="M376" s="41" t="s">
        <v>377</v>
      </c>
      <c r="N376" s="41" t="s">
        <v>1905</v>
      </c>
      <c r="O376" s="43">
        <f t="shared" si="112"/>
        <v>1211</v>
      </c>
      <c r="P376" s="43">
        <f t="shared" si="113"/>
        <v>13.6</v>
      </c>
      <c r="Q376" s="41" t="s">
        <v>1924</v>
      </c>
      <c r="R376" s="48" t="str">
        <f t="shared" si="107"/>
        <v>(1,'PS-01-RGZ2','Poste de Sectionnement n°01 RGZ2','Saturday-01-jj','Saturday-01-jj',NULL,1,),</v>
      </c>
    </row>
    <row r="377" spans="1:18" ht="20.100000000000001" hidden="1" customHeight="1" x14ac:dyDescent="0.25">
      <c r="A377" s="38">
        <v>2</v>
      </c>
      <c r="B377" s="38" t="s">
        <v>631</v>
      </c>
      <c r="C377" s="38">
        <v>14</v>
      </c>
      <c r="D377" s="39" t="str">
        <f t="shared" si="114"/>
        <v>PS-02-RGZ2</v>
      </c>
      <c r="E377" s="48" t="str">
        <f t="shared" si="115"/>
        <v>Poste de Sectionnement n°02 RGZ2</v>
      </c>
      <c r="F377" s="19"/>
      <c r="G377" s="41"/>
      <c r="H377" s="41" t="s">
        <v>20</v>
      </c>
      <c r="I377" s="41">
        <v>1</v>
      </c>
      <c r="J377" s="41" t="s">
        <v>3557</v>
      </c>
      <c r="K377" s="41">
        <v>16</v>
      </c>
      <c r="L377" s="41"/>
      <c r="M377" s="41" t="s">
        <v>377</v>
      </c>
      <c r="N377" s="41" t="s">
        <v>1906</v>
      </c>
      <c r="O377" s="43">
        <f t="shared" si="112"/>
        <v>1059</v>
      </c>
      <c r="P377" s="43">
        <f t="shared" si="113"/>
        <v>24.9</v>
      </c>
      <c r="Q377" s="41" t="s">
        <v>753</v>
      </c>
      <c r="R377" s="48" t="str">
        <f t="shared" si="107"/>
        <v>(2,'PS-02-RGZ2','Poste de Sectionnement n°02 RGZ2','Saturday-01-jj','Saturday-01-jj',NULL,1,),</v>
      </c>
    </row>
    <row r="378" spans="1:18" ht="20.100000000000001" hidden="1" customHeight="1" x14ac:dyDescent="0.25">
      <c r="A378" s="38">
        <v>3</v>
      </c>
      <c r="B378" s="38" t="s">
        <v>631</v>
      </c>
      <c r="C378" s="38">
        <v>14</v>
      </c>
      <c r="D378" s="39" t="str">
        <f t="shared" si="114"/>
        <v>PS-03-RGZ2</v>
      </c>
      <c r="E378" s="48" t="str">
        <f t="shared" si="115"/>
        <v>Poste de Sectionnement n°03 RGZ2</v>
      </c>
      <c r="F378" s="19"/>
      <c r="G378" s="41"/>
      <c r="H378" s="41" t="s">
        <v>20</v>
      </c>
      <c r="I378" s="41">
        <v>1</v>
      </c>
      <c r="J378" s="41" t="s">
        <v>3557</v>
      </c>
      <c r="K378" s="41">
        <v>16</v>
      </c>
      <c r="L378" s="41"/>
      <c r="M378" s="41" t="s">
        <v>377</v>
      </c>
      <c r="N378" s="41" t="s">
        <v>1907</v>
      </c>
      <c r="O378" s="43">
        <f t="shared" si="112"/>
        <v>953</v>
      </c>
      <c r="P378" s="43">
        <f t="shared" si="113"/>
        <v>35</v>
      </c>
      <c r="Q378" s="41" t="s">
        <v>1925</v>
      </c>
      <c r="R378" s="48" t="str">
        <f t="shared" si="107"/>
        <v>(3,'PS-03-RGZ2','Poste de Sectionnement n°03 RGZ2','Saturday-01-jj','Saturday-01-jj',NULL,1,),</v>
      </c>
    </row>
    <row r="379" spans="1:18" ht="20.100000000000001" hidden="1" customHeight="1" x14ac:dyDescent="0.25">
      <c r="A379" s="38">
        <v>4</v>
      </c>
      <c r="B379" s="38" t="s">
        <v>631</v>
      </c>
      <c r="C379" s="38">
        <v>14</v>
      </c>
      <c r="D379" s="39" t="str">
        <f t="shared" si="114"/>
        <v>PS-04-RGZ2</v>
      </c>
      <c r="E379" s="48" t="str">
        <f t="shared" si="115"/>
        <v>Poste de Sectionnement n°04 RGZ2</v>
      </c>
      <c r="F379" s="19"/>
      <c r="G379" s="41"/>
      <c r="H379" s="41" t="s">
        <v>20</v>
      </c>
      <c r="I379" s="41">
        <v>1</v>
      </c>
      <c r="J379" s="41" t="s">
        <v>3557</v>
      </c>
      <c r="K379" s="41">
        <v>16</v>
      </c>
      <c r="L379" s="41"/>
      <c r="M379" s="41" t="s">
        <v>377</v>
      </c>
      <c r="N379" s="41" t="s">
        <v>1908</v>
      </c>
      <c r="O379" s="43">
        <f t="shared" si="112"/>
        <v>910</v>
      </c>
      <c r="P379" s="43">
        <f t="shared" si="113"/>
        <v>43</v>
      </c>
      <c r="Q379" s="41" t="s">
        <v>1926</v>
      </c>
      <c r="R379" s="48" t="str">
        <f t="shared" si="107"/>
        <v>(4,'PS-04-RGZ2','Poste de Sectionnement n°04 RGZ2','Saturday-01-jj','Saturday-01-jj',NULL,1,),</v>
      </c>
    </row>
    <row r="380" spans="1:18" ht="20.100000000000001" hidden="1" customHeight="1" x14ac:dyDescent="0.25">
      <c r="A380" s="38">
        <v>5</v>
      </c>
      <c r="B380" s="38" t="s">
        <v>631</v>
      </c>
      <c r="C380" s="38">
        <v>14</v>
      </c>
      <c r="D380" s="39" t="str">
        <f t="shared" si="114"/>
        <v>PS-05-RGZ2</v>
      </c>
      <c r="E380" s="48" t="str">
        <f t="shared" si="115"/>
        <v>Poste de Sectionnement n°05 RGZ2</v>
      </c>
      <c r="F380" s="19"/>
      <c r="G380" s="41"/>
      <c r="H380" s="41" t="s">
        <v>20</v>
      </c>
      <c r="I380" s="41">
        <v>1</v>
      </c>
      <c r="J380" s="41" t="s">
        <v>3557</v>
      </c>
      <c r="K380" s="41">
        <v>16</v>
      </c>
      <c r="L380" s="41"/>
      <c r="M380" s="41" t="s">
        <v>377</v>
      </c>
      <c r="N380" s="41" t="s">
        <v>1909</v>
      </c>
      <c r="O380" s="43">
        <f t="shared" si="112"/>
        <v>722</v>
      </c>
      <c r="P380" s="43">
        <f t="shared" si="113"/>
        <v>55</v>
      </c>
      <c r="Q380" s="41" t="s">
        <v>1926</v>
      </c>
      <c r="R380" s="48" t="str">
        <f t="shared" si="107"/>
        <v>(5,'PS-05-RGZ2','Poste de Sectionnement n°05 RGZ2','Saturday-01-jj','Saturday-01-jj',NULL,1,),</v>
      </c>
    </row>
    <row r="381" spans="1:18" ht="20.100000000000001" hidden="1" customHeight="1" x14ac:dyDescent="0.25">
      <c r="A381" s="38">
        <v>6</v>
      </c>
      <c r="B381" s="38" t="s">
        <v>631</v>
      </c>
      <c r="C381" s="38">
        <v>14</v>
      </c>
      <c r="D381" s="39" t="str">
        <f t="shared" si="114"/>
        <v>PS-06-RGZ2</v>
      </c>
      <c r="E381" s="48" t="str">
        <f t="shared" si="115"/>
        <v>Poste de Sectionnement n°06 RGZ2</v>
      </c>
      <c r="F381" s="19"/>
      <c r="G381" s="41"/>
      <c r="H381" s="41" t="s">
        <v>20</v>
      </c>
      <c r="I381" s="41">
        <v>1</v>
      </c>
      <c r="J381" s="41" t="s">
        <v>3557</v>
      </c>
      <c r="K381" s="41">
        <v>16</v>
      </c>
      <c r="L381" s="41"/>
      <c r="M381" s="41" t="s">
        <v>377</v>
      </c>
      <c r="N381" s="41" t="s">
        <v>1910</v>
      </c>
      <c r="O381" s="43">
        <f t="shared" si="112"/>
        <v>589</v>
      </c>
      <c r="P381" s="43">
        <f t="shared" si="113"/>
        <v>65</v>
      </c>
      <c r="Q381" s="41" t="s">
        <v>1927</v>
      </c>
      <c r="R381" s="48" t="str">
        <f t="shared" si="107"/>
        <v>(6,'PS-06-RGZ2','Poste de Sectionnement n°06 RGZ2','Saturday-01-jj','Saturday-01-jj',NULL,1,),</v>
      </c>
    </row>
    <row r="382" spans="1:18" ht="20.100000000000001" hidden="1" customHeight="1" x14ac:dyDescent="0.25">
      <c r="A382" s="38">
        <v>7</v>
      </c>
      <c r="B382" s="38" t="s">
        <v>631</v>
      </c>
      <c r="C382" s="38">
        <v>14</v>
      </c>
      <c r="D382" s="39" t="str">
        <f t="shared" si="114"/>
        <v>PS-07-RGZ2</v>
      </c>
      <c r="E382" s="48" t="str">
        <f t="shared" si="115"/>
        <v>Poste de Sectionnement n°07 RGZ2</v>
      </c>
      <c r="F382" s="19"/>
      <c r="G382" s="41"/>
      <c r="H382" s="41" t="s">
        <v>20</v>
      </c>
      <c r="I382" s="41">
        <v>1</v>
      </c>
      <c r="J382" s="41" t="s">
        <v>3557</v>
      </c>
      <c r="K382" s="41">
        <v>16</v>
      </c>
      <c r="L382" s="41"/>
      <c r="M382" s="41" t="s">
        <v>377</v>
      </c>
      <c r="N382" s="41" t="s">
        <v>1911</v>
      </c>
      <c r="O382" s="43">
        <f t="shared" si="112"/>
        <v>679</v>
      </c>
      <c r="P382" s="43">
        <f t="shared" si="113"/>
        <v>74</v>
      </c>
      <c r="Q382" s="41" t="s">
        <v>755</v>
      </c>
      <c r="R382" s="48" t="str">
        <f t="shared" si="107"/>
        <v>(7,'PS-07-RGZ2','Poste de Sectionnement n°07 RGZ2','Saturday-01-jj','Saturday-01-jj',NULL,1,),</v>
      </c>
    </row>
    <row r="383" spans="1:18" ht="20.100000000000001" hidden="1" customHeight="1" x14ac:dyDescent="0.25">
      <c r="A383" s="38">
        <v>8</v>
      </c>
      <c r="B383" s="38" t="s">
        <v>631</v>
      </c>
      <c r="C383" s="38">
        <v>14</v>
      </c>
      <c r="D383" s="39" t="str">
        <f t="shared" si="114"/>
        <v>PS-08-RGZ2</v>
      </c>
      <c r="E383" s="48" t="str">
        <f t="shared" si="115"/>
        <v>Poste de Sectionnement n°08 RGZ2</v>
      </c>
      <c r="F383" s="19"/>
      <c r="G383" s="41"/>
      <c r="H383" s="41" t="s">
        <v>20</v>
      </c>
      <c r="I383" s="41">
        <v>1</v>
      </c>
      <c r="J383" s="41" t="s">
        <v>3557</v>
      </c>
      <c r="K383" s="41">
        <v>16</v>
      </c>
      <c r="L383" s="41"/>
      <c r="M383" s="41" t="s">
        <v>377</v>
      </c>
      <c r="N383" s="41" t="s">
        <v>1912</v>
      </c>
      <c r="O383" s="43">
        <f t="shared" si="112"/>
        <v>556</v>
      </c>
      <c r="P383" s="43">
        <f t="shared" si="113"/>
        <v>86</v>
      </c>
      <c r="Q383" s="41" t="s">
        <v>1928</v>
      </c>
      <c r="R383" s="48" t="str">
        <f t="shared" si="107"/>
        <v>(8,'PS-08-RGZ2','Poste de Sectionnement n°08 RGZ2','Saturday-01-jj','Saturday-01-jj',NULL,1,),</v>
      </c>
    </row>
    <row r="384" spans="1:18" ht="20.100000000000001" hidden="1" customHeight="1" x14ac:dyDescent="0.25">
      <c r="A384" s="38">
        <v>9</v>
      </c>
      <c r="B384" s="38" t="s">
        <v>631</v>
      </c>
      <c r="C384" s="38">
        <v>14</v>
      </c>
      <c r="D384" s="39" t="str">
        <f t="shared" si="114"/>
        <v>PS-09-RGZ2</v>
      </c>
      <c r="E384" s="48" t="str">
        <f t="shared" si="115"/>
        <v>Poste de Sectionnement n°09 RGZ2</v>
      </c>
      <c r="F384" s="19"/>
      <c r="G384" s="41"/>
      <c r="H384" s="41" t="s">
        <v>20</v>
      </c>
      <c r="I384" s="41">
        <v>1</v>
      </c>
      <c r="J384" s="41" t="s">
        <v>3557</v>
      </c>
      <c r="K384" s="41">
        <v>16</v>
      </c>
      <c r="L384" s="41"/>
      <c r="M384" s="41" t="s">
        <v>377</v>
      </c>
      <c r="N384" s="41" t="s">
        <v>1913</v>
      </c>
      <c r="O384" s="43">
        <f t="shared" si="112"/>
        <v>489</v>
      </c>
      <c r="P384" s="43">
        <f t="shared" si="113"/>
        <v>96</v>
      </c>
      <c r="Q384" s="41" t="s">
        <v>756</v>
      </c>
      <c r="R384" s="48" t="str">
        <f t="shared" si="107"/>
        <v>(9,'PS-09-RGZ2','Poste de Sectionnement n°09 RGZ2','Saturday-01-jj','Saturday-01-jj',NULL,1,),</v>
      </c>
    </row>
    <row r="385" spans="1:18" ht="20.100000000000001" hidden="1" customHeight="1" x14ac:dyDescent="0.25">
      <c r="A385" s="38">
        <v>10</v>
      </c>
      <c r="B385" s="38" t="s">
        <v>631</v>
      </c>
      <c r="C385" s="38">
        <v>14</v>
      </c>
      <c r="D385" s="39" t="str">
        <f t="shared" si="114"/>
        <v>PS-10-RGZ2</v>
      </c>
      <c r="E385" s="48" t="str">
        <f t="shared" si="115"/>
        <v>Poste de Sectionnement n°10 RGZ2</v>
      </c>
      <c r="F385" s="19"/>
      <c r="G385" s="41"/>
      <c r="H385" s="41" t="s">
        <v>20</v>
      </c>
      <c r="I385" s="41">
        <v>1</v>
      </c>
      <c r="J385" s="41" t="s">
        <v>3557</v>
      </c>
      <c r="K385" s="41">
        <v>16</v>
      </c>
      <c r="L385" s="41"/>
      <c r="M385" s="41" t="s">
        <v>377</v>
      </c>
      <c r="N385" s="41" t="s">
        <v>1914</v>
      </c>
      <c r="O385" s="43">
        <f t="shared" si="112"/>
        <v>198</v>
      </c>
      <c r="P385" s="43">
        <f t="shared" si="113"/>
        <v>115</v>
      </c>
      <c r="Q385" s="41" t="s">
        <v>1929</v>
      </c>
      <c r="R385" s="48" t="str">
        <f t="shared" si="107"/>
        <v>(10,'PS-10-RGZ2','Poste de Sectionnement n°10 RGZ2','Saturday-01-jj','Saturday-01-jj',NULL,1,),</v>
      </c>
    </row>
    <row r="386" spans="1:18" ht="20.100000000000001" hidden="1" customHeight="1" x14ac:dyDescent="0.25">
      <c r="A386" s="38">
        <v>11</v>
      </c>
      <c r="B386" s="38" t="s">
        <v>631</v>
      </c>
      <c r="C386" s="38">
        <v>14</v>
      </c>
      <c r="D386" s="39" t="str">
        <f t="shared" si="114"/>
        <v>PS-11-RGZ2</v>
      </c>
      <c r="E386" s="48" t="str">
        <f t="shared" si="115"/>
        <v>Poste de Sectionnement n°11 RGZ2</v>
      </c>
      <c r="F386" s="19"/>
      <c r="G386" s="41"/>
      <c r="H386" s="41" t="s">
        <v>20</v>
      </c>
      <c r="I386" s="41">
        <v>1</v>
      </c>
      <c r="J386" s="41" t="s">
        <v>3557</v>
      </c>
      <c r="K386" s="41">
        <v>16</v>
      </c>
      <c r="L386" s="41"/>
      <c r="M386" s="41" t="s">
        <v>377</v>
      </c>
      <c r="N386" s="41" t="s">
        <v>1915</v>
      </c>
      <c r="O386" s="43">
        <f t="shared" si="112"/>
        <v>136</v>
      </c>
      <c r="P386" s="43">
        <f t="shared" si="113"/>
        <v>126</v>
      </c>
      <c r="Q386" s="41" t="s">
        <v>1930</v>
      </c>
      <c r="R386" s="48" t="str">
        <f t="shared" si="107"/>
        <v>(11,'PS-11-RGZ2','Poste de Sectionnement n°11 RGZ2','Saturday-01-jj','Saturday-01-jj',NULL,1,),</v>
      </c>
    </row>
    <row r="387" spans="1:18" ht="20.100000000000001" hidden="1" customHeight="1" x14ac:dyDescent="0.25">
      <c r="A387" s="38">
        <v>12</v>
      </c>
      <c r="B387" s="38" t="s">
        <v>631</v>
      </c>
      <c r="C387" s="38">
        <v>14</v>
      </c>
      <c r="D387" s="39" t="str">
        <f t="shared" si="114"/>
        <v>PS-12-RGZ2</v>
      </c>
      <c r="E387" s="48" t="str">
        <f t="shared" si="115"/>
        <v>Poste de Sectionnement n°12 RGZ2</v>
      </c>
      <c r="F387" s="19"/>
      <c r="G387" s="41"/>
      <c r="H387" s="41" t="s">
        <v>20</v>
      </c>
      <c r="I387" s="41">
        <v>1</v>
      </c>
      <c r="J387" s="41" t="s">
        <v>3557</v>
      </c>
      <c r="K387" s="41">
        <v>16</v>
      </c>
      <c r="L387" s="41"/>
      <c r="M387" s="41" t="s">
        <v>377</v>
      </c>
      <c r="N387" s="41" t="s">
        <v>1916</v>
      </c>
      <c r="O387" s="43">
        <f t="shared" si="112"/>
        <v>119</v>
      </c>
      <c r="P387" s="43">
        <f t="shared" si="113"/>
        <v>135</v>
      </c>
      <c r="Q387" s="41" t="s">
        <v>1786</v>
      </c>
      <c r="R387" s="48" t="str">
        <f t="shared" si="107"/>
        <v>(12,'PS-12-RGZ2','Poste de Sectionnement n°12 RGZ2','Saturday-01-jj','Saturday-01-jj',NULL,1,),</v>
      </c>
    </row>
    <row r="388" spans="1:18" ht="20.100000000000001" hidden="1" customHeight="1" x14ac:dyDescent="0.25">
      <c r="A388" s="38">
        <v>13</v>
      </c>
      <c r="B388" s="38" t="s">
        <v>631</v>
      </c>
      <c r="C388" s="38">
        <v>14</v>
      </c>
      <c r="D388" s="39" t="str">
        <f t="shared" si="114"/>
        <v>PS-13-RGZ2</v>
      </c>
      <c r="E388" s="48" t="str">
        <f t="shared" si="115"/>
        <v>Poste de Sectionnement n°13 RGZ2</v>
      </c>
      <c r="F388" s="19"/>
      <c r="G388" s="41"/>
      <c r="H388" s="41" t="s">
        <v>20</v>
      </c>
      <c r="I388" s="41">
        <v>1</v>
      </c>
      <c r="J388" s="41" t="s">
        <v>3557</v>
      </c>
      <c r="K388" s="41">
        <v>16</v>
      </c>
      <c r="L388" s="41"/>
      <c r="M388" s="41" t="s">
        <v>377</v>
      </c>
      <c r="N388" s="41" t="s">
        <v>1917</v>
      </c>
      <c r="O388" s="43">
        <f t="shared" si="112"/>
        <v>334</v>
      </c>
      <c r="P388" s="43">
        <f t="shared" si="113"/>
        <v>145</v>
      </c>
      <c r="Q388" s="41" t="s">
        <v>1931</v>
      </c>
      <c r="R388" s="48" t="str">
        <f t="shared" si="107"/>
        <v>(13,'PS-13-RGZ2','Poste de Sectionnement n°13 RGZ2','Saturday-01-jj','Saturday-01-jj',NULL,1,),</v>
      </c>
    </row>
    <row r="389" spans="1:18" ht="20.100000000000001" hidden="1" customHeight="1" x14ac:dyDescent="0.25">
      <c r="A389" s="38">
        <v>14</v>
      </c>
      <c r="B389" s="38" t="s">
        <v>631</v>
      </c>
      <c r="C389" s="38">
        <v>14</v>
      </c>
      <c r="D389" s="39" t="str">
        <f t="shared" si="114"/>
        <v>PS-14-RGZ2</v>
      </c>
      <c r="E389" s="48" t="str">
        <f t="shared" si="115"/>
        <v>Poste de Sectionnement n°14 RGZ2</v>
      </c>
      <c r="F389" s="19"/>
      <c r="G389" s="41"/>
      <c r="H389" s="41" t="s">
        <v>20</v>
      </c>
      <c r="I389" s="41">
        <v>1</v>
      </c>
      <c r="J389" s="41" t="s">
        <v>3557</v>
      </c>
      <c r="K389" s="41">
        <v>16</v>
      </c>
      <c r="L389" s="41"/>
      <c r="M389" s="41" t="s">
        <v>377</v>
      </c>
      <c r="N389" s="41" t="s">
        <v>1918</v>
      </c>
      <c r="O389" s="43">
        <f t="shared" si="112"/>
        <v>114</v>
      </c>
      <c r="P389" s="43">
        <f t="shared" si="113"/>
        <v>156</v>
      </c>
      <c r="Q389" s="41" t="s">
        <v>1932</v>
      </c>
      <c r="R389" s="48" t="str">
        <f t="shared" si="107"/>
        <v>(14,'PS-14-RGZ2','Poste de Sectionnement n°14 RGZ2','Saturday-01-jj','Saturday-01-jj',NULL,1,),</v>
      </c>
    </row>
    <row r="390" spans="1:18" ht="20.100000000000001" hidden="1" customHeight="1" x14ac:dyDescent="0.25">
      <c r="A390" s="38">
        <v>15</v>
      </c>
      <c r="B390" s="38" t="s">
        <v>631</v>
      </c>
      <c r="C390" s="38">
        <v>14</v>
      </c>
      <c r="D390" s="39" t="str">
        <f t="shared" si="114"/>
        <v>PS-15-RGZ2</v>
      </c>
      <c r="E390" s="48" t="str">
        <f t="shared" si="115"/>
        <v>Poste de Sectionnement n°15 RGZ2</v>
      </c>
      <c r="F390" s="19"/>
      <c r="G390" s="41"/>
      <c r="H390" s="41" t="s">
        <v>20</v>
      </c>
      <c r="I390" s="41">
        <v>1</v>
      </c>
      <c r="J390" s="41" t="s">
        <v>3557</v>
      </c>
      <c r="K390" s="41">
        <v>16</v>
      </c>
      <c r="L390" s="41"/>
      <c r="M390" s="41" t="s">
        <v>377</v>
      </c>
      <c r="N390" s="41" t="s">
        <v>1919</v>
      </c>
      <c r="O390" s="43">
        <f t="shared" si="112"/>
        <v>40</v>
      </c>
      <c r="P390" s="43">
        <f t="shared" si="113"/>
        <v>166</v>
      </c>
      <c r="Q390" s="41" t="s">
        <v>1748</v>
      </c>
      <c r="R390" s="48" t="str">
        <f t="shared" si="107"/>
        <v>(15,'PS-15-RGZ2','Poste de Sectionnement n°15 RGZ2','Saturday-01-jj','Saturday-01-jj',NULL,1,),</v>
      </c>
    </row>
    <row r="391" spans="1:18" ht="20.100000000000001" hidden="1" customHeight="1" x14ac:dyDescent="0.25">
      <c r="A391" s="38">
        <v>16</v>
      </c>
      <c r="B391" s="38" t="s">
        <v>631</v>
      </c>
      <c r="C391" s="38">
        <v>14</v>
      </c>
      <c r="D391" s="39" t="str">
        <f t="shared" si="114"/>
        <v>PS-16-RGZ2</v>
      </c>
      <c r="E391" s="48" t="str">
        <f t="shared" si="115"/>
        <v>Poste de Sectionnement n°16 RGZ2</v>
      </c>
      <c r="F391" s="19"/>
      <c r="G391" s="41"/>
      <c r="H391" s="41" t="s">
        <v>20</v>
      </c>
      <c r="I391" s="41">
        <v>1</v>
      </c>
      <c r="J391" s="41" t="s">
        <v>3557</v>
      </c>
      <c r="K391" s="41">
        <v>16</v>
      </c>
      <c r="L391" s="41"/>
      <c r="M391" s="41" t="s">
        <v>377</v>
      </c>
      <c r="N391" s="41" t="s">
        <v>1920</v>
      </c>
      <c r="O391" s="43">
        <f t="shared" si="112"/>
        <v>23</v>
      </c>
      <c r="P391" s="43">
        <f t="shared" si="113"/>
        <v>176</v>
      </c>
      <c r="Q391" s="41" t="s">
        <v>1933</v>
      </c>
      <c r="R391" s="48" t="str">
        <f t="shared" si="107"/>
        <v>(16,'PS-16-RGZ2','Poste de Sectionnement n°16 RGZ2','Saturday-01-jj','Saturday-01-jj',NULL,1,),</v>
      </c>
    </row>
    <row r="392" spans="1:18" ht="20.100000000000001" hidden="1" customHeight="1" x14ac:dyDescent="0.25">
      <c r="A392" s="38">
        <v>17</v>
      </c>
      <c r="B392" s="38" t="s">
        <v>631</v>
      </c>
      <c r="C392" s="38">
        <v>14</v>
      </c>
      <c r="D392" s="39" t="str">
        <f t="shared" si="114"/>
        <v>PS-17-RGZ2</v>
      </c>
      <c r="E392" s="48" t="str">
        <f t="shared" si="115"/>
        <v>Poste de Sectionnement n°17 RGZ2</v>
      </c>
      <c r="F392" s="19"/>
      <c r="G392" s="41"/>
      <c r="H392" s="41" t="s">
        <v>20</v>
      </c>
      <c r="I392" s="41">
        <v>1</v>
      </c>
      <c r="J392" s="41" t="s">
        <v>3557</v>
      </c>
      <c r="K392" s="41">
        <v>16</v>
      </c>
      <c r="L392" s="41"/>
      <c r="M392" s="41" t="s">
        <v>377</v>
      </c>
      <c r="N392" s="41" t="s">
        <v>1921</v>
      </c>
      <c r="O392" s="43">
        <f t="shared" si="112"/>
        <v>5</v>
      </c>
      <c r="P392" s="43">
        <f t="shared" si="113"/>
        <v>185</v>
      </c>
      <c r="Q392" s="41" t="s">
        <v>1934</v>
      </c>
      <c r="R392" s="48" t="str">
        <f t="shared" si="107"/>
        <v>(17,'PS-17-RGZ2','Poste de Sectionnement n°17 RGZ2','Saturday-01-jj','Saturday-01-jj',NULL,1,),</v>
      </c>
    </row>
    <row r="393" spans="1:18" ht="20.100000000000001" hidden="1" customHeight="1" x14ac:dyDescent="0.25">
      <c r="A393" s="38">
        <v>18</v>
      </c>
      <c r="B393" s="38" t="s">
        <v>631</v>
      </c>
      <c r="C393" s="38">
        <v>14</v>
      </c>
      <c r="D393" s="39" t="str">
        <f t="shared" si="114"/>
        <v>PS-18-RGZ2</v>
      </c>
      <c r="E393" s="48" t="str">
        <f t="shared" si="115"/>
        <v>Poste de Sectionnement n°18 RGZ2</v>
      </c>
      <c r="F393" s="19"/>
      <c r="G393" s="41"/>
      <c r="H393" s="41" t="s">
        <v>20</v>
      </c>
      <c r="I393" s="41">
        <v>1</v>
      </c>
      <c r="J393" s="41" t="s">
        <v>3557</v>
      </c>
      <c r="K393" s="41">
        <v>16</v>
      </c>
      <c r="L393" s="41"/>
      <c r="M393" s="41" t="s">
        <v>377</v>
      </c>
      <c r="N393" s="41" t="s">
        <v>1922</v>
      </c>
      <c r="O393" s="43">
        <f t="shared" si="112"/>
        <v>4</v>
      </c>
      <c r="P393" s="43">
        <f t="shared" si="113"/>
        <v>195</v>
      </c>
      <c r="Q393" s="41" t="s">
        <v>1935</v>
      </c>
      <c r="R393" s="48" t="str">
        <f t="shared" si="107"/>
        <v>(18,'PS-18-RGZ2','Poste de Sectionnement n°18 RGZ2','Saturday-01-jj','Saturday-01-jj',NULL,1,),</v>
      </c>
    </row>
    <row r="394" spans="1:18" ht="20.100000000000001" hidden="1" customHeight="1" x14ac:dyDescent="0.25">
      <c r="A394" s="38">
        <v>19</v>
      </c>
      <c r="B394" s="38" t="s">
        <v>631</v>
      </c>
      <c r="C394" s="38">
        <v>14</v>
      </c>
      <c r="D394" s="39" t="str">
        <f t="shared" si="114"/>
        <v>PS-19-RGZ2</v>
      </c>
      <c r="E394" s="48" t="str">
        <f t="shared" si="115"/>
        <v>Poste de Sectionnement n°19 RGZ2</v>
      </c>
      <c r="F394" s="19"/>
      <c r="G394" s="41"/>
      <c r="H394" s="41" t="s">
        <v>20</v>
      </c>
      <c r="I394" s="41">
        <v>1</v>
      </c>
      <c r="J394" s="41" t="s">
        <v>3557</v>
      </c>
      <c r="K394" s="41">
        <v>16</v>
      </c>
      <c r="L394" s="41"/>
      <c r="M394" s="41" t="s">
        <v>377</v>
      </c>
      <c r="N394" s="41" t="s">
        <v>1923</v>
      </c>
      <c r="O394" s="43">
        <f t="shared" si="112"/>
        <v>59</v>
      </c>
      <c r="P394" s="43">
        <f t="shared" si="113"/>
        <v>208</v>
      </c>
      <c r="Q394" s="41" t="s">
        <v>1936</v>
      </c>
      <c r="R394" s="48" t="str">
        <f t="shared" si="107"/>
        <v>(19,'PS-19-RGZ2','Poste de Sectionnement n°19 RGZ2','Saturday-01-jj','Saturday-01-jj',NULL,1,),</v>
      </c>
    </row>
    <row r="395" spans="1:18" ht="20.100000000000001" hidden="1" customHeight="1" x14ac:dyDescent="0.25">
      <c r="A395" s="38">
        <v>1</v>
      </c>
      <c r="B395" s="38" t="s">
        <v>631</v>
      </c>
      <c r="C395" s="38">
        <v>14</v>
      </c>
      <c r="D395" s="39" t="str">
        <f t="shared" si="114"/>
        <v>PS-01-GZ3</v>
      </c>
      <c r="E395" s="48" t="str">
        <f t="shared" si="115"/>
        <v>Poste de Sectionnement n°01 GZ3</v>
      </c>
      <c r="F395" s="19"/>
      <c r="G395" s="41"/>
      <c r="H395" s="41" t="s">
        <v>20</v>
      </c>
      <c r="I395" s="41">
        <v>1</v>
      </c>
      <c r="J395" s="41" t="s">
        <v>3557</v>
      </c>
      <c r="K395" s="41">
        <v>16</v>
      </c>
      <c r="L395" s="41"/>
      <c r="M395" s="41" t="s">
        <v>379</v>
      </c>
      <c r="N395" s="41" t="s">
        <v>1948</v>
      </c>
      <c r="O395" s="43">
        <f t="shared" ref="O395:O416" si="116">VALUE(RIGHT(N395,LEN(N395)-SEARCH("/",N395)))</f>
        <v>740</v>
      </c>
      <c r="P395" s="43">
        <f t="shared" ref="P395:P416" si="117">VALUE(SUBSTITUTE(LEFT(N395,SEARCH("/",N395)-1),"+",","))</f>
        <v>25.145</v>
      </c>
      <c r="Q395" s="41" t="s">
        <v>790</v>
      </c>
      <c r="R395" s="48" t="str">
        <f t="shared" si="107"/>
        <v>(1,'PS-01-GZ3','Poste de Sectionnement n°01 GZ3','Saturday-01-jj','Saturday-01-jj',NULL,1,),</v>
      </c>
    </row>
    <row r="396" spans="1:18" ht="20.100000000000001" hidden="1" customHeight="1" x14ac:dyDescent="0.25">
      <c r="A396" s="38">
        <v>2</v>
      </c>
      <c r="B396" s="38" t="s">
        <v>631</v>
      </c>
      <c r="C396" s="38">
        <v>14</v>
      </c>
      <c r="D396" s="39" t="str">
        <f t="shared" si="114"/>
        <v>PS-02-GZ3</v>
      </c>
      <c r="E396" s="48" t="str">
        <f t="shared" si="115"/>
        <v>Poste de Sectionnement n°02 GZ3</v>
      </c>
      <c r="F396" s="19">
        <v>32509</v>
      </c>
      <c r="G396" s="19">
        <v>32509</v>
      </c>
      <c r="H396" s="41" t="s">
        <v>20</v>
      </c>
      <c r="I396" s="41">
        <v>1</v>
      </c>
      <c r="J396" s="41" t="s">
        <v>3557</v>
      </c>
      <c r="K396" s="41">
        <v>16</v>
      </c>
      <c r="L396" s="41"/>
      <c r="M396" s="41" t="s">
        <v>379</v>
      </c>
      <c r="N396" s="41" t="s">
        <v>1949</v>
      </c>
      <c r="O396" s="43">
        <f t="shared" si="116"/>
        <v>844</v>
      </c>
      <c r="P396" s="43">
        <f t="shared" si="117"/>
        <v>50.15</v>
      </c>
      <c r="Q396" s="41" t="s">
        <v>790</v>
      </c>
      <c r="R396" s="48" t="str">
        <f t="shared" si="107"/>
        <v>(2,'PS-02-GZ3','Poste de Sectionnement n°02 GZ3','Sunday-01-jj','Sunday-01-jj',NULL,1,),</v>
      </c>
    </row>
    <row r="397" spans="1:18" ht="20.100000000000001" hidden="1" customHeight="1" x14ac:dyDescent="0.25">
      <c r="A397" s="38">
        <v>3</v>
      </c>
      <c r="B397" s="38" t="s">
        <v>631</v>
      </c>
      <c r="C397" s="38">
        <v>14</v>
      </c>
      <c r="D397" s="39" t="str">
        <f t="shared" ref="D397:D418" si="118">CONCATENATE("PS-",TEXT(A397,"00"),"-",M397)</f>
        <v>PS-03-GZ3</v>
      </c>
      <c r="E397" s="48" t="str">
        <f t="shared" ref="E397:E418" si="119">CONCATENATE("Poste de Sectionnement n°",TEXT(A397,"00")," ",M397)</f>
        <v>Poste de Sectionnement n°03 GZ3</v>
      </c>
      <c r="F397" s="19">
        <v>32509</v>
      </c>
      <c r="G397" s="19">
        <v>32509</v>
      </c>
      <c r="H397" s="41" t="s">
        <v>20</v>
      </c>
      <c r="I397" s="41">
        <v>1</v>
      </c>
      <c r="J397" s="41" t="s">
        <v>3557</v>
      </c>
      <c r="K397" s="41">
        <v>16</v>
      </c>
      <c r="L397" s="41"/>
      <c r="M397" s="41" t="s">
        <v>379</v>
      </c>
      <c r="N397" s="41" t="s">
        <v>1950</v>
      </c>
      <c r="O397" s="43">
        <f t="shared" si="116"/>
        <v>770</v>
      </c>
      <c r="P397" s="43">
        <f t="shared" si="117"/>
        <v>98.286000000000001</v>
      </c>
      <c r="Q397" s="41" t="s">
        <v>1942</v>
      </c>
      <c r="R397" s="48" t="str">
        <f t="shared" si="107"/>
        <v>(3,'PS-03-GZ3','Poste de Sectionnement n°03 GZ3','Sunday-01-jj','Sunday-01-jj',NULL,1,),</v>
      </c>
    </row>
    <row r="398" spans="1:18" ht="20.100000000000001" hidden="1" customHeight="1" x14ac:dyDescent="0.25">
      <c r="A398" s="38">
        <v>4</v>
      </c>
      <c r="B398" s="38" t="s">
        <v>631</v>
      </c>
      <c r="C398" s="38">
        <v>14</v>
      </c>
      <c r="D398" s="39" t="str">
        <f t="shared" si="118"/>
        <v>PS-04-GZ3</v>
      </c>
      <c r="E398" s="48" t="str">
        <f t="shared" si="119"/>
        <v>Poste de Sectionnement n°04 GZ3</v>
      </c>
      <c r="F398" s="19">
        <v>32509</v>
      </c>
      <c r="G398" s="19">
        <v>32509</v>
      </c>
      <c r="H398" s="41" t="s">
        <v>20</v>
      </c>
      <c r="I398" s="41">
        <v>1</v>
      </c>
      <c r="J398" s="41" t="s">
        <v>3557</v>
      </c>
      <c r="K398" s="41">
        <v>16</v>
      </c>
      <c r="L398" s="41"/>
      <c r="M398" s="41" t="s">
        <v>379</v>
      </c>
      <c r="N398" s="41" t="s">
        <v>1951</v>
      </c>
      <c r="O398" s="43">
        <f t="shared" si="116"/>
        <v>914</v>
      </c>
      <c r="P398" s="43">
        <f t="shared" si="117"/>
        <v>122.431</v>
      </c>
      <c r="Q398" s="41" t="s">
        <v>1937</v>
      </c>
      <c r="R398" s="48" t="str">
        <f t="shared" si="107"/>
        <v>(4,'PS-04-GZ3','Poste de Sectionnement n°04 GZ3','Sunday-01-jj','Sunday-01-jj',NULL,1,),</v>
      </c>
    </row>
    <row r="399" spans="1:18" ht="20.100000000000001" hidden="1" customHeight="1" x14ac:dyDescent="0.25">
      <c r="A399" s="38">
        <v>5</v>
      </c>
      <c r="B399" s="38" t="s">
        <v>631</v>
      </c>
      <c r="C399" s="38">
        <v>14</v>
      </c>
      <c r="D399" s="39" t="str">
        <f t="shared" si="118"/>
        <v>PS-05-GZ3</v>
      </c>
      <c r="E399" s="48" t="str">
        <f t="shared" si="119"/>
        <v>Poste de Sectionnement n°05 GZ3</v>
      </c>
      <c r="F399" s="19">
        <v>32509</v>
      </c>
      <c r="G399" s="19">
        <v>32509</v>
      </c>
      <c r="H399" s="41" t="s">
        <v>20</v>
      </c>
      <c r="I399" s="41">
        <v>1</v>
      </c>
      <c r="J399" s="41" t="s">
        <v>3557</v>
      </c>
      <c r="K399" s="41">
        <v>16</v>
      </c>
      <c r="L399" s="41"/>
      <c r="M399" s="41" t="s">
        <v>379</v>
      </c>
      <c r="N399" s="41" t="s">
        <v>1952</v>
      </c>
      <c r="O399" s="43">
        <f t="shared" si="116"/>
        <v>1243</v>
      </c>
      <c r="P399" s="43">
        <f t="shared" si="117"/>
        <v>172.24199999999999</v>
      </c>
      <c r="Q399" s="41" t="s">
        <v>1937</v>
      </c>
      <c r="R399" s="48" t="str">
        <f t="shared" si="107"/>
        <v>(5,'PS-05-GZ3','Poste de Sectionnement n°05 GZ3','Sunday-01-jj','Sunday-01-jj',NULL,1,),</v>
      </c>
    </row>
    <row r="400" spans="1:18" ht="20.100000000000001" hidden="1" customHeight="1" x14ac:dyDescent="0.25">
      <c r="A400" s="38">
        <v>6</v>
      </c>
      <c r="B400" s="38" t="s">
        <v>631</v>
      </c>
      <c r="C400" s="38">
        <v>14</v>
      </c>
      <c r="D400" s="39" t="str">
        <f t="shared" si="118"/>
        <v>PS-06-GZ3</v>
      </c>
      <c r="E400" s="48" t="str">
        <f t="shared" si="119"/>
        <v>Poste de Sectionnement n°06 GZ3</v>
      </c>
      <c r="F400" s="19">
        <v>32509</v>
      </c>
      <c r="G400" s="19">
        <v>32509</v>
      </c>
      <c r="H400" s="41" t="s">
        <v>20</v>
      </c>
      <c r="I400" s="41">
        <v>1</v>
      </c>
      <c r="J400" s="41" t="s">
        <v>3557</v>
      </c>
      <c r="K400" s="41">
        <v>16</v>
      </c>
      <c r="L400" s="41"/>
      <c r="M400" s="41" t="s">
        <v>379</v>
      </c>
      <c r="N400" s="41" t="s">
        <v>1953</v>
      </c>
      <c r="O400" s="43">
        <f t="shared" si="116"/>
        <v>1040</v>
      </c>
      <c r="P400" s="43">
        <f t="shared" si="117"/>
        <v>199.018</v>
      </c>
      <c r="Q400" s="41" t="s">
        <v>1970</v>
      </c>
      <c r="R400" s="48" t="str">
        <f t="shared" si="107"/>
        <v>(6,'PS-06-GZ3','Poste de Sectionnement n°06 GZ3','Sunday-01-jj','Sunday-01-jj',NULL,1,),</v>
      </c>
    </row>
    <row r="401" spans="1:18" ht="20.100000000000001" hidden="1" customHeight="1" x14ac:dyDescent="0.25">
      <c r="A401" s="38">
        <v>7</v>
      </c>
      <c r="B401" s="38" t="s">
        <v>631</v>
      </c>
      <c r="C401" s="38">
        <v>14</v>
      </c>
      <c r="D401" s="39" t="str">
        <f t="shared" si="118"/>
        <v>PS-07-GZ3</v>
      </c>
      <c r="E401" s="48" t="str">
        <f t="shared" si="119"/>
        <v>Poste de Sectionnement n°07 GZ3</v>
      </c>
      <c r="F401" s="19">
        <v>32509</v>
      </c>
      <c r="G401" s="19">
        <v>32509</v>
      </c>
      <c r="H401" s="41" t="s">
        <v>20</v>
      </c>
      <c r="I401" s="41">
        <v>1</v>
      </c>
      <c r="J401" s="41" t="s">
        <v>3557</v>
      </c>
      <c r="K401" s="41">
        <v>16</v>
      </c>
      <c r="L401" s="41"/>
      <c r="M401" s="41" t="s">
        <v>379</v>
      </c>
      <c r="N401" s="41" t="s">
        <v>1954</v>
      </c>
      <c r="O401" s="43">
        <f t="shared" si="116"/>
        <v>996</v>
      </c>
      <c r="P401" s="43">
        <f t="shared" si="117"/>
        <v>248.63399999999999</v>
      </c>
      <c r="Q401" s="41" t="s">
        <v>1971</v>
      </c>
      <c r="R401" s="48" t="str">
        <f t="shared" si="107"/>
        <v>(7,'PS-07-GZ3','Poste de Sectionnement n°07 GZ3','Sunday-01-jj','Sunday-01-jj',NULL,1,),</v>
      </c>
    </row>
    <row r="402" spans="1:18" ht="20.100000000000001" hidden="1" customHeight="1" x14ac:dyDescent="0.25">
      <c r="A402" s="38">
        <v>8</v>
      </c>
      <c r="B402" s="38" t="s">
        <v>631</v>
      </c>
      <c r="C402" s="38">
        <v>14</v>
      </c>
      <c r="D402" s="39" t="str">
        <f t="shared" si="118"/>
        <v>PS-08-GZ3</v>
      </c>
      <c r="E402" s="48" t="str">
        <f t="shared" si="119"/>
        <v>Poste de Sectionnement n°08 GZ3</v>
      </c>
      <c r="F402" s="19">
        <v>32509</v>
      </c>
      <c r="G402" s="19">
        <v>32509</v>
      </c>
      <c r="H402" s="41" t="s">
        <v>20</v>
      </c>
      <c r="I402" s="41">
        <v>1</v>
      </c>
      <c r="J402" s="41" t="s">
        <v>3557</v>
      </c>
      <c r="K402" s="41">
        <v>16</v>
      </c>
      <c r="L402" s="41"/>
      <c r="M402" s="41" t="s">
        <v>379</v>
      </c>
      <c r="N402" s="41" t="s">
        <v>1955</v>
      </c>
      <c r="O402" s="43">
        <f t="shared" si="116"/>
        <v>1162</v>
      </c>
      <c r="P402" s="43">
        <f t="shared" si="117"/>
        <v>272.09199999999998</v>
      </c>
      <c r="Q402" s="41" t="s">
        <v>1867</v>
      </c>
      <c r="R402" s="48" t="str">
        <f t="shared" si="107"/>
        <v>(8,'PS-08-GZ3','Poste de Sectionnement n°08 GZ3','Sunday-01-jj','Sunday-01-jj',NULL,1,),</v>
      </c>
    </row>
    <row r="403" spans="1:18" ht="20.100000000000001" hidden="1" customHeight="1" x14ac:dyDescent="0.25">
      <c r="A403" s="38">
        <v>9</v>
      </c>
      <c r="B403" s="38" t="s">
        <v>631</v>
      </c>
      <c r="C403" s="38">
        <v>14</v>
      </c>
      <c r="D403" s="39" t="str">
        <f t="shared" si="118"/>
        <v>PS-09-RGZ3</v>
      </c>
      <c r="E403" s="48" t="str">
        <f t="shared" si="119"/>
        <v>Poste de Sectionnement n°09 RGZ3</v>
      </c>
      <c r="F403" s="19">
        <v>42736</v>
      </c>
      <c r="G403" s="19">
        <v>42736</v>
      </c>
      <c r="H403" s="41" t="s">
        <v>20</v>
      </c>
      <c r="I403" s="41">
        <v>1</v>
      </c>
      <c r="J403" s="41" t="s">
        <v>3557</v>
      </c>
      <c r="K403" s="41">
        <v>16</v>
      </c>
      <c r="L403" s="41"/>
      <c r="M403" s="41" t="s">
        <v>1000</v>
      </c>
      <c r="N403" s="41" t="s">
        <v>1956</v>
      </c>
      <c r="O403" s="43">
        <f t="shared" si="116"/>
        <v>1060</v>
      </c>
      <c r="P403" s="43">
        <f t="shared" si="117"/>
        <v>318.74</v>
      </c>
      <c r="Q403" s="41" t="s">
        <v>1972</v>
      </c>
      <c r="R403" s="48" t="str">
        <f t="shared" si="107"/>
        <v>(9,'PS-09-RGZ3','Poste de Sectionnement n°09 RGZ3','Sunday-01-jj','Sunday-01-jj',NULL,1,),</v>
      </c>
    </row>
    <row r="404" spans="1:18" ht="20.100000000000001" hidden="1" customHeight="1" x14ac:dyDescent="0.25">
      <c r="A404" s="38">
        <v>10</v>
      </c>
      <c r="B404" s="38" t="s">
        <v>631</v>
      </c>
      <c r="C404" s="38">
        <v>14</v>
      </c>
      <c r="D404" s="39" t="str">
        <f t="shared" si="118"/>
        <v>PS-10-RGZ3</v>
      </c>
      <c r="E404" s="48" t="str">
        <f t="shared" si="119"/>
        <v>Poste de Sectionnement n°10 RGZ3</v>
      </c>
      <c r="F404" s="19">
        <v>42736</v>
      </c>
      <c r="G404" s="19">
        <v>42736</v>
      </c>
      <c r="H404" s="41" t="s">
        <v>20</v>
      </c>
      <c r="I404" s="41">
        <v>1</v>
      </c>
      <c r="J404" s="41" t="s">
        <v>3557</v>
      </c>
      <c r="K404" s="41">
        <v>16</v>
      </c>
      <c r="L404" s="41"/>
      <c r="M404" s="41" t="s">
        <v>1000</v>
      </c>
      <c r="N404" s="41" t="s">
        <v>1957</v>
      </c>
      <c r="O404" s="43">
        <f t="shared" si="116"/>
        <v>907</v>
      </c>
      <c r="P404" s="43">
        <f t="shared" si="117"/>
        <v>337.78800000000001</v>
      </c>
      <c r="Q404" s="41" t="s">
        <v>1973</v>
      </c>
      <c r="R404" s="48" t="str">
        <f t="shared" si="107"/>
        <v>(10,'PS-10-RGZ3','Poste de Sectionnement n°10 RGZ3','Sunday-01-jj','Sunday-01-jj',NULL,1,),</v>
      </c>
    </row>
    <row r="405" spans="1:18" ht="20.100000000000001" hidden="1" customHeight="1" x14ac:dyDescent="0.25">
      <c r="A405" s="38">
        <v>11</v>
      </c>
      <c r="B405" s="38" t="s">
        <v>631</v>
      </c>
      <c r="C405" s="38">
        <v>14</v>
      </c>
      <c r="D405" s="39" t="str">
        <f t="shared" si="118"/>
        <v>PS-11-RGZ3</v>
      </c>
      <c r="E405" s="48" t="str">
        <f t="shared" si="119"/>
        <v>Poste de Sectionnement n°11 RGZ3</v>
      </c>
      <c r="F405" s="19">
        <v>42736</v>
      </c>
      <c r="G405" s="19">
        <v>42736</v>
      </c>
      <c r="H405" s="41" t="s">
        <v>20</v>
      </c>
      <c r="I405" s="41">
        <v>1</v>
      </c>
      <c r="J405" s="41" t="s">
        <v>3557</v>
      </c>
      <c r="K405" s="41">
        <v>16</v>
      </c>
      <c r="L405" s="41"/>
      <c r="M405" s="41" t="s">
        <v>1000</v>
      </c>
      <c r="N405" s="41" t="s">
        <v>1958</v>
      </c>
      <c r="O405" s="43">
        <f t="shared" si="116"/>
        <v>597</v>
      </c>
      <c r="P405" s="43">
        <f t="shared" si="117"/>
        <v>358.85500000000002</v>
      </c>
      <c r="Q405" s="41" t="s">
        <v>1974</v>
      </c>
      <c r="R405" s="48" t="str">
        <f t="shared" ref="R405:R468" si="120">CONCATENATE("(",A405,",'",D405,"','",E405,"','",TEXT(F405,"aaaa-mm-jj"),"','",TEXT(G405,"aaaa-mm-jj"),"',",H405,",",I405,",",L405,"),")</f>
        <v>(11,'PS-11-RGZ3','Poste de Sectionnement n°11 RGZ3','Sunday-01-jj','Sunday-01-jj',NULL,1,),</v>
      </c>
    </row>
    <row r="406" spans="1:18" ht="20.100000000000001" hidden="1" customHeight="1" x14ac:dyDescent="0.25">
      <c r="A406" s="38">
        <v>12</v>
      </c>
      <c r="B406" s="38" t="s">
        <v>631</v>
      </c>
      <c r="C406" s="38">
        <v>14</v>
      </c>
      <c r="D406" s="39" t="str">
        <f t="shared" si="118"/>
        <v>PS-12-RGZ3</v>
      </c>
      <c r="E406" s="48" t="str">
        <f t="shared" si="119"/>
        <v>Poste de Sectionnement n°12 RGZ3</v>
      </c>
      <c r="F406" s="19">
        <v>42736</v>
      </c>
      <c r="G406" s="19">
        <v>42736</v>
      </c>
      <c r="H406" s="41" t="s">
        <v>20</v>
      </c>
      <c r="I406" s="41">
        <v>1</v>
      </c>
      <c r="J406" s="41" t="s">
        <v>3557</v>
      </c>
      <c r="K406" s="41">
        <v>16</v>
      </c>
      <c r="L406" s="41"/>
      <c r="M406" s="41" t="s">
        <v>1000</v>
      </c>
      <c r="N406" s="41" t="s">
        <v>1959</v>
      </c>
      <c r="O406" s="43">
        <f t="shared" si="116"/>
        <v>528</v>
      </c>
      <c r="P406" s="43">
        <f t="shared" si="117"/>
        <v>379.64800000000002</v>
      </c>
      <c r="Q406" s="41" t="s">
        <v>1975</v>
      </c>
      <c r="R406" s="48" t="str">
        <f t="shared" si="120"/>
        <v>(12,'PS-12-RGZ3','Poste de Sectionnement n°12 RGZ3','Sunday-01-jj','Sunday-01-jj',NULL,1,),</v>
      </c>
    </row>
    <row r="407" spans="1:18" ht="20.100000000000001" hidden="1" customHeight="1" x14ac:dyDescent="0.25">
      <c r="A407" s="38">
        <v>13</v>
      </c>
      <c r="B407" s="38" t="s">
        <v>631</v>
      </c>
      <c r="C407" s="38">
        <v>14</v>
      </c>
      <c r="D407" s="39" t="str">
        <f t="shared" si="118"/>
        <v>PS-13-RGZ3</v>
      </c>
      <c r="E407" s="48" t="str">
        <f t="shared" si="119"/>
        <v>Poste de Sectionnement n°13 RGZ3</v>
      </c>
      <c r="F407" s="19">
        <v>43101</v>
      </c>
      <c r="G407" s="19">
        <v>43101</v>
      </c>
      <c r="H407" s="41" t="s">
        <v>20</v>
      </c>
      <c r="I407" s="41">
        <v>1</v>
      </c>
      <c r="J407" s="41" t="s">
        <v>3557</v>
      </c>
      <c r="K407" s="41">
        <v>16</v>
      </c>
      <c r="L407" s="41"/>
      <c r="M407" s="41" t="s">
        <v>1000</v>
      </c>
      <c r="N407" s="41" t="s">
        <v>1960</v>
      </c>
      <c r="O407" s="43">
        <f t="shared" si="116"/>
        <v>305.44</v>
      </c>
      <c r="P407" s="43">
        <f t="shared" si="117"/>
        <v>409.61</v>
      </c>
      <c r="Q407" s="41" t="s">
        <v>1929</v>
      </c>
      <c r="R407" s="48" t="str">
        <f t="shared" si="120"/>
        <v>(13,'PS-13-RGZ3','Poste de Sectionnement n°13 RGZ3','Monday-01-jj','Monday-01-jj',NULL,1,),</v>
      </c>
    </row>
    <row r="408" spans="1:18" ht="20.100000000000001" hidden="1" customHeight="1" x14ac:dyDescent="0.25">
      <c r="A408" s="38">
        <v>14</v>
      </c>
      <c r="B408" s="38" t="s">
        <v>631</v>
      </c>
      <c r="C408" s="38">
        <v>14</v>
      </c>
      <c r="D408" s="39" t="str">
        <f t="shared" si="118"/>
        <v>PS-14-RGZ3</v>
      </c>
      <c r="E408" s="48" t="str">
        <f t="shared" si="119"/>
        <v>Poste de Sectionnement n°14 RGZ3</v>
      </c>
      <c r="F408" s="19">
        <v>43101</v>
      </c>
      <c r="G408" s="19">
        <v>43101</v>
      </c>
      <c r="H408" s="41" t="s">
        <v>20</v>
      </c>
      <c r="I408" s="41">
        <v>1</v>
      </c>
      <c r="J408" s="41" t="s">
        <v>3557</v>
      </c>
      <c r="K408" s="41">
        <v>16</v>
      </c>
      <c r="L408" s="41"/>
      <c r="M408" s="41" t="s">
        <v>1000</v>
      </c>
      <c r="N408" s="41" t="s">
        <v>1961</v>
      </c>
      <c r="O408" s="43">
        <f t="shared" si="116"/>
        <v>158.79</v>
      </c>
      <c r="P408" s="43">
        <f t="shared" si="117"/>
        <v>420.065</v>
      </c>
      <c r="Q408" s="41" t="s">
        <v>1929</v>
      </c>
      <c r="R408" s="48" t="str">
        <f t="shared" si="120"/>
        <v>(14,'PS-14-RGZ3','Poste de Sectionnement n°14 RGZ3','Monday-01-jj','Monday-01-jj',NULL,1,),</v>
      </c>
    </row>
    <row r="409" spans="1:18" ht="20.100000000000001" hidden="1" customHeight="1" x14ac:dyDescent="0.25">
      <c r="A409" s="38">
        <v>15</v>
      </c>
      <c r="B409" s="38" t="s">
        <v>631</v>
      </c>
      <c r="C409" s="38">
        <v>14</v>
      </c>
      <c r="D409" s="39" t="str">
        <f t="shared" si="118"/>
        <v>PS-15-RGZ3</v>
      </c>
      <c r="E409" s="48" t="str">
        <f t="shared" si="119"/>
        <v>Poste de Sectionnement n°15 RGZ3</v>
      </c>
      <c r="F409" s="19">
        <v>43101</v>
      </c>
      <c r="G409" s="19">
        <v>43101</v>
      </c>
      <c r="H409" s="41" t="s">
        <v>20</v>
      </c>
      <c r="I409" s="41">
        <v>1</v>
      </c>
      <c r="J409" s="41" t="s">
        <v>3557</v>
      </c>
      <c r="K409" s="41">
        <v>16</v>
      </c>
      <c r="L409" s="41"/>
      <c r="M409" s="41" t="s">
        <v>1000</v>
      </c>
      <c r="N409" s="41" t="s">
        <v>1962</v>
      </c>
      <c r="O409" s="43">
        <f t="shared" si="116"/>
        <v>130.43</v>
      </c>
      <c r="P409" s="43">
        <f t="shared" si="117"/>
        <v>429.55099999999999</v>
      </c>
      <c r="Q409" s="41" t="s">
        <v>1976</v>
      </c>
      <c r="R409" s="48" t="str">
        <f t="shared" si="120"/>
        <v>(15,'PS-15-RGZ3','Poste de Sectionnement n°15 RGZ3','Monday-01-jj','Monday-01-jj',NULL,1,),</v>
      </c>
    </row>
    <row r="410" spans="1:18" ht="20.100000000000001" hidden="1" customHeight="1" x14ac:dyDescent="0.25">
      <c r="A410" s="38">
        <v>16</v>
      </c>
      <c r="B410" s="38" t="s">
        <v>631</v>
      </c>
      <c r="C410" s="38">
        <v>14</v>
      </c>
      <c r="D410" s="39" t="str">
        <f t="shared" si="118"/>
        <v>PS-16-RGZ3</v>
      </c>
      <c r="E410" s="48" t="str">
        <f t="shared" si="119"/>
        <v>Poste de Sectionnement n°16 RGZ3</v>
      </c>
      <c r="F410" s="19">
        <v>43101</v>
      </c>
      <c r="G410" s="19">
        <v>43101</v>
      </c>
      <c r="H410" s="41" t="s">
        <v>20</v>
      </c>
      <c r="I410" s="41">
        <v>1</v>
      </c>
      <c r="J410" s="41" t="s">
        <v>3557</v>
      </c>
      <c r="K410" s="41">
        <v>16</v>
      </c>
      <c r="L410" s="41"/>
      <c r="M410" s="41" t="s">
        <v>1000</v>
      </c>
      <c r="N410" s="41" t="s">
        <v>1963</v>
      </c>
      <c r="O410" s="43">
        <f t="shared" si="116"/>
        <v>279.93</v>
      </c>
      <c r="P410" s="43">
        <f t="shared" si="117"/>
        <v>439.00799999999998</v>
      </c>
      <c r="Q410" s="41" t="s">
        <v>1786</v>
      </c>
      <c r="R410" s="48" t="str">
        <f t="shared" si="120"/>
        <v>(16,'PS-16-RGZ3','Poste de Sectionnement n°16 RGZ3','Monday-01-jj','Monday-01-jj',NULL,1,),</v>
      </c>
    </row>
    <row r="411" spans="1:18" ht="20.100000000000001" hidden="1" customHeight="1" x14ac:dyDescent="0.25">
      <c r="A411" s="38">
        <v>17</v>
      </c>
      <c r="B411" s="38" t="s">
        <v>631</v>
      </c>
      <c r="C411" s="38">
        <v>14</v>
      </c>
      <c r="D411" s="39" t="str">
        <f t="shared" si="118"/>
        <v>PS-17-RGZ3</v>
      </c>
      <c r="E411" s="48" t="str">
        <f t="shared" si="119"/>
        <v>Poste de Sectionnement n°17 RGZ3</v>
      </c>
      <c r="F411" s="19">
        <v>43101</v>
      </c>
      <c r="G411" s="19">
        <v>43101</v>
      </c>
      <c r="H411" s="41" t="s">
        <v>20</v>
      </c>
      <c r="I411" s="41">
        <v>1</v>
      </c>
      <c r="J411" s="41" t="s">
        <v>3557</v>
      </c>
      <c r="K411" s="41">
        <v>16</v>
      </c>
      <c r="L411" s="41"/>
      <c r="M411" s="41" t="s">
        <v>1000</v>
      </c>
      <c r="N411" s="41" t="s">
        <v>1964</v>
      </c>
      <c r="O411" s="43">
        <f t="shared" si="116"/>
        <v>341.69</v>
      </c>
      <c r="P411" s="43">
        <f t="shared" si="117"/>
        <v>450.40100000000001</v>
      </c>
      <c r="Q411" s="41" t="s">
        <v>1931</v>
      </c>
      <c r="R411" s="48" t="str">
        <f t="shared" si="120"/>
        <v>(17,'PS-17-RGZ3','Poste de Sectionnement n°17 RGZ3','Monday-01-jj','Monday-01-jj',NULL,1,),</v>
      </c>
    </row>
    <row r="412" spans="1:18" ht="20.100000000000001" hidden="1" customHeight="1" x14ac:dyDescent="0.25">
      <c r="A412" s="38">
        <v>18</v>
      </c>
      <c r="B412" s="38" t="s">
        <v>631</v>
      </c>
      <c r="C412" s="38">
        <v>14</v>
      </c>
      <c r="D412" s="39" t="str">
        <f t="shared" si="118"/>
        <v>PS-18-RGZ3</v>
      </c>
      <c r="E412" s="48" t="str">
        <f t="shared" si="119"/>
        <v>Poste de Sectionnement n°18 RGZ3</v>
      </c>
      <c r="F412" s="19">
        <v>43101</v>
      </c>
      <c r="G412" s="19">
        <v>43101</v>
      </c>
      <c r="H412" s="41" t="s">
        <v>20</v>
      </c>
      <c r="I412" s="41">
        <v>1</v>
      </c>
      <c r="J412" s="41" t="s">
        <v>3557</v>
      </c>
      <c r="K412" s="41">
        <v>16</v>
      </c>
      <c r="L412" s="41"/>
      <c r="M412" s="41" t="s">
        <v>1000</v>
      </c>
      <c r="N412" s="41" t="s">
        <v>1965</v>
      </c>
      <c r="O412" s="43">
        <f t="shared" si="116"/>
        <v>111.08</v>
      </c>
      <c r="P412" s="43">
        <f t="shared" si="117"/>
        <v>460.59899999999999</v>
      </c>
      <c r="Q412" s="41" t="s">
        <v>1932</v>
      </c>
      <c r="R412" s="48" t="str">
        <f t="shared" si="120"/>
        <v>(18,'PS-18-RGZ3','Poste de Sectionnement n°18 RGZ3','Monday-01-jj','Monday-01-jj',NULL,1,),</v>
      </c>
    </row>
    <row r="413" spans="1:18" ht="20.100000000000001" hidden="1" customHeight="1" x14ac:dyDescent="0.25">
      <c r="A413" s="38">
        <v>19</v>
      </c>
      <c r="B413" s="38" t="s">
        <v>631</v>
      </c>
      <c r="C413" s="38">
        <v>14</v>
      </c>
      <c r="D413" s="39" t="str">
        <f t="shared" si="118"/>
        <v>PS-19-RGZ3</v>
      </c>
      <c r="E413" s="48" t="str">
        <f t="shared" si="119"/>
        <v>Poste de Sectionnement n°19 RGZ3</v>
      </c>
      <c r="F413" s="19">
        <v>43101</v>
      </c>
      <c r="G413" s="19">
        <v>43101</v>
      </c>
      <c r="H413" s="41" t="s">
        <v>20</v>
      </c>
      <c r="I413" s="41">
        <v>1</v>
      </c>
      <c r="J413" s="41" t="s">
        <v>3557</v>
      </c>
      <c r="K413" s="41">
        <v>16</v>
      </c>
      <c r="L413" s="41"/>
      <c r="M413" s="41" t="s">
        <v>1000</v>
      </c>
      <c r="N413" s="41" t="s">
        <v>1966</v>
      </c>
      <c r="O413" s="43">
        <f t="shared" si="116"/>
        <v>56.3</v>
      </c>
      <c r="P413" s="43">
        <f t="shared" si="117"/>
        <v>470.31099999999998</v>
      </c>
      <c r="Q413" s="41" t="s">
        <v>1748</v>
      </c>
      <c r="R413" s="48" t="str">
        <f t="shared" si="120"/>
        <v>(19,'PS-19-RGZ3','Poste de Sectionnement n°19 RGZ3','Monday-01-jj','Monday-01-jj',NULL,1,),</v>
      </c>
    </row>
    <row r="414" spans="1:18" ht="20.100000000000001" hidden="1" customHeight="1" x14ac:dyDescent="0.25">
      <c r="A414" s="38">
        <v>20</v>
      </c>
      <c r="B414" s="38" t="s">
        <v>631</v>
      </c>
      <c r="C414" s="38">
        <v>14</v>
      </c>
      <c r="D414" s="39" t="str">
        <f t="shared" si="118"/>
        <v>PS-20-RGZ3</v>
      </c>
      <c r="E414" s="48" t="str">
        <f t="shared" si="119"/>
        <v>Poste de Sectionnement n°20 RGZ3</v>
      </c>
      <c r="F414" s="19">
        <v>43101</v>
      </c>
      <c r="G414" s="19">
        <v>43101</v>
      </c>
      <c r="H414" s="41" t="s">
        <v>20</v>
      </c>
      <c r="I414" s="41">
        <v>1</v>
      </c>
      <c r="J414" s="41" t="s">
        <v>3557</v>
      </c>
      <c r="K414" s="41">
        <v>16</v>
      </c>
      <c r="L414" s="41"/>
      <c r="M414" s="41" t="s">
        <v>1000</v>
      </c>
      <c r="N414" s="41" t="s">
        <v>1967</v>
      </c>
      <c r="O414" s="43">
        <f t="shared" si="116"/>
        <v>34.56</v>
      </c>
      <c r="P414" s="43">
        <f t="shared" si="117"/>
        <v>478.99700000000001</v>
      </c>
      <c r="Q414" s="41" t="s">
        <v>1977</v>
      </c>
      <c r="R414" s="48" t="str">
        <f t="shared" si="120"/>
        <v>(20,'PS-20-RGZ3','Poste de Sectionnement n°20 RGZ3','Monday-01-jj','Monday-01-jj',NULL,1,),</v>
      </c>
    </row>
    <row r="415" spans="1:18" ht="20.100000000000001" hidden="1" customHeight="1" x14ac:dyDescent="0.25">
      <c r="A415" s="38">
        <v>21</v>
      </c>
      <c r="B415" s="38" t="s">
        <v>631</v>
      </c>
      <c r="C415" s="38">
        <v>14</v>
      </c>
      <c r="D415" s="39" t="str">
        <f t="shared" si="118"/>
        <v>PS-21-RGZ3</v>
      </c>
      <c r="E415" s="48" t="str">
        <f t="shared" si="119"/>
        <v>Poste de Sectionnement n°21 RGZ3</v>
      </c>
      <c r="F415" s="19">
        <v>43101</v>
      </c>
      <c r="G415" s="19">
        <v>43101</v>
      </c>
      <c r="H415" s="41" t="s">
        <v>20</v>
      </c>
      <c r="I415" s="41">
        <v>1</v>
      </c>
      <c r="J415" s="41" t="s">
        <v>3557</v>
      </c>
      <c r="K415" s="41">
        <v>16</v>
      </c>
      <c r="L415" s="41"/>
      <c r="M415" s="41" t="s">
        <v>1000</v>
      </c>
      <c r="N415" s="41" t="s">
        <v>1968</v>
      </c>
      <c r="O415" s="43">
        <f t="shared" si="116"/>
        <v>16.739999999999998</v>
      </c>
      <c r="P415" s="43">
        <f t="shared" si="117"/>
        <v>489.59399999999999</v>
      </c>
      <c r="Q415" s="41" t="s">
        <v>1934</v>
      </c>
      <c r="R415" s="48" t="str">
        <f t="shared" si="120"/>
        <v>(21,'PS-21-RGZ3','Poste de Sectionnement n°21 RGZ3','Monday-01-jj','Monday-01-jj',NULL,1,),</v>
      </c>
    </row>
    <row r="416" spans="1:18" ht="20.100000000000001" hidden="1" customHeight="1" x14ac:dyDescent="0.25">
      <c r="A416" s="38">
        <v>22</v>
      </c>
      <c r="B416" s="38" t="s">
        <v>631</v>
      </c>
      <c r="C416" s="38">
        <v>14</v>
      </c>
      <c r="D416" s="39" t="str">
        <f t="shared" si="118"/>
        <v>PS-22-RGZ3</v>
      </c>
      <c r="E416" s="48" t="str">
        <f t="shared" si="119"/>
        <v>Poste de Sectionnement n°22 RGZ3</v>
      </c>
      <c r="F416" s="19">
        <v>43101</v>
      </c>
      <c r="G416" s="19">
        <v>43101</v>
      </c>
      <c r="H416" s="41" t="s">
        <v>20</v>
      </c>
      <c r="I416" s="41">
        <v>1</v>
      </c>
      <c r="J416" s="41" t="s">
        <v>3557</v>
      </c>
      <c r="K416" s="41">
        <v>16</v>
      </c>
      <c r="L416" s="41"/>
      <c r="M416" s="41" t="s">
        <v>1000</v>
      </c>
      <c r="N416" s="41" t="s">
        <v>1969</v>
      </c>
      <c r="O416" s="43">
        <f t="shared" si="116"/>
        <v>11.13</v>
      </c>
      <c r="P416" s="43">
        <f t="shared" si="117"/>
        <v>502.15199999999999</v>
      </c>
      <c r="Q416" s="41" t="s">
        <v>1978</v>
      </c>
      <c r="R416" s="48" t="str">
        <f t="shared" si="120"/>
        <v>(22,'PS-22-RGZ3','Poste de Sectionnement n°22 RGZ3','Monday-01-jj','Monday-01-jj',NULL,1,),</v>
      </c>
    </row>
    <row r="417" spans="1:18" ht="20.100000000000001" hidden="1" customHeight="1" x14ac:dyDescent="0.25">
      <c r="A417" s="38">
        <v>1</v>
      </c>
      <c r="B417" s="38" t="s">
        <v>642</v>
      </c>
      <c r="C417" s="38">
        <v>15</v>
      </c>
      <c r="D417" s="39" t="str">
        <f t="shared" si="118"/>
        <v>PS-01-GZ4</v>
      </c>
      <c r="E417" s="48" t="str">
        <f t="shared" si="119"/>
        <v>Poste de Sectionnement n°01 GZ4</v>
      </c>
      <c r="F417" s="19">
        <v>39838</v>
      </c>
      <c r="G417" s="19">
        <v>39838</v>
      </c>
      <c r="H417" s="41" t="s">
        <v>20</v>
      </c>
      <c r="I417" s="41">
        <v>1</v>
      </c>
      <c r="J417" s="41" t="s">
        <v>3557</v>
      </c>
      <c r="K417" s="41">
        <v>16</v>
      </c>
      <c r="L417" s="41"/>
      <c r="M417" s="41" t="s">
        <v>642</v>
      </c>
      <c r="N417" s="41" t="s">
        <v>1979</v>
      </c>
      <c r="O417" s="43">
        <f t="shared" ref="O417:O453" si="121">VALUE(RIGHT(N417,LEN(N417)-SEARCH("/",N417)))</f>
        <v>748</v>
      </c>
      <c r="P417" s="43">
        <f t="shared" ref="P417:P453" si="122">VALUE(SUBSTITUTE(LEFT(N417,SEARCH("/",N417)-1),"+",","))</f>
        <v>17.306000000000001</v>
      </c>
      <c r="Q417" s="41" t="s">
        <v>2016</v>
      </c>
      <c r="R417" s="48" t="str">
        <f t="shared" si="120"/>
        <v>(1,'PS-01-GZ4','Poste de Sectionnement n°01 GZ4','Sunday-01-jj','Sunday-01-jj',NULL,1,),</v>
      </c>
    </row>
    <row r="418" spans="1:18" ht="20.100000000000001" hidden="1" customHeight="1" x14ac:dyDescent="0.25">
      <c r="A418" s="38">
        <v>2</v>
      </c>
      <c r="B418" s="38" t="s">
        <v>642</v>
      </c>
      <c r="C418" s="38">
        <v>15</v>
      </c>
      <c r="D418" s="39" t="str">
        <f t="shared" si="118"/>
        <v>PS-02-GZ4</v>
      </c>
      <c r="E418" s="48" t="str">
        <f t="shared" si="119"/>
        <v>Poste de Sectionnement n°02 GZ4</v>
      </c>
      <c r="F418" s="19">
        <v>39838</v>
      </c>
      <c r="G418" s="19">
        <v>39838</v>
      </c>
      <c r="H418" s="41" t="s">
        <v>20</v>
      </c>
      <c r="I418" s="41">
        <v>1</v>
      </c>
      <c r="J418" s="41" t="s">
        <v>3557</v>
      </c>
      <c r="K418" s="41">
        <v>16</v>
      </c>
      <c r="L418" s="41"/>
      <c r="M418" s="41" t="s">
        <v>642</v>
      </c>
      <c r="N418" s="41" t="s">
        <v>1980</v>
      </c>
      <c r="O418" s="43">
        <f t="shared" si="121"/>
        <v>780</v>
      </c>
      <c r="P418" s="43">
        <f t="shared" si="122"/>
        <v>37.234000000000002</v>
      </c>
      <c r="Q418" s="41" t="s">
        <v>2016</v>
      </c>
      <c r="R418" s="48" t="str">
        <f t="shared" si="120"/>
        <v>(2,'PS-02-GZ4','Poste de Sectionnement n°02 GZ4','Sunday-01-jj','Sunday-01-jj',NULL,1,),</v>
      </c>
    </row>
    <row r="419" spans="1:18" ht="20.100000000000001" hidden="1" customHeight="1" x14ac:dyDescent="0.25">
      <c r="A419" s="38">
        <v>3</v>
      </c>
      <c r="B419" s="38" t="s">
        <v>642</v>
      </c>
      <c r="C419" s="38">
        <v>15</v>
      </c>
      <c r="D419" s="39" t="str">
        <f t="shared" ref="D419:D455" si="123">CONCATENATE("PS-",TEXT(A419,"00"),"-",M419)</f>
        <v>PS-03-GZ4</v>
      </c>
      <c r="E419" s="48" t="str">
        <f t="shared" ref="E419:E455" si="124">CONCATENATE("Poste de Sectionnement n°",TEXT(A419,"00")," ",M419)</f>
        <v>Poste de Sectionnement n°03 GZ4</v>
      </c>
      <c r="F419" s="19">
        <v>39838</v>
      </c>
      <c r="G419" s="19">
        <v>39838</v>
      </c>
      <c r="H419" s="41" t="s">
        <v>20</v>
      </c>
      <c r="I419" s="41">
        <v>1</v>
      </c>
      <c r="J419" s="41" t="s">
        <v>3557</v>
      </c>
      <c r="K419" s="41">
        <v>16</v>
      </c>
      <c r="L419" s="41"/>
      <c r="M419" s="41" t="s">
        <v>642</v>
      </c>
      <c r="N419" s="41" t="s">
        <v>1981</v>
      </c>
      <c r="O419" s="43">
        <f t="shared" si="121"/>
        <v>820</v>
      </c>
      <c r="P419" s="43">
        <f t="shared" si="122"/>
        <v>55.674999999999997</v>
      </c>
      <c r="Q419" s="41" t="s">
        <v>2016</v>
      </c>
      <c r="R419" s="48" t="str">
        <f t="shared" si="120"/>
        <v>(3,'PS-03-GZ4','Poste de Sectionnement n°03 GZ4','Sunday-01-jj','Sunday-01-jj',NULL,1,),</v>
      </c>
    </row>
    <row r="420" spans="1:18" ht="20.100000000000001" hidden="1" customHeight="1" x14ac:dyDescent="0.25">
      <c r="A420" s="38">
        <v>4</v>
      </c>
      <c r="B420" s="38" t="s">
        <v>642</v>
      </c>
      <c r="C420" s="38">
        <v>15</v>
      </c>
      <c r="D420" s="39" t="str">
        <f t="shared" si="123"/>
        <v>PS-04-GZ4</v>
      </c>
      <c r="E420" s="48" t="str">
        <f t="shared" si="124"/>
        <v>Poste de Sectionnement n°04 GZ4</v>
      </c>
      <c r="F420" s="19">
        <v>39838</v>
      </c>
      <c r="G420" s="19">
        <v>39838</v>
      </c>
      <c r="H420" s="41" t="s">
        <v>20</v>
      </c>
      <c r="I420" s="41">
        <v>1</v>
      </c>
      <c r="J420" s="41" t="s">
        <v>3557</v>
      </c>
      <c r="K420" s="41">
        <v>16</v>
      </c>
      <c r="L420" s="41"/>
      <c r="M420" s="41" t="s">
        <v>642</v>
      </c>
      <c r="N420" s="41" t="s">
        <v>1982</v>
      </c>
      <c r="O420" s="43">
        <f t="shared" si="121"/>
        <v>772</v>
      </c>
      <c r="P420" s="43">
        <f t="shared" si="122"/>
        <v>91.727999999999994</v>
      </c>
      <c r="Q420" s="41" t="s">
        <v>1942</v>
      </c>
      <c r="R420" s="48" t="str">
        <f t="shared" si="120"/>
        <v>(4,'PS-04-GZ4','Poste de Sectionnement n°04 GZ4','Sunday-01-jj','Sunday-01-jj',NULL,1,),</v>
      </c>
    </row>
    <row r="421" spans="1:18" ht="20.100000000000001" hidden="1" customHeight="1" x14ac:dyDescent="0.25">
      <c r="A421" s="38">
        <v>5</v>
      </c>
      <c r="B421" s="38" t="s">
        <v>642</v>
      </c>
      <c r="C421" s="38">
        <v>15</v>
      </c>
      <c r="D421" s="39" t="str">
        <f t="shared" si="123"/>
        <v>PS-05-GZ4</v>
      </c>
      <c r="E421" s="48" t="str">
        <f t="shared" si="124"/>
        <v>Poste de Sectionnement n°05 GZ4</v>
      </c>
      <c r="F421" s="19">
        <v>39838</v>
      </c>
      <c r="G421" s="19">
        <v>39838</v>
      </c>
      <c r="H421" s="41" t="s">
        <v>20</v>
      </c>
      <c r="I421" s="41">
        <v>1</v>
      </c>
      <c r="J421" s="41" t="s">
        <v>3557</v>
      </c>
      <c r="K421" s="41">
        <v>16</v>
      </c>
      <c r="L421" s="41"/>
      <c r="M421" s="41" t="s">
        <v>642</v>
      </c>
      <c r="N421" s="41" t="s">
        <v>1983</v>
      </c>
      <c r="O421" s="43">
        <f t="shared" si="121"/>
        <v>850</v>
      </c>
      <c r="P421" s="43">
        <f t="shared" si="122"/>
        <v>108.506</v>
      </c>
      <c r="Q421" s="41" t="s">
        <v>1943</v>
      </c>
      <c r="R421" s="48" t="str">
        <f t="shared" si="120"/>
        <v>(5,'PS-05-GZ4','Poste de Sectionnement n°05 GZ4','Sunday-01-jj','Sunday-01-jj',NULL,1,),</v>
      </c>
    </row>
    <row r="422" spans="1:18" ht="20.100000000000001" hidden="1" customHeight="1" x14ac:dyDescent="0.25">
      <c r="A422" s="38">
        <v>6</v>
      </c>
      <c r="B422" s="38" t="s">
        <v>642</v>
      </c>
      <c r="C422" s="38">
        <v>15</v>
      </c>
      <c r="D422" s="39" t="str">
        <f t="shared" si="123"/>
        <v>PS-06-GZ4</v>
      </c>
      <c r="E422" s="48" t="str">
        <f t="shared" si="124"/>
        <v>Poste de Sectionnement n°06 GZ4</v>
      </c>
      <c r="F422" s="19">
        <v>39838</v>
      </c>
      <c r="G422" s="19">
        <v>39838</v>
      </c>
      <c r="H422" s="41" t="s">
        <v>20</v>
      </c>
      <c r="I422" s="41">
        <v>1</v>
      </c>
      <c r="J422" s="41" t="s">
        <v>3557</v>
      </c>
      <c r="K422" s="41">
        <v>16</v>
      </c>
      <c r="L422" s="41"/>
      <c r="M422" s="41" t="s">
        <v>642</v>
      </c>
      <c r="N422" s="41" t="s">
        <v>1984</v>
      </c>
      <c r="O422" s="43">
        <f t="shared" si="121"/>
        <v>1000</v>
      </c>
      <c r="P422" s="43">
        <f t="shared" si="122"/>
        <v>127.193</v>
      </c>
      <c r="Q422" s="41" t="s">
        <v>1937</v>
      </c>
      <c r="R422" s="48" t="str">
        <f t="shared" si="120"/>
        <v>(6,'PS-06-GZ4','Poste de Sectionnement n°06 GZ4','Sunday-01-jj','Sunday-01-jj',NULL,1,),</v>
      </c>
    </row>
    <row r="423" spans="1:18" ht="20.100000000000001" hidden="1" customHeight="1" x14ac:dyDescent="0.25">
      <c r="A423" s="38">
        <v>7</v>
      </c>
      <c r="B423" s="38" t="s">
        <v>642</v>
      </c>
      <c r="C423" s="38">
        <v>15</v>
      </c>
      <c r="D423" s="39" t="str">
        <f t="shared" si="123"/>
        <v>PS-07-GZ4</v>
      </c>
      <c r="E423" s="48" t="str">
        <f t="shared" si="124"/>
        <v>Poste de Sectionnement n°07 GZ4</v>
      </c>
      <c r="F423" s="19">
        <v>39838</v>
      </c>
      <c r="G423" s="19">
        <v>39838</v>
      </c>
      <c r="H423" s="41" t="s">
        <v>20</v>
      </c>
      <c r="I423" s="41">
        <v>1</v>
      </c>
      <c r="J423" s="41" t="s">
        <v>3557</v>
      </c>
      <c r="K423" s="41">
        <v>16</v>
      </c>
      <c r="L423" s="41"/>
      <c r="M423" s="41" t="s">
        <v>642</v>
      </c>
      <c r="N423" s="41" t="s">
        <v>1985</v>
      </c>
      <c r="O423" s="43">
        <f t="shared" si="121"/>
        <v>1268</v>
      </c>
      <c r="P423" s="43">
        <f t="shared" si="122"/>
        <v>164.97200000000001</v>
      </c>
      <c r="Q423" s="41" t="s">
        <v>1937</v>
      </c>
      <c r="R423" s="48" t="str">
        <f t="shared" si="120"/>
        <v>(7,'PS-07-GZ4','Poste de Sectionnement n°07 GZ4','Sunday-01-jj','Sunday-01-jj',NULL,1,),</v>
      </c>
    </row>
    <row r="424" spans="1:18" ht="20.100000000000001" hidden="1" customHeight="1" x14ac:dyDescent="0.25">
      <c r="A424" s="38">
        <v>8</v>
      </c>
      <c r="B424" s="38" t="s">
        <v>642</v>
      </c>
      <c r="C424" s="38">
        <v>15</v>
      </c>
      <c r="D424" s="39" t="str">
        <f t="shared" si="123"/>
        <v>PS-08-GZ4</v>
      </c>
      <c r="E424" s="48" t="str">
        <f t="shared" si="124"/>
        <v>Poste de Sectionnement n°08 GZ4</v>
      </c>
      <c r="F424" s="19">
        <v>39838</v>
      </c>
      <c r="G424" s="19">
        <v>39838</v>
      </c>
      <c r="H424" s="41" t="s">
        <v>20</v>
      </c>
      <c r="I424" s="41">
        <v>1</v>
      </c>
      <c r="J424" s="41" t="s">
        <v>3557</v>
      </c>
      <c r="K424" s="41">
        <v>16</v>
      </c>
      <c r="L424" s="41"/>
      <c r="M424" s="41" t="s">
        <v>642</v>
      </c>
      <c r="N424" s="41" t="s">
        <v>1986</v>
      </c>
      <c r="O424" s="43">
        <f t="shared" si="121"/>
        <v>1120</v>
      </c>
      <c r="P424" s="43">
        <f t="shared" si="122"/>
        <v>184.93600000000001</v>
      </c>
      <c r="Q424" s="41" t="s">
        <v>1937</v>
      </c>
      <c r="R424" s="48" t="str">
        <f t="shared" si="120"/>
        <v>(8,'PS-08-GZ4','Poste de Sectionnement n°08 GZ4','Sunday-01-jj','Sunday-01-jj',NULL,1,),</v>
      </c>
    </row>
    <row r="425" spans="1:18" ht="20.100000000000001" hidden="1" customHeight="1" x14ac:dyDescent="0.25">
      <c r="A425" s="38">
        <v>9</v>
      </c>
      <c r="B425" s="38" t="s">
        <v>642</v>
      </c>
      <c r="C425" s="38">
        <v>15</v>
      </c>
      <c r="D425" s="39" t="str">
        <f t="shared" si="123"/>
        <v>PS-09-GZ4</v>
      </c>
      <c r="E425" s="48" t="str">
        <f t="shared" si="124"/>
        <v>Poste de Sectionnement n°09 GZ4</v>
      </c>
      <c r="F425" s="19">
        <v>39838</v>
      </c>
      <c r="G425" s="19">
        <v>39838</v>
      </c>
      <c r="H425" s="41" t="s">
        <v>20</v>
      </c>
      <c r="I425" s="41">
        <v>1</v>
      </c>
      <c r="J425" s="41" t="s">
        <v>3557</v>
      </c>
      <c r="K425" s="41">
        <v>16</v>
      </c>
      <c r="L425" s="41"/>
      <c r="M425" s="41" t="s">
        <v>642</v>
      </c>
      <c r="N425" s="41" t="s">
        <v>1987</v>
      </c>
      <c r="O425" s="43">
        <f t="shared" si="121"/>
        <v>990</v>
      </c>
      <c r="P425" s="43">
        <f t="shared" si="122"/>
        <v>204.69900000000001</v>
      </c>
      <c r="Q425" s="41" t="s">
        <v>2017</v>
      </c>
      <c r="R425" s="48" t="str">
        <f t="shared" si="120"/>
        <v>(9,'PS-09-GZ4','Poste de Sectionnement n°09 GZ4','Sunday-01-jj','Sunday-01-jj',NULL,1,),</v>
      </c>
    </row>
    <row r="426" spans="1:18" ht="20.100000000000001" hidden="1" customHeight="1" x14ac:dyDescent="0.25">
      <c r="A426" s="38">
        <v>10</v>
      </c>
      <c r="B426" s="38" t="s">
        <v>642</v>
      </c>
      <c r="C426" s="38">
        <v>15</v>
      </c>
      <c r="D426" s="39" t="str">
        <f t="shared" si="123"/>
        <v>PS-10-GZ4</v>
      </c>
      <c r="E426" s="48" t="str">
        <f t="shared" si="124"/>
        <v>Poste de Sectionnement n°10 GZ4</v>
      </c>
      <c r="F426" s="19">
        <v>39838</v>
      </c>
      <c r="G426" s="19">
        <v>39838</v>
      </c>
      <c r="H426" s="41" t="s">
        <v>20</v>
      </c>
      <c r="I426" s="41">
        <v>1</v>
      </c>
      <c r="J426" s="41" t="s">
        <v>3557</v>
      </c>
      <c r="K426" s="41">
        <v>16</v>
      </c>
      <c r="L426" s="41"/>
      <c r="M426" s="41" t="s">
        <v>642</v>
      </c>
      <c r="N426" s="41" t="s">
        <v>1988</v>
      </c>
      <c r="O426" s="43">
        <f t="shared" si="121"/>
        <v>990</v>
      </c>
      <c r="P426" s="43">
        <f t="shared" si="122"/>
        <v>243.28100000000001</v>
      </c>
      <c r="Q426" s="41" t="s">
        <v>1867</v>
      </c>
      <c r="R426" s="48" t="str">
        <f t="shared" si="120"/>
        <v>(10,'PS-10-GZ4','Poste de Sectionnement n°10 GZ4','Sunday-01-jj','Sunday-01-jj',NULL,1,),</v>
      </c>
    </row>
    <row r="427" spans="1:18" ht="20.100000000000001" hidden="1" customHeight="1" x14ac:dyDescent="0.25">
      <c r="A427" s="38">
        <v>11</v>
      </c>
      <c r="B427" s="38" t="s">
        <v>642</v>
      </c>
      <c r="C427" s="38">
        <v>15</v>
      </c>
      <c r="D427" s="39" t="str">
        <f t="shared" si="123"/>
        <v>PS-11-GZ4</v>
      </c>
      <c r="E427" s="48" t="str">
        <f t="shared" si="124"/>
        <v>Poste de Sectionnement n°11 GZ4</v>
      </c>
      <c r="F427" s="19">
        <v>39838</v>
      </c>
      <c r="G427" s="19">
        <v>39838</v>
      </c>
      <c r="H427" s="41" t="s">
        <v>20</v>
      </c>
      <c r="I427" s="41">
        <v>1</v>
      </c>
      <c r="J427" s="41" t="s">
        <v>3557</v>
      </c>
      <c r="K427" s="41">
        <v>16</v>
      </c>
      <c r="L427" s="41"/>
      <c r="M427" s="41" t="s">
        <v>642</v>
      </c>
      <c r="N427" s="41" t="s">
        <v>1989</v>
      </c>
      <c r="O427" s="43">
        <f t="shared" si="121"/>
        <v>1025</v>
      </c>
      <c r="P427" s="43">
        <f t="shared" si="122"/>
        <v>260.57100000000003</v>
      </c>
      <c r="Q427" s="41" t="s">
        <v>1867</v>
      </c>
      <c r="R427" s="48" t="str">
        <f t="shared" si="120"/>
        <v>(11,'PS-11-GZ4','Poste de Sectionnement n°11 GZ4','Sunday-01-jj','Sunday-01-jj',NULL,1,),</v>
      </c>
    </row>
    <row r="428" spans="1:18" ht="20.100000000000001" hidden="1" customHeight="1" x14ac:dyDescent="0.25">
      <c r="A428" s="38">
        <v>12</v>
      </c>
      <c r="B428" s="38" t="s">
        <v>642</v>
      </c>
      <c r="C428" s="38">
        <v>15</v>
      </c>
      <c r="D428" s="39" t="str">
        <f t="shared" si="123"/>
        <v>PS-12-GZ4</v>
      </c>
      <c r="E428" s="48" t="str">
        <f t="shared" si="124"/>
        <v>Poste de Sectionnement n°12 GZ4</v>
      </c>
      <c r="F428" s="19">
        <v>39838</v>
      </c>
      <c r="G428" s="19">
        <v>39838</v>
      </c>
      <c r="H428" s="41" t="s">
        <v>20</v>
      </c>
      <c r="I428" s="41">
        <v>1</v>
      </c>
      <c r="J428" s="41" t="s">
        <v>3557</v>
      </c>
      <c r="K428" s="41">
        <v>16</v>
      </c>
      <c r="L428" s="41"/>
      <c r="M428" s="41" t="s">
        <v>642</v>
      </c>
      <c r="N428" s="41" t="s">
        <v>1990</v>
      </c>
      <c r="O428" s="43">
        <f t="shared" si="121"/>
        <v>1029</v>
      </c>
      <c r="P428" s="43">
        <f t="shared" si="122"/>
        <v>277.84899999999999</v>
      </c>
      <c r="Q428" s="41" t="s">
        <v>1867</v>
      </c>
      <c r="R428" s="48" t="str">
        <f t="shared" si="120"/>
        <v>(12,'PS-12-GZ4','Poste de Sectionnement n°12 GZ4','Sunday-01-jj','Sunday-01-jj',NULL,1,),</v>
      </c>
    </row>
    <row r="429" spans="1:18" ht="20.100000000000001" hidden="1" customHeight="1" x14ac:dyDescent="0.25">
      <c r="A429" s="38">
        <v>13</v>
      </c>
      <c r="B429" s="38" t="s">
        <v>642</v>
      </c>
      <c r="C429" s="38">
        <v>15</v>
      </c>
      <c r="D429" s="39" t="str">
        <f t="shared" si="123"/>
        <v>PS-13-GZ4</v>
      </c>
      <c r="E429" s="48" t="str">
        <f t="shared" si="124"/>
        <v>Poste de Sectionnement n°13 GZ4</v>
      </c>
      <c r="F429" s="19">
        <v>40021</v>
      </c>
      <c r="G429" s="19">
        <v>40021</v>
      </c>
      <c r="H429" s="41" t="s">
        <v>20</v>
      </c>
      <c r="I429" s="41">
        <v>1</v>
      </c>
      <c r="J429" s="41" t="s">
        <v>3557</v>
      </c>
      <c r="K429" s="41">
        <v>16</v>
      </c>
      <c r="L429" s="41"/>
      <c r="M429" s="41" t="s">
        <v>642</v>
      </c>
      <c r="N429" s="41" t="s">
        <v>1991</v>
      </c>
      <c r="O429" s="43">
        <f t="shared" si="121"/>
        <v>990</v>
      </c>
      <c r="P429" s="43">
        <f t="shared" si="122"/>
        <v>309.88099999999997</v>
      </c>
      <c r="Q429" s="41" t="s">
        <v>753</v>
      </c>
      <c r="R429" s="48" t="str">
        <f t="shared" si="120"/>
        <v>(13,'PS-13-GZ4','Poste de Sectionnement n°13 GZ4','Monday-07-jj','Monday-07-jj',NULL,1,),</v>
      </c>
    </row>
    <row r="430" spans="1:18" ht="20.100000000000001" hidden="1" customHeight="1" x14ac:dyDescent="0.25">
      <c r="A430" s="38">
        <v>14</v>
      </c>
      <c r="B430" s="38" t="s">
        <v>642</v>
      </c>
      <c r="C430" s="38">
        <v>15</v>
      </c>
      <c r="D430" s="39" t="str">
        <f t="shared" si="123"/>
        <v>PS-14-GZ4</v>
      </c>
      <c r="E430" s="48" t="str">
        <f t="shared" si="124"/>
        <v>Poste de Sectionnement n°14 GZ4</v>
      </c>
      <c r="F430" s="19">
        <v>40021</v>
      </c>
      <c r="G430" s="19">
        <v>40021</v>
      </c>
      <c r="H430" s="41" t="s">
        <v>20</v>
      </c>
      <c r="I430" s="41">
        <v>1</v>
      </c>
      <c r="J430" s="41" t="s">
        <v>3557</v>
      </c>
      <c r="K430" s="41">
        <v>16</v>
      </c>
      <c r="L430" s="41"/>
      <c r="M430" s="41" t="s">
        <v>642</v>
      </c>
      <c r="N430" s="41" t="s">
        <v>1992</v>
      </c>
      <c r="O430" s="43">
        <f t="shared" si="121"/>
        <v>1000</v>
      </c>
      <c r="P430" s="43">
        <f t="shared" si="122"/>
        <v>320.28199999999998</v>
      </c>
      <c r="Q430" s="41" t="s">
        <v>753</v>
      </c>
      <c r="R430" s="48" t="str">
        <f t="shared" si="120"/>
        <v>(14,'PS-14-GZ4','Poste de Sectionnement n°14 GZ4','Monday-07-jj','Monday-07-jj',NULL,1,),</v>
      </c>
    </row>
    <row r="431" spans="1:18" ht="20.100000000000001" hidden="1" customHeight="1" x14ac:dyDescent="0.25">
      <c r="A431" s="38">
        <v>15</v>
      </c>
      <c r="B431" s="38" t="s">
        <v>642</v>
      </c>
      <c r="C431" s="38">
        <v>15</v>
      </c>
      <c r="D431" s="39" t="str">
        <f t="shared" si="123"/>
        <v>PS-15-GZ4</v>
      </c>
      <c r="E431" s="48" t="str">
        <f t="shared" si="124"/>
        <v>Poste de Sectionnement n°15 GZ4</v>
      </c>
      <c r="F431" s="19">
        <v>40021</v>
      </c>
      <c r="G431" s="19">
        <v>40021</v>
      </c>
      <c r="H431" s="41" t="s">
        <v>20</v>
      </c>
      <c r="I431" s="41">
        <v>1</v>
      </c>
      <c r="J431" s="41" t="s">
        <v>3557</v>
      </c>
      <c r="K431" s="41">
        <v>16</v>
      </c>
      <c r="L431" s="41"/>
      <c r="M431" s="41" t="s">
        <v>642</v>
      </c>
      <c r="N431" s="41" t="s">
        <v>1993</v>
      </c>
      <c r="O431" s="43">
        <f t="shared" si="121"/>
        <v>996</v>
      </c>
      <c r="P431" s="43">
        <f t="shared" si="122"/>
        <v>329.40300000000002</v>
      </c>
      <c r="Q431" s="41" t="s">
        <v>2024</v>
      </c>
      <c r="R431" s="48" t="str">
        <f t="shared" si="120"/>
        <v>(15,'PS-15-GZ4','Poste de Sectionnement n°15 GZ4','Monday-07-jj','Monday-07-jj',NULL,1,),</v>
      </c>
    </row>
    <row r="432" spans="1:18" ht="20.100000000000001" hidden="1" customHeight="1" x14ac:dyDescent="0.25">
      <c r="A432" s="38">
        <v>16</v>
      </c>
      <c r="B432" s="38" t="s">
        <v>642</v>
      </c>
      <c r="C432" s="38">
        <v>15</v>
      </c>
      <c r="D432" s="39" t="str">
        <f t="shared" si="123"/>
        <v>PS-16-GZ4</v>
      </c>
      <c r="E432" s="48" t="str">
        <f t="shared" si="124"/>
        <v>Poste de Sectionnement n°16 GZ4</v>
      </c>
      <c r="F432" s="19">
        <v>40021</v>
      </c>
      <c r="G432" s="19">
        <v>40021</v>
      </c>
      <c r="H432" s="41" t="s">
        <v>20</v>
      </c>
      <c r="I432" s="41">
        <v>1</v>
      </c>
      <c r="J432" s="41" t="s">
        <v>3557</v>
      </c>
      <c r="K432" s="41">
        <v>16</v>
      </c>
      <c r="L432" s="41"/>
      <c r="M432" s="41" t="s">
        <v>642</v>
      </c>
      <c r="N432" s="41" t="s">
        <v>1994</v>
      </c>
      <c r="O432" s="43">
        <f t="shared" si="121"/>
        <v>997</v>
      </c>
      <c r="P432" s="43">
        <f t="shared" si="122"/>
        <v>337.40699999999998</v>
      </c>
      <c r="Q432" s="41" t="s">
        <v>754</v>
      </c>
      <c r="R432" s="48" t="str">
        <f t="shared" si="120"/>
        <v>(16,'PS-16-GZ4','Poste de Sectionnement n°16 GZ4','Monday-07-jj','Monday-07-jj',NULL,1,),</v>
      </c>
    </row>
    <row r="433" spans="1:18" ht="20.100000000000001" hidden="1" customHeight="1" x14ac:dyDescent="0.25">
      <c r="A433" s="38">
        <v>17</v>
      </c>
      <c r="B433" s="38" t="s">
        <v>642</v>
      </c>
      <c r="C433" s="38">
        <v>15</v>
      </c>
      <c r="D433" s="39" t="str">
        <f t="shared" si="123"/>
        <v>PS-17-GZ4</v>
      </c>
      <c r="E433" s="48" t="str">
        <f t="shared" si="124"/>
        <v>Poste de Sectionnement n°17 GZ4</v>
      </c>
      <c r="F433" s="19">
        <v>40021</v>
      </c>
      <c r="G433" s="19">
        <v>40021</v>
      </c>
      <c r="H433" s="41" t="s">
        <v>20</v>
      </c>
      <c r="I433" s="41">
        <v>1</v>
      </c>
      <c r="J433" s="41" t="s">
        <v>3557</v>
      </c>
      <c r="K433" s="41">
        <v>16</v>
      </c>
      <c r="L433" s="41"/>
      <c r="M433" s="41" t="s">
        <v>642</v>
      </c>
      <c r="N433" s="41" t="s">
        <v>1995</v>
      </c>
      <c r="O433" s="43">
        <f t="shared" si="121"/>
        <v>1000</v>
      </c>
      <c r="P433" s="43">
        <f t="shared" si="122"/>
        <v>351.58199999999999</v>
      </c>
      <c r="Q433" s="41" t="s">
        <v>798</v>
      </c>
      <c r="R433" s="48" t="str">
        <f t="shared" si="120"/>
        <v>(17,'PS-17-GZ4','Poste de Sectionnement n°17 GZ4','Monday-07-jj','Monday-07-jj',NULL,1,),</v>
      </c>
    </row>
    <row r="434" spans="1:18" ht="20.100000000000001" hidden="1" customHeight="1" x14ac:dyDescent="0.25">
      <c r="A434" s="38">
        <v>18</v>
      </c>
      <c r="B434" s="38" t="s">
        <v>642</v>
      </c>
      <c r="C434" s="38">
        <v>15</v>
      </c>
      <c r="D434" s="39" t="str">
        <f t="shared" si="123"/>
        <v>PS-18-GZ4</v>
      </c>
      <c r="E434" s="48" t="str">
        <f t="shared" si="124"/>
        <v>Poste de Sectionnement n°18 GZ4</v>
      </c>
      <c r="F434" s="19">
        <v>40021</v>
      </c>
      <c r="G434" s="19">
        <v>40021</v>
      </c>
      <c r="H434" s="41" t="s">
        <v>20</v>
      </c>
      <c r="I434" s="41">
        <v>1</v>
      </c>
      <c r="J434" s="41" t="s">
        <v>3557</v>
      </c>
      <c r="K434" s="41">
        <v>16</v>
      </c>
      <c r="L434" s="41"/>
      <c r="M434" s="41" t="s">
        <v>642</v>
      </c>
      <c r="N434" s="41" t="s">
        <v>1996</v>
      </c>
      <c r="O434" s="43">
        <f t="shared" si="121"/>
        <v>1200</v>
      </c>
      <c r="P434" s="43">
        <f t="shared" si="122"/>
        <v>360.36799999999999</v>
      </c>
      <c r="Q434" s="41" t="s">
        <v>755</v>
      </c>
      <c r="R434" s="48" t="str">
        <f t="shared" si="120"/>
        <v>(18,'PS-18-GZ4','Poste de Sectionnement n°18 GZ4','Monday-07-jj','Monday-07-jj',NULL,1,),</v>
      </c>
    </row>
    <row r="435" spans="1:18" ht="20.100000000000001" hidden="1" customHeight="1" x14ac:dyDescent="0.25">
      <c r="A435" s="38">
        <v>19</v>
      </c>
      <c r="B435" s="38" t="s">
        <v>642</v>
      </c>
      <c r="C435" s="38">
        <v>15</v>
      </c>
      <c r="D435" s="39" t="str">
        <f t="shared" si="123"/>
        <v>PS-19-GZ4</v>
      </c>
      <c r="E435" s="48" t="str">
        <f t="shared" si="124"/>
        <v>Poste de Sectionnement n°19 GZ4</v>
      </c>
      <c r="F435" s="19">
        <v>40021</v>
      </c>
      <c r="G435" s="19">
        <v>40021</v>
      </c>
      <c r="H435" s="41" t="s">
        <v>20</v>
      </c>
      <c r="I435" s="41">
        <v>1</v>
      </c>
      <c r="J435" s="41" t="s">
        <v>3557</v>
      </c>
      <c r="K435" s="41">
        <v>16</v>
      </c>
      <c r="L435" s="41"/>
      <c r="M435" s="41" t="s">
        <v>642</v>
      </c>
      <c r="N435" s="41" t="s">
        <v>1997</v>
      </c>
      <c r="O435" s="43">
        <f t="shared" si="121"/>
        <v>1129</v>
      </c>
      <c r="P435" s="43">
        <f t="shared" si="122"/>
        <v>369.49799999999999</v>
      </c>
      <c r="Q435" s="41" t="s">
        <v>755</v>
      </c>
      <c r="R435" s="48" t="str">
        <f t="shared" si="120"/>
        <v>(19,'PS-19-GZ4','Poste de Sectionnement n°19 GZ4','Monday-07-jj','Monday-07-jj',NULL,1,),</v>
      </c>
    </row>
    <row r="436" spans="1:18" ht="20.100000000000001" hidden="1" customHeight="1" x14ac:dyDescent="0.25">
      <c r="A436" s="38">
        <v>20</v>
      </c>
      <c r="B436" s="38" t="s">
        <v>642</v>
      </c>
      <c r="C436" s="38">
        <v>15</v>
      </c>
      <c r="D436" s="39" t="str">
        <f t="shared" si="123"/>
        <v>PS-20-GZ4</v>
      </c>
      <c r="E436" s="48" t="str">
        <f t="shared" si="124"/>
        <v>Poste de Sectionnement n°20 GZ4</v>
      </c>
      <c r="F436" s="19">
        <v>40021</v>
      </c>
      <c r="G436" s="19">
        <v>40021</v>
      </c>
      <c r="H436" s="41" t="s">
        <v>20</v>
      </c>
      <c r="I436" s="41">
        <v>1</v>
      </c>
      <c r="J436" s="41" t="s">
        <v>3557</v>
      </c>
      <c r="K436" s="41">
        <v>16</v>
      </c>
      <c r="L436" s="41"/>
      <c r="M436" s="41" t="s">
        <v>642</v>
      </c>
      <c r="N436" s="41" t="s">
        <v>1998</v>
      </c>
      <c r="O436" s="43">
        <f t="shared" si="121"/>
        <v>1000</v>
      </c>
      <c r="P436" s="43">
        <f t="shared" si="122"/>
        <v>381.10899999999998</v>
      </c>
      <c r="Q436" s="41" t="s">
        <v>2025</v>
      </c>
      <c r="R436" s="48" t="str">
        <f t="shared" si="120"/>
        <v>(20,'PS-20-GZ4','Poste de Sectionnement n°20 GZ4','Monday-07-jj','Monday-07-jj',NULL,1,),</v>
      </c>
    </row>
    <row r="437" spans="1:18" ht="20.100000000000001" hidden="1" customHeight="1" x14ac:dyDescent="0.25">
      <c r="A437" s="38">
        <v>21</v>
      </c>
      <c r="B437" s="38" t="s">
        <v>642</v>
      </c>
      <c r="C437" s="38">
        <v>15</v>
      </c>
      <c r="D437" s="39" t="str">
        <f t="shared" si="123"/>
        <v>PS-21-GZ4</v>
      </c>
      <c r="E437" s="48" t="str">
        <f t="shared" si="124"/>
        <v>Poste de Sectionnement n°21 GZ4</v>
      </c>
      <c r="F437" s="19">
        <v>40021</v>
      </c>
      <c r="G437" s="19">
        <v>40021</v>
      </c>
      <c r="H437" s="41" t="s">
        <v>20</v>
      </c>
      <c r="I437" s="41">
        <v>1</v>
      </c>
      <c r="J437" s="41" t="s">
        <v>3557</v>
      </c>
      <c r="K437" s="41">
        <v>16</v>
      </c>
      <c r="L437" s="41"/>
      <c r="M437" s="41" t="s">
        <v>642</v>
      </c>
      <c r="N437" s="41" t="s">
        <v>1999</v>
      </c>
      <c r="O437" s="43">
        <f t="shared" si="121"/>
        <v>880</v>
      </c>
      <c r="P437" s="43">
        <f t="shared" si="122"/>
        <v>391.81200000000001</v>
      </c>
      <c r="Q437" s="41" t="s">
        <v>2026</v>
      </c>
      <c r="R437" s="48" t="str">
        <f t="shared" si="120"/>
        <v>(21,'PS-21-GZ4','Poste de Sectionnement n°21 GZ4','Monday-07-jj','Monday-07-jj',NULL,1,),</v>
      </c>
    </row>
    <row r="438" spans="1:18" ht="20.100000000000001" hidden="1" customHeight="1" x14ac:dyDescent="0.25">
      <c r="A438" s="38">
        <v>22</v>
      </c>
      <c r="B438" s="38" t="s">
        <v>642</v>
      </c>
      <c r="C438" s="38">
        <v>15</v>
      </c>
      <c r="D438" s="39" t="str">
        <f t="shared" si="123"/>
        <v>PS-22-GZ4</v>
      </c>
      <c r="E438" s="48" t="str">
        <f t="shared" si="124"/>
        <v>Poste de Sectionnement n°22 GZ4</v>
      </c>
      <c r="F438" s="19">
        <v>39841</v>
      </c>
      <c r="G438" s="19">
        <v>39841</v>
      </c>
      <c r="H438" s="41" t="s">
        <v>20</v>
      </c>
      <c r="I438" s="41">
        <v>1</v>
      </c>
      <c r="J438" s="41" t="s">
        <v>3557</v>
      </c>
      <c r="K438" s="41">
        <v>16</v>
      </c>
      <c r="L438" s="41"/>
      <c r="M438" s="41" t="s">
        <v>642</v>
      </c>
      <c r="N438" s="41" t="s">
        <v>2000</v>
      </c>
      <c r="O438" s="43">
        <f t="shared" si="121"/>
        <v>700</v>
      </c>
      <c r="P438" s="43">
        <f t="shared" si="122"/>
        <v>410.69799999999998</v>
      </c>
      <c r="Q438" s="41" t="s">
        <v>2027</v>
      </c>
      <c r="R438" s="48" t="str">
        <f t="shared" si="120"/>
        <v>(22,'PS-22-GZ4','Poste de Sectionnement n°22 GZ4','Wednesday-01-jj','Wednesday-01-jj',NULL,1,),</v>
      </c>
    </row>
    <row r="439" spans="1:18" ht="20.100000000000001" hidden="1" customHeight="1" x14ac:dyDescent="0.25">
      <c r="A439" s="38">
        <v>23</v>
      </c>
      <c r="B439" s="38" t="s">
        <v>642</v>
      </c>
      <c r="C439" s="38">
        <v>15</v>
      </c>
      <c r="D439" s="39" t="str">
        <f t="shared" si="123"/>
        <v>PS-23-GZ4</v>
      </c>
      <c r="E439" s="48" t="str">
        <f t="shared" si="124"/>
        <v>Poste de Sectionnement n°23 GZ4</v>
      </c>
      <c r="F439" s="19">
        <v>39841</v>
      </c>
      <c r="G439" s="19">
        <v>39841</v>
      </c>
      <c r="H439" s="41" t="s">
        <v>20</v>
      </c>
      <c r="I439" s="41">
        <v>1</v>
      </c>
      <c r="J439" s="41" t="s">
        <v>3557</v>
      </c>
      <c r="K439" s="41">
        <v>16</v>
      </c>
      <c r="L439" s="41"/>
      <c r="M439" s="41" t="s">
        <v>642</v>
      </c>
      <c r="N439" s="41" t="s">
        <v>2001</v>
      </c>
      <c r="O439" s="43">
        <f t="shared" si="121"/>
        <v>570</v>
      </c>
      <c r="P439" s="43">
        <f t="shared" si="122"/>
        <v>421.29500000000002</v>
      </c>
      <c r="Q439" s="41" t="s">
        <v>1939</v>
      </c>
      <c r="R439" s="48" t="str">
        <f t="shared" si="120"/>
        <v>(23,'PS-23-GZ4','Poste de Sectionnement n°23 GZ4','Wednesday-01-jj','Wednesday-01-jj',NULL,1,),</v>
      </c>
    </row>
    <row r="440" spans="1:18" ht="20.100000000000001" hidden="1" customHeight="1" x14ac:dyDescent="0.25">
      <c r="A440" s="38">
        <v>24</v>
      </c>
      <c r="B440" s="38" t="s">
        <v>642</v>
      </c>
      <c r="C440" s="38">
        <v>15</v>
      </c>
      <c r="D440" s="39" t="str">
        <f t="shared" si="123"/>
        <v>PS-24-GZ4</v>
      </c>
      <c r="E440" s="48" t="str">
        <f t="shared" si="124"/>
        <v>Poste de Sectionnement n°24 GZ4</v>
      </c>
      <c r="F440" s="19">
        <v>39841</v>
      </c>
      <c r="G440" s="19">
        <v>39841</v>
      </c>
      <c r="H440" s="41" t="s">
        <v>20</v>
      </c>
      <c r="I440" s="41">
        <v>1</v>
      </c>
      <c r="J440" s="41" t="s">
        <v>3557</v>
      </c>
      <c r="K440" s="41">
        <v>16</v>
      </c>
      <c r="L440" s="41"/>
      <c r="M440" s="41" t="s">
        <v>642</v>
      </c>
      <c r="N440" s="41" t="s">
        <v>2002</v>
      </c>
      <c r="O440" s="43">
        <f t="shared" si="121"/>
        <v>505</v>
      </c>
      <c r="P440" s="43">
        <f t="shared" si="122"/>
        <v>432.74</v>
      </c>
      <c r="Q440" s="41" t="s">
        <v>2028</v>
      </c>
      <c r="R440" s="48" t="str">
        <f t="shared" si="120"/>
        <v>(24,'PS-24-GZ4','Poste de Sectionnement n°24 GZ4','Wednesday-01-jj','Wednesday-01-jj',NULL,1,),</v>
      </c>
    </row>
    <row r="441" spans="1:18" ht="20.100000000000001" hidden="1" customHeight="1" x14ac:dyDescent="0.25">
      <c r="A441" s="38">
        <v>25</v>
      </c>
      <c r="B441" s="38" t="s">
        <v>642</v>
      </c>
      <c r="C441" s="38">
        <v>15</v>
      </c>
      <c r="D441" s="39" t="str">
        <f t="shared" si="123"/>
        <v>PS-25-GZ4</v>
      </c>
      <c r="E441" s="48" t="str">
        <f t="shared" si="124"/>
        <v>Poste de Sectionnement n°25 GZ4</v>
      </c>
      <c r="F441" s="19">
        <v>39841</v>
      </c>
      <c r="G441" s="19">
        <v>39841</v>
      </c>
      <c r="H441" s="41" t="s">
        <v>20</v>
      </c>
      <c r="I441" s="41">
        <v>1</v>
      </c>
      <c r="J441" s="41" t="s">
        <v>3557</v>
      </c>
      <c r="K441" s="41">
        <v>16</v>
      </c>
      <c r="L441" s="41"/>
      <c r="M441" s="41" t="s">
        <v>642</v>
      </c>
      <c r="N441" s="41" t="s">
        <v>2003</v>
      </c>
      <c r="O441" s="43">
        <f t="shared" si="121"/>
        <v>522</v>
      </c>
      <c r="P441" s="43">
        <f t="shared" si="122"/>
        <v>440.709</v>
      </c>
      <c r="Q441" s="41" t="s">
        <v>800</v>
      </c>
      <c r="R441" s="48" t="str">
        <f t="shared" si="120"/>
        <v>(25,'PS-25-GZ4','Poste de Sectionnement n°25 GZ4','Wednesday-01-jj','Wednesday-01-jj',NULL,1,),</v>
      </c>
    </row>
    <row r="442" spans="1:18" ht="20.100000000000001" hidden="1" customHeight="1" x14ac:dyDescent="0.25">
      <c r="A442" s="38">
        <v>26</v>
      </c>
      <c r="B442" s="38" t="s">
        <v>642</v>
      </c>
      <c r="C442" s="38">
        <v>15</v>
      </c>
      <c r="D442" s="39" t="str">
        <f t="shared" si="123"/>
        <v>PS-26-GZ4</v>
      </c>
      <c r="E442" s="48" t="str">
        <f t="shared" si="124"/>
        <v>Poste de Sectionnement n°26 GZ4</v>
      </c>
      <c r="F442" s="19">
        <v>39841</v>
      </c>
      <c r="G442" s="19">
        <v>39841</v>
      </c>
      <c r="H442" s="41" t="s">
        <v>20</v>
      </c>
      <c r="I442" s="41">
        <v>1</v>
      </c>
      <c r="J442" s="41" t="s">
        <v>3557</v>
      </c>
      <c r="K442" s="41">
        <v>16</v>
      </c>
      <c r="L442" s="41"/>
      <c r="M442" s="41" t="s">
        <v>642</v>
      </c>
      <c r="N442" s="41" t="s">
        <v>2004</v>
      </c>
      <c r="O442" s="43">
        <f t="shared" si="121"/>
        <v>544</v>
      </c>
      <c r="P442" s="43">
        <f t="shared" si="122"/>
        <v>450.80500000000001</v>
      </c>
      <c r="Q442" s="41" t="s">
        <v>2029</v>
      </c>
      <c r="R442" s="48" t="str">
        <f t="shared" si="120"/>
        <v>(26,'PS-26-GZ4','Poste de Sectionnement n°26 GZ4','Wednesday-01-jj','Wednesday-01-jj',NULL,1,),</v>
      </c>
    </row>
    <row r="443" spans="1:18" ht="20.100000000000001" hidden="1" customHeight="1" x14ac:dyDescent="0.25">
      <c r="A443" s="38">
        <v>27</v>
      </c>
      <c r="B443" s="38" t="s">
        <v>642</v>
      </c>
      <c r="C443" s="38">
        <v>15</v>
      </c>
      <c r="D443" s="39" t="str">
        <f t="shared" si="123"/>
        <v>PS-27-GZ4</v>
      </c>
      <c r="E443" s="48" t="str">
        <f t="shared" si="124"/>
        <v>Poste de Sectionnement n°27 GZ4</v>
      </c>
      <c r="F443" s="19">
        <v>39841</v>
      </c>
      <c r="G443" s="19">
        <v>39841</v>
      </c>
      <c r="H443" s="41" t="s">
        <v>20</v>
      </c>
      <c r="I443" s="41">
        <v>1</v>
      </c>
      <c r="J443" s="41" t="s">
        <v>3557</v>
      </c>
      <c r="K443" s="41">
        <v>16</v>
      </c>
      <c r="L443" s="41"/>
      <c r="M443" s="41" t="s">
        <v>642</v>
      </c>
      <c r="N443" s="41" t="s">
        <v>2005</v>
      </c>
      <c r="O443" s="43">
        <f t="shared" si="121"/>
        <v>550</v>
      </c>
      <c r="P443" s="43">
        <f t="shared" si="122"/>
        <v>460.97300000000001</v>
      </c>
      <c r="Q443" s="41" t="s">
        <v>1748</v>
      </c>
      <c r="R443" s="48" t="str">
        <f t="shared" si="120"/>
        <v>(27,'PS-27-GZ4','Poste de Sectionnement n°27 GZ4','Wednesday-01-jj','Wednesday-01-jj',NULL,1,),</v>
      </c>
    </row>
    <row r="444" spans="1:18" ht="20.100000000000001" hidden="1" customHeight="1" x14ac:dyDescent="0.25">
      <c r="A444" s="38">
        <v>28</v>
      </c>
      <c r="B444" s="38" t="s">
        <v>642</v>
      </c>
      <c r="C444" s="38">
        <v>15</v>
      </c>
      <c r="D444" s="39" t="str">
        <f t="shared" si="123"/>
        <v>PS-28-GZ4</v>
      </c>
      <c r="E444" s="48" t="str">
        <f t="shared" si="124"/>
        <v>Poste de Sectionnement n°28 GZ4</v>
      </c>
      <c r="F444" s="19">
        <v>39841</v>
      </c>
      <c r="G444" s="19">
        <v>39841</v>
      </c>
      <c r="H444" s="41" t="s">
        <v>20</v>
      </c>
      <c r="I444" s="41">
        <v>1</v>
      </c>
      <c r="J444" s="41" t="s">
        <v>3557</v>
      </c>
      <c r="K444" s="41">
        <v>16</v>
      </c>
      <c r="L444" s="41"/>
      <c r="M444" s="41" t="s">
        <v>642</v>
      </c>
      <c r="N444" s="41" t="s">
        <v>2006</v>
      </c>
      <c r="O444" s="43">
        <f t="shared" si="121"/>
        <v>555</v>
      </c>
      <c r="P444" s="43">
        <f t="shared" si="122"/>
        <v>470.84100000000001</v>
      </c>
      <c r="Q444" s="41" t="s">
        <v>2030</v>
      </c>
      <c r="R444" s="48" t="str">
        <f t="shared" si="120"/>
        <v>(28,'PS-28-GZ4','Poste de Sectionnement n°28 GZ4','Wednesday-01-jj','Wednesday-01-jj',NULL,1,),</v>
      </c>
    </row>
    <row r="445" spans="1:18" ht="20.100000000000001" hidden="1" customHeight="1" x14ac:dyDescent="0.25">
      <c r="A445" s="38">
        <v>29</v>
      </c>
      <c r="B445" s="38" t="s">
        <v>642</v>
      </c>
      <c r="C445" s="38">
        <v>15</v>
      </c>
      <c r="D445" s="39" t="str">
        <f t="shared" si="123"/>
        <v>PS-29-GZ4</v>
      </c>
      <c r="E445" s="48" t="str">
        <f t="shared" si="124"/>
        <v>Poste de Sectionnement n°29 GZ4</v>
      </c>
      <c r="F445" s="19">
        <v>39841</v>
      </c>
      <c r="G445" s="19">
        <v>39841</v>
      </c>
      <c r="H445" s="41" t="s">
        <v>20</v>
      </c>
      <c r="I445" s="41">
        <v>1</v>
      </c>
      <c r="J445" s="41" t="s">
        <v>3557</v>
      </c>
      <c r="K445" s="41">
        <v>16</v>
      </c>
      <c r="L445" s="41"/>
      <c r="M445" s="41" t="s">
        <v>642</v>
      </c>
      <c r="N445" s="41" t="s">
        <v>2007</v>
      </c>
      <c r="O445" s="43">
        <f t="shared" si="121"/>
        <v>560</v>
      </c>
      <c r="P445" s="43">
        <f t="shared" si="122"/>
        <v>479.399</v>
      </c>
      <c r="Q445" s="41" t="s">
        <v>2031</v>
      </c>
      <c r="R445" s="48" t="str">
        <f t="shared" si="120"/>
        <v>(29,'PS-29-GZ4','Poste de Sectionnement n°29 GZ4','Wednesday-01-jj','Wednesday-01-jj',NULL,1,),</v>
      </c>
    </row>
    <row r="446" spans="1:18" ht="20.100000000000001" hidden="1" customHeight="1" x14ac:dyDescent="0.25">
      <c r="A446" s="38">
        <v>30</v>
      </c>
      <c r="B446" s="38" t="s">
        <v>642</v>
      </c>
      <c r="C446" s="38">
        <v>15</v>
      </c>
      <c r="D446" s="39" t="str">
        <f t="shared" si="123"/>
        <v>PS-30-GZ4</v>
      </c>
      <c r="E446" s="48" t="str">
        <f t="shared" si="124"/>
        <v>Poste de Sectionnement n°30 GZ4</v>
      </c>
      <c r="F446" s="19">
        <v>39841</v>
      </c>
      <c r="G446" s="19">
        <v>39841</v>
      </c>
      <c r="H446" s="41" t="s">
        <v>20</v>
      </c>
      <c r="I446" s="41">
        <v>1</v>
      </c>
      <c r="J446" s="41" t="s">
        <v>3557</v>
      </c>
      <c r="K446" s="41">
        <v>16</v>
      </c>
      <c r="L446" s="41"/>
      <c r="M446" s="41" t="s">
        <v>642</v>
      </c>
      <c r="N446" s="41" t="s">
        <v>2008</v>
      </c>
      <c r="O446" s="43">
        <f t="shared" si="121"/>
        <v>577</v>
      </c>
      <c r="P446" s="43">
        <f t="shared" si="122"/>
        <v>491.27499999999998</v>
      </c>
      <c r="Q446" s="41" t="s">
        <v>801</v>
      </c>
      <c r="R446" s="48" t="str">
        <f t="shared" si="120"/>
        <v>(30,'PS-30-GZ4','Poste de Sectionnement n°30 GZ4','Wednesday-01-jj','Wednesday-01-jj',NULL,1,),</v>
      </c>
    </row>
    <row r="447" spans="1:18" ht="20.100000000000001" hidden="1" customHeight="1" x14ac:dyDescent="0.25">
      <c r="A447" s="38">
        <v>31</v>
      </c>
      <c r="B447" s="38" t="s">
        <v>642</v>
      </c>
      <c r="C447" s="38">
        <v>15</v>
      </c>
      <c r="D447" s="39" t="str">
        <f t="shared" si="123"/>
        <v>PS-31-GZ4</v>
      </c>
      <c r="E447" s="48" t="str">
        <f t="shared" si="124"/>
        <v>Poste de Sectionnement n°31 GZ4</v>
      </c>
      <c r="F447" s="19">
        <v>39841</v>
      </c>
      <c r="G447" s="19">
        <v>39841</v>
      </c>
      <c r="H447" s="41" t="s">
        <v>20</v>
      </c>
      <c r="I447" s="41">
        <v>1</v>
      </c>
      <c r="J447" s="41" t="s">
        <v>3557</v>
      </c>
      <c r="K447" s="41">
        <v>16</v>
      </c>
      <c r="L447" s="41"/>
      <c r="M447" s="41" t="s">
        <v>642</v>
      </c>
      <c r="N447" s="41" t="s">
        <v>2009</v>
      </c>
      <c r="O447" s="43">
        <f t="shared" si="121"/>
        <v>592</v>
      </c>
      <c r="P447" s="43">
        <f t="shared" si="122"/>
        <v>501.851</v>
      </c>
      <c r="Q447" s="41" t="s">
        <v>801</v>
      </c>
      <c r="R447" s="48" t="str">
        <f t="shared" si="120"/>
        <v>(31,'PS-31-GZ4','Poste de Sectionnement n°31 GZ4','Wednesday-01-jj','Wednesday-01-jj',NULL,1,),</v>
      </c>
    </row>
    <row r="448" spans="1:18" ht="20.100000000000001" hidden="1" customHeight="1" x14ac:dyDescent="0.25">
      <c r="A448" s="38">
        <v>1</v>
      </c>
      <c r="B448" s="38" t="s">
        <v>642</v>
      </c>
      <c r="C448" s="38">
        <v>15</v>
      </c>
      <c r="D448" s="39" t="str">
        <f t="shared" si="123"/>
        <v>PS-01-GZ4 Bis</v>
      </c>
      <c r="E448" s="48" t="str">
        <f t="shared" si="124"/>
        <v>Poste de Sectionnement n°01 GZ4 Bis</v>
      </c>
      <c r="F448" s="19">
        <v>40284</v>
      </c>
      <c r="G448" s="19">
        <v>40284</v>
      </c>
      <c r="H448" s="41" t="s">
        <v>20</v>
      </c>
      <c r="I448" s="41">
        <v>1</v>
      </c>
      <c r="J448" s="41" t="s">
        <v>3557</v>
      </c>
      <c r="K448" s="41">
        <v>16</v>
      </c>
      <c r="L448" s="41"/>
      <c r="M448" s="41" t="s">
        <v>1001</v>
      </c>
      <c r="N448" s="41" t="s">
        <v>2018</v>
      </c>
      <c r="O448" s="43">
        <f t="shared" si="121"/>
        <v>48.76</v>
      </c>
      <c r="P448" s="43">
        <f t="shared" si="122"/>
        <v>17.28</v>
      </c>
      <c r="Q448" s="41" t="s">
        <v>2010</v>
      </c>
      <c r="R448" s="48" t="str">
        <f t="shared" si="120"/>
        <v>(1,'PS-01-GZ4 Bis','Poste de Sectionnement n°01 GZ4 Bis','Friday-04-jj','Friday-04-jj',NULL,1,),</v>
      </c>
    </row>
    <row r="449" spans="1:18" ht="20.100000000000001" hidden="1" customHeight="1" x14ac:dyDescent="0.25">
      <c r="A449" s="38">
        <v>2</v>
      </c>
      <c r="B449" s="38" t="s">
        <v>642</v>
      </c>
      <c r="C449" s="38">
        <v>15</v>
      </c>
      <c r="D449" s="39" t="str">
        <f t="shared" si="123"/>
        <v>PS-02-GZ4 Bis</v>
      </c>
      <c r="E449" s="48" t="str">
        <f t="shared" si="124"/>
        <v>Poste de Sectionnement n°02 GZ4 Bis</v>
      </c>
      <c r="F449" s="19">
        <v>40284</v>
      </c>
      <c r="G449" s="19">
        <v>40284</v>
      </c>
      <c r="H449" s="41" t="s">
        <v>20</v>
      </c>
      <c r="I449" s="41">
        <v>1</v>
      </c>
      <c r="J449" s="41" t="s">
        <v>3557</v>
      </c>
      <c r="K449" s="41">
        <v>16</v>
      </c>
      <c r="L449" s="41"/>
      <c r="M449" s="41" t="s">
        <v>1001</v>
      </c>
      <c r="N449" s="41" t="s">
        <v>2019</v>
      </c>
      <c r="O449" s="43">
        <f t="shared" si="121"/>
        <v>164.84</v>
      </c>
      <c r="P449" s="43">
        <f t="shared" si="122"/>
        <v>35.6</v>
      </c>
      <c r="Q449" s="41" t="s">
        <v>2011</v>
      </c>
      <c r="R449" s="48" t="str">
        <f t="shared" si="120"/>
        <v>(2,'PS-02-GZ4 Bis','Poste de Sectionnement n°02 GZ4 Bis','Friday-04-jj','Friday-04-jj',NULL,1,),</v>
      </c>
    </row>
    <row r="450" spans="1:18" ht="20.100000000000001" hidden="1" customHeight="1" x14ac:dyDescent="0.25">
      <c r="A450" s="38">
        <v>3</v>
      </c>
      <c r="B450" s="38" t="s">
        <v>642</v>
      </c>
      <c r="C450" s="38">
        <v>15</v>
      </c>
      <c r="D450" s="39" t="str">
        <f t="shared" si="123"/>
        <v>PS-03-GZ4 Bis</v>
      </c>
      <c r="E450" s="48" t="str">
        <f t="shared" si="124"/>
        <v>Poste de Sectionnement n°03 GZ4 Bis</v>
      </c>
      <c r="F450" s="19">
        <v>40284</v>
      </c>
      <c r="G450" s="19">
        <v>40284</v>
      </c>
      <c r="H450" s="41" t="s">
        <v>20</v>
      </c>
      <c r="I450" s="41">
        <v>1</v>
      </c>
      <c r="J450" s="41" t="s">
        <v>3557</v>
      </c>
      <c r="K450" s="41">
        <v>16</v>
      </c>
      <c r="L450" s="41"/>
      <c r="M450" s="41" t="s">
        <v>1001</v>
      </c>
      <c r="N450" s="41" t="s">
        <v>2020</v>
      </c>
      <c r="O450" s="43">
        <f t="shared" si="121"/>
        <v>110.38</v>
      </c>
      <c r="P450" s="43">
        <f t="shared" si="122"/>
        <v>54.66</v>
      </c>
      <c r="Q450" s="41" t="s">
        <v>2012</v>
      </c>
      <c r="R450" s="48" t="str">
        <f t="shared" si="120"/>
        <v>(3,'PS-03-GZ4 Bis','Poste de Sectionnement n°03 GZ4 Bis','Friday-04-jj','Friday-04-jj',NULL,1,),</v>
      </c>
    </row>
    <row r="451" spans="1:18" ht="20.100000000000001" hidden="1" customHeight="1" x14ac:dyDescent="0.25">
      <c r="A451" s="38">
        <v>4</v>
      </c>
      <c r="B451" s="38" t="s">
        <v>642</v>
      </c>
      <c r="C451" s="38">
        <v>15</v>
      </c>
      <c r="D451" s="39" t="str">
        <f t="shared" si="123"/>
        <v>PS-04-GZ4 Bis</v>
      </c>
      <c r="E451" s="48" t="str">
        <f t="shared" si="124"/>
        <v>Poste de Sectionnement n°04 GZ4 Bis</v>
      </c>
      <c r="F451" s="19">
        <v>40284</v>
      </c>
      <c r="G451" s="19">
        <v>40284</v>
      </c>
      <c r="H451" s="41" t="s">
        <v>20</v>
      </c>
      <c r="I451" s="41">
        <v>1</v>
      </c>
      <c r="J451" s="41" t="s">
        <v>3557</v>
      </c>
      <c r="K451" s="41">
        <v>16</v>
      </c>
      <c r="L451" s="41"/>
      <c r="M451" s="41" t="s">
        <v>1001</v>
      </c>
      <c r="N451" s="41" t="s">
        <v>2021</v>
      </c>
      <c r="O451" s="43">
        <f t="shared" si="121"/>
        <v>142.69</v>
      </c>
      <c r="P451" s="43">
        <f t="shared" si="122"/>
        <v>74.25</v>
      </c>
      <c r="Q451" s="41" t="s">
        <v>2013</v>
      </c>
      <c r="R451" s="48" t="str">
        <f t="shared" si="120"/>
        <v>(4,'PS-04-GZ4 Bis','Poste de Sectionnement n°04 GZ4 Bis','Friday-04-jj','Friday-04-jj',NULL,1,),</v>
      </c>
    </row>
    <row r="452" spans="1:18" ht="20.100000000000001" hidden="1" customHeight="1" x14ac:dyDescent="0.25">
      <c r="A452" s="38">
        <v>5</v>
      </c>
      <c r="B452" s="38" t="s">
        <v>642</v>
      </c>
      <c r="C452" s="38">
        <v>15</v>
      </c>
      <c r="D452" s="39" t="str">
        <f t="shared" si="123"/>
        <v>PS-05-GZ4 Bis</v>
      </c>
      <c r="E452" s="48" t="str">
        <f t="shared" si="124"/>
        <v>Poste de Sectionnement n°05 GZ4 Bis</v>
      </c>
      <c r="F452" s="19">
        <v>40284</v>
      </c>
      <c r="G452" s="19">
        <v>40284</v>
      </c>
      <c r="H452" s="41" t="s">
        <v>20</v>
      </c>
      <c r="I452" s="41">
        <v>1</v>
      </c>
      <c r="J452" s="41" t="s">
        <v>3557</v>
      </c>
      <c r="K452" s="41">
        <v>16</v>
      </c>
      <c r="L452" s="41"/>
      <c r="M452" s="41" t="s">
        <v>1001</v>
      </c>
      <c r="N452" s="41" t="s">
        <v>2022</v>
      </c>
      <c r="O452" s="43">
        <f t="shared" si="121"/>
        <v>205.11</v>
      </c>
      <c r="P452" s="43">
        <f t="shared" si="122"/>
        <v>85.58</v>
      </c>
      <c r="Q452" s="41" t="s">
        <v>2014</v>
      </c>
      <c r="R452" s="48" t="str">
        <f t="shared" si="120"/>
        <v>(5,'PS-05-GZ4 Bis','Poste de Sectionnement n°05 GZ4 Bis','Friday-04-jj','Friday-04-jj',NULL,1,),</v>
      </c>
    </row>
    <row r="453" spans="1:18" ht="20.100000000000001" hidden="1" customHeight="1" x14ac:dyDescent="0.25">
      <c r="A453" s="38">
        <v>6</v>
      </c>
      <c r="B453" s="38" t="s">
        <v>642</v>
      </c>
      <c r="C453" s="38">
        <v>15</v>
      </c>
      <c r="D453" s="39" t="str">
        <f t="shared" si="123"/>
        <v>PS-06-GZ4 Bis</v>
      </c>
      <c r="E453" s="48" t="str">
        <f t="shared" si="124"/>
        <v>Poste de Sectionnement n°06 GZ4 Bis</v>
      </c>
      <c r="F453" s="19">
        <v>40284</v>
      </c>
      <c r="G453" s="19">
        <v>40284</v>
      </c>
      <c r="H453" s="41" t="s">
        <v>20</v>
      </c>
      <c r="I453" s="41">
        <v>1</v>
      </c>
      <c r="J453" s="41" t="s">
        <v>3557</v>
      </c>
      <c r="K453" s="41">
        <v>16</v>
      </c>
      <c r="L453" s="41"/>
      <c r="M453" s="41" t="s">
        <v>1001</v>
      </c>
      <c r="N453" s="41" t="s">
        <v>2023</v>
      </c>
      <c r="O453" s="43">
        <f t="shared" si="121"/>
        <v>184.73</v>
      </c>
      <c r="P453" s="43">
        <f t="shared" si="122"/>
        <v>105.79</v>
      </c>
      <c r="Q453" s="41" t="s">
        <v>2015</v>
      </c>
      <c r="R453" s="48" t="str">
        <f t="shared" si="120"/>
        <v>(6,'PS-06-GZ4 Bis','Poste de Sectionnement n°06 GZ4 Bis','Friday-04-jj','Friday-04-jj',NULL,1,),</v>
      </c>
    </row>
    <row r="454" spans="1:18" ht="20.100000000000001" hidden="1" customHeight="1" x14ac:dyDescent="0.25">
      <c r="A454" s="38">
        <v>1</v>
      </c>
      <c r="B454" s="38" t="s">
        <v>650</v>
      </c>
      <c r="C454" s="38">
        <v>17</v>
      </c>
      <c r="D454" s="39" t="str">
        <f t="shared" si="123"/>
        <v>PS-01-GK1</v>
      </c>
      <c r="E454" s="48" t="str">
        <f t="shared" si="124"/>
        <v>Poste de Sectionnement n°01 GK1</v>
      </c>
      <c r="F454" s="19">
        <v>25934</v>
      </c>
      <c r="G454" s="19">
        <v>28491</v>
      </c>
      <c r="H454" s="41" t="s">
        <v>20</v>
      </c>
      <c r="I454" s="41">
        <v>1</v>
      </c>
      <c r="J454" s="41" t="s">
        <v>3557</v>
      </c>
      <c r="K454" s="41">
        <v>16</v>
      </c>
      <c r="L454" s="41"/>
      <c r="M454" s="41" t="s">
        <v>394</v>
      </c>
      <c r="N454" s="41" t="s">
        <v>2032</v>
      </c>
      <c r="O454" s="43">
        <f t="shared" ref="O454:O488" si="125">VALUE(RIGHT(N454,LEN(N454)-SEARCH("/",N454)))</f>
        <v>695</v>
      </c>
      <c r="P454" s="43">
        <f t="shared" ref="P454:P488" si="126">VALUE(SUBSTITUTE(LEFT(N454,SEARCH("/",N454)-1),"+",","))</f>
        <v>41.554000000000002</v>
      </c>
      <c r="Q454" s="41" t="s">
        <v>790</v>
      </c>
      <c r="R454" s="48" t="str">
        <f t="shared" si="120"/>
        <v>(1,'PS-01-GK1','Poste de Sectionnement n°01 GK1','Friday-01-jj','Sunday-01-jj',NULL,1,),</v>
      </c>
    </row>
    <row r="455" spans="1:18" ht="20.100000000000001" hidden="1" customHeight="1" x14ac:dyDescent="0.25">
      <c r="A455" s="38">
        <v>2</v>
      </c>
      <c r="B455" s="38" t="s">
        <v>650</v>
      </c>
      <c r="C455" s="38">
        <v>17</v>
      </c>
      <c r="D455" s="39" t="str">
        <f t="shared" si="123"/>
        <v>PS-02-GK1</v>
      </c>
      <c r="E455" s="48" t="str">
        <f t="shared" si="124"/>
        <v>Poste de Sectionnement n°02 GK1</v>
      </c>
      <c r="F455" s="19">
        <v>25934</v>
      </c>
      <c r="G455" s="19">
        <v>28491</v>
      </c>
      <c r="H455" s="41" t="s">
        <v>20</v>
      </c>
      <c r="I455" s="41">
        <v>1</v>
      </c>
      <c r="J455" s="41" t="s">
        <v>3557</v>
      </c>
      <c r="K455" s="41">
        <v>16</v>
      </c>
      <c r="L455" s="41"/>
      <c r="M455" s="41" t="s">
        <v>394</v>
      </c>
      <c r="N455" s="41" t="s">
        <v>2033</v>
      </c>
      <c r="O455" s="43">
        <f t="shared" si="125"/>
        <v>630</v>
      </c>
      <c r="P455" s="43">
        <f t="shared" si="126"/>
        <v>133.82</v>
      </c>
      <c r="Q455" s="41" t="s">
        <v>2070</v>
      </c>
      <c r="R455" s="48" t="str">
        <f t="shared" si="120"/>
        <v>(2,'PS-02-GK1','Poste de Sectionnement n°02 GK1','Friday-01-jj','Sunday-01-jj',NULL,1,),</v>
      </c>
    </row>
    <row r="456" spans="1:18" ht="20.100000000000001" hidden="1" customHeight="1" x14ac:dyDescent="0.25">
      <c r="A456" s="38">
        <v>3</v>
      </c>
      <c r="B456" s="38" t="s">
        <v>650</v>
      </c>
      <c r="C456" s="38">
        <v>17</v>
      </c>
      <c r="D456" s="39" t="str">
        <f t="shared" ref="D456:D489" si="127">CONCATENATE("PS-",TEXT(A456,"00"),"-",M456)</f>
        <v>PS-03-GK1</v>
      </c>
      <c r="E456" s="48" t="str">
        <f t="shared" ref="E456:E489" si="128">CONCATENATE("Poste de Sectionnement n°",TEXT(A456,"00")," ",M456)</f>
        <v>Poste de Sectionnement n°03 GK1</v>
      </c>
      <c r="F456" s="19">
        <v>25934</v>
      </c>
      <c r="G456" s="19">
        <v>28491</v>
      </c>
      <c r="H456" s="41" t="s">
        <v>20</v>
      </c>
      <c r="I456" s="41">
        <v>1</v>
      </c>
      <c r="J456" s="41" t="s">
        <v>3557</v>
      </c>
      <c r="K456" s="41">
        <v>16</v>
      </c>
      <c r="L456" s="41"/>
      <c r="M456" s="41" t="s">
        <v>394</v>
      </c>
      <c r="N456" s="41" t="s">
        <v>2034</v>
      </c>
      <c r="O456" s="43">
        <f t="shared" si="125"/>
        <v>327</v>
      </c>
      <c r="P456" s="43">
        <f t="shared" si="126"/>
        <v>224.084</v>
      </c>
      <c r="Q456" s="41" t="s">
        <v>2071</v>
      </c>
      <c r="R456" s="48" t="str">
        <f t="shared" si="120"/>
        <v>(3,'PS-03-GK1','Poste de Sectionnement n°03 GK1','Friday-01-jj','Sunday-01-jj',NULL,1,),</v>
      </c>
    </row>
    <row r="457" spans="1:18" ht="20.100000000000001" hidden="1" customHeight="1" x14ac:dyDescent="0.25">
      <c r="A457" s="38">
        <v>4</v>
      </c>
      <c r="B457" s="38" t="s">
        <v>650</v>
      </c>
      <c r="C457" s="38">
        <v>17</v>
      </c>
      <c r="D457" s="39" t="str">
        <f t="shared" si="127"/>
        <v>PS-04-GK1</v>
      </c>
      <c r="E457" s="48" t="str">
        <f t="shared" si="128"/>
        <v>Poste de Sectionnement n°04 GK1</v>
      </c>
      <c r="F457" s="19">
        <v>25934</v>
      </c>
      <c r="G457" s="19">
        <v>28491</v>
      </c>
      <c r="H457" s="41" t="s">
        <v>20</v>
      </c>
      <c r="I457" s="41">
        <v>1</v>
      </c>
      <c r="J457" s="41" t="s">
        <v>3557</v>
      </c>
      <c r="K457" s="41">
        <v>16</v>
      </c>
      <c r="L457" s="41"/>
      <c r="M457" s="41" t="s">
        <v>394</v>
      </c>
      <c r="N457" s="41" t="s">
        <v>2035</v>
      </c>
      <c r="O457" s="43">
        <f t="shared" si="125"/>
        <v>438</v>
      </c>
      <c r="P457" s="43">
        <f t="shared" si="126"/>
        <v>296.90100000000001</v>
      </c>
      <c r="Q457" s="41" t="s">
        <v>941</v>
      </c>
      <c r="R457" s="48" t="str">
        <f t="shared" si="120"/>
        <v>(4,'PS-04-GK1','Poste de Sectionnement n°04 GK1','Friday-01-jj','Sunday-01-jj',NULL,1,),</v>
      </c>
    </row>
    <row r="458" spans="1:18" ht="20.100000000000001" hidden="1" customHeight="1" x14ac:dyDescent="0.25">
      <c r="A458" s="38">
        <v>5</v>
      </c>
      <c r="B458" s="38" t="s">
        <v>650</v>
      </c>
      <c r="C458" s="38">
        <v>17</v>
      </c>
      <c r="D458" s="39" t="str">
        <f t="shared" si="127"/>
        <v>PS-05-GK1</v>
      </c>
      <c r="E458" s="48" t="str">
        <f t="shared" si="128"/>
        <v>Poste de Sectionnement n°05 GK1</v>
      </c>
      <c r="F458" s="19">
        <v>25934</v>
      </c>
      <c r="G458" s="19">
        <v>28491</v>
      </c>
      <c r="H458" s="41" t="s">
        <v>20</v>
      </c>
      <c r="I458" s="41">
        <v>1</v>
      </c>
      <c r="J458" s="41" t="s">
        <v>3557</v>
      </c>
      <c r="K458" s="41">
        <v>16</v>
      </c>
      <c r="L458" s="41"/>
      <c r="M458" s="41" t="s">
        <v>394</v>
      </c>
      <c r="N458" s="41" t="s">
        <v>2036</v>
      </c>
      <c r="O458" s="43">
        <f t="shared" si="125"/>
        <v>431</v>
      </c>
      <c r="P458" s="43">
        <f t="shared" si="126"/>
        <v>328.21499999999997</v>
      </c>
      <c r="Q458" s="41" t="s">
        <v>2072</v>
      </c>
      <c r="R458" s="48" t="str">
        <f t="shared" si="120"/>
        <v>(5,'PS-05-GK1','Poste de Sectionnement n°05 GK1','Friday-01-jj','Sunday-01-jj',NULL,1,),</v>
      </c>
    </row>
    <row r="459" spans="1:18" ht="20.100000000000001" hidden="1" customHeight="1" x14ac:dyDescent="0.25">
      <c r="A459" s="38">
        <v>6</v>
      </c>
      <c r="B459" s="38" t="s">
        <v>650</v>
      </c>
      <c r="C459" s="38">
        <v>17</v>
      </c>
      <c r="D459" s="39" t="str">
        <f t="shared" si="127"/>
        <v>PS-06-GK1</v>
      </c>
      <c r="E459" s="48" t="str">
        <f t="shared" si="128"/>
        <v>Poste de Sectionnement n°06 GK1</v>
      </c>
      <c r="F459" s="19">
        <v>25934</v>
      </c>
      <c r="G459" s="19">
        <v>28491</v>
      </c>
      <c r="H459" s="41" t="s">
        <v>20</v>
      </c>
      <c r="I459" s="41">
        <v>1</v>
      </c>
      <c r="J459" s="41" t="s">
        <v>3557</v>
      </c>
      <c r="K459" s="41">
        <v>16</v>
      </c>
      <c r="L459" s="41"/>
      <c r="M459" s="41" t="s">
        <v>394</v>
      </c>
      <c r="N459" s="41" t="s">
        <v>2037</v>
      </c>
      <c r="O459" s="43">
        <f t="shared" si="125"/>
        <v>754</v>
      </c>
      <c r="P459" s="43">
        <f t="shared" si="126"/>
        <v>380.71300000000002</v>
      </c>
      <c r="Q459" s="41" t="s">
        <v>2073</v>
      </c>
      <c r="R459" s="48" t="str">
        <f t="shared" si="120"/>
        <v>(6,'PS-06-GK1','Poste de Sectionnement n°06 GK1','Friday-01-jj','Sunday-01-jj',NULL,1,),</v>
      </c>
    </row>
    <row r="460" spans="1:18" ht="20.100000000000001" hidden="1" customHeight="1" x14ac:dyDescent="0.25">
      <c r="A460" s="38">
        <v>7</v>
      </c>
      <c r="B460" s="38" t="s">
        <v>650</v>
      </c>
      <c r="C460" s="38">
        <v>17</v>
      </c>
      <c r="D460" s="39" t="str">
        <f t="shared" si="127"/>
        <v>PS-07-GK1</v>
      </c>
      <c r="E460" s="48" t="str">
        <f t="shared" si="128"/>
        <v>Poste de Sectionnement n°07 GK1</v>
      </c>
      <c r="F460" s="19">
        <v>25934</v>
      </c>
      <c r="G460" s="19">
        <v>28491</v>
      </c>
      <c r="H460" s="41" t="s">
        <v>20</v>
      </c>
      <c r="I460" s="41">
        <v>1</v>
      </c>
      <c r="J460" s="41" t="s">
        <v>3557</v>
      </c>
      <c r="K460" s="41">
        <v>16</v>
      </c>
      <c r="L460" s="41"/>
      <c r="M460" s="41" t="s">
        <v>394</v>
      </c>
      <c r="N460" s="41" t="s">
        <v>2038</v>
      </c>
      <c r="O460" s="43">
        <f t="shared" si="125"/>
        <v>932</v>
      </c>
      <c r="P460" s="43">
        <f t="shared" si="126"/>
        <v>405.11799999999999</v>
      </c>
      <c r="Q460" s="41" t="s">
        <v>2074</v>
      </c>
      <c r="R460" s="48" t="str">
        <f t="shared" si="120"/>
        <v>(7,'PS-07-GK1','Poste de Sectionnement n°07 GK1','Friday-01-jj','Sunday-01-jj',NULL,1,),</v>
      </c>
    </row>
    <row r="461" spans="1:18" ht="20.100000000000001" hidden="1" customHeight="1" x14ac:dyDescent="0.25">
      <c r="A461" s="38">
        <v>8</v>
      </c>
      <c r="B461" s="38" t="s">
        <v>650</v>
      </c>
      <c r="C461" s="38">
        <v>17</v>
      </c>
      <c r="D461" s="39" t="str">
        <f t="shared" si="127"/>
        <v>PS-08-GK1</v>
      </c>
      <c r="E461" s="48" t="str">
        <f t="shared" si="128"/>
        <v>Poste de Sectionnement n°08 GK1</v>
      </c>
      <c r="F461" s="19">
        <v>25934</v>
      </c>
      <c r="G461" s="19">
        <v>28491</v>
      </c>
      <c r="H461" s="41" t="s">
        <v>20</v>
      </c>
      <c r="I461" s="41">
        <v>1</v>
      </c>
      <c r="J461" s="41" t="s">
        <v>3557</v>
      </c>
      <c r="K461" s="41">
        <v>16</v>
      </c>
      <c r="L461" s="41"/>
      <c r="M461" s="41" t="s">
        <v>394</v>
      </c>
      <c r="N461" s="41" t="s">
        <v>2039</v>
      </c>
      <c r="O461" s="43">
        <f t="shared" si="125"/>
        <v>793</v>
      </c>
      <c r="P461" s="43">
        <f t="shared" si="126"/>
        <v>458.52</v>
      </c>
      <c r="Q461" s="41" t="s">
        <v>2075</v>
      </c>
      <c r="R461" s="48" t="str">
        <f t="shared" si="120"/>
        <v>(8,'PS-08-GK1','Poste de Sectionnement n°08 GK1','Friday-01-jj','Sunday-01-jj',NULL,1,),</v>
      </c>
    </row>
    <row r="462" spans="1:18" ht="20.100000000000001" hidden="1" customHeight="1" x14ac:dyDescent="0.25">
      <c r="A462" s="38">
        <v>9</v>
      </c>
      <c r="B462" s="38" t="s">
        <v>650</v>
      </c>
      <c r="C462" s="38">
        <v>17</v>
      </c>
      <c r="D462" s="39" t="str">
        <f t="shared" si="127"/>
        <v>PS-09-GK1</v>
      </c>
      <c r="E462" s="48" t="str">
        <f t="shared" si="128"/>
        <v>Poste de Sectionnement n°09 GK1</v>
      </c>
      <c r="F462" s="19">
        <v>25934</v>
      </c>
      <c r="G462" s="19">
        <v>28491</v>
      </c>
      <c r="H462" s="41" t="s">
        <v>20</v>
      </c>
      <c r="I462" s="41">
        <v>1</v>
      </c>
      <c r="J462" s="41" t="s">
        <v>3557</v>
      </c>
      <c r="K462" s="41">
        <v>16</v>
      </c>
      <c r="L462" s="41"/>
      <c r="M462" s="41" t="s">
        <v>394</v>
      </c>
      <c r="N462" s="41" t="s">
        <v>2040</v>
      </c>
      <c r="O462" s="43">
        <f t="shared" si="125"/>
        <v>678</v>
      </c>
      <c r="P462" s="43">
        <f t="shared" si="126"/>
        <v>476.40300000000002</v>
      </c>
      <c r="Q462" s="41" t="s">
        <v>2076</v>
      </c>
      <c r="R462" s="48" t="str">
        <f t="shared" si="120"/>
        <v>(9,'PS-09-GK1','Poste de Sectionnement n°09 GK1','Friday-01-jj','Sunday-01-jj',NULL,1,),</v>
      </c>
    </row>
    <row r="463" spans="1:18" ht="20.100000000000001" hidden="1" customHeight="1" x14ac:dyDescent="0.25">
      <c r="A463" s="38" t="s">
        <v>2068</v>
      </c>
      <c r="B463" s="38" t="s">
        <v>650</v>
      </c>
      <c r="C463" s="38">
        <v>17</v>
      </c>
      <c r="D463" s="39" t="str">
        <f t="shared" si="127"/>
        <v>PS-10A-GK1</v>
      </c>
      <c r="E463" s="48" t="str">
        <f t="shared" si="128"/>
        <v>Poste de Sectionnement n°10A GK1</v>
      </c>
      <c r="F463" s="19">
        <v>25934</v>
      </c>
      <c r="G463" s="19">
        <v>28491</v>
      </c>
      <c r="H463" s="41" t="s">
        <v>20</v>
      </c>
      <c r="I463" s="41">
        <v>1</v>
      </c>
      <c r="J463" s="41" t="s">
        <v>3557</v>
      </c>
      <c r="K463" s="41">
        <v>16</v>
      </c>
      <c r="L463" s="41"/>
      <c r="M463" s="41" t="s">
        <v>394</v>
      </c>
      <c r="N463" s="41" t="s">
        <v>2041</v>
      </c>
      <c r="O463" s="43">
        <f t="shared" si="125"/>
        <v>700</v>
      </c>
      <c r="P463" s="43">
        <f t="shared" si="126"/>
        <v>498.209</v>
      </c>
      <c r="Q463" s="41" t="s">
        <v>2077</v>
      </c>
      <c r="R463" s="48" t="str">
        <f t="shared" si="120"/>
        <v>(10A,'PS-10A-GK1','Poste de Sectionnement n°10A GK1','Friday-01-jj','Sunday-01-jj',NULL,1,),</v>
      </c>
    </row>
    <row r="464" spans="1:18" ht="20.100000000000001" hidden="1" customHeight="1" x14ac:dyDescent="0.25">
      <c r="A464" s="38" t="s">
        <v>2067</v>
      </c>
      <c r="B464" s="38" t="s">
        <v>650</v>
      </c>
      <c r="C464" s="38">
        <v>17</v>
      </c>
      <c r="D464" s="39" t="str">
        <f t="shared" si="127"/>
        <v>PS-10B-GK1</v>
      </c>
      <c r="E464" s="48" t="str">
        <f t="shared" si="128"/>
        <v>Poste de Sectionnement n°10B GK1</v>
      </c>
      <c r="F464" s="19">
        <v>25934</v>
      </c>
      <c r="G464" s="19">
        <v>28491</v>
      </c>
      <c r="H464" s="41" t="s">
        <v>20</v>
      </c>
      <c r="I464" s="41">
        <v>1</v>
      </c>
      <c r="J464" s="41" t="s">
        <v>3557</v>
      </c>
      <c r="K464" s="41">
        <v>16</v>
      </c>
      <c r="L464" s="41"/>
      <c r="M464" s="41" t="s">
        <v>394</v>
      </c>
      <c r="N464" s="41" t="s">
        <v>2042</v>
      </c>
      <c r="O464" s="43">
        <f t="shared" si="125"/>
        <v>461</v>
      </c>
      <c r="P464" s="43">
        <f t="shared" si="126"/>
        <v>514.52800000000002</v>
      </c>
      <c r="Q464" s="41" t="s">
        <v>2078</v>
      </c>
      <c r="R464" s="48" t="str">
        <f t="shared" si="120"/>
        <v>(10B,'PS-10B-GK1','Poste de Sectionnement n°10B GK1','Friday-01-jj','Sunday-01-jj',NULL,1,),</v>
      </c>
    </row>
    <row r="465" spans="1:18" ht="20.100000000000001" hidden="1" customHeight="1" x14ac:dyDescent="0.25">
      <c r="A465" s="38">
        <v>11</v>
      </c>
      <c r="B465" s="38" t="s">
        <v>650</v>
      </c>
      <c r="C465" s="38">
        <v>17</v>
      </c>
      <c r="D465" s="39" t="str">
        <f t="shared" si="127"/>
        <v>PS-11-GK1</v>
      </c>
      <c r="E465" s="48" t="str">
        <f t="shared" si="128"/>
        <v>Poste de Sectionnement n°11 GK1</v>
      </c>
      <c r="F465" s="19">
        <v>25934</v>
      </c>
      <c r="G465" s="19">
        <v>28491</v>
      </c>
      <c r="H465" s="41" t="s">
        <v>20</v>
      </c>
      <c r="I465" s="41">
        <v>1</v>
      </c>
      <c r="J465" s="41" t="s">
        <v>3557</v>
      </c>
      <c r="K465" s="41">
        <v>16</v>
      </c>
      <c r="L465" s="41"/>
      <c r="M465" s="41" t="s">
        <v>394</v>
      </c>
      <c r="N465" s="41" t="s">
        <v>2043</v>
      </c>
      <c r="O465" s="43">
        <f t="shared" si="125"/>
        <v>600</v>
      </c>
      <c r="P465" s="43">
        <f t="shared" si="126"/>
        <v>526.34400000000005</v>
      </c>
      <c r="Q465" s="41" t="s">
        <v>2079</v>
      </c>
      <c r="R465" s="48" t="str">
        <f t="shared" si="120"/>
        <v>(11,'PS-11-GK1','Poste de Sectionnement n°11 GK1','Friday-01-jj','Sunday-01-jj',NULL,1,),</v>
      </c>
    </row>
    <row r="466" spans="1:18" ht="20.100000000000001" hidden="1" customHeight="1" x14ac:dyDescent="0.25">
      <c r="A466" s="38" t="s">
        <v>2069</v>
      </c>
      <c r="B466" s="38" t="s">
        <v>650</v>
      </c>
      <c r="C466" s="38">
        <v>17</v>
      </c>
      <c r="D466" s="39" t="str">
        <f t="shared" si="127"/>
        <v>PS-11A-GK1</v>
      </c>
      <c r="E466" s="48" t="str">
        <f t="shared" si="128"/>
        <v>Poste de Sectionnement n°11A GK1</v>
      </c>
      <c r="F466" s="19">
        <v>25934</v>
      </c>
      <c r="G466" s="19">
        <v>28491</v>
      </c>
      <c r="H466" s="41" t="s">
        <v>20</v>
      </c>
      <c r="I466" s="41">
        <v>1</v>
      </c>
      <c r="J466" s="41" t="s">
        <v>3557</v>
      </c>
      <c r="K466" s="41">
        <v>16</v>
      </c>
      <c r="L466" s="41"/>
      <c r="M466" s="41" t="s">
        <v>394</v>
      </c>
      <c r="N466" s="41" t="s">
        <v>2044</v>
      </c>
      <c r="O466" s="43">
        <f t="shared" si="125"/>
        <v>135</v>
      </c>
      <c r="P466" s="43">
        <f t="shared" si="126"/>
        <v>545.51499999999999</v>
      </c>
      <c r="Q466" s="41" t="s">
        <v>2080</v>
      </c>
      <c r="R466" s="48" t="str">
        <f t="shared" si="120"/>
        <v>(11A,'PS-11A-GK1','Poste de Sectionnement n°11A GK1','Friday-01-jj','Sunday-01-jj',NULL,1,),</v>
      </c>
    </row>
    <row r="467" spans="1:18" ht="20.100000000000001" hidden="1" customHeight="1" x14ac:dyDescent="0.25">
      <c r="A467" s="38">
        <v>12</v>
      </c>
      <c r="B467" s="38" t="s">
        <v>650</v>
      </c>
      <c r="C467" s="38">
        <v>17</v>
      </c>
      <c r="D467" s="39" t="str">
        <f t="shared" si="127"/>
        <v>PS-12-GK1</v>
      </c>
      <c r="E467" s="48" t="str">
        <f t="shared" si="128"/>
        <v>Poste de Sectionnement n°12 GK1</v>
      </c>
      <c r="F467" s="19">
        <v>25934</v>
      </c>
      <c r="G467" s="19">
        <v>28491</v>
      </c>
      <c r="H467" s="41" t="s">
        <v>20</v>
      </c>
      <c r="I467" s="41">
        <v>1</v>
      </c>
      <c r="J467" s="41" t="s">
        <v>3557</v>
      </c>
      <c r="K467" s="41">
        <v>16</v>
      </c>
      <c r="L467" s="41"/>
      <c r="M467" s="41" t="s">
        <v>394</v>
      </c>
      <c r="N467" s="41" t="s">
        <v>2045</v>
      </c>
      <c r="O467" s="43">
        <f t="shared" si="125"/>
        <v>149</v>
      </c>
      <c r="P467" s="43">
        <f t="shared" si="126"/>
        <v>554.98099999999999</v>
      </c>
      <c r="Q467" s="41" t="s">
        <v>2081</v>
      </c>
      <c r="R467" s="48" t="str">
        <f t="shared" si="120"/>
        <v>(12,'PS-12-GK1','Poste de Sectionnement n°12 GK1','Friday-01-jj','Sunday-01-jj',NULL,1,),</v>
      </c>
    </row>
    <row r="468" spans="1:18" ht="20.100000000000001" hidden="1" customHeight="1" x14ac:dyDescent="0.25">
      <c r="A468" s="38">
        <v>13</v>
      </c>
      <c r="B468" s="38" t="s">
        <v>650</v>
      </c>
      <c r="C468" s="38">
        <v>17</v>
      </c>
      <c r="D468" s="39" t="str">
        <f t="shared" si="127"/>
        <v>PS-13-GK1</v>
      </c>
      <c r="E468" s="48" t="str">
        <f t="shared" si="128"/>
        <v>Poste de Sectionnement n°13 GK1</v>
      </c>
      <c r="F468" s="19">
        <v>25934</v>
      </c>
      <c r="G468" s="19">
        <v>28491</v>
      </c>
      <c r="H468" s="41" t="s">
        <v>20</v>
      </c>
      <c r="I468" s="41">
        <v>1</v>
      </c>
      <c r="J468" s="41" t="s">
        <v>3557</v>
      </c>
      <c r="K468" s="41">
        <v>16</v>
      </c>
      <c r="L468" s="41"/>
      <c r="M468" s="41" t="s">
        <v>394</v>
      </c>
      <c r="N468" s="41" t="s">
        <v>2046</v>
      </c>
      <c r="O468" s="43">
        <f t="shared" si="125"/>
        <v>196</v>
      </c>
      <c r="P468" s="43">
        <f t="shared" si="126"/>
        <v>565</v>
      </c>
      <c r="Q468" s="41" t="s">
        <v>2082</v>
      </c>
      <c r="R468" s="48" t="str">
        <f t="shared" si="120"/>
        <v>(13,'PS-13-GK1','Poste de Sectionnement n°13 GK1','Friday-01-jj','Sunday-01-jj',NULL,1,),</v>
      </c>
    </row>
    <row r="469" spans="1:18" ht="20.100000000000001" hidden="1" customHeight="1" x14ac:dyDescent="0.25">
      <c r="A469" s="38">
        <v>1</v>
      </c>
      <c r="B469" s="38" t="s">
        <v>650</v>
      </c>
      <c r="C469" s="38">
        <v>17</v>
      </c>
      <c r="D469" s="39" t="str">
        <f t="shared" si="127"/>
        <v>PS-01-GK2</v>
      </c>
      <c r="E469" s="48" t="str">
        <f t="shared" si="128"/>
        <v>Poste de Sectionnement n°01 GK2</v>
      </c>
      <c r="F469" s="19">
        <v>35796</v>
      </c>
      <c r="G469" s="19">
        <v>36892</v>
      </c>
      <c r="H469" s="41" t="s">
        <v>20</v>
      </c>
      <c r="I469" s="41">
        <v>1</v>
      </c>
      <c r="J469" s="41" t="s">
        <v>3557</v>
      </c>
      <c r="K469" s="41">
        <v>16</v>
      </c>
      <c r="L469" s="41"/>
      <c r="M469" s="41" t="s">
        <v>398</v>
      </c>
      <c r="N469" s="41" t="s">
        <v>2047</v>
      </c>
      <c r="O469" s="43">
        <f t="shared" si="125"/>
        <v>780</v>
      </c>
      <c r="P469" s="43">
        <f t="shared" si="126"/>
        <v>27.838000000000001</v>
      </c>
      <c r="Q469" s="41" t="s">
        <v>790</v>
      </c>
      <c r="R469" s="48" t="str">
        <f t="shared" ref="R469:R532" si="129">CONCATENATE("(",A469,",'",D469,"','",E469,"','",TEXT(F469,"aaaa-mm-jj"),"','",TEXT(G469,"aaaa-mm-jj"),"',",H469,",",I469,",",L469,"),")</f>
        <v>(1,'PS-01-GK2','Poste de Sectionnement n°01 GK2','Thursday-01-jj','Monday-01-jj',NULL,1,),</v>
      </c>
    </row>
    <row r="470" spans="1:18" ht="20.100000000000001" hidden="1" customHeight="1" x14ac:dyDescent="0.25">
      <c r="A470" s="38">
        <v>2</v>
      </c>
      <c r="B470" s="38" t="s">
        <v>650</v>
      </c>
      <c r="C470" s="38">
        <v>17</v>
      </c>
      <c r="D470" s="39" t="str">
        <f t="shared" si="127"/>
        <v>PS-02-GK2</v>
      </c>
      <c r="E470" s="48" t="str">
        <f t="shared" si="128"/>
        <v>Poste de Sectionnement n°02 GK2</v>
      </c>
      <c r="F470" s="19">
        <v>35796</v>
      </c>
      <c r="G470" s="19">
        <v>36892</v>
      </c>
      <c r="H470" s="41" t="s">
        <v>20</v>
      </c>
      <c r="I470" s="41">
        <v>1</v>
      </c>
      <c r="J470" s="41" t="s">
        <v>3557</v>
      </c>
      <c r="K470" s="41">
        <v>16</v>
      </c>
      <c r="L470" s="41"/>
      <c r="M470" s="41" t="s">
        <v>398</v>
      </c>
      <c r="N470" s="41" t="s">
        <v>2048</v>
      </c>
      <c r="O470" s="43">
        <f t="shared" si="125"/>
        <v>767</v>
      </c>
      <c r="P470" s="43">
        <f t="shared" si="126"/>
        <v>55.947000000000003</v>
      </c>
      <c r="Q470" s="41" t="s">
        <v>2070</v>
      </c>
      <c r="R470" s="48" t="str">
        <f t="shared" si="129"/>
        <v>(2,'PS-02-GK2','Poste de Sectionnement n°02 GK2','Thursday-01-jj','Monday-01-jj',NULL,1,),</v>
      </c>
    </row>
    <row r="471" spans="1:18" ht="20.100000000000001" hidden="1" customHeight="1" x14ac:dyDescent="0.25">
      <c r="A471" s="38">
        <v>3</v>
      </c>
      <c r="B471" s="38" t="s">
        <v>650</v>
      </c>
      <c r="C471" s="38">
        <v>17</v>
      </c>
      <c r="D471" s="39" t="str">
        <f t="shared" si="127"/>
        <v>PS-03-GK2</v>
      </c>
      <c r="E471" s="48" t="str">
        <f t="shared" si="128"/>
        <v>Poste de Sectionnement n°03 GK2</v>
      </c>
      <c r="F471" s="19">
        <v>35796</v>
      </c>
      <c r="G471" s="19">
        <v>36892</v>
      </c>
      <c r="H471" s="41" t="s">
        <v>20</v>
      </c>
      <c r="I471" s="41">
        <v>1</v>
      </c>
      <c r="J471" s="41" t="s">
        <v>3557</v>
      </c>
      <c r="K471" s="41">
        <v>16</v>
      </c>
      <c r="L471" s="41"/>
      <c r="M471" s="41" t="s">
        <v>398</v>
      </c>
      <c r="N471" s="41" t="s">
        <v>2049</v>
      </c>
      <c r="O471" s="43">
        <f t="shared" si="125"/>
        <v>712</v>
      </c>
      <c r="P471" s="43">
        <f t="shared" si="126"/>
        <v>115.636</v>
      </c>
      <c r="Q471" s="41" t="s">
        <v>2083</v>
      </c>
      <c r="R471" s="48" t="str">
        <f t="shared" si="129"/>
        <v>(3,'PS-03-GK2','Poste de Sectionnement n°03 GK2','Thursday-01-jj','Monday-01-jj',NULL,1,),</v>
      </c>
    </row>
    <row r="472" spans="1:18" ht="20.100000000000001" hidden="1" customHeight="1" x14ac:dyDescent="0.25">
      <c r="A472" s="38">
        <v>4</v>
      </c>
      <c r="B472" s="38" t="s">
        <v>650</v>
      </c>
      <c r="C472" s="38">
        <v>17</v>
      </c>
      <c r="D472" s="39" t="str">
        <f t="shared" si="127"/>
        <v>PS-04-GK2</v>
      </c>
      <c r="E472" s="48" t="str">
        <f t="shared" si="128"/>
        <v>Poste de Sectionnement n°04 GK2</v>
      </c>
      <c r="F472" s="19">
        <v>35796</v>
      </c>
      <c r="G472" s="19">
        <v>36892</v>
      </c>
      <c r="H472" s="41" t="s">
        <v>20</v>
      </c>
      <c r="I472" s="41">
        <v>1</v>
      </c>
      <c r="J472" s="41" t="s">
        <v>3557</v>
      </c>
      <c r="K472" s="41">
        <v>16</v>
      </c>
      <c r="L472" s="41"/>
      <c r="M472" s="41" t="s">
        <v>398</v>
      </c>
      <c r="N472" s="41" t="s">
        <v>2050</v>
      </c>
      <c r="O472" s="43">
        <f t="shared" si="125"/>
        <v>544</v>
      </c>
      <c r="P472" s="43">
        <f t="shared" si="126"/>
        <v>148.86699999999999</v>
      </c>
      <c r="Q472" s="41" t="s">
        <v>2083</v>
      </c>
      <c r="R472" s="48" t="str">
        <f t="shared" si="129"/>
        <v>(4,'PS-04-GK2','Poste de Sectionnement n°04 GK2','Thursday-01-jj','Monday-01-jj',NULL,1,),</v>
      </c>
    </row>
    <row r="473" spans="1:18" ht="20.100000000000001" hidden="1" customHeight="1" x14ac:dyDescent="0.25">
      <c r="A473" s="38">
        <v>5</v>
      </c>
      <c r="B473" s="38" t="s">
        <v>650</v>
      </c>
      <c r="C473" s="38">
        <v>17</v>
      </c>
      <c r="D473" s="39" t="str">
        <f t="shared" si="127"/>
        <v>PS-05-GK2</v>
      </c>
      <c r="E473" s="48" t="str">
        <f t="shared" si="128"/>
        <v>Poste de Sectionnement n°05 GK2</v>
      </c>
      <c r="F473" s="19">
        <v>35796</v>
      </c>
      <c r="G473" s="19">
        <v>36892</v>
      </c>
      <c r="H473" s="41" t="s">
        <v>20</v>
      </c>
      <c r="I473" s="41">
        <v>1</v>
      </c>
      <c r="J473" s="41" t="s">
        <v>3557</v>
      </c>
      <c r="K473" s="41">
        <v>16</v>
      </c>
      <c r="L473" s="41"/>
      <c r="M473" s="41" t="s">
        <v>398</v>
      </c>
      <c r="N473" s="41" t="s">
        <v>2051</v>
      </c>
      <c r="O473" s="43">
        <f t="shared" si="125"/>
        <v>287</v>
      </c>
      <c r="P473" s="43">
        <f t="shared" si="126"/>
        <v>208.93799999999999</v>
      </c>
      <c r="Q473" s="41" t="s">
        <v>2084</v>
      </c>
      <c r="R473" s="48" t="str">
        <f t="shared" si="129"/>
        <v>(5,'PS-05-GK2','Poste de Sectionnement n°05 GK2','Thursday-01-jj','Monday-01-jj',NULL,1,),</v>
      </c>
    </row>
    <row r="474" spans="1:18" ht="20.100000000000001" hidden="1" customHeight="1" x14ac:dyDescent="0.25">
      <c r="A474" s="38">
        <v>6</v>
      </c>
      <c r="B474" s="38" t="s">
        <v>650</v>
      </c>
      <c r="C474" s="38">
        <v>17</v>
      </c>
      <c r="D474" s="39" t="str">
        <f t="shared" si="127"/>
        <v>PS-06-GK2</v>
      </c>
      <c r="E474" s="48" t="str">
        <f t="shared" si="128"/>
        <v>Poste de Sectionnement n°06 GK2</v>
      </c>
      <c r="F474" s="19">
        <v>35796</v>
      </c>
      <c r="G474" s="19">
        <v>36892</v>
      </c>
      <c r="H474" s="41" t="s">
        <v>20</v>
      </c>
      <c r="I474" s="41">
        <v>1</v>
      </c>
      <c r="J474" s="41" t="s">
        <v>3557</v>
      </c>
      <c r="K474" s="41">
        <v>16</v>
      </c>
      <c r="L474" s="41"/>
      <c r="M474" s="41" t="s">
        <v>398</v>
      </c>
      <c r="N474" s="41" t="s">
        <v>2052</v>
      </c>
      <c r="O474" s="43">
        <f t="shared" si="125"/>
        <v>300</v>
      </c>
      <c r="P474" s="43">
        <f t="shared" si="126"/>
        <v>239.13200000000001</v>
      </c>
      <c r="Q474" s="41" t="s">
        <v>2071</v>
      </c>
      <c r="R474" s="48" t="str">
        <f t="shared" si="129"/>
        <v>(6,'PS-06-GK2','Poste de Sectionnement n°06 GK2','Thursday-01-jj','Monday-01-jj',NULL,1,),</v>
      </c>
    </row>
    <row r="475" spans="1:18" ht="20.100000000000001" hidden="1" customHeight="1" x14ac:dyDescent="0.25">
      <c r="A475" s="38">
        <v>7</v>
      </c>
      <c r="B475" s="38" t="s">
        <v>650</v>
      </c>
      <c r="C475" s="38">
        <v>17</v>
      </c>
      <c r="D475" s="39" t="str">
        <f t="shared" si="127"/>
        <v>PS-07-GK2</v>
      </c>
      <c r="E475" s="48" t="str">
        <f t="shared" si="128"/>
        <v>Poste de Sectionnement n°07 GK2</v>
      </c>
      <c r="F475" s="19">
        <v>35796</v>
      </c>
      <c r="G475" s="19">
        <v>36892</v>
      </c>
      <c r="H475" s="41" t="s">
        <v>20</v>
      </c>
      <c r="I475" s="41">
        <v>1</v>
      </c>
      <c r="J475" s="41" t="s">
        <v>3557</v>
      </c>
      <c r="K475" s="41">
        <v>16</v>
      </c>
      <c r="L475" s="41"/>
      <c r="M475" s="41" t="s">
        <v>398</v>
      </c>
      <c r="N475" s="41" t="s">
        <v>2053</v>
      </c>
      <c r="O475" s="43">
        <f t="shared" si="125"/>
        <v>421</v>
      </c>
      <c r="P475" s="43">
        <f t="shared" si="126"/>
        <v>296.78800000000001</v>
      </c>
      <c r="Q475" s="41" t="s">
        <v>2071</v>
      </c>
      <c r="R475" s="48" t="str">
        <f t="shared" si="129"/>
        <v>(7,'PS-07-GK2','Poste de Sectionnement n°07 GK2','Thursday-01-jj','Monday-01-jj',NULL,1,),</v>
      </c>
    </row>
    <row r="476" spans="1:18" ht="20.100000000000001" hidden="1" customHeight="1" x14ac:dyDescent="0.25">
      <c r="A476" s="38">
        <v>8</v>
      </c>
      <c r="B476" s="38" t="s">
        <v>650</v>
      </c>
      <c r="C476" s="38">
        <v>17</v>
      </c>
      <c r="D476" s="39" t="str">
        <f t="shared" si="127"/>
        <v>PS-08-GK2</v>
      </c>
      <c r="E476" s="48" t="str">
        <f t="shared" si="128"/>
        <v>Poste de Sectionnement n°08 GK2</v>
      </c>
      <c r="F476" s="19">
        <v>35796</v>
      </c>
      <c r="G476" s="19">
        <v>36892</v>
      </c>
      <c r="H476" s="41" t="s">
        <v>20</v>
      </c>
      <c r="I476" s="41">
        <v>1</v>
      </c>
      <c r="J476" s="41" t="s">
        <v>3557</v>
      </c>
      <c r="K476" s="41">
        <v>16</v>
      </c>
      <c r="L476" s="41"/>
      <c r="M476" s="41" t="s">
        <v>398</v>
      </c>
      <c r="N476" s="41" t="s">
        <v>2054</v>
      </c>
      <c r="O476" s="43">
        <f t="shared" si="125"/>
        <v>424</v>
      </c>
      <c r="P476" s="43">
        <f t="shared" si="126"/>
        <v>327.61200000000002</v>
      </c>
      <c r="Q476" s="41" t="s">
        <v>943</v>
      </c>
      <c r="R476" s="48" t="str">
        <f t="shared" si="129"/>
        <v>(8,'PS-08-GK2','Poste de Sectionnement n°08 GK2','Thursday-01-jj','Monday-01-jj',NULL,1,),</v>
      </c>
    </row>
    <row r="477" spans="1:18" ht="20.100000000000001" hidden="1" customHeight="1" x14ac:dyDescent="0.25">
      <c r="A477" s="38">
        <v>9</v>
      </c>
      <c r="B477" s="38" t="s">
        <v>650</v>
      </c>
      <c r="C477" s="38">
        <v>17</v>
      </c>
      <c r="D477" s="39" t="str">
        <f t="shared" si="127"/>
        <v>PS-09-GK2</v>
      </c>
      <c r="E477" s="48" t="str">
        <f t="shared" si="128"/>
        <v>Poste de Sectionnement n°09 GK2</v>
      </c>
      <c r="F477" s="19">
        <v>35796</v>
      </c>
      <c r="G477" s="19">
        <v>36892</v>
      </c>
      <c r="H477" s="41" t="s">
        <v>20</v>
      </c>
      <c r="I477" s="41">
        <v>1</v>
      </c>
      <c r="J477" s="41" t="s">
        <v>3557</v>
      </c>
      <c r="K477" s="41">
        <v>16</v>
      </c>
      <c r="L477" s="41"/>
      <c r="M477" s="41" t="s">
        <v>398</v>
      </c>
      <c r="N477" s="41" t="s">
        <v>2055</v>
      </c>
      <c r="O477" s="43">
        <f t="shared" si="125"/>
        <v>697</v>
      </c>
      <c r="P477" s="43">
        <f t="shared" si="126"/>
        <v>375.017</v>
      </c>
      <c r="Q477" s="41" t="s">
        <v>2085</v>
      </c>
      <c r="R477" s="48" t="str">
        <f t="shared" si="129"/>
        <v>(9,'PS-09-GK2','Poste de Sectionnement n°09 GK2','Thursday-01-jj','Monday-01-jj',NULL,1,),</v>
      </c>
    </row>
    <row r="478" spans="1:18" ht="20.100000000000001" hidden="1" customHeight="1" x14ac:dyDescent="0.25">
      <c r="A478" s="38">
        <v>10</v>
      </c>
      <c r="B478" s="38" t="s">
        <v>650</v>
      </c>
      <c r="C478" s="38">
        <v>17</v>
      </c>
      <c r="D478" s="39" t="str">
        <f t="shared" si="127"/>
        <v>PS-10-GK2</v>
      </c>
      <c r="E478" s="48" t="str">
        <f t="shared" si="128"/>
        <v>Poste de Sectionnement n°10 GK2</v>
      </c>
      <c r="F478" s="19">
        <v>35796</v>
      </c>
      <c r="G478" s="19">
        <v>36892</v>
      </c>
      <c r="H478" s="41" t="s">
        <v>20</v>
      </c>
      <c r="I478" s="41">
        <v>1</v>
      </c>
      <c r="J478" s="41" t="s">
        <v>3557</v>
      </c>
      <c r="K478" s="41">
        <v>16</v>
      </c>
      <c r="L478" s="41"/>
      <c r="M478" s="41" t="s">
        <v>398</v>
      </c>
      <c r="N478" s="41" t="s">
        <v>2056</v>
      </c>
      <c r="O478" s="43">
        <f t="shared" si="125"/>
        <v>936</v>
      </c>
      <c r="P478" s="43">
        <f t="shared" si="126"/>
        <v>405.39299999999997</v>
      </c>
      <c r="Q478" s="41" t="s">
        <v>2086</v>
      </c>
      <c r="R478" s="48" t="str">
        <f t="shared" si="129"/>
        <v>(10,'PS-10-GK2','Poste de Sectionnement n°10 GK2','Thursday-01-jj','Monday-01-jj',NULL,1,),</v>
      </c>
    </row>
    <row r="479" spans="1:18" ht="20.100000000000001" hidden="1" customHeight="1" x14ac:dyDescent="0.25">
      <c r="A479" s="38">
        <v>11</v>
      </c>
      <c r="B479" s="38" t="s">
        <v>650</v>
      </c>
      <c r="C479" s="38">
        <v>17</v>
      </c>
      <c r="D479" s="39" t="str">
        <f t="shared" si="127"/>
        <v>PS-11-GK2</v>
      </c>
      <c r="E479" s="48" t="str">
        <f t="shared" si="128"/>
        <v>Poste de Sectionnement n°11 GK2</v>
      </c>
      <c r="F479" s="19">
        <v>35796</v>
      </c>
      <c r="G479" s="19">
        <v>36892</v>
      </c>
      <c r="H479" s="41" t="s">
        <v>20</v>
      </c>
      <c r="I479" s="41">
        <v>1</v>
      </c>
      <c r="J479" s="41" t="s">
        <v>3557</v>
      </c>
      <c r="K479" s="41">
        <v>16</v>
      </c>
      <c r="L479" s="41"/>
      <c r="M479" s="41" t="s">
        <v>398</v>
      </c>
      <c r="N479" s="41" t="s">
        <v>2057</v>
      </c>
      <c r="O479" s="43">
        <f t="shared" si="125"/>
        <v>948</v>
      </c>
      <c r="P479" s="43">
        <f t="shared" si="126"/>
        <v>445.48599999999999</v>
      </c>
      <c r="Q479" s="41" t="s">
        <v>2087</v>
      </c>
      <c r="R479" s="48" t="str">
        <f t="shared" si="129"/>
        <v>(11,'PS-11-GK2','Poste de Sectionnement n°11 GK2','Thursday-01-jj','Monday-01-jj',NULL,1,),</v>
      </c>
    </row>
    <row r="480" spans="1:18" ht="20.100000000000001" hidden="1" customHeight="1" x14ac:dyDescent="0.25">
      <c r="A480" s="38">
        <v>12</v>
      </c>
      <c r="B480" s="38" t="s">
        <v>650</v>
      </c>
      <c r="C480" s="38">
        <v>17</v>
      </c>
      <c r="D480" s="39" t="str">
        <f t="shared" si="127"/>
        <v>PS-12-GK2</v>
      </c>
      <c r="E480" s="48" t="str">
        <f t="shared" si="128"/>
        <v>Poste de Sectionnement n°12 GK2</v>
      </c>
      <c r="F480" s="19">
        <v>35796</v>
      </c>
      <c r="G480" s="19">
        <v>36892</v>
      </c>
      <c r="H480" s="41" t="s">
        <v>20</v>
      </c>
      <c r="I480" s="41">
        <v>1</v>
      </c>
      <c r="J480" s="41" t="s">
        <v>3557</v>
      </c>
      <c r="K480" s="41">
        <v>16</v>
      </c>
      <c r="L480" s="41"/>
      <c r="M480" s="41" t="s">
        <v>398</v>
      </c>
      <c r="N480" s="41" t="s">
        <v>2058</v>
      </c>
      <c r="O480" s="43">
        <f t="shared" si="125"/>
        <v>814</v>
      </c>
      <c r="P480" s="43">
        <f t="shared" si="126"/>
        <v>458.654</v>
      </c>
      <c r="Q480" s="41" t="s">
        <v>2075</v>
      </c>
      <c r="R480" s="48" t="str">
        <f t="shared" si="129"/>
        <v>(12,'PS-12-GK2','Poste de Sectionnement n°12 GK2','Thursday-01-jj','Monday-01-jj',NULL,1,),</v>
      </c>
    </row>
    <row r="481" spans="1:18" ht="20.100000000000001" hidden="1" customHeight="1" x14ac:dyDescent="0.25">
      <c r="A481" s="38">
        <v>13</v>
      </c>
      <c r="B481" s="38" t="s">
        <v>650</v>
      </c>
      <c r="C481" s="38">
        <v>17</v>
      </c>
      <c r="D481" s="39" t="str">
        <f t="shared" si="127"/>
        <v>PS-13-GK2</v>
      </c>
      <c r="E481" s="48" t="str">
        <f t="shared" si="128"/>
        <v>Poste de Sectionnement n°13 GK2</v>
      </c>
      <c r="F481" s="19">
        <v>35796</v>
      </c>
      <c r="G481" s="19">
        <v>36892</v>
      </c>
      <c r="H481" s="41" t="s">
        <v>20</v>
      </c>
      <c r="I481" s="41">
        <v>1</v>
      </c>
      <c r="J481" s="41" t="s">
        <v>3557</v>
      </c>
      <c r="K481" s="41">
        <v>16</v>
      </c>
      <c r="L481" s="41"/>
      <c r="M481" s="41" t="s">
        <v>398</v>
      </c>
      <c r="N481" s="41" t="s">
        <v>2059</v>
      </c>
      <c r="O481" s="43">
        <f t="shared" si="125"/>
        <v>697</v>
      </c>
      <c r="P481" s="43">
        <f t="shared" si="126"/>
        <v>476.40899999999999</v>
      </c>
      <c r="Q481" s="41" t="s">
        <v>2088</v>
      </c>
      <c r="R481" s="48" t="str">
        <f t="shared" si="129"/>
        <v>(13,'PS-13-GK2','Poste de Sectionnement n°13 GK2','Thursday-01-jj','Monday-01-jj',NULL,1,),</v>
      </c>
    </row>
    <row r="482" spans="1:18" ht="20.100000000000001" hidden="1" customHeight="1" x14ac:dyDescent="0.25">
      <c r="A482" s="38">
        <v>14</v>
      </c>
      <c r="B482" s="38" t="s">
        <v>650</v>
      </c>
      <c r="C482" s="38">
        <v>17</v>
      </c>
      <c r="D482" s="39" t="str">
        <f t="shared" si="127"/>
        <v>PS-14-GK2</v>
      </c>
      <c r="E482" s="48" t="str">
        <f t="shared" si="128"/>
        <v>Poste de Sectionnement n°14 GK2</v>
      </c>
      <c r="F482" s="19">
        <v>35796</v>
      </c>
      <c r="G482" s="19">
        <v>36892</v>
      </c>
      <c r="H482" s="41" t="s">
        <v>20</v>
      </c>
      <c r="I482" s="41">
        <v>1</v>
      </c>
      <c r="J482" s="41" t="s">
        <v>3557</v>
      </c>
      <c r="K482" s="41">
        <v>16</v>
      </c>
      <c r="L482" s="41"/>
      <c r="M482" s="41" t="s">
        <v>398</v>
      </c>
      <c r="N482" s="41" t="s">
        <v>2060</v>
      </c>
      <c r="O482" s="43">
        <f t="shared" si="125"/>
        <v>720</v>
      </c>
      <c r="P482" s="43">
        <f t="shared" si="126"/>
        <v>498.91899999999998</v>
      </c>
      <c r="Q482" s="41" t="s">
        <v>2077</v>
      </c>
      <c r="R482" s="48" t="str">
        <f t="shared" si="129"/>
        <v>(14,'PS-14-GK2','Poste de Sectionnement n°14 GK2','Thursday-01-jj','Monday-01-jj',NULL,1,),</v>
      </c>
    </row>
    <row r="483" spans="1:18" ht="20.100000000000001" hidden="1" customHeight="1" x14ac:dyDescent="0.25">
      <c r="A483" s="38">
        <v>15</v>
      </c>
      <c r="B483" s="38" t="s">
        <v>650</v>
      </c>
      <c r="C483" s="38">
        <v>17</v>
      </c>
      <c r="D483" s="39" t="str">
        <f t="shared" si="127"/>
        <v>PS-15-GK2</v>
      </c>
      <c r="E483" s="48" t="str">
        <f t="shared" si="128"/>
        <v>Poste de Sectionnement n°15 GK2</v>
      </c>
      <c r="F483" s="19">
        <v>35796</v>
      </c>
      <c r="G483" s="19">
        <v>36892</v>
      </c>
      <c r="H483" s="41" t="s">
        <v>20</v>
      </c>
      <c r="I483" s="41">
        <v>1</v>
      </c>
      <c r="J483" s="41" t="s">
        <v>3557</v>
      </c>
      <c r="K483" s="41">
        <v>16</v>
      </c>
      <c r="L483" s="41"/>
      <c r="M483" s="41" t="s">
        <v>398</v>
      </c>
      <c r="N483" s="41" t="s">
        <v>2061</v>
      </c>
      <c r="O483" s="43">
        <f t="shared" si="125"/>
        <v>720</v>
      </c>
      <c r="P483" s="43">
        <f t="shared" si="126"/>
        <v>515.07000000000005</v>
      </c>
      <c r="Q483" s="41" t="s">
        <v>2089</v>
      </c>
      <c r="R483" s="48" t="str">
        <f t="shared" si="129"/>
        <v>(15,'PS-15-GK2','Poste de Sectionnement n°15 GK2','Thursday-01-jj','Monday-01-jj',NULL,1,),</v>
      </c>
    </row>
    <row r="484" spans="1:18" ht="20.100000000000001" hidden="1" customHeight="1" x14ac:dyDescent="0.25">
      <c r="A484" s="38">
        <v>16</v>
      </c>
      <c r="B484" s="38" t="s">
        <v>650</v>
      </c>
      <c r="C484" s="38">
        <v>17</v>
      </c>
      <c r="D484" s="39" t="str">
        <f t="shared" si="127"/>
        <v>PS-16-GK2</v>
      </c>
      <c r="E484" s="48" t="str">
        <f t="shared" si="128"/>
        <v>Poste de Sectionnement n°16 GK2</v>
      </c>
      <c r="F484" s="19">
        <v>35796</v>
      </c>
      <c r="G484" s="19">
        <v>36892</v>
      </c>
      <c r="H484" s="41" t="s">
        <v>20</v>
      </c>
      <c r="I484" s="41">
        <v>1</v>
      </c>
      <c r="J484" s="41" t="s">
        <v>3557</v>
      </c>
      <c r="K484" s="41">
        <v>16</v>
      </c>
      <c r="L484" s="41"/>
      <c r="M484" s="41" t="s">
        <v>398</v>
      </c>
      <c r="N484" s="41" t="s">
        <v>2062</v>
      </c>
      <c r="O484" s="43">
        <f t="shared" si="125"/>
        <v>589</v>
      </c>
      <c r="P484" s="43">
        <f t="shared" si="126"/>
        <v>527.14300000000003</v>
      </c>
      <c r="Q484" s="41" t="s">
        <v>2079</v>
      </c>
      <c r="R484" s="48" t="str">
        <f t="shared" si="129"/>
        <v>(16,'PS-16-GK2','Poste de Sectionnement n°16 GK2','Thursday-01-jj','Monday-01-jj',NULL,1,),</v>
      </c>
    </row>
    <row r="485" spans="1:18" ht="20.100000000000001" hidden="1" customHeight="1" x14ac:dyDescent="0.25">
      <c r="A485" s="38">
        <v>17</v>
      </c>
      <c r="B485" s="38" t="s">
        <v>650</v>
      </c>
      <c r="C485" s="38">
        <v>17</v>
      </c>
      <c r="D485" s="39" t="str">
        <f t="shared" si="127"/>
        <v>PS-17-GK2</v>
      </c>
      <c r="E485" s="48" t="str">
        <f t="shared" si="128"/>
        <v>Poste de Sectionnement n°17 GK2</v>
      </c>
      <c r="F485" s="19">
        <v>35796</v>
      </c>
      <c r="G485" s="19">
        <v>36892</v>
      </c>
      <c r="H485" s="41" t="s">
        <v>20</v>
      </c>
      <c r="I485" s="41">
        <v>1</v>
      </c>
      <c r="J485" s="41" t="s">
        <v>3557</v>
      </c>
      <c r="K485" s="41">
        <v>16</v>
      </c>
      <c r="L485" s="41"/>
      <c r="M485" s="41" t="s">
        <v>398</v>
      </c>
      <c r="N485" s="41" t="s">
        <v>2063</v>
      </c>
      <c r="O485" s="43">
        <f t="shared" si="125"/>
        <v>565</v>
      </c>
      <c r="P485" s="43">
        <f t="shared" si="126"/>
        <v>537.66499999999996</v>
      </c>
      <c r="Q485" s="41" t="s">
        <v>2090</v>
      </c>
      <c r="R485" s="48" t="str">
        <f t="shared" si="129"/>
        <v>(17,'PS-17-GK2','Poste de Sectionnement n°17 GK2','Thursday-01-jj','Monday-01-jj',NULL,1,),</v>
      </c>
    </row>
    <row r="486" spans="1:18" ht="20.100000000000001" hidden="1" customHeight="1" x14ac:dyDescent="0.25">
      <c r="A486" s="38">
        <v>18</v>
      </c>
      <c r="B486" s="38" t="s">
        <v>650</v>
      </c>
      <c r="C486" s="38">
        <v>17</v>
      </c>
      <c r="D486" s="39" t="str">
        <f t="shared" si="127"/>
        <v>PS-18-GK2</v>
      </c>
      <c r="E486" s="48" t="str">
        <f t="shared" si="128"/>
        <v>Poste de Sectionnement n°18 GK2</v>
      </c>
      <c r="F486" s="19">
        <v>35796</v>
      </c>
      <c r="G486" s="19">
        <v>36892</v>
      </c>
      <c r="H486" s="41" t="s">
        <v>20</v>
      </c>
      <c r="I486" s="41">
        <v>1</v>
      </c>
      <c r="J486" s="41" t="s">
        <v>3557</v>
      </c>
      <c r="K486" s="41">
        <v>16</v>
      </c>
      <c r="L486" s="41"/>
      <c r="M486" s="41" t="s">
        <v>398</v>
      </c>
      <c r="N486" s="41" t="s">
        <v>2064</v>
      </c>
      <c r="O486" s="43">
        <f t="shared" si="125"/>
        <v>161</v>
      </c>
      <c r="P486" s="43">
        <f t="shared" si="126"/>
        <v>545.45399999999995</v>
      </c>
      <c r="Q486" s="41" t="s">
        <v>2080</v>
      </c>
      <c r="R486" s="48" t="str">
        <f t="shared" si="129"/>
        <v>(18,'PS-18-GK2','Poste de Sectionnement n°18 GK2','Thursday-01-jj','Monday-01-jj',NULL,1,),</v>
      </c>
    </row>
    <row r="487" spans="1:18" ht="20.100000000000001" hidden="1" customHeight="1" x14ac:dyDescent="0.25">
      <c r="A487" s="38">
        <v>19</v>
      </c>
      <c r="B487" s="38" t="s">
        <v>650</v>
      </c>
      <c r="C487" s="38">
        <v>17</v>
      </c>
      <c r="D487" s="39" t="str">
        <f t="shared" si="127"/>
        <v>PS-19-GK2</v>
      </c>
      <c r="E487" s="48" t="str">
        <f t="shared" si="128"/>
        <v>Poste de Sectionnement n°19 GK2</v>
      </c>
      <c r="F487" s="19">
        <v>35796</v>
      </c>
      <c r="G487" s="19">
        <v>36892</v>
      </c>
      <c r="H487" s="41" t="s">
        <v>20</v>
      </c>
      <c r="I487" s="41">
        <v>1</v>
      </c>
      <c r="J487" s="41" t="s">
        <v>3557</v>
      </c>
      <c r="K487" s="41">
        <v>16</v>
      </c>
      <c r="L487" s="41"/>
      <c r="M487" s="41" t="s">
        <v>398</v>
      </c>
      <c r="N487" s="41" t="s">
        <v>2065</v>
      </c>
      <c r="O487" s="43">
        <f t="shared" si="125"/>
        <v>60</v>
      </c>
      <c r="P487" s="43">
        <f t="shared" si="126"/>
        <v>556.62</v>
      </c>
      <c r="Q487" s="41" t="s">
        <v>2081</v>
      </c>
      <c r="R487" s="48" t="str">
        <f t="shared" si="129"/>
        <v>(19,'PS-19-GK2','Poste de Sectionnement n°19 GK2','Thursday-01-jj','Monday-01-jj',NULL,1,),</v>
      </c>
    </row>
    <row r="488" spans="1:18" ht="20.100000000000001" hidden="1" customHeight="1" x14ac:dyDescent="0.25">
      <c r="A488" s="38">
        <v>20</v>
      </c>
      <c r="B488" s="38" t="s">
        <v>650</v>
      </c>
      <c r="C488" s="38">
        <v>17</v>
      </c>
      <c r="D488" s="39" t="str">
        <f t="shared" si="127"/>
        <v>PS-20-GK2</v>
      </c>
      <c r="E488" s="48" t="str">
        <f t="shared" si="128"/>
        <v>Poste de Sectionnement n°20 GK2</v>
      </c>
      <c r="F488" s="19">
        <v>35796</v>
      </c>
      <c r="G488" s="19">
        <v>36892</v>
      </c>
      <c r="H488" s="41" t="s">
        <v>20</v>
      </c>
      <c r="I488" s="41">
        <v>1</v>
      </c>
      <c r="J488" s="41" t="s">
        <v>3557</v>
      </c>
      <c r="K488" s="41">
        <v>16</v>
      </c>
      <c r="L488" s="41"/>
      <c r="M488" s="41" t="s">
        <v>398</v>
      </c>
      <c r="N488" s="41" t="s">
        <v>2066</v>
      </c>
      <c r="O488" s="43">
        <f t="shared" si="125"/>
        <v>231</v>
      </c>
      <c r="P488" s="43">
        <f t="shared" si="126"/>
        <v>565.78099999999995</v>
      </c>
      <c r="Q488" s="41" t="s">
        <v>2082</v>
      </c>
      <c r="R488" s="48" t="str">
        <f t="shared" si="129"/>
        <v>(20,'PS-20-GK2','Poste de Sectionnement n°20 GK2','Thursday-01-jj','Monday-01-jj',NULL,1,),</v>
      </c>
    </row>
    <row r="489" spans="1:18" ht="20.100000000000001" hidden="1" customHeight="1" x14ac:dyDescent="0.25">
      <c r="A489" s="38">
        <v>1</v>
      </c>
      <c r="B489" s="38" t="s">
        <v>655</v>
      </c>
      <c r="C489" s="38">
        <v>18</v>
      </c>
      <c r="D489" s="39" t="str">
        <f t="shared" si="127"/>
        <v>PS-01-GK3</v>
      </c>
      <c r="E489" s="48" t="str">
        <f t="shared" si="128"/>
        <v>Poste de Sectionnement n°01 GK3</v>
      </c>
      <c r="F489" s="19">
        <v>40909</v>
      </c>
      <c r="G489" s="19">
        <v>40909</v>
      </c>
      <c r="H489" s="41" t="s">
        <v>20</v>
      </c>
      <c r="I489" s="41">
        <v>1</v>
      </c>
      <c r="J489" s="41" t="s">
        <v>3557</v>
      </c>
      <c r="K489" s="41">
        <v>16</v>
      </c>
      <c r="L489" s="41"/>
      <c r="M489" s="41" t="s">
        <v>655</v>
      </c>
      <c r="N489" s="41" t="s">
        <v>2110</v>
      </c>
      <c r="O489" s="43">
        <f t="shared" ref="O489:O543" si="130">VALUE(RIGHT(N489,LEN(N489)-SEARCH("/",N489)))</f>
        <v>749.01</v>
      </c>
      <c r="P489" s="43">
        <f t="shared" ref="P489:P543" si="131">VALUE(SUBSTITUTE(LEFT(N489,SEARCH("/",N489)-1),"+",","))</f>
        <v>11.37</v>
      </c>
      <c r="Q489" s="41" t="s">
        <v>2165</v>
      </c>
      <c r="R489" s="48" t="str">
        <f t="shared" si="129"/>
        <v>(1,'PS-01-GK3','Poste de Sectionnement n°01 GK3','Sunday-01-jj','Sunday-01-jj',NULL,1,),</v>
      </c>
    </row>
    <row r="490" spans="1:18" ht="20.100000000000001" hidden="1" customHeight="1" x14ac:dyDescent="0.25">
      <c r="A490" s="38">
        <v>2</v>
      </c>
      <c r="B490" s="38" t="s">
        <v>655</v>
      </c>
      <c r="C490" s="38">
        <v>18</v>
      </c>
      <c r="D490" s="39" t="str">
        <f t="shared" ref="D490:D545" si="132">CONCATENATE("PS-",TEXT(A490,"00"),"-",M490)</f>
        <v>PS-02-GK3</v>
      </c>
      <c r="E490" s="48" t="str">
        <f t="shared" ref="E490:E545" si="133">CONCATENATE("Poste de Sectionnement n°",TEXT(A490,"00")," ",M490)</f>
        <v>Poste de Sectionnement n°02 GK3</v>
      </c>
      <c r="F490" s="19">
        <v>40909</v>
      </c>
      <c r="G490" s="19">
        <v>40909</v>
      </c>
      <c r="H490" s="41" t="s">
        <v>20</v>
      </c>
      <c r="I490" s="41">
        <v>1</v>
      </c>
      <c r="J490" s="41" t="s">
        <v>3557</v>
      </c>
      <c r="K490" s="41">
        <v>16</v>
      </c>
      <c r="L490" s="41"/>
      <c r="M490" s="41" t="s">
        <v>655</v>
      </c>
      <c r="N490" s="41" t="s">
        <v>2111</v>
      </c>
      <c r="O490" s="43">
        <f t="shared" si="130"/>
        <v>785.2</v>
      </c>
      <c r="P490" s="43">
        <f t="shared" si="131"/>
        <v>23.373000000000001</v>
      </c>
      <c r="Q490" s="41" t="s">
        <v>2165</v>
      </c>
      <c r="R490" s="48" t="str">
        <f t="shared" si="129"/>
        <v>(2,'PS-02-GK3','Poste de Sectionnement n°02 GK3','Sunday-01-jj','Sunday-01-jj',NULL,1,),</v>
      </c>
    </row>
    <row r="491" spans="1:18" ht="20.100000000000001" hidden="1" customHeight="1" x14ac:dyDescent="0.25">
      <c r="A491" s="38">
        <v>3</v>
      </c>
      <c r="B491" s="38" t="s">
        <v>655</v>
      </c>
      <c r="C491" s="38">
        <v>18</v>
      </c>
      <c r="D491" s="39" t="str">
        <f t="shared" si="132"/>
        <v>PS-03-GK3</v>
      </c>
      <c r="E491" s="48" t="str">
        <f t="shared" si="133"/>
        <v>Poste de Sectionnement n°03 GK3</v>
      </c>
      <c r="F491" s="19">
        <v>40909</v>
      </c>
      <c r="G491" s="19">
        <v>40909</v>
      </c>
      <c r="H491" s="41" t="s">
        <v>20</v>
      </c>
      <c r="I491" s="41">
        <v>1</v>
      </c>
      <c r="J491" s="41" t="s">
        <v>3557</v>
      </c>
      <c r="K491" s="41">
        <v>16</v>
      </c>
      <c r="L491" s="41"/>
      <c r="M491" s="41" t="s">
        <v>655</v>
      </c>
      <c r="N491" s="41" t="s">
        <v>2112</v>
      </c>
      <c r="O491" s="43">
        <f t="shared" si="130"/>
        <v>698.2</v>
      </c>
      <c r="P491" s="43">
        <f t="shared" si="131"/>
        <v>44.05</v>
      </c>
      <c r="Q491" s="41" t="s">
        <v>2070</v>
      </c>
      <c r="R491" s="48" t="str">
        <f t="shared" si="129"/>
        <v>(3,'PS-03-GK3','Poste de Sectionnement n°03 GK3','Sunday-01-jj','Sunday-01-jj',NULL,1,),</v>
      </c>
    </row>
    <row r="492" spans="1:18" ht="20.100000000000001" hidden="1" customHeight="1" x14ac:dyDescent="0.25">
      <c r="A492" s="38">
        <v>4</v>
      </c>
      <c r="B492" s="38" t="s">
        <v>655</v>
      </c>
      <c r="C492" s="38">
        <v>18</v>
      </c>
      <c r="D492" s="39" t="str">
        <f t="shared" si="132"/>
        <v>PS-04-GK3</v>
      </c>
      <c r="E492" s="48" t="str">
        <f t="shared" si="133"/>
        <v>Poste de Sectionnement n°04 GK3</v>
      </c>
      <c r="F492" s="19">
        <v>40909</v>
      </c>
      <c r="G492" s="19">
        <v>40909</v>
      </c>
      <c r="H492" s="41" t="s">
        <v>20</v>
      </c>
      <c r="I492" s="41">
        <v>1</v>
      </c>
      <c r="J492" s="41" t="s">
        <v>3557</v>
      </c>
      <c r="K492" s="41">
        <v>16</v>
      </c>
      <c r="L492" s="41"/>
      <c r="M492" s="41" t="s">
        <v>655</v>
      </c>
      <c r="N492" s="41" t="s">
        <v>2113</v>
      </c>
      <c r="O492" s="43">
        <f t="shared" si="130"/>
        <v>729.3</v>
      </c>
      <c r="P492" s="43">
        <f t="shared" si="131"/>
        <v>63.195999999999998</v>
      </c>
      <c r="Q492" s="41" t="s">
        <v>2070</v>
      </c>
      <c r="R492" s="48" t="str">
        <f t="shared" si="129"/>
        <v>(4,'PS-04-GK3','Poste de Sectionnement n°04 GK3','Sunday-01-jj','Sunday-01-jj',NULL,1,),</v>
      </c>
    </row>
    <row r="493" spans="1:18" ht="20.100000000000001" hidden="1" customHeight="1" x14ac:dyDescent="0.25">
      <c r="A493" s="38">
        <v>5</v>
      </c>
      <c r="B493" s="38" t="s">
        <v>655</v>
      </c>
      <c r="C493" s="38">
        <v>18</v>
      </c>
      <c r="D493" s="39" t="str">
        <f t="shared" si="132"/>
        <v>PS-05-GK3</v>
      </c>
      <c r="E493" s="48" t="str">
        <f t="shared" si="133"/>
        <v>Poste de Sectionnement n°05 GK3</v>
      </c>
      <c r="F493" s="19">
        <v>40909</v>
      </c>
      <c r="G493" s="19">
        <v>40909</v>
      </c>
      <c r="H493" s="41" t="s">
        <v>20</v>
      </c>
      <c r="I493" s="41">
        <v>1</v>
      </c>
      <c r="J493" s="41" t="s">
        <v>3557</v>
      </c>
      <c r="K493" s="41">
        <v>16</v>
      </c>
      <c r="L493" s="41"/>
      <c r="M493" s="41" t="s">
        <v>655</v>
      </c>
      <c r="N493" s="41" t="s">
        <v>2114</v>
      </c>
      <c r="O493" s="43">
        <f t="shared" si="130"/>
        <v>712.1</v>
      </c>
      <c r="P493" s="43">
        <f t="shared" si="131"/>
        <v>97.795000000000002</v>
      </c>
      <c r="Q493" s="41" t="s">
        <v>2166</v>
      </c>
      <c r="R493" s="48" t="str">
        <f t="shared" si="129"/>
        <v>(5,'PS-05-GK3','Poste de Sectionnement n°05 GK3','Sunday-01-jj','Sunday-01-jj',NULL,1,),</v>
      </c>
    </row>
    <row r="494" spans="1:18" ht="20.100000000000001" hidden="1" customHeight="1" x14ac:dyDescent="0.25">
      <c r="A494" s="38">
        <v>6</v>
      </c>
      <c r="B494" s="38" t="s">
        <v>655</v>
      </c>
      <c r="C494" s="38">
        <v>18</v>
      </c>
      <c r="D494" s="39" t="str">
        <f t="shared" si="132"/>
        <v>PS-06-GK3</v>
      </c>
      <c r="E494" s="48" t="str">
        <f t="shared" si="133"/>
        <v>Poste de Sectionnement n°06 GK3</v>
      </c>
      <c r="F494" s="19">
        <v>40909</v>
      </c>
      <c r="G494" s="19">
        <v>40909</v>
      </c>
      <c r="H494" s="41" t="s">
        <v>20</v>
      </c>
      <c r="I494" s="41">
        <v>1</v>
      </c>
      <c r="J494" s="41" t="s">
        <v>3557</v>
      </c>
      <c r="K494" s="41">
        <v>16</v>
      </c>
      <c r="L494" s="41"/>
      <c r="M494" s="41" t="s">
        <v>655</v>
      </c>
      <c r="N494" s="41" t="s">
        <v>2115</v>
      </c>
      <c r="O494" s="43">
        <f t="shared" si="130"/>
        <v>714.01</v>
      </c>
      <c r="P494" s="43">
        <f t="shared" si="131"/>
        <v>114.9</v>
      </c>
      <c r="Q494" s="41" t="s">
        <v>2166</v>
      </c>
      <c r="R494" s="48" t="str">
        <f t="shared" si="129"/>
        <v>(6,'PS-06-GK3','Poste de Sectionnement n°06 GK3','Sunday-01-jj','Sunday-01-jj',NULL,1,),</v>
      </c>
    </row>
    <row r="495" spans="1:18" ht="20.100000000000001" hidden="1" customHeight="1" x14ac:dyDescent="0.25">
      <c r="A495" s="38">
        <v>7</v>
      </c>
      <c r="B495" s="38" t="s">
        <v>655</v>
      </c>
      <c r="C495" s="38">
        <v>18</v>
      </c>
      <c r="D495" s="39" t="str">
        <f t="shared" si="132"/>
        <v>PS-07-GK3</v>
      </c>
      <c r="E495" s="48" t="str">
        <f t="shared" si="133"/>
        <v>Poste de Sectionnement n°07 GK3</v>
      </c>
      <c r="F495" s="19">
        <v>40909</v>
      </c>
      <c r="G495" s="19">
        <v>40909</v>
      </c>
      <c r="H495" s="41" t="s">
        <v>20</v>
      </c>
      <c r="I495" s="41">
        <v>1</v>
      </c>
      <c r="J495" s="41" t="s">
        <v>3557</v>
      </c>
      <c r="K495" s="41">
        <v>16</v>
      </c>
      <c r="L495" s="41"/>
      <c r="M495" s="41" t="s">
        <v>655</v>
      </c>
      <c r="N495" s="41" t="s">
        <v>2116</v>
      </c>
      <c r="O495" s="43">
        <f t="shared" si="130"/>
        <v>644.73</v>
      </c>
      <c r="P495" s="43">
        <f t="shared" si="131"/>
        <v>133.07599999999999</v>
      </c>
      <c r="Q495" s="41" t="s">
        <v>2167</v>
      </c>
      <c r="R495" s="48" t="str">
        <f t="shared" si="129"/>
        <v>(7,'PS-07-GK3','Poste de Sectionnement n°07 GK3','Sunday-01-jj','Sunday-01-jj',NULL,1,),</v>
      </c>
    </row>
    <row r="496" spans="1:18" ht="20.100000000000001" hidden="1" customHeight="1" x14ac:dyDescent="0.25">
      <c r="A496" s="38">
        <v>8</v>
      </c>
      <c r="B496" s="38" t="s">
        <v>655</v>
      </c>
      <c r="C496" s="38">
        <v>18</v>
      </c>
      <c r="D496" s="39" t="str">
        <f t="shared" si="132"/>
        <v>PS-08-GK3</v>
      </c>
      <c r="E496" s="48" t="str">
        <f t="shared" si="133"/>
        <v>Poste de Sectionnement n°08 GK3</v>
      </c>
      <c r="F496" s="19">
        <v>40909</v>
      </c>
      <c r="G496" s="19">
        <v>40909</v>
      </c>
      <c r="H496" s="41" t="s">
        <v>20</v>
      </c>
      <c r="I496" s="41">
        <v>1</v>
      </c>
      <c r="J496" s="41" t="s">
        <v>3557</v>
      </c>
      <c r="K496" s="41">
        <v>16</v>
      </c>
      <c r="L496" s="41"/>
      <c r="M496" s="41" t="s">
        <v>655</v>
      </c>
      <c r="N496" s="41" t="s">
        <v>2117</v>
      </c>
      <c r="O496" s="43">
        <f t="shared" si="130"/>
        <v>547.62</v>
      </c>
      <c r="P496" s="43">
        <f t="shared" si="131"/>
        <v>148.42099999999999</v>
      </c>
      <c r="Q496" s="41" t="s">
        <v>2167</v>
      </c>
      <c r="R496" s="48" t="str">
        <f t="shared" si="129"/>
        <v>(8,'PS-08-GK3','Poste de Sectionnement n°08 GK3','Sunday-01-jj','Sunday-01-jj',NULL,1,),</v>
      </c>
    </row>
    <row r="497" spans="1:18" ht="20.100000000000001" hidden="1" customHeight="1" x14ac:dyDescent="0.25">
      <c r="A497" s="38">
        <v>9</v>
      </c>
      <c r="B497" s="38" t="s">
        <v>655</v>
      </c>
      <c r="C497" s="38">
        <v>18</v>
      </c>
      <c r="D497" s="39" t="str">
        <f t="shared" si="132"/>
        <v>PS-09-GK3</v>
      </c>
      <c r="E497" s="48" t="str">
        <f t="shared" si="133"/>
        <v>Poste de Sectionnement n°09 GK3</v>
      </c>
      <c r="F497" s="19">
        <v>40909</v>
      </c>
      <c r="G497" s="19">
        <v>40909</v>
      </c>
      <c r="H497" s="41" t="s">
        <v>20</v>
      </c>
      <c r="I497" s="41">
        <v>1</v>
      </c>
      <c r="J497" s="41" t="s">
        <v>3557</v>
      </c>
      <c r="K497" s="41">
        <v>16</v>
      </c>
      <c r="L497" s="41"/>
      <c r="M497" s="41" t="s">
        <v>655</v>
      </c>
      <c r="N497" s="41" t="s">
        <v>2118</v>
      </c>
      <c r="O497" s="43">
        <f t="shared" si="130"/>
        <v>452.57</v>
      </c>
      <c r="P497" s="43">
        <f t="shared" si="131"/>
        <v>166.578</v>
      </c>
      <c r="Q497" s="41" t="s">
        <v>2168</v>
      </c>
      <c r="R497" s="48" t="str">
        <f t="shared" si="129"/>
        <v>(9,'PS-09-GK3','Poste de Sectionnement n°09 GK3','Sunday-01-jj','Sunday-01-jj',NULL,1,),</v>
      </c>
    </row>
    <row r="498" spans="1:18" ht="20.100000000000001" hidden="1" customHeight="1" x14ac:dyDescent="0.25">
      <c r="A498" s="38">
        <v>10</v>
      </c>
      <c r="B498" s="38" t="s">
        <v>655</v>
      </c>
      <c r="C498" s="38">
        <v>18</v>
      </c>
      <c r="D498" s="39" t="str">
        <f t="shared" si="132"/>
        <v>PS-10-GK3</v>
      </c>
      <c r="E498" s="48" t="str">
        <f t="shared" si="133"/>
        <v>Poste de Sectionnement n°10 GK3</v>
      </c>
      <c r="F498" s="19">
        <v>40909</v>
      </c>
      <c r="G498" s="19">
        <v>40909</v>
      </c>
      <c r="H498" s="41" t="s">
        <v>20</v>
      </c>
      <c r="I498" s="41">
        <v>1</v>
      </c>
      <c r="J498" s="41" t="s">
        <v>3557</v>
      </c>
      <c r="K498" s="41">
        <v>16</v>
      </c>
      <c r="L498" s="41"/>
      <c r="M498" s="41" t="s">
        <v>655</v>
      </c>
      <c r="N498" s="41" t="s">
        <v>2119</v>
      </c>
      <c r="O498" s="43">
        <f t="shared" si="130"/>
        <v>321.83</v>
      </c>
      <c r="P498" s="43">
        <f t="shared" si="131"/>
        <v>195.506</v>
      </c>
      <c r="Q498" s="41" t="s">
        <v>2168</v>
      </c>
      <c r="R498" s="48" t="str">
        <f t="shared" si="129"/>
        <v>(10,'PS-10-GK3','Poste de Sectionnement n°10 GK3','Sunday-01-jj','Sunday-01-jj',NULL,1,),</v>
      </c>
    </row>
    <row r="499" spans="1:18" ht="20.100000000000001" hidden="1" customHeight="1" x14ac:dyDescent="0.25">
      <c r="A499" s="38">
        <v>11</v>
      </c>
      <c r="B499" s="38" t="s">
        <v>655</v>
      </c>
      <c r="C499" s="38">
        <v>18</v>
      </c>
      <c r="D499" s="39" t="str">
        <f t="shared" si="132"/>
        <v>PS-11-GK3</v>
      </c>
      <c r="E499" s="48" t="str">
        <f t="shared" si="133"/>
        <v>Poste de Sectionnement n°11 GK3</v>
      </c>
      <c r="F499" s="19">
        <v>40909</v>
      </c>
      <c r="G499" s="19">
        <v>40909</v>
      </c>
      <c r="H499" s="41" t="s">
        <v>20</v>
      </c>
      <c r="I499" s="41">
        <v>1</v>
      </c>
      <c r="J499" s="41" t="s">
        <v>3557</v>
      </c>
      <c r="K499" s="41">
        <v>16</v>
      </c>
      <c r="L499" s="41"/>
      <c r="M499" s="41" t="s">
        <v>655</v>
      </c>
      <c r="N499" s="41" t="s">
        <v>2120</v>
      </c>
      <c r="O499" s="43">
        <f t="shared" si="130"/>
        <v>279.07</v>
      </c>
      <c r="P499" s="43">
        <f t="shared" si="131"/>
        <v>211.7</v>
      </c>
      <c r="Q499" s="41" t="s">
        <v>2169</v>
      </c>
      <c r="R499" s="48" t="str">
        <f t="shared" si="129"/>
        <v>(11,'PS-11-GK3','Poste de Sectionnement n°11 GK3','Sunday-01-jj','Sunday-01-jj',NULL,1,),</v>
      </c>
    </row>
    <row r="500" spans="1:18" ht="20.100000000000001" hidden="1" customHeight="1" x14ac:dyDescent="0.25">
      <c r="A500" s="38">
        <v>12</v>
      </c>
      <c r="B500" s="38" t="s">
        <v>655</v>
      </c>
      <c r="C500" s="38">
        <v>18</v>
      </c>
      <c r="D500" s="39" t="str">
        <f t="shared" si="132"/>
        <v>PS-12-GK3</v>
      </c>
      <c r="E500" s="48" t="str">
        <f t="shared" si="133"/>
        <v>Poste de Sectionnement n°12 GK3</v>
      </c>
      <c r="F500" s="19">
        <v>40909</v>
      </c>
      <c r="G500" s="19">
        <v>40909</v>
      </c>
      <c r="H500" s="41" t="s">
        <v>20</v>
      </c>
      <c r="I500" s="41">
        <v>1</v>
      </c>
      <c r="J500" s="41" t="s">
        <v>3557</v>
      </c>
      <c r="K500" s="41">
        <v>16</v>
      </c>
      <c r="L500" s="41"/>
      <c r="M500" s="41" t="s">
        <v>655</v>
      </c>
      <c r="N500" s="41" t="s">
        <v>2121</v>
      </c>
      <c r="O500" s="43">
        <f t="shared" si="130"/>
        <v>274.75</v>
      </c>
      <c r="P500" s="43">
        <f t="shared" si="131"/>
        <v>231.30600000000001</v>
      </c>
      <c r="Q500" s="41" t="s">
        <v>2071</v>
      </c>
      <c r="R500" s="48" t="str">
        <f t="shared" si="129"/>
        <v>(12,'PS-12-GK3','Poste de Sectionnement n°12 GK3','Sunday-01-jj','Sunday-01-jj',NULL,1,),</v>
      </c>
    </row>
    <row r="501" spans="1:18" ht="20.100000000000001" hidden="1" customHeight="1" x14ac:dyDescent="0.25">
      <c r="A501" s="38">
        <v>13</v>
      </c>
      <c r="B501" s="38" t="s">
        <v>655</v>
      </c>
      <c r="C501" s="38">
        <v>18</v>
      </c>
      <c r="D501" s="39" t="str">
        <f t="shared" si="132"/>
        <v>PS-13-GK3</v>
      </c>
      <c r="E501" s="48" t="str">
        <f t="shared" si="133"/>
        <v>Poste de Sectionnement n°13 GK3</v>
      </c>
      <c r="F501" s="19">
        <v>40909</v>
      </c>
      <c r="G501" s="19">
        <v>40909</v>
      </c>
      <c r="H501" s="41" t="s">
        <v>20</v>
      </c>
      <c r="I501" s="41">
        <v>1</v>
      </c>
      <c r="J501" s="41" t="s">
        <v>3557</v>
      </c>
      <c r="K501" s="41">
        <v>16</v>
      </c>
      <c r="L501" s="41"/>
      <c r="M501" s="41" t="s">
        <v>655</v>
      </c>
      <c r="N501" s="41" t="s">
        <v>2122</v>
      </c>
      <c r="O501" s="43">
        <f t="shared" si="130"/>
        <v>272.11</v>
      </c>
      <c r="P501" s="43">
        <f t="shared" si="131"/>
        <v>250.726</v>
      </c>
      <c r="Q501" s="41" t="s">
        <v>2071</v>
      </c>
      <c r="R501" s="48" t="str">
        <f t="shared" si="129"/>
        <v>(13,'PS-13-GK3','Poste de Sectionnement n°13 GK3','Sunday-01-jj','Sunday-01-jj',NULL,1,),</v>
      </c>
    </row>
    <row r="502" spans="1:18" ht="20.100000000000001" hidden="1" customHeight="1" x14ac:dyDescent="0.25">
      <c r="A502" s="38">
        <v>14</v>
      </c>
      <c r="B502" s="38" t="s">
        <v>655</v>
      </c>
      <c r="C502" s="38">
        <v>18</v>
      </c>
      <c r="D502" s="39" t="str">
        <f t="shared" si="132"/>
        <v>PS-14-GK3</v>
      </c>
      <c r="E502" s="48" t="str">
        <f t="shared" si="133"/>
        <v>Poste de Sectionnement n°14 GK3</v>
      </c>
      <c r="F502" s="19">
        <v>40909</v>
      </c>
      <c r="G502" s="19">
        <v>40909</v>
      </c>
      <c r="H502" s="41" t="s">
        <v>20</v>
      </c>
      <c r="I502" s="41">
        <v>1</v>
      </c>
      <c r="J502" s="41" t="s">
        <v>3557</v>
      </c>
      <c r="K502" s="41">
        <v>16</v>
      </c>
      <c r="L502" s="41"/>
      <c r="M502" s="41" t="s">
        <v>655</v>
      </c>
      <c r="N502" s="41" t="s">
        <v>2123</v>
      </c>
      <c r="O502" s="43">
        <f t="shared" si="130"/>
        <v>325.39999999999998</v>
      </c>
      <c r="P502" s="43">
        <f t="shared" si="131"/>
        <v>284.16000000000003</v>
      </c>
      <c r="Q502" s="41" t="s">
        <v>941</v>
      </c>
      <c r="R502" s="48" t="str">
        <f t="shared" si="129"/>
        <v>(14,'PS-14-GK3','Poste de Sectionnement n°14 GK3','Sunday-01-jj','Sunday-01-jj',NULL,1,),</v>
      </c>
    </row>
    <row r="503" spans="1:18" ht="20.100000000000001" hidden="1" customHeight="1" x14ac:dyDescent="0.25">
      <c r="A503" s="38">
        <v>15</v>
      </c>
      <c r="B503" s="38" t="s">
        <v>655</v>
      </c>
      <c r="C503" s="38">
        <v>18</v>
      </c>
      <c r="D503" s="39" t="str">
        <f t="shared" si="132"/>
        <v>PS-15-GK3</v>
      </c>
      <c r="E503" s="48" t="str">
        <f t="shared" si="133"/>
        <v>Poste de Sectionnement n°15 GK3</v>
      </c>
      <c r="F503" s="19">
        <v>40909</v>
      </c>
      <c r="G503" s="19">
        <v>40909</v>
      </c>
      <c r="H503" s="41" t="s">
        <v>20</v>
      </c>
      <c r="I503" s="41">
        <v>1</v>
      </c>
      <c r="J503" s="41" t="s">
        <v>3557</v>
      </c>
      <c r="K503" s="41">
        <v>16</v>
      </c>
      <c r="L503" s="41"/>
      <c r="M503" s="41" t="s">
        <v>655</v>
      </c>
      <c r="N503" s="41" t="s">
        <v>2124</v>
      </c>
      <c r="O503" s="43">
        <f t="shared" si="130"/>
        <v>384.04</v>
      </c>
      <c r="P503" s="43">
        <f t="shared" si="131"/>
        <v>303.27</v>
      </c>
      <c r="Q503" s="41" t="s">
        <v>2072</v>
      </c>
      <c r="R503" s="48" t="str">
        <f t="shared" si="129"/>
        <v>(15,'PS-15-GK3','Poste de Sectionnement n°15 GK3','Sunday-01-jj','Sunday-01-jj',NULL,1,),</v>
      </c>
    </row>
    <row r="504" spans="1:18" ht="20.100000000000001" hidden="1" customHeight="1" x14ac:dyDescent="0.25">
      <c r="A504" s="38">
        <v>16</v>
      </c>
      <c r="B504" s="38" t="s">
        <v>655</v>
      </c>
      <c r="C504" s="38">
        <v>18</v>
      </c>
      <c r="D504" s="39" t="str">
        <f t="shared" si="132"/>
        <v>PS-16-GK3</v>
      </c>
      <c r="E504" s="48" t="str">
        <f t="shared" si="133"/>
        <v>Poste de Sectionnement n°16 GK3</v>
      </c>
      <c r="F504" s="19">
        <v>40909</v>
      </c>
      <c r="G504" s="19">
        <v>40909</v>
      </c>
      <c r="H504" s="41" t="s">
        <v>20</v>
      </c>
      <c r="I504" s="41">
        <v>1</v>
      </c>
      <c r="J504" s="41" t="s">
        <v>3557</v>
      </c>
      <c r="K504" s="41">
        <v>16</v>
      </c>
      <c r="L504" s="41"/>
      <c r="M504" s="41" t="s">
        <v>655</v>
      </c>
      <c r="N504" s="41" t="s">
        <v>2125</v>
      </c>
      <c r="O504" s="43">
        <f t="shared" si="130"/>
        <v>433.66</v>
      </c>
      <c r="P504" s="43">
        <f t="shared" si="131"/>
        <v>325.27</v>
      </c>
      <c r="Q504" s="41" t="s">
        <v>2170</v>
      </c>
      <c r="R504" s="48" t="str">
        <f t="shared" si="129"/>
        <v>(16,'PS-16-GK3','Poste de Sectionnement n°16 GK3','Sunday-01-jj','Sunday-01-jj',NULL,1,),</v>
      </c>
    </row>
    <row r="505" spans="1:18" ht="20.100000000000001" hidden="1" customHeight="1" x14ac:dyDescent="0.25">
      <c r="A505" s="38">
        <v>17</v>
      </c>
      <c r="B505" s="38" t="s">
        <v>655</v>
      </c>
      <c r="C505" s="38">
        <v>18</v>
      </c>
      <c r="D505" s="39" t="str">
        <f t="shared" si="132"/>
        <v>PS-17-GK3</v>
      </c>
      <c r="E505" s="48" t="str">
        <f t="shared" si="133"/>
        <v>Poste de Sectionnement n°17 GK3</v>
      </c>
      <c r="F505" s="19">
        <v>40909</v>
      </c>
      <c r="G505" s="19">
        <v>40909</v>
      </c>
      <c r="H505" s="41" t="s">
        <v>20</v>
      </c>
      <c r="I505" s="41">
        <v>1</v>
      </c>
      <c r="J505" s="41" t="s">
        <v>3557</v>
      </c>
      <c r="K505" s="41">
        <v>16</v>
      </c>
      <c r="L505" s="41"/>
      <c r="M505" s="41" t="s">
        <v>655</v>
      </c>
      <c r="N505" s="41" t="s">
        <v>2126</v>
      </c>
      <c r="O505" s="43">
        <f t="shared" si="130"/>
        <v>502.56</v>
      </c>
      <c r="P505" s="43">
        <f t="shared" si="131"/>
        <v>342.95299999999997</v>
      </c>
      <c r="Q505" s="41" t="s">
        <v>2171</v>
      </c>
      <c r="R505" s="48" t="str">
        <f t="shared" si="129"/>
        <v>(17,'PS-17-GK3','Poste de Sectionnement n°17 GK3','Sunday-01-jj','Sunday-01-jj',NULL,1,),</v>
      </c>
    </row>
    <row r="506" spans="1:18" ht="20.100000000000001" hidden="1" customHeight="1" x14ac:dyDescent="0.25">
      <c r="A506" s="38">
        <v>18</v>
      </c>
      <c r="B506" s="38" t="s">
        <v>655</v>
      </c>
      <c r="C506" s="38">
        <v>18</v>
      </c>
      <c r="D506" s="39" t="str">
        <f t="shared" si="132"/>
        <v>PS-18-GK3</v>
      </c>
      <c r="E506" s="48" t="str">
        <f t="shared" si="133"/>
        <v>Poste de Sectionnement n°18 GK3</v>
      </c>
      <c r="F506" s="19">
        <v>40909</v>
      </c>
      <c r="G506" s="19">
        <v>40909</v>
      </c>
      <c r="H506" s="41" t="s">
        <v>20</v>
      </c>
      <c r="I506" s="41">
        <v>1</v>
      </c>
      <c r="J506" s="41" t="s">
        <v>3557</v>
      </c>
      <c r="K506" s="41">
        <v>16</v>
      </c>
      <c r="L506" s="41"/>
      <c r="M506" s="41" t="s">
        <v>655</v>
      </c>
      <c r="N506" s="41" t="s">
        <v>2127</v>
      </c>
      <c r="O506" s="43">
        <f t="shared" si="130"/>
        <v>644.85</v>
      </c>
      <c r="P506" s="43">
        <f t="shared" si="131"/>
        <v>362.88200000000001</v>
      </c>
      <c r="Q506" s="41" t="s">
        <v>2172</v>
      </c>
      <c r="R506" s="48" t="str">
        <f t="shared" si="129"/>
        <v>(18,'PS-18-GK3','Poste de Sectionnement n°18 GK3','Sunday-01-jj','Sunday-01-jj',NULL,1,),</v>
      </c>
    </row>
    <row r="507" spans="1:18" ht="20.100000000000001" hidden="1" customHeight="1" x14ac:dyDescent="0.25">
      <c r="A507" s="38">
        <v>19</v>
      </c>
      <c r="B507" s="38" t="s">
        <v>655</v>
      </c>
      <c r="C507" s="38">
        <v>18</v>
      </c>
      <c r="D507" s="39" t="str">
        <f t="shared" si="132"/>
        <v>PS-19-GK3</v>
      </c>
      <c r="E507" s="48" t="str">
        <f t="shared" si="133"/>
        <v>Poste de Sectionnement n°19 GK3</v>
      </c>
      <c r="F507" s="19">
        <v>40909</v>
      </c>
      <c r="G507" s="19">
        <v>40909</v>
      </c>
      <c r="H507" s="41" t="s">
        <v>20</v>
      </c>
      <c r="I507" s="41">
        <v>1</v>
      </c>
      <c r="J507" s="41" t="s">
        <v>3557</v>
      </c>
      <c r="K507" s="41">
        <v>16</v>
      </c>
      <c r="L507" s="41"/>
      <c r="M507" s="41" t="s">
        <v>655</v>
      </c>
      <c r="N507" s="41" t="s">
        <v>2128</v>
      </c>
      <c r="O507" s="43">
        <f t="shared" si="130"/>
        <v>704.92</v>
      </c>
      <c r="P507" s="43">
        <f t="shared" si="131"/>
        <v>374.37599999999998</v>
      </c>
      <c r="Q507" s="41" t="s">
        <v>2173</v>
      </c>
      <c r="R507" s="48" t="str">
        <f t="shared" si="129"/>
        <v>(19,'PS-19-GK3','Poste de Sectionnement n°19 GK3','Sunday-01-jj','Sunday-01-jj',NULL,1,),</v>
      </c>
    </row>
    <row r="508" spans="1:18" ht="20.100000000000001" hidden="1" customHeight="1" x14ac:dyDescent="0.25">
      <c r="A508" s="38">
        <v>20</v>
      </c>
      <c r="B508" s="38" t="s">
        <v>655</v>
      </c>
      <c r="C508" s="38">
        <v>18</v>
      </c>
      <c r="D508" s="39" t="str">
        <f t="shared" si="132"/>
        <v>PS-20-GK3</v>
      </c>
      <c r="E508" s="48" t="str">
        <f t="shared" si="133"/>
        <v>Poste de Sectionnement n°20 GK3</v>
      </c>
      <c r="F508" s="19">
        <v>40909</v>
      </c>
      <c r="G508" s="19">
        <v>40909</v>
      </c>
      <c r="H508" s="41" t="s">
        <v>20</v>
      </c>
      <c r="I508" s="41">
        <v>1</v>
      </c>
      <c r="J508" s="41" t="s">
        <v>3557</v>
      </c>
      <c r="K508" s="41">
        <v>16</v>
      </c>
      <c r="L508" s="41"/>
      <c r="M508" s="41" t="s">
        <v>655</v>
      </c>
      <c r="N508" s="41" t="s">
        <v>2129</v>
      </c>
      <c r="O508" s="43">
        <f t="shared" si="130"/>
        <v>768.92</v>
      </c>
      <c r="P508" s="43">
        <f t="shared" si="131"/>
        <v>382.35399999999998</v>
      </c>
      <c r="Q508" s="41" t="s">
        <v>2174</v>
      </c>
      <c r="R508" s="48" t="str">
        <f t="shared" si="129"/>
        <v>(20,'PS-20-GK3','Poste de Sectionnement n°20 GK3','Sunday-01-jj','Sunday-01-jj',NULL,1,),</v>
      </c>
    </row>
    <row r="509" spans="1:18" ht="20.100000000000001" hidden="1" customHeight="1" x14ac:dyDescent="0.25">
      <c r="A509" s="38">
        <v>21</v>
      </c>
      <c r="B509" s="38" t="s">
        <v>655</v>
      </c>
      <c r="C509" s="38">
        <v>18</v>
      </c>
      <c r="D509" s="39" t="str">
        <f t="shared" si="132"/>
        <v>PS-21-GK3</v>
      </c>
      <c r="E509" s="48" t="str">
        <f t="shared" si="133"/>
        <v>Poste de Sectionnement n°21 GK3</v>
      </c>
      <c r="F509" s="19">
        <v>40909</v>
      </c>
      <c r="G509" s="19">
        <v>40909</v>
      </c>
      <c r="H509" s="41" t="s">
        <v>20</v>
      </c>
      <c r="I509" s="41">
        <v>1</v>
      </c>
      <c r="J509" s="41" t="s">
        <v>3557</v>
      </c>
      <c r="K509" s="41">
        <v>16</v>
      </c>
      <c r="L509" s="41"/>
      <c r="M509" s="41" t="s">
        <v>655</v>
      </c>
      <c r="N509" s="41" t="s">
        <v>2130</v>
      </c>
      <c r="O509" s="43">
        <f t="shared" si="130"/>
        <v>882.5</v>
      </c>
      <c r="P509" s="43">
        <f t="shared" si="131"/>
        <v>393.33300000000003</v>
      </c>
      <c r="Q509" s="41" t="s">
        <v>2174</v>
      </c>
      <c r="R509" s="48" t="str">
        <f t="shared" si="129"/>
        <v>(21,'PS-21-GK3','Poste de Sectionnement n°21 GK3','Sunday-01-jj','Sunday-01-jj',NULL,1,),</v>
      </c>
    </row>
    <row r="510" spans="1:18" ht="20.100000000000001" hidden="1" customHeight="1" x14ac:dyDescent="0.25">
      <c r="A510" s="38">
        <v>22</v>
      </c>
      <c r="B510" s="38" t="s">
        <v>655</v>
      </c>
      <c r="C510" s="38">
        <v>18</v>
      </c>
      <c r="D510" s="39" t="str">
        <f t="shared" si="132"/>
        <v>PS-22-GK3</v>
      </c>
      <c r="E510" s="48" t="str">
        <f t="shared" si="133"/>
        <v>Poste de Sectionnement n°22 GK3</v>
      </c>
      <c r="F510" s="19">
        <v>40909</v>
      </c>
      <c r="G510" s="19">
        <v>40909</v>
      </c>
      <c r="H510" s="41" t="s">
        <v>20</v>
      </c>
      <c r="I510" s="41">
        <v>1</v>
      </c>
      <c r="J510" s="41" t="s">
        <v>3557</v>
      </c>
      <c r="K510" s="41">
        <v>16</v>
      </c>
      <c r="L510" s="41"/>
      <c r="M510" s="41" t="s">
        <v>655</v>
      </c>
      <c r="N510" s="41" t="s">
        <v>2131</v>
      </c>
      <c r="O510" s="43">
        <f t="shared" si="130"/>
        <v>938.05</v>
      </c>
      <c r="P510" s="43">
        <f t="shared" si="131"/>
        <v>401.94200000000001</v>
      </c>
      <c r="Q510" s="41" t="s">
        <v>2175</v>
      </c>
      <c r="R510" s="48" t="str">
        <f t="shared" si="129"/>
        <v>(22,'PS-22-GK3','Poste de Sectionnement n°22 GK3','Sunday-01-jj','Sunday-01-jj',NULL,1,),</v>
      </c>
    </row>
    <row r="511" spans="1:18" ht="20.100000000000001" hidden="1" customHeight="1" x14ac:dyDescent="0.25">
      <c r="A511" s="38">
        <v>23</v>
      </c>
      <c r="B511" s="38" t="s">
        <v>655</v>
      </c>
      <c r="C511" s="38">
        <v>18</v>
      </c>
      <c r="D511" s="39" t="str">
        <f t="shared" si="132"/>
        <v>PS-23-GK3</v>
      </c>
      <c r="E511" s="48" t="str">
        <f t="shared" si="133"/>
        <v>Poste de Sectionnement n°23 GK3</v>
      </c>
      <c r="F511" s="19">
        <v>40909</v>
      </c>
      <c r="G511" s="19">
        <v>40909</v>
      </c>
      <c r="H511" s="41" t="s">
        <v>20</v>
      </c>
      <c r="I511" s="41">
        <v>1</v>
      </c>
      <c r="J511" s="41" t="s">
        <v>3557</v>
      </c>
      <c r="K511" s="41">
        <v>16</v>
      </c>
      <c r="L511" s="41"/>
      <c r="M511" s="41" t="s">
        <v>655</v>
      </c>
      <c r="N511" s="41" t="s">
        <v>2132</v>
      </c>
      <c r="O511" s="43">
        <f t="shared" si="130"/>
        <v>892.53</v>
      </c>
      <c r="P511" s="43">
        <f t="shared" si="131"/>
        <v>411.93599999999998</v>
      </c>
      <c r="Q511" s="41" t="s">
        <v>2176</v>
      </c>
      <c r="R511" s="48" t="str">
        <f t="shared" si="129"/>
        <v>(23,'PS-23-GK3','Poste de Sectionnement n°23 GK3','Sunday-01-jj','Sunday-01-jj',NULL,1,),</v>
      </c>
    </row>
    <row r="512" spans="1:18" ht="20.100000000000001" hidden="1" customHeight="1" x14ac:dyDescent="0.25">
      <c r="A512" s="38">
        <v>24</v>
      </c>
      <c r="B512" s="38" t="s">
        <v>655</v>
      </c>
      <c r="C512" s="38">
        <v>18</v>
      </c>
      <c r="D512" s="39" t="str">
        <f t="shared" si="132"/>
        <v>PS-24-GK3</v>
      </c>
      <c r="E512" s="48" t="str">
        <f t="shared" si="133"/>
        <v>Poste de Sectionnement n°24 GK3</v>
      </c>
      <c r="F512" s="19">
        <v>40909</v>
      </c>
      <c r="G512" s="19">
        <v>40909</v>
      </c>
      <c r="H512" s="41" t="s">
        <v>20</v>
      </c>
      <c r="I512" s="41">
        <v>1</v>
      </c>
      <c r="J512" s="41" t="s">
        <v>3557</v>
      </c>
      <c r="K512" s="41">
        <v>16</v>
      </c>
      <c r="L512" s="41"/>
      <c r="M512" s="41" t="s">
        <v>655</v>
      </c>
      <c r="N512" s="41" t="s">
        <v>2133</v>
      </c>
      <c r="O512" s="43">
        <f t="shared" si="130"/>
        <v>875.71</v>
      </c>
      <c r="P512" s="43">
        <f t="shared" si="131"/>
        <v>425.48899999999998</v>
      </c>
      <c r="Q512" s="41" t="s">
        <v>2177</v>
      </c>
      <c r="R512" s="48" t="str">
        <f t="shared" si="129"/>
        <v>(24,'PS-24-GK3','Poste de Sectionnement n°24 GK3','Sunday-01-jj','Sunday-01-jj',NULL,1,),</v>
      </c>
    </row>
    <row r="513" spans="1:18" ht="20.100000000000001" hidden="1" customHeight="1" x14ac:dyDescent="0.25">
      <c r="A513" s="38">
        <v>25</v>
      </c>
      <c r="B513" s="38" t="s">
        <v>655</v>
      </c>
      <c r="C513" s="38">
        <v>18</v>
      </c>
      <c r="D513" s="39" t="str">
        <f t="shared" si="132"/>
        <v>PS-25-GK3 Bis</v>
      </c>
      <c r="E513" s="48" t="str">
        <f t="shared" si="133"/>
        <v>Poste de Sectionnement n°25 GK3 Bis</v>
      </c>
      <c r="F513" s="19">
        <v>40909</v>
      </c>
      <c r="G513" s="19">
        <v>40909</v>
      </c>
      <c r="H513" s="41" t="s">
        <v>20</v>
      </c>
      <c r="I513" s="41">
        <v>1</v>
      </c>
      <c r="J513" s="41" t="s">
        <v>3557</v>
      </c>
      <c r="K513" s="41">
        <v>16</v>
      </c>
      <c r="L513" s="41"/>
      <c r="M513" s="41" t="s">
        <v>1002</v>
      </c>
      <c r="N513" s="41" t="s">
        <v>2134</v>
      </c>
      <c r="O513" s="43">
        <f t="shared" si="130"/>
        <v>992.54</v>
      </c>
      <c r="P513" s="43">
        <f t="shared" si="131"/>
        <v>10.590999999999999</v>
      </c>
      <c r="Q513" s="41" t="s">
        <v>2178</v>
      </c>
      <c r="R513" s="48" t="str">
        <f t="shared" si="129"/>
        <v>(25,'PS-25-GK3 Bis','Poste de Sectionnement n°25 GK3 Bis','Sunday-01-jj','Sunday-01-jj',NULL,1,),</v>
      </c>
    </row>
    <row r="514" spans="1:18" ht="20.100000000000001" hidden="1" customHeight="1" x14ac:dyDescent="0.25">
      <c r="A514" s="38">
        <v>26</v>
      </c>
      <c r="B514" s="38" t="s">
        <v>655</v>
      </c>
      <c r="C514" s="38">
        <v>18</v>
      </c>
      <c r="D514" s="39" t="str">
        <f t="shared" si="132"/>
        <v>PS-26-GK3 Bis</v>
      </c>
      <c r="E514" s="48" t="str">
        <f t="shared" si="133"/>
        <v>Poste de Sectionnement n°26 GK3 Bis</v>
      </c>
      <c r="F514" s="19">
        <v>40909</v>
      </c>
      <c r="G514" s="19">
        <v>40909</v>
      </c>
      <c r="H514" s="41" t="s">
        <v>20</v>
      </c>
      <c r="I514" s="41">
        <v>1</v>
      </c>
      <c r="J514" s="41" t="s">
        <v>3557</v>
      </c>
      <c r="K514" s="41">
        <v>16</v>
      </c>
      <c r="L514" s="41"/>
      <c r="M514" s="41" t="s">
        <v>1002</v>
      </c>
      <c r="N514" s="41" t="s">
        <v>2135</v>
      </c>
      <c r="O514" s="43">
        <f t="shared" si="130"/>
        <v>875.25</v>
      </c>
      <c r="P514" s="43">
        <f t="shared" si="131"/>
        <v>20.408999999999999</v>
      </c>
      <c r="Q514" s="41" t="s">
        <v>2179</v>
      </c>
      <c r="R514" s="48" t="str">
        <f t="shared" si="129"/>
        <v>(26,'PS-26-GK3 Bis','Poste de Sectionnement n°26 GK3 Bis','Sunday-01-jj','Sunday-01-jj',NULL,1,),</v>
      </c>
    </row>
    <row r="515" spans="1:18" ht="20.100000000000001" hidden="1" customHeight="1" x14ac:dyDescent="0.25">
      <c r="A515" s="38">
        <v>27</v>
      </c>
      <c r="B515" s="38" t="s">
        <v>655</v>
      </c>
      <c r="C515" s="38">
        <v>18</v>
      </c>
      <c r="D515" s="39" t="str">
        <f t="shared" si="132"/>
        <v>PS-27-GK3 Bis</v>
      </c>
      <c r="E515" s="48" t="str">
        <f t="shared" si="133"/>
        <v>Poste de Sectionnement n°27 GK3 Bis</v>
      </c>
      <c r="F515" s="19">
        <v>40909</v>
      </c>
      <c r="G515" s="19">
        <v>40909</v>
      </c>
      <c r="H515" s="41" t="s">
        <v>20</v>
      </c>
      <c r="I515" s="41">
        <v>1</v>
      </c>
      <c r="J515" s="41" t="s">
        <v>3557</v>
      </c>
      <c r="K515" s="41">
        <v>16</v>
      </c>
      <c r="L515" s="41"/>
      <c r="M515" s="41" t="s">
        <v>1002</v>
      </c>
      <c r="N515" s="41" t="s">
        <v>2136</v>
      </c>
      <c r="O515" s="43">
        <f t="shared" si="130"/>
        <v>851.93</v>
      </c>
      <c r="P515" s="43">
        <f t="shared" si="131"/>
        <v>30.302</v>
      </c>
      <c r="Q515" s="41" t="s">
        <v>2180</v>
      </c>
      <c r="R515" s="48" t="str">
        <f t="shared" si="129"/>
        <v>(27,'PS-27-GK3 Bis','Poste de Sectionnement n°27 GK3 Bis','Sunday-01-jj','Sunday-01-jj',NULL,1,),</v>
      </c>
    </row>
    <row r="516" spans="1:18" ht="20.100000000000001" hidden="1" customHeight="1" x14ac:dyDescent="0.25">
      <c r="A516" s="38">
        <v>28</v>
      </c>
      <c r="B516" s="38" t="s">
        <v>655</v>
      </c>
      <c r="C516" s="38">
        <v>18</v>
      </c>
      <c r="D516" s="39" t="str">
        <f t="shared" si="132"/>
        <v>PS-28-GK3 Bis</v>
      </c>
      <c r="E516" s="48" t="str">
        <f t="shared" si="133"/>
        <v>Poste de Sectionnement n°28 GK3 Bis</v>
      </c>
      <c r="F516" s="19">
        <v>40909</v>
      </c>
      <c r="G516" s="19">
        <v>40909</v>
      </c>
      <c r="H516" s="41" t="s">
        <v>20</v>
      </c>
      <c r="I516" s="41">
        <v>1</v>
      </c>
      <c r="J516" s="41" t="s">
        <v>3557</v>
      </c>
      <c r="K516" s="41">
        <v>16</v>
      </c>
      <c r="L516" s="41"/>
      <c r="M516" s="41" t="s">
        <v>1002</v>
      </c>
      <c r="N516" s="41" t="s">
        <v>2137</v>
      </c>
      <c r="O516" s="43">
        <f t="shared" si="130"/>
        <v>832.07</v>
      </c>
      <c r="P516" s="43">
        <f t="shared" si="131"/>
        <v>40.99</v>
      </c>
      <c r="Q516" s="41" t="s">
        <v>2181</v>
      </c>
      <c r="R516" s="48" t="str">
        <f t="shared" si="129"/>
        <v>(28,'PS-28-GK3 Bis','Poste de Sectionnement n°28 GK3 Bis','Sunday-01-jj','Sunday-01-jj',NULL,1,),</v>
      </c>
    </row>
    <row r="517" spans="1:18" ht="20.100000000000001" hidden="1" customHeight="1" x14ac:dyDescent="0.25">
      <c r="A517" s="38">
        <v>29</v>
      </c>
      <c r="B517" s="38" t="s">
        <v>655</v>
      </c>
      <c r="C517" s="38">
        <v>18</v>
      </c>
      <c r="D517" s="39" t="str">
        <f t="shared" si="132"/>
        <v>PS-29-GK3 Bis</v>
      </c>
      <c r="E517" s="48" t="str">
        <f t="shared" si="133"/>
        <v>Poste de Sectionnement n°29 GK3 Bis</v>
      </c>
      <c r="F517" s="19">
        <v>40909</v>
      </c>
      <c r="G517" s="19">
        <v>40909</v>
      </c>
      <c r="H517" s="41" t="s">
        <v>20</v>
      </c>
      <c r="I517" s="41">
        <v>1</v>
      </c>
      <c r="J517" s="41" t="s">
        <v>3557</v>
      </c>
      <c r="K517" s="41">
        <v>16</v>
      </c>
      <c r="L517" s="41"/>
      <c r="M517" s="41" t="s">
        <v>1002</v>
      </c>
      <c r="N517" s="41" t="s">
        <v>2138</v>
      </c>
      <c r="O517" s="43">
        <f t="shared" si="130"/>
        <v>900.97</v>
      </c>
      <c r="P517" s="43">
        <f t="shared" si="131"/>
        <v>50.301000000000002</v>
      </c>
      <c r="Q517" s="41" t="s">
        <v>2182</v>
      </c>
      <c r="R517" s="48" t="str">
        <f t="shared" si="129"/>
        <v>(29,'PS-29-GK3 Bis','Poste de Sectionnement n°29 GK3 Bis','Sunday-01-jj','Sunday-01-jj',NULL,1,),</v>
      </c>
    </row>
    <row r="518" spans="1:18" ht="20.100000000000001" hidden="1" customHeight="1" x14ac:dyDescent="0.25">
      <c r="A518" s="38">
        <v>30</v>
      </c>
      <c r="B518" s="38" t="s">
        <v>655</v>
      </c>
      <c r="C518" s="38">
        <v>18</v>
      </c>
      <c r="D518" s="39" t="str">
        <f t="shared" si="132"/>
        <v>PS-30-GK3 Bis</v>
      </c>
      <c r="E518" s="48" t="str">
        <f t="shared" si="133"/>
        <v>Poste de Sectionnement n°30 GK3 Bis</v>
      </c>
      <c r="F518" s="19">
        <v>40909</v>
      </c>
      <c r="G518" s="19">
        <v>40909</v>
      </c>
      <c r="H518" s="41" t="s">
        <v>20</v>
      </c>
      <c r="I518" s="41">
        <v>1</v>
      </c>
      <c r="J518" s="41" t="s">
        <v>3557</v>
      </c>
      <c r="K518" s="41">
        <v>16</v>
      </c>
      <c r="L518" s="41"/>
      <c r="M518" s="41" t="s">
        <v>1002</v>
      </c>
      <c r="N518" s="41" t="s">
        <v>2139</v>
      </c>
      <c r="O518" s="43">
        <f t="shared" si="130"/>
        <v>903.18</v>
      </c>
      <c r="P518" s="43">
        <f t="shared" si="131"/>
        <v>59.216000000000001</v>
      </c>
      <c r="Q518" s="41" t="s">
        <v>2183</v>
      </c>
      <c r="R518" s="48" t="str">
        <f t="shared" si="129"/>
        <v>(30,'PS-30-GK3 Bis','Poste de Sectionnement n°30 GK3 Bis','Sunday-01-jj','Sunday-01-jj',NULL,1,),</v>
      </c>
    </row>
    <row r="519" spans="1:18" ht="20.100000000000001" hidden="1" customHeight="1" x14ac:dyDescent="0.25">
      <c r="A519" s="38">
        <v>31</v>
      </c>
      <c r="B519" s="38" t="s">
        <v>655</v>
      </c>
      <c r="C519" s="38">
        <v>18</v>
      </c>
      <c r="D519" s="39" t="str">
        <f t="shared" si="132"/>
        <v>PS-31-GK3 Bis</v>
      </c>
      <c r="E519" s="48" t="str">
        <f t="shared" si="133"/>
        <v>Poste de Sectionnement n°31 GK3 Bis</v>
      </c>
      <c r="F519" s="19">
        <v>40909</v>
      </c>
      <c r="G519" s="19">
        <v>40909</v>
      </c>
      <c r="H519" s="41" t="s">
        <v>20</v>
      </c>
      <c r="I519" s="41">
        <v>1</v>
      </c>
      <c r="J519" s="41" t="s">
        <v>3557</v>
      </c>
      <c r="K519" s="41">
        <v>16</v>
      </c>
      <c r="L519" s="41"/>
      <c r="M519" s="41" t="s">
        <v>1002</v>
      </c>
      <c r="N519" s="41" t="s">
        <v>2140</v>
      </c>
      <c r="O519" s="43">
        <f t="shared" si="130"/>
        <v>731.37</v>
      </c>
      <c r="P519" s="43">
        <f t="shared" si="131"/>
        <v>71.391999999999996</v>
      </c>
      <c r="Q519" s="41" t="s">
        <v>2183</v>
      </c>
      <c r="R519" s="48" t="str">
        <f t="shared" si="129"/>
        <v>(31,'PS-31-GK3 Bis','Poste de Sectionnement n°31 GK3 Bis','Sunday-01-jj','Sunday-01-jj',NULL,1,),</v>
      </c>
    </row>
    <row r="520" spans="1:18" ht="20.100000000000001" hidden="1" customHeight="1" x14ac:dyDescent="0.25">
      <c r="A520" s="38">
        <v>32</v>
      </c>
      <c r="B520" s="38" t="s">
        <v>655</v>
      </c>
      <c r="C520" s="38">
        <v>18</v>
      </c>
      <c r="D520" s="39" t="str">
        <f t="shared" si="132"/>
        <v>PS-32-GK3 Bis</v>
      </c>
      <c r="E520" s="48" t="str">
        <f t="shared" si="133"/>
        <v>Poste de Sectionnement n°32 GK3 Bis</v>
      </c>
      <c r="F520" s="19">
        <v>40909</v>
      </c>
      <c r="G520" s="19">
        <v>40909</v>
      </c>
      <c r="H520" s="41" t="s">
        <v>20</v>
      </c>
      <c r="I520" s="41">
        <v>1</v>
      </c>
      <c r="J520" s="41" t="s">
        <v>3557</v>
      </c>
      <c r="K520" s="41">
        <v>16</v>
      </c>
      <c r="L520" s="41"/>
      <c r="M520" s="41" t="s">
        <v>1002</v>
      </c>
      <c r="N520" s="41" t="s">
        <v>2141</v>
      </c>
      <c r="O520" s="43">
        <f t="shared" si="130"/>
        <v>896.12</v>
      </c>
      <c r="P520" s="43">
        <f t="shared" si="131"/>
        <v>81.590999999999994</v>
      </c>
      <c r="Q520" s="41" t="s">
        <v>2184</v>
      </c>
      <c r="R520" s="48" t="str">
        <f t="shared" si="129"/>
        <v>(32,'PS-32-GK3 Bis','Poste de Sectionnement n°32 GK3 Bis','Sunday-01-jj','Sunday-01-jj',NULL,1,),</v>
      </c>
    </row>
    <row r="521" spans="1:18" ht="20.100000000000001" hidden="1" customHeight="1" x14ac:dyDescent="0.25">
      <c r="A521" s="38">
        <v>33</v>
      </c>
      <c r="B521" s="38" t="s">
        <v>655</v>
      </c>
      <c r="C521" s="38">
        <v>18</v>
      </c>
      <c r="D521" s="39" t="str">
        <f t="shared" si="132"/>
        <v>PS-33-GK3 Bis</v>
      </c>
      <c r="E521" s="48" t="str">
        <f t="shared" si="133"/>
        <v>Poste de Sectionnement n°33 GK3 Bis</v>
      </c>
      <c r="F521" s="19">
        <v>40909</v>
      </c>
      <c r="G521" s="19">
        <v>40909</v>
      </c>
      <c r="H521" s="41" t="s">
        <v>20</v>
      </c>
      <c r="I521" s="41">
        <v>1</v>
      </c>
      <c r="J521" s="41" t="s">
        <v>3557</v>
      </c>
      <c r="K521" s="41">
        <v>16</v>
      </c>
      <c r="L521" s="41"/>
      <c r="M521" s="41" t="s">
        <v>1002</v>
      </c>
      <c r="N521" s="41" t="s">
        <v>2142</v>
      </c>
      <c r="O521" s="43">
        <f t="shared" si="130"/>
        <v>964.08</v>
      </c>
      <c r="P521" s="43">
        <f t="shared" si="131"/>
        <v>91.983000000000004</v>
      </c>
      <c r="Q521" s="41" t="s">
        <v>2185</v>
      </c>
      <c r="R521" s="48" t="str">
        <f t="shared" si="129"/>
        <v>(33,'PS-33-GK3 Bis','Poste de Sectionnement n°33 GK3 Bis','Sunday-01-jj','Sunday-01-jj',NULL,1,),</v>
      </c>
    </row>
    <row r="522" spans="1:18" ht="20.100000000000001" hidden="1" customHeight="1" x14ac:dyDescent="0.25">
      <c r="A522" s="38">
        <v>34</v>
      </c>
      <c r="B522" s="38" t="s">
        <v>655</v>
      </c>
      <c r="C522" s="38">
        <v>18</v>
      </c>
      <c r="D522" s="39" t="str">
        <f t="shared" si="132"/>
        <v>PS-34-GK3 Bis</v>
      </c>
      <c r="E522" s="48" t="str">
        <f t="shared" si="133"/>
        <v>Poste de Sectionnement n°34 GK3 Bis</v>
      </c>
      <c r="F522" s="19">
        <v>40909</v>
      </c>
      <c r="G522" s="19">
        <v>40909</v>
      </c>
      <c r="H522" s="41" t="s">
        <v>20</v>
      </c>
      <c r="I522" s="41">
        <v>1</v>
      </c>
      <c r="J522" s="41" t="s">
        <v>3557</v>
      </c>
      <c r="K522" s="41">
        <v>16</v>
      </c>
      <c r="L522" s="41"/>
      <c r="M522" s="41" t="s">
        <v>1002</v>
      </c>
      <c r="N522" s="41" t="s">
        <v>2143</v>
      </c>
      <c r="O522" s="43">
        <f t="shared" si="130"/>
        <v>832.9</v>
      </c>
      <c r="P522" s="43">
        <f t="shared" si="131"/>
        <v>112.404</v>
      </c>
      <c r="Q522" s="41" t="s">
        <v>2186</v>
      </c>
      <c r="R522" s="48" t="str">
        <f t="shared" si="129"/>
        <v>(34,'PS-34-GK3 Bis','Poste de Sectionnement n°34 GK3 Bis','Sunday-01-jj','Sunday-01-jj',NULL,1,),</v>
      </c>
    </row>
    <row r="523" spans="1:18" ht="20.100000000000001" hidden="1" customHeight="1" x14ac:dyDescent="0.25">
      <c r="A523" s="38">
        <v>35</v>
      </c>
      <c r="B523" s="38" t="s">
        <v>655</v>
      </c>
      <c r="C523" s="38">
        <v>18</v>
      </c>
      <c r="D523" s="39" t="str">
        <f t="shared" si="132"/>
        <v>PS-35-GK3 Bis</v>
      </c>
      <c r="E523" s="48" t="str">
        <f t="shared" si="133"/>
        <v>Poste de Sectionnement n°35 GK3 Bis</v>
      </c>
      <c r="F523" s="19">
        <v>40909</v>
      </c>
      <c r="G523" s="19">
        <v>40909</v>
      </c>
      <c r="H523" s="41" t="s">
        <v>20</v>
      </c>
      <c r="I523" s="41">
        <v>1</v>
      </c>
      <c r="J523" s="41" t="s">
        <v>3557</v>
      </c>
      <c r="K523" s="41">
        <v>16</v>
      </c>
      <c r="L523" s="41"/>
      <c r="M523" s="41" t="s">
        <v>1002</v>
      </c>
      <c r="N523" s="41" t="s">
        <v>2144</v>
      </c>
      <c r="O523" s="43">
        <f t="shared" si="130"/>
        <v>793.85</v>
      </c>
      <c r="P523" s="43">
        <f t="shared" si="131"/>
        <v>123.092</v>
      </c>
      <c r="Q523" s="41" t="s">
        <v>2187</v>
      </c>
      <c r="R523" s="48" t="str">
        <f t="shared" si="129"/>
        <v>(35,'PS-35-GK3 Bis','Poste de Sectionnement n°35 GK3 Bis','Sunday-01-jj','Sunday-01-jj',NULL,1,),</v>
      </c>
    </row>
    <row r="524" spans="1:18" ht="20.100000000000001" hidden="1" customHeight="1" x14ac:dyDescent="0.25">
      <c r="A524" s="38">
        <v>36</v>
      </c>
      <c r="B524" s="38" t="s">
        <v>655</v>
      </c>
      <c r="C524" s="38">
        <v>18</v>
      </c>
      <c r="D524" s="39" t="str">
        <f t="shared" si="132"/>
        <v>PS-36-GK3 Bis</v>
      </c>
      <c r="E524" s="48" t="str">
        <f t="shared" si="133"/>
        <v>Poste de Sectionnement n°36 GK3 Bis</v>
      </c>
      <c r="F524" s="19">
        <v>40909</v>
      </c>
      <c r="G524" s="19">
        <v>40909</v>
      </c>
      <c r="H524" s="41" t="s">
        <v>20</v>
      </c>
      <c r="I524" s="41">
        <v>1</v>
      </c>
      <c r="J524" s="41" t="s">
        <v>3557</v>
      </c>
      <c r="K524" s="41">
        <v>16</v>
      </c>
      <c r="L524" s="41"/>
      <c r="M524" s="41" t="s">
        <v>1002</v>
      </c>
      <c r="N524" s="41" t="s">
        <v>2145</v>
      </c>
      <c r="O524" s="43">
        <f t="shared" si="130"/>
        <v>779.45</v>
      </c>
      <c r="P524" s="43">
        <f t="shared" si="131"/>
        <v>130.82900000000001</v>
      </c>
      <c r="Q524" s="41" t="s">
        <v>2188</v>
      </c>
      <c r="R524" s="48" t="str">
        <f t="shared" si="129"/>
        <v>(36,'PS-36-GK3 Bis','Poste de Sectionnement n°36 GK3 Bis','Sunday-01-jj','Sunday-01-jj',NULL,1,),</v>
      </c>
    </row>
    <row r="525" spans="1:18" ht="20.100000000000001" hidden="1" customHeight="1" x14ac:dyDescent="0.25">
      <c r="A525" s="38">
        <v>37</v>
      </c>
      <c r="B525" s="38" t="s">
        <v>655</v>
      </c>
      <c r="C525" s="38">
        <v>18</v>
      </c>
      <c r="D525" s="39" t="str">
        <f t="shared" si="132"/>
        <v>PS-37-GK3 Bis</v>
      </c>
      <c r="E525" s="48" t="str">
        <f t="shared" si="133"/>
        <v>Poste de Sectionnement n°37 GK3 Bis</v>
      </c>
      <c r="F525" s="19">
        <v>40909</v>
      </c>
      <c r="G525" s="19">
        <v>40909</v>
      </c>
      <c r="H525" s="41" t="s">
        <v>20</v>
      </c>
      <c r="I525" s="41">
        <v>1</v>
      </c>
      <c r="J525" s="41" t="s">
        <v>3557</v>
      </c>
      <c r="K525" s="41">
        <v>16</v>
      </c>
      <c r="L525" s="41"/>
      <c r="M525" s="41" t="s">
        <v>1002</v>
      </c>
      <c r="N525" s="41" t="s">
        <v>2146</v>
      </c>
      <c r="O525" s="43">
        <f t="shared" si="130"/>
        <v>896.85</v>
      </c>
      <c r="P525" s="43">
        <f t="shared" si="131"/>
        <v>142.75299999999999</v>
      </c>
      <c r="Q525" s="41" t="s">
        <v>2188</v>
      </c>
      <c r="R525" s="48" t="str">
        <f t="shared" si="129"/>
        <v>(37,'PS-37-GK3 Bis','Poste de Sectionnement n°37 GK3 Bis','Sunday-01-jj','Sunday-01-jj',NULL,1,),</v>
      </c>
    </row>
    <row r="526" spans="1:18" ht="20.100000000000001" hidden="1" customHeight="1" x14ac:dyDescent="0.25">
      <c r="A526" s="38">
        <v>38</v>
      </c>
      <c r="B526" s="38" t="s">
        <v>655</v>
      </c>
      <c r="C526" s="38">
        <v>18</v>
      </c>
      <c r="D526" s="39" t="str">
        <f t="shared" si="132"/>
        <v>PS-38-GK3 Bis</v>
      </c>
      <c r="E526" s="48" t="str">
        <f t="shared" si="133"/>
        <v>Poste de Sectionnement n°38 GK3 Bis</v>
      </c>
      <c r="F526" s="19">
        <v>40909</v>
      </c>
      <c r="G526" s="19">
        <v>40909</v>
      </c>
      <c r="H526" s="41" t="s">
        <v>20</v>
      </c>
      <c r="I526" s="41">
        <v>1</v>
      </c>
      <c r="J526" s="41" t="s">
        <v>3557</v>
      </c>
      <c r="K526" s="41">
        <v>16</v>
      </c>
      <c r="L526" s="41"/>
      <c r="M526" s="41" t="s">
        <v>1002</v>
      </c>
      <c r="N526" s="41" t="s">
        <v>2147</v>
      </c>
      <c r="O526" s="43">
        <f t="shared" si="130"/>
        <v>732.26</v>
      </c>
      <c r="P526" s="43">
        <f t="shared" si="131"/>
        <v>148.816</v>
      </c>
      <c r="Q526" s="41" t="s">
        <v>2189</v>
      </c>
      <c r="R526" s="48" t="str">
        <f t="shared" si="129"/>
        <v>(38,'PS-38-GK3 Bis','Poste de Sectionnement n°38 GK3 Bis','Sunday-01-jj','Sunday-01-jj',NULL,1,),</v>
      </c>
    </row>
    <row r="527" spans="1:18" ht="20.100000000000001" hidden="1" customHeight="1" x14ac:dyDescent="0.25">
      <c r="A527" s="38">
        <v>39</v>
      </c>
      <c r="B527" s="38" t="s">
        <v>655</v>
      </c>
      <c r="C527" s="38">
        <v>18</v>
      </c>
      <c r="D527" s="39" t="str">
        <f t="shared" si="132"/>
        <v>PS-39-GK3 Bis</v>
      </c>
      <c r="E527" s="48" t="str">
        <f t="shared" si="133"/>
        <v>Poste de Sectionnement n°39 GK3 Bis</v>
      </c>
      <c r="F527" s="19">
        <v>40909</v>
      </c>
      <c r="G527" s="19">
        <v>40909</v>
      </c>
      <c r="H527" s="41" t="s">
        <v>20</v>
      </c>
      <c r="I527" s="41">
        <v>1</v>
      </c>
      <c r="J527" s="41" t="s">
        <v>3557</v>
      </c>
      <c r="K527" s="41">
        <v>16</v>
      </c>
      <c r="L527" s="41"/>
      <c r="M527" s="41" t="s">
        <v>1002</v>
      </c>
      <c r="N527" s="41" t="s">
        <v>2148</v>
      </c>
      <c r="O527" s="43">
        <f t="shared" si="130"/>
        <v>424.24</v>
      </c>
      <c r="P527" s="43">
        <f t="shared" si="131"/>
        <v>159.435</v>
      </c>
      <c r="Q527" s="41" t="s">
        <v>2189</v>
      </c>
      <c r="R527" s="48" t="str">
        <f t="shared" si="129"/>
        <v>(39,'PS-39-GK3 Bis','Poste de Sectionnement n°39 GK3 Bis','Sunday-01-jj','Sunday-01-jj',NULL,1,),</v>
      </c>
    </row>
    <row r="528" spans="1:18" ht="20.100000000000001" hidden="1" customHeight="1" x14ac:dyDescent="0.25">
      <c r="A528" s="38">
        <v>40</v>
      </c>
      <c r="B528" s="38" t="s">
        <v>655</v>
      </c>
      <c r="C528" s="38">
        <v>18</v>
      </c>
      <c r="D528" s="39" t="str">
        <f t="shared" si="132"/>
        <v>PS-40-GK3 Bis</v>
      </c>
      <c r="E528" s="48" t="str">
        <f t="shared" si="133"/>
        <v>Poste de Sectionnement n°40 GK3 Bis</v>
      </c>
      <c r="F528" s="19">
        <v>40909</v>
      </c>
      <c r="G528" s="19">
        <v>40909</v>
      </c>
      <c r="H528" s="41" t="s">
        <v>20</v>
      </c>
      <c r="I528" s="41">
        <v>1</v>
      </c>
      <c r="J528" s="41" t="s">
        <v>3557</v>
      </c>
      <c r="K528" s="41">
        <v>16</v>
      </c>
      <c r="L528" s="41"/>
      <c r="M528" s="41" t="s">
        <v>1002</v>
      </c>
      <c r="N528" s="41" t="s">
        <v>2149</v>
      </c>
      <c r="O528" s="43">
        <f t="shared" si="130"/>
        <v>277.63</v>
      </c>
      <c r="P528" s="43">
        <f t="shared" si="131"/>
        <v>172.64599999999999</v>
      </c>
      <c r="Q528" s="41" t="s">
        <v>2190</v>
      </c>
      <c r="R528" s="48" t="str">
        <f t="shared" si="129"/>
        <v>(40,'PS-40-GK3 Bis','Poste de Sectionnement n°40 GK3 Bis','Sunday-01-jj','Sunday-01-jj',NULL,1,),</v>
      </c>
    </row>
    <row r="529" spans="1:18" ht="20.100000000000001" hidden="1" customHeight="1" x14ac:dyDescent="0.25">
      <c r="A529" s="38">
        <v>41</v>
      </c>
      <c r="B529" s="38" t="s">
        <v>655</v>
      </c>
      <c r="C529" s="38">
        <v>18</v>
      </c>
      <c r="D529" s="39" t="str">
        <f t="shared" si="132"/>
        <v>PS-41-GK3 Bis</v>
      </c>
      <c r="E529" s="48" t="str">
        <f t="shared" si="133"/>
        <v>Poste de Sectionnement n°41 GK3 Bis</v>
      </c>
      <c r="F529" s="19">
        <v>40909</v>
      </c>
      <c r="G529" s="19">
        <v>40909</v>
      </c>
      <c r="H529" s="41" t="s">
        <v>20</v>
      </c>
      <c r="I529" s="41">
        <v>1</v>
      </c>
      <c r="J529" s="41" t="s">
        <v>3557</v>
      </c>
      <c r="K529" s="41">
        <v>16</v>
      </c>
      <c r="L529" s="41"/>
      <c r="M529" s="41" t="s">
        <v>1002</v>
      </c>
      <c r="N529" s="41" t="s">
        <v>2150</v>
      </c>
      <c r="O529" s="43">
        <f t="shared" si="130"/>
        <v>257.16000000000003</v>
      </c>
      <c r="P529" s="43">
        <f t="shared" si="131"/>
        <v>191.33600000000001</v>
      </c>
      <c r="Q529" s="41" t="s">
        <v>2191</v>
      </c>
      <c r="R529" s="48" t="str">
        <f t="shared" si="129"/>
        <v>(41,'PS-41-GK3 Bis','Poste de Sectionnement n°41 GK3 Bis','Sunday-01-jj','Sunday-01-jj',NULL,1,),</v>
      </c>
    </row>
    <row r="530" spans="1:18" ht="20.100000000000001" hidden="1" customHeight="1" x14ac:dyDescent="0.25">
      <c r="A530" s="38">
        <v>42</v>
      </c>
      <c r="B530" s="38" t="s">
        <v>655</v>
      </c>
      <c r="C530" s="38">
        <v>18</v>
      </c>
      <c r="D530" s="39" t="str">
        <f t="shared" si="132"/>
        <v>PS-42-GK3 Bis</v>
      </c>
      <c r="E530" s="48" t="str">
        <f t="shared" si="133"/>
        <v>Poste de Sectionnement n°42 GK3 Bis</v>
      </c>
      <c r="F530" s="19">
        <v>40909</v>
      </c>
      <c r="G530" s="19">
        <v>40909</v>
      </c>
      <c r="H530" s="41" t="s">
        <v>20</v>
      </c>
      <c r="I530" s="41">
        <v>1</v>
      </c>
      <c r="J530" s="41" t="s">
        <v>3557</v>
      </c>
      <c r="K530" s="41">
        <v>16</v>
      </c>
      <c r="L530" s="41"/>
      <c r="M530" s="41" t="s">
        <v>1002</v>
      </c>
      <c r="N530" s="41" t="s">
        <v>2151</v>
      </c>
      <c r="O530" s="43">
        <f t="shared" si="130"/>
        <v>187.6</v>
      </c>
      <c r="P530" s="43">
        <f t="shared" si="131"/>
        <v>201.64599999999999</v>
      </c>
      <c r="Q530" s="41" t="s">
        <v>2192</v>
      </c>
      <c r="R530" s="48" t="str">
        <f t="shared" si="129"/>
        <v>(42,'PS-42-GK3 Bis','Poste de Sectionnement n°42 GK3 Bis','Sunday-01-jj','Sunday-01-jj',NULL,1,),</v>
      </c>
    </row>
    <row r="531" spans="1:18" ht="20.100000000000001" hidden="1" customHeight="1" x14ac:dyDescent="0.25">
      <c r="A531" s="38">
        <v>43</v>
      </c>
      <c r="B531" s="38" t="s">
        <v>655</v>
      </c>
      <c r="C531" s="38">
        <v>18</v>
      </c>
      <c r="D531" s="39" t="str">
        <f t="shared" si="132"/>
        <v>PS-43-GK3 Bis</v>
      </c>
      <c r="E531" s="48" t="str">
        <f t="shared" si="133"/>
        <v>Poste de Sectionnement n°43 GK3 Bis</v>
      </c>
      <c r="F531" s="19">
        <v>40909</v>
      </c>
      <c r="G531" s="19">
        <v>40909</v>
      </c>
      <c r="H531" s="41" t="s">
        <v>20</v>
      </c>
      <c r="I531" s="41">
        <v>1</v>
      </c>
      <c r="J531" s="41" t="s">
        <v>3557</v>
      </c>
      <c r="K531" s="41">
        <v>16</v>
      </c>
      <c r="L531" s="41"/>
      <c r="M531" s="41" t="s">
        <v>1002</v>
      </c>
      <c r="N531" s="41" t="s">
        <v>2152</v>
      </c>
      <c r="O531" s="43">
        <f t="shared" si="130"/>
        <v>66.900000000000006</v>
      </c>
      <c r="P531" s="43">
        <f t="shared" si="131"/>
        <v>212.33099999999999</v>
      </c>
      <c r="Q531" s="41" t="s">
        <v>2193</v>
      </c>
      <c r="R531" s="48" t="str">
        <f t="shared" si="129"/>
        <v>(43,'PS-43-GK3 Bis','Poste de Sectionnement n°43 GK3 Bis','Sunday-01-jj','Sunday-01-jj',NULL,1,),</v>
      </c>
    </row>
    <row r="532" spans="1:18" ht="20.100000000000001" hidden="1" customHeight="1" x14ac:dyDescent="0.25">
      <c r="A532" s="38">
        <v>44</v>
      </c>
      <c r="B532" s="38" t="s">
        <v>655</v>
      </c>
      <c r="C532" s="38">
        <v>18</v>
      </c>
      <c r="D532" s="39" t="str">
        <f t="shared" si="132"/>
        <v>PS-44-GK3 Bis</v>
      </c>
      <c r="E532" s="48" t="str">
        <f t="shared" si="133"/>
        <v>Poste de Sectionnement n°44 GK3 Bis</v>
      </c>
      <c r="F532" s="19">
        <v>40909</v>
      </c>
      <c r="G532" s="19">
        <v>40909</v>
      </c>
      <c r="H532" s="41" t="s">
        <v>20</v>
      </c>
      <c r="I532" s="41">
        <v>1</v>
      </c>
      <c r="J532" s="41" t="s">
        <v>3557</v>
      </c>
      <c r="K532" s="41">
        <v>16</v>
      </c>
      <c r="L532" s="41"/>
      <c r="M532" s="41" t="s">
        <v>1002</v>
      </c>
      <c r="N532" s="41" t="s">
        <v>2153</v>
      </c>
      <c r="O532" s="43">
        <f t="shared" si="130"/>
        <v>255.05</v>
      </c>
      <c r="P532" s="43">
        <f t="shared" si="131"/>
        <v>222.76499999999999</v>
      </c>
      <c r="Q532" s="41" t="s">
        <v>2194</v>
      </c>
      <c r="R532" s="48" t="str">
        <f t="shared" si="129"/>
        <v>(44,'PS-44-GK3 Bis','Poste de Sectionnement n°44 GK3 Bis','Sunday-01-jj','Sunday-01-jj',NULL,1,),</v>
      </c>
    </row>
    <row r="533" spans="1:18" ht="20.100000000000001" hidden="1" customHeight="1" x14ac:dyDescent="0.25">
      <c r="A533" s="38">
        <v>45</v>
      </c>
      <c r="B533" s="38" t="s">
        <v>655</v>
      </c>
      <c r="C533" s="38">
        <v>18</v>
      </c>
      <c r="D533" s="39" t="str">
        <f t="shared" si="132"/>
        <v>PS-45-GK3 Bis</v>
      </c>
      <c r="E533" s="48" t="str">
        <f t="shared" si="133"/>
        <v>Poste de Sectionnement n°45 GK3 Bis</v>
      </c>
      <c r="F533" s="19">
        <v>40909</v>
      </c>
      <c r="G533" s="19">
        <v>40909</v>
      </c>
      <c r="H533" s="41" t="s">
        <v>20</v>
      </c>
      <c r="I533" s="41">
        <v>1</v>
      </c>
      <c r="J533" s="41" t="s">
        <v>3557</v>
      </c>
      <c r="K533" s="41">
        <v>16</v>
      </c>
      <c r="L533" s="41"/>
      <c r="M533" s="41" t="s">
        <v>1002</v>
      </c>
      <c r="N533" s="41" t="s">
        <v>2154</v>
      </c>
      <c r="O533" s="43">
        <f t="shared" si="130"/>
        <v>93.18</v>
      </c>
      <c r="P533" s="43">
        <f t="shared" si="131"/>
        <v>234.70400000000001</v>
      </c>
      <c r="Q533" s="41" t="s">
        <v>2194</v>
      </c>
      <c r="R533" s="48" t="str">
        <f t="shared" ref="R533:R597" si="134">CONCATENATE("(",A533,",'",D533,"','",E533,"','",TEXT(F533,"aaaa-mm-jj"),"','",TEXT(G533,"aaaa-mm-jj"),"',",H533,",",I533,",",L533,"),")</f>
        <v>(45,'PS-45-GK3 Bis','Poste de Sectionnement n°45 GK3 Bis','Sunday-01-jj','Sunday-01-jj',NULL,1,),</v>
      </c>
    </row>
    <row r="534" spans="1:18" ht="20.100000000000001" hidden="1" customHeight="1" x14ac:dyDescent="0.25">
      <c r="A534" s="38">
        <v>46</v>
      </c>
      <c r="B534" s="38" t="s">
        <v>655</v>
      </c>
      <c r="C534" s="38">
        <v>18</v>
      </c>
      <c r="D534" s="39" t="str">
        <f t="shared" si="132"/>
        <v>PS-46-GK3 Bis</v>
      </c>
      <c r="E534" s="48" t="str">
        <f t="shared" si="133"/>
        <v>Poste de Sectionnement n°46 GK3 Bis</v>
      </c>
      <c r="F534" s="19">
        <v>40909</v>
      </c>
      <c r="G534" s="19">
        <v>40909</v>
      </c>
      <c r="H534" s="41" t="s">
        <v>20</v>
      </c>
      <c r="I534" s="41">
        <v>1</v>
      </c>
      <c r="J534" s="41" t="s">
        <v>3557</v>
      </c>
      <c r="K534" s="41">
        <v>16</v>
      </c>
      <c r="L534" s="41"/>
      <c r="M534" s="41" t="s">
        <v>1002</v>
      </c>
      <c r="N534" s="41" t="s">
        <v>2155</v>
      </c>
      <c r="O534" s="43">
        <f t="shared" si="130"/>
        <v>97.09</v>
      </c>
      <c r="P534" s="43">
        <f t="shared" si="131"/>
        <v>241.92599999999999</v>
      </c>
      <c r="Q534" s="41" t="s">
        <v>2195</v>
      </c>
      <c r="R534" s="48" t="str">
        <f t="shared" si="134"/>
        <v>(46,'PS-46-GK3 Bis','Poste de Sectionnement n°46 GK3 Bis','Sunday-01-jj','Sunday-01-jj',NULL,1,),</v>
      </c>
    </row>
    <row r="535" spans="1:18" ht="20.100000000000001" hidden="1" customHeight="1" x14ac:dyDescent="0.25">
      <c r="A535" s="38">
        <v>47</v>
      </c>
      <c r="B535" s="38" t="s">
        <v>655</v>
      </c>
      <c r="C535" s="38">
        <v>18</v>
      </c>
      <c r="D535" s="39" t="str">
        <f t="shared" si="132"/>
        <v>PS-47-GK3 Bis</v>
      </c>
      <c r="E535" s="48" t="str">
        <f t="shared" si="133"/>
        <v>Poste de Sectionnement n°47 GK3 Bis</v>
      </c>
      <c r="F535" s="19">
        <v>40909</v>
      </c>
      <c r="G535" s="19">
        <v>40909</v>
      </c>
      <c r="H535" s="41" t="s">
        <v>20</v>
      </c>
      <c r="I535" s="41">
        <v>1</v>
      </c>
      <c r="J535" s="41" t="s">
        <v>3557</v>
      </c>
      <c r="K535" s="41">
        <v>16</v>
      </c>
      <c r="L535" s="41"/>
      <c r="M535" s="41" t="s">
        <v>1002</v>
      </c>
      <c r="N535" s="41" t="s">
        <v>2156</v>
      </c>
      <c r="O535" s="43">
        <f t="shared" si="130"/>
        <v>83.32</v>
      </c>
      <c r="P535" s="43">
        <f t="shared" si="131"/>
        <v>256.18200000000002</v>
      </c>
      <c r="Q535" s="41" t="s">
        <v>2196</v>
      </c>
      <c r="R535" s="48" t="str">
        <f t="shared" si="134"/>
        <v>(47,'PS-47-GK3 Bis','Poste de Sectionnement n°47 GK3 Bis','Sunday-01-jj','Sunday-01-jj',NULL,1,),</v>
      </c>
    </row>
    <row r="536" spans="1:18" ht="20.100000000000001" hidden="1" customHeight="1" x14ac:dyDescent="0.25">
      <c r="A536" s="38">
        <v>48</v>
      </c>
      <c r="B536" s="38" t="s">
        <v>655</v>
      </c>
      <c r="C536" s="38">
        <v>18</v>
      </c>
      <c r="D536" s="39" t="str">
        <f t="shared" si="132"/>
        <v>PS-48-GK3 Ter</v>
      </c>
      <c r="E536" s="48" t="str">
        <f t="shared" si="133"/>
        <v>Poste de Sectionnement n°48 GK3 Ter</v>
      </c>
      <c r="F536" s="19">
        <v>40909</v>
      </c>
      <c r="G536" s="19">
        <v>40909</v>
      </c>
      <c r="H536" s="41" t="s">
        <v>20</v>
      </c>
      <c r="I536" s="41">
        <v>1</v>
      </c>
      <c r="J536" s="41" t="s">
        <v>3557</v>
      </c>
      <c r="K536" s="41">
        <v>16</v>
      </c>
      <c r="L536" s="41"/>
      <c r="M536" s="41" t="s">
        <v>2227</v>
      </c>
      <c r="N536" s="41" t="s">
        <v>2157</v>
      </c>
      <c r="O536" s="43">
        <f t="shared" si="130"/>
        <v>896.83699999999999</v>
      </c>
      <c r="P536" s="43">
        <f t="shared" si="131"/>
        <v>10.164</v>
      </c>
      <c r="Q536" s="41" t="s">
        <v>2185</v>
      </c>
      <c r="R536" s="48" t="str">
        <f t="shared" si="134"/>
        <v>(48,'PS-48-GK3 Ter','Poste de Sectionnement n°48 GK3 Ter','Sunday-01-jj','Sunday-01-jj',NULL,1,),</v>
      </c>
    </row>
    <row r="537" spans="1:18" ht="20.100000000000001" hidden="1" customHeight="1" x14ac:dyDescent="0.25">
      <c r="A537" s="38">
        <v>49</v>
      </c>
      <c r="B537" s="38" t="s">
        <v>655</v>
      </c>
      <c r="C537" s="38">
        <v>18</v>
      </c>
      <c r="D537" s="39" t="str">
        <f t="shared" si="132"/>
        <v>PS-49-GK3 Ter</v>
      </c>
      <c r="E537" s="48" t="str">
        <f t="shared" si="133"/>
        <v>Poste de Sectionnement n°49 GK3 Ter</v>
      </c>
      <c r="F537" s="19">
        <v>40909</v>
      </c>
      <c r="G537" s="19">
        <v>40909</v>
      </c>
      <c r="H537" s="41" t="s">
        <v>20</v>
      </c>
      <c r="I537" s="41">
        <v>1</v>
      </c>
      <c r="J537" s="41" t="s">
        <v>3557</v>
      </c>
      <c r="K537" s="41">
        <v>16</v>
      </c>
      <c r="L537" s="41"/>
      <c r="M537" s="41" t="s">
        <v>2227</v>
      </c>
      <c r="N537" s="41" t="s">
        <v>2158</v>
      </c>
      <c r="O537" s="43">
        <f t="shared" si="130"/>
        <v>892.96400000000006</v>
      </c>
      <c r="P537" s="43">
        <f t="shared" si="131"/>
        <v>19.710999999999999</v>
      </c>
      <c r="Q537" s="41" t="s">
        <v>2197</v>
      </c>
      <c r="R537" s="48" t="str">
        <f t="shared" si="134"/>
        <v>(49,'PS-49-GK3 Ter','Poste de Sectionnement n°49 GK3 Ter','Sunday-01-jj','Sunday-01-jj',NULL,1,),</v>
      </c>
    </row>
    <row r="538" spans="1:18" ht="20.100000000000001" hidden="1" customHeight="1" x14ac:dyDescent="0.25">
      <c r="A538" s="38">
        <v>50</v>
      </c>
      <c r="B538" s="38" t="s">
        <v>655</v>
      </c>
      <c r="C538" s="38">
        <v>18</v>
      </c>
      <c r="D538" s="39" t="str">
        <f t="shared" si="132"/>
        <v>PS-50-GK3 Ter</v>
      </c>
      <c r="E538" s="48" t="str">
        <f t="shared" si="133"/>
        <v>Poste de Sectionnement n°50 GK3 Ter</v>
      </c>
      <c r="F538" s="19">
        <v>40909</v>
      </c>
      <c r="G538" s="19">
        <v>40909</v>
      </c>
      <c r="H538" s="41" t="s">
        <v>20</v>
      </c>
      <c r="I538" s="41">
        <v>1</v>
      </c>
      <c r="J538" s="41" t="s">
        <v>3557</v>
      </c>
      <c r="K538" s="41">
        <v>16</v>
      </c>
      <c r="L538" s="41"/>
      <c r="M538" s="41" t="s">
        <v>2227</v>
      </c>
      <c r="N538" s="41" t="s">
        <v>2159</v>
      </c>
      <c r="O538" s="43">
        <f t="shared" si="130"/>
        <v>780.55600000000004</v>
      </c>
      <c r="P538" s="43">
        <f t="shared" si="131"/>
        <v>30.777000000000001</v>
      </c>
      <c r="Q538" s="41" t="s">
        <v>2197</v>
      </c>
      <c r="R538" s="48" t="str">
        <f t="shared" si="134"/>
        <v>(50,'PS-50-GK3 Ter','Poste de Sectionnement n°50 GK3 Ter','Sunday-01-jj','Sunday-01-jj',NULL,1,),</v>
      </c>
    </row>
    <row r="539" spans="1:18" ht="20.100000000000001" hidden="1" customHeight="1" x14ac:dyDescent="0.25">
      <c r="A539" s="38">
        <v>51</v>
      </c>
      <c r="B539" s="38" t="s">
        <v>655</v>
      </c>
      <c r="C539" s="38">
        <v>18</v>
      </c>
      <c r="D539" s="39" t="str">
        <f t="shared" si="132"/>
        <v>PS-51-GK3 Ter</v>
      </c>
      <c r="E539" s="48" t="str">
        <f t="shared" si="133"/>
        <v>Poste de Sectionnement n°51 GK3 Ter</v>
      </c>
      <c r="F539" s="19">
        <v>40909</v>
      </c>
      <c r="G539" s="19">
        <v>40909</v>
      </c>
      <c r="H539" s="41" t="s">
        <v>20</v>
      </c>
      <c r="I539" s="41">
        <v>1</v>
      </c>
      <c r="J539" s="41" t="s">
        <v>3557</v>
      </c>
      <c r="K539" s="41">
        <v>16</v>
      </c>
      <c r="L539" s="41"/>
      <c r="M539" s="41" t="s">
        <v>2227</v>
      </c>
      <c r="N539" s="41" t="s">
        <v>2160</v>
      </c>
      <c r="O539" s="43">
        <f t="shared" si="130"/>
        <v>740.24400000000003</v>
      </c>
      <c r="P539" s="43">
        <f t="shared" si="131"/>
        <v>39.354999999999997</v>
      </c>
      <c r="Q539" s="41" t="s">
        <v>2198</v>
      </c>
      <c r="R539" s="48" t="str">
        <f t="shared" si="134"/>
        <v>(51,'PS-51-GK3 Ter','Poste de Sectionnement n°51 GK3 Ter','Sunday-01-jj','Sunday-01-jj',NULL,1,),</v>
      </c>
    </row>
    <row r="540" spans="1:18" ht="20.100000000000001" hidden="1" customHeight="1" x14ac:dyDescent="0.25">
      <c r="A540" s="38">
        <v>52</v>
      </c>
      <c r="B540" s="38" t="s">
        <v>655</v>
      </c>
      <c r="C540" s="38">
        <v>18</v>
      </c>
      <c r="D540" s="39" t="str">
        <f t="shared" si="132"/>
        <v>PS-52-GK3 Ter</v>
      </c>
      <c r="E540" s="48" t="str">
        <f t="shared" si="133"/>
        <v>Poste de Sectionnement n°52 GK3 Ter</v>
      </c>
      <c r="F540" s="19">
        <v>40909</v>
      </c>
      <c r="G540" s="19">
        <v>40909</v>
      </c>
      <c r="H540" s="41" t="s">
        <v>20</v>
      </c>
      <c r="I540" s="41">
        <v>1</v>
      </c>
      <c r="J540" s="41" t="s">
        <v>3557</v>
      </c>
      <c r="K540" s="41">
        <v>16</v>
      </c>
      <c r="L540" s="41"/>
      <c r="M540" s="41" t="s">
        <v>2227</v>
      </c>
      <c r="N540" s="41" t="s">
        <v>2161</v>
      </c>
      <c r="O540" s="43">
        <f t="shared" si="130"/>
        <v>513.16700000000003</v>
      </c>
      <c r="P540" s="43">
        <f t="shared" si="131"/>
        <v>49.634999999999998</v>
      </c>
      <c r="Q540" s="41" t="s">
        <v>2199</v>
      </c>
      <c r="R540" s="48" t="str">
        <f t="shared" si="134"/>
        <v>(52,'PS-52-GK3 Ter','Poste de Sectionnement n°52 GK3 Ter','Sunday-01-jj','Sunday-01-jj',NULL,1,),</v>
      </c>
    </row>
    <row r="541" spans="1:18" ht="20.100000000000001" hidden="1" customHeight="1" x14ac:dyDescent="0.25">
      <c r="A541" s="38">
        <v>53</v>
      </c>
      <c r="B541" s="38" t="s">
        <v>655</v>
      </c>
      <c r="C541" s="38">
        <v>18</v>
      </c>
      <c r="D541" s="39" t="str">
        <f t="shared" si="132"/>
        <v>PS-53-GK3 Ter</v>
      </c>
      <c r="E541" s="48" t="str">
        <f t="shared" si="133"/>
        <v>Poste de Sectionnement n°53 GK3 Ter</v>
      </c>
      <c r="F541" s="19">
        <v>40909</v>
      </c>
      <c r="G541" s="19">
        <v>40909</v>
      </c>
      <c r="H541" s="41" t="s">
        <v>20</v>
      </c>
      <c r="I541" s="41">
        <v>1</v>
      </c>
      <c r="J541" s="41" t="s">
        <v>3557</v>
      </c>
      <c r="K541" s="41">
        <v>16</v>
      </c>
      <c r="L541" s="41"/>
      <c r="M541" s="41" t="s">
        <v>2227</v>
      </c>
      <c r="N541" s="41" t="s">
        <v>2162</v>
      </c>
      <c r="O541" s="43">
        <f t="shared" si="130"/>
        <v>229.82300000000001</v>
      </c>
      <c r="P541" s="43">
        <f t="shared" si="131"/>
        <v>60.99</v>
      </c>
      <c r="Q541" s="41" t="s">
        <v>2200</v>
      </c>
      <c r="R541" s="48" t="str">
        <f t="shared" si="134"/>
        <v>(53,'PS-53-GK3 Ter','Poste de Sectionnement n°53 GK3 Ter','Sunday-01-jj','Sunday-01-jj',NULL,1,),</v>
      </c>
    </row>
    <row r="542" spans="1:18" ht="20.100000000000001" hidden="1" customHeight="1" x14ac:dyDescent="0.25">
      <c r="A542" s="38">
        <v>54</v>
      </c>
      <c r="B542" s="38" t="s">
        <v>655</v>
      </c>
      <c r="C542" s="38">
        <v>18</v>
      </c>
      <c r="D542" s="39" t="str">
        <f t="shared" si="132"/>
        <v>PS-54-GK3 Ter</v>
      </c>
      <c r="E542" s="48" t="str">
        <f t="shared" si="133"/>
        <v>Poste de Sectionnement n°54 GK3 Ter</v>
      </c>
      <c r="F542" s="19">
        <v>40909</v>
      </c>
      <c r="G542" s="19">
        <v>40909</v>
      </c>
      <c r="H542" s="41" t="s">
        <v>20</v>
      </c>
      <c r="I542" s="41">
        <v>1</v>
      </c>
      <c r="J542" s="41" t="s">
        <v>3557</v>
      </c>
      <c r="K542" s="41">
        <v>16</v>
      </c>
      <c r="L542" s="41"/>
      <c r="M542" s="41" t="s">
        <v>2227</v>
      </c>
      <c r="N542" s="41" t="s">
        <v>2163</v>
      </c>
      <c r="O542" s="43">
        <f t="shared" si="130"/>
        <v>215.35300000000001</v>
      </c>
      <c r="P542" s="43">
        <f t="shared" si="131"/>
        <v>72.91</v>
      </c>
      <c r="Q542" s="41" t="s">
        <v>2082</v>
      </c>
      <c r="R542" s="48" t="str">
        <f t="shared" si="134"/>
        <v>(54,'PS-54-GK3 Ter','Poste de Sectionnement n°54 GK3 Ter','Sunday-01-jj','Sunday-01-jj',NULL,1,),</v>
      </c>
    </row>
    <row r="543" spans="1:18" ht="20.100000000000001" hidden="1" customHeight="1" x14ac:dyDescent="0.25">
      <c r="A543" s="38">
        <v>55</v>
      </c>
      <c r="B543" s="38" t="s">
        <v>655</v>
      </c>
      <c r="C543" s="38">
        <v>18</v>
      </c>
      <c r="D543" s="39" t="str">
        <f t="shared" si="132"/>
        <v>PS-55-GK3 Ter</v>
      </c>
      <c r="E543" s="48" t="str">
        <f t="shared" si="133"/>
        <v>Poste de Sectionnement n°55 GK3 Ter</v>
      </c>
      <c r="F543" s="19">
        <v>40909</v>
      </c>
      <c r="G543" s="19">
        <v>40909</v>
      </c>
      <c r="H543" s="41" t="s">
        <v>20</v>
      </c>
      <c r="I543" s="41">
        <v>1</v>
      </c>
      <c r="J543" s="41" t="s">
        <v>3557</v>
      </c>
      <c r="K543" s="41">
        <v>16</v>
      </c>
      <c r="L543" s="41"/>
      <c r="M543" s="41" t="s">
        <v>2227</v>
      </c>
      <c r="N543" s="41" t="s">
        <v>2164</v>
      </c>
      <c r="O543" s="43">
        <f t="shared" si="130"/>
        <v>177.88</v>
      </c>
      <c r="P543" s="43">
        <f t="shared" si="131"/>
        <v>80.89</v>
      </c>
      <c r="Q543" s="41" t="s">
        <v>2201</v>
      </c>
      <c r="R543" s="48" t="str">
        <f t="shared" si="134"/>
        <v>(55,'PS-55-GK3 Ter','Poste de Sectionnement n°55 GK3 Ter','Sunday-01-jj','Sunday-01-jj',NULL,1,),</v>
      </c>
    </row>
    <row r="544" spans="1:18" ht="20.100000000000001" hidden="1" customHeight="1" x14ac:dyDescent="0.25">
      <c r="A544" s="38">
        <v>1</v>
      </c>
      <c r="B544" s="38" t="s">
        <v>407</v>
      </c>
      <c r="C544" s="38">
        <v>20</v>
      </c>
      <c r="D544" s="39" t="str">
        <f t="shared" si="132"/>
        <v>PS-01-GG1</v>
      </c>
      <c r="E544" s="48" t="str">
        <f t="shared" si="133"/>
        <v>Poste de Sectionnement n°01 GG1</v>
      </c>
      <c r="F544" s="19">
        <v>29587</v>
      </c>
      <c r="G544" s="19">
        <v>29587</v>
      </c>
      <c r="H544" s="41" t="s">
        <v>20</v>
      </c>
      <c r="I544" s="41">
        <v>1</v>
      </c>
      <c r="J544" s="41" t="s">
        <v>3557</v>
      </c>
      <c r="K544" s="41">
        <v>16</v>
      </c>
      <c r="L544" s="41"/>
      <c r="M544" s="41" t="s">
        <v>407</v>
      </c>
      <c r="N544" s="41" t="s">
        <v>2237</v>
      </c>
      <c r="O544" s="43">
        <f t="shared" ref="O544:O564" si="135">VALUE(RIGHT(N544,LEN(N544)-SEARCH("/",N544)))</f>
        <v>680</v>
      </c>
      <c r="P544" s="43">
        <f t="shared" ref="P544:P564" si="136">VALUE(SUBSTITUTE(LEFT(N544,SEARCH("/",N544)-1),"+",","))</f>
        <v>94.5</v>
      </c>
      <c r="Q544" s="41" t="s">
        <v>2258</v>
      </c>
      <c r="R544" s="48" t="str">
        <f t="shared" si="134"/>
        <v>(1,'PS-01-GG1','Poste de Sectionnement n°01 GG1','Thursday-01-jj','Thursday-01-jj',NULL,1,),</v>
      </c>
    </row>
    <row r="545" spans="1:18" ht="20.100000000000001" hidden="1" customHeight="1" x14ac:dyDescent="0.25">
      <c r="A545" s="38">
        <v>2</v>
      </c>
      <c r="B545" s="38" t="s">
        <v>407</v>
      </c>
      <c r="C545" s="38">
        <v>20</v>
      </c>
      <c r="D545" s="39" t="str">
        <f t="shared" si="132"/>
        <v>PS-02-GG1</v>
      </c>
      <c r="E545" s="48" t="str">
        <f t="shared" si="133"/>
        <v>Poste de Sectionnement n°02 GG1</v>
      </c>
      <c r="F545" s="19">
        <v>29587</v>
      </c>
      <c r="G545" s="19">
        <v>29587</v>
      </c>
      <c r="H545" s="41" t="s">
        <v>20</v>
      </c>
      <c r="I545" s="41">
        <v>1</v>
      </c>
      <c r="J545" s="41" t="s">
        <v>3557</v>
      </c>
      <c r="K545" s="41">
        <v>16</v>
      </c>
      <c r="L545" s="41"/>
      <c r="M545" s="41" t="s">
        <v>407</v>
      </c>
      <c r="N545" s="41" t="s">
        <v>2238</v>
      </c>
      <c r="O545" s="43">
        <f t="shared" si="135"/>
        <v>1114</v>
      </c>
      <c r="P545" s="43">
        <f t="shared" si="136"/>
        <v>217</v>
      </c>
      <c r="Q545" s="41" t="s">
        <v>2259</v>
      </c>
      <c r="R545" s="48" t="str">
        <f t="shared" si="134"/>
        <v>(2,'PS-02-GG1','Poste de Sectionnement n°02 GG1','Thursday-01-jj','Thursday-01-jj',NULL,1,),</v>
      </c>
    </row>
    <row r="546" spans="1:18" ht="20.100000000000001" hidden="1" customHeight="1" x14ac:dyDescent="0.25">
      <c r="A546" s="38">
        <v>3</v>
      </c>
      <c r="B546" s="38" t="s">
        <v>407</v>
      </c>
      <c r="C546" s="38">
        <v>20</v>
      </c>
      <c r="D546" s="39" t="str">
        <f t="shared" ref="D546:D565" si="137">CONCATENATE("PS-",TEXT(A546,"00"),"-",M546)</f>
        <v>PS-03-GG1</v>
      </c>
      <c r="E546" s="48" t="str">
        <f t="shared" ref="E546:E565" si="138">CONCATENATE("Poste de Sectionnement n°",TEXT(A546,"00")," ",M546)</f>
        <v>Poste de Sectionnement n°03 GG1</v>
      </c>
      <c r="F546" s="19">
        <v>29587</v>
      </c>
      <c r="G546" s="19">
        <v>29587</v>
      </c>
      <c r="H546" s="41" t="s">
        <v>20</v>
      </c>
      <c r="I546" s="41">
        <v>1</v>
      </c>
      <c r="J546" s="41" t="s">
        <v>3557</v>
      </c>
      <c r="K546" s="41">
        <v>16</v>
      </c>
      <c r="L546" s="41"/>
      <c r="M546" s="41" t="s">
        <v>407</v>
      </c>
      <c r="N546" s="41" t="s">
        <v>2239</v>
      </c>
      <c r="O546" s="43">
        <f t="shared" si="135"/>
        <v>665</v>
      </c>
      <c r="P546" s="43">
        <f t="shared" si="136"/>
        <v>296</v>
      </c>
      <c r="Q546" s="41" t="s">
        <v>2260</v>
      </c>
      <c r="R546" s="48" t="str">
        <f t="shared" si="134"/>
        <v>(3,'PS-03-GG1','Poste de Sectionnement n°03 GG1','Thursday-01-jj','Thursday-01-jj',NULL,1,),</v>
      </c>
    </row>
    <row r="547" spans="1:18" ht="20.100000000000001" hidden="1" customHeight="1" x14ac:dyDescent="0.25">
      <c r="A547" s="38">
        <v>4</v>
      </c>
      <c r="B547" s="38" t="s">
        <v>407</v>
      </c>
      <c r="C547" s="38">
        <v>20</v>
      </c>
      <c r="D547" s="39" t="str">
        <f t="shared" si="137"/>
        <v>PS-04-GG1</v>
      </c>
      <c r="E547" s="48" t="str">
        <f t="shared" si="138"/>
        <v>Poste de Sectionnement n°04 GG1</v>
      </c>
      <c r="F547" s="19">
        <v>29587</v>
      </c>
      <c r="G547" s="19">
        <v>29587</v>
      </c>
      <c r="H547" s="41" t="s">
        <v>20</v>
      </c>
      <c r="I547" s="41">
        <v>1</v>
      </c>
      <c r="J547" s="41" t="s">
        <v>3557</v>
      </c>
      <c r="K547" s="41">
        <v>16</v>
      </c>
      <c r="L547" s="41"/>
      <c r="M547" s="41" t="s">
        <v>407</v>
      </c>
      <c r="N547" s="41" t="s">
        <v>2240</v>
      </c>
      <c r="O547" s="43">
        <f t="shared" si="135"/>
        <v>800</v>
      </c>
      <c r="P547" s="43">
        <f t="shared" si="136"/>
        <v>349.25</v>
      </c>
      <c r="Q547" s="41" t="s">
        <v>2261</v>
      </c>
      <c r="R547" s="48" t="str">
        <f t="shared" si="134"/>
        <v>(4,'PS-04-GG1','Poste de Sectionnement n°04 GG1','Thursday-01-jj','Thursday-01-jj',NULL,1,),</v>
      </c>
    </row>
    <row r="548" spans="1:18" ht="20.100000000000001" hidden="1" customHeight="1" x14ac:dyDescent="0.25">
      <c r="A548" s="38">
        <v>5</v>
      </c>
      <c r="B548" s="38" t="s">
        <v>407</v>
      </c>
      <c r="C548" s="38">
        <v>20</v>
      </c>
      <c r="D548" s="39" t="str">
        <f t="shared" si="137"/>
        <v>PS-05-GG1</v>
      </c>
      <c r="E548" s="48" t="str">
        <f t="shared" si="138"/>
        <v>Poste de Sectionnement n°05 GG1</v>
      </c>
      <c r="F548" s="19">
        <v>29587</v>
      </c>
      <c r="G548" s="19">
        <v>29587</v>
      </c>
      <c r="H548" s="41" t="s">
        <v>20</v>
      </c>
      <c r="I548" s="41">
        <v>1</v>
      </c>
      <c r="J548" s="41" t="s">
        <v>3557</v>
      </c>
      <c r="K548" s="41">
        <v>16</v>
      </c>
      <c r="L548" s="41"/>
      <c r="M548" s="41" t="s">
        <v>407</v>
      </c>
      <c r="N548" s="41" t="s">
        <v>2241</v>
      </c>
      <c r="O548" s="43">
        <f t="shared" si="135"/>
        <v>717</v>
      </c>
      <c r="P548" s="43">
        <f t="shared" si="136"/>
        <v>375</v>
      </c>
      <c r="Q548" s="41" t="s">
        <v>2262</v>
      </c>
      <c r="R548" s="48" t="str">
        <f t="shared" si="134"/>
        <v>(5,'PS-05-GG1','Poste de Sectionnement n°05 GG1','Thursday-01-jj','Thursday-01-jj',NULL,1,),</v>
      </c>
    </row>
    <row r="549" spans="1:18" ht="20.100000000000001" hidden="1" customHeight="1" x14ac:dyDescent="0.25">
      <c r="A549" s="38">
        <v>6</v>
      </c>
      <c r="B549" s="38" t="s">
        <v>407</v>
      </c>
      <c r="C549" s="38">
        <v>20</v>
      </c>
      <c r="D549" s="39" t="str">
        <f t="shared" si="137"/>
        <v>PS-06-GG1</v>
      </c>
      <c r="E549" s="48" t="str">
        <f t="shared" si="138"/>
        <v>Poste de Sectionnement n°06 GG1</v>
      </c>
      <c r="F549" s="19">
        <v>29587</v>
      </c>
      <c r="G549" s="19">
        <v>29587</v>
      </c>
      <c r="H549" s="41" t="s">
        <v>20</v>
      </c>
      <c r="I549" s="41">
        <v>1</v>
      </c>
      <c r="J549" s="41" t="s">
        <v>3557</v>
      </c>
      <c r="K549" s="41">
        <v>16</v>
      </c>
      <c r="L549" s="41"/>
      <c r="M549" s="41" t="s">
        <v>407</v>
      </c>
      <c r="N549" s="41" t="s">
        <v>2242</v>
      </c>
      <c r="O549" s="43">
        <f t="shared" si="135"/>
        <v>592</v>
      </c>
      <c r="P549" s="43">
        <f t="shared" si="136"/>
        <v>401</v>
      </c>
      <c r="Q549" s="41" t="s">
        <v>2263</v>
      </c>
      <c r="R549" s="48" t="str">
        <f t="shared" si="134"/>
        <v>(6,'PS-06-GG1','Poste de Sectionnement n°06 GG1','Thursday-01-jj','Thursday-01-jj',NULL,1,),</v>
      </c>
    </row>
    <row r="550" spans="1:18" ht="20.100000000000001" hidden="1" customHeight="1" x14ac:dyDescent="0.25">
      <c r="A550" s="38">
        <v>7</v>
      </c>
      <c r="B550" s="38" t="s">
        <v>407</v>
      </c>
      <c r="C550" s="38">
        <v>20</v>
      </c>
      <c r="D550" s="39" t="str">
        <f t="shared" si="137"/>
        <v>PS-07-GG1</v>
      </c>
      <c r="E550" s="48" t="str">
        <f t="shared" si="138"/>
        <v>Poste de Sectionnement n°07 GG1</v>
      </c>
      <c r="F550" s="19">
        <v>29587</v>
      </c>
      <c r="G550" s="19">
        <v>29587</v>
      </c>
      <c r="H550" s="41" t="s">
        <v>20</v>
      </c>
      <c r="I550" s="41">
        <v>1</v>
      </c>
      <c r="J550" s="41" t="s">
        <v>3557</v>
      </c>
      <c r="K550" s="41">
        <v>16</v>
      </c>
      <c r="L550" s="41"/>
      <c r="M550" s="41" t="s">
        <v>407</v>
      </c>
      <c r="N550" s="41" t="s">
        <v>2243</v>
      </c>
      <c r="O550" s="43">
        <f t="shared" si="135"/>
        <v>115</v>
      </c>
      <c r="P550" s="43">
        <f t="shared" si="136"/>
        <v>437</v>
      </c>
      <c r="Q550" s="41" t="s">
        <v>2264</v>
      </c>
      <c r="R550" s="48" t="str">
        <f t="shared" si="134"/>
        <v>(7,'PS-07-GG1','Poste de Sectionnement n°07 GG1','Thursday-01-jj','Thursday-01-jj',NULL,1,),</v>
      </c>
    </row>
    <row r="551" spans="1:18" ht="20.100000000000001" hidden="1" customHeight="1" x14ac:dyDescent="0.25">
      <c r="A551" s="38">
        <v>1</v>
      </c>
      <c r="B551" s="38" t="s">
        <v>407</v>
      </c>
      <c r="C551" s="38">
        <v>20</v>
      </c>
      <c r="D551" s="39" t="str">
        <f t="shared" si="137"/>
        <v>PS-01-RGG1</v>
      </c>
      <c r="E551" s="48" t="str">
        <f t="shared" si="138"/>
        <v>Poste de Sectionnement n°01 RGG1</v>
      </c>
      <c r="F551" s="19">
        <v>43466</v>
      </c>
      <c r="G551" s="19">
        <v>43466</v>
      </c>
      <c r="H551" s="41" t="s">
        <v>20</v>
      </c>
      <c r="I551" s="41">
        <v>1</v>
      </c>
      <c r="J551" s="41" t="s">
        <v>3557</v>
      </c>
      <c r="K551" s="41">
        <v>16</v>
      </c>
      <c r="L551" s="41"/>
      <c r="M551" s="41" t="s">
        <v>410</v>
      </c>
      <c r="N551" s="41" t="s">
        <v>2244</v>
      </c>
      <c r="O551" s="43">
        <f t="shared" si="135"/>
        <v>820</v>
      </c>
      <c r="P551" s="43">
        <f t="shared" si="136"/>
        <v>20.244</v>
      </c>
      <c r="Q551" s="41" t="s">
        <v>2265</v>
      </c>
      <c r="R551" s="48" t="str">
        <f t="shared" si="134"/>
        <v>(1,'PS-01-RGG1','Poste de Sectionnement n°01 RGG1','Tuesday-01-jj','Tuesday-01-jj',NULL,1,),</v>
      </c>
    </row>
    <row r="552" spans="1:18" ht="20.100000000000001" hidden="1" customHeight="1" x14ac:dyDescent="0.25">
      <c r="A552" s="38">
        <v>2</v>
      </c>
      <c r="B552" s="38" t="s">
        <v>407</v>
      </c>
      <c r="C552" s="38">
        <v>20</v>
      </c>
      <c r="D552" s="39" t="str">
        <f t="shared" si="137"/>
        <v>PS-02-RGG1</v>
      </c>
      <c r="E552" s="48" t="str">
        <f t="shared" si="138"/>
        <v>Poste de Sectionnement n°02 RGG1</v>
      </c>
      <c r="F552" s="19">
        <v>43466</v>
      </c>
      <c r="G552" s="19">
        <v>43466</v>
      </c>
      <c r="H552" s="41" t="s">
        <v>20</v>
      </c>
      <c r="I552" s="41">
        <v>1</v>
      </c>
      <c r="J552" s="41" t="s">
        <v>3557</v>
      </c>
      <c r="K552" s="41">
        <v>16</v>
      </c>
      <c r="L552" s="41"/>
      <c r="M552" s="41" t="s">
        <v>410</v>
      </c>
      <c r="N552" s="41" t="s">
        <v>2245</v>
      </c>
      <c r="O552" s="43">
        <f t="shared" si="135"/>
        <v>791</v>
      </c>
      <c r="P552" s="43">
        <f t="shared" si="136"/>
        <v>42.18</v>
      </c>
      <c r="Q552" s="41" t="s">
        <v>2266</v>
      </c>
      <c r="R552" s="48" t="str">
        <f t="shared" si="134"/>
        <v>(2,'PS-02-RGG1','Poste de Sectionnement n°02 RGG1','Tuesday-01-jj','Tuesday-01-jj',NULL,1,),</v>
      </c>
    </row>
    <row r="553" spans="1:18" ht="20.100000000000001" hidden="1" customHeight="1" x14ac:dyDescent="0.25">
      <c r="A553" s="38">
        <v>3</v>
      </c>
      <c r="B553" s="38" t="s">
        <v>407</v>
      </c>
      <c r="C553" s="38">
        <v>20</v>
      </c>
      <c r="D553" s="39" t="str">
        <f t="shared" si="137"/>
        <v>PS-03-RGG1</v>
      </c>
      <c r="E553" s="48" t="str">
        <f t="shared" si="138"/>
        <v>Poste de Sectionnement n°03 RGG1</v>
      </c>
      <c r="F553" s="19">
        <v>43466</v>
      </c>
      <c r="G553" s="19">
        <v>43466</v>
      </c>
      <c r="H553" s="41" t="s">
        <v>20</v>
      </c>
      <c r="I553" s="41">
        <v>1</v>
      </c>
      <c r="J553" s="41" t="s">
        <v>3557</v>
      </c>
      <c r="K553" s="41">
        <v>16</v>
      </c>
      <c r="L553" s="41"/>
      <c r="M553" s="41" t="s">
        <v>410</v>
      </c>
      <c r="N553" s="41" t="s">
        <v>2246</v>
      </c>
      <c r="O553" s="43">
        <f t="shared" si="135"/>
        <v>663</v>
      </c>
      <c r="P553" s="43">
        <f t="shared" si="136"/>
        <v>63.331000000000003</v>
      </c>
      <c r="Q553" s="41" t="s">
        <v>2267</v>
      </c>
      <c r="R553" s="48" t="str">
        <f t="shared" si="134"/>
        <v>(3,'PS-03-RGG1','Poste de Sectionnement n°03 RGG1','Tuesday-01-jj','Tuesday-01-jj',NULL,1,),</v>
      </c>
    </row>
    <row r="554" spans="1:18" ht="20.100000000000001" hidden="1" customHeight="1" x14ac:dyDescent="0.25">
      <c r="A554" s="38">
        <v>4</v>
      </c>
      <c r="B554" s="38" t="s">
        <v>407</v>
      </c>
      <c r="C554" s="38">
        <v>20</v>
      </c>
      <c r="D554" s="39" t="str">
        <f t="shared" si="137"/>
        <v>PS-04-RGG1</v>
      </c>
      <c r="E554" s="48" t="str">
        <f t="shared" si="138"/>
        <v>Poste de Sectionnement n°04 RGG1</v>
      </c>
      <c r="F554" s="19">
        <v>43466</v>
      </c>
      <c r="G554" s="19">
        <v>43466</v>
      </c>
      <c r="H554" s="41" t="s">
        <v>20</v>
      </c>
      <c r="I554" s="41">
        <v>1</v>
      </c>
      <c r="J554" s="41" t="s">
        <v>3557</v>
      </c>
      <c r="K554" s="41">
        <v>16</v>
      </c>
      <c r="L554" s="41"/>
      <c r="M554" s="41" t="s">
        <v>410</v>
      </c>
      <c r="N554" s="41" t="s">
        <v>2247</v>
      </c>
      <c r="O554" s="43">
        <f t="shared" si="135"/>
        <v>606</v>
      </c>
      <c r="P554" s="43">
        <f t="shared" si="136"/>
        <v>78.870999999999995</v>
      </c>
      <c r="Q554" s="41" t="s">
        <v>2268</v>
      </c>
      <c r="R554" s="48" t="str">
        <f t="shared" si="134"/>
        <v>(4,'PS-04-RGG1','Poste de Sectionnement n°04 RGG1','Tuesday-01-jj','Tuesday-01-jj',NULL,1,),</v>
      </c>
    </row>
    <row r="555" spans="1:18" ht="20.100000000000001" hidden="1" customHeight="1" x14ac:dyDescent="0.25">
      <c r="A555" s="38">
        <v>5</v>
      </c>
      <c r="B555" s="38" t="s">
        <v>407</v>
      </c>
      <c r="C555" s="38">
        <v>20</v>
      </c>
      <c r="D555" s="39" t="str">
        <f t="shared" si="137"/>
        <v>PS-05-RGG1</v>
      </c>
      <c r="E555" s="48" t="str">
        <f t="shared" si="138"/>
        <v>Poste de Sectionnement n°05 RGG1</v>
      </c>
      <c r="F555" s="19">
        <v>43466</v>
      </c>
      <c r="G555" s="19">
        <v>43466</v>
      </c>
      <c r="H555" s="41" t="s">
        <v>20</v>
      </c>
      <c r="I555" s="41">
        <v>1</v>
      </c>
      <c r="J555" s="41" t="s">
        <v>3557</v>
      </c>
      <c r="K555" s="41">
        <v>16</v>
      </c>
      <c r="L555" s="41"/>
      <c r="M555" s="41" t="s">
        <v>410</v>
      </c>
      <c r="N555" s="41" t="s">
        <v>2248</v>
      </c>
      <c r="O555" s="43">
        <f t="shared" si="135"/>
        <v>711</v>
      </c>
      <c r="P555" s="43">
        <f t="shared" si="136"/>
        <v>102.614</v>
      </c>
      <c r="Q555" s="41" t="s">
        <v>2235</v>
      </c>
      <c r="R555" s="48" t="str">
        <f t="shared" si="134"/>
        <v>(5,'PS-05-RGG1','Poste de Sectionnement n°05 RGG1','Tuesday-01-jj','Tuesday-01-jj',NULL,1,),</v>
      </c>
    </row>
    <row r="556" spans="1:18" ht="20.100000000000001" hidden="1" customHeight="1" x14ac:dyDescent="0.25">
      <c r="A556" s="38">
        <v>6</v>
      </c>
      <c r="B556" s="38" t="s">
        <v>407</v>
      </c>
      <c r="C556" s="38">
        <v>20</v>
      </c>
      <c r="D556" s="39" t="str">
        <f t="shared" si="137"/>
        <v>PS-06-RGG1</v>
      </c>
      <c r="E556" s="48" t="str">
        <f t="shared" si="138"/>
        <v>Poste de Sectionnement n°06 RGG1</v>
      </c>
      <c r="F556" s="19">
        <v>43466</v>
      </c>
      <c r="G556" s="19">
        <v>43466</v>
      </c>
      <c r="H556" s="41" t="s">
        <v>20</v>
      </c>
      <c r="I556" s="41">
        <v>1</v>
      </c>
      <c r="J556" s="41" t="s">
        <v>3557</v>
      </c>
      <c r="K556" s="41">
        <v>16</v>
      </c>
      <c r="L556" s="41"/>
      <c r="M556" s="41" t="s">
        <v>410</v>
      </c>
      <c r="N556" s="41" t="s">
        <v>2249</v>
      </c>
      <c r="O556" s="43">
        <f t="shared" si="135"/>
        <v>824</v>
      </c>
      <c r="P556" s="43">
        <f t="shared" si="136"/>
        <v>116.648</v>
      </c>
      <c r="Q556" s="41" t="s">
        <v>2261</v>
      </c>
      <c r="R556" s="48" t="str">
        <f t="shared" si="134"/>
        <v>(6,'PS-06-RGG1','Poste de Sectionnement n°06 RGG1','Tuesday-01-jj','Tuesday-01-jj',NULL,1,),</v>
      </c>
    </row>
    <row r="557" spans="1:18" ht="20.100000000000001" hidden="1" customHeight="1" x14ac:dyDescent="0.25">
      <c r="A557" s="38">
        <v>7</v>
      </c>
      <c r="B557" s="38" t="s">
        <v>407</v>
      </c>
      <c r="C557" s="38">
        <v>20</v>
      </c>
      <c r="D557" s="39" t="str">
        <f t="shared" si="137"/>
        <v>PS-07-RGG1</v>
      </c>
      <c r="E557" s="48" t="str">
        <f t="shared" si="138"/>
        <v>Poste de Sectionnement n°07 RGG1</v>
      </c>
      <c r="F557" s="19">
        <v>43466</v>
      </c>
      <c r="G557" s="19">
        <v>43466</v>
      </c>
      <c r="H557" s="41" t="s">
        <v>20</v>
      </c>
      <c r="I557" s="41">
        <v>1</v>
      </c>
      <c r="J557" s="41" t="s">
        <v>3557</v>
      </c>
      <c r="K557" s="41">
        <v>16</v>
      </c>
      <c r="L557" s="41"/>
      <c r="M557" s="41" t="s">
        <v>410</v>
      </c>
      <c r="N557" s="41" t="s">
        <v>2250</v>
      </c>
      <c r="O557" s="43">
        <f t="shared" si="135"/>
        <v>1084</v>
      </c>
      <c r="P557" s="43">
        <f t="shared" si="136"/>
        <v>129.75299999999999</v>
      </c>
      <c r="Q557" s="41" t="s">
        <v>2269</v>
      </c>
      <c r="R557" s="48" t="str">
        <f t="shared" si="134"/>
        <v>(7,'PS-07-RGG1','Poste de Sectionnement n°07 RGG1','Tuesday-01-jj','Tuesday-01-jj',NULL,1,),</v>
      </c>
    </row>
    <row r="558" spans="1:18" ht="20.100000000000001" hidden="1" customHeight="1" x14ac:dyDescent="0.25">
      <c r="A558" s="38">
        <v>8</v>
      </c>
      <c r="B558" s="38" t="s">
        <v>407</v>
      </c>
      <c r="C558" s="38">
        <v>20</v>
      </c>
      <c r="D558" s="39" t="str">
        <f t="shared" si="137"/>
        <v>PS-08-RGG1</v>
      </c>
      <c r="E558" s="48" t="str">
        <f t="shared" si="138"/>
        <v>Poste de Sectionnement n°08 RGG1</v>
      </c>
      <c r="F558" s="19">
        <v>43466</v>
      </c>
      <c r="G558" s="19">
        <v>43466</v>
      </c>
      <c r="H558" s="41" t="s">
        <v>20</v>
      </c>
      <c r="I558" s="41">
        <v>1</v>
      </c>
      <c r="J558" s="41" t="s">
        <v>3557</v>
      </c>
      <c r="K558" s="41">
        <v>16</v>
      </c>
      <c r="L558" s="41"/>
      <c r="M558" s="41" t="s">
        <v>410</v>
      </c>
      <c r="N558" s="41" t="s">
        <v>2251</v>
      </c>
      <c r="O558" s="43">
        <f t="shared" si="135"/>
        <v>873</v>
      </c>
      <c r="P558" s="43">
        <f t="shared" si="136"/>
        <v>140.04400000000001</v>
      </c>
      <c r="Q558" s="41" t="s">
        <v>2270</v>
      </c>
      <c r="R558" s="48" t="str">
        <f t="shared" si="134"/>
        <v>(8,'PS-08-RGG1','Poste de Sectionnement n°08 RGG1','Tuesday-01-jj','Tuesday-01-jj',NULL,1,),</v>
      </c>
    </row>
    <row r="559" spans="1:18" ht="20.100000000000001" hidden="1" customHeight="1" x14ac:dyDescent="0.25">
      <c r="A559" s="38">
        <v>9</v>
      </c>
      <c r="B559" s="38" t="s">
        <v>407</v>
      </c>
      <c r="C559" s="38">
        <v>20</v>
      </c>
      <c r="D559" s="39" t="str">
        <f t="shared" si="137"/>
        <v>PS-09-RGG1</v>
      </c>
      <c r="E559" s="48" t="str">
        <f t="shared" si="138"/>
        <v>Poste de Sectionnement n°09 RGG1</v>
      </c>
      <c r="F559" s="19">
        <v>43466</v>
      </c>
      <c r="G559" s="19">
        <v>43466</v>
      </c>
      <c r="H559" s="41" t="s">
        <v>20</v>
      </c>
      <c r="I559" s="41">
        <v>1</v>
      </c>
      <c r="J559" s="41" t="s">
        <v>3557</v>
      </c>
      <c r="K559" s="41">
        <v>16</v>
      </c>
      <c r="L559" s="41"/>
      <c r="M559" s="41" t="s">
        <v>410</v>
      </c>
      <c r="N559" s="41" t="s">
        <v>2252</v>
      </c>
      <c r="O559" s="43">
        <f t="shared" si="135"/>
        <v>658</v>
      </c>
      <c r="P559" s="43">
        <f t="shared" si="136"/>
        <v>151.75399999999999</v>
      </c>
      <c r="Q559" s="41" t="s">
        <v>2270</v>
      </c>
      <c r="R559" s="48" t="str">
        <f t="shared" si="134"/>
        <v>(9,'PS-09-RGG1','Poste de Sectionnement n°09 RGG1','Tuesday-01-jj','Tuesday-01-jj',NULL,1,),</v>
      </c>
    </row>
    <row r="560" spans="1:18" ht="20.100000000000001" hidden="1" customHeight="1" x14ac:dyDescent="0.25">
      <c r="A560" s="38">
        <v>10</v>
      </c>
      <c r="B560" s="38" t="s">
        <v>407</v>
      </c>
      <c r="C560" s="38">
        <v>20</v>
      </c>
      <c r="D560" s="39" t="str">
        <f t="shared" si="137"/>
        <v>PS-10-RGG1</v>
      </c>
      <c r="E560" s="48" t="str">
        <f t="shared" si="138"/>
        <v>Poste de Sectionnement n°10 RGG1</v>
      </c>
      <c r="F560" s="19">
        <v>43466</v>
      </c>
      <c r="G560" s="19">
        <v>43466</v>
      </c>
      <c r="H560" s="41" t="s">
        <v>20</v>
      </c>
      <c r="I560" s="41">
        <v>1</v>
      </c>
      <c r="J560" s="41" t="s">
        <v>3557</v>
      </c>
      <c r="K560" s="41">
        <v>16</v>
      </c>
      <c r="L560" s="41"/>
      <c r="M560" s="41" t="s">
        <v>410</v>
      </c>
      <c r="N560" s="41" t="s">
        <v>2253</v>
      </c>
      <c r="O560" s="43">
        <f t="shared" si="135"/>
        <v>573</v>
      </c>
      <c r="P560" s="43">
        <f t="shared" si="136"/>
        <v>160</v>
      </c>
      <c r="Q560" s="41" t="s">
        <v>2271</v>
      </c>
      <c r="R560" s="48" t="str">
        <f t="shared" si="134"/>
        <v>(10,'PS-10-RGG1','Poste de Sectionnement n°10 RGG1','Tuesday-01-jj','Tuesday-01-jj',NULL,1,),</v>
      </c>
    </row>
    <row r="561" spans="1:18" ht="20.100000000000001" hidden="1" customHeight="1" x14ac:dyDescent="0.25">
      <c r="A561" s="38">
        <v>11</v>
      </c>
      <c r="B561" s="38" t="s">
        <v>407</v>
      </c>
      <c r="C561" s="38">
        <v>20</v>
      </c>
      <c r="D561" s="39" t="str">
        <f t="shared" si="137"/>
        <v>PS-11-RGG1</v>
      </c>
      <c r="E561" s="48" t="str">
        <f t="shared" si="138"/>
        <v>Poste de Sectionnement n°11 RGG1</v>
      </c>
      <c r="F561" s="19">
        <v>43466</v>
      </c>
      <c r="G561" s="19">
        <v>43466</v>
      </c>
      <c r="H561" s="41" t="s">
        <v>20</v>
      </c>
      <c r="I561" s="41">
        <v>1</v>
      </c>
      <c r="J561" s="41" t="s">
        <v>3557</v>
      </c>
      <c r="K561" s="41">
        <v>16</v>
      </c>
      <c r="L561" s="41"/>
      <c r="M561" s="41" t="s">
        <v>410</v>
      </c>
      <c r="N561" s="41" t="s">
        <v>2254</v>
      </c>
      <c r="O561" s="43">
        <f t="shared" si="135"/>
        <v>566</v>
      </c>
      <c r="P561" s="43">
        <f t="shared" si="136"/>
        <v>167.44</v>
      </c>
      <c r="Q561" s="41" t="s">
        <v>2272</v>
      </c>
      <c r="R561" s="48" t="str">
        <f t="shared" si="134"/>
        <v>(11,'PS-11-RGG1','Poste de Sectionnement n°11 RGG1','Tuesday-01-jj','Tuesday-01-jj',NULL,1,),</v>
      </c>
    </row>
    <row r="562" spans="1:18" ht="20.100000000000001" hidden="1" customHeight="1" x14ac:dyDescent="0.25">
      <c r="A562" s="38">
        <v>12</v>
      </c>
      <c r="B562" s="38" t="s">
        <v>407</v>
      </c>
      <c r="C562" s="38">
        <v>20</v>
      </c>
      <c r="D562" s="39" t="str">
        <f t="shared" si="137"/>
        <v>PS-12-RGG1</v>
      </c>
      <c r="E562" s="48" t="str">
        <f t="shared" si="138"/>
        <v>Poste de Sectionnement n°12 RGG1</v>
      </c>
      <c r="F562" s="19">
        <v>43466</v>
      </c>
      <c r="G562" s="19">
        <v>43466</v>
      </c>
      <c r="H562" s="41" t="s">
        <v>20</v>
      </c>
      <c r="I562" s="41">
        <v>1</v>
      </c>
      <c r="J562" s="41" t="s">
        <v>3557</v>
      </c>
      <c r="K562" s="41">
        <v>16</v>
      </c>
      <c r="L562" s="41"/>
      <c r="M562" s="41" t="s">
        <v>410</v>
      </c>
      <c r="N562" s="41" t="s">
        <v>2255</v>
      </c>
      <c r="O562" s="43">
        <f t="shared" si="135"/>
        <v>454</v>
      </c>
      <c r="P562" s="43">
        <f t="shared" si="136"/>
        <v>176.202</v>
      </c>
      <c r="Q562" s="41" t="s">
        <v>2273</v>
      </c>
      <c r="R562" s="48" t="str">
        <f t="shared" si="134"/>
        <v>(12,'PS-12-RGG1','Poste de Sectionnement n°12 RGG1','Tuesday-01-jj','Tuesday-01-jj',NULL,1,),</v>
      </c>
    </row>
    <row r="563" spans="1:18" ht="20.100000000000001" hidden="1" customHeight="1" x14ac:dyDescent="0.25">
      <c r="A563" s="38">
        <v>13</v>
      </c>
      <c r="B563" s="38" t="s">
        <v>407</v>
      </c>
      <c r="C563" s="38">
        <v>20</v>
      </c>
      <c r="D563" s="39" t="str">
        <f t="shared" si="137"/>
        <v>PS-13-RGG1</v>
      </c>
      <c r="E563" s="48" t="str">
        <f t="shared" si="138"/>
        <v>Poste de Sectionnement n°13 RGG1</v>
      </c>
      <c r="F563" s="19">
        <v>43466</v>
      </c>
      <c r="G563" s="19">
        <v>43466</v>
      </c>
      <c r="H563" s="41" t="s">
        <v>20</v>
      </c>
      <c r="I563" s="41">
        <v>1</v>
      </c>
      <c r="J563" s="41" t="s">
        <v>3557</v>
      </c>
      <c r="K563" s="41">
        <v>16</v>
      </c>
      <c r="L563" s="41"/>
      <c r="M563" s="41" t="s">
        <v>410</v>
      </c>
      <c r="N563" s="41" t="s">
        <v>2256</v>
      </c>
      <c r="O563" s="43">
        <f t="shared" si="135"/>
        <v>442</v>
      </c>
      <c r="P563" s="43">
        <f t="shared" si="136"/>
        <v>184.215</v>
      </c>
      <c r="Q563" s="41" t="s">
        <v>2274</v>
      </c>
      <c r="R563" s="48" t="str">
        <f t="shared" si="134"/>
        <v>(13,'PS-13-RGG1','Poste de Sectionnement n°13 RGG1','Tuesday-01-jj','Tuesday-01-jj',NULL,1,),</v>
      </c>
    </row>
    <row r="564" spans="1:18" ht="20.100000000000001" hidden="1" customHeight="1" x14ac:dyDescent="0.25">
      <c r="A564" s="38">
        <v>14</v>
      </c>
      <c r="B564" s="38" t="s">
        <v>407</v>
      </c>
      <c r="C564" s="38">
        <v>20</v>
      </c>
      <c r="D564" s="39" t="str">
        <f t="shared" si="137"/>
        <v>PS-14-RGG1</v>
      </c>
      <c r="E564" s="48" t="str">
        <f t="shared" si="138"/>
        <v>Poste de Sectionnement n°14 RGG1</v>
      </c>
      <c r="F564" s="19">
        <v>43466</v>
      </c>
      <c r="G564" s="19">
        <v>43466</v>
      </c>
      <c r="H564" s="41" t="s">
        <v>20</v>
      </c>
      <c r="I564" s="41">
        <v>1</v>
      </c>
      <c r="J564" s="41" t="s">
        <v>3557</v>
      </c>
      <c r="K564" s="41">
        <v>16</v>
      </c>
      <c r="L564" s="41"/>
      <c r="M564" s="41" t="s">
        <v>410</v>
      </c>
      <c r="N564" s="41" t="s">
        <v>2257</v>
      </c>
      <c r="O564" s="43">
        <f t="shared" si="135"/>
        <v>165</v>
      </c>
      <c r="P564" s="43">
        <f t="shared" si="136"/>
        <v>196.297</v>
      </c>
      <c r="Q564" s="41" t="s">
        <v>2275</v>
      </c>
      <c r="R564" s="48" t="str">
        <f t="shared" si="134"/>
        <v>(14,'PS-14-RGG1','Poste de Sectionnement n°14 RGG1','Tuesday-01-jj','Tuesday-01-jj',NULL,1,),</v>
      </c>
    </row>
    <row r="565" spans="1:18" ht="20.100000000000001" hidden="1" customHeight="1" x14ac:dyDescent="0.25">
      <c r="A565" s="38">
        <v>1</v>
      </c>
      <c r="B565" s="38" t="s">
        <v>434</v>
      </c>
      <c r="C565" s="38">
        <v>16</v>
      </c>
      <c r="D565" s="39" t="str">
        <f t="shared" si="137"/>
        <v>PS-01-GPDF</v>
      </c>
      <c r="E565" s="48" t="str">
        <f t="shared" si="138"/>
        <v>Poste de Sectionnement n°01 GPDF</v>
      </c>
      <c r="F565" s="19">
        <v>35065</v>
      </c>
      <c r="G565" s="19">
        <v>35065</v>
      </c>
      <c r="H565" s="41" t="s">
        <v>20</v>
      </c>
      <c r="I565" s="41">
        <v>1</v>
      </c>
      <c r="J565" s="41" t="s">
        <v>3557</v>
      </c>
      <c r="K565" s="41">
        <v>16</v>
      </c>
      <c r="L565" s="41"/>
      <c r="M565" s="41" t="s">
        <v>434</v>
      </c>
      <c r="N565" s="41" t="s">
        <v>2307</v>
      </c>
      <c r="O565" s="43">
        <f t="shared" ref="O565:O586" si="139">VALUE(RIGHT(N565,LEN(N565)-SEARCH("/",N565)))</f>
        <v>743.68</v>
      </c>
      <c r="P565" s="43">
        <f t="shared" ref="P565:P586" si="140">VALUE(SUBSTITUTE(LEFT(N565,SEARCH("/",N565)-1),"+",","))</f>
        <v>19.006</v>
      </c>
      <c r="Q565" s="41" t="s">
        <v>790</v>
      </c>
      <c r="R565" s="48" t="str">
        <f t="shared" si="134"/>
        <v>(1,'PS-01-GPDF','Poste de Sectionnement n°01 GPDF','Monday-01-jj','Monday-01-jj',NULL,1,),</v>
      </c>
    </row>
    <row r="566" spans="1:18" ht="20.100000000000001" hidden="1" customHeight="1" x14ac:dyDescent="0.25">
      <c r="A566" s="38">
        <v>2</v>
      </c>
      <c r="B566" s="38" t="s">
        <v>434</v>
      </c>
      <c r="C566" s="38">
        <v>16</v>
      </c>
      <c r="D566" s="39" t="str">
        <f t="shared" ref="D566:D588" si="141">CONCATENATE("PS-",TEXT(A566,"00"),"-",M566)</f>
        <v>PS-02-GPDF</v>
      </c>
      <c r="E566" s="48" t="str">
        <f t="shared" ref="E566:E588" si="142">CONCATENATE("Poste de Sectionnement n°",TEXT(A566,"00")," ",M566)</f>
        <v>Poste de Sectionnement n°02 GPDF</v>
      </c>
      <c r="F566" s="19">
        <v>35065</v>
      </c>
      <c r="G566" s="19">
        <v>35065</v>
      </c>
      <c r="H566" s="41" t="s">
        <v>20</v>
      </c>
      <c r="I566" s="41">
        <v>1</v>
      </c>
      <c r="J566" s="41" t="s">
        <v>3557</v>
      </c>
      <c r="K566" s="41">
        <v>16</v>
      </c>
      <c r="L566" s="41"/>
      <c r="M566" s="41" t="s">
        <v>434</v>
      </c>
      <c r="N566" s="41" t="s">
        <v>2308</v>
      </c>
      <c r="O566" s="43">
        <f t="shared" si="139"/>
        <v>740.2</v>
      </c>
      <c r="P566" s="43">
        <f t="shared" si="140"/>
        <v>36.006</v>
      </c>
      <c r="Q566" s="41" t="s">
        <v>790</v>
      </c>
      <c r="R566" s="48" t="str">
        <f t="shared" si="134"/>
        <v>(2,'PS-02-GPDF','Poste de Sectionnement n°02 GPDF','Monday-01-jj','Monday-01-jj',NULL,1,),</v>
      </c>
    </row>
    <row r="567" spans="1:18" ht="20.100000000000001" hidden="1" customHeight="1" x14ac:dyDescent="0.25">
      <c r="A567" s="38">
        <v>3</v>
      </c>
      <c r="B567" s="38" t="s">
        <v>434</v>
      </c>
      <c r="C567" s="38">
        <v>16</v>
      </c>
      <c r="D567" s="39" t="str">
        <f t="shared" si="141"/>
        <v>PS-03-GPDF</v>
      </c>
      <c r="E567" s="48" t="str">
        <f t="shared" si="142"/>
        <v>Poste de Sectionnement n°03 GPDF</v>
      </c>
      <c r="F567" s="19">
        <v>35065</v>
      </c>
      <c r="G567" s="19">
        <v>35065</v>
      </c>
      <c r="H567" s="41" t="s">
        <v>20</v>
      </c>
      <c r="I567" s="41">
        <v>1</v>
      </c>
      <c r="J567" s="41" t="s">
        <v>3557</v>
      </c>
      <c r="K567" s="41">
        <v>16</v>
      </c>
      <c r="L567" s="41"/>
      <c r="M567" s="41" t="s">
        <v>434</v>
      </c>
      <c r="N567" s="41" t="s">
        <v>2309</v>
      </c>
      <c r="O567" s="43">
        <f t="shared" si="139"/>
        <v>743.94</v>
      </c>
      <c r="P567" s="43">
        <f t="shared" si="140"/>
        <v>54.006</v>
      </c>
      <c r="Q567" s="41" t="s">
        <v>2329</v>
      </c>
      <c r="R567" s="48" t="str">
        <f t="shared" si="134"/>
        <v>(3,'PS-03-GPDF','Poste de Sectionnement n°03 GPDF','Monday-01-jj','Monday-01-jj',NULL,1,),</v>
      </c>
    </row>
    <row r="568" spans="1:18" ht="20.100000000000001" hidden="1" customHeight="1" x14ac:dyDescent="0.25">
      <c r="A568" s="38">
        <v>4</v>
      </c>
      <c r="B568" s="38" t="s">
        <v>434</v>
      </c>
      <c r="C568" s="38">
        <v>16</v>
      </c>
      <c r="D568" s="39" t="str">
        <f t="shared" si="141"/>
        <v>PS-04-GPDF</v>
      </c>
      <c r="E568" s="48" t="str">
        <f t="shared" si="142"/>
        <v>Poste de Sectionnement n°04 GPDF</v>
      </c>
      <c r="F568" s="19">
        <v>35065</v>
      </c>
      <c r="G568" s="19">
        <v>35065</v>
      </c>
      <c r="H568" s="41" t="s">
        <v>20</v>
      </c>
      <c r="I568" s="41">
        <v>1</v>
      </c>
      <c r="J568" s="41" t="s">
        <v>3557</v>
      </c>
      <c r="K568" s="41">
        <v>16</v>
      </c>
      <c r="L568" s="41"/>
      <c r="M568" s="41" t="s">
        <v>434</v>
      </c>
      <c r="N568" s="41" t="s">
        <v>2310</v>
      </c>
      <c r="O568" s="43">
        <f t="shared" si="139"/>
        <v>766.8</v>
      </c>
      <c r="P568" s="43">
        <f t="shared" si="140"/>
        <v>71.006</v>
      </c>
      <c r="Q568" s="41" t="s">
        <v>2329</v>
      </c>
      <c r="R568" s="48" t="str">
        <f t="shared" si="134"/>
        <v>(4,'PS-04-GPDF','Poste de Sectionnement n°04 GPDF','Monday-01-jj','Monday-01-jj',NULL,1,),</v>
      </c>
    </row>
    <row r="569" spans="1:18" ht="20.100000000000001" hidden="1" customHeight="1" x14ac:dyDescent="0.25">
      <c r="A569" s="38">
        <v>5</v>
      </c>
      <c r="B569" s="38" t="s">
        <v>434</v>
      </c>
      <c r="C569" s="38">
        <v>16</v>
      </c>
      <c r="D569" s="39" t="str">
        <f t="shared" si="141"/>
        <v>PS-05-GPDF</v>
      </c>
      <c r="E569" s="48" t="str">
        <f t="shared" si="142"/>
        <v>Poste de Sectionnement n°05 GPDF</v>
      </c>
      <c r="F569" s="19">
        <v>35065</v>
      </c>
      <c r="G569" s="19">
        <v>35065</v>
      </c>
      <c r="H569" s="41" t="s">
        <v>20</v>
      </c>
      <c r="I569" s="41">
        <v>1</v>
      </c>
      <c r="J569" s="41" t="s">
        <v>3557</v>
      </c>
      <c r="K569" s="41">
        <v>16</v>
      </c>
      <c r="L569" s="41"/>
      <c r="M569" s="41" t="s">
        <v>434</v>
      </c>
      <c r="N569" s="41" t="s">
        <v>2311</v>
      </c>
      <c r="O569" s="43">
        <f t="shared" si="139"/>
        <v>775</v>
      </c>
      <c r="P569" s="43">
        <f t="shared" si="140"/>
        <v>106.84399999999999</v>
      </c>
      <c r="Q569" s="41" t="s">
        <v>2329</v>
      </c>
      <c r="R569" s="48" t="str">
        <f t="shared" si="134"/>
        <v>(5,'PS-05-GPDF','Poste de Sectionnement n°05 GPDF','Monday-01-jj','Monday-01-jj',NULL,1,),</v>
      </c>
    </row>
    <row r="570" spans="1:18" ht="20.100000000000001" hidden="1" customHeight="1" x14ac:dyDescent="0.25">
      <c r="A570" s="38">
        <v>6</v>
      </c>
      <c r="B570" s="38" t="s">
        <v>434</v>
      </c>
      <c r="C570" s="38">
        <v>16</v>
      </c>
      <c r="D570" s="39" t="str">
        <f t="shared" si="141"/>
        <v>PS-06-GPDF</v>
      </c>
      <c r="E570" s="48" t="str">
        <f t="shared" si="142"/>
        <v>Poste de Sectionnement n°06 GPDF</v>
      </c>
      <c r="F570" s="19">
        <v>35065</v>
      </c>
      <c r="G570" s="19">
        <v>35065</v>
      </c>
      <c r="H570" s="41" t="s">
        <v>20</v>
      </c>
      <c r="I570" s="41">
        <v>1</v>
      </c>
      <c r="J570" s="41" t="s">
        <v>3557</v>
      </c>
      <c r="K570" s="41">
        <v>16</v>
      </c>
      <c r="L570" s="41"/>
      <c r="M570" s="41" t="s">
        <v>434</v>
      </c>
      <c r="N570" s="41" t="s">
        <v>2312</v>
      </c>
      <c r="O570" s="43">
        <f t="shared" si="139"/>
        <v>812</v>
      </c>
      <c r="P570" s="43">
        <f t="shared" si="140"/>
        <v>125.6</v>
      </c>
      <c r="Q570" s="41" t="s">
        <v>2330</v>
      </c>
      <c r="R570" s="48" t="str">
        <f t="shared" si="134"/>
        <v>(6,'PS-06-GPDF','Poste de Sectionnement n°06 GPDF','Monday-01-jj','Monday-01-jj',NULL,1,),</v>
      </c>
    </row>
    <row r="571" spans="1:18" ht="20.100000000000001" hidden="1" customHeight="1" x14ac:dyDescent="0.25">
      <c r="A571" s="38">
        <v>7</v>
      </c>
      <c r="B571" s="38" t="s">
        <v>434</v>
      </c>
      <c r="C571" s="38">
        <v>16</v>
      </c>
      <c r="D571" s="39" t="str">
        <f t="shared" si="141"/>
        <v>PS-07-GPDF</v>
      </c>
      <c r="E571" s="48" t="str">
        <f t="shared" si="142"/>
        <v>Poste de Sectionnement n°07 GPDF</v>
      </c>
      <c r="F571" s="19">
        <v>35065</v>
      </c>
      <c r="G571" s="19">
        <v>35065</v>
      </c>
      <c r="H571" s="41" t="s">
        <v>20</v>
      </c>
      <c r="I571" s="41">
        <v>1</v>
      </c>
      <c r="J571" s="41" t="s">
        <v>3557</v>
      </c>
      <c r="K571" s="41">
        <v>16</v>
      </c>
      <c r="L571" s="41"/>
      <c r="M571" s="41" t="s">
        <v>434</v>
      </c>
      <c r="N571" s="41" t="s">
        <v>2313</v>
      </c>
      <c r="O571" s="43">
        <f t="shared" si="139"/>
        <v>760.1</v>
      </c>
      <c r="P571" s="43">
        <f t="shared" si="140"/>
        <v>143.02000000000001</v>
      </c>
      <c r="Q571" s="41" t="s">
        <v>2330</v>
      </c>
      <c r="R571" s="48" t="str">
        <f t="shared" si="134"/>
        <v>(7,'PS-07-GPDF','Poste de Sectionnement n°07 GPDF','Monday-01-jj','Monday-01-jj',NULL,1,),</v>
      </c>
    </row>
    <row r="572" spans="1:18" ht="20.100000000000001" hidden="1" customHeight="1" x14ac:dyDescent="0.25">
      <c r="A572" s="38">
        <v>8</v>
      </c>
      <c r="B572" s="38" t="s">
        <v>434</v>
      </c>
      <c r="C572" s="38">
        <v>16</v>
      </c>
      <c r="D572" s="39" t="str">
        <f t="shared" si="141"/>
        <v>PS-08-GPDF</v>
      </c>
      <c r="E572" s="48" t="str">
        <f t="shared" si="142"/>
        <v>Poste de Sectionnement n°08 GPDF</v>
      </c>
      <c r="F572" s="19">
        <v>35065</v>
      </c>
      <c r="G572" s="19">
        <v>35065</v>
      </c>
      <c r="H572" s="41" t="s">
        <v>20</v>
      </c>
      <c r="I572" s="41">
        <v>1</v>
      </c>
      <c r="J572" s="41" t="s">
        <v>3557</v>
      </c>
      <c r="K572" s="41">
        <v>16</v>
      </c>
      <c r="L572" s="41"/>
      <c r="M572" s="41" t="s">
        <v>434</v>
      </c>
      <c r="N572" s="41" t="s">
        <v>2314</v>
      </c>
      <c r="O572" s="43">
        <f t="shared" si="139"/>
        <v>818</v>
      </c>
      <c r="P572" s="43">
        <f t="shared" si="140"/>
        <v>160.44</v>
      </c>
      <c r="Q572" s="41" t="s">
        <v>2330</v>
      </c>
      <c r="R572" s="48" t="str">
        <f t="shared" si="134"/>
        <v>(8,'PS-08-GPDF','Poste de Sectionnement n°08 GPDF','Monday-01-jj','Monday-01-jj',NULL,1,),</v>
      </c>
    </row>
    <row r="573" spans="1:18" ht="20.100000000000001" hidden="1" customHeight="1" x14ac:dyDescent="0.25">
      <c r="A573" s="38">
        <v>9</v>
      </c>
      <c r="B573" s="38" t="s">
        <v>434</v>
      </c>
      <c r="C573" s="38">
        <v>16</v>
      </c>
      <c r="D573" s="39" t="str">
        <f t="shared" si="141"/>
        <v>PS-09-GPDF</v>
      </c>
      <c r="E573" s="48" t="str">
        <f t="shared" si="142"/>
        <v>Poste de Sectionnement n°09 GPDF</v>
      </c>
      <c r="F573" s="19">
        <v>35065</v>
      </c>
      <c r="G573" s="19">
        <v>35065</v>
      </c>
      <c r="H573" s="41" t="s">
        <v>20</v>
      </c>
      <c r="I573" s="41">
        <v>1</v>
      </c>
      <c r="J573" s="41" t="s">
        <v>3557</v>
      </c>
      <c r="K573" s="41">
        <v>16</v>
      </c>
      <c r="L573" s="41"/>
      <c r="M573" s="41" t="s">
        <v>434</v>
      </c>
      <c r="N573" s="41" t="s">
        <v>2315</v>
      </c>
      <c r="O573" s="43">
        <f t="shared" si="139"/>
        <v>778</v>
      </c>
      <c r="P573" s="43">
        <f t="shared" si="140"/>
        <v>194.60599999999999</v>
      </c>
      <c r="Q573" s="41" t="s">
        <v>2330</v>
      </c>
      <c r="R573" s="48" t="str">
        <f t="shared" si="134"/>
        <v>(9,'PS-09-GPDF','Poste de Sectionnement n°09 GPDF','Monday-01-jj','Monday-01-jj',NULL,1,),</v>
      </c>
    </row>
    <row r="574" spans="1:18" ht="20.100000000000001" hidden="1" customHeight="1" x14ac:dyDescent="0.25">
      <c r="A574" s="38">
        <v>10</v>
      </c>
      <c r="B574" s="38" t="s">
        <v>434</v>
      </c>
      <c r="C574" s="38">
        <v>16</v>
      </c>
      <c r="D574" s="39" t="str">
        <f t="shared" si="141"/>
        <v>PS-10-GPDF</v>
      </c>
      <c r="E574" s="48" t="str">
        <f t="shared" si="142"/>
        <v>Poste de Sectionnement n°10 GPDF</v>
      </c>
      <c r="F574" s="19">
        <v>35065</v>
      </c>
      <c r="G574" s="19">
        <v>35065</v>
      </c>
      <c r="H574" s="41" t="s">
        <v>20</v>
      </c>
      <c r="I574" s="41">
        <v>1</v>
      </c>
      <c r="J574" s="41" t="s">
        <v>3557</v>
      </c>
      <c r="K574" s="41">
        <v>16</v>
      </c>
      <c r="L574" s="41"/>
      <c r="M574" s="41" t="s">
        <v>434</v>
      </c>
      <c r="N574" s="41" t="s">
        <v>2316</v>
      </c>
      <c r="O574" s="43">
        <f t="shared" si="139"/>
        <v>840.5</v>
      </c>
      <c r="P574" s="43">
        <f t="shared" si="140"/>
        <v>213.04499999999999</v>
      </c>
      <c r="Q574" s="41" t="s">
        <v>2330</v>
      </c>
      <c r="R574" s="48" t="str">
        <f t="shared" si="134"/>
        <v>(10,'PS-10-GPDF','Poste de Sectionnement n°10 GPDF','Monday-01-jj','Monday-01-jj',NULL,1,),</v>
      </c>
    </row>
    <row r="575" spans="1:18" ht="20.100000000000001" hidden="1" customHeight="1" x14ac:dyDescent="0.25">
      <c r="A575" s="38">
        <v>11</v>
      </c>
      <c r="B575" s="38" t="s">
        <v>434</v>
      </c>
      <c r="C575" s="38">
        <v>16</v>
      </c>
      <c r="D575" s="39" t="str">
        <f t="shared" si="141"/>
        <v>PS-11-GPDF</v>
      </c>
      <c r="E575" s="48" t="str">
        <f t="shared" si="142"/>
        <v>Poste de Sectionnement n°11 GPDF</v>
      </c>
      <c r="F575" s="19">
        <v>35065</v>
      </c>
      <c r="G575" s="19">
        <v>35065</v>
      </c>
      <c r="H575" s="41" t="s">
        <v>20</v>
      </c>
      <c r="I575" s="41">
        <v>1</v>
      </c>
      <c r="J575" s="41" t="s">
        <v>3557</v>
      </c>
      <c r="K575" s="41">
        <v>16</v>
      </c>
      <c r="L575" s="41"/>
      <c r="M575" s="41" t="s">
        <v>434</v>
      </c>
      <c r="N575" s="41" t="s">
        <v>2317</v>
      </c>
      <c r="O575" s="43">
        <f t="shared" si="139"/>
        <v>900</v>
      </c>
      <c r="P575" s="43">
        <f t="shared" si="140"/>
        <v>232.345</v>
      </c>
      <c r="Q575" s="41" t="s">
        <v>2330</v>
      </c>
      <c r="R575" s="48" t="str">
        <f t="shared" si="134"/>
        <v>(11,'PS-11-GPDF','Poste de Sectionnement n°11 GPDF','Monday-01-jj','Monday-01-jj',NULL,1,),</v>
      </c>
    </row>
    <row r="576" spans="1:18" ht="20.100000000000001" hidden="1" customHeight="1" x14ac:dyDescent="0.25">
      <c r="A576" s="38">
        <v>12</v>
      </c>
      <c r="B576" s="38" t="s">
        <v>434</v>
      </c>
      <c r="C576" s="38">
        <v>16</v>
      </c>
      <c r="D576" s="39" t="str">
        <f t="shared" si="141"/>
        <v>PS-12-GPDF</v>
      </c>
      <c r="E576" s="48" t="str">
        <f t="shared" si="142"/>
        <v>Poste de Sectionnement n°12 GPDF</v>
      </c>
      <c r="F576" s="19">
        <v>35065</v>
      </c>
      <c r="G576" s="19">
        <v>35065</v>
      </c>
      <c r="H576" s="41" t="s">
        <v>20</v>
      </c>
      <c r="I576" s="41">
        <v>1</v>
      </c>
      <c r="J576" s="41" t="s">
        <v>3557</v>
      </c>
      <c r="K576" s="41">
        <v>16</v>
      </c>
      <c r="L576" s="41"/>
      <c r="M576" s="41" t="s">
        <v>434</v>
      </c>
      <c r="N576" s="41" t="s">
        <v>2318</v>
      </c>
      <c r="O576" s="43">
        <f t="shared" si="139"/>
        <v>956</v>
      </c>
      <c r="P576" s="43">
        <f t="shared" si="140"/>
        <v>249.97200000000001</v>
      </c>
      <c r="Q576" s="41" t="s">
        <v>2331</v>
      </c>
      <c r="R576" s="48" t="str">
        <f t="shared" si="134"/>
        <v>(12,'PS-12-GPDF','Poste de Sectionnement n°12 GPDF','Monday-01-jj','Monday-01-jj',NULL,1,),</v>
      </c>
    </row>
    <row r="577" spans="1:18" ht="20.100000000000001" hidden="1" customHeight="1" x14ac:dyDescent="0.25">
      <c r="A577" s="38">
        <v>13</v>
      </c>
      <c r="B577" s="38" t="s">
        <v>434</v>
      </c>
      <c r="C577" s="38">
        <v>16</v>
      </c>
      <c r="D577" s="39" t="str">
        <f t="shared" si="141"/>
        <v>PS-13-GPDF</v>
      </c>
      <c r="E577" s="48" t="str">
        <f t="shared" si="142"/>
        <v>Poste de Sectionnement n°13 GPDF</v>
      </c>
      <c r="F577" s="19">
        <v>35065</v>
      </c>
      <c r="G577" s="19">
        <v>35065</v>
      </c>
      <c r="H577" s="41" t="s">
        <v>20</v>
      </c>
      <c r="I577" s="41">
        <v>1</v>
      </c>
      <c r="J577" s="41" t="s">
        <v>3557</v>
      </c>
      <c r="K577" s="41">
        <v>16</v>
      </c>
      <c r="L577" s="41"/>
      <c r="M577" s="41" t="s">
        <v>434</v>
      </c>
      <c r="N577" s="41" t="s">
        <v>2319</v>
      </c>
      <c r="O577" s="43">
        <f t="shared" si="139"/>
        <v>1082</v>
      </c>
      <c r="P577" s="43">
        <f t="shared" si="140"/>
        <v>293.90100000000001</v>
      </c>
      <c r="Q577" s="41" t="s">
        <v>2332</v>
      </c>
      <c r="R577" s="48" t="str">
        <f t="shared" si="134"/>
        <v>(13,'PS-13-GPDF','Poste de Sectionnement n°13 GPDF','Monday-01-jj','Monday-01-jj',NULL,1,),</v>
      </c>
    </row>
    <row r="578" spans="1:18" ht="20.100000000000001" hidden="1" customHeight="1" x14ac:dyDescent="0.25">
      <c r="A578" s="38">
        <v>14</v>
      </c>
      <c r="B578" s="38" t="s">
        <v>434</v>
      </c>
      <c r="C578" s="38">
        <v>16</v>
      </c>
      <c r="D578" s="39" t="str">
        <f t="shared" si="141"/>
        <v>PS-14-GPDF</v>
      </c>
      <c r="E578" s="48" t="str">
        <f t="shared" si="142"/>
        <v>Poste de Sectionnement n°14 GPDF</v>
      </c>
      <c r="F578" s="19">
        <v>35065</v>
      </c>
      <c r="G578" s="19">
        <v>35065</v>
      </c>
      <c r="H578" s="41" t="s">
        <v>20</v>
      </c>
      <c r="I578" s="41">
        <v>1</v>
      </c>
      <c r="J578" s="41" t="s">
        <v>3557</v>
      </c>
      <c r="K578" s="41">
        <v>16</v>
      </c>
      <c r="L578" s="41"/>
      <c r="M578" s="41" t="s">
        <v>434</v>
      </c>
      <c r="N578" s="41" t="s">
        <v>2320</v>
      </c>
      <c r="O578" s="43">
        <f t="shared" si="139"/>
        <v>1241</v>
      </c>
      <c r="P578" s="43">
        <f t="shared" si="140"/>
        <v>314.53300000000002</v>
      </c>
      <c r="Q578" s="41" t="s">
        <v>2333</v>
      </c>
      <c r="R578" s="48" t="str">
        <f t="shared" si="134"/>
        <v>(14,'PS-14-GPDF','Poste de Sectionnement n°14 GPDF','Monday-01-jj','Monday-01-jj',NULL,1,),</v>
      </c>
    </row>
    <row r="579" spans="1:18" ht="20.100000000000001" hidden="1" customHeight="1" x14ac:dyDescent="0.25">
      <c r="A579" s="38">
        <v>15</v>
      </c>
      <c r="B579" s="38" t="s">
        <v>434</v>
      </c>
      <c r="C579" s="38">
        <v>16</v>
      </c>
      <c r="D579" s="39" t="str">
        <f t="shared" si="141"/>
        <v>PS-15-GPDF</v>
      </c>
      <c r="E579" s="48" t="str">
        <f t="shared" si="142"/>
        <v>Poste de Sectionnement n°15 GPDF</v>
      </c>
      <c r="F579" s="19">
        <v>35065</v>
      </c>
      <c r="G579" s="19">
        <v>35065</v>
      </c>
      <c r="H579" s="41" t="s">
        <v>20</v>
      </c>
      <c r="I579" s="41">
        <v>1</v>
      </c>
      <c r="J579" s="41" t="s">
        <v>3557</v>
      </c>
      <c r="K579" s="41">
        <v>16</v>
      </c>
      <c r="L579" s="41"/>
      <c r="M579" s="41" t="s">
        <v>434</v>
      </c>
      <c r="N579" s="41" t="s">
        <v>2321</v>
      </c>
      <c r="O579" s="43">
        <f t="shared" si="139"/>
        <v>1253.5</v>
      </c>
      <c r="P579" s="43">
        <f t="shared" si="140"/>
        <v>326.21699999999998</v>
      </c>
      <c r="Q579" s="41" t="s">
        <v>2333</v>
      </c>
      <c r="R579" s="48" t="str">
        <f t="shared" si="134"/>
        <v>(15,'PS-15-GPDF','Poste de Sectionnement n°15 GPDF','Monday-01-jj','Monday-01-jj',NULL,1,),</v>
      </c>
    </row>
    <row r="580" spans="1:18" ht="20.100000000000001" hidden="1" customHeight="1" x14ac:dyDescent="0.25">
      <c r="A580" s="38">
        <v>16</v>
      </c>
      <c r="B580" s="38" t="s">
        <v>434</v>
      </c>
      <c r="C580" s="38">
        <v>16</v>
      </c>
      <c r="D580" s="39" t="str">
        <f t="shared" si="141"/>
        <v>PS-16-GPDF</v>
      </c>
      <c r="E580" s="48" t="str">
        <f t="shared" si="142"/>
        <v>Poste de Sectionnement n°16 GPDF</v>
      </c>
      <c r="F580" s="19">
        <v>35065</v>
      </c>
      <c r="G580" s="19">
        <v>35065</v>
      </c>
      <c r="H580" s="41" t="s">
        <v>20</v>
      </c>
      <c r="I580" s="41">
        <v>1</v>
      </c>
      <c r="J580" s="41" t="s">
        <v>3557</v>
      </c>
      <c r="K580" s="41">
        <v>16</v>
      </c>
      <c r="L580" s="41"/>
      <c r="M580" s="41" t="s">
        <v>434</v>
      </c>
      <c r="N580" s="41" t="s">
        <v>2322</v>
      </c>
      <c r="O580" s="43">
        <f t="shared" si="139"/>
        <v>1165.5899999999999</v>
      </c>
      <c r="P580" s="43">
        <f t="shared" si="140"/>
        <v>361.74</v>
      </c>
      <c r="Q580" s="41" t="s">
        <v>2334</v>
      </c>
      <c r="R580" s="48" t="str">
        <f t="shared" si="134"/>
        <v>(16,'PS-16-GPDF','Poste de Sectionnement n°16 GPDF','Monday-01-jj','Monday-01-jj',NULL,1,),</v>
      </c>
    </row>
    <row r="581" spans="1:18" ht="20.100000000000001" hidden="1" customHeight="1" x14ac:dyDescent="0.25">
      <c r="A581" s="38">
        <v>17</v>
      </c>
      <c r="B581" s="38" t="s">
        <v>434</v>
      </c>
      <c r="C581" s="38">
        <v>16</v>
      </c>
      <c r="D581" s="39" t="str">
        <f t="shared" si="141"/>
        <v>PS-17-GPDF</v>
      </c>
      <c r="E581" s="48" t="str">
        <f t="shared" si="142"/>
        <v>Poste de Sectionnement n°17 GPDF</v>
      </c>
      <c r="F581" s="19">
        <v>35065</v>
      </c>
      <c r="G581" s="19">
        <v>35065</v>
      </c>
      <c r="H581" s="41" t="s">
        <v>20</v>
      </c>
      <c r="I581" s="41">
        <v>1</v>
      </c>
      <c r="J581" s="41" t="s">
        <v>3557</v>
      </c>
      <c r="K581" s="41">
        <v>16</v>
      </c>
      <c r="L581" s="41"/>
      <c r="M581" s="41" t="s">
        <v>434</v>
      </c>
      <c r="N581" s="41" t="s">
        <v>2323</v>
      </c>
      <c r="O581" s="43">
        <f t="shared" si="139"/>
        <v>1126.5899999999999</v>
      </c>
      <c r="P581" s="43">
        <f t="shared" si="140"/>
        <v>381.459</v>
      </c>
      <c r="Q581" s="41" t="s">
        <v>2335</v>
      </c>
      <c r="R581" s="48" t="str">
        <f t="shared" si="134"/>
        <v>(17,'PS-17-GPDF','Poste de Sectionnement n°17 GPDF','Monday-01-jj','Monday-01-jj',NULL,1,),</v>
      </c>
    </row>
    <row r="582" spans="1:18" ht="20.100000000000001" hidden="1" customHeight="1" x14ac:dyDescent="0.25">
      <c r="A582" s="38">
        <v>18</v>
      </c>
      <c r="B582" s="38" t="s">
        <v>434</v>
      </c>
      <c r="C582" s="38">
        <v>16</v>
      </c>
      <c r="D582" s="39" t="str">
        <f t="shared" si="141"/>
        <v>PS-18-GPDF</v>
      </c>
      <c r="E582" s="48" t="str">
        <f t="shared" si="142"/>
        <v>Poste de Sectionnement n°18 GPDF</v>
      </c>
      <c r="F582" s="19">
        <v>35065</v>
      </c>
      <c r="G582" s="19">
        <v>35065</v>
      </c>
      <c r="H582" s="41" t="s">
        <v>20</v>
      </c>
      <c r="I582" s="41">
        <v>1</v>
      </c>
      <c r="J582" s="41" t="s">
        <v>3557</v>
      </c>
      <c r="K582" s="41">
        <v>16</v>
      </c>
      <c r="L582" s="41"/>
      <c r="M582" s="41" t="s">
        <v>434</v>
      </c>
      <c r="N582" s="41" t="s">
        <v>2324</v>
      </c>
      <c r="O582" s="43">
        <f t="shared" si="139"/>
        <v>1092.5899999999999</v>
      </c>
      <c r="P582" s="43">
        <f t="shared" si="140"/>
        <v>401.37900000000002</v>
      </c>
      <c r="Q582" s="41" t="s">
        <v>2335</v>
      </c>
      <c r="R582" s="48" t="str">
        <f t="shared" si="134"/>
        <v>(18,'PS-18-GPDF','Poste de Sectionnement n°18 GPDF','Monday-01-jj','Monday-01-jj',NULL,1,),</v>
      </c>
    </row>
    <row r="583" spans="1:18" ht="20.100000000000001" hidden="1" customHeight="1" x14ac:dyDescent="0.25">
      <c r="A583" s="38">
        <v>19</v>
      </c>
      <c r="B583" s="38" t="s">
        <v>434</v>
      </c>
      <c r="C583" s="38">
        <v>16</v>
      </c>
      <c r="D583" s="39" t="str">
        <f t="shared" si="141"/>
        <v>PS-19-GPDF</v>
      </c>
      <c r="E583" s="48" t="str">
        <f t="shared" si="142"/>
        <v>Poste de Sectionnement n°19 GPDF</v>
      </c>
      <c r="F583" s="19">
        <v>35065</v>
      </c>
      <c r="G583" s="19">
        <v>35065</v>
      </c>
      <c r="H583" s="41" t="s">
        <v>20</v>
      </c>
      <c r="I583" s="41">
        <v>1</v>
      </c>
      <c r="J583" s="41" t="s">
        <v>3557</v>
      </c>
      <c r="K583" s="41">
        <v>16</v>
      </c>
      <c r="L583" s="41"/>
      <c r="M583" s="41" t="s">
        <v>434</v>
      </c>
      <c r="N583" s="41" t="s">
        <v>2325</v>
      </c>
      <c r="O583" s="43">
        <f t="shared" si="139"/>
        <v>1084.1199999999999</v>
      </c>
      <c r="P583" s="43">
        <f t="shared" si="140"/>
        <v>421.19</v>
      </c>
      <c r="Q583" s="41" t="s">
        <v>2335</v>
      </c>
      <c r="R583" s="48" t="str">
        <f t="shared" si="134"/>
        <v>(19,'PS-19-GPDF','Poste de Sectionnement n°19 GPDF','Monday-01-jj','Monday-01-jj',NULL,1,),</v>
      </c>
    </row>
    <row r="584" spans="1:18" ht="20.100000000000001" hidden="1" customHeight="1" x14ac:dyDescent="0.25">
      <c r="A584" s="38">
        <v>20</v>
      </c>
      <c r="B584" s="38" t="s">
        <v>434</v>
      </c>
      <c r="C584" s="38">
        <v>16</v>
      </c>
      <c r="D584" s="39" t="str">
        <f t="shared" si="141"/>
        <v>PS-20-GPDF</v>
      </c>
      <c r="E584" s="48" t="str">
        <f t="shared" si="142"/>
        <v>Poste de Sectionnement n°20 GPDF</v>
      </c>
      <c r="F584" s="19">
        <v>35065</v>
      </c>
      <c r="G584" s="19">
        <v>35065</v>
      </c>
      <c r="H584" s="41" t="s">
        <v>20</v>
      </c>
      <c r="I584" s="41">
        <v>1</v>
      </c>
      <c r="J584" s="41" t="s">
        <v>3557</v>
      </c>
      <c r="K584" s="41">
        <v>16</v>
      </c>
      <c r="L584" s="41"/>
      <c r="M584" s="41" t="s">
        <v>434</v>
      </c>
      <c r="N584" s="41" t="s">
        <v>2326</v>
      </c>
      <c r="O584" s="43">
        <f t="shared" si="139"/>
        <v>1090.8</v>
      </c>
      <c r="P584" s="43">
        <f t="shared" si="140"/>
        <v>460.99900000000002</v>
      </c>
      <c r="Q584" s="41" t="s">
        <v>2336</v>
      </c>
      <c r="R584" s="48" t="str">
        <f t="shared" si="134"/>
        <v>(20,'PS-20-GPDF','Poste de Sectionnement n°20 GPDF','Monday-01-jj','Monday-01-jj',NULL,1,),</v>
      </c>
    </row>
    <row r="585" spans="1:18" ht="20.100000000000001" hidden="1" customHeight="1" x14ac:dyDescent="0.25">
      <c r="A585" s="38">
        <v>21</v>
      </c>
      <c r="B585" s="38" t="s">
        <v>434</v>
      </c>
      <c r="C585" s="38">
        <v>16</v>
      </c>
      <c r="D585" s="39" t="str">
        <f t="shared" si="141"/>
        <v>PS-21-GPDF</v>
      </c>
      <c r="E585" s="48" t="str">
        <f t="shared" si="142"/>
        <v>Poste de Sectionnement n°21 GPDF</v>
      </c>
      <c r="F585" s="19">
        <v>35065</v>
      </c>
      <c r="G585" s="19">
        <v>35065</v>
      </c>
      <c r="H585" s="41" t="s">
        <v>20</v>
      </c>
      <c r="I585" s="41">
        <v>1</v>
      </c>
      <c r="J585" s="41" t="s">
        <v>3557</v>
      </c>
      <c r="K585" s="41">
        <v>16</v>
      </c>
      <c r="L585" s="41"/>
      <c r="M585" s="41" t="s">
        <v>434</v>
      </c>
      <c r="N585" s="41" t="s">
        <v>2327</v>
      </c>
      <c r="O585" s="43">
        <f t="shared" si="139"/>
        <v>1133.0999999999999</v>
      </c>
      <c r="P585" s="43">
        <f t="shared" si="140"/>
        <v>480.98399999999998</v>
      </c>
      <c r="Q585" s="41" t="s">
        <v>2336</v>
      </c>
      <c r="R585" s="48" t="str">
        <f t="shared" si="134"/>
        <v>(21,'PS-21-GPDF','Poste de Sectionnement n°21 GPDF','Monday-01-jj','Monday-01-jj',NULL,1,),</v>
      </c>
    </row>
    <row r="586" spans="1:18" ht="20.100000000000001" hidden="1" customHeight="1" x14ac:dyDescent="0.25">
      <c r="A586" s="38">
        <v>22</v>
      </c>
      <c r="B586" s="38" t="s">
        <v>434</v>
      </c>
      <c r="C586" s="38">
        <v>16</v>
      </c>
      <c r="D586" s="39" t="str">
        <f t="shared" si="141"/>
        <v>PS-22-GPDF</v>
      </c>
      <c r="E586" s="48" t="str">
        <f t="shared" si="142"/>
        <v>Poste de Sectionnement n°22 GPDF</v>
      </c>
      <c r="F586" s="19">
        <v>35065</v>
      </c>
      <c r="G586" s="19">
        <v>35065</v>
      </c>
      <c r="H586" s="41" t="s">
        <v>20</v>
      </c>
      <c r="I586" s="41">
        <v>1</v>
      </c>
      <c r="J586" s="41" t="s">
        <v>3557</v>
      </c>
      <c r="K586" s="41">
        <v>16</v>
      </c>
      <c r="L586" s="41"/>
      <c r="M586" s="41" t="s">
        <v>434</v>
      </c>
      <c r="N586" s="41" t="s">
        <v>2328</v>
      </c>
      <c r="O586" s="43">
        <f t="shared" si="139"/>
        <v>1159.27</v>
      </c>
      <c r="P586" s="43">
        <f t="shared" si="140"/>
        <v>500.697</v>
      </c>
      <c r="Q586" s="41" t="s">
        <v>2336</v>
      </c>
      <c r="R586" s="48" t="str">
        <f t="shared" si="134"/>
        <v>(22,'PS-22-GPDF','Poste de Sectionnement n°22 GPDF','Monday-01-jj','Monday-01-jj',NULL,1,),</v>
      </c>
    </row>
    <row r="587" spans="1:18" ht="20.100000000000001" hidden="1" customHeight="1" x14ac:dyDescent="0.25">
      <c r="A587" s="38">
        <v>1</v>
      </c>
      <c r="B587" s="38" t="s">
        <v>434</v>
      </c>
      <c r="C587" s="38">
        <v>16</v>
      </c>
      <c r="D587" s="39" t="str">
        <f t="shared" si="141"/>
        <v>PS-01-EGPDF</v>
      </c>
      <c r="E587" s="48" t="str">
        <f t="shared" si="142"/>
        <v>Poste de Sectionnement n°01 EGPDF</v>
      </c>
      <c r="F587" s="19">
        <v>44197</v>
      </c>
      <c r="G587" s="19">
        <v>44197</v>
      </c>
      <c r="H587" s="41" t="s">
        <v>20</v>
      </c>
      <c r="I587" s="41">
        <v>1</v>
      </c>
      <c r="J587" s="41" t="s">
        <v>3557</v>
      </c>
      <c r="K587" s="41">
        <v>16</v>
      </c>
      <c r="L587" s="41"/>
      <c r="M587" s="41" t="s">
        <v>436</v>
      </c>
      <c r="N587" s="41" t="s">
        <v>2337</v>
      </c>
      <c r="O587" s="43">
        <v>1228</v>
      </c>
      <c r="P587" s="43">
        <f>VALUE(SUBSTITUTE(N587,"+",","))</f>
        <v>19.745000000000001</v>
      </c>
      <c r="Q587" s="41" t="s">
        <v>2346</v>
      </c>
      <c r="R587" s="48" t="str">
        <f t="shared" si="134"/>
        <v>(1,'PS-01-EGPDF','Poste de Sectionnement n°01 EGPDF','Friday-01-jj','Friday-01-jj',NULL,1,),</v>
      </c>
    </row>
    <row r="588" spans="1:18" ht="20.100000000000001" hidden="1" customHeight="1" x14ac:dyDescent="0.25">
      <c r="A588" s="38">
        <v>2</v>
      </c>
      <c r="B588" s="38" t="s">
        <v>434</v>
      </c>
      <c r="C588" s="38">
        <v>16</v>
      </c>
      <c r="D588" s="39" t="str">
        <f t="shared" si="141"/>
        <v>PS-02-EGPDF</v>
      </c>
      <c r="E588" s="48" t="str">
        <f t="shared" si="142"/>
        <v>Poste de Sectionnement n°02 EGPDF</v>
      </c>
      <c r="F588" s="19">
        <v>44197</v>
      </c>
      <c r="G588" s="19">
        <v>44197</v>
      </c>
      <c r="H588" s="41" t="s">
        <v>20</v>
      </c>
      <c r="I588" s="41">
        <v>1</v>
      </c>
      <c r="J588" s="41" t="s">
        <v>3557</v>
      </c>
      <c r="K588" s="41">
        <v>16</v>
      </c>
      <c r="L588" s="41"/>
      <c r="M588" s="41" t="s">
        <v>436</v>
      </c>
      <c r="N588" s="41" t="s">
        <v>2338</v>
      </c>
      <c r="O588" s="43">
        <v>1238</v>
      </c>
      <c r="P588" s="43">
        <f t="shared" ref="P588:P595" si="143">VALUE(SUBSTITUTE(N588,"+",","))</f>
        <v>40.497</v>
      </c>
      <c r="Q588" s="41" t="s">
        <v>2347</v>
      </c>
      <c r="R588" s="48" t="str">
        <f t="shared" si="134"/>
        <v>(2,'PS-02-EGPDF','Poste de Sectionnement n°02 EGPDF','Friday-01-jj','Friday-01-jj',NULL,1,),</v>
      </c>
    </row>
    <row r="589" spans="1:18" ht="20.100000000000001" hidden="1" customHeight="1" x14ac:dyDescent="0.25">
      <c r="A589" s="38">
        <v>3</v>
      </c>
      <c r="B589" s="38" t="s">
        <v>434</v>
      </c>
      <c r="C589" s="38">
        <v>16</v>
      </c>
      <c r="D589" s="39" t="str">
        <f t="shared" ref="D589:D596" si="144">CONCATENATE("PS-",TEXT(A589,"00"),"-",M589)</f>
        <v>PS-03-EGPDF</v>
      </c>
      <c r="E589" s="48" t="str">
        <f t="shared" ref="E589:E596" si="145">CONCATENATE("Poste de Sectionnement n°",TEXT(A589,"00")," ",M589)</f>
        <v>Poste de Sectionnement n°03 EGPDF</v>
      </c>
      <c r="F589" s="19">
        <v>44197</v>
      </c>
      <c r="G589" s="19">
        <v>44197</v>
      </c>
      <c r="H589" s="41" t="s">
        <v>20</v>
      </c>
      <c r="I589" s="41">
        <v>1</v>
      </c>
      <c r="J589" s="41" t="s">
        <v>3557</v>
      </c>
      <c r="K589" s="41">
        <v>16</v>
      </c>
      <c r="L589" s="41"/>
      <c r="M589" s="41" t="s">
        <v>436</v>
      </c>
      <c r="N589" s="41" t="s">
        <v>2339</v>
      </c>
      <c r="O589" s="43">
        <v>1134</v>
      </c>
      <c r="P589" s="43">
        <f t="shared" si="143"/>
        <v>61.808</v>
      </c>
      <c r="Q589" s="41" t="s">
        <v>2347</v>
      </c>
      <c r="R589" s="48" t="str">
        <f t="shared" si="134"/>
        <v>(3,'PS-03-EGPDF','Poste de Sectionnement n°03 EGPDF','Friday-01-jj','Friday-01-jj',NULL,1,),</v>
      </c>
    </row>
    <row r="590" spans="1:18" ht="20.100000000000001" hidden="1" customHeight="1" x14ac:dyDescent="0.25">
      <c r="A590" s="38">
        <v>4</v>
      </c>
      <c r="B590" s="38" t="s">
        <v>434</v>
      </c>
      <c r="C590" s="38">
        <v>16</v>
      </c>
      <c r="D590" s="39" t="str">
        <f t="shared" si="144"/>
        <v>PS-04-EGPDF</v>
      </c>
      <c r="E590" s="48" t="str">
        <f t="shared" si="145"/>
        <v>Poste de Sectionnement n°04 EGPDF</v>
      </c>
      <c r="F590" s="19">
        <v>44197</v>
      </c>
      <c r="G590" s="19">
        <v>44197</v>
      </c>
      <c r="H590" s="41" t="s">
        <v>20</v>
      </c>
      <c r="I590" s="41">
        <v>1</v>
      </c>
      <c r="J590" s="41" t="s">
        <v>3557</v>
      </c>
      <c r="K590" s="41">
        <v>16</v>
      </c>
      <c r="L590" s="41"/>
      <c r="M590" s="41" t="s">
        <v>436</v>
      </c>
      <c r="N590" s="41" t="s">
        <v>2340</v>
      </c>
      <c r="O590" s="43">
        <v>1126</v>
      </c>
      <c r="P590" s="43">
        <f t="shared" si="143"/>
        <v>81.701999999999998</v>
      </c>
      <c r="Q590" s="41" t="s">
        <v>2347</v>
      </c>
      <c r="R590" s="48" t="str">
        <f t="shared" si="134"/>
        <v>(4,'PS-04-EGPDF','Poste de Sectionnement n°04 EGPDF','Friday-01-jj','Friday-01-jj',NULL,1,),</v>
      </c>
    </row>
    <row r="591" spans="1:18" ht="20.100000000000001" hidden="1" customHeight="1" x14ac:dyDescent="0.25">
      <c r="A591" s="38">
        <v>5</v>
      </c>
      <c r="B591" s="38" t="s">
        <v>434</v>
      </c>
      <c r="C591" s="38">
        <v>16</v>
      </c>
      <c r="D591" s="39" t="str">
        <f t="shared" si="144"/>
        <v>PS-05-EGPDF</v>
      </c>
      <c r="E591" s="48" t="str">
        <f t="shared" si="145"/>
        <v>Poste de Sectionnement n°05 EGPDF</v>
      </c>
      <c r="F591" s="19">
        <v>44197</v>
      </c>
      <c r="G591" s="19">
        <v>44197</v>
      </c>
      <c r="H591" s="41" t="s">
        <v>20</v>
      </c>
      <c r="I591" s="41">
        <v>1</v>
      </c>
      <c r="J591" s="41" t="s">
        <v>3557</v>
      </c>
      <c r="K591" s="41">
        <v>16</v>
      </c>
      <c r="L591" s="41"/>
      <c r="M591" s="41" t="s">
        <v>436</v>
      </c>
      <c r="N591" s="41" t="s">
        <v>2341</v>
      </c>
      <c r="O591" s="43">
        <v>1016</v>
      </c>
      <c r="P591" s="43">
        <f t="shared" si="143"/>
        <v>123.54300000000001</v>
      </c>
      <c r="Q591" s="41" t="s">
        <v>2348</v>
      </c>
      <c r="R591" s="48" t="str">
        <f t="shared" si="134"/>
        <v>(5,'PS-05-EGPDF','Poste de Sectionnement n°05 EGPDF','Friday-01-jj','Friday-01-jj',NULL,1,),</v>
      </c>
    </row>
    <row r="592" spans="1:18" ht="20.100000000000001" hidden="1" customHeight="1" x14ac:dyDescent="0.25">
      <c r="A592" s="38">
        <v>6</v>
      </c>
      <c r="B592" s="38" t="s">
        <v>434</v>
      </c>
      <c r="C592" s="38">
        <v>16</v>
      </c>
      <c r="D592" s="39" t="str">
        <f t="shared" si="144"/>
        <v>PS-06-EGPDF</v>
      </c>
      <c r="E592" s="48" t="str">
        <f t="shared" si="145"/>
        <v>Poste de Sectionnement n°06 EGPDF</v>
      </c>
      <c r="F592" s="19">
        <v>44197</v>
      </c>
      <c r="G592" s="19">
        <v>44197</v>
      </c>
      <c r="H592" s="41" t="s">
        <v>20</v>
      </c>
      <c r="I592" s="41">
        <v>1</v>
      </c>
      <c r="J592" s="41" t="s">
        <v>3557</v>
      </c>
      <c r="K592" s="41">
        <v>16</v>
      </c>
      <c r="L592" s="41"/>
      <c r="M592" s="41" t="s">
        <v>436</v>
      </c>
      <c r="N592" s="41" t="s">
        <v>2342</v>
      </c>
      <c r="O592" s="43">
        <v>664</v>
      </c>
      <c r="P592" s="43">
        <f t="shared" si="143"/>
        <v>142.55600000000001</v>
      </c>
      <c r="Q592" s="41" t="s">
        <v>2349</v>
      </c>
      <c r="R592" s="48" t="str">
        <f t="shared" si="134"/>
        <v>(6,'PS-06-EGPDF','Poste de Sectionnement n°06 EGPDF','Friday-01-jj','Friday-01-jj',NULL,1,),</v>
      </c>
    </row>
    <row r="593" spans="1:18" ht="20.100000000000001" hidden="1" customHeight="1" x14ac:dyDescent="0.25">
      <c r="A593" s="38">
        <v>7</v>
      </c>
      <c r="B593" s="38" t="s">
        <v>434</v>
      </c>
      <c r="C593" s="38">
        <v>16</v>
      </c>
      <c r="D593" s="39" t="str">
        <f t="shared" si="144"/>
        <v>PS-07-EGPDF</v>
      </c>
      <c r="E593" s="48" t="str">
        <f t="shared" si="145"/>
        <v>Poste de Sectionnement n°07 EGPDF</v>
      </c>
      <c r="F593" s="19">
        <v>44197</v>
      </c>
      <c r="G593" s="19">
        <v>44197</v>
      </c>
      <c r="H593" s="41" t="s">
        <v>20</v>
      </c>
      <c r="I593" s="41">
        <v>1</v>
      </c>
      <c r="J593" s="41" t="s">
        <v>3557</v>
      </c>
      <c r="K593" s="41">
        <v>16</v>
      </c>
      <c r="L593" s="41"/>
      <c r="M593" s="41" t="s">
        <v>436</v>
      </c>
      <c r="N593" s="41" t="s">
        <v>2343</v>
      </c>
      <c r="O593" s="43">
        <v>579</v>
      </c>
      <c r="P593" s="43">
        <f t="shared" si="143"/>
        <v>162.51300000000001</v>
      </c>
      <c r="Q593" s="41" t="s">
        <v>2350</v>
      </c>
      <c r="R593" s="48" t="str">
        <f t="shared" si="134"/>
        <v>(7,'PS-07-EGPDF','Poste de Sectionnement n°07 EGPDF','Friday-01-jj','Friday-01-jj',NULL,1,),</v>
      </c>
    </row>
    <row r="594" spans="1:18" ht="20.100000000000001" hidden="1" customHeight="1" x14ac:dyDescent="0.25">
      <c r="A594" s="38">
        <v>8</v>
      </c>
      <c r="B594" s="38" t="s">
        <v>434</v>
      </c>
      <c r="C594" s="38">
        <v>16</v>
      </c>
      <c r="D594" s="39" t="str">
        <f t="shared" si="144"/>
        <v>PS-08-EGPDF</v>
      </c>
      <c r="E594" s="48" t="str">
        <f t="shared" si="145"/>
        <v>Poste de Sectionnement n°08 EGPDF</v>
      </c>
      <c r="F594" s="19">
        <v>44197</v>
      </c>
      <c r="G594" s="19">
        <v>44197</v>
      </c>
      <c r="H594" s="41" t="s">
        <v>20</v>
      </c>
      <c r="I594" s="41">
        <v>1</v>
      </c>
      <c r="J594" s="41" t="s">
        <v>3557</v>
      </c>
      <c r="K594" s="41">
        <v>16</v>
      </c>
      <c r="L594" s="41"/>
      <c r="M594" s="41" t="s">
        <v>436</v>
      </c>
      <c r="N594" s="41" t="s">
        <v>2344</v>
      </c>
      <c r="O594" s="43">
        <v>561</v>
      </c>
      <c r="P594" s="43">
        <f t="shared" si="143"/>
        <v>173.44</v>
      </c>
      <c r="Q594" s="41" t="s">
        <v>2351</v>
      </c>
      <c r="R594" s="48" t="str">
        <f t="shared" si="134"/>
        <v>(8,'PS-08-EGPDF','Poste de Sectionnement n°08 EGPDF','Friday-01-jj','Friday-01-jj',NULL,1,),</v>
      </c>
    </row>
    <row r="595" spans="1:18" ht="20.100000000000001" hidden="1" customHeight="1" x14ac:dyDescent="0.25">
      <c r="A595" s="38">
        <v>9</v>
      </c>
      <c r="B595" s="38" t="s">
        <v>434</v>
      </c>
      <c r="C595" s="38">
        <v>16</v>
      </c>
      <c r="D595" s="39" t="str">
        <f t="shared" si="144"/>
        <v>PS-09-EGPDF</v>
      </c>
      <c r="E595" s="48" t="str">
        <f t="shared" si="145"/>
        <v>Poste de Sectionnement n°09 EGPDF</v>
      </c>
      <c r="F595" s="19">
        <v>44197</v>
      </c>
      <c r="G595" s="19">
        <v>44197</v>
      </c>
      <c r="H595" s="41" t="s">
        <v>20</v>
      </c>
      <c r="I595" s="41">
        <v>1</v>
      </c>
      <c r="J595" s="41" t="s">
        <v>3557</v>
      </c>
      <c r="K595" s="41">
        <v>16</v>
      </c>
      <c r="L595" s="41"/>
      <c r="M595" s="41" t="s">
        <v>436</v>
      </c>
      <c r="N595" s="41" t="s">
        <v>2345</v>
      </c>
      <c r="O595" s="43">
        <v>273</v>
      </c>
      <c r="P595" s="43">
        <f t="shared" si="143"/>
        <v>186.155</v>
      </c>
      <c r="Q595" s="41" t="s">
        <v>2352</v>
      </c>
      <c r="R595" s="48" t="str">
        <f t="shared" si="134"/>
        <v>(9,'PS-09-EGPDF','Poste de Sectionnement n°09 EGPDF','Friday-01-jj','Friday-01-jj',NULL,1,),</v>
      </c>
    </row>
    <row r="596" spans="1:18" ht="20.100000000000001" hidden="1" customHeight="1" x14ac:dyDescent="0.25">
      <c r="A596" s="38">
        <v>1</v>
      </c>
      <c r="B596" s="38" t="s">
        <v>685</v>
      </c>
      <c r="C596" s="38">
        <v>19</v>
      </c>
      <c r="D596" s="39" t="str">
        <f t="shared" si="144"/>
        <v>PS-01-GO1</v>
      </c>
      <c r="E596" s="48" t="str">
        <f t="shared" si="145"/>
        <v>Poste de Sectionnement n°01 GO1</v>
      </c>
      <c r="F596" s="19">
        <v>29952</v>
      </c>
      <c r="G596" s="19">
        <v>29952</v>
      </c>
      <c r="H596" s="41" t="s">
        <v>20</v>
      </c>
      <c r="I596" s="41">
        <v>1</v>
      </c>
      <c r="J596" s="41" t="s">
        <v>3557</v>
      </c>
      <c r="K596" s="41">
        <v>16</v>
      </c>
      <c r="L596" s="41"/>
      <c r="M596" s="41" t="s">
        <v>439</v>
      </c>
      <c r="N596" s="41" t="s">
        <v>2387</v>
      </c>
      <c r="O596" s="43">
        <f t="shared" ref="O596" si="146">VALUE(RIGHT(N596,LEN(N596)-SEARCH("/",N596)))</f>
        <v>714.55</v>
      </c>
      <c r="P596" s="43">
        <f t="shared" ref="P596" si="147">VALUE(SUBSTITUTE(LEFT(N596,SEARCH("/",N596)-1),"+",","))</f>
        <v>40.036999999999999</v>
      </c>
      <c r="Q596" s="41" t="s">
        <v>2070</v>
      </c>
      <c r="R596" s="48" t="str">
        <f t="shared" si="134"/>
        <v>(1,'PS-01-GO1','Poste de Sectionnement n°01 GO1','Friday-01-jj','Friday-01-jj',NULL,1,),</v>
      </c>
    </row>
    <row r="597" spans="1:18" ht="20.100000000000001" hidden="1" customHeight="1" x14ac:dyDescent="0.25">
      <c r="A597" s="38">
        <v>2</v>
      </c>
      <c r="B597" s="38" t="s">
        <v>685</v>
      </c>
      <c r="C597" s="38">
        <v>19</v>
      </c>
      <c r="D597" s="39" t="str">
        <f t="shared" ref="D597:D608" si="148">CONCATENATE("PS-",TEXT(A597,"00"),"-",M597)</f>
        <v>PS-02-GO1</v>
      </c>
      <c r="E597" s="48" t="str">
        <f t="shared" ref="E597:E608" si="149">CONCATENATE("Poste de Sectionnement n°",TEXT(A597,"00")," ",M597)</f>
        <v>Poste de Sectionnement n°02 GO1</v>
      </c>
      <c r="F597" s="19">
        <v>29952</v>
      </c>
      <c r="G597" s="19">
        <v>29952</v>
      </c>
      <c r="H597" s="41" t="s">
        <v>20</v>
      </c>
      <c r="I597" s="41">
        <v>1</v>
      </c>
      <c r="J597" s="41" t="s">
        <v>3557</v>
      </c>
      <c r="K597" s="41">
        <v>16</v>
      </c>
      <c r="L597" s="41"/>
      <c r="M597" s="41" t="s">
        <v>439</v>
      </c>
      <c r="N597" s="41" t="s">
        <v>2388</v>
      </c>
      <c r="O597" s="43">
        <f t="shared" ref="O597:O608" si="150">VALUE(RIGHT(N597,LEN(N597)-SEARCH("/",N597)))</f>
        <v>740.74</v>
      </c>
      <c r="P597" s="43">
        <f t="shared" ref="P597:P608" si="151">VALUE(SUBSTITUTE(LEFT(N597,SEARCH("/",N597)-1),"+",","))</f>
        <v>75.981999999999999</v>
      </c>
      <c r="Q597" s="41" t="s">
        <v>2070</v>
      </c>
      <c r="R597" s="48" t="str">
        <f t="shared" si="134"/>
        <v>(2,'PS-02-GO1','Poste de Sectionnement n°02 GO1','Friday-01-jj','Friday-01-jj',NULL,1,),</v>
      </c>
    </row>
    <row r="598" spans="1:18" ht="20.100000000000001" hidden="1" customHeight="1" x14ac:dyDescent="0.25">
      <c r="A598" s="38">
        <v>3</v>
      </c>
      <c r="B598" s="38" t="s">
        <v>685</v>
      </c>
      <c r="C598" s="38">
        <v>19</v>
      </c>
      <c r="D598" s="39" t="str">
        <f t="shared" si="148"/>
        <v>PS-03-GO1</v>
      </c>
      <c r="E598" s="48" t="str">
        <f t="shared" si="149"/>
        <v>Poste de Sectionnement n°03 GO1</v>
      </c>
      <c r="F598" s="19">
        <v>29952</v>
      </c>
      <c r="G598" s="19">
        <v>29952</v>
      </c>
      <c r="H598" s="41" t="s">
        <v>20</v>
      </c>
      <c r="I598" s="41">
        <v>1</v>
      </c>
      <c r="J598" s="41" t="s">
        <v>3557</v>
      </c>
      <c r="K598" s="41">
        <v>16</v>
      </c>
      <c r="L598" s="41"/>
      <c r="M598" s="41" t="s">
        <v>439</v>
      </c>
      <c r="N598" s="41" t="s">
        <v>2389</v>
      </c>
      <c r="O598" s="43">
        <f t="shared" si="150"/>
        <v>742.12</v>
      </c>
      <c r="P598" s="43">
        <f t="shared" si="151"/>
        <v>112.2</v>
      </c>
      <c r="Q598" s="41" t="s">
        <v>2166</v>
      </c>
      <c r="R598" s="48" t="str">
        <f t="shared" ref="R598:R661" si="152">CONCATENATE("(",A598,",'",D598,"','",E598,"','",TEXT(F598,"aaaa-mm-jj"),"','",TEXT(G598,"aaaa-mm-jj"),"',",H598,",",I598,",",L598,"),")</f>
        <v>(3,'PS-03-GO1','Poste de Sectionnement n°03 GO1','Friday-01-jj','Friday-01-jj',NULL,1,),</v>
      </c>
    </row>
    <row r="599" spans="1:18" ht="20.100000000000001" hidden="1" customHeight="1" x14ac:dyDescent="0.25">
      <c r="A599" s="38">
        <v>4</v>
      </c>
      <c r="B599" s="38" t="s">
        <v>685</v>
      </c>
      <c r="C599" s="38">
        <v>19</v>
      </c>
      <c r="D599" s="39" t="str">
        <f t="shared" si="148"/>
        <v>PS-04-GO1</v>
      </c>
      <c r="E599" s="48" t="str">
        <f t="shared" si="149"/>
        <v>Poste de Sectionnement n°04 GO1</v>
      </c>
      <c r="F599" s="19">
        <v>29952</v>
      </c>
      <c r="G599" s="19">
        <v>29952</v>
      </c>
      <c r="H599" s="41" t="s">
        <v>20</v>
      </c>
      <c r="I599" s="41">
        <v>1</v>
      </c>
      <c r="J599" s="41" t="s">
        <v>3557</v>
      </c>
      <c r="K599" s="41">
        <v>16</v>
      </c>
      <c r="L599" s="41"/>
      <c r="M599" s="41" t="s">
        <v>439</v>
      </c>
      <c r="N599" s="41" t="s">
        <v>2390</v>
      </c>
      <c r="O599" s="43">
        <f t="shared" si="150"/>
        <v>566.24</v>
      </c>
      <c r="P599" s="43">
        <f t="shared" si="151"/>
        <v>146.94200000000001</v>
      </c>
      <c r="Q599" s="41" t="s">
        <v>2431</v>
      </c>
      <c r="R599" s="48" t="str">
        <f t="shared" si="152"/>
        <v>(4,'PS-04-GO1','Poste de Sectionnement n°04 GO1','Friday-01-jj','Friday-01-jj',NULL,1,),</v>
      </c>
    </row>
    <row r="600" spans="1:18" ht="20.100000000000001" hidden="1" customHeight="1" x14ac:dyDescent="0.25">
      <c r="A600" s="38">
        <v>5</v>
      </c>
      <c r="B600" s="38" t="s">
        <v>685</v>
      </c>
      <c r="C600" s="38">
        <v>19</v>
      </c>
      <c r="D600" s="39" t="str">
        <f t="shared" si="148"/>
        <v>PS-05-GO1</v>
      </c>
      <c r="E600" s="48" t="str">
        <f t="shared" si="149"/>
        <v>Poste de Sectionnement n°05 GO1</v>
      </c>
      <c r="F600" s="19">
        <v>29952</v>
      </c>
      <c r="G600" s="19">
        <v>29952</v>
      </c>
      <c r="H600" s="41" t="s">
        <v>20</v>
      </c>
      <c r="I600" s="41">
        <v>1</v>
      </c>
      <c r="J600" s="41" t="s">
        <v>3557</v>
      </c>
      <c r="K600" s="41">
        <v>16</v>
      </c>
      <c r="L600" s="41"/>
      <c r="M600" s="41" t="s">
        <v>439</v>
      </c>
      <c r="N600" s="41" t="s">
        <v>2391</v>
      </c>
      <c r="O600" s="43">
        <f t="shared" si="150"/>
        <v>351.21</v>
      </c>
      <c r="P600" s="43">
        <f t="shared" si="151"/>
        <v>208.33</v>
      </c>
      <c r="Q600" s="41" t="s">
        <v>2084</v>
      </c>
      <c r="R600" s="48" t="str">
        <f t="shared" si="152"/>
        <v>(5,'PS-05-GO1','Poste de Sectionnement n°05 GO1','Friday-01-jj','Friday-01-jj',NULL,1,),</v>
      </c>
    </row>
    <row r="601" spans="1:18" ht="20.100000000000001" hidden="1" customHeight="1" x14ac:dyDescent="0.25">
      <c r="A601" s="38">
        <v>6</v>
      </c>
      <c r="B601" s="38" t="s">
        <v>685</v>
      </c>
      <c r="C601" s="38">
        <v>19</v>
      </c>
      <c r="D601" s="39" t="str">
        <f t="shared" si="148"/>
        <v>PS-06-GO1</v>
      </c>
      <c r="E601" s="48" t="str">
        <f t="shared" si="149"/>
        <v>Poste de Sectionnement n°06 GO1</v>
      </c>
      <c r="F601" s="19">
        <v>29952</v>
      </c>
      <c r="G601" s="19">
        <v>29952</v>
      </c>
      <c r="H601" s="41" t="s">
        <v>20</v>
      </c>
      <c r="I601" s="41">
        <v>1</v>
      </c>
      <c r="J601" s="41" t="s">
        <v>3557</v>
      </c>
      <c r="K601" s="41">
        <v>16</v>
      </c>
      <c r="L601" s="41"/>
      <c r="M601" s="41" t="s">
        <v>439</v>
      </c>
      <c r="N601" s="41" t="s">
        <v>2392</v>
      </c>
      <c r="O601" s="43">
        <f t="shared" si="150"/>
        <v>225.5</v>
      </c>
      <c r="P601" s="43">
        <f t="shared" si="151"/>
        <v>246.458</v>
      </c>
      <c r="Q601" s="41" t="s">
        <v>2084</v>
      </c>
      <c r="R601" s="48" t="str">
        <f t="shared" si="152"/>
        <v>(6,'PS-06-GO1','Poste de Sectionnement n°06 GO1','Friday-01-jj','Friday-01-jj',NULL,1,),</v>
      </c>
    </row>
    <row r="602" spans="1:18" ht="20.100000000000001" hidden="1" customHeight="1" x14ac:dyDescent="0.25">
      <c r="A602" s="38">
        <v>7</v>
      </c>
      <c r="B602" s="38" t="s">
        <v>685</v>
      </c>
      <c r="C602" s="38">
        <v>19</v>
      </c>
      <c r="D602" s="39" t="str">
        <f t="shared" si="148"/>
        <v>PS-07-GO1</v>
      </c>
      <c r="E602" s="48" t="str">
        <f t="shared" si="149"/>
        <v>Poste de Sectionnement n°07 GO1</v>
      </c>
      <c r="F602" s="19">
        <v>29952</v>
      </c>
      <c r="G602" s="19">
        <v>29952</v>
      </c>
      <c r="H602" s="41" t="s">
        <v>20</v>
      </c>
      <c r="I602" s="41">
        <v>1</v>
      </c>
      <c r="J602" s="41" t="s">
        <v>3557</v>
      </c>
      <c r="K602" s="41">
        <v>16</v>
      </c>
      <c r="L602" s="41"/>
      <c r="M602" s="41" t="s">
        <v>439</v>
      </c>
      <c r="N602" s="41" t="s">
        <v>2393</v>
      </c>
      <c r="O602" s="43">
        <f t="shared" si="150"/>
        <v>101.16</v>
      </c>
      <c r="P602" s="43">
        <f t="shared" si="151"/>
        <v>283.96499999999997</v>
      </c>
      <c r="Q602" s="41" t="s">
        <v>2432</v>
      </c>
      <c r="R602" s="48" t="str">
        <f t="shared" si="152"/>
        <v>(7,'PS-07-GO1','Poste de Sectionnement n°07 GO1','Friday-01-jj','Friday-01-jj',NULL,1,),</v>
      </c>
    </row>
    <row r="603" spans="1:18" ht="20.100000000000001" hidden="1" customHeight="1" x14ac:dyDescent="0.25">
      <c r="A603" s="38">
        <v>8</v>
      </c>
      <c r="B603" s="38" t="s">
        <v>685</v>
      </c>
      <c r="C603" s="38">
        <v>19</v>
      </c>
      <c r="D603" s="39" t="str">
        <f t="shared" si="148"/>
        <v>PS-08-GO1</v>
      </c>
      <c r="E603" s="48" t="str">
        <f t="shared" si="149"/>
        <v>Poste de Sectionnement n°08 GO1</v>
      </c>
      <c r="F603" s="19">
        <v>29952</v>
      </c>
      <c r="G603" s="19">
        <v>29952</v>
      </c>
      <c r="H603" s="41" t="s">
        <v>20</v>
      </c>
      <c r="I603" s="41">
        <v>1</v>
      </c>
      <c r="J603" s="41" t="s">
        <v>3557</v>
      </c>
      <c r="K603" s="41">
        <v>16</v>
      </c>
      <c r="L603" s="41"/>
      <c r="M603" s="41" t="s">
        <v>439</v>
      </c>
      <c r="N603" s="41" t="s">
        <v>2394</v>
      </c>
      <c r="O603" s="43">
        <f t="shared" si="150"/>
        <v>19.03</v>
      </c>
      <c r="P603" s="43">
        <f t="shared" si="151"/>
        <v>319.20499999999998</v>
      </c>
      <c r="Q603" s="41" t="s">
        <v>853</v>
      </c>
      <c r="R603" s="48" t="str">
        <f t="shared" si="152"/>
        <v>(8,'PS-08-GO1','Poste de Sectionnement n°08 GO1','Friday-01-jj','Friday-01-jj',NULL,1,),</v>
      </c>
    </row>
    <row r="604" spans="1:18" ht="20.100000000000001" hidden="1" customHeight="1" x14ac:dyDescent="0.25">
      <c r="A604" s="38">
        <v>9</v>
      </c>
      <c r="B604" s="38" t="s">
        <v>685</v>
      </c>
      <c r="C604" s="38">
        <v>19</v>
      </c>
      <c r="D604" s="39" t="str">
        <f t="shared" si="148"/>
        <v>PS-09-GO1</v>
      </c>
      <c r="E604" s="48" t="str">
        <f t="shared" si="149"/>
        <v>Poste de Sectionnement n°09 GO1</v>
      </c>
      <c r="F604" s="19">
        <v>29952</v>
      </c>
      <c r="G604" s="19">
        <v>29952</v>
      </c>
      <c r="H604" s="41" t="s">
        <v>20</v>
      </c>
      <c r="I604" s="41">
        <v>1</v>
      </c>
      <c r="J604" s="41" t="s">
        <v>3557</v>
      </c>
      <c r="K604" s="41">
        <v>16</v>
      </c>
      <c r="L604" s="41"/>
      <c r="M604" s="41" t="s">
        <v>439</v>
      </c>
      <c r="N604" s="41" t="s">
        <v>2395</v>
      </c>
      <c r="O604" s="43">
        <f t="shared" si="150"/>
        <v>35.29</v>
      </c>
      <c r="P604" s="43">
        <f t="shared" si="151"/>
        <v>375.601</v>
      </c>
      <c r="Q604" s="41" t="s">
        <v>2433</v>
      </c>
      <c r="R604" s="48" t="str">
        <f t="shared" si="152"/>
        <v>(9,'PS-09-GO1','Poste de Sectionnement n°09 GO1','Friday-01-jj','Friday-01-jj',NULL,1,),</v>
      </c>
    </row>
    <row r="605" spans="1:18" ht="20.100000000000001" hidden="1" customHeight="1" x14ac:dyDescent="0.25">
      <c r="A605" s="38">
        <v>10</v>
      </c>
      <c r="B605" s="38" t="s">
        <v>685</v>
      </c>
      <c r="C605" s="38">
        <v>19</v>
      </c>
      <c r="D605" s="39" t="str">
        <f t="shared" si="148"/>
        <v>PS-10-GO1</v>
      </c>
      <c r="E605" s="48" t="str">
        <f t="shared" si="149"/>
        <v>Poste de Sectionnement n°10 GO1</v>
      </c>
      <c r="F605" s="19">
        <v>29952</v>
      </c>
      <c r="G605" s="19">
        <v>29952</v>
      </c>
      <c r="H605" s="41" t="s">
        <v>20</v>
      </c>
      <c r="I605" s="41">
        <v>1</v>
      </c>
      <c r="J605" s="41" t="s">
        <v>3557</v>
      </c>
      <c r="K605" s="41">
        <v>16</v>
      </c>
      <c r="L605" s="41"/>
      <c r="M605" s="41" t="s">
        <v>439</v>
      </c>
      <c r="N605" s="41" t="s">
        <v>2396</v>
      </c>
      <c r="O605" s="43">
        <f t="shared" si="150"/>
        <v>59.32</v>
      </c>
      <c r="P605" s="43">
        <f t="shared" si="151"/>
        <v>403.90899999999999</v>
      </c>
      <c r="Q605" s="41" t="s">
        <v>2434</v>
      </c>
      <c r="R605" s="48" t="str">
        <f t="shared" si="152"/>
        <v>(10,'PS-10-GO1','Poste de Sectionnement n°10 GO1','Friday-01-jj','Friday-01-jj',NULL,1,),</v>
      </c>
    </row>
    <row r="606" spans="1:18" ht="20.100000000000001" hidden="1" customHeight="1" x14ac:dyDescent="0.25">
      <c r="A606" s="38">
        <v>11</v>
      </c>
      <c r="B606" s="38" t="s">
        <v>685</v>
      </c>
      <c r="C606" s="38">
        <v>19</v>
      </c>
      <c r="D606" s="39" t="str">
        <f t="shared" si="148"/>
        <v>PS-11-GO1</v>
      </c>
      <c r="E606" s="48" t="str">
        <f t="shared" si="149"/>
        <v>Poste de Sectionnement n°11 GO1</v>
      </c>
      <c r="F606" s="19">
        <v>29952</v>
      </c>
      <c r="G606" s="19">
        <v>29952</v>
      </c>
      <c r="H606" s="41" t="s">
        <v>20</v>
      </c>
      <c r="I606" s="41">
        <v>1</v>
      </c>
      <c r="J606" s="41" t="s">
        <v>3557</v>
      </c>
      <c r="K606" s="41">
        <v>16</v>
      </c>
      <c r="L606" s="41"/>
      <c r="M606" s="41" t="s">
        <v>439</v>
      </c>
      <c r="N606" s="41" t="s">
        <v>2397</v>
      </c>
      <c r="O606" s="43">
        <f t="shared" si="150"/>
        <v>135.97</v>
      </c>
      <c r="P606" s="43">
        <f t="shared" si="151"/>
        <v>432.95</v>
      </c>
      <c r="Q606" s="41" t="s">
        <v>2434</v>
      </c>
      <c r="R606" s="48" t="str">
        <f t="shared" si="152"/>
        <v>(11,'PS-11-GO1','Poste de Sectionnement n°11 GO1','Friday-01-jj','Friday-01-jj',NULL,1,),</v>
      </c>
    </row>
    <row r="607" spans="1:18" ht="20.100000000000001" hidden="1" customHeight="1" x14ac:dyDescent="0.25">
      <c r="A607" s="38">
        <v>12</v>
      </c>
      <c r="B607" s="38" t="s">
        <v>685</v>
      </c>
      <c r="C607" s="38">
        <v>19</v>
      </c>
      <c r="D607" s="39" t="str">
        <f t="shared" si="148"/>
        <v>PS-12-GO1</v>
      </c>
      <c r="E607" s="48" t="str">
        <f t="shared" si="149"/>
        <v>Poste de Sectionnement n°12 GO1</v>
      </c>
      <c r="F607" s="19">
        <v>29952</v>
      </c>
      <c r="G607" s="19">
        <v>29952</v>
      </c>
      <c r="H607" s="41" t="s">
        <v>20</v>
      </c>
      <c r="I607" s="41">
        <v>1</v>
      </c>
      <c r="J607" s="41" t="s">
        <v>3557</v>
      </c>
      <c r="K607" s="41">
        <v>16</v>
      </c>
      <c r="L607" s="41"/>
      <c r="M607" s="41" t="s">
        <v>439</v>
      </c>
      <c r="N607" s="41" t="s">
        <v>2398</v>
      </c>
      <c r="O607" s="43">
        <f t="shared" si="150"/>
        <v>425.85</v>
      </c>
      <c r="P607" s="43">
        <f t="shared" si="151"/>
        <v>489.82499999999999</v>
      </c>
      <c r="Q607" s="41" t="s">
        <v>2435</v>
      </c>
      <c r="R607" s="48" t="str">
        <f t="shared" si="152"/>
        <v>(12,'PS-12-GO1','Poste de Sectionnement n°12 GO1','Friday-01-jj','Friday-01-jj',NULL,1,),</v>
      </c>
    </row>
    <row r="608" spans="1:18" ht="20.100000000000001" hidden="1" customHeight="1" x14ac:dyDescent="0.25">
      <c r="A608" s="38">
        <v>13</v>
      </c>
      <c r="B608" s="38" t="s">
        <v>685</v>
      </c>
      <c r="C608" s="38">
        <v>19</v>
      </c>
      <c r="D608" s="39" t="str">
        <f t="shared" si="148"/>
        <v>PS-13-GO1</v>
      </c>
      <c r="E608" s="48" t="str">
        <f t="shared" si="149"/>
        <v>Poste de Sectionnement n°13 GO1</v>
      </c>
      <c r="F608" s="19">
        <v>29952</v>
      </c>
      <c r="G608" s="19">
        <v>29952</v>
      </c>
      <c r="H608" s="41" t="s">
        <v>20</v>
      </c>
      <c r="I608" s="41">
        <v>1</v>
      </c>
      <c r="J608" s="41" t="s">
        <v>3557</v>
      </c>
      <c r="K608" s="41">
        <v>16</v>
      </c>
      <c r="L608" s="41"/>
      <c r="M608" s="41" t="s">
        <v>439</v>
      </c>
      <c r="N608" s="41" t="s">
        <v>2399</v>
      </c>
      <c r="O608" s="43">
        <f t="shared" si="150"/>
        <v>704.82</v>
      </c>
      <c r="P608" s="43">
        <f t="shared" si="151"/>
        <v>519.673</v>
      </c>
      <c r="Q608" s="41" t="s">
        <v>2436</v>
      </c>
      <c r="R608" s="48" t="str">
        <f t="shared" si="152"/>
        <v>(13,'PS-13-GO1','Poste de Sectionnement n°13 GO1','Friday-01-jj','Friday-01-jj',NULL,1,),</v>
      </c>
    </row>
    <row r="609" spans="1:18" ht="20.100000000000001" hidden="1" customHeight="1" x14ac:dyDescent="0.25">
      <c r="A609" s="38">
        <v>1</v>
      </c>
      <c r="B609" s="38" t="s">
        <v>685</v>
      </c>
      <c r="C609" s="38">
        <v>19</v>
      </c>
      <c r="D609" s="39" t="str">
        <f t="shared" ref="D609" si="153">CONCATENATE("PS-",TEXT(A609,"00"),"-",M609)</f>
        <v>PS-01-GO2</v>
      </c>
      <c r="E609" s="48" t="str">
        <f t="shared" ref="E609" si="154">CONCATENATE("Poste de Sectionnement n°",TEXT(A609,"00")," ",M609)</f>
        <v>Poste de Sectionnement n°01 GO2</v>
      </c>
      <c r="F609" s="19">
        <v>31778</v>
      </c>
      <c r="G609" s="19">
        <v>31778</v>
      </c>
      <c r="H609" s="41" t="s">
        <v>20</v>
      </c>
      <c r="I609" s="41">
        <v>1</v>
      </c>
      <c r="J609" s="41" t="s">
        <v>3557</v>
      </c>
      <c r="K609" s="41">
        <v>16</v>
      </c>
      <c r="L609" s="41"/>
      <c r="M609" s="41" t="s">
        <v>441</v>
      </c>
      <c r="N609" s="41" t="s">
        <v>2400</v>
      </c>
      <c r="O609" s="43">
        <f t="shared" ref="O609:O640" si="155">VALUE(RIGHT(N609,LEN(N609)-SEARCH("/",N609)))</f>
        <v>786.68</v>
      </c>
      <c r="P609" s="43">
        <f t="shared" ref="P609:P640" si="156">VALUE(SUBSTITUTE(LEFT(N609,SEARCH("/",N609)-1),"+",","))</f>
        <v>20.369</v>
      </c>
      <c r="Q609" s="41" t="s">
        <v>790</v>
      </c>
      <c r="R609" s="48" t="str">
        <f t="shared" si="152"/>
        <v>(1,'PS-01-GO2','Poste de Sectionnement n°01 GO2','Thursday-01-jj','Thursday-01-jj',NULL,1,),</v>
      </c>
    </row>
    <row r="610" spans="1:18" ht="20.100000000000001" hidden="1" customHeight="1" x14ac:dyDescent="0.25">
      <c r="A610" s="38">
        <v>1</v>
      </c>
      <c r="B610" s="38" t="s">
        <v>685</v>
      </c>
      <c r="C610" s="38">
        <v>19</v>
      </c>
      <c r="D610" s="39" t="str">
        <f t="shared" ref="D610:D622" si="157">CONCATENATE("PS-",TEXT(A610,"00"),"-",M610)</f>
        <v>PS-01-GO2</v>
      </c>
      <c r="E610" s="48" t="str">
        <f t="shared" ref="E610:E622" si="158">CONCATENATE("Poste de Sectionnement n°",TEXT(A610,"00")," ",M610)</f>
        <v>Poste de Sectionnement n°01 GO2</v>
      </c>
      <c r="F610" s="19">
        <v>31778</v>
      </c>
      <c r="G610" s="19">
        <v>31778</v>
      </c>
      <c r="H610" s="41" t="s">
        <v>20</v>
      </c>
      <c r="I610" s="41">
        <v>1</v>
      </c>
      <c r="J610" s="41" t="s">
        <v>3557</v>
      </c>
      <c r="K610" s="41">
        <v>16</v>
      </c>
      <c r="L610" s="41"/>
      <c r="M610" s="41" t="s">
        <v>441</v>
      </c>
      <c r="N610" s="41" t="s">
        <v>2401</v>
      </c>
      <c r="O610" s="43">
        <f t="shared" si="155"/>
        <v>719.48</v>
      </c>
      <c r="P610" s="43">
        <f t="shared" si="156"/>
        <v>39.887</v>
      </c>
      <c r="Q610" s="41" t="s">
        <v>2070</v>
      </c>
      <c r="R610" s="48" t="str">
        <f t="shared" si="152"/>
        <v>(1,'PS-01-GO2','Poste de Sectionnement n°01 GO2','Thursday-01-jj','Thursday-01-jj',NULL,1,),</v>
      </c>
    </row>
    <row r="611" spans="1:18" ht="20.100000000000001" hidden="1" customHeight="1" x14ac:dyDescent="0.25">
      <c r="A611" s="38">
        <v>2</v>
      </c>
      <c r="B611" s="38" t="s">
        <v>685</v>
      </c>
      <c r="C611" s="38">
        <v>19</v>
      </c>
      <c r="D611" s="39" t="str">
        <f t="shared" si="157"/>
        <v>PS-02-GO2</v>
      </c>
      <c r="E611" s="48" t="str">
        <f t="shared" si="158"/>
        <v>Poste de Sectionnement n°02 GO2</v>
      </c>
      <c r="F611" s="19">
        <v>31778</v>
      </c>
      <c r="G611" s="19">
        <v>31778</v>
      </c>
      <c r="H611" s="41" t="s">
        <v>20</v>
      </c>
      <c r="I611" s="41">
        <v>1</v>
      </c>
      <c r="J611" s="41" t="s">
        <v>3557</v>
      </c>
      <c r="K611" s="41">
        <v>16</v>
      </c>
      <c r="L611" s="41"/>
      <c r="M611" s="41" t="s">
        <v>441</v>
      </c>
      <c r="N611" s="41" t="s">
        <v>2402</v>
      </c>
      <c r="O611" s="43">
        <f t="shared" si="155"/>
        <v>738.9</v>
      </c>
      <c r="P611" s="43">
        <f t="shared" si="156"/>
        <v>75.831999999999994</v>
      </c>
      <c r="Q611" s="41" t="s">
        <v>2070</v>
      </c>
      <c r="R611" s="48" t="str">
        <f t="shared" si="152"/>
        <v>(2,'PS-02-GO2','Poste de Sectionnement n°02 GO2','Thursday-01-jj','Thursday-01-jj',NULL,1,),</v>
      </c>
    </row>
    <row r="612" spans="1:18" ht="20.100000000000001" hidden="1" customHeight="1" x14ac:dyDescent="0.25">
      <c r="A612" s="38">
        <v>3</v>
      </c>
      <c r="B612" s="38" t="s">
        <v>685</v>
      </c>
      <c r="C612" s="38">
        <v>19</v>
      </c>
      <c r="D612" s="39" t="str">
        <f t="shared" si="157"/>
        <v>PS-03-GO2</v>
      </c>
      <c r="E612" s="48" t="str">
        <f t="shared" si="158"/>
        <v>Poste de Sectionnement n°03 GO2</v>
      </c>
      <c r="F612" s="19">
        <v>31778</v>
      </c>
      <c r="G612" s="19">
        <v>31778</v>
      </c>
      <c r="H612" s="41" t="s">
        <v>20</v>
      </c>
      <c r="I612" s="41">
        <v>1</v>
      </c>
      <c r="J612" s="41" t="s">
        <v>3557</v>
      </c>
      <c r="K612" s="41">
        <v>16</v>
      </c>
      <c r="L612" s="41"/>
      <c r="M612" s="41" t="s">
        <v>441</v>
      </c>
      <c r="N612" s="41" t="s">
        <v>2403</v>
      </c>
      <c r="O612" s="43">
        <f t="shared" si="155"/>
        <v>741.89</v>
      </c>
      <c r="P612" s="43">
        <f t="shared" si="156"/>
        <v>112.35</v>
      </c>
      <c r="Q612" s="41" t="s">
        <v>2166</v>
      </c>
      <c r="R612" s="48" t="str">
        <f t="shared" si="152"/>
        <v>(3,'PS-03-GO2','Poste de Sectionnement n°03 GO2','Thursday-01-jj','Thursday-01-jj',NULL,1,),</v>
      </c>
    </row>
    <row r="613" spans="1:18" ht="20.100000000000001" hidden="1" customHeight="1" x14ac:dyDescent="0.25">
      <c r="A613" s="38">
        <v>4</v>
      </c>
      <c r="B613" s="38" t="s">
        <v>685</v>
      </c>
      <c r="C613" s="38">
        <v>19</v>
      </c>
      <c r="D613" s="39" t="str">
        <f t="shared" si="157"/>
        <v>PS-04-GO2</v>
      </c>
      <c r="E613" s="48" t="str">
        <f t="shared" si="158"/>
        <v>Poste de Sectionnement n°04 GO2</v>
      </c>
      <c r="F613" s="19">
        <v>31778</v>
      </c>
      <c r="G613" s="19">
        <v>31778</v>
      </c>
      <c r="H613" s="41" t="s">
        <v>20</v>
      </c>
      <c r="I613" s="41">
        <v>1</v>
      </c>
      <c r="J613" s="41" t="s">
        <v>3557</v>
      </c>
      <c r="K613" s="41">
        <v>16</v>
      </c>
      <c r="L613" s="41"/>
      <c r="M613" s="41" t="s">
        <v>441</v>
      </c>
      <c r="N613" s="41" t="s">
        <v>2404</v>
      </c>
      <c r="O613" s="43">
        <f t="shared" si="155"/>
        <v>564.30999999999995</v>
      </c>
      <c r="P613" s="43">
        <f t="shared" si="156"/>
        <v>147.09200000000001</v>
      </c>
      <c r="Q613" s="41" t="s">
        <v>2431</v>
      </c>
      <c r="R613" s="48" t="str">
        <f t="shared" si="152"/>
        <v>(4,'PS-04-GO2','Poste de Sectionnement n°04 GO2','Thursday-01-jj','Thursday-01-jj',NULL,1,),</v>
      </c>
    </row>
    <row r="614" spans="1:18" ht="20.100000000000001" hidden="1" customHeight="1" x14ac:dyDescent="0.25">
      <c r="A614" s="38">
        <v>5</v>
      </c>
      <c r="B614" s="38" t="s">
        <v>685</v>
      </c>
      <c r="C614" s="38">
        <v>19</v>
      </c>
      <c r="D614" s="39" t="str">
        <f t="shared" si="157"/>
        <v>PS-05-GO2</v>
      </c>
      <c r="E614" s="48" t="str">
        <f t="shared" si="158"/>
        <v>Poste de Sectionnement n°05 GO2</v>
      </c>
      <c r="F614" s="19">
        <v>31778</v>
      </c>
      <c r="G614" s="19">
        <v>31778</v>
      </c>
      <c r="H614" s="41" t="s">
        <v>20</v>
      </c>
      <c r="I614" s="41">
        <v>1</v>
      </c>
      <c r="J614" s="41" t="s">
        <v>3557</v>
      </c>
      <c r="K614" s="41">
        <v>16</v>
      </c>
      <c r="L614" s="41"/>
      <c r="M614" s="41" t="s">
        <v>441</v>
      </c>
      <c r="N614" s="41" t="s">
        <v>2391</v>
      </c>
      <c r="O614" s="43">
        <f t="shared" si="155"/>
        <v>351.21</v>
      </c>
      <c r="P614" s="43">
        <f t="shared" si="156"/>
        <v>208.33</v>
      </c>
      <c r="Q614" s="41" t="s">
        <v>2084</v>
      </c>
      <c r="R614" s="48" t="str">
        <f t="shared" si="152"/>
        <v>(5,'PS-05-GO2','Poste de Sectionnement n°05 GO2','Thursday-01-jj','Thursday-01-jj',NULL,1,),</v>
      </c>
    </row>
    <row r="615" spans="1:18" ht="20.100000000000001" hidden="1" customHeight="1" x14ac:dyDescent="0.25">
      <c r="A615" s="38">
        <v>6</v>
      </c>
      <c r="B615" s="38" t="s">
        <v>685</v>
      </c>
      <c r="C615" s="38">
        <v>19</v>
      </c>
      <c r="D615" s="39" t="str">
        <f t="shared" si="157"/>
        <v>PS-06-GO2</v>
      </c>
      <c r="E615" s="48" t="str">
        <f t="shared" si="158"/>
        <v>Poste de Sectionnement n°06 GO2</v>
      </c>
      <c r="F615" s="19">
        <v>31778</v>
      </c>
      <c r="G615" s="19">
        <v>31778</v>
      </c>
      <c r="H615" s="41" t="s">
        <v>20</v>
      </c>
      <c r="I615" s="41">
        <v>1</v>
      </c>
      <c r="J615" s="41" t="s">
        <v>3557</v>
      </c>
      <c r="K615" s="41">
        <v>16</v>
      </c>
      <c r="L615" s="41"/>
      <c r="M615" s="41" t="s">
        <v>441</v>
      </c>
      <c r="N615" s="41" t="s">
        <v>2405</v>
      </c>
      <c r="O615" s="43">
        <f t="shared" si="155"/>
        <v>224.98</v>
      </c>
      <c r="P615" s="43">
        <f t="shared" si="156"/>
        <v>246.608</v>
      </c>
      <c r="Q615" s="41" t="s">
        <v>2084</v>
      </c>
      <c r="R615" s="48" t="str">
        <f t="shared" si="152"/>
        <v>(6,'PS-06-GO2','Poste de Sectionnement n°06 GO2','Thursday-01-jj','Thursday-01-jj',NULL,1,),</v>
      </c>
    </row>
    <row r="616" spans="1:18" ht="20.100000000000001" hidden="1" customHeight="1" x14ac:dyDescent="0.25">
      <c r="A616" s="38">
        <v>7</v>
      </c>
      <c r="B616" s="38" t="s">
        <v>685</v>
      </c>
      <c r="C616" s="38">
        <v>19</v>
      </c>
      <c r="D616" s="39" t="str">
        <f t="shared" si="157"/>
        <v>PS-07-GO2</v>
      </c>
      <c r="E616" s="48" t="str">
        <f t="shared" si="158"/>
        <v>Poste de Sectionnement n°07 GO2</v>
      </c>
      <c r="F616" s="19">
        <v>31778</v>
      </c>
      <c r="G616" s="19">
        <v>31778</v>
      </c>
      <c r="H616" s="41" t="s">
        <v>20</v>
      </c>
      <c r="I616" s="41">
        <v>1</v>
      </c>
      <c r="J616" s="41" t="s">
        <v>3557</v>
      </c>
      <c r="K616" s="41">
        <v>16</v>
      </c>
      <c r="L616" s="41"/>
      <c r="M616" s="41" t="s">
        <v>441</v>
      </c>
      <c r="N616" s="41" t="s">
        <v>2406</v>
      </c>
      <c r="O616" s="43">
        <f t="shared" si="155"/>
        <v>101.45</v>
      </c>
      <c r="P616" s="43">
        <f t="shared" si="156"/>
        <v>284.11500000000001</v>
      </c>
      <c r="Q616" s="41" t="s">
        <v>2432</v>
      </c>
      <c r="R616" s="48" t="str">
        <f t="shared" si="152"/>
        <v>(7,'PS-07-GO2','Poste de Sectionnement n°07 GO2','Thursday-01-jj','Thursday-01-jj',NULL,1,),</v>
      </c>
    </row>
    <row r="617" spans="1:18" ht="20.100000000000001" hidden="1" customHeight="1" x14ac:dyDescent="0.25">
      <c r="A617" s="38">
        <v>8</v>
      </c>
      <c r="B617" s="38" t="s">
        <v>685</v>
      </c>
      <c r="C617" s="38">
        <v>19</v>
      </c>
      <c r="D617" s="39" t="str">
        <f t="shared" si="157"/>
        <v>PS-08-GO2</v>
      </c>
      <c r="E617" s="48" t="str">
        <f t="shared" si="158"/>
        <v>Poste de Sectionnement n°08 GO2</v>
      </c>
      <c r="F617" s="19">
        <v>31778</v>
      </c>
      <c r="G617" s="19">
        <v>31778</v>
      </c>
      <c r="H617" s="41" t="s">
        <v>20</v>
      </c>
      <c r="I617" s="41">
        <v>1</v>
      </c>
      <c r="J617" s="41" t="s">
        <v>3557</v>
      </c>
      <c r="K617" s="41">
        <v>16</v>
      </c>
      <c r="L617" s="41"/>
      <c r="M617" s="41" t="s">
        <v>441</v>
      </c>
      <c r="N617" s="41" t="s">
        <v>2407</v>
      </c>
      <c r="O617" s="43">
        <f t="shared" si="155"/>
        <v>19.03</v>
      </c>
      <c r="P617" s="43">
        <f t="shared" si="156"/>
        <v>319.255</v>
      </c>
      <c r="Q617" s="41" t="s">
        <v>853</v>
      </c>
      <c r="R617" s="48" t="str">
        <f t="shared" si="152"/>
        <v>(8,'PS-08-GO2','Poste de Sectionnement n°08 GO2','Thursday-01-jj','Thursday-01-jj',NULL,1,),</v>
      </c>
    </row>
    <row r="618" spans="1:18" ht="20.100000000000001" hidden="1" customHeight="1" x14ac:dyDescent="0.25">
      <c r="A618" s="38">
        <v>9</v>
      </c>
      <c r="B618" s="38" t="s">
        <v>685</v>
      </c>
      <c r="C618" s="38">
        <v>19</v>
      </c>
      <c r="D618" s="39" t="str">
        <f t="shared" si="157"/>
        <v>PS-09-GO2</v>
      </c>
      <c r="E618" s="48" t="str">
        <f t="shared" si="158"/>
        <v>Poste de Sectionnement n°09 GO2</v>
      </c>
      <c r="F618" s="19">
        <v>31778</v>
      </c>
      <c r="G618" s="19">
        <v>31778</v>
      </c>
      <c r="H618" s="41" t="s">
        <v>20</v>
      </c>
      <c r="I618" s="41">
        <v>1</v>
      </c>
      <c r="J618" s="41" t="s">
        <v>3557</v>
      </c>
      <c r="K618" s="41">
        <v>16</v>
      </c>
      <c r="L618" s="41"/>
      <c r="M618" s="41" t="s">
        <v>441</v>
      </c>
      <c r="N618" s="41" t="s">
        <v>2408</v>
      </c>
      <c r="O618" s="43">
        <f t="shared" si="155"/>
        <v>35.29</v>
      </c>
      <c r="P618" s="43">
        <f t="shared" si="156"/>
        <v>375.45100000000002</v>
      </c>
      <c r="Q618" s="41" t="s">
        <v>2433</v>
      </c>
      <c r="R618" s="48" t="str">
        <f t="shared" si="152"/>
        <v>(9,'PS-09-GO2','Poste de Sectionnement n°09 GO2','Thursday-01-jj','Thursday-01-jj',NULL,1,),</v>
      </c>
    </row>
    <row r="619" spans="1:18" ht="20.100000000000001" hidden="1" customHeight="1" x14ac:dyDescent="0.25">
      <c r="A619" s="38">
        <v>10</v>
      </c>
      <c r="B619" s="38" t="s">
        <v>685</v>
      </c>
      <c r="C619" s="38">
        <v>19</v>
      </c>
      <c r="D619" s="39" t="str">
        <f t="shared" si="157"/>
        <v>PS-10-GO2</v>
      </c>
      <c r="E619" s="48" t="str">
        <f t="shared" si="158"/>
        <v>Poste de Sectionnement n°10 GO2</v>
      </c>
      <c r="F619" s="19">
        <v>31778</v>
      </c>
      <c r="G619" s="19">
        <v>31778</v>
      </c>
      <c r="H619" s="41" t="s">
        <v>20</v>
      </c>
      <c r="I619" s="41">
        <v>1</v>
      </c>
      <c r="J619" s="41" t="s">
        <v>3557</v>
      </c>
      <c r="K619" s="41">
        <v>16</v>
      </c>
      <c r="L619" s="41"/>
      <c r="M619" s="41" t="s">
        <v>441</v>
      </c>
      <c r="N619" s="41" t="s">
        <v>2409</v>
      </c>
      <c r="O619" s="43">
        <f t="shared" si="155"/>
        <v>58.44</v>
      </c>
      <c r="P619" s="43">
        <f t="shared" si="156"/>
        <v>403.75900000000001</v>
      </c>
      <c r="Q619" s="41" t="s">
        <v>2434</v>
      </c>
      <c r="R619" s="48" t="str">
        <f t="shared" si="152"/>
        <v>(10,'PS-10-GO2','Poste de Sectionnement n°10 GO2','Thursday-01-jj','Thursday-01-jj',NULL,1,),</v>
      </c>
    </row>
    <row r="620" spans="1:18" ht="20.100000000000001" hidden="1" customHeight="1" x14ac:dyDescent="0.25">
      <c r="A620" s="38">
        <v>11</v>
      </c>
      <c r="B620" s="38" t="s">
        <v>685</v>
      </c>
      <c r="C620" s="38">
        <v>19</v>
      </c>
      <c r="D620" s="39" t="str">
        <f t="shared" si="157"/>
        <v>PS-11-GO2</v>
      </c>
      <c r="E620" s="48" t="str">
        <f t="shared" si="158"/>
        <v>Poste de Sectionnement n°11 GO2</v>
      </c>
      <c r="F620" s="19">
        <v>31778</v>
      </c>
      <c r="G620" s="19">
        <v>31778</v>
      </c>
      <c r="H620" s="41" t="s">
        <v>20</v>
      </c>
      <c r="I620" s="41">
        <v>1</v>
      </c>
      <c r="J620" s="41" t="s">
        <v>3557</v>
      </c>
      <c r="K620" s="41">
        <v>16</v>
      </c>
      <c r="L620" s="41"/>
      <c r="M620" s="41" t="s">
        <v>441</v>
      </c>
      <c r="N620" s="41" t="s">
        <v>2410</v>
      </c>
      <c r="O620" s="43">
        <f t="shared" si="155"/>
        <v>136.15</v>
      </c>
      <c r="P620" s="43">
        <f t="shared" si="156"/>
        <v>433.08</v>
      </c>
      <c r="Q620" s="41" t="s">
        <v>2434</v>
      </c>
      <c r="R620" s="48" t="str">
        <f t="shared" si="152"/>
        <v>(11,'PS-11-GO2','Poste de Sectionnement n°11 GO2','Thursday-01-jj','Thursday-01-jj',NULL,1,),</v>
      </c>
    </row>
    <row r="621" spans="1:18" ht="20.100000000000001" hidden="1" customHeight="1" x14ac:dyDescent="0.25">
      <c r="A621" s="38">
        <v>12</v>
      </c>
      <c r="B621" s="38" t="s">
        <v>685</v>
      </c>
      <c r="C621" s="38">
        <v>19</v>
      </c>
      <c r="D621" s="39" t="str">
        <f t="shared" si="157"/>
        <v>PS-12-GO2</v>
      </c>
      <c r="E621" s="48" t="str">
        <f t="shared" si="158"/>
        <v>Poste de Sectionnement n°12 GO2</v>
      </c>
      <c r="F621" s="19">
        <v>31778</v>
      </c>
      <c r="G621" s="19">
        <v>31778</v>
      </c>
      <c r="H621" s="41" t="s">
        <v>20</v>
      </c>
      <c r="I621" s="41">
        <v>1</v>
      </c>
      <c r="J621" s="41" t="s">
        <v>3557</v>
      </c>
      <c r="K621" s="41">
        <v>16</v>
      </c>
      <c r="L621" s="41"/>
      <c r="M621" s="41" t="s">
        <v>441</v>
      </c>
      <c r="N621" s="41" t="s">
        <v>2411</v>
      </c>
      <c r="O621" s="43">
        <f t="shared" si="155"/>
        <v>427.56</v>
      </c>
      <c r="P621" s="43">
        <f t="shared" si="156"/>
        <v>489.93599999999998</v>
      </c>
      <c r="Q621" s="41" t="s">
        <v>2435</v>
      </c>
      <c r="R621" s="48" t="str">
        <f t="shared" si="152"/>
        <v>(12,'PS-12-GO2','Poste de Sectionnement n°12 GO2','Thursday-01-jj','Thursday-01-jj',NULL,1,),</v>
      </c>
    </row>
    <row r="622" spans="1:18" ht="20.100000000000001" hidden="1" customHeight="1" x14ac:dyDescent="0.25">
      <c r="A622" s="38">
        <v>13</v>
      </c>
      <c r="B622" s="38" t="s">
        <v>685</v>
      </c>
      <c r="C622" s="38">
        <v>19</v>
      </c>
      <c r="D622" s="39" t="str">
        <f t="shared" si="157"/>
        <v>PS-13-GO2</v>
      </c>
      <c r="E622" s="48" t="str">
        <f t="shared" si="158"/>
        <v>Poste de Sectionnement n°13 GO2</v>
      </c>
      <c r="F622" s="19">
        <v>31778</v>
      </c>
      <c r="G622" s="19">
        <v>31778</v>
      </c>
      <c r="H622" s="41" t="s">
        <v>20</v>
      </c>
      <c r="I622" s="41">
        <v>1</v>
      </c>
      <c r="J622" s="41" t="s">
        <v>3557</v>
      </c>
      <c r="K622" s="41">
        <v>16</v>
      </c>
      <c r="L622" s="41"/>
      <c r="M622" s="41" t="s">
        <v>441</v>
      </c>
      <c r="N622" s="41" t="s">
        <v>2412</v>
      </c>
      <c r="O622" s="43">
        <f t="shared" si="155"/>
        <v>700</v>
      </c>
      <c r="P622" s="43">
        <f t="shared" si="156"/>
        <v>519.57299999999998</v>
      </c>
      <c r="Q622" s="41" t="s">
        <v>2436</v>
      </c>
      <c r="R622" s="48" t="str">
        <f t="shared" si="152"/>
        <v>(13,'PS-13-GO2','Poste de Sectionnement n°13 GO2','Thursday-01-jj','Thursday-01-jj',NULL,1,),</v>
      </c>
    </row>
    <row r="623" spans="1:18" ht="20.100000000000001" hidden="1" customHeight="1" x14ac:dyDescent="0.25">
      <c r="A623" s="38">
        <v>1</v>
      </c>
      <c r="B623" s="38" t="s">
        <v>685</v>
      </c>
      <c r="C623" s="38">
        <v>19</v>
      </c>
      <c r="D623" s="39" t="str">
        <f t="shared" ref="D623" si="159">CONCATENATE("PS-",TEXT(A623,"00"),"-",M623)</f>
        <v>PS-01-GO3</v>
      </c>
      <c r="E623" s="48" t="str">
        <f t="shared" ref="E623" si="160">CONCATENATE("Poste de Sectionnement n°",TEXT(A623,"00")," ",M623)</f>
        <v>Poste de Sectionnement n°01 GO3</v>
      </c>
      <c r="F623" s="19">
        <v>39448</v>
      </c>
      <c r="G623" s="19">
        <v>39448</v>
      </c>
      <c r="H623" s="41" t="s">
        <v>20</v>
      </c>
      <c r="I623" s="41">
        <v>1</v>
      </c>
      <c r="J623" s="41" t="s">
        <v>3557</v>
      </c>
      <c r="K623" s="41">
        <v>16</v>
      </c>
      <c r="L623" s="41"/>
      <c r="M623" s="41" t="s">
        <v>444</v>
      </c>
      <c r="N623" s="41" t="s">
        <v>2413</v>
      </c>
      <c r="O623" s="43">
        <f t="shared" si="155"/>
        <v>786.68</v>
      </c>
      <c r="P623" s="43">
        <f t="shared" si="156"/>
        <v>20.356000000000002</v>
      </c>
      <c r="Q623" s="41" t="s">
        <v>790</v>
      </c>
      <c r="R623" s="48" t="str">
        <f t="shared" si="152"/>
        <v>(1,'PS-01-GO3','Poste de Sectionnement n°01 GO3','Tuesday-01-jj','Tuesday-01-jj',NULL,1,),</v>
      </c>
    </row>
    <row r="624" spans="1:18" ht="20.100000000000001" hidden="1" customHeight="1" x14ac:dyDescent="0.25">
      <c r="A624" s="38">
        <v>2</v>
      </c>
      <c r="B624" s="38" t="s">
        <v>685</v>
      </c>
      <c r="C624" s="38">
        <v>19</v>
      </c>
      <c r="D624" s="39" t="str">
        <f t="shared" ref="D624:D641" si="161">CONCATENATE("PS-",TEXT(A624,"00"),"-",M624)</f>
        <v>PS-02-GO3</v>
      </c>
      <c r="E624" s="48" t="str">
        <f t="shared" ref="E624:E641" si="162">CONCATENATE("Poste de Sectionnement n°",TEXT(A624,"00")," ",M624)</f>
        <v>Poste de Sectionnement n°02 GO3</v>
      </c>
      <c r="F624" s="19">
        <v>39448</v>
      </c>
      <c r="G624" s="19">
        <v>39448</v>
      </c>
      <c r="H624" s="41" t="s">
        <v>20</v>
      </c>
      <c r="I624" s="41">
        <v>1</v>
      </c>
      <c r="J624" s="41" t="s">
        <v>3557</v>
      </c>
      <c r="K624" s="41">
        <v>16</v>
      </c>
      <c r="L624" s="41"/>
      <c r="M624" s="41" t="s">
        <v>444</v>
      </c>
      <c r="N624" s="41" t="s">
        <v>2414</v>
      </c>
      <c r="O624" s="43">
        <f t="shared" si="155"/>
        <v>718.03</v>
      </c>
      <c r="P624" s="43">
        <f t="shared" si="156"/>
        <v>39.938000000000002</v>
      </c>
      <c r="Q624" s="41" t="s">
        <v>2070</v>
      </c>
      <c r="R624" s="48" t="str">
        <f t="shared" si="152"/>
        <v>(2,'PS-02-GO3','Poste de Sectionnement n°02 GO3','Tuesday-01-jj','Tuesday-01-jj',NULL,1,),</v>
      </c>
    </row>
    <row r="625" spans="1:18" ht="20.100000000000001" hidden="1" customHeight="1" x14ac:dyDescent="0.25">
      <c r="A625" s="38">
        <v>3</v>
      </c>
      <c r="B625" s="38" t="s">
        <v>685</v>
      </c>
      <c r="C625" s="38">
        <v>19</v>
      </c>
      <c r="D625" s="39" t="str">
        <f t="shared" si="161"/>
        <v>PS-03-GO3</v>
      </c>
      <c r="E625" s="48" t="str">
        <f t="shared" si="162"/>
        <v>Poste de Sectionnement n°03 GO3</v>
      </c>
      <c r="F625" s="19">
        <v>39448</v>
      </c>
      <c r="G625" s="19">
        <v>39448</v>
      </c>
      <c r="H625" s="41" t="s">
        <v>20</v>
      </c>
      <c r="I625" s="41">
        <v>1</v>
      </c>
      <c r="J625" s="41" t="s">
        <v>3557</v>
      </c>
      <c r="K625" s="41">
        <v>16</v>
      </c>
      <c r="L625" s="41"/>
      <c r="M625" s="41" t="s">
        <v>444</v>
      </c>
      <c r="N625" s="41" t="s">
        <v>2415</v>
      </c>
      <c r="O625" s="43">
        <f t="shared" si="155"/>
        <v>742.66</v>
      </c>
      <c r="P625" s="43">
        <f t="shared" si="156"/>
        <v>61.075000000000003</v>
      </c>
      <c r="Q625" s="41" t="s">
        <v>2070</v>
      </c>
      <c r="R625" s="48" t="str">
        <f t="shared" si="152"/>
        <v>(3,'PS-03-GO3','Poste de Sectionnement n°03 GO3','Tuesday-01-jj','Tuesday-01-jj',NULL,1,),</v>
      </c>
    </row>
    <row r="626" spans="1:18" ht="20.100000000000001" hidden="1" customHeight="1" x14ac:dyDescent="0.25">
      <c r="A626" s="38">
        <v>4</v>
      </c>
      <c r="B626" s="38" t="s">
        <v>685</v>
      </c>
      <c r="C626" s="38">
        <v>19</v>
      </c>
      <c r="D626" s="39" t="str">
        <f t="shared" si="161"/>
        <v>PS-04-GO3</v>
      </c>
      <c r="E626" s="48" t="str">
        <f t="shared" si="162"/>
        <v>Poste de Sectionnement n°04 GO3</v>
      </c>
      <c r="F626" s="19">
        <v>39448</v>
      </c>
      <c r="G626" s="19">
        <v>39448</v>
      </c>
      <c r="H626" s="41" t="s">
        <v>20</v>
      </c>
      <c r="I626" s="41">
        <v>1</v>
      </c>
      <c r="J626" s="41" t="s">
        <v>3557</v>
      </c>
      <c r="K626" s="41">
        <v>16</v>
      </c>
      <c r="L626" s="41"/>
      <c r="M626" s="41" t="s">
        <v>444</v>
      </c>
      <c r="N626" s="41" t="s">
        <v>2416</v>
      </c>
      <c r="O626" s="43">
        <f t="shared" si="155"/>
        <v>742.85</v>
      </c>
      <c r="P626" s="43">
        <f t="shared" si="156"/>
        <v>83.2</v>
      </c>
      <c r="Q626" s="41" t="s">
        <v>2070</v>
      </c>
      <c r="R626" s="48" t="str">
        <f t="shared" si="152"/>
        <v>(4,'PS-04-GO3','Poste de Sectionnement n°04 GO3','Tuesday-01-jj','Tuesday-01-jj',NULL,1,),</v>
      </c>
    </row>
    <row r="627" spans="1:18" ht="20.100000000000001" hidden="1" customHeight="1" x14ac:dyDescent="0.25">
      <c r="A627" s="38">
        <v>5</v>
      </c>
      <c r="B627" s="38" t="s">
        <v>685</v>
      </c>
      <c r="C627" s="38">
        <v>19</v>
      </c>
      <c r="D627" s="39" t="str">
        <f t="shared" si="161"/>
        <v>PS-05-GO3</v>
      </c>
      <c r="E627" s="48" t="str">
        <f t="shared" si="162"/>
        <v>Poste de Sectionnement n°05 GO3</v>
      </c>
      <c r="F627" s="19">
        <v>39448</v>
      </c>
      <c r="G627" s="19">
        <v>39448</v>
      </c>
      <c r="H627" s="41" t="s">
        <v>20</v>
      </c>
      <c r="I627" s="41">
        <v>1</v>
      </c>
      <c r="J627" s="41" t="s">
        <v>3557</v>
      </c>
      <c r="K627" s="41">
        <v>16</v>
      </c>
      <c r="L627" s="41"/>
      <c r="M627" s="41" t="s">
        <v>444</v>
      </c>
      <c r="N627" s="41" t="s">
        <v>2417</v>
      </c>
      <c r="O627" s="43">
        <f t="shared" si="155"/>
        <v>726.85</v>
      </c>
      <c r="P627" s="43">
        <f t="shared" si="156"/>
        <v>103</v>
      </c>
      <c r="Q627" s="41" t="s">
        <v>2166</v>
      </c>
      <c r="R627" s="48" t="str">
        <f t="shared" si="152"/>
        <v>(5,'PS-05-GO3','Poste de Sectionnement n°05 GO3','Tuesday-01-jj','Tuesday-01-jj',NULL,1,),</v>
      </c>
    </row>
    <row r="628" spans="1:18" ht="20.100000000000001" hidden="1" customHeight="1" x14ac:dyDescent="0.25">
      <c r="A628" s="38">
        <v>6</v>
      </c>
      <c r="B628" s="38" t="s">
        <v>685</v>
      </c>
      <c r="C628" s="38">
        <v>19</v>
      </c>
      <c r="D628" s="39" t="str">
        <f t="shared" si="161"/>
        <v>PS-06-GO3</v>
      </c>
      <c r="E628" s="48" t="str">
        <f t="shared" si="162"/>
        <v>Poste de Sectionnement n°06 GO3</v>
      </c>
      <c r="F628" s="19">
        <v>39448</v>
      </c>
      <c r="G628" s="19">
        <v>39448</v>
      </c>
      <c r="H628" s="41" t="s">
        <v>20</v>
      </c>
      <c r="I628" s="41">
        <v>1</v>
      </c>
      <c r="J628" s="41" t="s">
        <v>3557</v>
      </c>
      <c r="K628" s="41">
        <v>16</v>
      </c>
      <c r="L628" s="41"/>
      <c r="M628" s="41" t="s">
        <v>444</v>
      </c>
      <c r="N628" s="41" t="s">
        <v>2418</v>
      </c>
      <c r="O628" s="43">
        <f t="shared" si="155"/>
        <v>672.96</v>
      </c>
      <c r="P628" s="43">
        <f t="shared" si="156"/>
        <v>124.63</v>
      </c>
      <c r="Q628" s="41" t="s">
        <v>2431</v>
      </c>
      <c r="R628" s="48" t="str">
        <f t="shared" si="152"/>
        <v>(6,'PS-06-GO3','Poste de Sectionnement n°06 GO3','Tuesday-01-jj','Tuesday-01-jj',NULL,1,),</v>
      </c>
    </row>
    <row r="629" spans="1:18" ht="20.100000000000001" hidden="1" customHeight="1" x14ac:dyDescent="0.25">
      <c r="A629" s="38">
        <v>7</v>
      </c>
      <c r="B629" s="38" t="s">
        <v>685</v>
      </c>
      <c r="C629" s="38">
        <v>19</v>
      </c>
      <c r="D629" s="39" t="str">
        <f t="shared" si="161"/>
        <v>PS-07-GO3</v>
      </c>
      <c r="E629" s="48" t="str">
        <f t="shared" si="162"/>
        <v>Poste de Sectionnement n°07 GO3</v>
      </c>
      <c r="F629" s="19">
        <v>39448</v>
      </c>
      <c r="G629" s="19">
        <v>39448</v>
      </c>
      <c r="H629" s="41" t="s">
        <v>20</v>
      </c>
      <c r="I629" s="41">
        <v>1</v>
      </c>
      <c r="J629" s="41" t="s">
        <v>3557</v>
      </c>
      <c r="K629" s="41">
        <v>16</v>
      </c>
      <c r="L629" s="41"/>
      <c r="M629" s="41" t="s">
        <v>444</v>
      </c>
      <c r="N629" s="41" t="s">
        <v>2419</v>
      </c>
      <c r="O629" s="43">
        <f t="shared" si="155"/>
        <v>566.24</v>
      </c>
      <c r="P629" s="43">
        <f t="shared" si="156"/>
        <v>147.024</v>
      </c>
      <c r="Q629" s="41" t="s">
        <v>2431</v>
      </c>
      <c r="R629" s="48" t="str">
        <f t="shared" si="152"/>
        <v>(7,'PS-07-GO3','Poste de Sectionnement n°07 GO3','Tuesday-01-jj','Tuesday-01-jj',NULL,1,),</v>
      </c>
    </row>
    <row r="630" spans="1:18" ht="20.100000000000001" hidden="1" customHeight="1" x14ac:dyDescent="0.25">
      <c r="A630" s="38">
        <v>8</v>
      </c>
      <c r="B630" s="38" t="s">
        <v>685</v>
      </c>
      <c r="C630" s="38">
        <v>19</v>
      </c>
      <c r="D630" s="39" t="str">
        <f t="shared" si="161"/>
        <v>PS-08-GO3</v>
      </c>
      <c r="E630" s="48" t="str">
        <f t="shared" si="162"/>
        <v>Poste de Sectionnement n°08 GO3</v>
      </c>
      <c r="F630" s="19">
        <v>39448</v>
      </c>
      <c r="G630" s="19">
        <v>39448</v>
      </c>
      <c r="H630" s="41" t="s">
        <v>20</v>
      </c>
      <c r="I630" s="41">
        <v>1</v>
      </c>
      <c r="J630" s="41" t="s">
        <v>3557</v>
      </c>
      <c r="K630" s="41">
        <v>16</v>
      </c>
      <c r="L630" s="41"/>
      <c r="M630" s="41" t="s">
        <v>444</v>
      </c>
      <c r="N630" s="41" t="s">
        <v>2420</v>
      </c>
      <c r="O630" s="43">
        <f t="shared" si="155"/>
        <v>351.21</v>
      </c>
      <c r="P630" s="43">
        <f t="shared" si="156"/>
        <v>208.35</v>
      </c>
      <c r="Q630" s="41" t="s">
        <v>2084</v>
      </c>
      <c r="R630" s="48" t="str">
        <f t="shared" si="152"/>
        <v>(8,'PS-08-GO3','Poste de Sectionnement n°08 GO3','Tuesday-01-jj','Tuesday-01-jj',NULL,1,),</v>
      </c>
    </row>
    <row r="631" spans="1:18" ht="20.100000000000001" hidden="1" customHeight="1" x14ac:dyDescent="0.25">
      <c r="A631" s="38">
        <v>9</v>
      </c>
      <c r="B631" s="38" t="s">
        <v>685</v>
      </c>
      <c r="C631" s="38">
        <v>19</v>
      </c>
      <c r="D631" s="39" t="str">
        <f t="shared" si="161"/>
        <v>PS-09-GO3</v>
      </c>
      <c r="E631" s="48" t="str">
        <f t="shared" si="162"/>
        <v>Poste de Sectionnement n°09 GO3</v>
      </c>
      <c r="F631" s="19">
        <v>39448</v>
      </c>
      <c r="G631" s="19">
        <v>39448</v>
      </c>
      <c r="H631" s="41" t="s">
        <v>20</v>
      </c>
      <c r="I631" s="41">
        <v>1</v>
      </c>
      <c r="J631" s="41" t="s">
        <v>3557</v>
      </c>
      <c r="K631" s="41">
        <v>16</v>
      </c>
      <c r="L631" s="41"/>
      <c r="M631" s="41" t="s">
        <v>444</v>
      </c>
      <c r="N631" s="41" t="s">
        <v>2421</v>
      </c>
      <c r="O631" s="43">
        <f t="shared" si="155"/>
        <v>224.98</v>
      </c>
      <c r="P631" s="43">
        <f t="shared" si="156"/>
        <v>246.50800000000001</v>
      </c>
      <c r="Q631" s="41" t="s">
        <v>2084</v>
      </c>
      <c r="R631" s="48" t="str">
        <f t="shared" si="152"/>
        <v>(9,'PS-09-GO3','Poste de Sectionnement n°09 GO3','Tuesday-01-jj','Tuesday-01-jj',NULL,1,),</v>
      </c>
    </row>
    <row r="632" spans="1:18" ht="20.100000000000001" hidden="1" customHeight="1" x14ac:dyDescent="0.25">
      <c r="A632" s="38">
        <v>10</v>
      </c>
      <c r="B632" s="38" t="s">
        <v>685</v>
      </c>
      <c r="C632" s="38">
        <v>19</v>
      </c>
      <c r="D632" s="39" t="str">
        <f t="shared" si="161"/>
        <v>PS-10-GO3</v>
      </c>
      <c r="E632" s="48" t="str">
        <f t="shared" si="162"/>
        <v>Poste de Sectionnement n°10 GO3</v>
      </c>
      <c r="F632" s="19">
        <v>39448</v>
      </c>
      <c r="G632" s="19">
        <v>39448</v>
      </c>
      <c r="H632" s="41" t="s">
        <v>20</v>
      </c>
      <c r="I632" s="41">
        <v>1</v>
      </c>
      <c r="J632" s="41" t="s">
        <v>3557</v>
      </c>
      <c r="K632" s="41">
        <v>16</v>
      </c>
      <c r="L632" s="41"/>
      <c r="M632" s="41" t="s">
        <v>444</v>
      </c>
      <c r="N632" s="41" t="s">
        <v>2422</v>
      </c>
      <c r="O632" s="43">
        <f t="shared" si="155"/>
        <v>108.52</v>
      </c>
      <c r="P632" s="43">
        <f t="shared" si="156"/>
        <v>283.05200000000002</v>
      </c>
      <c r="Q632" s="41" t="s">
        <v>2432</v>
      </c>
      <c r="R632" s="48" t="str">
        <f t="shared" si="152"/>
        <v>(10,'PS-10-GO3','Poste de Sectionnement n°10 GO3','Tuesday-01-jj','Tuesday-01-jj',NULL,1,),</v>
      </c>
    </row>
    <row r="633" spans="1:18" ht="20.100000000000001" hidden="1" customHeight="1" x14ac:dyDescent="0.25">
      <c r="A633" s="38">
        <v>11</v>
      </c>
      <c r="B633" s="38" t="s">
        <v>685</v>
      </c>
      <c r="C633" s="38">
        <v>19</v>
      </c>
      <c r="D633" s="39" t="str">
        <f t="shared" si="161"/>
        <v>PS-11-GO3</v>
      </c>
      <c r="E633" s="48" t="str">
        <f t="shared" si="162"/>
        <v>Poste de Sectionnement n°11 GO3</v>
      </c>
      <c r="F633" s="19">
        <v>39448</v>
      </c>
      <c r="G633" s="19">
        <v>39448</v>
      </c>
      <c r="H633" s="41" t="s">
        <v>20</v>
      </c>
      <c r="I633" s="41">
        <v>1</v>
      </c>
      <c r="J633" s="41" t="s">
        <v>3557</v>
      </c>
      <c r="K633" s="41">
        <v>16</v>
      </c>
      <c r="L633" s="41"/>
      <c r="M633" s="41" t="s">
        <v>444</v>
      </c>
      <c r="N633" s="41" t="s">
        <v>2423</v>
      </c>
      <c r="O633" s="43">
        <f t="shared" si="155"/>
        <v>18.59</v>
      </c>
      <c r="P633" s="43">
        <f t="shared" si="156"/>
        <v>319.22800000000001</v>
      </c>
      <c r="Q633" s="41" t="s">
        <v>853</v>
      </c>
      <c r="R633" s="48" t="str">
        <f t="shared" si="152"/>
        <v>(11,'PS-11-GO3','Poste de Sectionnement n°11 GO3','Tuesday-01-jj','Tuesday-01-jj',NULL,1,),</v>
      </c>
    </row>
    <row r="634" spans="1:18" ht="20.100000000000001" hidden="1" customHeight="1" x14ac:dyDescent="0.25">
      <c r="A634" s="38">
        <v>12</v>
      </c>
      <c r="B634" s="38" t="s">
        <v>685</v>
      </c>
      <c r="C634" s="38">
        <v>19</v>
      </c>
      <c r="D634" s="39" t="str">
        <f t="shared" si="161"/>
        <v>PS-12-GO3</v>
      </c>
      <c r="E634" s="48" t="str">
        <f t="shared" si="162"/>
        <v>Poste de Sectionnement n°12 GO3</v>
      </c>
      <c r="F634" s="19">
        <v>39448</v>
      </c>
      <c r="G634" s="19">
        <v>39448</v>
      </c>
      <c r="H634" s="41" t="s">
        <v>20</v>
      </c>
      <c r="I634" s="41">
        <v>1</v>
      </c>
      <c r="J634" s="41" t="s">
        <v>3557</v>
      </c>
      <c r="K634" s="41">
        <v>16</v>
      </c>
      <c r="L634" s="41"/>
      <c r="M634" s="41" t="s">
        <v>444</v>
      </c>
      <c r="N634" s="41" t="s">
        <v>2424</v>
      </c>
      <c r="O634" s="43">
        <f t="shared" si="155"/>
        <v>35.29</v>
      </c>
      <c r="P634" s="43">
        <f t="shared" si="156"/>
        <v>375.52</v>
      </c>
      <c r="Q634" s="41" t="s">
        <v>2433</v>
      </c>
      <c r="R634" s="48" t="str">
        <f t="shared" si="152"/>
        <v>(12,'PS-12-GO3','Poste de Sectionnement n°12 GO3','Tuesday-01-jj','Tuesday-01-jj',NULL,1,),</v>
      </c>
    </row>
    <row r="635" spans="1:18" ht="20.100000000000001" hidden="1" customHeight="1" x14ac:dyDescent="0.25">
      <c r="A635" s="38">
        <v>13</v>
      </c>
      <c r="B635" s="38" t="s">
        <v>685</v>
      </c>
      <c r="C635" s="38">
        <v>19</v>
      </c>
      <c r="D635" s="39" t="str">
        <f t="shared" si="161"/>
        <v>PS-13-GO3</v>
      </c>
      <c r="E635" s="48" t="str">
        <f t="shared" si="162"/>
        <v>Poste de Sectionnement n°13 GO3</v>
      </c>
      <c r="F635" s="19">
        <v>39448</v>
      </c>
      <c r="G635" s="19">
        <v>39448</v>
      </c>
      <c r="H635" s="41" t="s">
        <v>20</v>
      </c>
      <c r="I635" s="41">
        <v>1</v>
      </c>
      <c r="J635" s="41" t="s">
        <v>3557</v>
      </c>
      <c r="K635" s="41">
        <v>16</v>
      </c>
      <c r="L635" s="41"/>
      <c r="M635" s="41" t="s">
        <v>444</v>
      </c>
      <c r="N635" s="41" t="s">
        <v>2425</v>
      </c>
      <c r="O635" s="43">
        <f t="shared" si="155"/>
        <v>58.44</v>
      </c>
      <c r="P635" s="43">
        <f t="shared" si="156"/>
        <v>403.85</v>
      </c>
      <c r="Q635" s="41" t="s">
        <v>2437</v>
      </c>
      <c r="R635" s="48" t="str">
        <f t="shared" si="152"/>
        <v>(13,'PS-13-GO3','Poste de Sectionnement n°13 GO3','Tuesday-01-jj','Tuesday-01-jj',NULL,1,),</v>
      </c>
    </row>
    <row r="636" spans="1:18" ht="20.100000000000001" hidden="1" customHeight="1" x14ac:dyDescent="0.25">
      <c r="A636" s="38">
        <v>14</v>
      </c>
      <c r="B636" s="38" t="s">
        <v>685</v>
      </c>
      <c r="C636" s="38">
        <v>19</v>
      </c>
      <c r="D636" s="39" t="str">
        <f t="shared" si="161"/>
        <v>PS-14-GO3</v>
      </c>
      <c r="E636" s="48" t="str">
        <f t="shared" si="162"/>
        <v>Poste de Sectionnement n°14 GO3</v>
      </c>
      <c r="F636" s="19">
        <v>39448</v>
      </c>
      <c r="G636" s="19">
        <v>39448</v>
      </c>
      <c r="H636" s="41" t="s">
        <v>20</v>
      </c>
      <c r="I636" s="41">
        <v>1</v>
      </c>
      <c r="J636" s="41" t="s">
        <v>3557</v>
      </c>
      <c r="K636" s="41">
        <v>16</v>
      </c>
      <c r="L636" s="41"/>
      <c r="M636" s="41" t="s">
        <v>444</v>
      </c>
      <c r="N636" s="41" t="s">
        <v>2426</v>
      </c>
      <c r="O636" s="43">
        <f t="shared" si="155"/>
        <v>134.47999999999999</v>
      </c>
      <c r="P636" s="43">
        <f t="shared" si="156"/>
        <v>433</v>
      </c>
      <c r="Q636" s="41" t="s">
        <v>2437</v>
      </c>
      <c r="R636" s="48" t="str">
        <f t="shared" si="152"/>
        <v>(14,'PS-14-GO3','Poste de Sectionnement n°14 GO3','Tuesday-01-jj','Tuesday-01-jj',NULL,1,),</v>
      </c>
    </row>
    <row r="637" spans="1:18" ht="20.100000000000001" hidden="1" customHeight="1" x14ac:dyDescent="0.25">
      <c r="A637" s="38">
        <v>15</v>
      </c>
      <c r="B637" s="38" t="s">
        <v>685</v>
      </c>
      <c r="C637" s="38">
        <v>19</v>
      </c>
      <c r="D637" s="39" t="str">
        <f t="shared" si="161"/>
        <v>PS-15-GO3</v>
      </c>
      <c r="E637" s="48" t="str">
        <f t="shared" si="162"/>
        <v>Poste de Sectionnement n°15 GO3</v>
      </c>
      <c r="F637" s="19">
        <v>39448</v>
      </c>
      <c r="G637" s="19">
        <v>39448</v>
      </c>
      <c r="H637" s="41" t="s">
        <v>20</v>
      </c>
      <c r="I637" s="41">
        <v>1</v>
      </c>
      <c r="J637" s="41" t="s">
        <v>3557</v>
      </c>
      <c r="K637" s="41">
        <v>16</v>
      </c>
      <c r="L637" s="41"/>
      <c r="M637" s="41" t="s">
        <v>444</v>
      </c>
      <c r="N637" s="41" t="s">
        <v>2427</v>
      </c>
      <c r="O637" s="43">
        <f t="shared" si="155"/>
        <v>353.39</v>
      </c>
      <c r="P637" s="43">
        <f t="shared" si="156"/>
        <v>482.12</v>
      </c>
      <c r="Q637" s="41" t="s">
        <v>2435</v>
      </c>
      <c r="R637" s="48" t="str">
        <f t="shared" si="152"/>
        <v>(15,'PS-15-GO3','Poste de Sectionnement n°15 GO3','Tuesday-01-jj','Tuesday-01-jj',NULL,1,),</v>
      </c>
    </row>
    <row r="638" spans="1:18" ht="20.100000000000001" hidden="1" customHeight="1" x14ac:dyDescent="0.25">
      <c r="A638" s="38">
        <v>16</v>
      </c>
      <c r="B638" s="38" t="s">
        <v>685</v>
      </c>
      <c r="C638" s="38">
        <v>19</v>
      </c>
      <c r="D638" s="39" t="str">
        <f t="shared" si="161"/>
        <v>PS-16-GO3</v>
      </c>
      <c r="E638" s="48" t="str">
        <f t="shared" si="162"/>
        <v>Poste de Sectionnement n°16 GO3</v>
      </c>
      <c r="F638" s="19">
        <v>39448</v>
      </c>
      <c r="G638" s="19">
        <v>39448</v>
      </c>
      <c r="H638" s="41" t="s">
        <v>20</v>
      </c>
      <c r="I638" s="41">
        <v>1</v>
      </c>
      <c r="J638" s="41" t="s">
        <v>3557</v>
      </c>
      <c r="K638" s="41">
        <v>16</v>
      </c>
      <c r="L638" s="41"/>
      <c r="M638" s="41" t="s">
        <v>444</v>
      </c>
      <c r="N638" s="41" t="s">
        <v>2428</v>
      </c>
      <c r="O638" s="43">
        <f t="shared" si="155"/>
        <v>489.04</v>
      </c>
      <c r="P638" s="43">
        <f t="shared" si="156"/>
        <v>501.20299999999997</v>
      </c>
      <c r="Q638" s="41" t="s">
        <v>2436</v>
      </c>
      <c r="R638" s="48" t="str">
        <f t="shared" si="152"/>
        <v>(16,'PS-16-GO3','Poste de Sectionnement n°16 GO3','Tuesday-01-jj','Tuesday-01-jj',NULL,1,),</v>
      </c>
    </row>
    <row r="639" spans="1:18" ht="20.100000000000001" hidden="1" customHeight="1" x14ac:dyDescent="0.25">
      <c r="A639" s="38">
        <v>17</v>
      </c>
      <c r="B639" s="38" t="s">
        <v>685</v>
      </c>
      <c r="C639" s="38">
        <v>19</v>
      </c>
      <c r="D639" s="39" t="str">
        <f t="shared" si="161"/>
        <v>PS-17-GO3</v>
      </c>
      <c r="E639" s="48" t="str">
        <f t="shared" si="162"/>
        <v>Poste de Sectionnement n°17 GO3</v>
      </c>
      <c r="F639" s="19">
        <v>39448</v>
      </c>
      <c r="G639" s="19">
        <v>39448</v>
      </c>
      <c r="H639" s="41" t="s">
        <v>20</v>
      </c>
      <c r="I639" s="41">
        <v>1</v>
      </c>
      <c r="J639" s="41" t="s">
        <v>3557</v>
      </c>
      <c r="K639" s="41">
        <v>16</v>
      </c>
      <c r="L639" s="41"/>
      <c r="M639" s="41" t="s">
        <v>444</v>
      </c>
      <c r="N639" s="41" t="s">
        <v>2429</v>
      </c>
      <c r="O639" s="43">
        <f t="shared" si="155"/>
        <v>706.45</v>
      </c>
      <c r="P639" s="43">
        <f t="shared" si="156"/>
        <v>520</v>
      </c>
      <c r="Q639" s="41" t="s">
        <v>2436</v>
      </c>
      <c r="R639" s="48" t="str">
        <f t="shared" si="152"/>
        <v>(17,'PS-17-GO3','Poste de Sectionnement n°17 GO3','Tuesday-01-jj','Tuesday-01-jj',NULL,1,),</v>
      </c>
    </row>
    <row r="640" spans="1:18" ht="20.100000000000001" hidden="1" customHeight="1" x14ac:dyDescent="0.25">
      <c r="A640" s="38">
        <v>18</v>
      </c>
      <c r="B640" s="38" t="s">
        <v>685</v>
      </c>
      <c r="C640" s="38">
        <v>19</v>
      </c>
      <c r="D640" s="39" t="str">
        <f t="shared" si="161"/>
        <v>PS-18-GO3</v>
      </c>
      <c r="E640" s="48" t="str">
        <f t="shared" si="162"/>
        <v>Poste de Sectionnement n°18 GO3</v>
      </c>
      <c r="F640" s="19">
        <v>39448</v>
      </c>
      <c r="G640" s="19">
        <v>39448</v>
      </c>
      <c r="H640" s="41" t="s">
        <v>20</v>
      </c>
      <c r="I640" s="41">
        <v>1</v>
      </c>
      <c r="J640" s="41" t="s">
        <v>3557</v>
      </c>
      <c r="K640" s="41">
        <v>16</v>
      </c>
      <c r="L640" s="41"/>
      <c r="M640" s="41" t="s">
        <v>444</v>
      </c>
      <c r="N640" s="41" t="s">
        <v>2430</v>
      </c>
      <c r="O640" s="43">
        <f t="shared" si="155"/>
        <v>793.99</v>
      </c>
      <c r="P640" s="43">
        <f t="shared" si="156"/>
        <v>532.15</v>
      </c>
      <c r="Q640" s="41" t="s">
        <v>2438</v>
      </c>
      <c r="R640" s="48" t="str">
        <f t="shared" si="152"/>
        <v>(18,'PS-18-GO3','Poste de Sectionnement n°18 GO3','Tuesday-01-jj','Tuesday-01-jj',NULL,1,),</v>
      </c>
    </row>
    <row r="641" spans="1:18" ht="20.100000000000001" hidden="1" customHeight="1" x14ac:dyDescent="0.25">
      <c r="A641" s="38">
        <v>1</v>
      </c>
      <c r="B641" s="38" t="s">
        <v>664</v>
      </c>
      <c r="C641" s="38">
        <v>21</v>
      </c>
      <c r="D641" s="39" t="str">
        <f t="shared" si="161"/>
        <v>PS-01-GR1</v>
      </c>
      <c r="E641" s="48" t="str">
        <f t="shared" si="162"/>
        <v>Poste de Sectionnement n°01 GR1</v>
      </c>
      <c r="F641" s="19">
        <v>35065</v>
      </c>
      <c r="G641" s="19">
        <v>35065</v>
      </c>
      <c r="H641" s="41" t="s">
        <v>20</v>
      </c>
      <c r="I641" s="41">
        <v>1</v>
      </c>
      <c r="J641" s="41" t="s">
        <v>3557</v>
      </c>
      <c r="K641" s="41">
        <v>16</v>
      </c>
      <c r="L641" s="41"/>
      <c r="M641" s="41" t="s">
        <v>415</v>
      </c>
      <c r="N641" s="41" t="s">
        <v>2505</v>
      </c>
      <c r="O641" s="43">
        <v>711</v>
      </c>
      <c r="P641" s="43">
        <f>VALUE(SUBSTITUTE(N641,"+",","))</f>
        <v>19.96</v>
      </c>
      <c r="Q641" s="41" t="s">
        <v>980</v>
      </c>
      <c r="R641" s="48" t="str">
        <f t="shared" si="152"/>
        <v>(1,'PS-01-GR1','Poste de Sectionnement n°01 GR1','Monday-01-jj','Monday-01-jj',NULL,1,),</v>
      </c>
    </row>
    <row r="642" spans="1:18" ht="20.100000000000001" hidden="1" customHeight="1" x14ac:dyDescent="0.25">
      <c r="A642" s="38">
        <v>2</v>
      </c>
      <c r="B642" s="38" t="s">
        <v>664</v>
      </c>
      <c r="C642" s="38">
        <v>21</v>
      </c>
      <c r="D642" s="39" t="str">
        <f t="shared" ref="D642:D682" si="163">CONCATENATE("PS-",TEXT(A642,"00"),"-",M642)</f>
        <v>PS-02-GR1</v>
      </c>
      <c r="E642" s="48" t="str">
        <f t="shared" ref="E642:E682" si="164">CONCATENATE("Poste de Sectionnement n°",TEXT(A642,"00")," ",M642)</f>
        <v>Poste de Sectionnement n°02 GR1</v>
      </c>
      <c r="F642" s="19">
        <v>35065</v>
      </c>
      <c r="G642" s="19">
        <v>35065</v>
      </c>
      <c r="H642" s="41" t="s">
        <v>20</v>
      </c>
      <c r="I642" s="41">
        <v>1</v>
      </c>
      <c r="J642" s="41" t="s">
        <v>3557</v>
      </c>
      <c r="K642" s="41">
        <v>16</v>
      </c>
      <c r="L642" s="41"/>
      <c r="M642" s="41" t="s">
        <v>415</v>
      </c>
      <c r="N642" s="41" t="s">
        <v>1622</v>
      </c>
      <c r="O642" s="43">
        <v>695</v>
      </c>
      <c r="P642" s="43">
        <f t="shared" ref="P642:P681" si="165">VALUE(SUBSTITUTE(N642,"+",","))</f>
        <v>40.130000000000003</v>
      </c>
      <c r="Q642" s="41" t="s">
        <v>980</v>
      </c>
      <c r="R642" s="48" t="str">
        <f t="shared" si="152"/>
        <v>(2,'PS-02-GR1','Poste de Sectionnement n°02 GR1','Monday-01-jj','Monday-01-jj',NULL,1,),</v>
      </c>
    </row>
    <row r="643" spans="1:18" ht="20.100000000000001" hidden="1" customHeight="1" x14ac:dyDescent="0.25">
      <c r="A643" s="38">
        <v>3</v>
      </c>
      <c r="B643" s="38" t="s">
        <v>664</v>
      </c>
      <c r="C643" s="38">
        <v>21</v>
      </c>
      <c r="D643" s="39" t="str">
        <f t="shared" si="163"/>
        <v>PS-03-GR1</v>
      </c>
      <c r="E643" s="48" t="str">
        <f t="shared" si="164"/>
        <v>Poste de Sectionnement n°03 GR1</v>
      </c>
      <c r="F643" s="19">
        <v>35065</v>
      </c>
      <c r="G643" s="19">
        <v>35065</v>
      </c>
      <c r="H643" s="41" t="s">
        <v>20</v>
      </c>
      <c r="I643" s="41">
        <v>1</v>
      </c>
      <c r="J643" s="41" t="s">
        <v>3557</v>
      </c>
      <c r="K643" s="41">
        <v>16</v>
      </c>
      <c r="L643" s="41"/>
      <c r="M643" s="41" t="s">
        <v>415</v>
      </c>
      <c r="N643" s="41" t="s">
        <v>2506</v>
      </c>
      <c r="O643" s="43">
        <v>663</v>
      </c>
      <c r="P643" s="43">
        <f t="shared" si="165"/>
        <v>60.33</v>
      </c>
      <c r="Q643" s="41" t="s">
        <v>979</v>
      </c>
      <c r="R643" s="48" t="str">
        <f t="shared" si="152"/>
        <v>(3,'PS-03-GR1','Poste de Sectionnement n°03 GR1','Monday-01-jj','Monday-01-jj',NULL,1,),</v>
      </c>
    </row>
    <row r="644" spans="1:18" ht="20.100000000000001" hidden="1" customHeight="1" x14ac:dyDescent="0.25">
      <c r="A644" s="38">
        <v>4</v>
      </c>
      <c r="B644" s="38" t="s">
        <v>664</v>
      </c>
      <c r="C644" s="38">
        <v>21</v>
      </c>
      <c r="D644" s="39" t="str">
        <f t="shared" si="163"/>
        <v>PS-04-GR1</v>
      </c>
      <c r="E644" s="48" t="str">
        <f t="shared" si="164"/>
        <v>Poste de Sectionnement n°04 GR1</v>
      </c>
      <c r="F644" s="19">
        <v>35065</v>
      </c>
      <c r="G644" s="19">
        <v>35065</v>
      </c>
      <c r="H644" s="41" t="s">
        <v>20</v>
      </c>
      <c r="I644" s="41">
        <v>1</v>
      </c>
      <c r="J644" s="41" t="s">
        <v>3557</v>
      </c>
      <c r="K644" s="41">
        <v>16</v>
      </c>
      <c r="L644" s="41"/>
      <c r="M644" s="41" t="s">
        <v>415</v>
      </c>
      <c r="N644" s="41" t="s">
        <v>2507</v>
      </c>
      <c r="O644" s="43">
        <v>587</v>
      </c>
      <c r="P644" s="43">
        <f t="shared" si="165"/>
        <v>80.23</v>
      </c>
      <c r="Q644" s="41" t="s">
        <v>979</v>
      </c>
      <c r="R644" s="48" t="str">
        <f t="shared" si="152"/>
        <v>(4,'PS-04-GR1','Poste de Sectionnement n°04 GR1','Monday-01-jj','Monday-01-jj',NULL,1,),</v>
      </c>
    </row>
    <row r="645" spans="1:18" ht="20.100000000000001" hidden="1" customHeight="1" x14ac:dyDescent="0.25">
      <c r="A645" s="38">
        <v>5</v>
      </c>
      <c r="B645" s="38" t="s">
        <v>664</v>
      </c>
      <c r="C645" s="38">
        <v>21</v>
      </c>
      <c r="D645" s="39" t="str">
        <f t="shared" si="163"/>
        <v>PS-05-GR1</v>
      </c>
      <c r="E645" s="48" t="str">
        <f t="shared" si="164"/>
        <v>Poste de Sectionnement n°05 GR1</v>
      </c>
      <c r="F645" s="19">
        <v>35065</v>
      </c>
      <c r="G645" s="19">
        <v>35065</v>
      </c>
      <c r="H645" s="41" t="s">
        <v>20</v>
      </c>
      <c r="I645" s="41">
        <v>1</v>
      </c>
      <c r="J645" s="41" t="s">
        <v>3557</v>
      </c>
      <c r="K645" s="41">
        <v>16</v>
      </c>
      <c r="L645" s="41"/>
      <c r="M645" s="41" t="s">
        <v>415</v>
      </c>
      <c r="N645" s="41" t="s">
        <v>2508</v>
      </c>
      <c r="O645" s="43">
        <v>558</v>
      </c>
      <c r="P645" s="43">
        <f t="shared" si="165"/>
        <v>118.16</v>
      </c>
      <c r="Q645" s="41" t="s">
        <v>1804</v>
      </c>
      <c r="R645" s="48" t="str">
        <f t="shared" si="152"/>
        <v>(5,'PS-05-GR1','Poste de Sectionnement n°05 GR1','Monday-01-jj','Monday-01-jj',NULL,1,),</v>
      </c>
    </row>
    <row r="646" spans="1:18" ht="20.100000000000001" hidden="1" customHeight="1" x14ac:dyDescent="0.25">
      <c r="A646" s="38">
        <v>6</v>
      </c>
      <c r="B646" s="38" t="s">
        <v>664</v>
      </c>
      <c r="C646" s="38">
        <v>21</v>
      </c>
      <c r="D646" s="39" t="str">
        <f t="shared" si="163"/>
        <v>PS-06-GR1</v>
      </c>
      <c r="E646" s="48" t="str">
        <f t="shared" si="164"/>
        <v>Poste de Sectionnement n°06 GR1</v>
      </c>
      <c r="F646" s="19">
        <v>35065</v>
      </c>
      <c r="G646" s="19">
        <v>35065</v>
      </c>
      <c r="H646" s="41" t="s">
        <v>20</v>
      </c>
      <c r="I646" s="41">
        <v>1</v>
      </c>
      <c r="J646" s="41" t="s">
        <v>3557</v>
      </c>
      <c r="K646" s="41">
        <v>16</v>
      </c>
      <c r="L646" s="41"/>
      <c r="M646" s="41" t="s">
        <v>415</v>
      </c>
      <c r="N646" s="41" t="s">
        <v>2509</v>
      </c>
      <c r="O646" s="43">
        <v>552</v>
      </c>
      <c r="P646" s="43">
        <f t="shared" si="165"/>
        <v>136.44999999999999</v>
      </c>
      <c r="Q646" s="41" t="s">
        <v>1804</v>
      </c>
      <c r="R646" s="48" t="str">
        <f t="shared" si="152"/>
        <v>(6,'PS-06-GR1','Poste de Sectionnement n°06 GR1','Monday-01-jj','Monday-01-jj',NULL,1,),</v>
      </c>
    </row>
    <row r="647" spans="1:18" ht="20.100000000000001" hidden="1" customHeight="1" x14ac:dyDescent="0.25">
      <c r="A647" s="38">
        <v>7</v>
      </c>
      <c r="B647" s="38" t="s">
        <v>664</v>
      </c>
      <c r="C647" s="38">
        <v>21</v>
      </c>
      <c r="D647" s="39" t="str">
        <f t="shared" si="163"/>
        <v>PS-07-GR1</v>
      </c>
      <c r="E647" s="48" t="str">
        <f t="shared" si="164"/>
        <v>Poste de Sectionnement n°07 GR1</v>
      </c>
      <c r="F647" s="19">
        <v>35065</v>
      </c>
      <c r="G647" s="19">
        <v>35065</v>
      </c>
      <c r="H647" s="41" t="s">
        <v>20</v>
      </c>
      <c r="I647" s="41">
        <v>1</v>
      </c>
      <c r="J647" s="41" t="s">
        <v>3557</v>
      </c>
      <c r="K647" s="41">
        <v>16</v>
      </c>
      <c r="L647" s="41"/>
      <c r="M647" s="41" t="s">
        <v>415</v>
      </c>
      <c r="N647" s="41" t="s">
        <v>2510</v>
      </c>
      <c r="O647" s="43">
        <v>569</v>
      </c>
      <c r="P647" s="43">
        <f t="shared" si="165"/>
        <v>156.34</v>
      </c>
      <c r="Q647" s="41" t="s">
        <v>1804</v>
      </c>
      <c r="R647" s="48" t="str">
        <f t="shared" si="152"/>
        <v>(7,'PS-07-GR1','Poste de Sectionnement n°07 GR1','Monday-01-jj','Monday-01-jj',NULL,1,),</v>
      </c>
    </row>
    <row r="648" spans="1:18" ht="20.100000000000001" hidden="1" customHeight="1" x14ac:dyDescent="0.25">
      <c r="A648" s="38">
        <v>8</v>
      </c>
      <c r="B648" s="38" t="s">
        <v>664</v>
      </c>
      <c r="C648" s="38">
        <v>21</v>
      </c>
      <c r="D648" s="39" t="str">
        <f t="shared" si="163"/>
        <v>PS-08-GR1</v>
      </c>
      <c r="E648" s="48" t="str">
        <f t="shared" si="164"/>
        <v>Poste de Sectionnement n°08 GR1</v>
      </c>
      <c r="F648" s="19">
        <v>35065</v>
      </c>
      <c r="G648" s="19">
        <v>35065</v>
      </c>
      <c r="H648" s="41" t="s">
        <v>20</v>
      </c>
      <c r="I648" s="41">
        <v>1</v>
      </c>
      <c r="J648" s="41" t="s">
        <v>3557</v>
      </c>
      <c r="K648" s="41">
        <v>16</v>
      </c>
      <c r="L648" s="41"/>
      <c r="M648" s="41" t="s">
        <v>415</v>
      </c>
      <c r="N648" s="41" t="s">
        <v>2511</v>
      </c>
      <c r="O648" s="43">
        <v>567</v>
      </c>
      <c r="P648" s="43">
        <f t="shared" si="165"/>
        <v>176.17</v>
      </c>
      <c r="Q648" s="41" t="s">
        <v>1804</v>
      </c>
      <c r="R648" s="48" t="str">
        <f t="shared" si="152"/>
        <v>(8,'PS-08-GR1','Poste de Sectionnement n°08 GR1','Monday-01-jj','Monday-01-jj',NULL,1,),</v>
      </c>
    </row>
    <row r="649" spans="1:18" ht="20.100000000000001" hidden="1" customHeight="1" x14ac:dyDescent="0.25">
      <c r="A649" s="38">
        <v>9</v>
      </c>
      <c r="B649" s="38" t="s">
        <v>664</v>
      </c>
      <c r="C649" s="38">
        <v>21</v>
      </c>
      <c r="D649" s="39" t="str">
        <f t="shared" si="163"/>
        <v>PS-09-GR1</v>
      </c>
      <c r="E649" s="48" t="str">
        <f t="shared" si="164"/>
        <v>Poste de Sectionnement n°09 GR1</v>
      </c>
      <c r="F649" s="19">
        <v>35065</v>
      </c>
      <c r="G649" s="19">
        <v>35065</v>
      </c>
      <c r="H649" s="41" t="s">
        <v>20</v>
      </c>
      <c r="I649" s="41">
        <v>1</v>
      </c>
      <c r="J649" s="41" t="s">
        <v>3557</v>
      </c>
      <c r="K649" s="41">
        <v>16</v>
      </c>
      <c r="L649" s="41"/>
      <c r="M649" s="41" t="s">
        <v>415</v>
      </c>
      <c r="N649" s="41" t="s">
        <v>2512</v>
      </c>
      <c r="O649" s="43">
        <v>540</v>
      </c>
      <c r="P649" s="43">
        <f t="shared" si="165"/>
        <v>195.77</v>
      </c>
      <c r="Q649" s="41" t="s">
        <v>1804</v>
      </c>
      <c r="R649" s="48" t="str">
        <f t="shared" si="152"/>
        <v>(9,'PS-09-GR1','Poste de Sectionnement n°09 GR1','Monday-01-jj','Monday-01-jj',NULL,1,),</v>
      </c>
    </row>
    <row r="650" spans="1:18" ht="20.100000000000001" hidden="1" customHeight="1" x14ac:dyDescent="0.25">
      <c r="A650" s="38">
        <v>10</v>
      </c>
      <c r="B650" s="38" t="s">
        <v>664</v>
      </c>
      <c r="C650" s="38">
        <v>21</v>
      </c>
      <c r="D650" s="39" t="str">
        <f t="shared" si="163"/>
        <v>PS-10-GR1</v>
      </c>
      <c r="E650" s="48" t="str">
        <f t="shared" si="164"/>
        <v>Poste de Sectionnement n°10 GR1</v>
      </c>
      <c r="F650" s="19">
        <v>35065</v>
      </c>
      <c r="G650" s="19">
        <v>35065</v>
      </c>
      <c r="H650" s="41" t="s">
        <v>20</v>
      </c>
      <c r="I650" s="41">
        <v>1</v>
      </c>
      <c r="J650" s="41" t="s">
        <v>3557</v>
      </c>
      <c r="K650" s="41">
        <v>16</v>
      </c>
      <c r="L650" s="41"/>
      <c r="M650" s="41" t="s">
        <v>415</v>
      </c>
      <c r="N650" s="41" t="s">
        <v>2513</v>
      </c>
      <c r="O650" s="43">
        <v>497</v>
      </c>
      <c r="P650" s="43">
        <f t="shared" si="165"/>
        <v>214.14</v>
      </c>
      <c r="Q650" s="41" t="s">
        <v>1804</v>
      </c>
      <c r="R650" s="48" t="str">
        <f t="shared" si="152"/>
        <v>(10,'PS-10-GR1','Poste de Sectionnement n°10 GR1','Monday-01-jj','Monday-01-jj',NULL,1,),</v>
      </c>
    </row>
    <row r="651" spans="1:18" ht="20.100000000000001" hidden="1" customHeight="1" x14ac:dyDescent="0.25">
      <c r="A651" s="38">
        <v>11</v>
      </c>
      <c r="B651" s="38" t="s">
        <v>664</v>
      </c>
      <c r="C651" s="38">
        <v>21</v>
      </c>
      <c r="D651" s="39" t="str">
        <f t="shared" si="163"/>
        <v>PS-11-GR1</v>
      </c>
      <c r="E651" s="48" t="str">
        <f t="shared" si="164"/>
        <v>Poste de Sectionnement n°11 GR1</v>
      </c>
      <c r="F651" s="19">
        <v>35065</v>
      </c>
      <c r="G651" s="19">
        <v>35065</v>
      </c>
      <c r="H651" s="41" t="s">
        <v>20</v>
      </c>
      <c r="I651" s="41">
        <v>1</v>
      </c>
      <c r="J651" s="41" t="s">
        <v>3557</v>
      </c>
      <c r="K651" s="41">
        <v>16</v>
      </c>
      <c r="L651" s="41"/>
      <c r="M651" s="41" t="s">
        <v>415</v>
      </c>
      <c r="N651" s="41" t="s">
        <v>2514</v>
      </c>
      <c r="O651" s="43">
        <v>413</v>
      </c>
      <c r="P651" s="43">
        <f t="shared" si="165"/>
        <v>248.47</v>
      </c>
      <c r="Q651" s="41" t="s">
        <v>1804</v>
      </c>
      <c r="R651" s="48" t="str">
        <f t="shared" si="152"/>
        <v>(11,'PS-11-GR1','Poste de Sectionnement n°11 GR1','Monday-01-jj','Monday-01-jj',NULL,1,),</v>
      </c>
    </row>
    <row r="652" spans="1:18" ht="20.100000000000001" hidden="1" customHeight="1" x14ac:dyDescent="0.25">
      <c r="A652" s="38">
        <v>12</v>
      </c>
      <c r="B652" s="38" t="s">
        <v>664</v>
      </c>
      <c r="C652" s="38">
        <v>21</v>
      </c>
      <c r="D652" s="39" t="str">
        <f t="shared" si="163"/>
        <v>PS-12-GR1</v>
      </c>
      <c r="E652" s="48" t="str">
        <f t="shared" si="164"/>
        <v>Poste de Sectionnement n°12 GR1</v>
      </c>
      <c r="F652" s="19">
        <v>35065</v>
      </c>
      <c r="G652" s="19">
        <v>35065</v>
      </c>
      <c r="H652" s="41" t="s">
        <v>20</v>
      </c>
      <c r="I652" s="41">
        <v>1</v>
      </c>
      <c r="J652" s="41" t="s">
        <v>3557</v>
      </c>
      <c r="K652" s="41">
        <v>16</v>
      </c>
      <c r="L652" s="41"/>
      <c r="M652" s="41" t="s">
        <v>415</v>
      </c>
      <c r="N652" s="41" t="s">
        <v>2515</v>
      </c>
      <c r="O652" s="43">
        <v>423</v>
      </c>
      <c r="P652" s="43">
        <f t="shared" si="165"/>
        <v>263.67</v>
      </c>
      <c r="Q652" s="41" t="s">
        <v>1804</v>
      </c>
      <c r="R652" s="48" t="str">
        <f t="shared" si="152"/>
        <v>(12,'PS-12-GR1','Poste de Sectionnement n°12 GR1','Monday-01-jj','Monday-01-jj',NULL,1,),</v>
      </c>
    </row>
    <row r="653" spans="1:18" ht="20.100000000000001" hidden="1" customHeight="1" x14ac:dyDescent="0.25">
      <c r="A653" s="38">
        <v>13</v>
      </c>
      <c r="B653" s="38" t="s">
        <v>664</v>
      </c>
      <c r="C653" s="38">
        <v>21</v>
      </c>
      <c r="D653" s="39" t="str">
        <f t="shared" si="163"/>
        <v>PS-13-GR1</v>
      </c>
      <c r="E653" s="48" t="str">
        <f t="shared" si="164"/>
        <v>Poste de Sectionnement n°13 GR1</v>
      </c>
      <c r="F653" s="19">
        <v>35065</v>
      </c>
      <c r="G653" s="19">
        <v>35065</v>
      </c>
      <c r="H653" s="41" t="s">
        <v>20</v>
      </c>
      <c r="I653" s="41">
        <v>1</v>
      </c>
      <c r="J653" s="41" t="s">
        <v>3557</v>
      </c>
      <c r="K653" s="41">
        <v>16</v>
      </c>
      <c r="L653" s="41"/>
      <c r="M653" s="41" t="s">
        <v>415</v>
      </c>
      <c r="N653" s="41" t="s">
        <v>2516</v>
      </c>
      <c r="O653" s="43">
        <v>350</v>
      </c>
      <c r="P653" s="43">
        <f t="shared" si="165"/>
        <v>281.57</v>
      </c>
      <c r="Q653" s="41" t="s">
        <v>1804</v>
      </c>
      <c r="R653" s="48" t="str">
        <f t="shared" si="152"/>
        <v>(13,'PS-13-GR1','Poste de Sectionnement n°13 GR1','Monday-01-jj','Monday-01-jj',NULL,1,),</v>
      </c>
    </row>
    <row r="654" spans="1:18" ht="20.100000000000001" hidden="1" customHeight="1" x14ac:dyDescent="0.25">
      <c r="A654" s="38">
        <v>14</v>
      </c>
      <c r="B654" s="38" t="s">
        <v>664</v>
      </c>
      <c r="C654" s="38">
        <v>21</v>
      </c>
      <c r="D654" s="39" t="str">
        <f t="shared" si="163"/>
        <v>PS-14-GR1</v>
      </c>
      <c r="E654" s="48" t="str">
        <f t="shared" si="164"/>
        <v>Poste de Sectionnement n°14 GR1</v>
      </c>
      <c r="F654" s="19">
        <v>35065</v>
      </c>
      <c r="G654" s="19">
        <v>35065</v>
      </c>
      <c r="H654" s="41" t="s">
        <v>20</v>
      </c>
      <c r="I654" s="41">
        <v>1</v>
      </c>
      <c r="J654" s="41" t="s">
        <v>3557</v>
      </c>
      <c r="K654" s="41">
        <v>16</v>
      </c>
      <c r="L654" s="41"/>
      <c r="M654" s="41" t="s">
        <v>415</v>
      </c>
      <c r="N654" s="41" t="s">
        <v>2517</v>
      </c>
      <c r="O654" s="43">
        <v>316</v>
      </c>
      <c r="P654" s="43">
        <f t="shared" si="165"/>
        <v>317.10000000000002</v>
      </c>
      <c r="Q654" s="41" t="s">
        <v>1804</v>
      </c>
      <c r="R654" s="48" t="str">
        <f t="shared" si="152"/>
        <v>(14,'PS-14-GR1','Poste de Sectionnement n°14 GR1','Monday-01-jj','Monday-01-jj',NULL,1,),</v>
      </c>
    </row>
    <row r="655" spans="1:18" ht="20.100000000000001" hidden="1" customHeight="1" x14ac:dyDescent="0.25">
      <c r="A655" s="38">
        <v>15</v>
      </c>
      <c r="B655" s="38" t="s">
        <v>664</v>
      </c>
      <c r="C655" s="38">
        <v>21</v>
      </c>
      <c r="D655" s="39" t="str">
        <f t="shared" si="163"/>
        <v>PS-15-GR1</v>
      </c>
      <c r="E655" s="48" t="str">
        <f t="shared" si="164"/>
        <v>Poste de Sectionnement n°15 GR1</v>
      </c>
      <c r="F655" s="19">
        <v>35065</v>
      </c>
      <c r="G655" s="19">
        <v>35065</v>
      </c>
      <c r="H655" s="41" t="s">
        <v>20</v>
      </c>
      <c r="I655" s="41">
        <v>1</v>
      </c>
      <c r="J655" s="41" t="s">
        <v>3557</v>
      </c>
      <c r="K655" s="41">
        <v>16</v>
      </c>
      <c r="L655" s="41"/>
      <c r="M655" s="41" t="s">
        <v>415</v>
      </c>
      <c r="N655" s="41" t="s">
        <v>2518</v>
      </c>
      <c r="O655" s="43">
        <v>316</v>
      </c>
      <c r="P655" s="43">
        <f t="shared" si="165"/>
        <v>336.05</v>
      </c>
      <c r="Q655" s="41" t="s">
        <v>1804</v>
      </c>
      <c r="R655" s="48" t="str">
        <f t="shared" si="152"/>
        <v>(15,'PS-15-GR1','Poste de Sectionnement n°15 GR1','Monday-01-jj','Monday-01-jj',NULL,1,),</v>
      </c>
    </row>
    <row r="656" spans="1:18" ht="20.100000000000001" hidden="1" customHeight="1" x14ac:dyDescent="0.25">
      <c r="A656" s="38">
        <v>16</v>
      </c>
      <c r="B656" s="38" t="s">
        <v>664</v>
      </c>
      <c r="C656" s="38">
        <v>21</v>
      </c>
      <c r="D656" s="39" t="str">
        <f t="shared" si="163"/>
        <v>PS-16-GR1</v>
      </c>
      <c r="E656" s="48" t="str">
        <f t="shared" si="164"/>
        <v>Poste de Sectionnement n°16 GR1</v>
      </c>
      <c r="F656" s="19">
        <v>35065</v>
      </c>
      <c r="G656" s="19">
        <v>35065</v>
      </c>
      <c r="H656" s="41" t="s">
        <v>20</v>
      </c>
      <c r="I656" s="41">
        <v>1</v>
      </c>
      <c r="J656" s="41" t="s">
        <v>3557</v>
      </c>
      <c r="K656" s="41">
        <v>16</v>
      </c>
      <c r="L656" s="41"/>
      <c r="M656" s="41" t="s">
        <v>415</v>
      </c>
      <c r="N656" s="41" t="s">
        <v>2519</v>
      </c>
      <c r="O656" s="43">
        <v>302</v>
      </c>
      <c r="P656" s="43">
        <f t="shared" si="165"/>
        <v>357.03</v>
      </c>
      <c r="Q656" s="41" t="s">
        <v>1804</v>
      </c>
      <c r="R656" s="48" t="str">
        <f t="shared" si="152"/>
        <v>(16,'PS-16-GR1','Poste de Sectionnement n°16 GR1','Monday-01-jj','Monday-01-jj',NULL,1,),</v>
      </c>
    </row>
    <row r="657" spans="1:18" ht="20.100000000000001" hidden="1" customHeight="1" x14ac:dyDescent="0.25">
      <c r="A657" s="38">
        <v>17</v>
      </c>
      <c r="B657" s="38" t="s">
        <v>664</v>
      </c>
      <c r="C657" s="38">
        <v>21</v>
      </c>
      <c r="D657" s="39" t="str">
        <f t="shared" si="163"/>
        <v>PS-17-GR1</v>
      </c>
      <c r="E657" s="48" t="str">
        <f t="shared" si="164"/>
        <v>Poste de Sectionnement n°17 GR1</v>
      </c>
      <c r="F657" s="19">
        <v>35065</v>
      </c>
      <c r="G657" s="19">
        <v>35065</v>
      </c>
      <c r="H657" s="41" t="s">
        <v>20</v>
      </c>
      <c r="I657" s="41">
        <v>1</v>
      </c>
      <c r="J657" s="41" t="s">
        <v>3557</v>
      </c>
      <c r="K657" s="41">
        <v>16</v>
      </c>
      <c r="L657" s="41"/>
      <c r="M657" s="41" t="s">
        <v>415</v>
      </c>
      <c r="N657" s="41" t="s">
        <v>2520</v>
      </c>
      <c r="O657" s="43">
        <v>288</v>
      </c>
      <c r="P657" s="43">
        <f t="shared" si="165"/>
        <v>377.92</v>
      </c>
      <c r="Q657" s="41" t="s">
        <v>1804</v>
      </c>
      <c r="R657" s="48" t="str">
        <f t="shared" si="152"/>
        <v>(17,'PS-17-GR1','Poste de Sectionnement n°17 GR1','Monday-01-jj','Monday-01-jj',NULL,1,),</v>
      </c>
    </row>
    <row r="658" spans="1:18" ht="20.100000000000001" hidden="1" customHeight="1" x14ac:dyDescent="0.25">
      <c r="A658" s="38">
        <v>18</v>
      </c>
      <c r="B658" s="38" t="s">
        <v>664</v>
      </c>
      <c r="C658" s="38">
        <v>21</v>
      </c>
      <c r="D658" s="39" t="str">
        <f t="shared" si="163"/>
        <v>PS-18-GR1</v>
      </c>
      <c r="E658" s="48" t="str">
        <f t="shared" si="164"/>
        <v>Poste de Sectionnement n°18 GR1</v>
      </c>
      <c r="F658" s="19">
        <v>35065</v>
      </c>
      <c r="G658" s="19">
        <v>35065</v>
      </c>
      <c r="H658" s="41" t="s">
        <v>20</v>
      </c>
      <c r="I658" s="41">
        <v>1</v>
      </c>
      <c r="J658" s="41" t="s">
        <v>3557</v>
      </c>
      <c r="K658" s="41">
        <v>16</v>
      </c>
      <c r="L658" s="41"/>
      <c r="M658" s="41" t="s">
        <v>415</v>
      </c>
      <c r="N658" s="41" t="s">
        <v>2521</v>
      </c>
      <c r="O658" s="43">
        <v>273</v>
      </c>
      <c r="P658" s="43">
        <f t="shared" si="165"/>
        <v>397.62</v>
      </c>
      <c r="Q658" s="41" t="s">
        <v>1804</v>
      </c>
      <c r="R658" s="48" t="str">
        <f t="shared" si="152"/>
        <v>(18,'PS-18-GR1','Poste de Sectionnement n°18 GR1','Monday-01-jj','Monday-01-jj',NULL,1,),</v>
      </c>
    </row>
    <row r="659" spans="1:18" ht="20.100000000000001" hidden="1" customHeight="1" x14ac:dyDescent="0.25">
      <c r="A659" s="38">
        <v>19</v>
      </c>
      <c r="B659" s="38" t="s">
        <v>664</v>
      </c>
      <c r="C659" s="38">
        <v>21</v>
      </c>
      <c r="D659" s="39" t="str">
        <f t="shared" si="163"/>
        <v>PS-19-GR1</v>
      </c>
      <c r="E659" s="48" t="str">
        <f t="shared" si="164"/>
        <v>Poste de Sectionnement n°19 GR1</v>
      </c>
      <c r="F659" s="19">
        <v>35065</v>
      </c>
      <c r="G659" s="19">
        <v>35065</v>
      </c>
      <c r="H659" s="41" t="s">
        <v>20</v>
      </c>
      <c r="I659" s="41">
        <v>1</v>
      </c>
      <c r="J659" s="41" t="s">
        <v>3557</v>
      </c>
      <c r="K659" s="41">
        <v>16</v>
      </c>
      <c r="L659" s="41"/>
      <c r="M659" s="41" t="s">
        <v>415</v>
      </c>
      <c r="N659" s="41" t="s">
        <v>2522</v>
      </c>
      <c r="O659" s="43">
        <v>262</v>
      </c>
      <c r="P659" s="43">
        <f t="shared" si="165"/>
        <v>413.72</v>
      </c>
      <c r="Q659" s="41" t="s">
        <v>1804</v>
      </c>
      <c r="R659" s="48" t="str">
        <f t="shared" si="152"/>
        <v>(19,'PS-19-GR1','Poste de Sectionnement n°19 GR1','Monday-01-jj','Monday-01-jj',NULL,1,),</v>
      </c>
    </row>
    <row r="660" spans="1:18" ht="20.100000000000001" hidden="1" customHeight="1" x14ac:dyDescent="0.25">
      <c r="A660" s="38">
        <v>20</v>
      </c>
      <c r="B660" s="38" t="s">
        <v>664</v>
      </c>
      <c r="C660" s="38">
        <v>21</v>
      </c>
      <c r="D660" s="39" t="str">
        <f t="shared" si="163"/>
        <v>PS-20-GR1</v>
      </c>
      <c r="E660" s="48" t="str">
        <f t="shared" si="164"/>
        <v>Poste de Sectionnement n°20 GR1</v>
      </c>
      <c r="F660" s="19">
        <v>35065</v>
      </c>
      <c r="G660" s="19">
        <v>35065</v>
      </c>
      <c r="H660" s="41" t="s">
        <v>20</v>
      </c>
      <c r="I660" s="41">
        <v>1</v>
      </c>
      <c r="J660" s="41" t="s">
        <v>3557</v>
      </c>
      <c r="K660" s="41">
        <v>16</v>
      </c>
      <c r="L660" s="41"/>
      <c r="M660" s="41" t="s">
        <v>415</v>
      </c>
      <c r="N660" s="41" t="s">
        <v>2523</v>
      </c>
      <c r="O660" s="43">
        <v>239</v>
      </c>
      <c r="P660" s="43">
        <f t="shared" si="165"/>
        <v>450.81</v>
      </c>
      <c r="Q660" s="41" t="s">
        <v>1804</v>
      </c>
      <c r="R660" s="48" t="str">
        <f t="shared" si="152"/>
        <v>(20,'PS-20-GR1','Poste de Sectionnement n°20 GR1','Monday-01-jj','Monday-01-jj',NULL,1,),</v>
      </c>
    </row>
    <row r="661" spans="1:18" ht="20.100000000000001" hidden="1" customHeight="1" x14ac:dyDescent="0.25">
      <c r="A661" s="38">
        <v>21</v>
      </c>
      <c r="B661" s="38" t="s">
        <v>664</v>
      </c>
      <c r="C661" s="38">
        <v>21</v>
      </c>
      <c r="D661" s="39" t="str">
        <f t="shared" si="163"/>
        <v>PS-21-GR1</v>
      </c>
      <c r="E661" s="48" t="str">
        <f t="shared" si="164"/>
        <v>Poste de Sectionnement n°21 GR1</v>
      </c>
      <c r="F661" s="19">
        <v>35065</v>
      </c>
      <c r="G661" s="19">
        <v>35065</v>
      </c>
      <c r="H661" s="41" t="s">
        <v>20</v>
      </c>
      <c r="I661" s="41">
        <v>1</v>
      </c>
      <c r="J661" s="41" t="s">
        <v>3557</v>
      </c>
      <c r="K661" s="41">
        <v>16</v>
      </c>
      <c r="L661" s="41"/>
      <c r="M661" s="41" t="s">
        <v>415</v>
      </c>
      <c r="N661" s="41" t="s">
        <v>2524</v>
      </c>
      <c r="O661" s="43">
        <v>229</v>
      </c>
      <c r="P661" s="43">
        <f t="shared" si="165"/>
        <v>468.81</v>
      </c>
      <c r="Q661" s="41" t="s">
        <v>998</v>
      </c>
      <c r="R661" s="48" t="str">
        <f t="shared" si="152"/>
        <v>(21,'PS-21-GR1','Poste de Sectionnement n°21 GR1','Monday-01-jj','Monday-01-jj',NULL,1,),</v>
      </c>
    </row>
    <row r="662" spans="1:18" ht="20.100000000000001" hidden="1" customHeight="1" x14ac:dyDescent="0.25">
      <c r="A662" s="38">
        <v>22</v>
      </c>
      <c r="B662" s="38" t="s">
        <v>664</v>
      </c>
      <c r="C662" s="38">
        <v>21</v>
      </c>
      <c r="D662" s="39" t="str">
        <f t="shared" si="163"/>
        <v>PS-22-GR1</v>
      </c>
      <c r="E662" s="48" t="str">
        <f t="shared" si="164"/>
        <v>Poste de Sectionnement n°22 GR1</v>
      </c>
      <c r="F662" s="19">
        <v>35065</v>
      </c>
      <c r="G662" s="19">
        <v>35065</v>
      </c>
      <c r="H662" s="41" t="s">
        <v>20</v>
      </c>
      <c r="I662" s="41">
        <v>1</v>
      </c>
      <c r="J662" s="41" t="s">
        <v>3557</v>
      </c>
      <c r="K662" s="41">
        <v>16</v>
      </c>
      <c r="L662" s="41"/>
      <c r="M662" s="41" t="s">
        <v>415</v>
      </c>
      <c r="N662" s="41" t="s">
        <v>2525</v>
      </c>
      <c r="O662" s="43">
        <v>220</v>
      </c>
      <c r="P662" s="43">
        <f t="shared" si="165"/>
        <v>486.81</v>
      </c>
      <c r="Q662" s="41" t="s">
        <v>998</v>
      </c>
      <c r="R662" s="48" t="str">
        <f t="shared" ref="R662:R725" si="166">CONCATENATE("(",A662,",'",D662,"','",E662,"','",TEXT(F662,"aaaa-mm-jj"),"','",TEXT(G662,"aaaa-mm-jj"),"',",H662,",",I662,",",L662,"),")</f>
        <v>(22,'PS-22-GR1','Poste de Sectionnement n°22 GR1','Monday-01-jj','Monday-01-jj',NULL,1,),</v>
      </c>
    </row>
    <row r="663" spans="1:18" ht="20.100000000000001" hidden="1" customHeight="1" x14ac:dyDescent="0.25">
      <c r="A663" s="38">
        <v>23</v>
      </c>
      <c r="B663" s="38" t="s">
        <v>664</v>
      </c>
      <c r="C663" s="38">
        <v>21</v>
      </c>
      <c r="D663" s="39" t="str">
        <f t="shared" si="163"/>
        <v>PS-23-GR1</v>
      </c>
      <c r="E663" s="48" t="str">
        <f t="shared" si="164"/>
        <v>Poste de Sectionnement n°23 GR1</v>
      </c>
      <c r="F663" s="19">
        <v>35065</v>
      </c>
      <c r="G663" s="19">
        <v>35065</v>
      </c>
      <c r="H663" s="41" t="s">
        <v>20</v>
      </c>
      <c r="I663" s="41">
        <v>1</v>
      </c>
      <c r="J663" s="41" t="s">
        <v>3557</v>
      </c>
      <c r="K663" s="41">
        <v>16</v>
      </c>
      <c r="L663" s="41"/>
      <c r="M663" s="41" t="s">
        <v>415</v>
      </c>
      <c r="N663" s="41" t="s">
        <v>2526</v>
      </c>
      <c r="O663" s="43">
        <v>198</v>
      </c>
      <c r="P663" s="43">
        <f t="shared" si="165"/>
        <v>526.34</v>
      </c>
      <c r="Q663" s="41" t="s">
        <v>998</v>
      </c>
      <c r="R663" s="48" t="str">
        <f t="shared" si="166"/>
        <v>(23,'PS-23-GR1','Poste de Sectionnement n°23 GR1','Monday-01-jj','Monday-01-jj',NULL,1,),</v>
      </c>
    </row>
    <row r="664" spans="1:18" ht="20.100000000000001" hidden="1" customHeight="1" x14ac:dyDescent="0.25">
      <c r="A664" s="38">
        <v>24</v>
      </c>
      <c r="B664" s="38" t="s">
        <v>664</v>
      </c>
      <c r="C664" s="38">
        <v>21</v>
      </c>
      <c r="D664" s="39" t="str">
        <f t="shared" si="163"/>
        <v>PS-24-GR1</v>
      </c>
      <c r="E664" s="48" t="str">
        <f t="shared" si="164"/>
        <v>Poste de Sectionnement n°24 GR1</v>
      </c>
      <c r="F664" s="19">
        <v>35065</v>
      </c>
      <c r="G664" s="19">
        <v>35065</v>
      </c>
      <c r="H664" s="41" t="s">
        <v>20</v>
      </c>
      <c r="I664" s="41">
        <v>1</v>
      </c>
      <c r="J664" s="41" t="s">
        <v>3557</v>
      </c>
      <c r="K664" s="41">
        <v>16</v>
      </c>
      <c r="L664" s="41"/>
      <c r="M664" s="41" t="s">
        <v>415</v>
      </c>
      <c r="N664" s="41" t="s">
        <v>2527</v>
      </c>
      <c r="O664" s="43">
        <v>186</v>
      </c>
      <c r="P664" s="43">
        <f t="shared" si="165"/>
        <v>546.94000000000005</v>
      </c>
      <c r="Q664" s="41" t="s">
        <v>998</v>
      </c>
      <c r="R664" s="48" t="str">
        <f t="shared" si="166"/>
        <v>(24,'PS-24-GR1','Poste de Sectionnement n°24 GR1','Monday-01-jj','Monday-01-jj',NULL,1,),</v>
      </c>
    </row>
    <row r="665" spans="1:18" ht="20.100000000000001" hidden="1" customHeight="1" x14ac:dyDescent="0.25">
      <c r="A665" s="38">
        <v>25</v>
      </c>
      <c r="B665" s="38" t="s">
        <v>664</v>
      </c>
      <c r="C665" s="38">
        <v>21</v>
      </c>
      <c r="D665" s="39" t="str">
        <f t="shared" si="163"/>
        <v>PS-25-GR1</v>
      </c>
      <c r="E665" s="48" t="str">
        <f t="shared" si="164"/>
        <v>Poste de Sectionnement n°25 GR1</v>
      </c>
      <c r="F665" s="19">
        <v>35065</v>
      </c>
      <c r="G665" s="19">
        <v>35065</v>
      </c>
      <c r="H665" s="41" t="s">
        <v>20</v>
      </c>
      <c r="I665" s="41">
        <v>1</v>
      </c>
      <c r="J665" s="41" t="s">
        <v>3557</v>
      </c>
      <c r="K665" s="41">
        <v>16</v>
      </c>
      <c r="L665" s="41"/>
      <c r="M665" s="41" t="s">
        <v>415</v>
      </c>
      <c r="N665" s="41" t="s">
        <v>2528</v>
      </c>
      <c r="O665" s="43">
        <v>177</v>
      </c>
      <c r="P665" s="43">
        <f t="shared" si="165"/>
        <v>567.64</v>
      </c>
      <c r="Q665" s="41" t="s">
        <v>998</v>
      </c>
      <c r="R665" s="48" t="str">
        <f t="shared" si="166"/>
        <v>(25,'PS-25-GR1','Poste de Sectionnement n°25 GR1','Monday-01-jj','Monday-01-jj',NULL,1,),</v>
      </c>
    </row>
    <row r="666" spans="1:18" ht="20.100000000000001" hidden="1" customHeight="1" x14ac:dyDescent="0.25">
      <c r="A666" s="38">
        <v>26</v>
      </c>
      <c r="B666" s="38" t="s">
        <v>664</v>
      </c>
      <c r="C666" s="38">
        <v>21</v>
      </c>
      <c r="D666" s="39" t="str">
        <f t="shared" si="163"/>
        <v>PS-26-GR1</v>
      </c>
      <c r="E666" s="48" t="str">
        <f t="shared" si="164"/>
        <v>Poste de Sectionnement n°26 GR1</v>
      </c>
      <c r="F666" s="19">
        <v>35065</v>
      </c>
      <c r="G666" s="19">
        <v>35065</v>
      </c>
      <c r="H666" s="41" t="s">
        <v>20</v>
      </c>
      <c r="I666" s="41">
        <v>1</v>
      </c>
      <c r="J666" s="41" t="s">
        <v>3557</v>
      </c>
      <c r="K666" s="41">
        <v>16</v>
      </c>
      <c r="L666" s="41"/>
      <c r="M666" s="41" t="s">
        <v>415</v>
      </c>
      <c r="N666" s="41" t="s">
        <v>2529</v>
      </c>
      <c r="O666" s="43">
        <v>158</v>
      </c>
      <c r="P666" s="43">
        <f t="shared" si="165"/>
        <v>606.9</v>
      </c>
      <c r="Q666" s="41" t="s">
        <v>998</v>
      </c>
      <c r="R666" s="48" t="str">
        <f t="shared" si="166"/>
        <v>(26,'PS-26-GR1','Poste de Sectionnement n°26 GR1','Monday-01-jj','Monday-01-jj',NULL,1,),</v>
      </c>
    </row>
    <row r="667" spans="1:18" ht="20.100000000000001" hidden="1" customHeight="1" x14ac:dyDescent="0.25">
      <c r="A667" s="38">
        <v>27</v>
      </c>
      <c r="B667" s="38" t="s">
        <v>664</v>
      </c>
      <c r="C667" s="38">
        <v>21</v>
      </c>
      <c r="D667" s="39" t="str">
        <f t="shared" si="163"/>
        <v>PS-27-GR1</v>
      </c>
      <c r="E667" s="48" t="str">
        <f t="shared" si="164"/>
        <v>Poste de Sectionnement n°27 GR1</v>
      </c>
      <c r="F667" s="19">
        <v>35065</v>
      </c>
      <c r="G667" s="19">
        <v>35065</v>
      </c>
      <c r="H667" s="41" t="s">
        <v>20</v>
      </c>
      <c r="I667" s="41">
        <v>1</v>
      </c>
      <c r="J667" s="41" t="s">
        <v>3557</v>
      </c>
      <c r="K667" s="41">
        <v>16</v>
      </c>
      <c r="L667" s="41"/>
      <c r="M667" s="41" t="s">
        <v>415</v>
      </c>
      <c r="N667" s="41" t="s">
        <v>2530</v>
      </c>
      <c r="O667" s="43">
        <v>150</v>
      </c>
      <c r="P667" s="43">
        <f t="shared" si="165"/>
        <v>625.70000000000005</v>
      </c>
      <c r="Q667" s="41" t="s">
        <v>998</v>
      </c>
      <c r="R667" s="48" t="str">
        <f t="shared" si="166"/>
        <v>(27,'PS-27-GR1','Poste de Sectionnement n°27 GR1','Monday-01-jj','Monday-01-jj',NULL,1,),</v>
      </c>
    </row>
    <row r="668" spans="1:18" ht="20.100000000000001" hidden="1" customHeight="1" x14ac:dyDescent="0.25">
      <c r="A668" s="38">
        <v>28</v>
      </c>
      <c r="B668" s="38" t="s">
        <v>664</v>
      </c>
      <c r="C668" s="38">
        <v>21</v>
      </c>
      <c r="D668" s="39" t="str">
        <f t="shared" si="163"/>
        <v>PS-28-GR1</v>
      </c>
      <c r="E668" s="48" t="str">
        <f t="shared" si="164"/>
        <v>Poste de Sectionnement n°28 GR1</v>
      </c>
      <c r="F668" s="19">
        <v>35065</v>
      </c>
      <c r="G668" s="19">
        <v>35065</v>
      </c>
      <c r="H668" s="41" t="s">
        <v>20</v>
      </c>
      <c r="I668" s="41">
        <v>1</v>
      </c>
      <c r="J668" s="41" t="s">
        <v>3557</v>
      </c>
      <c r="K668" s="41">
        <v>16</v>
      </c>
      <c r="L668" s="41"/>
      <c r="M668" s="41" t="s">
        <v>415</v>
      </c>
      <c r="N668" s="41" t="s">
        <v>2531</v>
      </c>
      <c r="O668" s="43">
        <v>148</v>
      </c>
      <c r="P668" s="43">
        <f t="shared" si="165"/>
        <v>640.86</v>
      </c>
      <c r="Q668" s="41" t="s">
        <v>998</v>
      </c>
      <c r="R668" s="48" t="str">
        <f t="shared" si="166"/>
        <v>(28,'PS-28-GR1','Poste de Sectionnement n°28 GR1','Monday-01-jj','Monday-01-jj',NULL,1,),</v>
      </c>
    </row>
    <row r="669" spans="1:18" ht="20.100000000000001" hidden="1" customHeight="1" x14ac:dyDescent="0.25">
      <c r="A669" s="38">
        <v>29</v>
      </c>
      <c r="B669" s="38" t="s">
        <v>664</v>
      </c>
      <c r="C669" s="38">
        <v>21</v>
      </c>
      <c r="D669" s="39" t="str">
        <f t="shared" si="163"/>
        <v>PS-29-GR1</v>
      </c>
      <c r="E669" s="48" t="str">
        <f t="shared" si="164"/>
        <v>Poste de Sectionnement n°29 GR1</v>
      </c>
      <c r="F669" s="19">
        <v>35065</v>
      </c>
      <c r="G669" s="19">
        <v>35065</v>
      </c>
      <c r="H669" s="41" t="s">
        <v>20</v>
      </c>
      <c r="I669" s="41">
        <v>1</v>
      </c>
      <c r="J669" s="41" t="s">
        <v>3557</v>
      </c>
      <c r="K669" s="41">
        <v>16</v>
      </c>
      <c r="L669" s="41"/>
      <c r="M669" s="41" t="s">
        <v>415</v>
      </c>
      <c r="N669" s="41" t="s">
        <v>2532</v>
      </c>
      <c r="O669" s="43">
        <v>156</v>
      </c>
      <c r="P669" s="43">
        <f t="shared" si="165"/>
        <v>675.33</v>
      </c>
      <c r="Q669" s="41" t="s">
        <v>2544</v>
      </c>
      <c r="R669" s="48" t="str">
        <f t="shared" si="166"/>
        <v>(29,'PS-29-GR1','Poste de Sectionnement n°29 GR1','Monday-01-jj','Monday-01-jj',NULL,1,),</v>
      </c>
    </row>
    <row r="670" spans="1:18" ht="20.100000000000001" hidden="1" customHeight="1" x14ac:dyDescent="0.25">
      <c r="A670" s="38">
        <v>30</v>
      </c>
      <c r="B670" s="38" t="s">
        <v>664</v>
      </c>
      <c r="C670" s="38">
        <v>21</v>
      </c>
      <c r="D670" s="39" t="str">
        <f t="shared" si="163"/>
        <v>PS-30-GR1</v>
      </c>
      <c r="E670" s="48" t="str">
        <f t="shared" si="164"/>
        <v>Poste de Sectionnement n°30 GR1</v>
      </c>
      <c r="F670" s="19">
        <v>35065</v>
      </c>
      <c r="G670" s="19">
        <v>35065</v>
      </c>
      <c r="H670" s="41" t="s">
        <v>20</v>
      </c>
      <c r="I670" s="41">
        <v>1</v>
      </c>
      <c r="J670" s="41" t="s">
        <v>3557</v>
      </c>
      <c r="K670" s="41">
        <v>16</v>
      </c>
      <c r="L670" s="41"/>
      <c r="M670" s="41" t="s">
        <v>415</v>
      </c>
      <c r="N670" s="41" t="s">
        <v>2533</v>
      </c>
      <c r="O670" s="43">
        <v>174</v>
      </c>
      <c r="P670" s="43">
        <f t="shared" si="165"/>
        <v>695.33</v>
      </c>
      <c r="Q670" s="41" t="s">
        <v>2544</v>
      </c>
      <c r="R670" s="48" t="str">
        <f t="shared" si="166"/>
        <v>(30,'PS-30-GR1','Poste de Sectionnement n°30 GR1','Monday-01-jj','Monday-01-jj',NULL,1,),</v>
      </c>
    </row>
    <row r="671" spans="1:18" ht="20.100000000000001" hidden="1" customHeight="1" x14ac:dyDescent="0.25">
      <c r="A671" s="38">
        <v>31</v>
      </c>
      <c r="B671" s="38" t="s">
        <v>664</v>
      </c>
      <c r="C671" s="38">
        <v>21</v>
      </c>
      <c r="D671" s="39" t="str">
        <f t="shared" si="163"/>
        <v>PS-31-GR1</v>
      </c>
      <c r="E671" s="48" t="str">
        <f t="shared" si="164"/>
        <v>Poste de Sectionnement n°31 GR1</v>
      </c>
      <c r="F671" s="19">
        <v>35065</v>
      </c>
      <c r="G671" s="19">
        <v>35065</v>
      </c>
      <c r="H671" s="41" t="s">
        <v>20</v>
      </c>
      <c r="I671" s="41">
        <v>1</v>
      </c>
      <c r="J671" s="41" t="s">
        <v>3557</v>
      </c>
      <c r="K671" s="41">
        <v>16</v>
      </c>
      <c r="L671" s="41"/>
      <c r="M671" s="41" t="s">
        <v>415</v>
      </c>
      <c r="N671" s="41" t="s">
        <v>2534</v>
      </c>
      <c r="O671" s="43">
        <v>149</v>
      </c>
      <c r="P671" s="43">
        <f t="shared" si="165"/>
        <v>714.83</v>
      </c>
      <c r="Q671" s="41" t="s">
        <v>2544</v>
      </c>
      <c r="R671" s="48" t="str">
        <f t="shared" si="166"/>
        <v>(31,'PS-31-GR1','Poste de Sectionnement n°31 GR1','Monday-01-jj','Monday-01-jj',NULL,1,),</v>
      </c>
    </row>
    <row r="672" spans="1:18" ht="20.100000000000001" hidden="1" customHeight="1" x14ac:dyDescent="0.25">
      <c r="A672" s="38">
        <v>32</v>
      </c>
      <c r="B672" s="38" t="s">
        <v>664</v>
      </c>
      <c r="C672" s="38">
        <v>21</v>
      </c>
      <c r="D672" s="39" t="str">
        <f t="shared" si="163"/>
        <v>PS-32-GR1</v>
      </c>
      <c r="E672" s="48" t="str">
        <f t="shared" si="164"/>
        <v>Poste de Sectionnement n°32 GR1</v>
      </c>
      <c r="F672" s="19">
        <v>35065</v>
      </c>
      <c r="G672" s="19">
        <v>35065</v>
      </c>
      <c r="H672" s="41" t="s">
        <v>20</v>
      </c>
      <c r="I672" s="41">
        <v>1</v>
      </c>
      <c r="J672" s="41" t="s">
        <v>3557</v>
      </c>
      <c r="K672" s="41">
        <v>16</v>
      </c>
      <c r="L672" s="41"/>
      <c r="M672" s="41" t="s">
        <v>415</v>
      </c>
      <c r="N672" s="41" t="s">
        <v>2535</v>
      </c>
      <c r="O672" s="43">
        <v>135</v>
      </c>
      <c r="P672" s="43">
        <f t="shared" si="165"/>
        <v>733.14</v>
      </c>
      <c r="Q672" s="41" t="s">
        <v>2545</v>
      </c>
      <c r="R672" s="48" t="str">
        <f t="shared" si="166"/>
        <v>(32,'PS-32-GR1','Poste de Sectionnement n°32 GR1','Monday-01-jj','Monday-01-jj',NULL,1,),</v>
      </c>
    </row>
    <row r="673" spans="1:18" ht="20.100000000000001" hidden="1" customHeight="1" x14ac:dyDescent="0.25">
      <c r="A673" s="38">
        <v>33</v>
      </c>
      <c r="B673" s="38" t="s">
        <v>664</v>
      </c>
      <c r="C673" s="38">
        <v>21</v>
      </c>
      <c r="D673" s="39" t="str">
        <f t="shared" si="163"/>
        <v>PS-33-GR1</v>
      </c>
      <c r="E673" s="48" t="str">
        <f t="shared" si="164"/>
        <v>Poste de Sectionnement n°33 GR1</v>
      </c>
      <c r="F673" s="19">
        <v>35065</v>
      </c>
      <c r="G673" s="19">
        <v>35065</v>
      </c>
      <c r="H673" s="41" t="s">
        <v>20</v>
      </c>
      <c r="I673" s="41">
        <v>1</v>
      </c>
      <c r="J673" s="41" t="s">
        <v>3557</v>
      </c>
      <c r="K673" s="41">
        <v>16</v>
      </c>
      <c r="L673" s="41"/>
      <c r="M673" s="41" t="s">
        <v>415</v>
      </c>
      <c r="N673" s="41" t="s">
        <v>2536</v>
      </c>
      <c r="O673" s="43">
        <v>189</v>
      </c>
      <c r="P673" s="43">
        <f t="shared" si="165"/>
        <v>749.46</v>
      </c>
      <c r="Q673" s="41" t="s">
        <v>744</v>
      </c>
      <c r="R673" s="48" t="str">
        <f t="shared" si="166"/>
        <v>(33,'PS-33-GR1','Poste de Sectionnement n°33 GR1','Monday-01-jj','Monday-01-jj',NULL,1,),</v>
      </c>
    </row>
    <row r="674" spans="1:18" ht="20.100000000000001" hidden="1" customHeight="1" x14ac:dyDescent="0.25">
      <c r="A674" s="38">
        <v>34</v>
      </c>
      <c r="B674" s="38" t="s">
        <v>664</v>
      </c>
      <c r="C674" s="38">
        <v>21</v>
      </c>
      <c r="D674" s="39" t="str">
        <f t="shared" si="163"/>
        <v>PS-34-GR1</v>
      </c>
      <c r="E674" s="48" t="str">
        <f t="shared" si="164"/>
        <v>Poste de Sectionnement n°34 GR1</v>
      </c>
      <c r="F674" s="19">
        <v>35065</v>
      </c>
      <c r="G674" s="19">
        <v>35065</v>
      </c>
      <c r="H674" s="41" t="s">
        <v>20</v>
      </c>
      <c r="I674" s="41">
        <v>1</v>
      </c>
      <c r="J674" s="41" t="s">
        <v>3557</v>
      </c>
      <c r="K674" s="41">
        <v>16</v>
      </c>
      <c r="L674" s="41"/>
      <c r="M674" s="41" t="s">
        <v>415</v>
      </c>
      <c r="N674" s="41" t="s">
        <v>2537</v>
      </c>
      <c r="O674" s="43">
        <v>246</v>
      </c>
      <c r="P674" s="43">
        <f t="shared" si="165"/>
        <v>789.91</v>
      </c>
      <c r="Q674" s="41" t="s">
        <v>744</v>
      </c>
      <c r="R674" s="48" t="str">
        <f t="shared" si="166"/>
        <v>(34,'PS-34-GR1','Poste de Sectionnement n°34 GR1','Monday-01-jj','Monday-01-jj',NULL,1,),</v>
      </c>
    </row>
    <row r="675" spans="1:18" ht="20.100000000000001" hidden="1" customHeight="1" x14ac:dyDescent="0.25">
      <c r="A675" s="38">
        <v>35</v>
      </c>
      <c r="B675" s="38" t="s">
        <v>664</v>
      </c>
      <c r="C675" s="38">
        <v>21</v>
      </c>
      <c r="D675" s="39" t="str">
        <f t="shared" si="163"/>
        <v>PS-35-GR1</v>
      </c>
      <c r="E675" s="48" t="str">
        <f t="shared" si="164"/>
        <v>Poste de Sectionnement n°35 GR1</v>
      </c>
      <c r="F675" s="19">
        <v>35065</v>
      </c>
      <c r="G675" s="19">
        <v>35065</v>
      </c>
      <c r="H675" s="41" t="s">
        <v>20</v>
      </c>
      <c r="I675" s="41">
        <v>1</v>
      </c>
      <c r="J675" s="41" t="s">
        <v>3557</v>
      </c>
      <c r="K675" s="41">
        <v>16</v>
      </c>
      <c r="L675" s="41"/>
      <c r="M675" s="41" t="s">
        <v>415</v>
      </c>
      <c r="N675" s="41" t="s">
        <v>2538</v>
      </c>
      <c r="O675" s="43">
        <v>276</v>
      </c>
      <c r="P675" s="43">
        <f t="shared" si="165"/>
        <v>810.4</v>
      </c>
      <c r="Q675" s="41" t="s">
        <v>744</v>
      </c>
      <c r="R675" s="48" t="str">
        <f t="shared" si="166"/>
        <v>(35,'PS-35-GR1','Poste de Sectionnement n°35 GR1','Monday-01-jj','Monday-01-jj',NULL,1,),</v>
      </c>
    </row>
    <row r="676" spans="1:18" ht="20.100000000000001" hidden="1" customHeight="1" x14ac:dyDescent="0.25">
      <c r="A676" s="38">
        <v>36</v>
      </c>
      <c r="B676" s="38" t="s">
        <v>664</v>
      </c>
      <c r="C676" s="38">
        <v>21</v>
      </c>
      <c r="D676" s="39" t="str">
        <f t="shared" si="163"/>
        <v>PS-36-GR1</v>
      </c>
      <c r="E676" s="48" t="str">
        <f t="shared" si="164"/>
        <v>Poste de Sectionnement n°36 GR1</v>
      </c>
      <c r="F676" s="19">
        <v>35065</v>
      </c>
      <c r="G676" s="19">
        <v>35065</v>
      </c>
      <c r="H676" s="41" t="s">
        <v>20</v>
      </c>
      <c r="I676" s="41">
        <v>1</v>
      </c>
      <c r="J676" s="41" t="s">
        <v>3557</v>
      </c>
      <c r="K676" s="41">
        <v>16</v>
      </c>
      <c r="L676" s="41"/>
      <c r="M676" s="41" t="s">
        <v>415</v>
      </c>
      <c r="N676" s="41" t="s">
        <v>2539</v>
      </c>
      <c r="O676" s="43">
        <v>316</v>
      </c>
      <c r="P676" s="43">
        <f t="shared" si="165"/>
        <v>830</v>
      </c>
      <c r="Q676" s="41" t="s">
        <v>745</v>
      </c>
      <c r="R676" s="48" t="str">
        <f t="shared" si="166"/>
        <v>(36,'PS-36-GR1','Poste de Sectionnement n°36 GR1','Monday-01-jj','Monday-01-jj',NULL,1,),</v>
      </c>
    </row>
    <row r="677" spans="1:18" ht="20.100000000000001" hidden="1" customHeight="1" x14ac:dyDescent="0.25">
      <c r="A677" s="38">
        <v>37</v>
      </c>
      <c r="B677" s="38" t="s">
        <v>664</v>
      </c>
      <c r="C677" s="38">
        <v>21</v>
      </c>
      <c r="D677" s="39" t="str">
        <f t="shared" si="163"/>
        <v>PS-37-GR1</v>
      </c>
      <c r="E677" s="48" t="str">
        <f t="shared" si="164"/>
        <v>Poste de Sectionnement n°37 GR1</v>
      </c>
      <c r="F677" s="19">
        <v>35065</v>
      </c>
      <c r="G677" s="19">
        <v>35065</v>
      </c>
      <c r="H677" s="41" t="s">
        <v>20</v>
      </c>
      <c r="I677" s="41">
        <v>1</v>
      </c>
      <c r="J677" s="41" t="s">
        <v>3557</v>
      </c>
      <c r="K677" s="41">
        <v>16</v>
      </c>
      <c r="L677" s="41"/>
      <c r="M677" s="41" t="s">
        <v>415</v>
      </c>
      <c r="N677" s="41" t="s">
        <v>2540</v>
      </c>
      <c r="O677" s="43">
        <v>346</v>
      </c>
      <c r="P677" s="43">
        <f t="shared" si="165"/>
        <v>850.76</v>
      </c>
      <c r="Q677" s="41" t="s">
        <v>745</v>
      </c>
      <c r="R677" s="48" t="str">
        <f t="shared" si="166"/>
        <v>(37,'PS-37-GR1','Poste de Sectionnement n°37 GR1','Monday-01-jj','Monday-01-jj',NULL,1,),</v>
      </c>
    </row>
    <row r="678" spans="1:18" ht="20.100000000000001" hidden="1" customHeight="1" x14ac:dyDescent="0.25">
      <c r="A678" s="38">
        <v>38</v>
      </c>
      <c r="B678" s="38" t="s">
        <v>664</v>
      </c>
      <c r="C678" s="38">
        <v>21</v>
      </c>
      <c r="D678" s="39" t="str">
        <f t="shared" si="163"/>
        <v>PS-38-GR1</v>
      </c>
      <c r="E678" s="48" t="str">
        <f t="shared" si="164"/>
        <v>Poste de Sectionnement n°38 GR1</v>
      </c>
      <c r="F678" s="19">
        <v>35065</v>
      </c>
      <c r="G678" s="19">
        <v>35065</v>
      </c>
      <c r="H678" s="41" t="s">
        <v>20</v>
      </c>
      <c r="I678" s="41">
        <v>1</v>
      </c>
      <c r="J678" s="41" t="s">
        <v>3557</v>
      </c>
      <c r="K678" s="41">
        <v>16</v>
      </c>
      <c r="L678" s="41"/>
      <c r="M678" s="41" t="s">
        <v>415</v>
      </c>
      <c r="N678" s="41" t="s">
        <v>1637</v>
      </c>
      <c r="O678" s="43">
        <v>478</v>
      </c>
      <c r="P678" s="43">
        <f t="shared" si="165"/>
        <v>890.99</v>
      </c>
      <c r="Q678" s="41" t="s">
        <v>1827</v>
      </c>
      <c r="R678" s="48" t="str">
        <f t="shared" si="166"/>
        <v>(38,'PS-38-GR1','Poste de Sectionnement n°38 GR1','Monday-01-jj','Monday-01-jj',NULL,1,),</v>
      </c>
    </row>
    <row r="679" spans="1:18" ht="20.100000000000001" hidden="1" customHeight="1" x14ac:dyDescent="0.25">
      <c r="A679" s="38">
        <v>39</v>
      </c>
      <c r="B679" s="38" t="s">
        <v>664</v>
      </c>
      <c r="C679" s="38">
        <v>21</v>
      </c>
      <c r="D679" s="39" t="str">
        <f t="shared" si="163"/>
        <v>PS-39-GR1</v>
      </c>
      <c r="E679" s="48" t="str">
        <f t="shared" si="164"/>
        <v>Poste de Sectionnement n°39 GR1</v>
      </c>
      <c r="F679" s="19">
        <v>35065</v>
      </c>
      <c r="G679" s="19">
        <v>35065</v>
      </c>
      <c r="H679" s="41" t="s">
        <v>20</v>
      </c>
      <c r="I679" s="41">
        <v>1</v>
      </c>
      <c r="J679" s="41" t="s">
        <v>3557</v>
      </c>
      <c r="K679" s="41">
        <v>16</v>
      </c>
      <c r="L679" s="41"/>
      <c r="M679" s="41" t="s">
        <v>415</v>
      </c>
      <c r="N679" s="41" t="s">
        <v>2541</v>
      </c>
      <c r="O679" s="43">
        <v>582</v>
      </c>
      <c r="P679" s="43">
        <f t="shared" si="165"/>
        <v>910.93</v>
      </c>
      <c r="Q679" s="41" t="s">
        <v>1828</v>
      </c>
      <c r="R679" s="48" t="str">
        <f t="shared" si="166"/>
        <v>(39,'PS-39-GR1','Poste de Sectionnement n°39 GR1','Monday-01-jj','Monday-01-jj',NULL,1,),</v>
      </c>
    </row>
    <row r="680" spans="1:18" ht="20.100000000000001" hidden="1" customHeight="1" x14ac:dyDescent="0.25">
      <c r="A680" s="38">
        <v>40</v>
      </c>
      <c r="B680" s="38" t="s">
        <v>664</v>
      </c>
      <c r="C680" s="38">
        <v>21</v>
      </c>
      <c r="D680" s="39" t="str">
        <f t="shared" si="163"/>
        <v>PS-40-GR1</v>
      </c>
      <c r="E680" s="48" t="str">
        <f t="shared" si="164"/>
        <v>Poste de Sectionnement n°40 GR1</v>
      </c>
      <c r="F680" s="19">
        <v>35065</v>
      </c>
      <c r="G680" s="19">
        <v>35065</v>
      </c>
      <c r="H680" s="41" t="s">
        <v>20</v>
      </c>
      <c r="I680" s="41">
        <v>1</v>
      </c>
      <c r="J680" s="41" t="s">
        <v>3557</v>
      </c>
      <c r="K680" s="41">
        <v>16</v>
      </c>
      <c r="L680" s="41"/>
      <c r="M680" s="41" t="s">
        <v>415</v>
      </c>
      <c r="N680" s="41" t="s">
        <v>2542</v>
      </c>
      <c r="O680" s="43">
        <v>626</v>
      </c>
      <c r="P680" s="43">
        <f t="shared" si="165"/>
        <v>928.86</v>
      </c>
      <c r="Q680" s="41" t="s">
        <v>2546</v>
      </c>
      <c r="R680" s="48" t="str">
        <f t="shared" si="166"/>
        <v>(40,'PS-40-GR1','Poste de Sectionnement n°40 GR1','Monday-01-jj','Monday-01-jj',NULL,1,),</v>
      </c>
    </row>
    <row r="681" spans="1:18" ht="20.100000000000001" hidden="1" customHeight="1" x14ac:dyDescent="0.25">
      <c r="A681" s="38">
        <v>41</v>
      </c>
      <c r="B681" s="38" t="s">
        <v>664</v>
      </c>
      <c r="C681" s="38">
        <v>21</v>
      </c>
      <c r="D681" s="39" t="str">
        <f t="shared" si="163"/>
        <v>PS-41-GR1</v>
      </c>
      <c r="E681" s="48" t="str">
        <f t="shared" si="164"/>
        <v>Poste de Sectionnement n°41 GR1</v>
      </c>
      <c r="F681" s="19">
        <v>35065</v>
      </c>
      <c r="G681" s="19">
        <v>35065</v>
      </c>
      <c r="H681" s="41" t="s">
        <v>20</v>
      </c>
      <c r="I681" s="41">
        <v>1</v>
      </c>
      <c r="J681" s="41" t="s">
        <v>3557</v>
      </c>
      <c r="K681" s="41">
        <v>16</v>
      </c>
      <c r="L681" s="41"/>
      <c r="M681" s="41" t="s">
        <v>415</v>
      </c>
      <c r="N681" s="41" t="s">
        <v>2543</v>
      </c>
      <c r="O681" s="43">
        <v>713</v>
      </c>
      <c r="P681" s="43">
        <f t="shared" si="165"/>
        <v>946.61</v>
      </c>
      <c r="Q681" s="41" t="s">
        <v>790</v>
      </c>
      <c r="R681" s="48" t="str">
        <f t="shared" si="166"/>
        <v>(41,'PS-41-GR1','Poste de Sectionnement n°41 GR1','Monday-01-jj','Monday-01-jj',NULL,1,),</v>
      </c>
    </row>
    <row r="682" spans="1:18" ht="20.100000000000001" hidden="1" customHeight="1" x14ac:dyDescent="0.25">
      <c r="A682" s="38">
        <v>1</v>
      </c>
      <c r="B682" s="38" t="s">
        <v>664</v>
      </c>
      <c r="C682" s="38">
        <v>21</v>
      </c>
      <c r="D682" s="39" t="str">
        <f t="shared" si="163"/>
        <v>PS-01-GR2</v>
      </c>
      <c r="E682" s="48" t="str">
        <f t="shared" si="164"/>
        <v>Poste de Sectionnement n°01 GR2</v>
      </c>
      <c r="F682" s="19">
        <v>36161</v>
      </c>
      <c r="G682" s="19">
        <v>36161</v>
      </c>
      <c r="H682" s="41" t="s">
        <v>20</v>
      </c>
      <c r="I682" s="41">
        <v>1</v>
      </c>
      <c r="J682" s="41" t="s">
        <v>3557</v>
      </c>
      <c r="K682" s="41">
        <v>16</v>
      </c>
      <c r="L682" s="41"/>
      <c r="M682" s="41" t="s">
        <v>418</v>
      </c>
      <c r="N682" s="41" t="s">
        <v>2565</v>
      </c>
      <c r="O682" s="43">
        <v>711</v>
      </c>
      <c r="P682" s="43">
        <f>VALUE(SUBSTITUTE(N682,"+",","))</f>
        <v>19.899999999999999</v>
      </c>
      <c r="Q682" s="41" t="s">
        <v>980</v>
      </c>
      <c r="R682" s="48" t="str">
        <f t="shared" si="166"/>
        <v>(1,'PS-01-GR2','Poste de Sectionnement n°01 GR2','Friday-01-jj','Friday-01-jj',NULL,1,),</v>
      </c>
    </row>
    <row r="683" spans="1:18" ht="20.100000000000001" hidden="1" customHeight="1" x14ac:dyDescent="0.25">
      <c r="A683" s="38">
        <v>2</v>
      </c>
      <c r="B683" s="38" t="s">
        <v>664</v>
      </c>
      <c r="C683" s="38">
        <v>21</v>
      </c>
      <c r="D683" s="39" t="str">
        <f t="shared" ref="D683:D724" si="167">CONCATENATE("PS-",TEXT(A683,"00"),"-",M683)</f>
        <v>PS-02-GR2</v>
      </c>
      <c r="E683" s="48" t="str">
        <f t="shared" ref="E683:E724" si="168">CONCATENATE("Poste de Sectionnement n°",TEXT(A683,"00")," ",M683)</f>
        <v>Poste de Sectionnement n°02 GR2</v>
      </c>
      <c r="F683" s="19">
        <v>36161</v>
      </c>
      <c r="G683" s="19">
        <v>36161</v>
      </c>
      <c r="H683" s="41" t="s">
        <v>20</v>
      </c>
      <c r="I683" s="41">
        <v>1</v>
      </c>
      <c r="J683" s="41" t="s">
        <v>3557</v>
      </c>
      <c r="K683" s="41">
        <v>16</v>
      </c>
      <c r="L683" s="41"/>
      <c r="M683" s="41" t="s">
        <v>418</v>
      </c>
      <c r="N683" s="41" t="s">
        <v>2566</v>
      </c>
      <c r="O683" s="43">
        <v>695</v>
      </c>
      <c r="P683" s="43">
        <f t="shared" ref="P683:P746" si="169">VALUE(SUBSTITUTE(N683,"+",","))</f>
        <v>40.9</v>
      </c>
      <c r="Q683" s="41" t="s">
        <v>980</v>
      </c>
      <c r="R683" s="48" t="str">
        <f t="shared" si="166"/>
        <v>(2,'PS-02-GR2','Poste de Sectionnement n°02 GR2','Friday-01-jj','Friday-01-jj',NULL,1,),</v>
      </c>
    </row>
    <row r="684" spans="1:18" ht="20.100000000000001" hidden="1" customHeight="1" x14ac:dyDescent="0.25">
      <c r="A684" s="38">
        <v>3</v>
      </c>
      <c r="B684" s="38" t="s">
        <v>664</v>
      </c>
      <c r="C684" s="38">
        <v>21</v>
      </c>
      <c r="D684" s="39" t="str">
        <f t="shared" si="167"/>
        <v>PS-03-GR2</v>
      </c>
      <c r="E684" s="48" t="str">
        <f t="shared" si="168"/>
        <v>Poste de Sectionnement n°03 GR2</v>
      </c>
      <c r="F684" s="19">
        <v>36161</v>
      </c>
      <c r="G684" s="19">
        <v>36161</v>
      </c>
      <c r="H684" s="41" t="s">
        <v>20</v>
      </c>
      <c r="I684" s="41">
        <v>1</v>
      </c>
      <c r="J684" s="41" t="s">
        <v>3557</v>
      </c>
      <c r="K684" s="41">
        <v>16</v>
      </c>
      <c r="L684" s="41"/>
      <c r="M684" s="41" t="s">
        <v>418</v>
      </c>
      <c r="N684" s="41" t="s">
        <v>2567</v>
      </c>
      <c r="O684" s="43">
        <v>663</v>
      </c>
      <c r="P684" s="43">
        <f t="shared" si="169"/>
        <v>60.3</v>
      </c>
      <c r="Q684" s="41" t="s">
        <v>979</v>
      </c>
      <c r="R684" s="48" t="str">
        <f t="shared" si="166"/>
        <v>(3,'PS-03-GR2','Poste de Sectionnement n°03 GR2','Friday-01-jj','Friday-01-jj',NULL,1,),</v>
      </c>
    </row>
    <row r="685" spans="1:18" ht="20.100000000000001" hidden="1" customHeight="1" x14ac:dyDescent="0.25">
      <c r="A685" s="38">
        <v>4</v>
      </c>
      <c r="B685" s="38" t="s">
        <v>664</v>
      </c>
      <c r="C685" s="38">
        <v>21</v>
      </c>
      <c r="D685" s="39" t="str">
        <f t="shared" si="167"/>
        <v>PS-04-GR2</v>
      </c>
      <c r="E685" s="48" t="str">
        <f t="shared" si="168"/>
        <v>Poste de Sectionnement n°04 GR2</v>
      </c>
      <c r="F685" s="19">
        <v>36161</v>
      </c>
      <c r="G685" s="19">
        <v>36161</v>
      </c>
      <c r="H685" s="41" t="s">
        <v>20</v>
      </c>
      <c r="I685" s="41">
        <v>1</v>
      </c>
      <c r="J685" s="41" t="s">
        <v>3557</v>
      </c>
      <c r="K685" s="41">
        <v>16</v>
      </c>
      <c r="L685" s="41"/>
      <c r="M685" s="41" t="s">
        <v>418</v>
      </c>
      <c r="N685" s="41" t="s">
        <v>2568</v>
      </c>
      <c r="O685" s="43">
        <v>587</v>
      </c>
      <c r="P685" s="43">
        <f t="shared" si="169"/>
        <v>80.2</v>
      </c>
      <c r="Q685" s="41" t="s">
        <v>979</v>
      </c>
      <c r="R685" s="48" t="str">
        <f t="shared" si="166"/>
        <v>(4,'PS-04-GR2','Poste de Sectionnement n°04 GR2','Friday-01-jj','Friday-01-jj',NULL,1,),</v>
      </c>
    </row>
    <row r="686" spans="1:18" ht="20.100000000000001" hidden="1" customHeight="1" x14ac:dyDescent="0.25">
      <c r="A686" s="38">
        <v>5</v>
      </c>
      <c r="B686" s="38" t="s">
        <v>664</v>
      </c>
      <c r="C686" s="38">
        <v>21</v>
      </c>
      <c r="D686" s="39" t="str">
        <f t="shared" si="167"/>
        <v>PS-05-GR2</v>
      </c>
      <c r="E686" s="48" t="str">
        <f t="shared" si="168"/>
        <v>Poste de Sectionnement n°05 GR2</v>
      </c>
      <c r="F686" s="19">
        <v>36161</v>
      </c>
      <c r="G686" s="19">
        <v>36161</v>
      </c>
      <c r="H686" s="41" t="s">
        <v>20</v>
      </c>
      <c r="I686" s="41">
        <v>1</v>
      </c>
      <c r="J686" s="41" t="s">
        <v>3557</v>
      </c>
      <c r="K686" s="41">
        <v>16</v>
      </c>
      <c r="L686" s="41"/>
      <c r="M686" s="41" t="s">
        <v>418</v>
      </c>
      <c r="N686" s="41" t="s">
        <v>2569</v>
      </c>
      <c r="O686" s="43">
        <v>558</v>
      </c>
      <c r="P686" s="43">
        <f t="shared" si="169"/>
        <v>118.1</v>
      </c>
      <c r="Q686" s="41" t="s">
        <v>1804</v>
      </c>
      <c r="R686" s="48" t="str">
        <f t="shared" si="166"/>
        <v>(5,'PS-05-GR2','Poste de Sectionnement n°05 GR2','Friday-01-jj','Friday-01-jj',NULL,1,),</v>
      </c>
    </row>
    <row r="687" spans="1:18" ht="20.100000000000001" hidden="1" customHeight="1" x14ac:dyDescent="0.25">
      <c r="A687" s="38">
        <v>6</v>
      </c>
      <c r="B687" s="38" t="s">
        <v>664</v>
      </c>
      <c r="C687" s="38">
        <v>21</v>
      </c>
      <c r="D687" s="39" t="str">
        <f t="shared" si="167"/>
        <v>PS-06-GR2</v>
      </c>
      <c r="E687" s="48" t="str">
        <f t="shared" si="168"/>
        <v>Poste de Sectionnement n°06 GR2</v>
      </c>
      <c r="F687" s="19">
        <v>36161</v>
      </c>
      <c r="G687" s="19">
        <v>36161</v>
      </c>
      <c r="H687" s="41" t="s">
        <v>20</v>
      </c>
      <c r="I687" s="41">
        <v>1</v>
      </c>
      <c r="J687" s="41" t="s">
        <v>3557</v>
      </c>
      <c r="K687" s="41">
        <v>16</v>
      </c>
      <c r="L687" s="41"/>
      <c r="M687" s="41" t="s">
        <v>418</v>
      </c>
      <c r="N687" s="41" t="s">
        <v>2570</v>
      </c>
      <c r="O687" s="43">
        <v>552</v>
      </c>
      <c r="P687" s="43">
        <f t="shared" si="169"/>
        <v>136.4</v>
      </c>
      <c r="Q687" s="41" t="s">
        <v>1804</v>
      </c>
      <c r="R687" s="48" t="str">
        <f t="shared" si="166"/>
        <v>(6,'PS-06-GR2','Poste de Sectionnement n°06 GR2','Friday-01-jj','Friday-01-jj',NULL,1,),</v>
      </c>
    </row>
    <row r="688" spans="1:18" ht="20.100000000000001" hidden="1" customHeight="1" x14ac:dyDescent="0.25">
      <c r="A688" s="38">
        <v>7</v>
      </c>
      <c r="B688" s="38" t="s">
        <v>664</v>
      </c>
      <c r="C688" s="38">
        <v>21</v>
      </c>
      <c r="D688" s="39" t="str">
        <f t="shared" si="167"/>
        <v>PS-07-GR2</v>
      </c>
      <c r="E688" s="48" t="str">
        <f t="shared" si="168"/>
        <v>Poste de Sectionnement n°07 GR2</v>
      </c>
      <c r="F688" s="19">
        <v>36161</v>
      </c>
      <c r="G688" s="19">
        <v>36161</v>
      </c>
      <c r="H688" s="41" t="s">
        <v>20</v>
      </c>
      <c r="I688" s="41">
        <v>1</v>
      </c>
      <c r="J688" s="41" t="s">
        <v>3557</v>
      </c>
      <c r="K688" s="41">
        <v>16</v>
      </c>
      <c r="L688" s="41"/>
      <c r="M688" s="41" t="s">
        <v>418</v>
      </c>
      <c r="N688" s="41" t="s">
        <v>2571</v>
      </c>
      <c r="O688" s="43">
        <v>569</v>
      </c>
      <c r="P688" s="43">
        <f t="shared" si="169"/>
        <v>156.30000000000001</v>
      </c>
      <c r="Q688" s="41" t="s">
        <v>1804</v>
      </c>
      <c r="R688" s="48" t="str">
        <f t="shared" si="166"/>
        <v>(7,'PS-07-GR2','Poste de Sectionnement n°07 GR2','Friday-01-jj','Friday-01-jj',NULL,1,),</v>
      </c>
    </row>
    <row r="689" spans="1:18" ht="20.100000000000001" hidden="1" customHeight="1" x14ac:dyDescent="0.25">
      <c r="A689" s="38">
        <v>8</v>
      </c>
      <c r="B689" s="38" t="s">
        <v>664</v>
      </c>
      <c r="C689" s="38">
        <v>21</v>
      </c>
      <c r="D689" s="39" t="str">
        <f t="shared" si="167"/>
        <v>PS-08-GR2</v>
      </c>
      <c r="E689" s="48" t="str">
        <f t="shared" si="168"/>
        <v>Poste de Sectionnement n°08 GR2</v>
      </c>
      <c r="F689" s="19">
        <v>36161</v>
      </c>
      <c r="G689" s="19">
        <v>36161</v>
      </c>
      <c r="H689" s="41" t="s">
        <v>20</v>
      </c>
      <c r="I689" s="41">
        <v>1</v>
      </c>
      <c r="J689" s="41" t="s">
        <v>3557</v>
      </c>
      <c r="K689" s="41">
        <v>16</v>
      </c>
      <c r="L689" s="41"/>
      <c r="M689" s="41" t="s">
        <v>418</v>
      </c>
      <c r="N689" s="41" t="s">
        <v>2572</v>
      </c>
      <c r="O689" s="43">
        <v>567</v>
      </c>
      <c r="P689" s="43">
        <f t="shared" si="169"/>
        <v>176</v>
      </c>
      <c r="Q689" s="41" t="s">
        <v>1804</v>
      </c>
      <c r="R689" s="48" t="str">
        <f t="shared" si="166"/>
        <v>(8,'PS-08-GR2','Poste de Sectionnement n°08 GR2','Friday-01-jj','Friday-01-jj',NULL,1,),</v>
      </c>
    </row>
    <row r="690" spans="1:18" ht="20.100000000000001" hidden="1" customHeight="1" x14ac:dyDescent="0.25">
      <c r="A690" s="38">
        <v>9</v>
      </c>
      <c r="B690" s="38" t="s">
        <v>664</v>
      </c>
      <c r="C690" s="38">
        <v>21</v>
      </c>
      <c r="D690" s="39" t="str">
        <f t="shared" si="167"/>
        <v>PS-09-GR2</v>
      </c>
      <c r="E690" s="48" t="str">
        <f t="shared" si="168"/>
        <v>Poste de Sectionnement n°09 GR2</v>
      </c>
      <c r="F690" s="19">
        <v>36161</v>
      </c>
      <c r="G690" s="19">
        <v>36161</v>
      </c>
      <c r="H690" s="41" t="s">
        <v>20</v>
      </c>
      <c r="I690" s="41">
        <v>1</v>
      </c>
      <c r="J690" s="41" t="s">
        <v>3557</v>
      </c>
      <c r="K690" s="41">
        <v>16</v>
      </c>
      <c r="L690" s="41"/>
      <c r="M690" s="41" t="s">
        <v>418</v>
      </c>
      <c r="N690" s="41" t="s">
        <v>2573</v>
      </c>
      <c r="O690" s="43">
        <v>540</v>
      </c>
      <c r="P690" s="43">
        <f t="shared" si="169"/>
        <v>195.5</v>
      </c>
      <c r="Q690" s="41" t="s">
        <v>1804</v>
      </c>
      <c r="R690" s="48" t="str">
        <f t="shared" si="166"/>
        <v>(9,'PS-09-GR2','Poste de Sectionnement n°09 GR2','Friday-01-jj','Friday-01-jj',NULL,1,),</v>
      </c>
    </row>
    <row r="691" spans="1:18" ht="20.100000000000001" hidden="1" customHeight="1" x14ac:dyDescent="0.25">
      <c r="A691" s="38">
        <v>10</v>
      </c>
      <c r="B691" s="38" t="s">
        <v>664</v>
      </c>
      <c r="C691" s="38">
        <v>21</v>
      </c>
      <c r="D691" s="39" t="str">
        <f t="shared" si="167"/>
        <v>PS-10-GR2</v>
      </c>
      <c r="E691" s="48" t="str">
        <f t="shared" si="168"/>
        <v>Poste de Sectionnement n°10 GR2</v>
      </c>
      <c r="F691" s="19">
        <v>36161</v>
      </c>
      <c r="G691" s="19">
        <v>36161</v>
      </c>
      <c r="H691" s="41" t="s">
        <v>20</v>
      </c>
      <c r="I691" s="41">
        <v>1</v>
      </c>
      <c r="J691" s="41" t="s">
        <v>3557</v>
      </c>
      <c r="K691" s="41">
        <v>16</v>
      </c>
      <c r="L691" s="41"/>
      <c r="M691" s="41" t="s">
        <v>418</v>
      </c>
      <c r="N691" s="41" t="s">
        <v>2574</v>
      </c>
      <c r="O691" s="43">
        <v>497</v>
      </c>
      <c r="P691" s="43">
        <f t="shared" si="169"/>
        <v>214.1</v>
      </c>
      <c r="Q691" s="41" t="s">
        <v>1804</v>
      </c>
      <c r="R691" s="48" t="str">
        <f t="shared" si="166"/>
        <v>(10,'PS-10-GR2','Poste de Sectionnement n°10 GR2','Friday-01-jj','Friday-01-jj',NULL,1,),</v>
      </c>
    </row>
    <row r="692" spans="1:18" ht="20.100000000000001" hidden="1" customHeight="1" x14ac:dyDescent="0.25">
      <c r="A692" s="38">
        <v>11</v>
      </c>
      <c r="B692" s="38" t="s">
        <v>664</v>
      </c>
      <c r="C692" s="38">
        <v>21</v>
      </c>
      <c r="D692" s="39" t="str">
        <f t="shared" si="167"/>
        <v>PS-11-GR2</v>
      </c>
      <c r="E692" s="48" t="str">
        <f t="shared" si="168"/>
        <v>Poste de Sectionnement n°11 GR2</v>
      </c>
      <c r="F692" s="19">
        <v>36161</v>
      </c>
      <c r="G692" s="19">
        <v>36161</v>
      </c>
      <c r="H692" s="41" t="s">
        <v>20</v>
      </c>
      <c r="I692" s="41">
        <v>1</v>
      </c>
      <c r="J692" s="41" t="s">
        <v>3557</v>
      </c>
      <c r="K692" s="41">
        <v>16</v>
      </c>
      <c r="L692" s="41"/>
      <c r="M692" s="41" t="s">
        <v>418</v>
      </c>
      <c r="N692" s="41" t="s">
        <v>2575</v>
      </c>
      <c r="O692" s="43">
        <v>413</v>
      </c>
      <c r="P692" s="43">
        <f t="shared" si="169"/>
        <v>248.8</v>
      </c>
      <c r="Q692" s="41" t="s">
        <v>1804</v>
      </c>
      <c r="R692" s="48" t="str">
        <f t="shared" si="166"/>
        <v>(11,'PS-11-GR2','Poste de Sectionnement n°11 GR2','Friday-01-jj','Friday-01-jj',NULL,1,),</v>
      </c>
    </row>
    <row r="693" spans="1:18" ht="20.100000000000001" hidden="1" customHeight="1" x14ac:dyDescent="0.25">
      <c r="A693" s="38">
        <v>12</v>
      </c>
      <c r="B693" s="38" t="s">
        <v>664</v>
      </c>
      <c r="C693" s="38">
        <v>21</v>
      </c>
      <c r="D693" s="39" t="str">
        <f t="shared" si="167"/>
        <v>PS-12-GR2</v>
      </c>
      <c r="E693" s="48" t="str">
        <f t="shared" si="168"/>
        <v>Poste de Sectionnement n°12 GR2</v>
      </c>
      <c r="F693" s="19">
        <v>36161</v>
      </c>
      <c r="G693" s="19">
        <v>36161</v>
      </c>
      <c r="H693" s="41" t="s">
        <v>20</v>
      </c>
      <c r="I693" s="41">
        <v>1</v>
      </c>
      <c r="J693" s="41" t="s">
        <v>3557</v>
      </c>
      <c r="K693" s="41">
        <v>16</v>
      </c>
      <c r="L693" s="41"/>
      <c r="M693" s="41" t="s">
        <v>418</v>
      </c>
      <c r="N693" s="41" t="s">
        <v>2576</v>
      </c>
      <c r="O693" s="43">
        <v>423</v>
      </c>
      <c r="P693" s="43">
        <f t="shared" si="169"/>
        <v>264.10000000000002</v>
      </c>
      <c r="Q693" s="41" t="s">
        <v>1804</v>
      </c>
      <c r="R693" s="48" t="str">
        <f t="shared" si="166"/>
        <v>(12,'PS-12-GR2','Poste de Sectionnement n°12 GR2','Friday-01-jj','Friday-01-jj',NULL,1,),</v>
      </c>
    </row>
    <row r="694" spans="1:18" ht="20.100000000000001" hidden="1" customHeight="1" x14ac:dyDescent="0.25">
      <c r="A694" s="38">
        <v>13</v>
      </c>
      <c r="B694" s="38" t="s">
        <v>664</v>
      </c>
      <c r="C694" s="38">
        <v>21</v>
      </c>
      <c r="D694" s="39" t="str">
        <f t="shared" si="167"/>
        <v>PS-13-GR2</v>
      </c>
      <c r="E694" s="48" t="str">
        <f t="shared" si="168"/>
        <v>Poste de Sectionnement n°13 GR2</v>
      </c>
      <c r="F694" s="19">
        <v>36161</v>
      </c>
      <c r="G694" s="19">
        <v>36161</v>
      </c>
      <c r="H694" s="41" t="s">
        <v>20</v>
      </c>
      <c r="I694" s="41">
        <v>1</v>
      </c>
      <c r="J694" s="41" t="s">
        <v>3557</v>
      </c>
      <c r="K694" s="41">
        <v>16</v>
      </c>
      <c r="L694" s="41"/>
      <c r="M694" s="41" t="s">
        <v>418</v>
      </c>
      <c r="N694" s="41" t="s">
        <v>1543</v>
      </c>
      <c r="O694" s="43">
        <v>350</v>
      </c>
      <c r="P694" s="43">
        <f t="shared" si="169"/>
        <v>281.89999999999998</v>
      </c>
      <c r="Q694" s="41" t="s">
        <v>1804</v>
      </c>
      <c r="R694" s="48" t="str">
        <f t="shared" si="166"/>
        <v>(13,'PS-13-GR2','Poste de Sectionnement n°13 GR2','Friday-01-jj','Friday-01-jj',NULL,1,),</v>
      </c>
    </row>
    <row r="695" spans="1:18" ht="20.100000000000001" hidden="1" customHeight="1" x14ac:dyDescent="0.25">
      <c r="A695" s="38">
        <v>14</v>
      </c>
      <c r="B695" s="38" t="s">
        <v>664</v>
      </c>
      <c r="C695" s="38">
        <v>21</v>
      </c>
      <c r="D695" s="39" t="str">
        <f t="shared" si="167"/>
        <v>PS-14-GR2</v>
      </c>
      <c r="E695" s="48" t="str">
        <f t="shared" si="168"/>
        <v>Poste de Sectionnement n°14 GR2</v>
      </c>
      <c r="F695" s="19">
        <v>36161</v>
      </c>
      <c r="G695" s="19">
        <v>36161</v>
      </c>
      <c r="H695" s="41" t="s">
        <v>20</v>
      </c>
      <c r="I695" s="41">
        <v>1</v>
      </c>
      <c r="J695" s="41" t="s">
        <v>3557</v>
      </c>
      <c r="K695" s="41">
        <v>16</v>
      </c>
      <c r="L695" s="41"/>
      <c r="M695" s="41" t="s">
        <v>418</v>
      </c>
      <c r="N695" s="41" t="s">
        <v>2577</v>
      </c>
      <c r="O695" s="43">
        <v>316</v>
      </c>
      <c r="P695" s="43">
        <f t="shared" si="169"/>
        <v>317.3</v>
      </c>
      <c r="Q695" s="41" t="s">
        <v>1804</v>
      </c>
      <c r="R695" s="48" t="str">
        <f t="shared" si="166"/>
        <v>(14,'PS-14-GR2','Poste de Sectionnement n°14 GR2','Friday-01-jj','Friday-01-jj',NULL,1,),</v>
      </c>
    </row>
    <row r="696" spans="1:18" ht="20.100000000000001" hidden="1" customHeight="1" x14ac:dyDescent="0.25">
      <c r="A696" s="38">
        <v>15</v>
      </c>
      <c r="B696" s="38" t="s">
        <v>664</v>
      </c>
      <c r="C696" s="38">
        <v>21</v>
      </c>
      <c r="D696" s="39" t="str">
        <f t="shared" si="167"/>
        <v>PS-15-GR2</v>
      </c>
      <c r="E696" s="48" t="str">
        <f t="shared" si="168"/>
        <v>Poste de Sectionnement n°15 GR2</v>
      </c>
      <c r="F696" s="19">
        <v>36161</v>
      </c>
      <c r="G696" s="19">
        <v>36161</v>
      </c>
      <c r="H696" s="41" t="s">
        <v>20</v>
      </c>
      <c r="I696" s="41">
        <v>1</v>
      </c>
      <c r="J696" s="41" t="s">
        <v>3557</v>
      </c>
      <c r="K696" s="41">
        <v>16</v>
      </c>
      <c r="L696" s="41"/>
      <c r="M696" s="41" t="s">
        <v>418</v>
      </c>
      <c r="N696" s="41" t="s">
        <v>2578</v>
      </c>
      <c r="O696" s="43">
        <v>316</v>
      </c>
      <c r="P696" s="43">
        <f t="shared" si="169"/>
        <v>336.3</v>
      </c>
      <c r="Q696" s="41" t="s">
        <v>1804</v>
      </c>
      <c r="R696" s="48" t="str">
        <f t="shared" si="166"/>
        <v>(15,'PS-15-GR2','Poste de Sectionnement n°15 GR2','Friday-01-jj','Friday-01-jj',NULL,1,),</v>
      </c>
    </row>
    <row r="697" spans="1:18" ht="20.100000000000001" hidden="1" customHeight="1" x14ac:dyDescent="0.25">
      <c r="A697" s="38">
        <v>16</v>
      </c>
      <c r="B697" s="38" t="s">
        <v>664</v>
      </c>
      <c r="C697" s="38">
        <v>21</v>
      </c>
      <c r="D697" s="39" t="str">
        <f t="shared" si="167"/>
        <v>PS-16-GR2</v>
      </c>
      <c r="E697" s="48" t="str">
        <f t="shared" si="168"/>
        <v>Poste de Sectionnement n°16 GR2</v>
      </c>
      <c r="F697" s="19">
        <v>36161</v>
      </c>
      <c r="G697" s="19">
        <v>36161</v>
      </c>
      <c r="H697" s="41" t="s">
        <v>20</v>
      </c>
      <c r="I697" s="41">
        <v>1</v>
      </c>
      <c r="J697" s="41" t="s">
        <v>3557</v>
      </c>
      <c r="K697" s="41">
        <v>16</v>
      </c>
      <c r="L697" s="41"/>
      <c r="M697" s="41" t="s">
        <v>418</v>
      </c>
      <c r="N697" s="41" t="s">
        <v>2579</v>
      </c>
      <c r="O697" s="43">
        <v>302</v>
      </c>
      <c r="P697" s="43">
        <f t="shared" si="169"/>
        <v>357.1</v>
      </c>
      <c r="Q697" s="41" t="s">
        <v>1804</v>
      </c>
      <c r="R697" s="48" t="str">
        <f t="shared" si="166"/>
        <v>(16,'PS-16-GR2','Poste de Sectionnement n°16 GR2','Friday-01-jj','Friday-01-jj',NULL,1,),</v>
      </c>
    </row>
    <row r="698" spans="1:18" ht="20.100000000000001" hidden="1" customHeight="1" x14ac:dyDescent="0.25">
      <c r="A698" s="38">
        <v>17</v>
      </c>
      <c r="B698" s="38" t="s">
        <v>664</v>
      </c>
      <c r="C698" s="38">
        <v>21</v>
      </c>
      <c r="D698" s="39" t="str">
        <f t="shared" si="167"/>
        <v>PS-17-GR2</v>
      </c>
      <c r="E698" s="48" t="str">
        <f t="shared" si="168"/>
        <v>Poste de Sectionnement n°17 GR2</v>
      </c>
      <c r="F698" s="19">
        <v>36161</v>
      </c>
      <c r="G698" s="19">
        <v>36161</v>
      </c>
      <c r="H698" s="41" t="s">
        <v>20</v>
      </c>
      <c r="I698" s="41">
        <v>1</v>
      </c>
      <c r="J698" s="41" t="s">
        <v>3557</v>
      </c>
      <c r="K698" s="41">
        <v>16</v>
      </c>
      <c r="L698" s="41"/>
      <c r="M698" s="41" t="s">
        <v>418</v>
      </c>
      <c r="N698" s="41" t="s">
        <v>2580</v>
      </c>
      <c r="O698" s="43">
        <v>288</v>
      </c>
      <c r="P698" s="43">
        <f t="shared" si="169"/>
        <v>378.1</v>
      </c>
      <c r="Q698" s="41" t="s">
        <v>1804</v>
      </c>
      <c r="R698" s="48" t="str">
        <f t="shared" si="166"/>
        <v>(17,'PS-17-GR2','Poste de Sectionnement n°17 GR2','Friday-01-jj','Friday-01-jj',NULL,1,),</v>
      </c>
    </row>
    <row r="699" spans="1:18" ht="20.100000000000001" hidden="1" customHeight="1" x14ac:dyDescent="0.25">
      <c r="A699" s="38">
        <v>18</v>
      </c>
      <c r="B699" s="38" t="s">
        <v>664</v>
      </c>
      <c r="C699" s="38">
        <v>21</v>
      </c>
      <c r="D699" s="39" t="str">
        <f t="shared" si="167"/>
        <v>PS-18-GR2</v>
      </c>
      <c r="E699" s="48" t="str">
        <f t="shared" si="168"/>
        <v>Poste de Sectionnement n°18 GR2</v>
      </c>
      <c r="F699" s="19">
        <v>36161</v>
      </c>
      <c r="G699" s="19">
        <v>36161</v>
      </c>
      <c r="H699" s="41" t="s">
        <v>20</v>
      </c>
      <c r="I699" s="41">
        <v>1</v>
      </c>
      <c r="J699" s="41" t="s">
        <v>3557</v>
      </c>
      <c r="K699" s="41">
        <v>16</v>
      </c>
      <c r="L699" s="41"/>
      <c r="M699" s="41" t="s">
        <v>418</v>
      </c>
      <c r="N699" s="41" t="s">
        <v>2581</v>
      </c>
      <c r="O699" s="43">
        <v>273</v>
      </c>
      <c r="P699" s="43">
        <f t="shared" si="169"/>
        <v>397.8</v>
      </c>
      <c r="Q699" s="41" t="s">
        <v>1804</v>
      </c>
      <c r="R699" s="48" t="str">
        <f t="shared" si="166"/>
        <v>(18,'PS-18-GR2','Poste de Sectionnement n°18 GR2','Friday-01-jj','Friday-01-jj',NULL,1,),</v>
      </c>
    </row>
    <row r="700" spans="1:18" ht="20.100000000000001" hidden="1" customHeight="1" x14ac:dyDescent="0.25">
      <c r="A700" s="38">
        <v>19</v>
      </c>
      <c r="B700" s="38" t="s">
        <v>664</v>
      </c>
      <c r="C700" s="38">
        <v>21</v>
      </c>
      <c r="D700" s="39" t="str">
        <f t="shared" si="167"/>
        <v>PS-19-GR2</v>
      </c>
      <c r="E700" s="48" t="str">
        <f t="shared" si="168"/>
        <v>Poste de Sectionnement n°19 GR2</v>
      </c>
      <c r="F700" s="19">
        <v>36161</v>
      </c>
      <c r="G700" s="19">
        <v>36161</v>
      </c>
      <c r="H700" s="41" t="s">
        <v>20</v>
      </c>
      <c r="I700" s="41">
        <v>1</v>
      </c>
      <c r="J700" s="41" t="s">
        <v>3557</v>
      </c>
      <c r="K700" s="41">
        <v>16</v>
      </c>
      <c r="L700" s="41"/>
      <c r="M700" s="41" t="s">
        <v>418</v>
      </c>
      <c r="N700" s="41" t="s">
        <v>2582</v>
      </c>
      <c r="O700" s="43">
        <v>262</v>
      </c>
      <c r="P700" s="43">
        <f t="shared" si="169"/>
        <v>413.9</v>
      </c>
      <c r="Q700" s="41" t="s">
        <v>1804</v>
      </c>
      <c r="R700" s="48" t="str">
        <f t="shared" si="166"/>
        <v>(19,'PS-19-GR2','Poste de Sectionnement n°19 GR2','Friday-01-jj','Friday-01-jj',NULL,1,),</v>
      </c>
    </row>
    <row r="701" spans="1:18" ht="20.100000000000001" hidden="1" customHeight="1" x14ac:dyDescent="0.25">
      <c r="A701" s="38">
        <v>20</v>
      </c>
      <c r="B701" s="38" t="s">
        <v>664</v>
      </c>
      <c r="C701" s="38">
        <v>21</v>
      </c>
      <c r="D701" s="39" t="str">
        <f t="shared" si="167"/>
        <v>PS-20-GR2</v>
      </c>
      <c r="E701" s="48" t="str">
        <f t="shared" si="168"/>
        <v>Poste de Sectionnement n°20 GR2</v>
      </c>
      <c r="F701" s="19">
        <v>36161</v>
      </c>
      <c r="G701" s="19">
        <v>36161</v>
      </c>
      <c r="H701" s="41" t="s">
        <v>20</v>
      </c>
      <c r="I701" s="41">
        <v>1</v>
      </c>
      <c r="J701" s="41" t="s">
        <v>3557</v>
      </c>
      <c r="K701" s="41">
        <v>16</v>
      </c>
      <c r="L701" s="41"/>
      <c r="M701" s="41" t="s">
        <v>418</v>
      </c>
      <c r="N701" s="41" t="s">
        <v>2583</v>
      </c>
      <c r="O701" s="43">
        <v>239</v>
      </c>
      <c r="P701" s="43">
        <f t="shared" si="169"/>
        <v>451</v>
      </c>
      <c r="Q701" s="41" t="s">
        <v>1804</v>
      </c>
      <c r="R701" s="48" t="str">
        <f t="shared" si="166"/>
        <v>(20,'PS-20-GR2','Poste de Sectionnement n°20 GR2','Friday-01-jj','Friday-01-jj',NULL,1,),</v>
      </c>
    </row>
    <row r="702" spans="1:18" ht="20.100000000000001" hidden="1" customHeight="1" x14ac:dyDescent="0.25">
      <c r="A702" s="38">
        <v>21</v>
      </c>
      <c r="B702" s="38" t="s">
        <v>664</v>
      </c>
      <c r="C702" s="38">
        <v>21</v>
      </c>
      <c r="D702" s="39" t="str">
        <f t="shared" si="167"/>
        <v>PS-21-GR2</v>
      </c>
      <c r="E702" s="48" t="str">
        <f t="shared" si="168"/>
        <v>Poste de Sectionnement n°21 GR2</v>
      </c>
      <c r="F702" s="19">
        <v>36161</v>
      </c>
      <c r="G702" s="19">
        <v>36161</v>
      </c>
      <c r="H702" s="41" t="s">
        <v>20</v>
      </c>
      <c r="I702" s="41">
        <v>1</v>
      </c>
      <c r="J702" s="41" t="s">
        <v>3557</v>
      </c>
      <c r="K702" s="41">
        <v>16</v>
      </c>
      <c r="L702" s="41"/>
      <c r="M702" s="41" t="s">
        <v>418</v>
      </c>
      <c r="N702" s="41" t="s">
        <v>2584</v>
      </c>
      <c r="O702" s="43">
        <v>229</v>
      </c>
      <c r="P702" s="43">
        <f t="shared" si="169"/>
        <v>469</v>
      </c>
      <c r="Q702" s="41" t="s">
        <v>998</v>
      </c>
      <c r="R702" s="48" t="str">
        <f t="shared" si="166"/>
        <v>(21,'PS-21-GR2','Poste de Sectionnement n°21 GR2','Friday-01-jj','Friday-01-jj',NULL,1,),</v>
      </c>
    </row>
    <row r="703" spans="1:18" ht="20.100000000000001" hidden="1" customHeight="1" x14ac:dyDescent="0.25">
      <c r="A703" s="38">
        <v>22</v>
      </c>
      <c r="B703" s="38" t="s">
        <v>664</v>
      </c>
      <c r="C703" s="38">
        <v>21</v>
      </c>
      <c r="D703" s="39" t="str">
        <f t="shared" si="167"/>
        <v>PS-22-GR2</v>
      </c>
      <c r="E703" s="48" t="str">
        <f t="shared" si="168"/>
        <v>Poste de Sectionnement n°22 GR2</v>
      </c>
      <c r="F703" s="19">
        <v>36161</v>
      </c>
      <c r="G703" s="19">
        <v>36161</v>
      </c>
      <c r="H703" s="41" t="s">
        <v>20</v>
      </c>
      <c r="I703" s="41">
        <v>1</v>
      </c>
      <c r="J703" s="41" t="s">
        <v>3557</v>
      </c>
      <c r="K703" s="41">
        <v>16</v>
      </c>
      <c r="L703" s="41"/>
      <c r="M703" s="41" t="s">
        <v>418</v>
      </c>
      <c r="N703" s="41" t="s">
        <v>2585</v>
      </c>
      <c r="O703" s="43">
        <v>220</v>
      </c>
      <c r="P703" s="43">
        <f t="shared" si="169"/>
        <v>487</v>
      </c>
      <c r="Q703" s="41" t="s">
        <v>998</v>
      </c>
      <c r="R703" s="48" t="str">
        <f t="shared" si="166"/>
        <v>(22,'PS-22-GR2','Poste de Sectionnement n°22 GR2','Friday-01-jj','Friday-01-jj',NULL,1,),</v>
      </c>
    </row>
    <row r="704" spans="1:18" ht="20.100000000000001" hidden="1" customHeight="1" x14ac:dyDescent="0.25">
      <c r="A704" s="38">
        <v>23</v>
      </c>
      <c r="B704" s="38" t="s">
        <v>664</v>
      </c>
      <c r="C704" s="38">
        <v>21</v>
      </c>
      <c r="D704" s="39" t="str">
        <f t="shared" si="167"/>
        <v>PS-23-GR2</v>
      </c>
      <c r="E704" s="48" t="str">
        <f t="shared" si="168"/>
        <v>Poste de Sectionnement n°23 GR2</v>
      </c>
      <c r="F704" s="19">
        <v>36161</v>
      </c>
      <c r="G704" s="19">
        <v>36161</v>
      </c>
      <c r="H704" s="41" t="s">
        <v>20</v>
      </c>
      <c r="I704" s="41">
        <v>1</v>
      </c>
      <c r="J704" s="41" t="s">
        <v>3557</v>
      </c>
      <c r="K704" s="41">
        <v>16</v>
      </c>
      <c r="L704" s="41"/>
      <c r="M704" s="41" t="s">
        <v>418</v>
      </c>
      <c r="N704" s="41" t="s">
        <v>2586</v>
      </c>
      <c r="O704" s="43">
        <v>198</v>
      </c>
      <c r="P704" s="43">
        <f t="shared" si="169"/>
        <v>526.4</v>
      </c>
      <c r="Q704" s="41" t="s">
        <v>998</v>
      </c>
      <c r="R704" s="48" t="str">
        <f t="shared" si="166"/>
        <v>(23,'PS-23-GR2','Poste de Sectionnement n°23 GR2','Friday-01-jj','Friday-01-jj',NULL,1,),</v>
      </c>
    </row>
    <row r="705" spans="1:18" ht="20.100000000000001" hidden="1" customHeight="1" x14ac:dyDescent="0.25">
      <c r="A705" s="38">
        <v>24</v>
      </c>
      <c r="B705" s="38" t="s">
        <v>664</v>
      </c>
      <c r="C705" s="38">
        <v>21</v>
      </c>
      <c r="D705" s="39" t="str">
        <f t="shared" si="167"/>
        <v>PS-24-GR2</v>
      </c>
      <c r="E705" s="48" t="str">
        <f t="shared" si="168"/>
        <v>Poste de Sectionnement n°24 GR2</v>
      </c>
      <c r="F705" s="19">
        <v>36161</v>
      </c>
      <c r="G705" s="19">
        <v>36161</v>
      </c>
      <c r="H705" s="41" t="s">
        <v>20</v>
      </c>
      <c r="I705" s="41">
        <v>1</v>
      </c>
      <c r="J705" s="41" t="s">
        <v>3557</v>
      </c>
      <c r="K705" s="41">
        <v>16</v>
      </c>
      <c r="L705" s="41"/>
      <c r="M705" s="41" t="s">
        <v>418</v>
      </c>
      <c r="N705" s="41" t="s">
        <v>2547</v>
      </c>
      <c r="O705" s="43">
        <v>186</v>
      </c>
      <c r="P705" s="43">
        <f t="shared" si="169"/>
        <v>547.1</v>
      </c>
      <c r="Q705" s="41" t="s">
        <v>998</v>
      </c>
      <c r="R705" s="48" t="str">
        <f t="shared" si="166"/>
        <v>(24,'PS-24-GR2','Poste de Sectionnement n°24 GR2','Friday-01-jj','Friday-01-jj',NULL,1,),</v>
      </c>
    </row>
    <row r="706" spans="1:18" ht="20.100000000000001" hidden="1" customHeight="1" x14ac:dyDescent="0.25">
      <c r="A706" s="38">
        <v>25</v>
      </c>
      <c r="B706" s="38" t="s">
        <v>664</v>
      </c>
      <c r="C706" s="38">
        <v>21</v>
      </c>
      <c r="D706" s="39" t="str">
        <f t="shared" si="167"/>
        <v>PS-25-GR2</v>
      </c>
      <c r="E706" s="48" t="str">
        <f t="shared" si="168"/>
        <v>Poste de Sectionnement n°25 GR2</v>
      </c>
      <c r="F706" s="19">
        <v>36161</v>
      </c>
      <c r="G706" s="19">
        <v>36161</v>
      </c>
      <c r="H706" s="41" t="s">
        <v>20</v>
      </c>
      <c r="I706" s="41">
        <v>1</v>
      </c>
      <c r="J706" s="41" t="s">
        <v>3557</v>
      </c>
      <c r="K706" s="41">
        <v>16</v>
      </c>
      <c r="L706" s="41"/>
      <c r="M706" s="41" t="s">
        <v>418</v>
      </c>
      <c r="N706" s="41" t="s">
        <v>2548</v>
      </c>
      <c r="O706" s="43">
        <v>177</v>
      </c>
      <c r="P706" s="43">
        <f t="shared" si="169"/>
        <v>567.79999999999995</v>
      </c>
      <c r="Q706" s="41" t="s">
        <v>998</v>
      </c>
      <c r="R706" s="48" t="str">
        <f t="shared" si="166"/>
        <v>(25,'PS-25-GR2','Poste de Sectionnement n°25 GR2','Friday-01-jj','Friday-01-jj',NULL,1,),</v>
      </c>
    </row>
    <row r="707" spans="1:18" ht="20.100000000000001" hidden="1" customHeight="1" x14ac:dyDescent="0.25">
      <c r="A707" s="38">
        <v>26</v>
      </c>
      <c r="B707" s="38" t="s">
        <v>664</v>
      </c>
      <c r="C707" s="38">
        <v>21</v>
      </c>
      <c r="D707" s="39" t="str">
        <f t="shared" si="167"/>
        <v>PS-26-GR2</v>
      </c>
      <c r="E707" s="48" t="str">
        <f t="shared" si="168"/>
        <v>Poste de Sectionnement n°26 GR2</v>
      </c>
      <c r="F707" s="19">
        <v>36161</v>
      </c>
      <c r="G707" s="19">
        <v>36161</v>
      </c>
      <c r="H707" s="41" t="s">
        <v>20</v>
      </c>
      <c r="I707" s="41">
        <v>1</v>
      </c>
      <c r="J707" s="41" t="s">
        <v>3557</v>
      </c>
      <c r="K707" s="41">
        <v>16</v>
      </c>
      <c r="L707" s="41"/>
      <c r="M707" s="41" t="s">
        <v>418</v>
      </c>
      <c r="N707" s="41" t="s">
        <v>2549</v>
      </c>
      <c r="O707" s="43">
        <v>158</v>
      </c>
      <c r="P707" s="43">
        <f t="shared" si="169"/>
        <v>607</v>
      </c>
      <c r="Q707" s="41" t="s">
        <v>998</v>
      </c>
      <c r="R707" s="48" t="str">
        <f t="shared" si="166"/>
        <v>(26,'PS-26-GR2','Poste de Sectionnement n°26 GR2','Friday-01-jj','Friday-01-jj',NULL,1,),</v>
      </c>
    </row>
    <row r="708" spans="1:18" ht="20.100000000000001" hidden="1" customHeight="1" x14ac:dyDescent="0.25">
      <c r="A708" s="38">
        <v>27</v>
      </c>
      <c r="B708" s="38" t="s">
        <v>664</v>
      </c>
      <c r="C708" s="38">
        <v>21</v>
      </c>
      <c r="D708" s="39" t="str">
        <f t="shared" si="167"/>
        <v>PS-27-GR2</v>
      </c>
      <c r="E708" s="48" t="str">
        <f t="shared" si="168"/>
        <v>Poste de Sectionnement n°27 GR2</v>
      </c>
      <c r="F708" s="19">
        <v>36161</v>
      </c>
      <c r="G708" s="19">
        <v>36161</v>
      </c>
      <c r="H708" s="41" t="s">
        <v>20</v>
      </c>
      <c r="I708" s="41">
        <v>1</v>
      </c>
      <c r="J708" s="41" t="s">
        <v>3557</v>
      </c>
      <c r="K708" s="41">
        <v>16</v>
      </c>
      <c r="L708" s="41"/>
      <c r="M708" s="41" t="s">
        <v>418</v>
      </c>
      <c r="N708" s="41" t="s">
        <v>2550</v>
      </c>
      <c r="O708" s="43">
        <v>150</v>
      </c>
      <c r="P708" s="43">
        <f t="shared" si="169"/>
        <v>625.79999999999995</v>
      </c>
      <c r="Q708" s="41" t="s">
        <v>998</v>
      </c>
      <c r="R708" s="48" t="str">
        <f t="shared" si="166"/>
        <v>(27,'PS-27-GR2','Poste de Sectionnement n°27 GR2','Friday-01-jj','Friday-01-jj',NULL,1,),</v>
      </c>
    </row>
    <row r="709" spans="1:18" ht="20.100000000000001" hidden="1" customHeight="1" x14ac:dyDescent="0.25">
      <c r="A709" s="38">
        <v>28</v>
      </c>
      <c r="B709" s="38" t="s">
        <v>664</v>
      </c>
      <c r="C709" s="38">
        <v>21</v>
      </c>
      <c r="D709" s="39" t="str">
        <f t="shared" si="167"/>
        <v>PS-28-GR2</v>
      </c>
      <c r="E709" s="48" t="str">
        <f t="shared" si="168"/>
        <v>Poste de Sectionnement n°28 GR2</v>
      </c>
      <c r="F709" s="19">
        <v>36161</v>
      </c>
      <c r="G709" s="19">
        <v>36161</v>
      </c>
      <c r="H709" s="41" t="s">
        <v>20</v>
      </c>
      <c r="I709" s="41">
        <v>1</v>
      </c>
      <c r="J709" s="41" t="s">
        <v>3557</v>
      </c>
      <c r="K709" s="41">
        <v>16</v>
      </c>
      <c r="L709" s="41"/>
      <c r="M709" s="41" t="s">
        <v>418</v>
      </c>
      <c r="N709" s="41" t="s">
        <v>2551</v>
      </c>
      <c r="O709" s="43">
        <v>148</v>
      </c>
      <c r="P709" s="43">
        <f t="shared" si="169"/>
        <v>640.9</v>
      </c>
      <c r="Q709" s="41" t="s">
        <v>998</v>
      </c>
      <c r="R709" s="48" t="str">
        <f t="shared" si="166"/>
        <v>(28,'PS-28-GR2','Poste de Sectionnement n°28 GR2','Friday-01-jj','Friday-01-jj',NULL,1,),</v>
      </c>
    </row>
    <row r="710" spans="1:18" ht="20.100000000000001" hidden="1" customHeight="1" x14ac:dyDescent="0.25">
      <c r="A710" s="38">
        <v>29</v>
      </c>
      <c r="B710" s="38" t="s">
        <v>664</v>
      </c>
      <c r="C710" s="38">
        <v>21</v>
      </c>
      <c r="D710" s="39" t="str">
        <f t="shared" si="167"/>
        <v>PS-29-GR2</v>
      </c>
      <c r="E710" s="48" t="str">
        <f t="shared" si="168"/>
        <v>Poste de Sectionnement n°29 GR2</v>
      </c>
      <c r="F710" s="19">
        <v>36161</v>
      </c>
      <c r="G710" s="19">
        <v>36161</v>
      </c>
      <c r="H710" s="41" t="s">
        <v>20</v>
      </c>
      <c r="I710" s="41">
        <v>1</v>
      </c>
      <c r="J710" s="41" t="s">
        <v>3557</v>
      </c>
      <c r="K710" s="41">
        <v>16</v>
      </c>
      <c r="L710" s="41"/>
      <c r="M710" s="41" t="s">
        <v>418</v>
      </c>
      <c r="N710" s="41" t="s">
        <v>2552</v>
      </c>
      <c r="O710" s="43">
        <v>156</v>
      </c>
      <c r="P710" s="43">
        <f t="shared" si="169"/>
        <v>675.81899999999996</v>
      </c>
      <c r="Q710" s="41" t="s">
        <v>2544</v>
      </c>
      <c r="R710" s="48" t="str">
        <f t="shared" si="166"/>
        <v>(29,'PS-29-GR2','Poste de Sectionnement n°29 GR2','Friday-01-jj','Friday-01-jj',NULL,1,),</v>
      </c>
    </row>
    <row r="711" spans="1:18" ht="20.100000000000001" hidden="1" customHeight="1" x14ac:dyDescent="0.25">
      <c r="A711" s="38">
        <v>30</v>
      </c>
      <c r="B711" s="38" t="s">
        <v>664</v>
      </c>
      <c r="C711" s="38">
        <v>21</v>
      </c>
      <c r="D711" s="39" t="str">
        <f t="shared" si="167"/>
        <v>PS-30-GR2</v>
      </c>
      <c r="E711" s="48" t="str">
        <f t="shared" si="168"/>
        <v>Poste de Sectionnement n°30 GR2</v>
      </c>
      <c r="F711" s="19">
        <v>36161</v>
      </c>
      <c r="G711" s="19">
        <v>36161</v>
      </c>
      <c r="H711" s="41" t="s">
        <v>20</v>
      </c>
      <c r="I711" s="41">
        <v>1</v>
      </c>
      <c r="J711" s="41" t="s">
        <v>3557</v>
      </c>
      <c r="K711" s="41">
        <v>16</v>
      </c>
      <c r="L711" s="41"/>
      <c r="M711" s="41" t="s">
        <v>418</v>
      </c>
      <c r="N711" s="41" t="s">
        <v>2553</v>
      </c>
      <c r="O711" s="43">
        <v>174</v>
      </c>
      <c r="P711" s="43">
        <f t="shared" si="169"/>
        <v>695.59900000000005</v>
      </c>
      <c r="Q711" s="41" t="s">
        <v>2544</v>
      </c>
      <c r="R711" s="48" t="str">
        <f t="shared" si="166"/>
        <v>(30,'PS-30-GR2','Poste de Sectionnement n°30 GR2','Friday-01-jj','Friday-01-jj',NULL,1,),</v>
      </c>
    </row>
    <row r="712" spans="1:18" ht="20.100000000000001" hidden="1" customHeight="1" x14ac:dyDescent="0.25">
      <c r="A712" s="38">
        <v>31</v>
      </c>
      <c r="B712" s="38" t="s">
        <v>664</v>
      </c>
      <c r="C712" s="38">
        <v>21</v>
      </c>
      <c r="D712" s="39" t="str">
        <f t="shared" si="167"/>
        <v>PS-31-GR2</v>
      </c>
      <c r="E712" s="48" t="str">
        <f t="shared" si="168"/>
        <v>Poste de Sectionnement n°31 GR2</v>
      </c>
      <c r="F712" s="19">
        <v>36161</v>
      </c>
      <c r="G712" s="19">
        <v>36161</v>
      </c>
      <c r="H712" s="41" t="s">
        <v>20</v>
      </c>
      <c r="I712" s="41">
        <v>1</v>
      </c>
      <c r="J712" s="41" t="s">
        <v>3557</v>
      </c>
      <c r="K712" s="41">
        <v>16</v>
      </c>
      <c r="L712" s="41"/>
      <c r="M712" s="41" t="s">
        <v>418</v>
      </c>
      <c r="N712" s="41" t="s">
        <v>2554</v>
      </c>
      <c r="O712" s="43">
        <v>149</v>
      </c>
      <c r="P712" s="43">
        <f t="shared" si="169"/>
        <v>714.96100000000001</v>
      </c>
      <c r="Q712" s="41" t="s">
        <v>2544</v>
      </c>
      <c r="R712" s="48" t="str">
        <f t="shared" si="166"/>
        <v>(31,'PS-31-GR2','Poste de Sectionnement n°31 GR2','Friday-01-jj','Friday-01-jj',NULL,1,),</v>
      </c>
    </row>
    <row r="713" spans="1:18" ht="20.100000000000001" hidden="1" customHeight="1" x14ac:dyDescent="0.25">
      <c r="A713" s="38">
        <v>32</v>
      </c>
      <c r="B713" s="38" t="s">
        <v>664</v>
      </c>
      <c r="C713" s="38">
        <v>21</v>
      </c>
      <c r="D713" s="39" t="str">
        <f t="shared" si="167"/>
        <v>PS-32-GR2</v>
      </c>
      <c r="E713" s="48" t="str">
        <f t="shared" si="168"/>
        <v>Poste de Sectionnement n°32 GR2</v>
      </c>
      <c r="F713" s="19">
        <v>36161</v>
      </c>
      <c r="G713" s="19">
        <v>36161</v>
      </c>
      <c r="H713" s="41" t="s">
        <v>20</v>
      </c>
      <c r="I713" s="41">
        <v>1</v>
      </c>
      <c r="J713" s="41" t="s">
        <v>3557</v>
      </c>
      <c r="K713" s="41">
        <v>16</v>
      </c>
      <c r="L713" s="41"/>
      <c r="M713" s="41" t="s">
        <v>418</v>
      </c>
      <c r="N713" s="41" t="s">
        <v>2555</v>
      </c>
      <c r="O713" s="43">
        <v>135</v>
      </c>
      <c r="P713" s="43">
        <f t="shared" si="169"/>
        <v>733.50900000000001</v>
      </c>
      <c r="Q713" s="41" t="s">
        <v>2545</v>
      </c>
      <c r="R713" s="48" t="str">
        <f t="shared" si="166"/>
        <v>(32,'PS-32-GR2','Poste de Sectionnement n°32 GR2','Friday-01-jj','Friday-01-jj',NULL,1,),</v>
      </c>
    </row>
    <row r="714" spans="1:18" ht="20.100000000000001" hidden="1" customHeight="1" x14ac:dyDescent="0.25">
      <c r="A714" s="38">
        <v>33</v>
      </c>
      <c r="B714" s="38" t="s">
        <v>664</v>
      </c>
      <c r="C714" s="38">
        <v>21</v>
      </c>
      <c r="D714" s="39" t="str">
        <f t="shared" si="167"/>
        <v>PS-33-GR2</v>
      </c>
      <c r="E714" s="48" t="str">
        <f t="shared" si="168"/>
        <v>Poste de Sectionnement n°33 GR2</v>
      </c>
      <c r="F714" s="19">
        <v>36161</v>
      </c>
      <c r="G714" s="19">
        <v>36161</v>
      </c>
      <c r="H714" s="41" t="s">
        <v>20</v>
      </c>
      <c r="I714" s="41">
        <v>1</v>
      </c>
      <c r="J714" s="41" t="s">
        <v>3557</v>
      </c>
      <c r="K714" s="41">
        <v>16</v>
      </c>
      <c r="L714" s="41"/>
      <c r="M714" s="41" t="s">
        <v>418</v>
      </c>
      <c r="N714" s="41" t="s">
        <v>2556</v>
      </c>
      <c r="O714" s="43">
        <v>189</v>
      </c>
      <c r="P714" s="43">
        <f t="shared" si="169"/>
        <v>749.38599999999997</v>
      </c>
      <c r="Q714" s="41" t="s">
        <v>744</v>
      </c>
      <c r="R714" s="48" t="str">
        <f t="shared" si="166"/>
        <v>(33,'PS-33-GR2','Poste de Sectionnement n°33 GR2','Friday-01-jj','Friday-01-jj',NULL,1,),</v>
      </c>
    </row>
    <row r="715" spans="1:18" ht="20.100000000000001" hidden="1" customHeight="1" x14ac:dyDescent="0.25">
      <c r="A715" s="38">
        <v>34</v>
      </c>
      <c r="B715" s="38" t="s">
        <v>664</v>
      </c>
      <c r="C715" s="38">
        <v>21</v>
      </c>
      <c r="D715" s="39" t="str">
        <f t="shared" si="167"/>
        <v>PS-34-GR2</v>
      </c>
      <c r="E715" s="48" t="str">
        <f t="shared" si="168"/>
        <v>Poste de Sectionnement n°34 GR2</v>
      </c>
      <c r="F715" s="19">
        <v>36161</v>
      </c>
      <c r="G715" s="19">
        <v>36161</v>
      </c>
      <c r="H715" s="41" t="s">
        <v>20</v>
      </c>
      <c r="I715" s="41">
        <v>1</v>
      </c>
      <c r="J715" s="41" t="s">
        <v>3557</v>
      </c>
      <c r="K715" s="41">
        <v>16</v>
      </c>
      <c r="L715" s="41"/>
      <c r="M715" s="41" t="s">
        <v>418</v>
      </c>
      <c r="N715" s="41" t="s">
        <v>2557</v>
      </c>
      <c r="O715" s="43">
        <v>246</v>
      </c>
      <c r="P715" s="43">
        <f t="shared" si="169"/>
        <v>789.98599999999999</v>
      </c>
      <c r="Q715" s="41" t="s">
        <v>744</v>
      </c>
      <c r="R715" s="48" t="str">
        <f t="shared" si="166"/>
        <v>(34,'PS-34-GR2','Poste de Sectionnement n°34 GR2','Friday-01-jj','Friday-01-jj',NULL,1,),</v>
      </c>
    </row>
    <row r="716" spans="1:18" ht="20.100000000000001" hidden="1" customHeight="1" x14ac:dyDescent="0.25">
      <c r="A716" s="38">
        <v>35</v>
      </c>
      <c r="B716" s="38" t="s">
        <v>664</v>
      </c>
      <c r="C716" s="38">
        <v>21</v>
      </c>
      <c r="D716" s="39" t="str">
        <f t="shared" si="167"/>
        <v>PS-35-GR2</v>
      </c>
      <c r="E716" s="48" t="str">
        <f t="shared" si="168"/>
        <v>Poste de Sectionnement n°35 GR2</v>
      </c>
      <c r="F716" s="19">
        <v>36161</v>
      </c>
      <c r="G716" s="19">
        <v>36161</v>
      </c>
      <c r="H716" s="41" t="s">
        <v>20</v>
      </c>
      <c r="I716" s="41">
        <v>1</v>
      </c>
      <c r="J716" s="41" t="s">
        <v>3557</v>
      </c>
      <c r="K716" s="41">
        <v>16</v>
      </c>
      <c r="L716" s="41"/>
      <c r="M716" s="41" t="s">
        <v>418</v>
      </c>
      <c r="N716" s="41" t="s">
        <v>2558</v>
      </c>
      <c r="O716" s="43">
        <v>276</v>
      </c>
      <c r="P716" s="43">
        <f t="shared" si="169"/>
        <v>810.49800000000005</v>
      </c>
      <c r="Q716" s="41" t="s">
        <v>744</v>
      </c>
      <c r="R716" s="48" t="str">
        <f t="shared" si="166"/>
        <v>(35,'PS-35-GR2','Poste de Sectionnement n°35 GR2','Friday-01-jj','Friday-01-jj',NULL,1,),</v>
      </c>
    </row>
    <row r="717" spans="1:18" ht="20.100000000000001" hidden="1" customHeight="1" x14ac:dyDescent="0.25">
      <c r="A717" s="38">
        <v>36</v>
      </c>
      <c r="B717" s="38" t="s">
        <v>664</v>
      </c>
      <c r="C717" s="38">
        <v>21</v>
      </c>
      <c r="D717" s="39" t="str">
        <f t="shared" si="167"/>
        <v>PS-36-GR2</v>
      </c>
      <c r="E717" s="48" t="str">
        <f t="shared" si="168"/>
        <v>Poste de Sectionnement n°36 GR2</v>
      </c>
      <c r="F717" s="19">
        <v>36161</v>
      </c>
      <c r="G717" s="19">
        <v>36161</v>
      </c>
      <c r="H717" s="41" t="s">
        <v>20</v>
      </c>
      <c r="I717" s="41">
        <v>1</v>
      </c>
      <c r="J717" s="41" t="s">
        <v>3557</v>
      </c>
      <c r="K717" s="41">
        <v>16</v>
      </c>
      <c r="L717" s="41"/>
      <c r="M717" s="41" t="s">
        <v>418</v>
      </c>
      <c r="N717" s="41" t="s">
        <v>2559</v>
      </c>
      <c r="O717" s="43">
        <v>316</v>
      </c>
      <c r="P717" s="43">
        <f t="shared" si="169"/>
        <v>829.98800000000006</v>
      </c>
      <c r="Q717" s="41" t="s">
        <v>745</v>
      </c>
      <c r="R717" s="48" t="str">
        <f t="shared" si="166"/>
        <v>(36,'PS-36-GR2','Poste de Sectionnement n°36 GR2','Friday-01-jj','Friday-01-jj',NULL,1,),</v>
      </c>
    </row>
    <row r="718" spans="1:18" ht="20.100000000000001" hidden="1" customHeight="1" x14ac:dyDescent="0.25">
      <c r="A718" s="38">
        <v>37</v>
      </c>
      <c r="B718" s="38" t="s">
        <v>664</v>
      </c>
      <c r="C718" s="38">
        <v>21</v>
      </c>
      <c r="D718" s="39" t="str">
        <f t="shared" si="167"/>
        <v>PS-37-GR2</v>
      </c>
      <c r="E718" s="48" t="str">
        <f t="shared" si="168"/>
        <v>Poste de Sectionnement n°37 GR2</v>
      </c>
      <c r="F718" s="19">
        <v>36161</v>
      </c>
      <c r="G718" s="19">
        <v>36161</v>
      </c>
      <c r="H718" s="41" t="s">
        <v>20</v>
      </c>
      <c r="I718" s="41">
        <v>1</v>
      </c>
      <c r="J718" s="41" t="s">
        <v>3557</v>
      </c>
      <c r="K718" s="41">
        <v>16</v>
      </c>
      <c r="L718" s="41"/>
      <c r="M718" s="41" t="s">
        <v>418</v>
      </c>
      <c r="N718" s="41" t="s">
        <v>2560</v>
      </c>
      <c r="O718" s="43">
        <v>346</v>
      </c>
      <c r="P718" s="43">
        <f t="shared" si="169"/>
        <v>850.62199999999996</v>
      </c>
      <c r="Q718" s="41" t="s">
        <v>745</v>
      </c>
      <c r="R718" s="48" t="str">
        <f t="shared" si="166"/>
        <v>(37,'PS-37-GR2','Poste de Sectionnement n°37 GR2','Friday-01-jj','Friday-01-jj',NULL,1,),</v>
      </c>
    </row>
    <row r="719" spans="1:18" ht="20.100000000000001" hidden="1" customHeight="1" x14ac:dyDescent="0.25">
      <c r="A719" s="38">
        <v>38</v>
      </c>
      <c r="B719" s="38" t="s">
        <v>664</v>
      </c>
      <c r="C719" s="38">
        <v>21</v>
      </c>
      <c r="D719" s="39" t="str">
        <f t="shared" si="167"/>
        <v>PS-38-GR2</v>
      </c>
      <c r="E719" s="48" t="str">
        <f t="shared" si="168"/>
        <v>Poste de Sectionnement n°38 GR2</v>
      </c>
      <c r="F719" s="19">
        <v>36161</v>
      </c>
      <c r="G719" s="19">
        <v>36161</v>
      </c>
      <c r="H719" s="41" t="s">
        <v>20</v>
      </c>
      <c r="I719" s="41">
        <v>1</v>
      </c>
      <c r="J719" s="41" t="s">
        <v>3557</v>
      </c>
      <c r="K719" s="41">
        <v>16</v>
      </c>
      <c r="L719" s="41"/>
      <c r="M719" s="41" t="s">
        <v>418</v>
      </c>
      <c r="N719" s="41" t="s">
        <v>2561</v>
      </c>
      <c r="O719" s="43">
        <v>478</v>
      </c>
      <c r="P719" s="43">
        <f t="shared" si="169"/>
        <v>891.08900000000006</v>
      </c>
      <c r="Q719" s="41" t="s">
        <v>1827</v>
      </c>
      <c r="R719" s="48" t="str">
        <f t="shared" si="166"/>
        <v>(38,'PS-38-GR2','Poste de Sectionnement n°38 GR2','Friday-01-jj','Friday-01-jj',NULL,1,),</v>
      </c>
    </row>
    <row r="720" spans="1:18" ht="20.100000000000001" hidden="1" customHeight="1" x14ac:dyDescent="0.25">
      <c r="A720" s="38">
        <v>39</v>
      </c>
      <c r="B720" s="38" t="s">
        <v>664</v>
      </c>
      <c r="C720" s="38">
        <v>21</v>
      </c>
      <c r="D720" s="39" t="str">
        <f t="shared" si="167"/>
        <v>PS-39-GR2</v>
      </c>
      <c r="E720" s="48" t="str">
        <f t="shared" si="168"/>
        <v>Poste de Sectionnement n°39 GR2</v>
      </c>
      <c r="F720" s="19">
        <v>36161</v>
      </c>
      <c r="G720" s="19">
        <v>36161</v>
      </c>
      <c r="H720" s="41" t="s">
        <v>20</v>
      </c>
      <c r="I720" s="41">
        <v>1</v>
      </c>
      <c r="J720" s="41" t="s">
        <v>3557</v>
      </c>
      <c r="K720" s="41">
        <v>16</v>
      </c>
      <c r="L720" s="41"/>
      <c r="M720" s="41" t="s">
        <v>418</v>
      </c>
      <c r="N720" s="41" t="s">
        <v>2562</v>
      </c>
      <c r="O720" s="43">
        <v>582</v>
      </c>
      <c r="P720" s="43">
        <f t="shared" si="169"/>
        <v>911.18600000000004</v>
      </c>
      <c r="Q720" s="41" t="s">
        <v>1828</v>
      </c>
      <c r="R720" s="48" t="str">
        <f t="shared" si="166"/>
        <v>(39,'PS-39-GR2','Poste de Sectionnement n°39 GR2','Friday-01-jj','Friday-01-jj',NULL,1,),</v>
      </c>
    </row>
    <row r="721" spans="1:18" ht="20.100000000000001" hidden="1" customHeight="1" x14ac:dyDescent="0.25">
      <c r="A721" s="38">
        <v>40</v>
      </c>
      <c r="B721" s="38" t="s">
        <v>664</v>
      </c>
      <c r="C721" s="38">
        <v>21</v>
      </c>
      <c r="D721" s="39" t="str">
        <f t="shared" si="167"/>
        <v>PS-40-GR2</v>
      </c>
      <c r="E721" s="48" t="str">
        <f t="shared" si="168"/>
        <v>Poste de Sectionnement n°40 GR2</v>
      </c>
      <c r="F721" s="19">
        <v>36161</v>
      </c>
      <c r="G721" s="19">
        <v>36161</v>
      </c>
      <c r="H721" s="41" t="s">
        <v>20</v>
      </c>
      <c r="I721" s="41">
        <v>1</v>
      </c>
      <c r="J721" s="41" t="s">
        <v>3557</v>
      </c>
      <c r="K721" s="41">
        <v>16</v>
      </c>
      <c r="L721" s="41"/>
      <c r="M721" s="41" t="s">
        <v>418</v>
      </c>
      <c r="N721" s="41" t="s">
        <v>2563</v>
      </c>
      <c r="O721" s="43">
        <v>626</v>
      </c>
      <c r="P721" s="43">
        <f t="shared" si="169"/>
        <v>928.96400000000006</v>
      </c>
      <c r="Q721" s="41" t="s">
        <v>2546</v>
      </c>
      <c r="R721" s="48" t="str">
        <f t="shared" si="166"/>
        <v>(40,'PS-40-GR2','Poste de Sectionnement n°40 GR2','Friday-01-jj','Friday-01-jj',NULL,1,),</v>
      </c>
    </row>
    <row r="722" spans="1:18" ht="20.100000000000001" hidden="1" customHeight="1" x14ac:dyDescent="0.25">
      <c r="A722" s="38">
        <v>41</v>
      </c>
      <c r="B722" s="38" t="s">
        <v>664</v>
      </c>
      <c r="C722" s="38">
        <v>21</v>
      </c>
      <c r="D722" s="39" t="str">
        <f t="shared" si="167"/>
        <v>PS-41-GR2</v>
      </c>
      <c r="E722" s="48" t="str">
        <f t="shared" si="168"/>
        <v>Poste de Sectionnement n°41 GR2</v>
      </c>
      <c r="F722" s="19">
        <v>36161</v>
      </c>
      <c r="G722" s="19">
        <v>36161</v>
      </c>
      <c r="H722" s="41" t="s">
        <v>20</v>
      </c>
      <c r="I722" s="41">
        <v>1</v>
      </c>
      <c r="J722" s="41" t="s">
        <v>3557</v>
      </c>
      <c r="K722" s="41">
        <v>16</v>
      </c>
      <c r="L722" s="41"/>
      <c r="M722" s="41" t="s">
        <v>418</v>
      </c>
      <c r="N722" s="41" t="s">
        <v>2564</v>
      </c>
      <c r="O722" s="43">
        <v>713</v>
      </c>
      <c r="P722" s="43">
        <f t="shared" si="169"/>
        <v>946.72199999999998</v>
      </c>
      <c r="Q722" s="41" t="s">
        <v>790</v>
      </c>
      <c r="R722" s="48" t="str">
        <f t="shared" si="166"/>
        <v>(41,'PS-41-GR2','Poste de Sectionnement n°41 GR2','Friday-01-jj','Friday-01-jj',NULL,1,),</v>
      </c>
    </row>
    <row r="723" spans="1:18" ht="20.100000000000001" hidden="1" customHeight="1" x14ac:dyDescent="0.25">
      <c r="A723" s="38">
        <v>1</v>
      </c>
      <c r="B723" s="38" t="s">
        <v>664</v>
      </c>
      <c r="C723" s="38">
        <v>21</v>
      </c>
      <c r="D723" s="39" t="str">
        <f t="shared" si="167"/>
        <v>PS-01-GR4</v>
      </c>
      <c r="E723" s="48" t="str">
        <f t="shared" si="168"/>
        <v>Poste de Sectionnement n°01 GR4</v>
      </c>
      <c r="F723" s="19">
        <v>41640</v>
      </c>
      <c r="G723" s="19">
        <v>41640</v>
      </c>
      <c r="H723" s="41" t="s">
        <v>20</v>
      </c>
      <c r="I723" s="41">
        <v>1</v>
      </c>
      <c r="J723" s="41" t="s">
        <v>3557</v>
      </c>
      <c r="K723" s="41">
        <v>16</v>
      </c>
      <c r="L723" s="41"/>
      <c r="M723" s="41" t="s">
        <v>423</v>
      </c>
      <c r="N723" s="41" t="s">
        <v>2587</v>
      </c>
      <c r="O723" s="43">
        <v>0</v>
      </c>
      <c r="P723" s="43">
        <f t="shared" si="169"/>
        <v>18.399999999999999</v>
      </c>
      <c r="Q723" s="41" t="s">
        <v>1804</v>
      </c>
      <c r="R723" s="48" t="str">
        <f t="shared" si="166"/>
        <v>(1,'PS-01-GR4','Poste de Sectionnement n°01 GR4','Wednesday-01-jj','Wednesday-01-jj',NULL,1,),</v>
      </c>
    </row>
    <row r="724" spans="1:18" ht="20.100000000000001" hidden="1" customHeight="1" x14ac:dyDescent="0.25">
      <c r="A724" s="38">
        <v>2</v>
      </c>
      <c r="B724" s="38" t="s">
        <v>664</v>
      </c>
      <c r="C724" s="38">
        <v>21</v>
      </c>
      <c r="D724" s="39" t="str">
        <f t="shared" si="167"/>
        <v>PS-02-GR4</v>
      </c>
      <c r="E724" s="48" t="str">
        <f t="shared" si="168"/>
        <v>Poste de Sectionnement n°02 GR4</v>
      </c>
      <c r="F724" s="19">
        <v>41640</v>
      </c>
      <c r="G724" s="19">
        <v>41640</v>
      </c>
      <c r="H724" s="41" t="s">
        <v>20</v>
      </c>
      <c r="I724" s="41">
        <v>1</v>
      </c>
      <c r="J724" s="41" t="s">
        <v>3557</v>
      </c>
      <c r="K724" s="41">
        <v>16</v>
      </c>
      <c r="L724" s="41"/>
      <c r="M724" s="41" t="s">
        <v>423</v>
      </c>
      <c r="N724" s="41" t="s">
        <v>2588</v>
      </c>
      <c r="O724" s="43">
        <v>0</v>
      </c>
      <c r="P724" s="43">
        <f t="shared" si="169"/>
        <v>36.4</v>
      </c>
      <c r="Q724" s="41" t="s">
        <v>998</v>
      </c>
      <c r="R724" s="48" t="str">
        <f t="shared" si="166"/>
        <v>(2,'PS-02-GR4','Poste de Sectionnement n°02 GR4','Wednesday-01-jj','Wednesday-01-jj',NULL,1,),</v>
      </c>
    </row>
    <row r="725" spans="1:18" ht="20.100000000000001" hidden="1" customHeight="1" x14ac:dyDescent="0.25">
      <c r="A725" s="38">
        <v>3</v>
      </c>
      <c r="B725" s="38" t="s">
        <v>664</v>
      </c>
      <c r="C725" s="38">
        <v>21</v>
      </c>
      <c r="D725" s="39" t="str">
        <f t="shared" ref="D725:D744" si="170">CONCATENATE("PS-",TEXT(A725,"00"),"-",M725)</f>
        <v>PS-03-GR4</v>
      </c>
      <c r="E725" s="48" t="str">
        <f t="shared" ref="E725:E744" si="171">CONCATENATE("Poste de Sectionnement n°",TEXT(A725,"00")," ",M725)</f>
        <v>Poste de Sectionnement n°03 GR4</v>
      </c>
      <c r="F725" s="19">
        <v>41640</v>
      </c>
      <c r="G725" s="19">
        <v>41640</v>
      </c>
      <c r="H725" s="41" t="s">
        <v>20</v>
      </c>
      <c r="I725" s="41">
        <v>1</v>
      </c>
      <c r="J725" s="41" t="s">
        <v>3557</v>
      </c>
      <c r="K725" s="41">
        <v>16</v>
      </c>
      <c r="L725" s="41"/>
      <c r="M725" s="41" t="s">
        <v>423</v>
      </c>
      <c r="N725" s="41" t="s">
        <v>2589</v>
      </c>
      <c r="O725" s="43">
        <v>0</v>
      </c>
      <c r="P725" s="43">
        <f t="shared" si="169"/>
        <v>54.4</v>
      </c>
      <c r="Q725" s="41" t="s">
        <v>998</v>
      </c>
      <c r="R725" s="48" t="str">
        <f t="shared" si="166"/>
        <v>(3,'PS-03-GR4','Poste de Sectionnement n°03 GR4','Wednesday-01-jj','Wednesday-01-jj',NULL,1,),</v>
      </c>
    </row>
    <row r="726" spans="1:18" ht="20.100000000000001" hidden="1" customHeight="1" x14ac:dyDescent="0.25">
      <c r="A726" s="38">
        <v>4</v>
      </c>
      <c r="B726" s="38" t="s">
        <v>664</v>
      </c>
      <c r="C726" s="38">
        <v>21</v>
      </c>
      <c r="D726" s="39" t="str">
        <f t="shared" si="170"/>
        <v>PS-04-GR4</v>
      </c>
      <c r="E726" s="48" t="str">
        <f t="shared" si="171"/>
        <v>Poste de Sectionnement n°04 GR4</v>
      </c>
      <c r="F726" s="19">
        <v>41640</v>
      </c>
      <c r="G726" s="19">
        <v>41640</v>
      </c>
      <c r="H726" s="41" t="s">
        <v>20</v>
      </c>
      <c r="I726" s="41">
        <v>1</v>
      </c>
      <c r="J726" s="41" t="s">
        <v>3557</v>
      </c>
      <c r="K726" s="41">
        <v>16</v>
      </c>
      <c r="L726" s="41"/>
      <c r="M726" s="41" t="s">
        <v>423</v>
      </c>
      <c r="N726" s="41" t="s">
        <v>2590</v>
      </c>
      <c r="O726" s="43">
        <v>0</v>
      </c>
      <c r="P726" s="43">
        <f t="shared" si="169"/>
        <v>93.89</v>
      </c>
      <c r="Q726" s="41" t="s">
        <v>998</v>
      </c>
      <c r="R726" s="48" t="str">
        <f t="shared" ref="R726:R789" si="172">CONCATENATE("(",A726,",'",D726,"','",E726,"','",TEXT(F726,"aaaa-mm-jj"),"','",TEXT(G726,"aaaa-mm-jj"),"',",H726,",",I726,",",L726,"),")</f>
        <v>(4,'PS-04-GR4','Poste de Sectionnement n°04 GR4','Wednesday-01-jj','Wednesday-01-jj',NULL,1,),</v>
      </c>
    </row>
    <row r="727" spans="1:18" ht="20.100000000000001" hidden="1" customHeight="1" x14ac:dyDescent="0.25">
      <c r="A727" s="38">
        <v>5</v>
      </c>
      <c r="B727" s="38" t="s">
        <v>664</v>
      </c>
      <c r="C727" s="38">
        <v>21</v>
      </c>
      <c r="D727" s="39" t="str">
        <f t="shared" si="170"/>
        <v>PS-05-GR4</v>
      </c>
      <c r="E727" s="48" t="str">
        <f t="shared" si="171"/>
        <v>Poste de Sectionnement n°05 GR4</v>
      </c>
      <c r="F727" s="19">
        <v>41640</v>
      </c>
      <c r="G727" s="19">
        <v>41640</v>
      </c>
      <c r="H727" s="41" t="s">
        <v>20</v>
      </c>
      <c r="I727" s="41">
        <v>1</v>
      </c>
      <c r="J727" s="41" t="s">
        <v>3557</v>
      </c>
      <c r="K727" s="41">
        <v>16</v>
      </c>
      <c r="L727" s="41"/>
      <c r="M727" s="41" t="s">
        <v>423</v>
      </c>
      <c r="N727" s="41" t="s">
        <v>2591</v>
      </c>
      <c r="O727" s="43">
        <v>0</v>
      </c>
      <c r="P727" s="43">
        <f t="shared" si="169"/>
        <v>114.55</v>
      </c>
      <c r="Q727" s="41" t="s">
        <v>998</v>
      </c>
      <c r="R727" s="48" t="str">
        <f t="shared" si="172"/>
        <v>(5,'PS-05-GR4','Poste de Sectionnement n°05 GR4','Wednesday-01-jj','Wednesday-01-jj',NULL,1,),</v>
      </c>
    </row>
    <row r="728" spans="1:18" ht="20.100000000000001" hidden="1" customHeight="1" x14ac:dyDescent="0.25">
      <c r="A728" s="38">
        <v>6</v>
      </c>
      <c r="B728" s="38" t="s">
        <v>664</v>
      </c>
      <c r="C728" s="38">
        <v>21</v>
      </c>
      <c r="D728" s="39" t="str">
        <f t="shared" si="170"/>
        <v>PS-06-GR4</v>
      </c>
      <c r="E728" s="48" t="str">
        <f t="shared" si="171"/>
        <v>Poste de Sectionnement n°06 GR4</v>
      </c>
      <c r="F728" s="19">
        <v>41640</v>
      </c>
      <c r="G728" s="19">
        <v>41640</v>
      </c>
      <c r="H728" s="41" t="s">
        <v>20</v>
      </c>
      <c r="I728" s="41">
        <v>1</v>
      </c>
      <c r="J728" s="41" t="s">
        <v>3557</v>
      </c>
      <c r="K728" s="41">
        <v>16</v>
      </c>
      <c r="L728" s="41"/>
      <c r="M728" s="41" t="s">
        <v>423</v>
      </c>
      <c r="N728" s="41" t="s">
        <v>2592</v>
      </c>
      <c r="O728" s="43">
        <v>0</v>
      </c>
      <c r="P728" s="43">
        <f t="shared" si="169"/>
        <v>135.19999999999999</v>
      </c>
      <c r="Q728" s="41" t="s">
        <v>998</v>
      </c>
      <c r="R728" s="48" t="str">
        <f t="shared" si="172"/>
        <v>(6,'PS-06-GR4','Poste de Sectionnement n°06 GR4','Wednesday-01-jj','Wednesday-01-jj',NULL,1,),</v>
      </c>
    </row>
    <row r="729" spans="1:18" ht="20.100000000000001" hidden="1" customHeight="1" x14ac:dyDescent="0.25">
      <c r="A729" s="38">
        <v>7</v>
      </c>
      <c r="B729" s="38" t="s">
        <v>664</v>
      </c>
      <c r="C729" s="38">
        <v>21</v>
      </c>
      <c r="D729" s="39" t="str">
        <f t="shared" si="170"/>
        <v>PS-07-GR4</v>
      </c>
      <c r="E729" s="48" t="str">
        <f t="shared" si="171"/>
        <v>Poste de Sectionnement n°07 GR4</v>
      </c>
      <c r="F729" s="19">
        <v>41640</v>
      </c>
      <c r="G729" s="19">
        <v>41640</v>
      </c>
      <c r="H729" s="41" t="s">
        <v>20</v>
      </c>
      <c r="I729" s="41">
        <v>1</v>
      </c>
      <c r="J729" s="41" t="s">
        <v>3557</v>
      </c>
      <c r="K729" s="41">
        <v>16</v>
      </c>
      <c r="L729" s="41"/>
      <c r="M729" s="41" t="s">
        <v>423</v>
      </c>
      <c r="N729" s="41" t="s">
        <v>2593</v>
      </c>
      <c r="O729" s="43">
        <v>0</v>
      </c>
      <c r="P729" s="43">
        <f t="shared" si="169"/>
        <v>174.5</v>
      </c>
      <c r="Q729" s="41" t="s">
        <v>998</v>
      </c>
      <c r="R729" s="48" t="str">
        <f t="shared" si="172"/>
        <v>(7,'PS-07-GR4','Poste de Sectionnement n°07 GR4','Wednesday-01-jj','Wednesday-01-jj',NULL,1,),</v>
      </c>
    </row>
    <row r="730" spans="1:18" ht="20.100000000000001" hidden="1" customHeight="1" x14ac:dyDescent="0.25">
      <c r="A730" s="38">
        <v>8</v>
      </c>
      <c r="B730" s="38" t="s">
        <v>664</v>
      </c>
      <c r="C730" s="38">
        <v>21</v>
      </c>
      <c r="D730" s="39" t="str">
        <f t="shared" si="170"/>
        <v>PS-08-GR4</v>
      </c>
      <c r="E730" s="48" t="str">
        <f t="shared" si="171"/>
        <v>Poste de Sectionnement n°08 GR4</v>
      </c>
      <c r="F730" s="19">
        <v>41640</v>
      </c>
      <c r="G730" s="19">
        <v>41640</v>
      </c>
      <c r="H730" s="41" t="s">
        <v>20</v>
      </c>
      <c r="I730" s="41">
        <v>1</v>
      </c>
      <c r="J730" s="41" t="s">
        <v>3557</v>
      </c>
      <c r="K730" s="41">
        <v>16</v>
      </c>
      <c r="L730" s="41"/>
      <c r="M730" s="41" t="s">
        <v>423</v>
      </c>
      <c r="N730" s="41" t="s">
        <v>2594</v>
      </c>
      <c r="O730" s="43">
        <v>0</v>
      </c>
      <c r="P730" s="43">
        <f t="shared" si="169"/>
        <v>195.16399999999999</v>
      </c>
      <c r="Q730" s="41" t="s">
        <v>998</v>
      </c>
      <c r="R730" s="48" t="str">
        <f t="shared" si="172"/>
        <v>(8,'PS-08-GR4','Poste de Sectionnement n°08 GR4','Wednesday-01-jj','Wednesday-01-jj',NULL,1,),</v>
      </c>
    </row>
    <row r="731" spans="1:18" ht="20.100000000000001" hidden="1" customHeight="1" x14ac:dyDescent="0.25">
      <c r="A731" s="38">
        <v>9</v>
      </c>
      <c r="B731" s="38" t="s">
        <v>664</v>
      </c>
      <c r="C731" s="38">
        <v>21</v>
      </c>
      <c r="D731" s="39" t="str">
        <f t="shared" si="170"/>
        <v>PS-09-GR4</v>
      </c>
      <c r="E731" s="48" t="str">
        <f t="shared" si="171"/>
        <v>Poste de Sectionnement n°09 GR4</v>
      </c>
      <c r="F731" s="19">
        <v>41640</v>
      </c>
      <c r="G731" s="19">
        <v>41640</v>
      </c>
      <c r="H731" s="41" t="s">
        <v>20</v>
      </c>
      <c r="I731" s="41">
        <v>1</v>
      </c>
      <c r="J731" s="41" t="s">
        <v>3557</v>
      </c>
      <c r="K731" s="41">
        <v>16</v>
      </c>
      <c r="L731" s="41"/>
      <c r="M731" s="41" t="s">
        <v>423</v>
      </c>
      <c r="N731" s="41" t="s">
        <v>2595</v>
      </c>
      <c r="O731" s="43">
        <v>0</v>
      </c>
      <c r="P731" s="43">
        <f t="shared" si="169"/>
        <v>208.3</v>
      </c>
      <c r="Q731" s="41" t="s">
        <v>998</v>
      </c>
      <c r="R731" s="48" t="str">
        <f t="shared" si="172"/>
        <v>(9,'PS-09-GR4','Poste de Sectionnement n°09 GR4','Wednesday-01-jj','Wednesday-01-jj',NULL,1,),</v>
      </c>
    </row>
    <row r="732" spans="1:18" ht="20.100000000000001" hidden="1" customHeight="1" x14ac:dyDescent="0.25">
      <c r="A732" s="38">
        <v>10</v>
      </c>
      <c r="B732" s="38" t="s">
        <v>664</v>
      </c>
      <c r="C732" s="38">
        <v>21</v>
      </c>
      <c r="D732" s="39" t="str">
        <f t="shared" si="170"/>
        <v>PS-10-GR4</v>
      </c>
      <c r="E732" s="48" t="str">
        <f t="shared" si="171"/>
        <v>Poste de Sectionnement n°10 GR4</v>
      </c>
      <c r="F732" s="19">
        <v>41640</v>
      </c>
      <c r="G732" s="19">
        <v>41640</v>
      </c>
      <c r="H732" s="41" t="s">
        <v>20</v>
      </c>
      <c r="I732" s="41">
        <v>1</v>
      </c>
      <c r="J732" s="41" t="s">
        <v>3557</v>
      </c>
      <c r="K732" s="41">
        <v>16</v>
      </c>
      <c r="L732" s="41"/>
      <c r="M732" s="41" t="s">
        <v>423</v>
      </c>
      <c r="N732" s="41" t="s">
        <v>2596</v>
      </c>
      <c r="O732" s="43">
        <v>0</v>
      </c>
      <c r="P732" s="43">
        <f t="shared" si="169"/>
        <v>242.238</v>
      </c>
      <c r="Q732" s="41" t="s">
        <v>2544</v>
      </c>
      <c r="R732" s="48" t="str">
        <f t="shared" si="172"/>
        <v>(10,'PS-10-GR4','Poste de Sectionnement n°10 GR4','Wednesday-01-jj','Wednesday-01-jj',NULL,1,),</v>
      </c>
    </row>
    <row r="733" spans="1:18" ht="20.100000000000001" hidden="1" customHeight="1" x14ac:dyDescent="0.25">
      <c r="A733" s="38">
        <v>11</v>
      </c>
      <c r="B733" s="38" t="s">
        <v>664</v>
      </c>
      <c r="C733" s="38">
        <v>21</v>
      </c>
      <c r="D733" s="39" t="str">
        <f t="shared" si="170"/>
        <v>PS-11-GR4</v>
      </c>
      <c r="E733" s="48" t="str">
        <f t="shared" si="171"/>
        <v>Poste de Sectionnement n°11 GR4</v>
      </c>
      <c r="F733" s="19">
        <v>41640</v>
      </c>
      <c r="G733" s="19">
        <v>41640</v>
      </c>
      <c r="H733" s="41" t="s">
        <v>20</v>
      </c>
      <c r="I733" s="41">
        <v>1</v>
      </c>
      <c r="J733" s="41" t="s">
        <v>3557</v>
      </c>
      <c r="K733" s="41">
        <v>16</v>
      </c>
      <c r="L733" s="41"/>
      <c r="M733" s="41" t="s">
        <v>423</v>
      </c>
      <c r="N733" s="41" t="s">
        <v>2597</v>
      </c>
      <c r="O733" s="43">
        <v>0</v>
      </c>
      <c r="P733" s="43">
        <f t="shared" si="169"/>
        <v>262.27100000000002</v>
      </c>
      <c r="Q733" s="41" t="s">
        <v>2544</v>
      </c>
      <c r="R733" s="48" t="str">
        <f t="shared" si="172"/>
        <v>(11,'PS-11-GR4','Poste de Sectionnement n°11 GR4','Wednesday-01-jj','Wednesday-01-jj',NULL,1,),</v>
      </c>
    </row>
    <row r="734" spans="1:18" ht="20.100000000000001" hidden="1" customHeight="1" x14ac:dyDescent="0.25">
      <c r="A734" s="38">
        <v>12</v>
      </c>
      <c r="B734" s="38" t="s">
        <v>664</v>
      </c>
      <c r="C734" s="38">
        <v>21</v>
      </c>
      <c r="D734" s="39" t="str">
        <f t="shared" si="170"/>
        <v>PS-12-GR4</v>
      </c>
      <c r="E734" s="48" t="str">
        <f t="shared" si="171"/>
        <v>Poste de Sectionnement n°12 GR4</v>
      </c>
      <c r="F734" s="19">
        <v>41640</v>
      </c>
      <c r="G734" s="19">
        <v>41640</v>
      </c>
      <c r="H734" s="41" t="s">
        <v>20</v>
      </c>
      <c r="I734" s="41">
        <v>1</v>
      </c>
      <c r="J734" s="41" t="s">
        <v>3557</v>
      </c>
      <c r="K734" s="41">
        <v>16</v>
      </c>
      <c r="L734" s="41"/>
      <c r="M734" s="41" t="s">
        <v>423</v>
      </c>
      <c r="N734" s="41" t="s">
        <v>2598</v>
      </c>
      <c r="O734" s="43">
        <v>0</v>
      </c>
      <c r="P734" s="43">
        <f t="shared" si="169"/>
        <v>281.827</v>
      </c>
      <c r="Q734" s="41" t="s">
        <v>2544</v>
      </c>
      <c r="R734" s="48" t="str">
        <f t="shared" si="172"/>
        <v>(12,'PS-12-GR4','Poste de Sectionnement n°12 GR4','Wednesday-01-jj','Wednesday-01-jj',NULL,1,),</v>
      </c>
    </row>
    <row r="735" spans="1:18" ht="20.100000000000001" hidden="1" customHeight="1" x14ac:dyDescent="0.25">
      <c r="A735" s="38">
        <v>13</v>
      </c>
      <c r="B735" s="38" t="s">
        <v>664</v>
      </c>
      <c r="C735" s="38">
        <v>21</v>
      </c>
      <c r="D735" s="39" t="str">
        <f t="shared" si="170"/>
        <v>PS-13-GR4</v>
      </c>
      <c r="E735" s="48" t="str">
        <f t="shared" si="171"/>
        <v>Poste de Sectionnement n°13 GR4</v>
      </c>
      <c r="F735" s="19">
        <v>41640</v>
      </c>
      <c r="G735" s="19">
        <v>41640</v>
      </c>
      <c r="H735" s="41" t="s">
        <v>20</v>
      </c>
      <c r="I735" s="41">
        <v>1</v>
      </c>
      <c r="J735" s="41" t="s">
        <v>3557</v>
      </c>
      <c r="K735" s="41">
        <v>16</v>
      </c>
      <c r="L735" s="41"/>
      <c r="M735" s="41" t="s">
        <v>423</v>
      </c>
      <c r="N735" s="41" t="s">
        <v>2599</v>
      </c>
      <c r="O735" s="43">
        <v>0</v>
      </c>
      <c r="P735" s="43">
        <f t="shared" si="169"/>
        <v>300.32499999999999</v>
      </c>
      <c r="Q735" s="41" t="s">
        <v>2545</v>
      </c>
      <c r="R735" s="48" t="str">
        <f t="shared" si="172"/>
        <v>(13,'PS-13-GR4','Poste de Sectionnement n°13 GR4','Wednesday-01-jj','Wednesday-01-jj',NULL,1,),</v>
      </c>
    </row>
    <row r="736" spans="1:18" ht="20.100000000000001" hidden="1" customHeight="1" x14ac:dyDescent="0.25">
      <c r="A736" s="38">
        <v>14</v>
      </c>
      <c r="B736" s="38" t="s">
        <v>664</v>
      </c>
      <c r="C736" s="38">
        <v>21</v>
      </c>
      <c r="D736" s="39" t="str">
        <f t="shared" si="170"/>
        <v>PS-14-GR4</v>
      </c>
      <c r="E736" s="48" t="str">
        <f t="shared" si="171"/>
        <v>Poste de Sectionnement n°14 GR4</v>
      </c>
      <c r="F736" s="19">
        <v>41640</v>
      </c>
      <c r="G736" s="19">
        <v>41640</v>
      </c>
      <c r="H736" s="41" t="s">
        <v>20</v>
      </c>
      <c r="I736" s="41">
        <v>1</v>
      </c>
      <c r="J736" s="41" t="s">
        <v>3557</v>
      </c>
      <c r="K736" s="41">
        <v>16</v>
      </c>
      <c r="L736" s="41"/>
      <c r="M736" s="41" t="s">
        <v>423</v>
      </c>
      <c r="N736" s="41" t="s">
        <v>2600</v>
      </c>
      <c r="O736" s="43">
        <v>0</v>
      </c>
      <c r="P736" s="43">
        <f t="shared" si="169"/>
        <v>316.56599999999997</v>
      </c>
      <c r="Q736" s="41" t="s">
        <v>744</v>
      </c>
      <c r="R736" s="48" t="str">
        <f t="shared" si="172"/>
        <v>(14,'PS-14-GR4','Poste de Sectionnement n°14 GR4','Wednesday-01-jj','Wednesday-01-jj',NULL,1,),</v>
      </c>
    </row>
    <row r="737" spans="1:18" ht="20.100000000000001" hidden="1" customHeight="1" x14ac:dyDescent="0.25">
      <c r="A737" s="38">
        <v>15</v>
      </c>
      <c r="B737" s="38" t="s">
        <v>664</v>
      </c>
      <c r="C737" s="38">
        <v>21</v>
      </c>
      <c r="D737" s="39" t="str">
        <f t="shared" si="170"/>
        <v>PS-15-GR4</v>
      </c>
      <c r="E737" s="48" t="str">
        <f t="shared" si="171"/>
        <v>Poste de Sectionnement n°15 GR4</v>
      </c>
      <c r="F737" s="19">
        <v>41640</v>
      </c>
      <c r="G737" s="19">
        <v>41640</v>
      </c>
      <c r="H737" s="41" t="s">
        <v>20</v>
      </c>
      <c r="I737" s="41">
        <v>1</v>
      </c>
      <c r="J737" s="41" t="s">
        <v>3557</v>
      </c>
      <c r="K737" s="41">
        <v>16</v>
      </c>
      <c r="L737" s="41"/>
      <c r="M737" s="41" t="s">
        <v>423</v>
      </c>
      <c r="N737" s="41" t="s">
        <v>2601</v>
      </c>
      <c r="O737" s="43">
        <v>0</v>
      </c>
      <c r="P737" s="43">
        <f t="shared" si="169"/>
        <v>356.19900000000001</v>
      </c>
      <c r="Q737" s="41" t="s">
        <v>744</v>
      </c>
      <c r="R737" s="48" t="str">
        <f t="shared" si="172"/>
        <v>(15,'PS-15-GR4','Poste de Sectionnement n°15 GR4','Wednesday-01-jj','Wednesday-01-jj',NULL,1,),</v>
      </c>
    </row>
    <row r="738" spans="1:18" ht="20.100000000000001" hidden="1" customHeight="1" x14ac:dyDescent="0.25">
      <c r="A738" s="38">
        <v>16</v>
      </c>
      <c r="B738" s="38" t="s">
        <v>664</v>
      </c>
      <c r="C738" s="38">
        <v>21</v>
      </c>
      <c r="D738" s="39" t="str">
        <f t="shared" si="170"/>
        <v>PS-16-GR4</v>
      </c>
      <c r="E738" s="48" t="str">
        <f t="shared" si="171"/>
        <v>Poste de Sectionnement n°16 GR4</v>
      </c>
      <c r="F738" s="19">
        <v>41640</v>
      </c>
      <c r="G738" s="19">
        <v>41640</v>
      </c>
      <c r="H738" s="41" t="s">
        <v>20</v>
      </c>
      <c r="I738" s="41">
        <v>1</v>
      </c>
      <c r="J738" s="41" t="s">
        <v>3557</v>
      </c>
      <c r="K738" s="41">
        <v>16</v>
      </c>
      <c r="L738" s="41"/>
      <c r="M738" s="41" t="s">
        <v>423</v>
      </c>
      <c r="N738" s="41" t="s">
        <v>2602</v>
      </c>
      <c r="O738" s="43">
        <v>0</v>
      </c>
      <c r="P738" s="43">
        <f t="shared" si="169"/>
        <v>376.91</v>
      </c>
      <c r="Q738" s="41" t="s">
        <v>745</v>
      </c>
      <c r="R738" s="48" t="str">
        <f t="shared" si="172"/>
        <v>(16,'PS-16-GR4','Poste de Sectionnement n°16 GR4','Wednesday-01-jj','Wednesday-01-jj',NULL,1,),</v>
      </c>
    </row>
    <row r="739" spans="1:18" ht="20.100000000000001" hidden="1" customHeight="1" x14ac:dyDescent="0.25">
      <c r="A739" s="38">
        <v>17</v>
      </c>
      <c r="B739" s="38" t="s">
        <v>664</v>
      </c>
      <c r="C739" s="38">
        <v>21</v>
      </c>
      <c r="D739" s="39" t="str">
        <f t="shared" si="170"/>
        <v>PS-17-GR4</v>
      </c>
      <c r="E739" s="48" t="str">
        <f t="shared" si="171"/>
        <v>Poste de Sectionnement n°17 GR4</v>
      </c>
      <c r="F739" s="19">
        <v>41640</v>
      </c>
      <c r="G739" s="19">
        <v>41640</v>
      </c>
      <c r="H739" s="41" t="s">
        <v>20</v>
      </c>
      <c r="I739" s="41">
        <v>1</v>
      </c>
      <c r="J739" s="41" t="s">
        <v>3557</v>
      </c>
      <c r="K739" s="41">
        <v>16</v>
      </c>
      <c r="L739" s="41"/>
      <c r="M739" s="41" t="s">
        <v>423</v>
      </c>
      <c r="N739" s="41" t="s">
        <v>2603</v>
      </c>
      <c r="O739" s="43">
        <v>0</v>
      </c>
      <c r="P739" s="43">
        <f t="shared" si="169"/>
        <v>396.65100000000001</v>
      </c>
      <c r="Q739" s="41" t="s">
        <v>745</v>
      </c>
      <c r="R739" s="48" t="str">
        <f t="shared" si="172"/>
        <v>(17,'PS-17-GR4','Poste de Sectionnement n°17 GR4','Wednesday-01-jj','Wednesday-01-jj',NULL,1,),</v>
      </c>
    </row>
    <row r="740" spans="1:18" ht="20.100000000000001" hidden="1" customHeight="1" x14ac:dyDescent="0.25">
      <c r="A740" s="38">
        <v>18</v>
      </c>
      <c r="B740" s="38" t="s">
        <v>664</v>
      </c>
      <c r="C740" s="38">
        <v>21</v>
      </c>
      <c r="D740" s="39" t="str">
        <f t="shared" si="170"/>
        <v>PS-18-GR4</v>
      </c>
      <c r="E740" s="48" t="str">
        <f t="shared" si="171"/>
        <v>Poste de Sectionnement n°18 GR4</v>
      </c>
      <c r="F740" s="19">
        <v>41640</v>
      </c>
      <c r="G740" s="19">
        <v>41640</v>
      </c>
      <c r="H740" s="41" t="s">
        <v>20</v>
      </c>
      <c r="I740" s="41">
        <v>1</v>
      </c>
      <c r="J740" s="41" t="s">
        <v>3557</v>
      </c>
      <c r="K740" s="41">
        <v>16</v>
      </c>
      <c r="L740" s="41"/>
      <c r="M740" s="41" t="s">
        <v>423</v>
      </c>
      <c r="N740" s="41" t="s">
        <v>2604</v>
      </c>
      <c r="O740" s="43">
        <v>0</v>
      </c>
      <c r="P740" s="43">
        <f t="shared" si="169"/>
        <v>417.52600000000001</v>
      </c>
      <c r="Q740" s="41" t="s">
        <v>745</v>
      </c>
      <c r="R740" s="48" t="str">
        <f t="shared" si="172"/>
        <v>(18,'PS-18-GR4','Poste de Sectionnement n°18 GR4','Wednesday-01-jj','Wednesday-01-jj',NULL,1,),</v>
      </c>
    </row>
    <row r="741" spans="1:18" ht="20.100000000000001" hidden="1" customHeight="1" x14ac:dyDescent="0.25">
      <c r="A741" s="38">
        <v>19</v>
      </c>
      <c r="B741" s="38" t="s">
        <v>664</v>
      </c>
      <c r="C741" s="38">
        <v>21</v>
      </c>
      <c r="D741" s="39" t="str">
        <f t="shared" si="170"/>
        <v>PS-19-GR4</v>
      </c>
      <c r="E741" s="48" t="str">
        <f t="shared" si="171"/>
        <v>Poste de Sectionnement n°19 GR4</v>
      </c>
      <c r="F741" s="19">
        <v>41640</v>
      </c>
      <c r="G741" s="19">
        <v>41640</v>
      </c>
      <c r="H741" s="41" t="s">
        <v>20</v>
      </c>
      <c r="I741" s="41">
        <v>1</v>
      </c>
      <c r="J741" s="41" t="s">
        <v>3557</v>
      </c>
      <c r="K741" s="41">
        <v>16</v>
      </c>
      <c r="L741" s="41"/>
      <c r="M741" s="41" t="s">
        <v>423</v>
      </c>
      <c r="N741" s="41" t="s">
        <v>2605</v>
      </c>
      <c r="O741" s="43">
        <v>0</v>
      </c>
      <c r="P741" s="43">
        <f t="shared" si="169"/>
        <v>458.00700000000001</v>
      </c>
      <c r="Q741" s="41" t="s">
        <v>1828</v>
      </c>
      <c r="R741" s="48" t="str">
        <f t="shared" si="172"/>
        <v>(19,'PS-19-GR4','Poste de Sectionnement n°19 GR4','Wednesday-01-jj','Wednesday-01-jj',NULL,1,),</v>
      </c>
    </row>
    <row r="742" spans="1:18" ht="20.100000000000001" hidden="1" customHeight="1" x14ac:dyDescent="0.25">
      <c r="A742" s="38">
        <v>20</v>
      </c>
      <c r="B742" s="38" t="s">
        <v>664</v>
      </c>
      <c r="C742" s="38">
        <v>21</v>
      </c>
      <c r="D742" s="39" t="str">
        <f t="shared" si="170"/>
        <v>PS-20-GR4</v>
      </c>
      <c r="E742" s="48" t="str">
        <f t="shared" si="171"/>
        <v>Poste de Sectionnement n°20 GR4</v>
      </c>
      <c r="F742" s="19">
        <v>41640</v>
      </c>
      <c r="G742" s="19">
        <v>41640</v>
      </c>
      <c r="H742" s="41" t="s">
        <v>20</v>
      </c>
      <c r="I742" s="41">
        <v>1</v>
      </c>
      <c r="J742" s="41" t="s">
        <v>3557</v>
      </c>
      <c r="K742" s="41">
        <v>16</v>
      </c>
      <c r="L742" s="41"/>
      <c r="M742" s="41" t="s">
        <v>423</v>
      </c>
      <c r="N742" s="41" t="s">
        <v>2606</v>
      </c>
      <c r="O742" s="43">
        <v>0</v>
      </c>
      <c r="P742" s="43">
        <f t="shared" si="169"/>
        <v>477.74299999999999</v>
      </c>
      <c r="Q742" s="41" t="s">
        <v>1828</v>
      </c>
      <c r="R742" s="48" t="str">
        <f t="shared" si="172"/>
        <v>(20,'PS-20-GR4','Poste de Sectionnement n°20 GR4','Wednesday-01-jj','Wednesday-01-jj',NULL,1,),</v>
      </c>
    </row>
    <row r="743" spans="1:18" ht="20.100000000000001" hidden="1" customHeight="1" x14ac:dyDescent="0.25">
      <c r="A743" s="38">
        <v>21</v>
      </c>
      <c r="B743" s="38" t="s">
        <v>664</v>
      </c>
      <c r="C743" s="38">
        <v>21</v>
      </c>
      <c r="D743" s="39" t="str">
        <f t="shared" si="170"/>
        <v>PS-21-GR4</v>
      </c>
      <c r="E743" s="48" t="str">
        <f t="shared" si="171"/>
        <v>Poste de Sectionnement n°21 GR4</v>
      </c>
      <c r="F743" s="19">
        <v>41640</v>
      </c>
      <c r="G743" s="19">
        <v>41640</v>
      </c>
      <c r="H743" s="41" t="s">
        <v>20</v>
      </c>
      <c r="I743" s="41">
        <v>1</v>
      </c>
      <c r="J743" s="41" t="s">
        <v>3557</v>
      </c>
      <c r="K743" s="41">
        <v>16</v>
      </c>
      <c r="L743" s="41"/>
      <c r="M743" s="41" t="s">
        <v>423</v>
      </c>
      <c r="N743" s="41" t="s">
        <v>2607</v>
      </c>
      <c r="O743" s="43">
        <v>0</v>
      </c>
      <c r="P743" s="43">
        <f t="shared" si="169"/>
        <v>494.21199999999999</v>
      </c>
      <c r="Q743" s="41" t="s">
        <v>2546</v>
      </c>
      <c r="R743" s="48" t="str">
        <f t="shared" si="172"/>
        <v>(21,'PS-21-GR4','Poste de Sectionnement n°21 GR4','Wednesday-01-jj','Wednesday-01-jj',NULL,1,),</v>
      </c>
    </row>
    <row r="744" spans="1:18" ht="20.100000000000001" hidden="1" customHeight="1" x14ac:dyDescent="0.25">
      <c r="A744" s="38">
        <v>22</v>
      </c>
      <c r="B744" s="38" t="s">
        <v>664</v>
      </c>
      <c r="C744" s="38">
        <v>21</v>
      </c>
      <c r="D744" s="39" t="str">
        <f t="shared" si="170"/>
        <v>PS-22-GR4</v>
      </c>
      <c r="E744" s="48" t="str">
        <f t="shared" si="171"/>
        <v>Poste de Sectionnement n°22 GR4</v>
      </c>
      <c r="F744" s="19">
        <v>41640</v>
      </c>
      <c r="G744" s="19">
        <v>41640</v>
      </c>
      <c r="H744" s="41" t="s">
        <v>20</v>
      </c>
      <c r="I744" s="41">
        <v>1</v>
      </c>
      <c r="J744" s="41" t="s">
        <v>3557</v>
      </c>
      <c r="K744" s="41">
        <v>16</v>
      </c>
      <c r="L744" s="41"/>
      <c r="M744" s="41" t="s">
        <v>423</v>
      </c>
      <c r="N744" s="41" t="s">
        <v>2608</v>
      </c>
      <c r="O744" s="43">
        <v>0</v>
      </c>
      <c r="P744" s="43">
        <f t="shared" si="169"/>
        <v>510.04399999999998</v>
      </c>
      <c r="Q744" s="41" t="s">
        <v>2546</v>
      </c>
      <c r="R744" s="48" t="str">
        <f t="shared" si="172"/>
        <v>(22,'PS-22-GR4','Poste de Sectionnement n°22 GR4','Wednesday-01-jj','Wednesday-01-jj',NULL,1,),</v>
      </c>
    </row>
    <row r="745" spans="1:18" ht="20.100000000000001" hidden="1" customHeight="1" x14ac:dyDescent="0.25">
      <c r="A745" s="38">
        <v>1</v>
      </c>
      <c r="B745" s="38" t="s">
        <v>664</v>
      </c>
      <c r="C745" s="38">
        <v>21</v>
      </c>
      <c r="D745" s="39" t="str">
        <f t="shared" ref="D745:D768" si="173">CONCATENATE("PS-",TEXT(A745,"00"),"-",M745)</f>
        <v>PS-01-GR6</v>
      </c>
      <c r="E745" s="48" t="str">
        <f t="shared" ref="E745:E768" si="174">CONCATENATE("Poste de Sectionnement n°",TEXT(A745,"00")," ",M745)</f>
        <v>Poste de Sectionnement n°01 GR6</v>
      </c>
      <c r="F745" s="19">
        <v>42736</v>
      </c>
      <c r="G745" s="19">
        <v>42736</v>
      </c>
      <c r="H745" s="41" t="s">
        <v>20</v>
      </c>
      <c r="I745" s="41">
        <v>1</v>
      </c>
      <c r="J745" s="41" t="s">
        <v>3557</v>
      </c>
      <c r="K745" s="41">
        <v>16</v>
      </c>
      <c r="L745" s="41"/>
      <c r="M745" s="41" t="s">
        <v>428</v>
      </c>
      <c r="N745" s="41" t="s">
        <v>2609</v>
      </c>
      <c r="O745" s="43">
        <v>0</v>
      </c>
      <c r="P745" s="43">
        <f t="shared" si="169"/>
        <v>16.8</v>
      </c>
      <c r="Q745" s="41" t="s">
        <v>1804</v>
      </c>
      <c r="R745" s="48" t="str">
        <f t="shared" si="172"/>
        <v>(1,'PS-01-GR6','Poste de Sectionnement n°01 GR6','Sunday-01-jj','Sunday-01-jj',NULL,1,),</v>
      </c>
    </row>
    <row r="746" spans="1:18" ht="20.100000000000001" hidden="1" customHeight="1" x14ac:dyDescent="0.25">
      <c r="A746" s="38">
        <v>2</v>
      </c>
      <c r="B746" s="38" t="s">
        <v>664</v>
      </c>
      <c r="C746" s="38">
        <v>21</v>
      </c>
      <c r="D746" s="39" t="str">
        <f t="shared" si="173"/>
        <v>PS-02-GR6</v>
      </c>
      <c r="E746" s="48" t="str">
        <f t="shared" si="174"/>
        <v>Poste de Sectionnement n°02 GR6</v>
      </c>
      <c r="F746" s="19">
        <v>42736</v>
      </c>
      <c r="G746" s="19">
        <v>42736</v>
      </c>
      <c r="H746" s="41" t="s">
        <v>20</v>
      </c>
      <c r="I746" s="41">
        <v>1</v>
      </c>
      <c r="J746" s="41" t="s">
        <v>3557</v>
      </c>
      <c r="K746" s="41">
        <v>16</v>
      </c>
      <c r="L746" s="41"/>
      <c r="M746" s="41" t="s">
        <v>428</v>
      </c>
      <c r="N746" s="41" t="s">
        <v>2610</v>
      </c>
      <c r="O746" s="43">
        <v>0</v>
      </c>
      <c r="P746" s="43">
        <f t="shared" si="169"/>
        <v>34.801000000000002</v>
      </c>
      <c r="Q746" s="41" t="s">
        <v>998</v>
      </c>
      <c r="R746" s="48" t="str">
        <f t="shared" si="172"/>
        <v>(2,'PS-02-GR6','Poste de Sectionnement n°02 GR6','Sunday-01-jj','Sunday-01-jj',NULL,1,),</v>
      </c>
    </row>
    <row r="747" spans="1:18" ht="20.100000000000001" hidden="1" customHeight="1" x14ac:dyDescent="0.25">
      <c r="A747" s="38">
        <v>3</v>
      </c>
      <c r="B747" s="38" t="s">
        <v>664</v>
      </c>
      <c r="C747" s="38">
        <v>21</v>
      </c>
      <c r="D747" s="39" t="str">
        <f t="shared" si="173"/>
        <v>PS-03-GR6</v>
      </c>
      <c r="E747" s="48" t="str">
        <f t="shared" si="174"/>
        <v>Poste de Sectionnement n°03 GR6</v>
      </c>
      <c r="F747" s="19">
        <v>42736</v>
      </c>
      <c r="G747" s="19">
        <v>42736</v>
      </c>
      <c r="H747" s="41" t="s">
        <v>20</v>
      </c>
      <c r="I747" s="41">
        <v>1</v>
      </c>
      <c r="J747" s="41" t="s">
        <v>3557</v>
      </c>
      <c r="K747" s="41">
        <v>16</v>
      </c>
      <c r="L747" s="41"/>
      <c r="M747" s="41" t="s">
        <v>428</v>
      </c>
      <c r="N747" s="41" t="s">
        <v>2611</v>
      </c>
      <c r="O747" s="43">
        <v>0</v>
      </c>
      <c r="P747" s="43">
        <f t="shared" ref="P747:P806" si="175">VALUE(SUBSTITUTE(N747,"+",","))</f>
        <v>52.466000000000001</v>
      </c>
      <c r="Q747" s="41" t="s">
        <v>998</v>
      </c>
      <c r="R747" s="48" t="str">
        <f t="shared" si="172"/>
        <v>(3,'PS-03-GR6','Poste de Sectionnement n°03 GR6','Sunday-01-jj','Sunday-01-jj',NULL,1,),</v>
      </c>
    </row>
    <row r="748" spans="1:18" ht="20.100000000000001" hidden="1" customHeight="1" x14ac:dyDescent="0.25">
      <c r="A748" s="38">
        <v>4</v>
      </c>
      <c r="B748" s="38" t="s">
        <v>664</v>
      </c>
      <c r="C748" s="38">
        <v>21</v>
      </c>
      <c r="D748" s="39" t="str">
        <f t="shared" si="173"/>
        <v>PS-04-GR6</v>
      </c>
      <c r="E748" s="48" t="str">
        <f t="shared" si="174"/>
        <v>Poste de Sectionnement n°04 GR6</v>
      </c>
      <c r="F748" s="19">
        <v>42736</v>
      </c>
      <c r="G748" s="19">
        <v>42736</v>
      </c>
      <c r="H748" s="41" t="s">
        <v>20</v>
      </c>
      <c r="I748" s="41">
        <v>1</v>
      </c>
      <c r="J748" s="41" t="s">
        <v>3557</v>
      </c>
      <c r="K748" s="41">
        <v>16</v>
      </c>
      <c r="L748" s="41"/>
      <c r="M748" s="41" t="s">
        <v>428</v>
      </c>
      <c r="N748" s="41" t="s">
        <v>2612</v>
      </c>
      <c r="O748" s="43">
        <v>0</v>
      </c>
      <c r="P748" s="43">
        <f t="shared" si="175"/>
        <v>92.289000000000001</v>
      </c>
      <c r="Q748" s="41" t="s">
        <v>998</v>
      </c>
      <c r="R748" s="48" t="str">
        <f t="shared" si="172"/>
        <v>(4,'PS-04-GR6','Poste de Sectionnement n°04 GR6','Sunday-01-jj','Sunday-01-jj',NULL,1,),</v>
      </c>
    </row>
    <row r="749" spans="1:18" ht="20.100000000000001" hidden="1" customHeight="1" x14ac:dyDescent="0.25">
      <c r="A749" s="38">
        <v>5</v>
      </c>
      <c r="B749" s="38" t="s">
        <v>664</v>
      </c>
      <c r="C749" s="38">
        <v>21</v>
      </c>
      <c r="D749" s="39" t="str">
        <f t="shared" si="173"/>
        <v>PS-05-GR6</v>
      </c>
      <c r="E749" s="48" t="str">
        <f t="shared" si="174"/>
        <v>Poste de Sectionnement n°05 GR6</v>
      </c>
      <c r="F749" s="19">
        <v>42736</v>
      </c>
      <c r="G749" s="19">
        <v>42736</v>
      </c>
      <c r="H749" s="41" t="s">
        <v>20</v>
      </c>
      <c r="I749" s="41">
        <v>1</v>
      </c>
      <c r="J749" s="41" t="s">
        <v>3557</v>
      </c>
      <c r="K749" s="41">
        <v>16</v>
      </c>
      <c r="L749" s="41"/>
      <c r="M749" s="41" t="s">
        <v>428</v>
      </c>
      <c r="N749" s="41" t="s">
        <v>2613</v>
      </c>
      <c r="O749" s="43">
        <v>0</v>
      </c>
      <c r="P749" s="43">
        <f t="shared" si="175"/>
        <v>112.923</v>
      </c>
      <c r="Q749" s="41" t="s">
        <v>998</v>
      </c>
      <c r="R749" s="48" t="str">
        <f t="shared" si="172"/>
        <v>(5,'PS-05-GR6','Poste de Sectionnement n°05 GR6','Sunday-01-jj','Sunday-01-jj',NULL,1,),</v>
      </c>
    </row>
    <row r="750" spans="1:18" ht="20.100000000000001" hidden="1" customHeight="1" x14ac:dyDescent="0.25">
      <c r="A750" s="38">
        <v>6</v>
      </c>
      <c r="B750" s="38" t="s">
        <v>664</v>
      </c>
      <c r="C750" s="38">
        <v>21</v>
      </c>
      <c r="D750" s="39" t="str">
        <f t="shared" si="173"/>
        <v>PS-06-GR6</v>
      </c>
      <c r="E750" s="48" t="str">
        <f t="shared" si="174"/>
        <v>Poste de Sectionnement n°06 GR6</v>
      </c>
      <c r="F750" s="19">
        <v>42736</v>
      </c>
      <c r="G750" s="19">
        <v>42736</v>
      </c>
      <c r="H750" s="41" t="s">
        <v>20</v>
      </c>
      <c r="I750" s="41">
        <v>1</v>
      </c>
      <c r="J750" s="41" t="s">
        <v>3557</v>
      </c>
      <c r="K750" s="41">
        <v>16</v>
      </c>
      <c r="L750" s="41"/>
      <c r="M750" s="41" t="s">
        <v>428</v>
      </c>
      <c r="N750" s="41" t="s">
        <v>2614</v>
      </c>
      <c r="O750" s="43">
        <v>0</v>
      </c>
      <c r="P750" s="43">
        <f t="shared" si="175"/>
        <v>133.62899999999999</v>
      </c>
      <c r="Q750" s="41" t="s">
        <v>998</v>
      </c>
      <c r="R750" s="48" t="str">
        <f t="shared" si="172"/>
        <v>(6,'PS-06-GR6','Poste de Sectionnement n°06 GR6','Sunday-01-jj','Sunday-01-jj',NULL,1,),</v>
      </c>
    </row>
    <row r="751" spans="1:18" ht="20.100000000000001" hidden="1" customHeight="1" x14ac:dyDescent="0.25">
      <c r="A751" s="38">
        <v>7</v>
      </c>
      <c r="B751" s="38" t="s">
        <v>664</v>
      </c>
      <c r="C751" s="38">
        <v>21</v>
      </c>
      <c r="D751" s="39" t="str">
        <f t="shared" si="173"/>
        <v>PS-07-GR6</v>
      </c>
      <c r="E751" s="48" t="str">
        <f t="shared" si="174"/>
        <v>Poste de Sectionnement n°07 GR6</v>
      </c>
      <c r="F751" s="19">
        <v>42736</v>
      </c>
      <c r="G751" s="19">
        <v>42736</v>
      </c>
      <c r="H751" s="41" t="s">
        <v>20</v>
      </c>
      <c r="I751" s="41">
        <v>1</v>
      </c>
      <c r="J751" s="41" t="s">
        <v>3557</v>
      </c>
      <c r="K751" s="41">
        <v>16</v>
      </c>
      <c r="L751" s="41"/>
      <c r="M751" s="41" t="s">
        <v>428</v>
      </c>
      <c r="N751" s="41" t="s">
        <v>2615</v>
      </c>
      <c r="O751" s="43">
        <v>0</v>
      </c>
      <c r="P751" s="43">
        <f t="shared" si="175"/>
        <v>173.071</v>
      </c>
      <c r="Q751" s="41" t="s">
        <v>998</v>
      </c>
      <c r="R751" s="48" t="str">
        <f t="shared" si="172"/>
        <v>(7,'PS-07-GR6','Poste de Sectionnement n°07 GR6','Sunday-01-jj','Sunday-01-jj',NULL,1,),</v>
      </c>
    </row>
    <row r="752" spans="1:18" ht="20.100000000000001" hidden="1" customHeight="1" x14ac:dyDescent="0.25">
      <c r="A752" s="38">
        <v>8</v>
      </c>
      <c r="B752" s="38" t="s">
        <v>664</v>
      </c>
      <c r="C752" s="38">
        <v>21</v>
      </c>
      <c r="D752" s="39" t="str">
        <f t="shared" si="173"/>
        <v>PS-08-GR6</v>
      </c>
      <c r="E752" s="48" t="str">
        <f t="shared" si="174"/>
        <v>Poste de Sectionnement n°08 GR6</v>
      </c>
      <c r="F752" s="19">
        <v>42736</v>
      </c>
      <c r="G752" s="19">
        <v>42736</v>
      </c>
      <c r="H752" s="41" t="s">
        <v>20</v>
      </c>
      <c r="I752" s="41">
        <v>1</v>
      </c>
      <c r="J752" s="41" t="s">
        <v>3557</v>
      </c>
      <c r="K752" s="41">
        <v>16</v>
      </c>
      <c r="L752" s="41"/>
      <c r="M752" s="41" t="s">
        <v>428</v>
      </c>
      <c r="N752" s="41" t="s">
        <v>2616</v>
      </c>
      <c r="O752" s="43">
        <v>0</v>
      </c>
      <c r="P752" s="43">
        <f t="shared" si="175"/>
        <v>191.87</v>
      </c>
      <c r="Q752" s="41" t="s">
        <v>998</v>
      </c>
      <c r="R752" s="48" t="str">
        <f t="shared" si="172"/>
        <v>(8,'PS-08-GR6','Poste de Sectionnement n°08 GR6','Sunday-01-jj','Sunday-01-jj',NULL,1,),</v>
      </c>
    </row>
    <row r="753" spans="1:18" ht="20.100000000000001" hidden="1" customHeight="1" x14ac:dyDescent="0.25">
      <c r="A753" s="38">
        <v>9</v>
      </c>
      <c r="B753" s="38" t="s">
        <v>664</v>
      </c>
      <c r="C753" s="38">
        <v>21</v>
      </c>
      <c r="D753" s="39" t="str">
        <f t="shared" si="173"/>
        <v>PS-09-GR6</v>
      </c>
      <c r="E753" s="48" t="str">
        <f t="shared" si="174"/>
        <v>Poste de Sectionnement n°09 GR6</v>
      </c>
      <c r="F753" s="19">
        <v>42736</v>
      </c>
      <c r="G753" s="19">
        <v>42736</v>
      </c>
      <c r="H753" s="41" t="s">
        <v>20</v>
      </c>
      <c r="I753" s="41">
        <v>1</v>
      </c>
      <c r="J753" s="41" t="s">
        <v>3557</v>
      </c>
      <c r="K753" s="41">
        <v>16</v>
      </c>
      <c r="L753" s="41"/>
      <c r="M753" s="41" t="s">
        <v>428</v>
      </c>
      <c r="N753" s="41" t="s">
        <v>2617</v>
      </c>
      <c r="O753" s="43">
        <v>0</v>
      </c>
      <c r="P753" s="43">
        <f t="shared" si="175"/>
        <v>206.785</v>
      </c>
      <c r="Q753" s="41" t="s">
        <v>998</v>
      </c>
      <c r="R753" s="48" t="str">
        <f t="shared" si="172"/>
        <v>(9,'PS-09-GR6','Poste de Sectionnement n°09 GR6','Sunday-01-jj','Sunday-01-jj',NULL,1,),</v>
      </c>
    </row>
    <row r="754" spans="1:18" ht="20.100000000000001" hidden="1" customHeight="1" x14ac:dyDescent="0.25">
      <c r="A754" s="38">
        <v>10</v>
      </c>
      <c r="B754" s="38" t="s">
        <v>664</v>
      </c>
      <c r="C754" s="38">
        <v>21</v>
      </c>
      <c r="D754" s="39" t="str">
        <f t="shared" si="173"/>
        <v>PS-10-GR6</v>
      </c>
      <c r="E754" s="48" t="str">
        <f t="shared" si="174"/>
        <v>Poste de Sectionnement n°10 GR6</v>
      </c>
      <c r="F754" s="19">
        <v>42736</v>
      </c>
      <c r="G754" s="19">
        <v>42736</v>
      </c>
      <c r="H754" s="41" t="s">
        <v>20</v>
      </c>
      <c r="I754" s="41">
        <v>1</v>
      </c>
      <c r="J754" s="41" t="s">
        <v>3557</v>
      </c>
      <c r="K754" s="41">
        <v>16</v>
      </c>
      <c r="L754" s="41"/>
      <c r="M754" s="41" t="s">
        <v>428</v>
      </c>
      <c r="N754" s="41" t="s">
        <v>2618</v>
      </c>
      <c r="O754" s="43">
        <v>0</v>
      </c>
      <c r="P754" s="43">
        <f t="shared" si="175"/>
        <v>239.81299999999999</v>
      </c>
      <c r="Q754" s="41" t="s">
        <v>2544</v>
      </c>
      <c r="R754" s="48" t="str">
        <f t="shared" si="172"/>
        <v>(10,'PS-10-GR6','Poste de Sectionnement n°10 GR6','Sunday-01-jj','Sunday-01-jj',NULL,1,),</v>
      </c>
    </row>
    <row r="755" spans="1:18" ht="20.100000000000001" hidden="1" customHeight="1" x14ac:dyDescent="0.25">
      <c r="A755" s="38">
        <v>11</v>
      </c>
      <c r="B755" s="38" t="s">
        <v>664</v>
      </c>
      <c r="C755" s="38">
        <v>21</v>
      </c>
      <c r="D755" s="39" t="str">
        <f t="shared" si="173"/>
        <v>PS-11-GR6</v>
      </c>
      <c r="E755" s="48" t="str">
        <f t="shared" si="174"/>
        <v>Poste de Sectionnement n°11 GR6</v>
      </c>
      <c r="F755" s="19">
        <v>42736</v>
      </c>
      <c r="G755" s="19">
        <v>42736</v>
      </c>
      <c r="H755" s="41" t="s">
        <v>20</v>
      </c>
      <c r="I755" s="41">
        <v>1</v>
      </c>
      <c r="J755" s="41" t="s">
        <v>3557</v>
      </c>
      <c r="K755" s="41">
        <v>16</v>
      </c>
      <c r="L755" s="41"/>
      <c r="M755" s="41" t="s">
        <v>428</v>
      </c>
      <c r="N755" s="41" t="s">
        <v>2619</v>
      </c>
      <c r="O755" s="43">
        <v>0</v>
      </c>
      <c r="P755" s="43">
        <f t="shared" si="175"/>
        <v>258.66300000000001</v>
      </c>
      <c r="Q755" s="41" t="s">
        <v>2544</v>
      </c>
      <c r="R755" s="48" t="str">
        <f t="shared" si="172"/>
        <v>(11,'PS-11-GR6','Poste de Sectionnement n°11 GR6','Sunday-01-jj','Sunday-01-jj',NULL,1,),</v>
      </c>
    </row>
    <row r="756" spans="1:18" ht="20.100000000000001" hidden="1" customHeight="1" x14ac:dyDescent="0.25">
      <c r="A756" s="38">
        <v>12</v>
      </c>
      <c r="B756" s="38" t="s">
        <v>664</v>
      </c>
      <c r="C756" s="38">
        <v>21</v>
      </c>
      <c r="D756" s="39" t="str">
        <f t="shared" si="173"/>
        <v>PS-12-GR6</v>
      </c>
      <c r="E756" s="48" t="str">
        <f t="shared" si="174"/>
        <v>Poste de Sectionnement n°12 GR6</v>
      </c>
      <c r="F756" s="19">
        <v>42736</v>
      </c>
      <c r="G756" s="19">
        <v>42736</v>
      </c>
      <c r="H756" s="41" t="s">
        <v>20</v>
      </c>
      <c r="I756" s="41">
        <v>1</v>
      </c>
      <c r="J756" s="41" t="s">
        <v>3557</v>
      </c>
      <c r="K756" s="41">
        <v>16</v>
      </c>
      <c r="L756" s="41"/>
      <c r="M756" s="41" t="s">
        <v>428</v>
      </c>
      <c r="N756" s="41" t="s">
        <v>2620</v>
      </c>
      <c r="O756" s="43">
        <v>0</v>
      </c>
      <c r="P756" s="43">
        <f t="shared" si="175"/>
        <v>277.178</v>
      </c>
      <c r="Q756" s="41" t="s">
        <v>2544</v>
      </c>
      <c r="R756" s="48" t="str">
        <f t="shared" si="172"/>
        <v>(12,'PS-12-GR6','Poste de Sectionnement n°12 GR6','Sunday-01-jj','Sunday-01-jj',NULL,1,),</v>
      </c>
    </row>
    <row r="757" spans="1:18" ht="20.100000000000001" hidden="1" customHeight="1" x14ac:dyDescent="0.25">
      <c r="A757" s="38">
        <v>13</v>
      </c>
      <c r="B757" s="38" t="s">
        <v>664</v>
      </c>
      <c r="C757" s="38">
        <v>21</v>
      </c>
      <c r="D757" s="39" t="str">
        <f t="shared" si="173"/>
        <v>PS-13-GR6</v>
      </c>
      <c r="E757" s="48" t="str">
        <f t="shared" si="174"/>
        <v>Poste de Sectionnement n°13 GR6</v>
      </c>
      <c r="F757" s="19">
        <v>42736</v>
      </c>
      <c r="G757" s="19">
        <v>42736</v>
      </c>
      <c r="H757" s="41" t="s">
        <v>20</v>
      </c>
      <c r="I757" s="41">
        <v>1</v>
      </c>
      <c r="J757" s="41" t="s">
        <v>3557</v>
      </c>
      <c r="K757" s="41">
        <v>16</v>
      </c>
      <c r="L757" s="41"/>
      <c r="M757" s="41" t="s">
        <v>428</v>
      </c>
      <c r="N757" s="41" t="s">
        <v>2621</v>
      </c>
      <c r="O757" s="43">
        <v>0</v>
      </c>
      <c r="P757" s="43">
        <f t="shared" si="175"/>
        <v>295.88799999999998</v>
      </c>
      <c r="Q757" s="41" t="s">
        <v>2545</v>
      </c>
      <c r="R757" s="48" t="str">
        <f t="shared" si="172"/>
        <v>(13,'PS-13-GR6','Poste de Sectionnement n°13 GR6','Sunday-01-jj','Sunday-01-jj',NULL,1,),</v>
      </c>
    </row>
    <row r="758" spans="1:18" ht="20.100000000000001" hidden="1" customHeight="1" x14ac:dyDescent="0.25">
      <c r="A758" s="38">
        <v>14</v>
      </c>
      <c r="B758" s="38" t="s">
        <v>664</v>
      </c>
      <c r="C758" s="38">
        <v>21</v>
      </c>
      <c r="D758" s="39" t="str">
        <f t="shared" si="173"/>
        <v>PS-14-GR6</v>
      </c>
      <c r="E758" s="48" t="str">
        <f t="shared" si="174"/>
        <v>Poste de Sectionnement n°14 GR6</v>
      </c>
      <c r="F758" s="19">
        <v>42736</v>
      </c>
      <c r="G758" s="19">
        <v>42736</v>
      </c>
      <c r="H758" s="41" t="s">
        <v>20</v>
      </c>
      <c r="I758" s="41">
        <v>1</v>
      </c>
      <c r="J758" s="41" t="s">
        <v>3557</v>
      </c>
      <c r="K758" s="41">
        <v>16</v>
      </c>
      <c r="L758" s="41"/>
      <c r="M758" s="41" t="s">
        <v>428</v>
      </c>
      <c r="N758" s="41" t="s">
        <v>2622</v>
      </c>
      <c r="O758" s="43">
        <v>0</v>
      </c>
      <c r="P758" s="43">
        <f t="shared" si="175"/>
        <v>314.834</v>
      </c>
      <c r="Q758" s="41" t="s">
        <v>744</v>
      </c>
      <c r="R758" s="48" t="str">
        <f t="shared" si="172"/>
        <v>(14,'PS-14-GR6','Poste de Sectionnement n°14 GR6','Sunday-01-jj','Sunday-01-jj',NULL,1,),</v>
      </c>
    </row>
    <row r="759" spans="1:18" ht="20.100000000000001" hidden="1" customHeight="1" x14ac:dyDescent="0.25">
      <c r="A759" s="38">
        <v>15</v>
      </c>
      <c r="B759" s="38" t="s">
        <v>664</v>
      </c>
      <c r="C759" s="38">
        <v>21</v>
      </c>
      <c r="D759" s="39" t="str">
        <f t="shared" si="173"/>
        <v>PS-15-GR6</v>
      </c>
      <c r="E759" s="48" t="str">
        <f t="shared" si="174"/>
        <v>Poste de Sectionnement n°15 GR6</v>
      </c>
      <c r="F759" s="19">
        <v>42736</v>
      </c>
      <c r="G759" s="19">
        <v>42736</v>
      </c>
      <c r="H759" s="41" t="s">
        <v>20</v>
      </c>
      <c r="I759" s="41">
        <v>1</v>
      </c>
      <c r="J759" s="41" t="s">
        <v>3557</v>
      </c>
      <c r="K759" s="41">
        <v>16</v>
      </c>
      <c r="L759" s="41"/>
      <c r="M759" s="41" t="s">
        <v>428</v>
      </c>
      <c r="N759" s="41" t="s">
        <v>2623</v>
      </c>
      <c r="O759" s="43">
        <v>0</v>
      </c>
      <c r="P759" s="43">
        <f t="shared" si="175"/>
        <v>351.36</v>
      </c>
      <c r="Q759" s="41" t="s">
        <v>744</v>
      </c>
      <c r="R759" s="48" t="str">
        <f t="shared" si="172"/>
        <v>(15,'PS-15-GR6','Poste de Sectionnement n°15 GR6','Sunday-01-jj','Sunday-01-jj',NULL,1,),</v>
      </c>
    </row>
    <row r="760" spans="1:18" ht="20.100000000000001" hidden="1" customHeight="1" x14ac:dyDescent="0.25">
      <c r="A760" s="38">
        <v>16</v>
      </c>
      <c r="B760" s="38" t="s">
        <v>664</v>
      </c>
      <c r="C760" s="38">
        <v>21</v>
      </c>
      <c r="D760" s="39" t="str">
        <f t="shared" si="173"/>
        <v>PS-16-GR6</v>
      </c>
      <c r="E760" s="48" t="str">
        <f t="shared" si="174"/>
        <v>Poste de Sectionnement n°16 GR6</v>
      </c>
      <c r="F760" s="19">
        <v>42736</v>
      </c>
      <c r="G760" s="19">
        <v>42736</v>
      </c>
      <c r="H760" s="41" t="s">
        <v>20</v>
      </c>
      <c r="I760" s="41">
        <v>1</v>
      </c>
      <c r="J760" s="41" t="s">
        <v>3557</v>
      </c>
      <c r="K760" s="41">
        <v>16</v>
      </c>
      <c r="L760" s="41"/>
      <c r="M760" s="41" t="s">
        <v>428</v>
      </c>
      <c r="N760" s="41" t="s">
        <v>2624</v>
      </c>
      <c r="O760" s="43">
        <v>0</v>
      </c>
      <c r="P760" s="43">
        <f t="shared" si="175"/>
        <v>371.90300000000002</v>
      </c>
      <c r="Q760" s="41" t="s">
        <v>745</v>
      </c>
      <c r="R760" s="48" t="str">
        <f t="shared" si="172"/>
        <v>(16,'PS-16-GR6','Poste de Sectionnement n°16 GR6','Sunday-01-jj','Sunday-01-jj',NULL,1,),</v>
      </c>
    </row>
    <row r="761" spans="1:18" ht="20.100000000000001" hidden="1" customHeight="1" x14ac:dyDescent="0.25">
      <c r="A761" s="38">
        <v>17</v>
      </c>
      <c r="B761" s="38" t="s">
        <v>664</v>
      </c>
      <c r="C761" s="38">
        <v>21</v>
      </c>
      <c r="D761" s="39" t="str">
        <f t="shared" si="173"/>
        <v>PS-17-GR6</v>
      </c>
      <c r="E761" s="48" t="str">
        <f t="shared" si="174"/>
        <v>Poste de Sectionnement n°17 GR6</v>
      </c>
      <c r="F761" s="19">
        <v>42736</v>
      </c>
      <c r="G761" s="19">
        <v>42736</v>
      </c>
      <c r="H761" s="41" t="s">
        <v>20</v>
      </c>
      <c r="I761" s="41">
        <v>1</v>
      </c>
      <c r="J761" s="41" t="s">
        <v>3557</v>
      </c>
      <c r="K761" s="41">
        <v>16</v>
      </c>
      <c r="L761" s="41"/>
      <c r="M761" s="41" t="s">
        <v>428</v>
      </c>
      <c r="N761" s="41" t="s">
        <v>2625</v>
      </c>
      <c r="O761" s="43">
        <v>0</v>
      </c>
      <c r="P761" s="43">
        <f t="shared" si="175"/>
        <v>391.69200000000001</v>
      </c>
      <c r="Q761" s="41" t="s">
        <v>745</v>
      </c>
      <c r="R761" s="48" t="str">
        <f t="shared" si="172"/>
        <v>(17,'PS-17-GR6','Poste de Sectionnement n°17 GR6','Sunday-01-jj','Sunday-01-jj',NULL,1,),</v>
      </c>
    </row>
    <row r="762" spans="1:18" ht="20.100000000000001" hidden="1" customHeight="1" x14ac:dyDescent="0.25">
      <c r="A762" s="38">
        <v>18</v>
      </c>
      <c r="B762" s="38" t="s">
        <v>664</v>
      </c>
      <c r="C762" s="38">
        <v>21</v>
      </c>
      <c r="D762" s="39" t="str">
        <f t="shared" si="173"/>
        <v>PS-18-GR6</v>
      </c>
      <c r="E762" s="48" t="str">
        <f t="shared" si="174"/>
        <v>Poste de Sectionnement n°18 GR6</v>
      </c>
      <c r="F762" s="19">
        <v>42736</v>
      </c>
      <c r="G762" s="19">
        <v>42736</v>
      </c>
      <c r="H762" s="41" t="s">
        <v>20</v>
      </c>
      <c r="I762" s="41">
        <v>1</v>
      </c>
      <c r="J762" s="41" t="s">
        <v>3557</v>
      </c>
      <c r="K762" s="41">
        <v>16</v>
      </c>
      <c r="L762" s="41"/>
      <c r="M762" s="41" t="s">
        <v>428</v>
      </c>
      <c r="N762" s="41" t="s">
        <v>2626</v>
      </c>
      <c r="O762" s="43">
        <v>0</v>
      </c>
      <c r="P762" s="43">
        <f t="shared" si="175"/>
        <v>412.70400000000001</v>
      </c>
      <c r="Q762" s="41" t="s">
        <v>745</v>
      </c>
      <c r="R762" s="48" t="str">
        <f t="shared" si="172"/>
        <v>(18,'PS-18-GR6','Poste de Sectionnement n°18 GR6','Sunday-01-jj','Sunday-01-jj',NULL,1,),</v>
      </c>
    </row>
    <row r="763" spans="1:18" ht="20.100000000000001" hidden="1" customHeight="1" x14ac:dyDescent="0.25">
      <c r="A763" s="38">
        <v>19</v>
      </c>
      <c r="B763" s="38" t="s">
        <v>664</v>
      </c>
      <c r="C763" s="38">
        <v>21</v>
      </c>
      <c r="D763" s="39" t="str">
        <f t="shared" si="173"/>
        <v>PS-19-GR6</v>
      </c>
      <c r="E763" s="48" t="str">
        <f t="shared" si="174"/>
        <v>Poste de Sectionnement n°19 GR6</v>
      </c>
      <c r="F763" s="19">
        <v>42736</v>
      </c>
      <c r="G763" s="19">
        <v>42736</v>
      </c>
      <c r="H763" s="41" t="s">
        <v>20</v>
      </c>
      <c r="I763" s="41">
        <v>1</v>
      </c>
      <c r="J763" s="41" t="s">
        <v>3557</v>
      </c>
      <c r="K763" s="41">
        <v>16</v>
      </c>
      <c r="L763" s="41"/>
      <c r="M763" s="41" t="s">
        <v>428</v>
      </c>
      <c r="N763" s="41" t="s">
        <v>2627</v>
      </c>
      <c r="O763" s="43">
        <v>0</v>
      </c>
      <c r="P763" s="43">
        <f t="shared" si="175"/>
        <v>454.63200000000001</v>
      </c>
      <c r="Q763" s="41" t="s">
        <v>1828</v>
      </c>
      <c r="R763" s="48" t="str">
        <f t="shared" si="172"/>
        <v>(19,'PS-19-GR6','Poste de Sectionnement n°19 GR6','Sunday-01-jj','Sunday-01-jj',NULL,1,),</v>
      </c>
    </row>
    <row r="764" spans="1:18" ht="20.100000000000001" hidden="1" customHeight="1" x14ac:dyDescent="0.25">
      <c r="A764" s="38">
        <v>20</v>
      </c>
      <c r="B764" s="38" t="s">
        <v>664</v>
      </c>
      <c r="C764" s="38">
        <v>21</v>
      </c>
      <c r="D764" s="39" t="str">
        <f t="shared" si="173"/>
        <v>PS-20-GR6</v>
      </c>
      <c r="E764" s="48" t="str">
        <f t="shared" si="174"/>
        <v>Poste de Sectionnement n°20 GR6</v>
      </c>
      <c r="F764" s="19">
        <v>42736</v>
      </c>
      <c r="G764" s="19">
        <v>42736</v>
      </c>
      <c r="H764" s="41" t="s">
        <v>20</v>
      </c>
      <c r="I764" s="41">
        <v>1</v>
      </c>
      <c r="J764" s="41" t="s">
        <v>3557</v>
      </c>
      <c r="K764" s="41">
        <v>16</v>
      </c>
      <c r="L764" s="41"/>
      <c r="M764" s="41" t="s">
        <v>428</v>
      </c>
      <c r="N764" s="41" t="s">
        <v>2628</v>
      </c>
      <c r="O764" s="43">
        <v>0</v>
      </c>
      <c r="P764" s="43">
        <f t="shared" si="175"/>
        <v>474.78300000000002</v>
      </c>
      <c r="Q764" s="41" t="s">
        <v>1828</v>
      </c>
      <c r="R764" s="48" t="str">
        <f t="shared" si="172"/>
        <v>(20,'PS-20-GR6','Poste de Sectionnement n°20 GR6','Sunday-01-jj','Sunday-01-jj',NULL,1,),</v>
      </c>
    </row>
    <row r="765" spans="1:18" ht="20.100000000000001" hidden="1" customHeight="1" x14ac:dyDescent="0.25">
      <c r="A765" s="38">
        <v>21</v>
      </c>
      <c r="B765" s="38" t="s">
        <v>664</v>
      </c>
      <c r="C765" s="38">
        <v>21</v>
      </c>
      <c r="D765" s="39" t="str">
        <f t="shared" si="173"/>
        <v>PS-21-GR6</v>
      </c>
      <c r="E765" s="48" t="str">
        <f t="shared" si="174"/>
        <v>Poste de Sectionnement n°21 GR6</v>
      </c>
      <c r="F765" s="19">
        <v>42736</v>
      </c>
      <c r="G765" s="19">
        <v>42736</v>
      </c>
      <c r="H765" s="41" t="s">
        <v>20</v>
      </c>
      <c r="I765" s="41">
        <v>1</v>
      </c>
      <c r="J765" s="41" t="s">
        <v>3557</v>
      </c>
      <c r="K765" s="41">
        <v>16</v>
      </c>
      <c r="L765" s="41"/>
      <c r="M765" s="41" t="s">
        <v>428</v>
      </c>
      <c r="N765" s="41" t="s">
        <v>2629</v>
      </c>
      <c r="O765" s="43">
        <v>0</v>
      </c>
      <c r="P765" s="43">
        <f t="shared" si="175"/>
        <v>490.99200000000002</v>
      </c>
      <c r="Q765" s="41" t="s">
        <v>2546</v>
      </c>
      <c r="R765" s="48" t="str">
        <f t="shared" si="172"/>
        <v>(21,'PS-21-GR6','Poste de Sectionnement n°21 GR6','Sunday-01-jj','Sunday-01-jj',NULL,1,),</v>
      </c>
    </row>
    <row r="766" spans="1:18" ht="20.100000000000001" hidden="1" customHeight="1" x14ac:dyDescent="0.25">
      <c r="A766" s="38">
        <v>22</v>
      </c>
      <c r="B766" s="38" t="s">
        <v>664</v>
      </c>
      <c r="C766" s="38">
        <v>21</v>
      </c>
      <c r="D766" s="39" t="str">
        <f t="shared" si="173"/>
        <v>PS-22-GR6</v>
      </c>
      <c r="E766" s="48" t="str">
        <f t="shared" si="174"/>
        <v>Poste de Sectionnement n°22 GR6</v>
      </c>
      <c r="F766" s="19">
        <v>42736</v>
      </c>
      <c r="G766" s="19">
        <v>42736</v>
      </c>
      <c r="H766" s="41" t="s">
        <v>20</v>
      </c>
      <c r="I766" s="41">
        <v>1</v>
      </c>
      <c r="J766" s="41" t="s">
        <v>3557</v>
      </c>
      <c r="K766" s="41">
        <v>16</v>
      </c>
      <c r="L766" s="41"/>
      <c r="M766" s="41" t="s">
        <v>428</v>
      </c>
      <c r="N766" s="41" t="s">
        <v>2630</v>
      </c>
      <c r="O766" s="43">
        <v>0</v>
      </c>
      <c r="P766" s="43">
        <f t="shared" si="175"/>
        <v>506.928</v>
      </c>
      <c r="Q766" s="41" t="s">
        <v>2546</v>
      </c>
      <c r="R766" s="48" t="str">
        <f t="shared" si="172"/>
        <v>(22,'PS-22-GR6','Poste de Sectionnement n°22 GR6','Sunday-01-jj','Sunday-01-jj',NULL,1,),</v>
      </c>
    </row>
    <row r="767" spans="1:18" ht="20.100000000000001" hidden="1" customHeight="1" x14ac:dyDescent="0.25">
      <c r="A767" s="38">
        <v>1</v>
      </c>
      <c r="B767" s="38" t="s">
        <v>675</v>
      </c>
      <c r="C767" s="38">
        <v>22</v>
      </c>
      <c r="D767" s="39" t="str">
        <f t="shared" si="173"/>
        <v>PS-01-GR5</v>
      </c>
      <c r="E767" s="48" t="str">
        <f t="shared" si="174"/>
        <v>Poste de Sectionnement n°01 GR5</v>
      </c>
      <c r="F767" s="19">
        <v>42887</v>
      </c>
      <c r="G767" s="19">
        <v>42887</v>
      </c>
      <c r="H767" s="41" t="s">
        <v>20</v>
      </c>
      <c r="I767" s="41">
        <v>1</v>
      </c>
      <c r="J767" s="41" t="s">
        <v>3557</v>
      </c>
      <c r="K767" s="41">
        <v>16</v>
      </c>
      <c r="L767" s="41"/>
      <c r="M767" s="41" t="s">
        <v>425</v>
      </c>
      <c r="N767" s="41">
        <v>20</v>
      </c>
      <c r="O767" s="43">
        <v>337.3</v>
      </c>
      <c r="P767" s="43">
        <f t="shared" si="175"/>
        <v>20</v>
      </c>
      <c r="Q767" s="41" t="s">
        <v>2773</v>
      </c>
      <c r="R767" s="48" t="str">
        <f t="shared" si="172"/>
        <v>(1,'PS-01-GR5','Poste de Sectionnement n°01 GR5','Thursday-06-jj','Thursday-06-jj',NULL,1,),</v>
      </c>
    </row>
    <row r="768" spans="1:18" ht="20.100000000000001" hidden="1" customHeight="1" x14ac:dyDescent="0.25">
      <c r="A768" s="38">
        <v>2</v>
      </c>
      <c r="B768" s="38" t="s">
        <v>675</v>
      </c>
      <c r="C768" s="38">
        <v>22</v>
      </c>
      <c r="D768" s="39" t="str">
        <f t="shared" si="173"/>
        <v>PS-02-GR5</v>
      </c>
      <c r="E768" s="48" t="str">
        <f t="shared" si="174"/>
        <v>Poste de Sectionnement n°02 GR5</v>
      </c>
      <c r="F768" s="19">
        <v>42887</v>
      </c>
      <c r="G768" s="19">
        <v>42887</v>
      </c>
      <c r="H768" s="41" t="s">
        <v>20</v>
      </c>
      <c r="I768" s="41">
        <v>1</v>
      </c>
      <c r="J768" s="41" t="s">
        <v>3557</v>
      </c>
      <c r="K768" s="41">
        <v>16</v>
      </c>
      <c r="L768" s="41"/>
      <c r="M768" s="41" t="s">
        <v>425</v>
      </c>
      <c r="N768" s="41">
        <v>40</v>
      </c>
      <c r="O768" s="43">
        <v>335</v>
      </c>
      <c r="P768" s="43">
        <f t="shared" si="175"/>
        <v>40</v>
      </c>
      <c r="Q768" s="41" t="s">
        <v>2773</v>
      </c>
      <c r="R768" s="48" t="str">
        <f t="shared" si="172"/>
        <v>(2,'PS-02-GR5','Poste de Sectionnement n°02 GR5','Thursday-06-jj','Thursday-06-jj',NULL,1,),</v>
      </c>
    </row>
    <row r="769" spans="1:18" ht="20.100000000000001" hidden="1" customHeight="1" x14ac:dyDescent="0.25">
      <c r="A769" s="38">
        <v>3</v>
      </c>
      <c r="B769" s="38" t="s">
        <v>675</v>
      </c>
      <c r="C769" s="38">
        <v>22</v>
      </c>
      <c r="D769" s="39" t="str">
        <f t="shared" ref="D769:D796" si="176">CONCATENATE("PS-",TEXT(A769,"00"),"-",M769)</f>
        <v>PS-03-GR5</v>
      </c>
      <c r="E769" s="48" t="str">
        <f t="shared" ref="E769:E796" si="177">CONCATENATE("Poste de Sectionnement n°",TEXT(A769,"00")," ",M769)</f>
        <v>Poste de Sectionnement n°03 GR5</v>
      </c>
      <c r="F769" s="19">
        <v>42887</v>
      </c>
      <c r="G769" s="19">
        <v>42887</v>
      </c>
      <c r="H769" s="41" t="s">
        <v>20</v>
      </c>
      <c r="I769" s="41">
        <v>1</v>
      </c>
      <c r="J769" s="41" t="s">
        <v>3557</v>
      </c>
      <c r="K769" s="41">
        <v>16</v>
      </c>
      <c r="L769" s="41"/>
      <c r="M769" s="41" t="s">
        <v>425</v>
      </c>
      <c r="N769" s="41">
        <v>58</v>
      </c>
      <c r="O769" s="43">
        <v>352</v>
      </c>
      <c r="P769" s="43">
        <f t="shared" si="175"/>
        <v>58</v>
      </c>
      <c r="Q769" s="41" t="s">
        <v>2773</v>
      </c>
      <c r="R769" s="48" t="str">
        <f t="shared" si="172"/>
        <v>(3,'PS-03-GR5','Poste de Sectionnement n°03 GR5','Thursday-06-jj','Thursday-06-jj',NULL,1,),</v>
      </c>
    </row>
    <row r="770" spans="1:18" ht="20.100000000000001" hidden="1" customHeight="1" x14ac:dyDescent="0.25">
      <c r="A770" s="38">
        <v>4</v>
      </c>
      <c r="B770" s="38" t="s">
        <v>675</v>
      </c>
      <c r="C770" s="38">
        <v>22</v>
      </c>
      <c r="D770" s="39" t="str">
        <f t="shared" si="176"/>
        <v>PS-04-GR5</v>
      </c>
      <c r="E770" s="48" t="str">
        <f t="shared" si="177"/>
        <v>Poste de Sectionnement n°04 GR5</v>
      </c>
      <c r="F770" s="19">
        <v>42887</v>
      </c>
      <c r="G770" s="19">
        <v>42887</v>
      </c>
      <c r="H770" s="41" t="s">
        <v>20</v>
      </c>
      <c r="I770" s="41">
        <v>1</v>
      </c>
      <c r="J770" s="41" t="s">
        <v>3557</v>
      </c>
      <c r="K770" s="41">
        <v>16</v>
      </c>
      <c r="L770" s="41"/>
      <c r="M770" s="41" t="s">
        <v>425</v>
      </c>
      <c r="N770" s="41">
        <v>95</v>
      </c>
      <c r="O770" s="43">
        <v>405</v>
      </c>
      <c r="P770" s="43">
        <f t="shared" si="175"/>
        <v>95</v>
      </c>
      <c r="Q770" s="41" t="s">
        <v>2751</v>
      </c>
      <c r="R770" s="48" t="str">
        <f t="shared" si="172"/>
        <v>(4,'PS-04-GR5','Poste de Sectionnement n°04 GR5','Thursday-06-jj','Thursday-06-jj',NULL,1,),</v>
      </c>
    </row>
    <row r="771" spans="1:18" ht="20.100000000000001" hidden="1" customHeight="1" x14ac:dyDescent="0.25">
      <c r="A771" s="38">
        <v>5</v>
      </c>
      <c r="B771" s="38" t="s">
        <v>675</v>
      </c>
      <c r="C771" s="38">
        <v>22</v>
      </c>
      <c r="D771" s="39" t="str">
        <f t="shared" si="176"/>
        <v>PS-05-GR5</v>
      </c>
      <c r="E771" s="48" t="str">
        <f t="shared" si="177"/>
        <v>Poste de Sectionnement n°05 GR5</v>
      </c>
      <c r="F771" s="19">
        <v>42887</v>
      </c>
      <c r="G771" s="19">
        <v>42887</v>
      </c>
      <c r="H771" s="41" t="s">
        <v>20</v>
      </c>
      <c r="I771" s="41">
        <v>1</v>
      </c>
      <c r="J771" s="41" t="s">
        <v>3557</v>
      </c>
      <c r="K771" s="41">
        <v>16</v>
      </c>
      <c r="L771" s="41"/>
      <c r="M771" s="41" t="s">
        <v>425</v>
      </c>
      <c r="N771" s="41">
        <v>115</v>
      </c>
      <c r="O771" s="43">
        <v>406</v>
      </c>
      <c r="P771" s="43">
        <f t="shared" si="175"/>
        <v>115</v>
      </c>
      <c r="Q771" s="41" t="s">
        <v>2751</v>
      </c>
      <c r="R771" s="48" t="str">
        <f t="shared" si="172"/>
        <v>(5,'PS-05-GR5','Poste de Sectionnement n°05 GR5','Thursday-06-jj','Thursday-06-jj',NULL,1,),</v>
      </c>
    </row>
    <row r="772" spans="1:18" ht="20.100000000000001" hidden="1" customHeight="1" x14ac:dyDescent="0.25">
      <c r="A772" s="38">
        <v>6</v>
      </c>
      <c r="B772" s="38" t="s">
        <v>675</v>
      </c>
      <c r="C772" s="38">
        <v>22</v>
      </c>
      <c r="D772" s="39" t="str">
        <f t="shared" si="176"/>
        <v>PS-06-GR5</v>
      </c>
      <c r="E772" s="48" t="str">
        <f t="shared" si="177"/>
        <v>Poste de Sectionnement n°06 GR5</v>
      </c>
      <c r="F772" s="19">
        <v>42887</v>
      </c>
      <c r="G772" s="19">
        <v>42887</v>
      </c>
      <c r="H772" s="41" t="s">
        <v>20</v>
      </c>
      <c r="I772" s="41">
        <v>1</v>
      </c>
      <c r="J772" s="41" t="s">
        <v>3557</v>
      </c>
      <c r="K772" s="41">
        <v>16</v>
      </c>
      <c r="L772" s="41"/>
      <c r="M772" s="41" t="s">
        <v>425</v>
      </c>
      <c r="N772" s="41">
        <v>135</v>
      </c>
      <c r="O772" s="43">
        <v>413</v>
      </c>
      <c r="P772" s="43">
        <f t="shared" si="175"/>
        <v>135</v>
      </c>
      <c r="Q772" s="41" t="s">
        <v>2751</v>
      </c>
      <c r="R772" s="48" t="str">
        <f t="shared" si="172"/>
        <v>(6,'PS-06-GR5','Poste de Sectionnement n°06 GR5','Thursday-06-jj','Thursday-06-jj',NULL,1,),</v>
      </c>
    </row>
    <row r="773" spans="1:18" ht="20.100000000000001" hidden="1" customHeight="1" x14ac:dyDescent="0.25">
      <c r="A773" s="38">
        <v>7</v>
      </c>
      <c r="B773" s="38" t="s">
        <v>675</v>
      </c>
      <c r="C773" s="38">
        <v>22</v>
      </c>
      <c r="D773" s="39" t="str">
        <f t="shared" si="176"/>
        <v>PS-07-GR5</v>
      </c>
      <c r="E773" s="48" t="str">
        <f t="shared" si="177"/>
        <v>Poste de Sectionnement n°07 GR5</v>
      </c>
      <c r="F773" s="19">
        <v>42887</v>
      </c>
      <c r="G773" s="19">
        <v>42887</v>
      </c>
      <c r="H773" s="41" t="s">
        <v>20</v>
      </c>
      <c r="I773" s="41">
        <v>1</v>
      </c>
      <c r="J773" s="41" t="s">
        <v>3557</v>
      </c>
      <c r="K773" s="41">
        <v>16</v>
      </c>
      <c r="L773" s="41"/>
      <c r="M773" s="41" t="s">
        <v>425</v>
      </c>
      <c r="N773" s="41">
        <v>156</v>
      </c>
      <c r="O773" s="43">
        <v>424</v>
      </c>
      <c r="P773" s="43">
        <f t="shared" si="175"/>
        <v>156</v>
      </c>
      <c r="Q773" s="41" t="s">
        <v>2752</v>
      </c>
      <c r="R773" s="48" t="str">
        <f t="shared" si="172"/>
        <v>(7,'PS-07-GR5','Poste de Sectionnement n°07 GR5','Thursday-06-jj','Thursday-06-jj',NULL,1,),</v>
      </c>
    </row>
    <row r="774" spans="1:18" ht="20.100000000000001" hidden="1" customHeight="1" x14ac:dyDescent="0.25">
      <c r="A774" s="38">
        <v>8</v>
      </c>
      <c r="B774" s="38" t="s">
        <v>675</v>
      </c>
      <c r="C774" s="38">
        <v>22</v>
      </c>
      <c r="D774" s="39" t="str">
        <f t="shared" si="176"/>
        <v>PS-08-GR5</v>
      </c>
      <c r="E774" s="48" t="str">
        <f t="shared" si="177"/>
        <v>Poste de Sectionnement n°08 GR5</v>
      </c>
      <c r="F774" s="19">
        <v>42887</v>
      </c>
      <c r="G774" s="19">
        <v>42887</v>
      </c>
      <c r="H774" s="41" t="s">
        <v>20</v>
      </c>
      <c r="I774" s="41">
        <v>1</v>
      </c>
      <c r="J774" s="41" t="s">
        <v>3557</v>
      </c>
      <c r="K774" s="41">
        <v>16</v>
      </c>
      <c r="L774" s="41"/>
      <c r="M774" s="41" t="s">
        <v>425</v>
      </c>
      <c r="N774" s="41">
        <v>198</v>
      </c>
      <c r="O774" s="43">
        <v>411</v>
      </c>
      <c r="P774" s="43">
        <f t="shared" si="175"/>
        <v>198</v>
      </c>
      <c r="Q774" s="41" t="s">
        <v>2752</v>
      </c>
      <c r="R774" s="48" t="str">
        <f t="shared" si="172"/>
        <v>(8,'PS-08-GR5','Poste de Sectionnement n°08 GR5','Thursday-06-jj','Thursday-06-jj',NULL,1,),</v>
      </c>
    </row>
    <row r="775" spans="1:18" ht="20.100000000000001" hidden="1" customHeight="1" x14ac:dyDescent="0.25">
      <c r="A775" s="38">
        <v>9</v>
      </c>
      <c r="B775" s="38" t="s">
        <v>675</v>
      </c>
      <c r="C775" s="38">
        <v>22</v>
      </c>
      <c r="D775" s="39" t="str">
        <f t="shared" si="176"/>
        <v>PS-09-GR5</v>
      </c>
      <c r="E775" s="48" t="str">
        <f t="shared" si="177"/>
        <v>Poste de Sectionnement n°09 GR5</v>
      </c>
      <c r="F775" s="19">
        <v>42887</v>
      </c>
      <c r="G775" s="19">
        <v>42887</v>
      </c>
      <c r="H775" s="41" t="s">
        <v>20</v>
      </c>
      <c r="I775" s="41">
        <v>1</v>
      </c>
      <c r="J775" s="41" t="s">
        <v>3557</v>
      </c>
      <c r="K775" s="41">
        <v>16</v>
      </c>
      <c r="L775" s="41"/>
      <c r="M775" s="41" t="s">
        <v>425</v>
      </c>
      <c r="N775" s="41">
        <v>220</v>
      </c>
      <c r="O775" s="43">
        <v>443</v>
      </c>
      <c r="P775" s="43">
        <f t="shared" si="175"/>
        <v>220</v>
      </c>
      <c r="Q775" s="41" t="s">
        <v>2752</v>
      </c>
      <c r="R775" s="48" t="str">
        <f t="shared" si="172"/>
        <v>(9,'PS-09-GR5','Poste de Sectionnement n°09 GR5','Thursday-06-jj','Thursday-06-jj',NULL,1,),</v>
      </c>
    </row>
    <row r="776" spans="1:18" ht="20.100000000000001" hidden="1" customHeight="1" x14ac:dyDescent="0.25">
      <c r="A776" s="38">
        <v>10</v>
      </c>
      <c r="B776" s="38" t="s">
        <v>675</v>
      </c>
      <c r="C776" s="38">
        <v>22</v>
      </c>
      <c r="D776" s="39" t="str">
        <f t="shared" si="176"/>
        <v>PS-10-GR5</v>
      </c>
      <c r="E776" s="48" t="str">
        <f t="shared" si="177"/>
        <v>Poste de Sectionnement n°10 GR5</v>
      </c>
      <c r="F776" s="19">
        <v>42887</v>
      </c>
      <c r="G776" s="19">
        <v>42887</v>
      </c>
      <c r="H776" s="41" t="s">
        <v>20</v>
      </c>
      <c r="I776" s="41">
        <v>1</v>
      </c>
      <c r="J776" s="41" t="s">
        <v>3557</v>
      </c>
      <c r="K776" s="41">
        <v>16</v>
      </c>
      <c r="L776" s="41"/>
      <c r="M776" s="41" t="s">
        <v>425</v>
      </c>
      <c r="N776" s="41">
        <v>242</v>
      </c>
      <c r="O776" s="43">
        <v>444</v>
      </c>
      <c r="P776" s="43">
        <f t="shared" si="175"/>
        <v>242</v>
      </c>
      <c r="Q776" s="41" t="s">
        <v>2752</v>
      </c>
      <c r="R776" s="48" t="str">
        <f t="shared" si="172"/>
        <v>(10,'PS-10-GR5','Poste de Sectionnement n°10 GR5','Thursday-06-jj','Thursday-06-jj',NULL,1,),</v>
      </c>
    </row>
    <row r="777" spans="1:18" ht="20.100000000000001" hidden="1" customHeight="1" x14ac:dyDescent="0.25">
      <c r="A777" s="38">
        <v>11</v>
      </c>
      <c r="B777" s="38" t="s">
        <v>675</v>
      </c>
      <c r="C777" s="38">
        <v>22</v>
      </c>
      <c r="D777" s="39" t="str">
        <f t="shared" si="176"/>
        <v>PS-11-GR5</v>
      </c>
      <c r="E777" s="48" t="str">
        <f t="shared" si="177"/>
        <v>Poste de Sectionnement n°11 GR5</v>
      </c>
      <c r="F777" s="19">
        <v>42887</v>
      </c>
      <c r="G777" s="19">
        <v>42887</v>
      </c>
      <c r="H777" s="41" t="s">
        <v>20</v>
      </c>
      <c r="I777" s="41">
        <v>1</v>
      </c>
      <c r="J777" s="41" t="s">
        <v>3557</v>
      </c>
      <c r="K777" s="41">
        <v>16</v>
      </c>
      <c r="L777" s="41"/>
      <c r="M777" s="41" t="s">
        <v>425</v>
      </c>
      <c r="N777" s="41">
        <v>264</v>
      </c>
      <c r="O777" s="43">
        <v>426</v>
      </c>
      <c r="P777" s="43">
        <f t="shared" si="175"/>
        <v>264</v>
      </c>
      <c r="Q777" s="41" t="s">
        <v>2752</v>
      </c>
      <c r="R777" s="48" t="str">
        <f t="shared" si="172"/>
        <v>(11,'PS-11-GR5','Poste de Sectionnement n°11 GR5','Thursday-06-jj','Thursday-06-jj',NULL,1,),</v>
      </c>
    </row>
    <row r="778" spans="1:18" ht="20.100000000000001" hidden="1" customHeight="1" x14ac:dyDescent="0.25">
      <c r="A778" s="38">
        <v>12</v>
      </c>
      <c r="B778" s="38" t="s">
        <v>675</v>
      </c>
      <c r="C778" s="38">
        <v>22</v>
      </c>
      <c r="D778" s="39" t="str">
        <f t="shared" si="176"/>
        <v>PS-12-GR5</v>
      </c>
      <c r="E778" s="48" t="str">
        <f t="shared" si="177"/>
        <v>Poste de Sectionnement n°12 GR5</v>
      </c>
      <c r="F778" s="19">
        <v>42887</v>
      </c>
      <c r="G778" s="19">
        <v>42887</v>
      </c>
      <c r="H778" s="41" t="s">
        <v>20</v>
      </c>
      <c r="I778" s="41">
        <v>1</v>
      </c>
      <c r="J778" s="41" t="s">
        <v>3557</v>
      </c>
      <c r="K778" s="41">
        <v>16</v>
      </c>
      <c r="L778" s="41"/>
      <c r="M778" s="41" t="s">
        <v>425</v>
      </c>
      <c r="N778" s="41">
        <v>287</v>
      </c>
      <c r="O778" s="43">
        <v>444</v>
      </c>
      <c r="P778" s="43">
        <f t="shared" si="175"/>
        <v>287</v>
      </c>
      <c r="Q778" s="41" t="s">
        <v>2752</v>
      </c>
      <c r="R778" s="48" t="str">
        <f t="shared" si="172"/>
        <v>(12,'PS-12-GR5','Poste de Sectionnement n°12 GR5','Thursday-06-jj','Thursday-06-jj',NULL,1,),</v>
      </c>
    </row>
    <row r="779" spans="1:18" ht="20.100000000000001" hidden="1" customHeight="1" x14ac:dyDescent="0.25">
      <c r="A779" s="38">
        <v>13</v>
      </c>
      <c r="B779" s="38" t="s">
        <v>675</v>
      </c>
      <c r="C779" s="38">
        <v>22</v>
      </c>
      <c r="D779" s="39" t="str">
        <f t="shared" si="176"/>
        <v>PS-13-GR5</v>
      </c>
      <c r="E779" s="48" t="str">
        <f t="shared" si="177"/>
        <v>Poste de Sectionnement n°13 GR5</v>
      </c>
      <c r="F779" s="19">
        <v>42887</v>
      </c>
      <c r="G779" s="19">
        <v>42887</v>
      </c>
      <c r="H779" s="41" t="s">
        <v>20</v>
      </c>
      <c r="I779" s="41">
        <v>1</v>
      </c>
      <c r="J779" s="41" t="s">
        <v>3557</v>
      </c>
      <c r="K779" s="41">
        <v>16</v>
      </c>
      <c r="L779" s="41"/>
      <c r="M779" s="41" t="s">
        <v>425</v>
      </c>
      <c r="N779" s="41">
        <v>331</v>
      </c>
      <c r="O779" s="43">
        <v>444</v>
      </c>
      <c r="P779" s="43">
        <f t="shared" si="175"/>
        <v>331</v>
      </c>
      <c r="Q779" s="41" t="s">
        <v>679</v>
      </c>
      <c r="R779" s="48" t="str">
        <f t="shared" si="172"/>
        <v>(13,'PS-13-GR5','Poste de Sectionnement n°13 GR5','Thursday-06-jj','Thursday-06-jj',NULL,1,),</v>
      </c>
    </row>
    <row r="780" spans="1:18" ht="20.100000000000001" hidden="1" customHeight="1" x14ac:dyDescent="0.25">
      <c r="A780" s="38">
        <v>14</v>
      </c>
      <c r="B780" s="38" t="s">
        <v>675</v>
      </c>
      <c r="C780" s="38">
        <v>22</v>
      </c>
      <c r="D780" s="39" t="str">
        <f t="shared" si="176"/>
        <v>PS-14-GR5</v>
      </c>
      <c r="E780" s="48" t="str">
        <f t="shared" si="177"/>
        <v>Poste de Sectionnement n°14 GR5</v>
      </c>
      <c r="F780" s="19">
        <v>42887</v>
      </c>
      <c r="G780" s="19">
        <v>42887</v>
      </c>
      <c r="H780" s="41" t="s">
        <v>20</v>
      </c>
      <c r="I780" s="41">
        <v>1</v>
      </c>
      <c r="J780" s="41" t="s">
        <v>3557</v>
      </c>
      <c r="K780" s="41">
        <v>16</v>
      </c>
      <c r="L780" s="41"/>
      <c r="M780" s="41" t="s">
        <v>425</v>
      </c>
      <c r="N780" s="41">
        <v>353</v>
      </c>
      <c r="O780" s="43">
        <v>430</v>
      </c>
      <c r="P780" s="43">
        <f t="shared" si="175"/>
        <v>353</v>
      </c>
      <c r="Q780" s="41" t="s">
        <v>679</v>
      </c>
      <c r="R780" s="48" t="str">
        <f t="shared" si="172"/>
        <v>(14,'PS-14-GR5','Poste de Sectionnement n°14 GR5','Thursday-06-jj','Thursday-06-jj',NULL,1,),</v>
      </c>
    </row>
    <row r="781" spans="1:18" ht="20.100000000000001" hidden="1" customHeight="1" x14ac:dyDescent="0.25">
      <c r="A781" s="38">
        <v>15</v>
      </c>
      <c r="B781" s="38" t="s">
        <v>675</v>
      </c>
      <c r="C781" s="38">
        <v>22</v>
      </c>
      <c r="D781" s="39" t="str">
        <f t="shared" si="176"/>
        <v>PS-15-GR5</v>
      </c>
      <c r="E781" s="48" t="str">
        <f t="shared" si="177"/>
        <v>Poste de Sectionnement n°15 GR5</v>
      </c>
      <c r="F781" s="19">
        <v>42887</v>
      </c>
      <c r="G781" s="19">
        <v>42887</v>
      </c>
      <c r="H781" s="41" t="s">
        <v>20</v>
      </c>
      <c r="I781" s="41">
        <v>1</v>
      </c>
      <c r="J781" s="41" t="s">
        <v>3557</v>
      </c>
      <c r="K781" s="41">
        <v>16</v>
      </c>
      <c r="L781" s="41"/>
      <c r="M781" s="41" t="s">
        <v>425</v>
      </c>
      <c r="N781" s="41">
        <v>375</v>
      </c>
      <c r="O781" s="43">
        <v>465</v>
      </c>
      <c r="P781" s="43">
        <f t="shared" si="175"/>
        <v>375</v>
      </c>
      <c r="Q781" s="41" t="s">
        <v>679</v>
      </c>
      <c r="R781" s="48" t="str">
        <f t="shared" si="172"/>
        <v>(15,'PS-15-GR5','Poste de Sectionnement n°15 GR5','Thursday-06-jj','Thursday-06-jj',NULL,1,),</v>
      </c>
    </row>
    <row r="782" spans="1:18" ht="20.100000000000001" hidden="1" customHeight="1" x14ac:dyDescent="0.25">
      <c r="A782" s="38">
        <v>16</v>
      </c>
      <c r="B782" s="38" t="s">
        <v>675</v>
      </c>
      <c r="C782" s="38">
        <v>22</v>
      </c>
      <c r="D782" s="39" t="str">
        <f t="shared" si="176"/>
        <v>PS-16-GR5</v>
      </c>
      <c r="E782" s="48" t="str">
        <f t="shared" si="177"/>
        <v>Poste de Sectionnement n°16 GR5</v>
      </c>
      <c r="F782" s="19">
        <v>42887</v>
      </c>
      <c r="G782" s="19">
        <v>42887</v>
      </c>
      <c r="H782" s="41" t="s">
        <v>20</v>
      </c>
      <c r="I782" s="41">
        <v>1</v>
      </c>
      <c r="J782" s="41" t="s">
        <v>3557</v>
      </c>
      <c r="K782" s="41">
        <v>16</v>
      </c>
      <c r="L782" s="41"/>
      <c r="M782" s="41" t="s">
        <v>425</v>
      </c>
      <c r="N782" s="41">
        <v>397</v>
      </c>
      <c r="O782" s="43">
        <v>460</v>
      </c>
      <c r="P782" s="43">
        <f t="shared" si="175"/>
        <v>397</v>
      </c>
      <c r="Q782" s="41" t="s">
        <v>679</v>
      </c>
      <c r="R782" s="48" t="str">
        <f t="shared" si="172"/>
        <v>(16,'PS-16-GR5','Poste de Sectionnement n°16 GR5','Thursday-06-jj','Thursday-06-jj',NULL,1,),</v>
      </c>
    </row>
    <row r="783" spans="1:18" ht="20.100000000000001" hidden="1" customHeight="1" x14ac:dyDescent="0.25">
      <c r="A783" s="38">
        <v>17</v>
      </c>
      <c r="B783" s="38" t="s">
        <v>675</v>
      </c>
      <c r="C783" s="38">
        <v>22</v>
      </c>
      <c r="D783" s="39" t="str">
        <f t="shared" si="176"/>
        <v>PS-17-GR5</v>
      </c>
      <c r="E783" s="48" t="str">
        <f t="shared" si="177"/>
        <v>Poste de Sectionnement n°17 GR5</v>
      </c>
      <c r="F783" s="19">
        <v>42887</v>
      </c>
      <c r="G783" s="19">
        <v>42887</v>
      </c>
      <c r="H783" s="41" t="s">
        <v>20</v>
      </c>
      <c r="I783" s="41">
        <v>1</v>
      </c>
      <c r="J783" s="41" t="s">
        <v>3557</v>
      </c>
      <c r="K783" s="41">
        <v>16</v>
      </c>
      <c r="L783" s="41"/>
      <c r="M783" s="41" t="s">
        <v>425</v>
      </c>
      <c r="N783" s="41">
        <v>441</v>
      </c>
      <c r="O783" s="43">
        <v>423</v>
      </c>
      <c r="P783" s="43">
        <f t="shared" si="175"/>
        <v>441</v>
      </c>
      <c r="Q783" s="41" t="s">
        <v>679</v>
      </c>
      <c r="R783" s="48" t="str">
        <f t="shared" si="172"/>
        <v>(17,'PS-17-GR5','Poste de Sectionnement n°17 GR5','Thursday-06-jj','Thursday-06-jj',NULL,1,),</v>
      </c>
    </row>
    <row r="784" spans="1:18" ht="20.100000000000001" hidden="1" customHeight="1" x14ac:dyDescent="0.25">
      <c r="A784" s="38">
        <v>18</v>
      </c>
      <c r="B784" s="38" t="s">
        <v>675</v>
      </c>
      <c r="C784" s="38">
        <v>22</v>
      </c>
      <c r="D784" s="39" t="str">
        <f t="shared" si="176"/>
        <v>PS-18-GR5</v>
      </c>
      <c r="E784" s="48" t="str">
        <f t="shared" si="177"/>
        <v>Poste de Sectionnement n°18 GR5</v>
      </c>
      <c r="F784" s="19">
        <v>42887</v>
      </c>
      <c r="G784" s="19">
        <v>42887</v>
      </c>
      <c r="H784" s="41" t="s">
        <v>20</v>
      </c>
      <c r="I784" s="41">
        <v>1</v>
      </c>
      <c r="J784" s="41" t="s">
        <v>3557</v>
      </c>
      <c r="K784" s="41">
        <v>16</v>
      </c>
      <c r="L784" s="41"/>
      <c r="M784" s="41" t="s">
        <v>425</v>
      </c>
      <c r="N784" s="41">
        <v>464</v>
      </c>
      <c r="O784" s="43">
        <v>387</v>
      </c>
      <c r="P784" s="43">
        <f t="shared" si="175"/>
        <v>464</v>
      </c>
      <c r="Q784" s="41" t="s">
        <v>679</v>
      </c>
      <c r="R784" s="48" t="str">
        <f t="shared" si="172"/>
        <v>(18,'PS-18-GR5','Poste de Sectionnement n°18 GR5','Thursday-06-jj','Thursday-06-jj',NULL,1,),</v>
      </c>
    </row>
    <row r="785" spans="1:18" ht="20.100000000000001" hidden="1" customHeight="1" x14ac:dyDescent="0.25">
      <c r="A785" s="38">
        <v>19</v>
      </c>
      <c r="B785" s="38" t="s">
        <v>675</v>
      </c>
      <c r="C785" s="38">
        <v>22</v>
      </c>
      <c r="D785" s="39" t="str">
        <f t="shared" si="176"/>
        <v>PS-19-GR5</v>
      </c>
      <c r="E785" s="48" t="str">
        <f t="shared" si="177"/>
        <v>Poste de Sectionnement n°19 GR5</v>
      </c>
      <c r="F785" s="19">
        <v>42887</v>
      </c>
      <c r="G785" s="19">
        <v>42887</v>
      </c>
      <c r="H785" s="41" t="s">
        <v>20</v>
      </c>
      <c r="I785" s="41">
        <v>1</v>
      </c>
      <c r="J785" s="41" t="s">
        <v>3557</v>
      </c>
      <c r="K785" s="41">
        <v>16</v>
      </c>
      <c r="L785" s="41"/>
      <c r="M785" s="41" t="s">
        <v>425</v>
      </c>
      <c r="N785" s="41">
        <v>487</v>
      </c>
      <c r="O785" s="43">
        <v>409</v>
      </c>
      <c r="P785" s="43">
        <f t="shared" si="175"/>
        <v>487</v>
      </c>
      <c r="Q785" s="41" t="s">
        <v>679</v>
      </c>
      <c r="R785" s="48" t="str">
        <f t="shared" si="172"/>
        <v>(19,'PS-19-GR5','Poste de Sectionnement n°19 GR5','Thursday-06-jj','Thursday-06-jj',NULL,1,),</v>
      </c>
    </row>
    <row r="786" spans="1:18" ht="20.100000000000001" hidden="1" customHeight="1" x14ac:dyDescent="0.25">
      <c r="A786" s="38">
        <v>20</v>
      </c>
      <c r="B786" s="38" t="s">
        <v>675</v>
      </c>
      <c r="C786" s="38">
        <v>22</v>
      </c>
      <c r="D786" s="39" t="str">
        <f t="shared" si="176"/>
        <v>PS-20-GR5</v>
      </c>
      <c r="E786" s="48" t="str">
        <f t="shared" si="177"/>
        <v>Poste de Sectionnement n°20 GR5</v>
      </c>
      <c r="F786" s="19">
        <v>42887</v>
      </c>
      <c r="G786" s="19">
        <v>42887</v>
      </c>
      <c r="H786" s="41" t="s">
        <v>20</v>
      </c>
      <c r="I786" s="41">
        <v>1</v>
      </c>
      <c r="J786" s="41" t="s">
        <v>3557</v>
      </c>
      <c r="K786" s="41">
        <v>16</v>
      </c>
      <c r="L786" s="41"/>
      <c r="M786" s="41" t="s">
        <v>425</v>
      </c>
      <c r="N786" s="41">
        <v>510</v>
      </c>
      <c r="O786" s="43">
        <v>453</v>
      </c>
      <c r="P786" s="43">
        <f t="shared" si="175"/>
        <v>510</v>
      </c>
      <c r="Q786" s="41" t="s">
        <v>2753</v>
      </c>
      <c r="R786" s="48" t="str">
        <f t="shared" si="172"/>
        <v>(20,'PS-20-GR5','Poste de Sectionnement n°20 GR5','Thursday-06-jj','Thursday-06-jj',NULL,1,),</v>
      </c>
    </row>
    <row r="787" spans="1:18" ht="20.100000000000001" hidden="1" customHeight="1" x14ac:dyDescent="0.25">
      <c r="A787" s="38">
        <v>21</v>
      </c>
      <c r="B787" s="38" t="s">
        <v>675</v>
      </c>
      <c r="C787" s="38">
        <v>22</v>
      </c>
      <c r="D787" s="39" t="str">
        <f t="shared" si="176"/>
        <v>PS-21-GR5</v>
      </c>
      <c r="E787" s="48" t="str">
        <f t="shared" si="177"/>
        <v>Poste de Sectionnement n°21 GR5</v>
      </c>
      <c r="F787" s="19">
        <v>42887</v>
      </c>
      <c r="G787" s="19">
        <v>42887</v>
      </c>
      <c r="H787" s="41" t="s">
        <v>20</v>
      </c>
      <c r="I787" s="41">
        <v>1</v>
      </c>
      <c r="J787" s="41" t="s">
        <v>3557</v>
      </c>
      <c r="K787" s="41">
        <v>16</v>
      </c>
      <c r="L787" s="41"/>
      <c r="M787" s="41" t="s">
        <v>425</v>
      </c>
      <c r="N787" s="41" t="s">
        <v>2765</v>
      </c>
      <c r="O787" s="43">
        <v>520</v>
      </c>
      <c r="P787" s="43">
        <f t="shared" si="175"/>
        <v>556.61</v>
      </c>
      <c r="Q787" s="41" t="s">
        <v>2753</v>
      </c>
      <c r="R787" s="48" t="str">
        <f t="shared" si="172"/>
        <v>(21,'PS-21-GR5','Poste de Sectionnement n°21 GR5','Thursday-06-jj','Thursday-06-jj',NULL,1,),</v>
      </c>
    </row>
    <row r="788" spans="1:18" ht="20.100000000000001" hidden="1" customHeight="1" x14ac:dyDescent="0.25">
      <c r="A788" s="38">
        <v>22</v>
      </c>
      <c r="B788" s="38" t="s">
        <v>675</v>
      </c>
      <c r="C788" s="38">
        <v>22</v>
      </c>
      <c r="D788" s="39" t="str">
        <f t="shared" si="176"/>
        <v>PS-22-GR5</v>
      </c>
      <c r="E788" s="48" t="str">
        <f t="shared" si="177"/>
        <v>Poste de Sectionnement n°22 GR5</v>
      </c>
      <c r="F788" s="19">
        <v>42887</v>
      </c>
      <c r="G788" s="19">
        <v>42887</v>
      </c>
      <c r="H788" s="41" t="s">
        <v>20</v>
      </c>
      <c r="I788" s="41">
        <v>1</v>
      </c>
      <c r="J788" s="41" t="s">
        <v>3557</v>
      </c>
      <c r="K788" s="41">
        <v>16</v>
      </c>
      <c r="L788" s="41"/>
      <c r="M788" s="41" t="s">
        <v>425</v>
      </c>
      <c r="N788" s="41" t="s">
        <v>2766</v>
      </c>
      <c r="O788" s="43">
        <v>540</v>
      </c>
      <c r="P788" s="43">
        <f t="shared" si="175"/>
        <v>578.47900000000004</v>
      </c>
      <c r="Q788" s="41" t="s">
        <v>2753</v>
      </c>
      <c r="R788" s="48" t="str">
        <f t="shared" si="172"/>
        <v>(22,'PS-22-GR5','Poste de Sectionnement n°22 GR5','Thursday-06-jj','Thursday-06-jj',NULL,1,),</v>
      </c>
    </row>
    <row r="789" spans="1:18" ht="20.100000000000001" hidden="1" customHeight="1" x14ac:dyDescent="0.25">
      <c r="A789" s="38">
        <v>23</v>
      </c>
      <c r="B789" s="38" t="s">
        <v>675</v>
      </c>
      <c r="C789" s="38">
        <v>22</v>
      </c>
      <c r="D789" s="39" t="str">
        <f t="shared" si="176"/>
        <v>PS-23-GR5</v>
      </c>
      <c r="E789" s="48" t="str">
        <f t="shared" si="177"/>
        <v>Poste de Sectionnement n°23 GR5</v>
      </c>
      <c r="F789" s="19">
        <v>42887</v>
      </c>
      <c r="G789" s="19">
        <v>42887</v>
      </c>
      <c r="H789" s="41" t="s">
        <v>20</v>
      </c>
      <c r="I789" s="41">
        <v>1</v>
      </c>
      <c r="J789" s="41" t="s">
        <v>3557</v>
      </c>
      <c r="K789" s="41">
        <v>16</v>
      </c>
      <c r="L789" s="41"/>
      <c r="M789" s="41" t="s">
        <v>425</v>
      </c>
      <c r="N789" s="41" t="s">
        <v>2767</v>
      </c>
      <c r="O789" s="43">
        <v>492</v>
      </c>
      <c r="P789" s="43">
        <f t="shared" si="175"/>
        <v>602.67499999999995</v>
      </c>
      <c r="Q789" s="41" t="s">
        <v>2753</v>
      </c>
      <c r="R789" s="48" t="str">
        <f t="shared" si="172"/>
        <v>(23,'PS-23-GR5','Poste de Sectionnement n°23 GR5','Thursday-06-jj','Thursday-06-jj',NULL,1,),</v>
      </c>
    </row>
    <row r="790" spans="1:18" ht="20.100000000000001" hidden="1" customHeight="1" x14ac:dyDescent="0.25">
      <c r="A790" s="38">
        <v>24</v>
      </c>
      <c r="B790" s="38" t="s">
        <v>675</v>
      </c>
      <c r="C790" s="38">
        <v>22</v>
      </c>
      <c r="D790" s="39" t="str">
        <f t="shared" si="176"/>
        <v>PS-24-GR5</v>
      </c>
      <c r="E790" s="48" t="str">
        <f t="shared" si="177"/>
        <v>Poste de Sectionnement n°24 GR5</v>
      </c>
      <c r="F790" s="19">
        <v>42887</v>
      </c>
      <c r="G790" s="19">
        <v>42887</v>
      </c>
      <c r="H790" s="41" t="s">
        <v>20</v>
      </c>
      <c r="I790" s="41">
        <v>1</v>
      </c>
      <c r="J790" s="41" t="s">
        <v>3557</v>
      </c>
      <c r="K790" s="41">
        <v>16</v>
      </c>
      <c r="L790" s="41"/>
      <c r="M790" s="41" t="s">
        <v>425</v>
      </c>
      <c r="N790" s="41" t="s">
        <v>2768</v>
      </c>
      <c r="O790" s="43">
        <v>511</v>
      </c>
      <c r="P790" s="43">
        <f t="shared" si="175"/>
        <v>626.26099999999997</v>
      </c>
      <c r="Q790" s="41" t="s">
        <v>2756</v>
      </c>
      <c r="R790" s="48" t="str">
        <f t="shared" ref="R790:R815" si="178">CONCATENATE("(",A790,",'",D790,"','",E790,"','",TEXT(F790,"aaaa-mm-jj"),"','",TEXT(G790,"aaaa-mm-jj"),"',",H790,",",I790,",",L790,"),")</f>
        <v>(24,'PS-24-GR5','Poste de Sectionnement n°24 GR5','Thursday-06-jj','Thursday-06-jj',NULL,1,),</v>
      </c>
    </row>
    <row r="791" spans="1:18" ht="20.100000000000001" hidden="1" customHeight="1" x14ac:dyDescent="0.25">
      <c r="A791" s="38">
        <v>25</v>
      </c>
      <c r="B791" s="38" t="s">
        <v>675</v>
      </c>
      <c r="C791" s="38">
        <v>22</v>
      </c>
      <c r="D791" s="39" t="str">
        <f t="shared" si="176"/>
        <v>PS-25-GR5</v>
      </c>
      <c r="E791" s="48" t="str">
        <f t="shared" si="177"/>
        <v>Poste de Sectionnement n°25 GR5</v>
      </c>
      <c r="F791" s="19">
        <v>42887</v>
      </c>
      <c r="G791" s="19">
        <v>42887</v>
      </c>
      <c r="H791" s="41" t="s">
        <v>20</v>
      </c>
      <c r="I791" s="41">
        <v>1</v>
      </c>
      <c r="J791" s="41" t="s">
        <v>3557</v>
      </c>
      <c r="K791" s="41">
        <v>16</v>
      </c>
      <c r="L791" s="41"/>
      <c r="M791" s="41" t="s">
        <v>425</v>
      </c>
      <c r="N791" s="41" t="s">
        <v>2769</v>
      </c>
      <c r="O791" s="43">
        <v>676</v>
      </c>
      <c r="P791" s="43">
        <f t="shared" si="175"/>
        <v>672.21500000000003</v>
      </c>
      <c r="Q791" s="41" t="s">
        <v>2774</v>
      </c>
      <c r="R791" s="48" t="str">
        <f t="shared" si="178"/>
        <v>(25,'PS-25-GR5','Poste de Sectionnement n°25 GR5','Thursday-06-jj','Thursday-06-jj',NULL,1,),</v>
      </c>
    </row>
    <row r="792" spans="1:18" ht="20.100000000000001" hidden="1" customHeight="1" x14ac:dyDescent="0.25">
      <c r="A792" s="38">
        <v>26</v>
      </c>
      <c r="B792" s="38" t="s">
        <v>675</v>
      </c>
      <c r="C792" s="38">
        <v>22</v>
      </c>
      <c r="D792" s="39" t="str">
        <f t="shared" si="176"/>
        <v>PS-26-GR5</v>
      </c>
      <c r="E792" s="48" t="str">
        <f t="shared" si="177"/>
        <v>Poste de Sectionnement n°26 GR5</v>
      </c>
      <c r="F792" s="19">
        <v>42887</v>
      </c>
      <c r="G792" s="19">
        <v>42887</v>
      </c>
      <c r="H792" s="41" t="s">
        <v>20</v>
      </c>
      <c r="I792" s="41">
        <v>1</v>
      </c>
      <c r="J792" s="41" t="s">
        <v>3557</v>
      </c>
      <c r="K792" s="41">
        <v>16</v>
      </c>
      <c r="L792" s="41"/>
      <c r="M792" s="41" t="s">
        <v>425</v>
      </c>
      <c r="N792" s="41" t="s">
        <v>2770</v>
      </c>
      <c r="O792" s="43">
        <v>679</v>
      </c>
      <c r="P792" s="43">
        <f t="shared" si="175"/>
        <v>695.274</v>
      </c>
      <c r="Q792" s="41" t="s">
        <v>2775</v>
      </c>
      <c r="R792" s="48" t="str">
        <f t="shared" si="178"/>
        <v>(26,'PS-26-GR5','Poste de Sectionnement n°26 GR5','Thursday-06-jj','Thursday-06-jj',NULL,1,),</v>
      </c>
    </row>
    <row r="793" spans="1:18" ht="20.100000000000001" hidden="1" customHeight="1" x14ac:dyDescent="0.25">
      <c r="A793" s="38">
        <v>27</v>
      </c>
      <c r="B793" s="38" t="s">
        <v>675</v>
      </c>
      <c r="C793" s="38">
        <v>22</v>
      </c>
      <c r="D793" s="39" t="str">
        <f t="shared" si="176"/>
        <v>PS-27-GR5</v>
      </c>
      <c r="E793" s="48" t="str">
        <f t="shared" si="177"/>
        <v>Poste de Sectionnement n°27 GR5</v>
      </c>
      <c r="F793" s="19">
        <v>42887</v>
      </c>
      <c r="G793" s="19">
        <v>42887</v>
      </c>
      <c r="H793" s="41" t="s">
        <v>20</v>
      </c>
      <c r="I793" s="41">
        <v>1</v>
      </c>
      <c r="J793" s="41" t="s">
        <v>3557</v>
      </c>
      <c r="K793" s="41">
        <v>16</v>
      </c>
      <c r="L793" s="41"/>
      <c r="M793" s="41" t="s">
        <v>425</v>
      </c>
      <c r="N793" s="41" t="s">
        <v>2771</v>
      </c>
      <c r="O793" s="43">
        <v>720</v>
      </c>
      <c r="P793" s="43">
        <f t="shared" si="175"/>
        <v>718.18399999999997</v>
      </c>
      <c r="Q793" s="41" t="s">
        <v>2776</v>
      </c>
      <c r="R793" s="48" t="str">
        <f t="shared" si="178"/>
        <v>(27,'PS-27-GR5','Poste de Sectionnement n°27 GR5','Thursday-06-jj','Thursday-06-jj',NULL,1,),</v>
      </c>
    </row>
    <row r="794" spans="1:18" ht="20.100000000000001" hidden="1" customHeight="1" x14ac:dyDescent="0.25">
      <c r="A794" s="38">
        <v>28</v>
      </c>
      <c r="B794" s="38" t="s">
        <v>675</v>
      </c>
      <c r="C794" s="38">
        <v>22</v>
      </c>
      <c r="D794" s="39" t="str">
        <f t="shared" si="176"/>
        <v>PS-28-GR5</v>
      </c>
      <c r="E794" s="48" t="str">
        <f t="shared" si="177"/>
        <v>Poste de Sectionnement n°28 GR5</v>
      </c>
      <c r="F794" s="19">
        <v>42887</v>
      </c>
      <c r="G794" s="19">
        <v>42887</v>
      </c>
      <c r="H794" s="41" t="s">
        <v>20</v>
      </c>
      <c r="I794" s="41">
        <v>1</v>
      </c>
      <c r="J794" s="41" t="s">
        <v>3557</v>
      </c>
      <c r="K794" s="41">
        <v>16</v>
      </c>
      <c r="L794" s="41"/>
      <c r="M794" s="41" t="s">
        <v>425</v>
      </c>
      <c r="N794" s="41" t="s">
        <v>2772</v>
      </c>
      <c r="O794" s="43">
        <v>750</v>
      </c>
      <c r="P794" s="43">
        <f t="shared" si="175"/>
        <v>741.23</v>
      </c>
      <c r="Q794" s="41" t="s">
        <v>2776</v>
      </c>
      <c r="R794" s="48" t="str">
        <f t="shared" si="178"/>
        <v>(28,'PS-28-GR5','Poste de Sectionnement n°28 GR5','Thursday-06-jj','Thursday-06-jj',NULL,1,),</v>
      </c>
    </row>
    <row r="795" spans="1:18" ht="20.100000000000001" hidden="1" customHeight="1" x14ac:dyDescent="0.25">
      <c r="A795" s="38">
        <v>1</v>
      </c>
      <c r="B795" s="38" t="s">
        <v>675</v>
      </c>
      <c r="C795" s="38">
        <v>22</v>
      </c>
      <c r="D795" s="39" t="str">
        <f t="shared" si="176"/>
        <v>PS-01-GR7</v>
      </c>
      <c r="E795" s="48" t="str">
        <f t="shared" si="177"/>
        <v>Poste de Sectionnement n°01 GR7</v>
      </c>
      <c r="F795" s="19">
        <v>43830</v>
      </c>
      <c r="G795" s="19">
        <v>43830</v>
      </c>
      <c r="H795" s="41" t="s">
        <v>20</v>
      </c>
      <c r="I795" s="41">
        <v>1</v>
      </c>
      <c r="J795" s="41" t="s">
        <v>3557</v>
      </c>
      <c r="K795" s="41">
        <v>16</v>
      </c>
      <c r="L795" s="41"/>
      <c r="M795" s="41" t="s">
        <v>431</v>
      </c>
      <c r="N795" s="41">
        <v>22</v>
      </c>
      <c r="O795" s="43">
        <v>414</v>
      </c>
      <c r="P795" s="43">
        <f t="shared" si="175"/>
        <v>22</v>
      </c>
      <c r="Q795" s="41" t="s">
        <v>2777</v>
      </c>
      <c r="R795" s="48" t="str">
        <f t="shared" si="178"/>
        <v>(1,'PS-01-GR7','Poste de Sectionnement n°01 GR7','Tuesday-12-jj','Tuesday-12-jj',NULL,1,),</v>
      </c>
    </row>
    <row r="796" spans="1:18" ht="20.100000000000001" hidden="1" customHeight="1" x14ac:dyDescent="0.25">
      <c r="A796" s="38">
        <v>2</v>
      </c>
      <c r="B796" s="38" t="s">
        <v>675</v>
      </c>
      <c r="C796" s="38">
        <v>22</v>
      </c>
      <c r="D796" s="39" t="str">
        <f t="shared" si="176"/>
        <v>PS-02-GR7</v>
      </c>
      <c r="E796" s="48" t="str">
        <f t="shared" si="177"/>
        <v>Poste de Sectionnement n°02 GR7</v>
      </c>
      <c r="F796" s="19">
        <v>43830</v>
      </c>
      <c r="G796" s="19">
        <v>43830</v>
      </c>
      <c r="H796" s="41" t="s">
        <v>20</v>
      </c>
      <c r="I796" s="41">
        <v>1</v>
      </c>
      <c r="J796" s="41" t="s">
        <v>3557</v>
      </c>
      <c r="K796" s="41">
        <v>16</v>
      </c>
      <c r="L796" s="41"/>
      <c r="M796" s="41" t="s">
        <v>431</v>
      </c>
      <c r="N796" s="41">
        <v>46</v>
      </c>
      <c r="O796" s="43">
        <v>383</v>
      </c>
      <c r="P796" s="43">
        <f t="shared" si="175"/>
        <v>46</v>
      </c>
      <c r="Q796" s="41" t="s">
        <v>2777</v>
      </c>
      <c r="R796" s="48" t="str">
        <f t="shared" si="178"/>
        <v>(2,'PS-02-GR7','Poste de Sectionnement n°02 GR7','Tuesday-12-jj','Tuesday-12-jj',NULL,1,),</v>
      </c>
    </row>
    <row r="797" spans="1:18" ht="20.100000000000001" hidden="1" customHeight="1" x14ac:dyDescent="0.25">
      <c r="A797" s="38">
        <v>3</v>
      </c>
      <c r="B797" s="38" t="s">
        <v>675</v>
      </c>
      <c r="C797" s="38">
        <v>22</v>
      </c>
      <c r="D797" s="39" t="str">
        <f t="shared" ref="D797:D807" si="179">CONCATENATE("PS-",TEXT(A797,"00"),"-",M797)</f>
        <v>PS-03-GR7</v>
      </c>
      <c r="E797" s="48" t="str">
        <f t="shared" ref="E797:E807" si="180">CONCATENATE("Poste de Sectionnement n°",TEXT(A797,"00")," ",M797)</f>
        <v>Poste de Sectionnement n°03 GR7</v>
      </c>
      <c r="F797" s="19">
        <v>43830</v>
      </c>
      <c r="G797" s="19">
        <v>43830</v>
      </c>
      <c r="H797" s="41" t="s">
        <v>20</v>
      </c>
      <c r="I797" s="41">
        <v>1</v>
      </c>
      <c r="J797" s="41" t="s">
        <v>3557</v>
      </c>
      <c r="K797" s="41">
        <v>16</v>
      </c>
      <c r="L797" s="41"/>
      <c r="M797" s="41" t="s">
        <v>431</v>
      </c>
      <c r="N797" s="41">
        <v>69</v>
      </c>
      <c r="O797" s="43">
        <v>404</v>
      </c>
      <c r="P797" s="43">
        <f t="shared" si="175"/>
        <v>69</v>
      </c>
      <c r="Q797" s="41" t="s">
        <v>2777</v>
      </c>
      <c r="R797" s="48" t="str">
        <f t="shared" si="178"/>
        <v>(3,'PS-03-GR7','Poste de Sectionnement n°03 GR7','Tuesday-12-jj','Tuesday-12-jj',NULL,1,),</v>
      </c>
    </row>
    <row r="798" spans="1:18" ht="20.100000000000001" hidden="1" customHeight="1" x14ac:dyDescent="0.25">
      <c r="A798" s="38">
        <v>4</v>
      </c>
      <c r="B798" s="38" t="s">
        <v>675</v>
      </c>
      <c r="C798" s="38">
        <v>22</v>
      </c>
      <c r="D798" s="39" t="str">
        <f t="shared" si="179"/>
        <v>PS-04-GR7</v>
      </c>
      <c r="E798" s="48" t="str">
        <f t="shared" si="180"/>
        <v>Poste de Sectionnement n°04 GR7</v>
      </c>
      <c r="F798" s="19">
        <v>43830</v>
      </c>
      <c r="G798" s="19">
        <v>43830</v>
      </c>
      <c r="H798" s="41" t="s">
        <v>20</v>
      </c>
      <c r="I798" s="41">
        <v>1</v>
      </c>
      <c r="J798" s="41" t="s">
        <v>3557</v>
      </c>
      <c r="K798" s="41">
        <v>16</v>
      </c>
      <c r="L798" s="41"/>
      <c r="M798" s="41" t="s">
        <v>431</v>
      </c>
      <c r="N798" s="41">
        <v>91</v>
      </c>
      <c r="O798" s="43">
        <v>457</v>
      </c>
      <c r="P798" s="43">
        <f t="shared" si="175"/>
        <v>91</v>
      </c>
      <c r="Q798" s="41" t="s">
        <v>2778</v>
      </c>
      <c r="R798" s="48" t="str">
        <f t="shared" si="178"/>
        <v>(4,'PS-04-GR7','Poste de Sectionnement n°04 GR7','Tuesday-12-jj','Tuesday-12-jj',NULL,1,),</v>
      </c>
    </row>
    <row r="799" spans="1:18" ht="20.100000000000001" hidden="1" customHeight="1" x14ac:dyDescent="0.25">
      <c r="A799" s="38">
        <v>5</v>
      </c>
      <c r="B799" s="38" t="s">
        <v>675</v>
      </c>
      <c r="C799" s="38">
        <v>22</v>
      </c>
      <c r="D799" s="39" t="str">
        <f t="shared" si="179"/>
        <v>PS-05-GR7</v>
      </c>
      <c r="E799" s="48" t="str">
        <f t="shared" si="180"/>
        <v>Poste de Sectionnement n°05 GR7</v>
      </c>
      <c r="F799" s="19">
        <v>43830</v>
      </c>
      <c r="G799" s="19">
        <v>43830</v>
      </c>
      <c r="H799" s="41" t="s">
        <v>20</v>
      </c>
      <c r="I799" s="41">
        <v>1</v>
      </c>
      <c r="J799" s="41" t="s">
        <v>3557</v>
      </c>
      <c r="K799" s="41">
        <v>16</v>
      </c>
      <c r="L799" s="41"/>
      <c r="M799" s="41" t="s">
        <v>431</v>
      </c>
      <c r="N799" s="41">
        <v>139</v>
      </c>
      <c r="O799" s="43">
        <v>497</v>
      </c>
      <c r="P799" s="43">
        <f t="shared" si="175"/>
        <v>139</v>
      </c>
      <c r="Q799" s="41" t="s">
        <v>2778</v>
      </c>
      <c r="R799" s="48" t="str">
        <f t="shared" si="178"/>
        <v>(5,'PS-05-GR7','Poste de Sectionnement n°05 GR7','Tuesday-12-jj','Tuesday-12-jj',NULL,1,),</v>
      </c>
    </row>
    <row r="800" spans="1:18" ht="20.100000000000001" hidden="1" customHeight="1" x14ac:dyDescent="0.25">
      <c r="A800" s="38">
        <v>6</v>
      </c>
      <c r="B800" s="38" t="s">
        <v>675</v>
      </c>
      <c r="C800" s="38">
        <v>22</v>
      </c>
      <c r="D800" s="39" t="str">
        <f t="shared" si="179"/>
        <v>PS-06-GR7</v>
      </c>
      <c r="E800" s="48" t="str">
        <f t="shared" si="180"/>
        <v>Poste de Sectionnement n°06 GR7</v>
      </c>
      <c r="F800" s="19">
        <v>43830</v>
      </c>
      <c r="G800" s="19">
        <v>43830</v>
      </c>
      <c r="H800" s="41" t="s">
        <v>20</v>
      </c>
      <c r="I800" s="41">
        <v>1</v>
      </c>
      <c r="J800" s="41" t="s">
        <v>3557</v>
      </c>
      <c r="K800" s="41">
        <v>16</v>
      </c>
      <c r="L800" s="41"/>
      <c r="M800" s="41" t="s">
        <v>431</v>
      </c>
      <c r="N800" s="41">
        <v>161</v>
      </c>
      <c r="O800" s="43">
        <v>507</v>
      </c>
      <c r="P800" s="43">
        <f t="shared" si="175"/>
        <v>161</v>
      </c>
      <c r="Q800" s="41" t="s">
        <v>2778</v>
      </c>
      <c r="R800" s="48" t="str">
        <f t="shared" si="178"/>
        <v>(6,'PS-06-GR7','Poste de Sectionnement n°06 GR7','Tuesday-12-jj','Tuesday-12-jj',NULL,1,),</v>
      </c>
    </row>
    <row r="801" spans="1:18" ht="20.100000000000001" hidden="1" customHeight="1" x14ac:dyDescent="0.25">
      <c r="A801" s="38">
        <v>7</v>
      </c>
      <c r="B801" s="38" t="s">
        <v>675</v>
      </c>
      <c r="C801" s="38">
        <v>22</v>
      </c>
      <c r="D801" s="39" t="str">
        <f t="shared" si="179"/>
        <v>PS-07-GR7</v>
      </c>
      <c r="E801" s="48" t="str">
        <f t="shared" si="180"/>
        <v>Poste de Sectionnement n°07 GR7</v>
      </c>
      <c r="F801" s="19">
        <v>43830</v>
      </c>
      <c r="G801" s="19">
        <v>43830</v>
      </c>
      <c r="H801" s="41" t="s">
        <v>20</v>
      </c>
      <c r="I801" s="41">
        <v>1</v>
      </c>
      <c r="J801" s="41" t="s">
        <v>3557</v>
      </c>
      <c r="K801" s="41">
        <v>16</v>
      </c>
      <c r="L801" s="41"/>
      <c r="M801" s="41" t="s">
        <v>431</v>
      </c>
      <c r="N801" s="41">
        <v>185</v>
      </c>
      <c r="O801" s="43">
        <v>492</v>
      </c>
      <c r="P801" s="43">
        <f t="shared" si="175"/>
        <v>185</v>
      </c>
      <c r="Q801" s="41" t="s">
        <v>2778</v>
      </c>
      <c r="R801" s="48" t="str">
        <f t="shared" si="178"/>
        <v>(7,'PS-07-GR7','Poste de Sectionnement n°07 GR7','Tuesday-12-jj','Tuesday-12-jj',NULL,1,),</v>
      </c>
    </row>
    <row r="802" spans="1:18" ht="20.100000000000001" hidden="1" customHeight="1" x14ac:dyDescent="0.25">
      <c r="A802" s="38">
        <v>8</v>
      </c>
      <c r="B802" s="38" t="s">
        <v>675</v>
      </c>
      <c r="C802" s="38">
        <v>22</v>
      </c>
      <c r="D802" s="39" t="str">
        <f t="shared" si="179"/>
        <v>PS-08-GR7</v>
      </c>
      <c r="E802" s="48" t="str">
        <f t="shared" si="180"/>
        <v>Poste de Sectionnement n°08 GR7</v>
      </c>
      <c r="F802" s="19">
        <v>43830</v>
      </c>
      <c r="G802" s="19">
        <v>43830</v>
      </c>
      <c r="H802" s="41" t="s">
        <v>20</v>
      </c>
      <c r="I802" s="41">
        <v>1</v>
      </c>
      <c r="J802" s="41" t="s">
        <v>3557</v>
      </c>
      <c r="K802" s="41">
        <v>16</v>
      </c>
      <c r="L802" s="41"/>
      <c r="M802" s="41" t="s">
        <v>431</v>
      </c>
      <c r="N802" s="41">
        <v>207</v>
      </c>
      <c r="O802" s="43">
        <v>511</v>
      </c>
      <c r="P802" s="43">
        <f t="shared" si="175"/>
        <v>207</v>
      </c>
      <c r="Q802" s="41" t="s">
        <v>2778</v>
      </c>
      <c r="R802" s="48" t="str">
        <f t="shared" si="178"/>
        <v>(8,'PS-08-GR7','Poste de Sectionnement n°08 GR7','Tuesday-12-jj','Tuesday-12-jj',NULL,1,),</v>
      </c>
    </row>
    <row r="803" spans="1:18" ht="20.100000000000001" hidden="1" customHeight="1" x14ac:dyDescent="0.25">
      <c r="A803" s="38">
        <v>9</v>
      </c>
      <c r="B803" s="38" t="s">
        <v>675</v>
      </c>
      <c r="C803" s="38">
        <v>22</v>
      </c>
      <c r="D803" s="39" t="str">
        <f t="shared" si="179"/>
        <v>PS-09-GR7</v>
      </c>
      <c r="E803" s="48" t="str">
        <f t="shared" si="180"/>
        <v>Poste de Sectionnement n°09 GR7</v>
      </c>
      <c r="F803" s="19">
        <v>43830</v>
      </c>
      <c r="G803" s="19">
        <v>43830</v>
      </c>
      <c r="H803" s="41" t="s">
        <v>20</v>
      </c>
      <c r="I803" s="41">
        <v>1</v>
      </c>
      <c r="J803" s="41" t="s">
        <v>3557</v>
      </c>
      <c r="K803" s="41">
        <v>16</v>
      </c>
      <c r="L803" s="41"/>
      <c r="M803" s="41" t="s">
        <v>431</v>
      </c>
      <c r="N803" s="41">
        <v>253</v>
      </c>
      <c r="O803" s="43">
        <v>676</v>
      </c>
      <c r="P803" s="43">
        <f t="shared" si="175"/>
        <v>253</v>
      </c>
      <c r="Q803" s="41" t="s">
        <v>2779</v>
      </c>
      <c r="R803" s="48" t="str">
        <f t="shared" si="178"/>
        <v>(9,'PS-09-GR7','Poste de Sectionnement n°09 GR7','Tuesday-12-jj','Tuesday-12-jj',NULL,1,),</v>
      </c>
    </row>
    <row r="804" spans="1:18" ht="20.100000000000001" hidden="1" customHeight="1" x14ac:dyDescent="0.25">
      <c r="A804" s="38">
        <v>10</v>
      </c>
      <c r="B804" s="38" t="s">
        <v>675</v>
      </c>
      <c r="C804" s="38">
        <v>22</v>
      </c>
      <c r="D804" s="39" t="str">
        <f t="shared" si="179"/>
        <v>PS-10-GR7</v>
      </c>
      <c r="E804" s="48" t="str">
        <f t="shared" si="180"/>
        <v>Poste de Sectionnement n°10 GR7</v>
      </c>
      <c r="F804" s="19">
        <v>43830</v>
      </c>
      <c r="G804" s="19">
        <v>43830</v>
      </c>
      <c r="H804" s="41" t="s">
        <v>20</v>
      </c>
      <c r="I804" s="41">
        <v>1</v>
      </c>
      <c r="J804" s="41" t="s">
        <v>3557</v>
      </c>
      <c r="K804" s="41">
        <v>16</v>
      </c>
      <c r="L804" s="41"/>
      <c r="M804" s="41" t="s">
        <v>431</v>
      </c>
      <c r="N804" s="41">
        <v>275</v>
      </c>
      <c r="O804" s="43">
        <v>679</v>
      </c>
      <c r="P804" s="43">
        <f t="shared" si="175"/>
        <v>275</v>
      </c>
      <c r="Q804" s="41" t="s">
        <v>2780</v>
      </c>
      <c r="R804" s="48" t="str">
        <f t="shared" si="178"/>
        <v>(10,'PS-10-GR7','Poste de Sectionnement n°10 GR7','Tuesday-12-jj','Tuesday-12-jj',NULL,1,),</v>
      </c>
    </row>
    <row r="805" spans="1:18" ht="20.100000000000001" hidden="1" customHeight="1" x14ac:dyDescent="0.25">
      <c r="A805" s="38">
        <v>11</v>
      </c>
      <c r="B805" s="38" t="s">
        <v>675</v>
      </c>
      <c r="C805" s="38">
        <v>22</v>
      </c>
      <c r="D805" s="39" t="str">
        <f t="shared" si="179"/>
        <v>PS-11-GR7</v>
      </c>
      <c r="E805" s="48" t="str">
        <f t="shared" si="180"/>
        <v>Poste de Sectionnement n°11 GR7</v>
      </c>
      <c r="F805" s="19">
        <v>43830</v>
      </c>
      <c r="G805" s="19">
        <v>43830</v>
      </c>
      <c r="H805" s="41" t="s">
        <v>20</v>
      </c>
      <c r="I805" s="41">
        <v>1</v>
      </c>
      <c r="J805" s="41" t="s">
        <v>3557</v>
      </c>
      <c r="K805" s="41">
        <v>16</v>
      </c>
      <c r="L805" s="41"/>
      <c r="M805" s="41" t="s">
        <v>431</v>
      </c>
      <c r="N805" s="41">
        <v>299</v>
      </c>
      <c r="O805" s="43">
        <v>720</v>
      </c>
      <c r="P805" s="43">
        <f t="shared" si="175"/>
        <v>299</v>
      </c>
      <c r="Q805" s="41" t="s">
        <v>2781</v>
      </c>
      <c r="R805" s="48" t="str">
        <f t="shared" si="178"/>
        <v>(11,'PS-11-GR7','Poste de Sectionnement n°11 GR7','Tuesday-12-jj','Tuesday-12-jj',NULL,1,),</v>
      </c>
    </row>
    <row r="806" spans="1:18" ht="20.100000000000001" hidden="1" customHeight="1" x14ac:dyDescent="0.25">
      <c r="A806" s="38">
        <v>12</v>
      </c>
      <c r="B806" s="38" t="s">
        <v>675</v>
      </c>
      <c r="C806" s="38">
        <v>22</v>
      </c>
      <c r="D806" s="39" t="str">
        <f t="shared" si="179"/>
        <v>PS-12-GR7</v>
      </c>
      <c r="E806" s="48" t="str">
        <f t="shared" si="180"/>
        <v>Poste de Sectionnement n°12 GR7</v>
      </c>
      <c r="F806" s="19">
        <v>43830</v>
      </c>
      <c r="G806" s="19">
        <v>43830</v>
      </c>
      <c r="H806" s="41" t="s">
        <v>20</v>
      </c>
      <c r="I806" s="41">
        <v>1</v>
      </c>
      <c r="J806" s="41" t="s">
        <v>3557</v>
      </c>
      <c r="K806" s="41">
        <v>16</v>
      </c>
      <c r="L806" s="41"/>
      <c r="M806" s="41" t="s">
        <v>431</v>
      </c>
      <c r="N806" s="41">
        <v>322</v>
      </c>
      <c r="O806" s="43">
        <v>750</v>
      </c>
      <c r="P806" s="43">
        <f t="shared" si="175"/>
        <v>322</v>
      </c>
      <c r="Q806" s="41" t="s">
        <v>2782</v>
      </c>
      <c r="R806" s="48" t="str">
        <f t="shared" si="178"/>
        <v>(12,'PS-12-GR7','Poste de Sectionnement n°12 GR7','Tuesday-12-jj','Tuesday-12-jj',NULL,1,),</v>
      </c>
    </row>
    <row r="807" spans="1:18" ht="20.100000000000001" hidden="1" customHeight="1" x14ac:dyDescent="0.25">
      <c r="A807" s="38">
        <v>1</v>
      </c>
      <c r="B807" s="38" t="s">
        <v>319</v>
      </c>
      <c r="C807" s="38">
        <v>5</v>
      </c>
      <c r="D807" s="39" t="str">
        <f t="shared" si="179"/>
        <v>PS-01-OH1</v>
      </c>
      <c r="E807" s="48" t="str">
        <f t="shared" si="180"/>
        <v>Poste de Sectionnement n°01 OH1</v>
      </c>
      <c r="F807" s="19">
        <v>29952</v>
      </c>
      <c r="G807" s="19">
        <v>29952</v>
      </c>
      <c r="H807" s="41" t="s">
        <v>20</v>
      </c>
      <c r="I807" s="41">
        <v>1</v>
      </c>
      <c r="J807" s="41" t="s">
        <v>3557</v>
      </c>
      <c r="K807" s="41">
        <v>16</v>
      </c>
      <c r="L807" s="41"/>
      <c r="M807" s="41" t="s">
        <v>319</v>
      </c>
      <c r="N807" s="41" t="s">
        <v>972</v>
      </c>
      <c r="O807" s="43">
        <f t="shared" ref="O807" si="181">VALUE(RIGHT(N807,LEN(N807)-SEARCH("/",N807)))</f>
        <v>544</v>
      </c>
      <c r="P807" s="43">
        <f t="shared" ref="P807" si="182">VALUE(SUBSTITUTE(LEFT(N807,SEARCH("/",N807)-1),"+",","))</f>
        <v>54.1</v>
      </c>
      <c r="Q807" s="41" t="s">
        <v>3299</v>
      </c>
      <c r="R807" s="48" t="str">
        <f t="shared" si="178"/>
        <v>(1,'PS-01-OH1','Poste de Sectionnement n°01 OH1','Friday-01-jj','Friday-01-jj',NULL,1,),</v>
      </c>
    </row>
    <row r="808" spans="1:18" ht="20.100000000000001" hidden="1" customHeight="1" x14ac:dyDescent="0.25">
      <c r="A808" s="38" t="s">
        <v>3629</v>
      </c>
      <c r="B808" s="38" t="s">
        <v>319</v>
      </c>
      <c r="C808" s="38">
        <v>5</v>
      </c>
      <c r="D808" s="39" t="str">
        <f t="shared" ref="D808:D815" si="183">CONCATENATE("PS-",TEXT(A808,"00"),"-",M808)</f>
        <v>PS-01Bis-OH1</v>
      </c>
      <c r="E808" s="48" t="str">
        <f t="shared" ref="E808:E815" si="184">CONCATENATE("Poste de Sectionnement n°",TEXT(A808,"00")," ",M808)</f>
        <v>Poste de Sectionnement n°01Bis OH1</v>
      </c>
      <c r="F808" s="19">
        <v>29952</v>
      </c>
      <c r="G808" s="19">
        <v>29952</v>
      </c>
      <c r="H808" s="41" t="s">
        <v>20</v>
      </c>
      <c r="I808" s="41">
        <v>1</v>
      </c>
      <c r="J808" s="41" t="s">
        <v>3557</v>
      </c>
      <c r="K808" s="41">
        <v>16</v>
      </c>
      <c r="L808" s="41"/>
      <c r="M808" s="41" t="s">
        <v>319</v>
      </c>
      <c r="N808" s="41" t="s">
        <v>1109</v>
      </c>
      <c r="O808" s="43">
        <f t="shared" ref="O808:O815" si="185">VALUE(RIGHT(N808,LEN(N808)-SEARCH("/",N808)))</f>
        <v>700</v>
      </c>
      <c r="P808" s="43">
        <f t="shared" ref="P808:P815" si="186">VALUE(SUBSTITUTE(LEFT(N808,SEARCH("/",N808)-1),"+",","))</f>
        <v>66</v>
      </c>
      <c r="Q808" s="41" t="s">
        <v>3299</v>
      </c>
      <c r="R808" s="48" t="str">
        <f t="shared" si="178"/>
        <v>(01Bis,'PS-01Bis-OH1','Poste de Sectionnement n°01Bis OH1','Friday-01-jj','Friday-01-jj',NULL,1,),</v>
      </c>
    </row>
    <row r="809" spans="1:18" ht="20.100000000000001" hidden="1" customHeight="1" x14ac:dyDescent="0.25">
      <c r="A809" s="38">
        <v>2</v>
      </c>
      <c r="B809" s="38" t="s">
        <v>319</v>
      </c>
      <c r="C809" s="38">
        <v>5</v>
      </c>
      <c r="D809" s="39" t="str">
        <f t="shared" si="183"/>
        <v>PS-02-OH1</v>
      </c>
      <c r="E809" s="48" t="str">
        <f t="shared" si="184"/>
        <v>Poste de Sectionnement n°02 OH1</v>
      </c>
      <c r="F809" s="19">
        <v>29952</v>
      </c>
      <c r="G809" s="19">
        <v>29952</v>
      </c>
      <c r="H809" s="41" t="s">
        <v>20</v>
      </c>
      <c r="I809" s="41">
        <v>1</v>
      </c>
      <c r="J809" s="41" t="s">
        <v>3557</v>
      </c>
      <c r="K809" s="41">
        <v>16</v>
      </c>
      <c r="L809" s="41"/>
      <c r="M809" s="41" t="s">
        <v>319</v>
      </c>
      <c r="N809" s="41" t="s">
        <v>3292</v>
      </c>
      <c r="O809" s="43">
        <f t="shared" si="185"/>
        <v>515</v>
      </c>
      <c r="P809" s="43">
        <f t="shared" si="186"/>
        <v>152.5</v>
      </c>
      <c r="Q809" s="41" t="s">
        <v>1721</v>
      </c>
      <c r="R809" s="48" t="str">
        <f t="shared" si="178"/>
        <v>(2,'PS-02-OH1','Poste de Sectionnement n°02 OH1','Friday-01-jj','Friday-01-jj',NULL,1,),</v>
      </c>
    </row>
    <row r="810" spans="1:18" ht="20.100000000000001" hidden="1" customHeight="1" x14ac:dyDescent="0.25">
      <c r="A810" s="38">
        <v>3</v>
      </c>
      <c r="B810" s="38" t="s">
        <v>319</v>
      </c>
      <c r="C810" s="38">
        <v>5</v>
      </c>
      <c r="D810" s="39" t="str">
        <f t="shared" si="183"/>
        <v>PS-03-OH1</v>
      </c>
      <c r="E810" s="48" t="str">
        <f t="shared" si="184"/>
        <v>Poste de Sectionnement n°03 OH1</v>
      </c>
      <c r="F810" s="19">
        <v>29952</v>
      </c>
      <c r="G810" s="19">
        <v>29952</v>
      </c>
      <c r="H810" s="41" t="s">
        <v>20</v>
      </c>
      <c r="I810" s="41">
        <v>1</v>
      </c>
      <c r="J810" s="41" t="s">
        <v>3557</v>
      </c>
      <c r="K810" s="41">
        <v>16</v>
      </c>
      <c r="L810" s="41"/>
      <c r="M810" s="41" t="s">
        <v>319</v>
      </c>
      <c r="N810" s="41" t="s">
        <v>3293</v>
      </c>
      <c r="O810" s="43">
        <f t="shared" si="185"/>
        <v>438</v>
      </c>
      <c r="P810" s="43">
        <f t="shared" si="186"/>
        <v>190.4</v>
      </c>
      <c r="Q810" s="41" t="s">
        <v>1722</v>
      </c>
      <c r="R810" s="48" t="str">
        <f t="shared" si="178"/>
        <v>(3,'PS-03-OH1','Poste de Sectionnement n°03 OH1','Friday-01-jj','Friday-01-jj',NULL,1,),</v>
      </c>
    </row>
    <row r="811" spans="1:18" ht="20.100000000000001" hidden="1" customHeight="1" x14ac:dyDescent="0.25">
      <c r="A811" s="38">
        <v>4</v>
      </c>
      <c r="B811" s="38" t="s">
        <v>319</v>
      </c>
      <c r="C811" s="38">
        <v>5</v>
      </c>
      <c r="D811" s="39" t="str">
        <f t="shared" si="183"/>
        <v>PS-04-OH1</v>
      </c>
      <c r="E811" s="48" t="str">
        <f t="shared" si="184"/>
        <v>Poste de Sectionnement n°04 OH1</v>
      </c>
      <c r="F811" s="19">
        <v>29952</v>
      </c>
      <c r="G811" s="19">
        <v>29952</v>
      </c>
      <c r="H811" s="41" t="s">
        <v>20</v>
      </c>
      <c r="I811" s="41">
        <v>1</v>
      </c>
      <c r="J811" s="41" t="s">
        <v>3557</v>
      </c>
      <c r="K811" s="41">
        <v>16</v>
      </c>
      <c r="L811" s="41"/>
      <c r="M811" s="41" t="s">
        <v>319</v>
      </c>
      <c r="N811" s="41" t="s">
        <v>3294</v>
      </c>
      <c r="O811" s="43">
        <f t="shared" si="185"/>
        <v>373</v>
      </c>
      <c r="P811" s="43">
        <f t="shared" si="186"/>
        <v>230.4</v>
      </c>
      <c r="Q811" s="41" t="s">
        <v>1722</v>
      </c>
      <c r="R811" s="48" t="str">
        <f t="shared" si="178"/>
        <v>(4,'PS-04-OH1','Poste de Sectionnement n°04 OH1','Friday-01-jj','Friday-01-jj',NULL,1,),</v>
      </c>
    </row>
    <row r="812" spans="1:18" ht="20.100000000000001" hidden="1" customHeight="1" x14ac:dyDescent="0.25">
      <c r="A812" s="38">
        <v>5</v>
      </c>
      <c r="B812" s="38" t="s">
        <v>319</v>
      </c>
      <c r="C812" s="38">
        <v>5</v>
      </c>
      <c r="D812" s="39" t="str">
        <f t="shared" si="183"/>
        <v>PS-05-OH1</v>
      </c>
      <c r="E812" s="48" t="str">
        <f t="shared" si="184"/>
        <v>Poste de Sectionnement n°05 OH1</v>
      </c>
      <c r="F812" s="19">
        <v>29952</v>
      </c>
      <c r="G812" s="19">
        <v>29952</v>
      </c>
      <c r="H812" s="41" t="s">
        <v>20</v>
      </c>
      <c r="I812" s="41">
        <v>1</v>
      </c>
      <c r="J812" s="41" t="s">
        <v>3557</v>
      </c>
      <c r="K812" s="41">
        <v>16</v>
      </c>
      <c r="L812" s="41"/>
      <c r="M812" s="41" t="s">
        <v>319</v>
      </c>
      <c r="N812" s="41" t="s">
        <v>3295</v>
      </c>
      <c r="O812" s="43">
        <f t="shared" si="185"/>
        <v>263</v>
      </c>
      <c r="P812" s="43">
        <f t="shared" si="186"/>
        <v>314.10000000000002</v>
      </c>
      <c r="Q812" s="41" t="s">
        <v>1722</v>
      </c>
      <c r="R812" s="48" t="str">
        <f t="shared" si="178"/>
        <v>(5,'PS-05-OH1','Poste de Sectionnement n°05 OH1','Friday-01-jj','Friday-01-jj',NULL,1,),</v>
      </c>
    </row>
    <row r="813" spans="1:18" ht="20.100000000000001" hidden="1" customHeight="1" x14ac:dyDescent="0.25">
      <c r="A813" s="38">
        <v>6</v>
      </c>
      <c r="B813" s="38" t="s">
        <v>319</v>
      </c>
      <c r="C813" s="38">
        <v>5</v>
      </c>
      <c r="D813" s="39" t="str">
        <f t="shared" si="183"/>
        <v>PS-06-OH1</v>
      </c>
      <c r="E813" s="48" t="str">
        <f t="shared" si="184"/>
        <v>Poste de Sectionnement n°06 OH1</v>
      </c>
      <c r="F813" s="19">
        <v>29952</v>
      </c>
      <c r="G813" s="19">
        <v>29952</v>
      </c>
      <c r="H813" s="41" t="s">
        <v>20</v>
      </c>
      <c r="I813" s="41">
        <v>1</v>
      </c>
      <c r="J813" s="41" t="s">
        <v>3557</v>
      </c>
      <c r="K813" s="41">
        <v>16</v>
      </c>
      <c r="L813" s="41"/>
      <c r="M813" s="41" t="s">
        <v>319</v>
      </c>
      <c r="N813" s="41" t="s">
        <v>3296</v>
      </c>
      <c r="O813" s="43">
        <f t="shared" si="185"/>
        <v>226</v>
      </c>
      <c r="P813" s="43">
        <f t="shared" si="186"/>
        <v>406.5</v>
      </c>
      <c r="Q813" s="41" t="s">
        <v>998</v>
      </c>
      <c r="R813" s="48" t="str">
        <f t="shared" si="178"/>
        <v>(6,'PS-06-OH1','Poste de Sectionnement n°06 OH1','Friday-01-jj','Friday-01-jj',NULL,1,),</v>
      </c>
    </row>
    <row r="814" spans="1:18" ht="20.100000000000001" hidden="1" customHeight="1" x14ac:dyDescent="0.25">
      <c r="A814" s="38">
        <v>7</v>
      </c>
      <c r="B814" s="38" t="s">
        <v>319</v>
      </c>
      <c r="C814" s="38">
        <v>5</v>
      </c>
      <c r="D814" s="39" t="str">
        <f t="shared" si="183"/>
        <v>PS-07-OH1</v>
      </c>
      <c r="E814" s="48" t="str">
        <f t="shared" si="184"/>
        <v>Poste de Sectionnement n°07 OH1</v>
      </c>
      <c r="F814" s="19">
        <v>29952</v>
      </c>
      <c r="G814" s="19">
        <v>29952</v>
      </c>
      <c r="H814" s="41" t="s">
        <v>20</v>
      </c>
      <c r="I814" s="41">
        <v>1</v>
      </c>
      <c r="J814" s="41" t="s">
        <v>3557</v>
      </c>
      <c r="K814" s="41">
        <v>16</v>
      </c>
      <c r="L814" s="41"/>
      <c r="M814" s="41" t="s">
        <v>319</v>
      </c>
      <c r="N814" s="41" t="s">
        <v>3297</v>
      </c>
      <c r="O814" s="43">
        <f t="shared" si="185"/>
        <v>183</v>
      </c>
      <c r="P814" s="43">
        <f t="shared" si="186"/>
        <v>498.5</v>
      </c>
      <c r="Q814" s="41" t="s">
        <v>998</v>
      </c>
      <c r="R814" s="48" t="str">
        <f t="shared" si="178"/>
        <v>(7,'PS-07-OH1','Poste de Sectionnement n°07 OH1','Friday-01-jj','Friday-01-jj',NULL,1,),</v>
      </c>
    </row>
    <row r="815" spans="1:18" ht="20.100000000000001" hidden="1" customHeight="1" x14ac:dyDescent="0.25">
      <c r="A815" s="38">
        <v>8</v>
      </c>
      <c r="B815" s="38" t="s">
        <v>319</v>
      </c>
      <c r="C815" s="38">
        <v>5</v>
      </c>
      <c r="D815" s="39" t="str">
        <f t="shared" si="183"/>
        <v>PS-08-OH1</v>
      </c>
      <c r="E815" s="48" t="str">
        <f t="shared" si="184"/>
        <v>Poste de Sectionnement n°08 OH1</v>
      </c>
      <c r="F815" s="19">
        <v>29952</v>
      </c>
      <c r="G815" s="19">
        <v>29952</v>
      </c>
      <c r="H815" s="41" t="s">
        <v>20</v>
      </c>
      <c r="I815" s="41">
        <v>1</v>
      </c>
      <c r="J815" s="41" t="s">
        <v>3557</v>
      </c>
      <c r="K815" s="41">
        <v>16</v>
      </c>
      <c r="L815" s="41"/>
      <c r="M815" s="41" t="s">
        <v>319</v>
      </c>
      <c r="N815" s="41" t="s">
        <v>3298</v>
      </c>
      <c r="O815" s="43">
        <f t="shared" si="185"/>
        <v>145</v>
      </c>
      <c r="P815" s="43">
        <f t="shared" si="186"/>
        <v>587.9</v>
      </c>
      <c r="Q815" s="41" t="s">
        <v>998</v>
      </c>
      <c r="R815" s="48" t="str">
        <f t="shared" si="178"/>
        <v>(8,'PS-08-OH1','Poste de Sectionnement n°08 OH1','Friday-01-jj','Friday-01-jj',NULL,1,),</v>
      </c>
    </row>
    <row r="816" spans="1:18" ht="20.100000000000001" hidden="1" customHeight="1" x14ac:dyDescent="0.25">
      <c r="A816" s="38"/>
      <c r="B816" s="38"/>
      <c r="C816" s="38"/>
      <c r="D816" s="39"/>
      <c r="E816" s="48"/>
      <c r="F816" s="19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8"/>
    </row>
    <row r="817" spans="1:18" ht="20.100000000000001" hidden="1" customHeight="1" x14ac:dyDescent="0.25">
      <c r="A817" s="38"/>
      <c r="B817" s="38"/>
      <c r="C817" s="38"/>
      <c r="D817" s="39"/>
      <c r="E817" s="48"/>
      <c r="F817" s="19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8"/>
    </row>
    <row r="818" spans="1:18" ht="20.100000000000001" hidden="1" customHeight="1" x14ac:dyDescent="0.25">
      <c r="A818" s="38"/>
      <c r="B818" s="38"/>
      <c r="C818" s="38"/>
      <c r="D818" s="39"/>
      <c r="E818" s="48"/>
      <c r="F818" s="19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8"/>
    </row>
    <row r="819" spans="1:18" ht="20.100000000000001" hidden="1" customHeight="1" x14ac:dyDescent="0.25">
      <c r="A819" s="38"/>
      <c r="B819" s="38"/>
      <c r="C819" s="38"/>
      <c r="D819" s="39"/>
      <c r="E819" s="48"/>
      <c r="F819" s="19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8"/>
    </row>
    <row r="820" spans="1:18" ht="20.100000000000001" hidden="1" customHeight="1" x14ac:dyDescent="0.25">
      <c r="A820" s="38"/>
      <c r="B820" s="38"/>
      <c r="C820" s="38"/>
      <c r="D820" s="39"/>
      <c r="E820" s="48"/>
      <c r="F820" s="19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8"/>
    </row>
    <row r="821" spans="1:18" ht="20.100000000000001" hidden="1" customHeight="1" x14ac:dyDescent="0.25">
      <c r="A821" s="38"/>
      <c r="B821" s="38"/>
      <c r="C821" s="38"/>
      <c r="D821" s="39"/>
      <c r="E821" s="48"/>
      <c r="F821" s="19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8"/>
    </row>
    <row r="822" spans="1:18" ht="20.100000000000001" hidden="1" customHeight="1" x14ac:dyDescent="0.25">
      <c r="A822" s="38"/>
      <c r="B822" s="38"/>
      <c r="C822" s="38"/>
      <c r="D822" s="39"/>
      <c r="E822" s="48"/>
      <c r="F822" s="19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8"/>
    </row>
    <row r="823" spans="1:18" ht="20.100000000000001" hidden="1" customHeight="1" x14ac:dyDescent="0.25">
      <c r="A823" s="38"/>
      <c r="B823" s="38"/>
      <c r="C823" s="38"/>
      <c r="D823" s="39"/>
      <c r="E823" s="48"/>
      <c r="F823" s="19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8"/>
    </row>
    <row r="824" spans="1:18" ht="20.100000000000001" hidden="1" customHeight="1" x14ac:dyDescent="0.25">
      <c r="A824" s="38"/>
      <c r="B824" s="38"/>
      <c r="C824" s="38"/>
      <c r="D824" s="39"/>
      <c r="E824" s="48"/>
      <c r="F824" s="19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8"/>
    </row>
    <row r="825" spans="1:18" ht="20.100000000000001" hidden="1" customHeight="1" x14ac:dyDescent="0.25">
      <c r="A825" s="38"/>
      <c r="B825" s="38"/>
      <c r="C825" s="38"/>
      <c r="D825" s="39"/>
      <c r="E825" s="48"/>
      <c r="F825" s="19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8"/>
    </row>
    <row r="826" spans="1:18" ht="20.100000000000001" hidden="1" customHeight="1" x14ac:dyDescent="0.25">
      <c r="A826" s="38"/>
      <c r="B826" s="38"/>
      <c r="C826" s="38"/>
      <c r="D826" s="39"/>
      <c r="E826" s="48"/>
      <c r="F826" s="19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8"/>
    </row>
    <row r="827" spans="1:18" ht="20.100000000000001" hidden="1" customHeight="1" x14ac:dyDescent="0.25">
      <c r="A827" s="38"/>
      <c r="B827" s="38"/>
      <c r="C827" s="38"/>
      <c r="D827" s="39"/>
      <c r="E827" s="48"/>
      <c r="F827" s="19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8" t="str">
        <f t="shared" ref="R827:R829" si="187">CONCATENATE("(",A827,",'",D827,"','",E827,"','",TEXT(F827,"aaaa-mm-jj"),"','",TEXT(G827,"aaaa-mm-jj"),"',",H827,",",I827,",",L827,"),")</f>
        <v>(,'','','Saturday-01-jj','Saturday-01-jj',,,),</v>
      </c>
    </row>
    <row r="828" spans="1:18" ht="20.100000000000001" hidden="1" customHeight="1" x14ac:dyDescent="0.25">
      <c r="A828" s="38"/>
      <c r="B828" s="38"/>
      <c r="C828" s="38"/>
      <c r="D828" s="39"/>
      <c r="E828" s="48"/>
      <c r="F828" s="19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8" t="str">
        <f t="shared" si="187"/>
        <v>(,'','','Saturday-01-jj','Saturday-01-jj',,,),</v>
      </c>
    </row>
    <row r="829" spans="1:18" ht="20.100000000000001" hidden="1" customHeight="1" x14ac:dyDescent="0.25">
      <c r="A829" s="38"/>
      <c r="B829" s="38"/>
      <c r="C829" s="38"/>
      <c r="D829" s="39"/>
      <c r="E829" s="48"/>
      <c r="F829" s="19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8" t="str">
        <f t="shared" si="187"/>
        <v>(,'','','Saturday-01-jj','Saturday-01-jj',,,),</v>
      </c>
    </row>
  </sheetData>
  <autoFilter ref="A2:R829">
    <filterColumn colId="12">
      <filters>
        <filter val="OB1"/>
        <filter val="ROB1"/>
      </filters>
    </filterColumn>
  </autoFilter>
  <phoneticPr fontId="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66"/>
  <sheetViews>
    <sheetView zoomScaleNormal="100" workbookViewId="0">
      <pane ySplit="2" topLeftCell="A155" activePane="bottomLeft" state="frozen"/>
      <selection activeCell="L2" sqref="L2"/>
      <selection pane="bottomLeft" activeCell="A3" sqref="A3:XFD166"/>
    </sheetView>
  </sheetViews>
  <sheetFormatPr baseColWidth="10" defaultColWidth="10.85546875" defaultRowHeight="15.75" x14ac:dyDescent="0.25"/>
  <cols>
    <col min="1" max="1" width="6.85546875" style="2" bestFit="1" customWidth="1"/>
    <col min="2" max="2" width="16.85546875" style="2" bestFit="1" customWidth="1"/>
    <col min="3" max="3" width="8.85546875" style="2" bestFit="1" customWidth="1"/>
    <col min="4" max="4" width="15.7109375" style="2" bestFit="1" customWidth="1"/>
    <col min="5" max="5" width="24.85546875" style="2" bestFit="1" customWidth="1"/>
    <col min="6" max="7" width="15.5703125" style="2" customWidth="1"/>
    <col min="8" max="8" width="17.28515625" style="2" customWidth="1"/>
    <col min="9" max="9" width="9.42578125" style="2" bestFit="1" customWidth="1"/>
    <col min="10" max="10" width="11.5703125" style="2" bestFit="1" customWidth="1"/>
    <col min="11" max="11" width="8.42578125" style="2" bestFit="1" customWidth="1"/>
    <col min="12" max="12" width="15.5703125" style="2" customWidth="1"/>
    <col min="13" max="13" width="12.140625" style="2" bestFit="1" customWidth="1"/>
    <col min="14" max="14" width="15.5703125" style="2" customWidth="1"/>
    <col min="15" max="16" width="10.5703125" style="2" customWidth="1"/>
    <col min="17" max="17" width="27.42578125" style="2" bestFit="1" customWidth="1"/>
    <col min="18" max="18" width="89.5703125" style="2" bestFit="1" customWidth="1"/>
    <col min="19" max="16384" width="10.85546875" style="2"/>
  </cols>
  <sheetData>
    <row r="1" spans="1:18" ht="20.100000000000001" customHeight="1" x14ac:dyDescent="0.25">
      <c r="A1" s="1" t="s">
        <v>0</v>
      </c>
      <c r="B1" s="1" t="s">
        <v>496</v>
      </c>
      <c r="C1" s="1" t="s">
        <v>497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3551</v>
      </c>
      <c r="K1" s="1" t="s">
        <v>3555</v>
      </c>
      <c r="L1" s="1" t="s">
        <v>7</v>
      </c>
      <c r="M1" s="1" t="s">
        <v>692</v>
      </c>
      <c r="N1" s="1"/>
      <c r="O1" s="1"/>
      <c r="P1" s="1"/>
      <c r="Q1" s="1"/>
      <c r="R1" s="1" t="s">
        <v>8</v>
      </c>
    </row>
    <row r="2" spans="1:18" ht="20.100000000000001" customHeight="1" x14ac:dyDescent="0.25">
      <c r="A2" s="1" t="s">
        <v>9</v>
      </c>
      <c r="B2" s="1"/>
      <c r="C2" s="1"/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/>
      <c r="K2" s="1"/>
      <c r="L2" s="1" t="s">
        <v>16</v>
      </c>
      <c r="M2" s="1"/>
      <c r="N2" s="1"/>
      <c r="O2" s="1"/>
      <c r="P2" s="1"/>
      <c r="Q2" s="1"/>
      <c r="R2" s="1" t="s">
        <v>17</v>
      </c>
    </row>
    <row r="3" spans="1:18" ht="20.100000000000001" customHeight="1" x14ac:dyDescent="0.25">
      <c r="A3" s="38">
        <v>1</v>
      </c>
      <c r="B3" s="38" t="s">
        <v>650</v>
      </c>
      <c r="C3" s="38">
        <v>17</v>
      </c>
      <c r="D3" s="45" t="str">
        <f>CONCATENATE("PPUR-",TEXT(A3,"00"),"-",M3)</f>
        <v>PPUR-01-GK1</v>
      </c>
      <c r="E3" s="48" t="str">
        <f>CONCATENATE("Poste de Purge n°",TEXT(A3,"00")," ",M3)</f>
        <v>Poste de Purge n°01 GK1</v>
      </c>
      <c r="F3" s="19">
        <v>25934</v>
      </c>
      <c r="G3" s="19">
        <v>28491</v>
      </c>
      <c r="H3" s="41" t="s">
        <v>20</v>
      </c>
      <c r="I3" s="41">
        <v>1</v>
      </c>
      <c r="J3" s="41" t="s">
        <v>3558</v>
      </c>
      <c r="K3" s="41">
        <v>17</v>
      </c>
      <c r="L3" s="41"/>
      <c r="M3" s="41" t="s">
        <v>394</v>
      </c>
      <c r="N3" s="41" t="s">
        <v>2091</v>
      </c>
      <c r="O3" s="49">
        <f>VALUE(RIGHT(N3,LEN(N3)-SEARCH("/",N3)))</f>
        <v>690</v>
      </c>
      <c r="P3" s="43">
        <f>VALUE(SUBSTITUTE(LEFT(N3,SEARCH("/",N3)-1),"+",","))</f>
        <v>45.564</v>
      </c>
      <c r="Q3" s="41" t="s">
        <v>2070</v>
      </c>
      <c r="R3" s="48" t="str">
        <f t="shared" ref="R3:R66" si="0">CONCATENATE("(",A3,",'",D3,"','",E3,"','",TEXT(F3,"aaaa-mm-jj"),"','",TEXT(G3,"aaaa-mm-jj"),"',",H3,",",I3,",",L3,"),")</f>
        <v>(1,'PPUR-01-GK1','Poste de Purge n°01 GK1','1971-01-01','1978-01-01',NULL,1,),</v>
      </c>
    </row>
    <row r="4" spans="1:18" ht="20.100000000000001" customHeight="1" x14ac:dyDescent="0.25">
      <c r="A4" s="38">
        <v>2</v>
      </c>
      <c r="B4" s="38" t="s">
        <v>650</v>
      </c>
      <c r="C4" s="38">
        <v>17</v>
      </c>
      <c r="D4" s="45" t="str">
        <f t="shared" ref="D4:D11" si="1">CONCATENATE("PPUR-",TEXT(A4,"00"),"-",M4)</f>
        <v>PPUR-02-GK1</v>
      </c>
      <c r="E4" s="48" t="str">
        <f t="shared" ref="E4:E11" si="2">CONCATENATE("Poste de Purge n°",TEXT(A4,"00")," ",M4)</f>
        <v>Poste de Purge n°02 GK1</v>
      </c>
      <c r="F4" s="19">
        <v>25934</v>
      </c>
      <c r="G4" s="19">
        <v>28491</v>
      </c>
      <c r="H4" s="41" t="s">
        <v>20</v>
      </c>
      <c r="I4" s="41">
        <v>1</v>
      </c>
      <c r="J4" s="41" t="s">
        <v>3558</v>
      </c>
      <c r="K4" s="41">
        <v>17</v>
      </c>
      <c r="L4" s="41"/>
      <c r="M4" s="41" t="s">
        <v>394</v>
      </c>
      <c r="N4" s="41" t="s">
        <v>2092</v>
      </c>
      <c r="O4" s="49">
        <f t="shared" ref="O4:O67" si="3">VALUE(RIGHT(N4,LEN(N4)-SEARCH("/",N4)))</f>
        <v>264</v>
      </c>
      <c r="P4" s="43">
        <f t="shared" ref="P4:P10" si="4">VALUE(SUBSTITUTE(LEFT(N4,SEARCH("/",N4)-1),"+",","))</f>
        <v>249.256</v>
      </c>
      <c r="Q4" s="60" t="s">
        <v>2071</v>
      </c>
      <c r="R4" s="48" t="str">
        <f t="shared" si="0"/>
        <v>(2,'PPUR-02-GK1','Poste de Purge n°02 GK1','1971-01-01','1978-01-01',NULL,1,),</v>
      </c>
    </row>
    <row r="5" spans="1:18" ht="20.100000000000001" customHeight="1" x14ac:dyDescent="0.25">
      <c r="A5" s="38">
        <v>3</v>
      </c>
      <c r="B5" s="38" t="s">
        <v>650</v>
      </c>
      <c r="C5" s="38">
        <v>17</v>
      </c>
      <c r="D5" s="45" t="str">
        <f t="shared" si="1"/>
        <v>PPUR-03-GK1</v>
      </c>
      <c r="E5" s="48" t="str">
        <f t="shared" si="2"/>
        <v>Poste de Purge n°03 GK1</v>
      </c>
      <c r="F5" s="19">
        <v>25934</v>
      </c>
      <c r="G5" s="19">
        <v>28491</v>
      </c>
      <c r="H5" s="41" t="s">
        <v>20</v>
      </c>
      <c r="I5" s="41">
        <v>1</v>
      </c>
      <c r="J5" s="41" t="s">
        <v>3558</v>
      </c>
      <c r="K5" s="41">
        <v>17</v>
      </c>
      <c r="L5" s="41"/>
      <c r="M5" s="41" t="s">
        <v>394</v>
      </c>
      <c r="N5" s="41" t="s">
        <v>2093</v>
      </c>
      <c r="O5" s="49">
        <f t="shared" si="3"/>
        <v>330</v>
      </c>
      <c r="P5" s="43">
        <f t="shared" si="4"/>
        <v>282.48700000000002</v>
      </c>
      <c r="Q5" s="60" t="s">
        <v>2071</v>
      </c>
      <c r="R5" s="48" t="str">
        <f t="shared" si="0"/>
        <v>(3,'PPUR-03-GK1','Poste de Purge n°03 GK1','1971-01-01','1978-01-01',NULL,1,),</v>
      </c>
    </row>
    <row r="6" spans="1:18" ht="20.100000000000001" customHeight="1" x14ac:dyDescent="0.25">
      <c r="A6" s="38">
        <v>4</v>
      </c>
      <c r="B6" s="38" t="s">
        <v>650</v>
      </c>
      <c r="C6" s="38">
        <v>17</v>
      </c>
      <c r="D6" s="45" t="str">
        <f t="shared" si="1"/>
        <v>PPUR-04-GK1</v>
      </c>
      <c r="E6" s="48" t="str">
        <f t="shared" si="2"/>
        <v>Poste de Purge n°04 GK1</v>
      </c>
      <c r="F6" s="19">
        <v>25934</v>
      </c>
      <c r="G6" s="19">
        <v>28491</v>
      </c>
      <c r="H6" s="41" t="s">
        <v>20</v>
      </c>
      <c r="I6" s="41">
        <v>1</v>
      </c>
      <c r="J6" s="41" t="s">
        <v>3558</v>
      </c>
      <c r="K6" s="41">
        <v>17</v>
      </c>
      <c r="L6" s="41"/>
      <c r="M6" s="41" t="s">
        <v>394</v>
      </c>
      <c r="N6" s="41" t="s">
        <v>2094</v>
      </c>
      <c r="O6" s="49">
        <f t="shared" si="3"/>
        <v>328</v>
      </c>
      <c r="P6" s="43">
        <f t="shared" si="4"/>
        <v>299.08800000000002</v>
      </c>
      <c r="Q6" s="58" t="s">
        <v>2072</v>
      </c>
      <c r="R6" s="48" t="str">
        <f t="shared" si="0"/>
        <v>(4,'PPUR-04-GK1','Poste de Purge n°04 GK1','1971-01-01','1978-01-01',NULL,1,),</v>
      </c>
    </row>
    <row r="7" spans="1:18" ht="20.100000000000001" customHeight="1" x14ac:dyDescent="0.25">
      <c r="A7" s="38">
        <v>5</v>
      </c>
      <c r="B7" s="38" t="s">
        <v>650</v>
      </c>
      <c r="C7" s="38">
        <v>17</v>
      </c>
      <c r="D7" s="45" t="str">
        <f t="shared" si="1"/>
        <v>PPUR-05-GK1</v>
      </c>
      <c r="E7" s="48" t="str">
        <f t="shared" si="2"/>
        <v>Poste de Purge n°05 GK1</v>
      </c>
      <c r="F7" s="19">
        <v>25934</v>
      </c>
      <c r="G7" s="19">
        <v>28491</v>
      </c>
      <c r="H7" s="41" t="s">
        <v>20</v>
      </c>
      <c r="I7" s="41">
        <v>1</v>
      </c>
      <c r="J7" s="41" t="s">
        <v>3558</v>
      </c>
      <c r="K7" s="41">
        <v>17</v>
      </c>
      <c r="L7" s="41"/>
      <c r="M7" s="41" t="s">
        <v>394</v>
      </c>
      <c r="N7" s="41" t="s">
        <v>2095</v>
      </c>
      <c r="O7" s="49">
        <f t="shared" si="3"/>
        <v>863</v>
      </c>
      <c r="P7" s="43">
        <f t="shared" si="4"/>
        <v>422.66899999999998</v>
      </c>
      <c r="Q7" s="41" t="s">
        <v>2099</v>
      </c>
      <c r="R7" s="48" t="str">
        <f t="shared" si="0"/>
        <v>(5,'PPUR-05-GK1','Poste de Purge n°05 GK1','1971-01-01','1978-01-01',NULL,1,),</v>
      </c>
    </row>
    <row r="8" spans="1:18" ht="20.100000000000001" customHeight="1" x14ac:dyDescent="0.25">
      <c r="A8" s="38">
        <v>6</v>
      </c>
      <c r="B8" s="38" t="s">
        <v>650</v>
      </c>
      <c r="C8" s="38">
        <v>17</v>
      </c>
      <c r="D8" s="45" t="str">
        <f t="shared" si="1"/>
        <v>PPUR-06-GK1</v>
      </c>
      <c r="E8" s="48" t="str">
        <f t="shared" si="2"/>
        <v>Poste de Purge n°06 GK1</v>
      </c>
      <c r="F8" s="19">
        <v>25934</v>
      </c>
      <c r="G8" s="19">
        <v>28491</v>
      </c>
      <c r="H8" s="41" t="s">
        <v>20</v>
      </c>
      <c r="I8" s="41">
        <v>1</v>
      </c>
      <c r="J8" s="41" t="s">
        <v>3558</v>
      </c>
      <c r="K8" s="41">
        <v>17</v>
      </c>
      <c r="L8" s="41"/>
      <c r="M8" s="41" t="s">
        <v>394</v>
      </c>
      <c r="N8" s="41" t="s">
        <v>2096</v>
      </c>
      <c r="O8" s="49">
        <f t="shared" si="3"/>
        <v>485</v>
      </c>
      <c r="P8" s="43">
        <f t="shared" si="4"/>
        <v>523.45399999999995</v>
      </c>
      <c r="Q8" s="41" t="s">
        <v>2079</v>
      </c>
      <c r="R8" s="48" t="str">
        <f t="shared" si="0"/>
        <v>(6,'PPUR-06-GK1','Poste de Purge n°06 GK1','1971-01-01','1978-01-01',NULL,1,),</v>
      </c>
    </row>
    <row r="9" spans="1:18" ht="20.100000000000001" customHeight="1" x14ac:dyDescent="0.25">
      <c r="A9" s="38">
        <v>7</v>
      </c>
      <c r="B9" s="38" t="s">
        <v>650</v>
      </c>
      <c r="C9" s="38">
        <v>17</v>
      </c>
      <c r="D9" s="45" t="str">
        <f t="shared" si="1"/>
        <v>PPUR-07-GK1</v>
      </c>
      <c r="E9" s="48" t="str">
        <f t="shared" si="2"/>
        <v>Poste de Purge n°07 GK1</v>
      </c>
      <c r="F9" s="19">
        <v>25934</v>
      </c>
      <c r="G9" s="19">
        <v>28491</v>
      </c>
      <c r="H9" s="41" t="s">
        <v>20</v>
      </c>
      <c r="I9" s="41">
        <v>1</v>
      </c>
      <c r="J9" s="41" t="s">
        <v>3558</v>
      </c>
      <c r="K9" s="41">
        <v>17</v>
      </c>
      <c r="L9" s="41"/>
      <c r="M9" s="41" t="s">
        <v>394</v>
      </c>
      <c r="N9" s="41" t="s">
        <v>2097</v>
      </c>
      <c r="O9" s="49">
        <f t="shared" si="3"/>
        <v>50</v>
      </c>
      <c r="P9" s="43">
        <f t="shared" si="4"/>
        <v>556.95000000000005</v>
      </c>
      <c r="Q9" s="58" t="s">
        <v>2082</v>
      </c>
      <c r="R9" s="48" t="str">
        <f t="shared" si="0"/>
        <v>(7,'PPUR-07-GK1','Poste de Purge n°07 GK1','1971-01-01','1978-01-01',NULL,1,),</v>
      </c>
    </row>
    <row r="10" spans="1:18" ht="20.100000000000001" customHeight="1" x14ac:dyDescent="0.25">
      <c r="A10" s="38">
        <v>8</v>
      </c>
      <c r="B10" s="38" t="s">
        <v>650</v>
      </c>
      <c r="C10" s="38">
        <v>17</v>
      </c>
      <c r="D10" s="45" t="str">
        <f t="shared" si="1"/>
        <v>PPUR-08-GK1</v>
      </c>
      <c r="E10" s="48" t="str">
        <f t="shared" si="2"/>
        <v>Poste de Purge n°08 GK1</v>
      </c>
      <c r="F10" s="19">
        <v>25934</v>
      </c>
      <c r="G10" s="19">
        <v>28491</v>
      </c>
      <c r="H10" s="41" t="s">
        <v>20</v>
      </c>
      <c r="I10" s="41">
        <v>1</v>
      </c>
      <c r="J10" s="41" t="s">
        <v>3558</v>
      </c>
      <c r="K10" s="41">
        <v>17</v>
      </c>
      <c r="L10" s="41"/>
      <c r="M10" s="41" t="s">
        <v>394</v>
      </c>
      <c r="N10" s="41" t="s">
        <v>2098</v>
      </c>
      <c r="O10" s="49">
        <f t="shared" si="3"/>
        <v>52</v>
      </c>
      <c r="P10" s="43">
        <f t="shared" si="4"/>
        <v>561.96400000000006</v>
      </c>
      <c r="Q10" s="58" t="s">
        <v>2082</v>
      </c>
      <c r="R10" s="48" t="str">
        <f t="shared" si="0"/>
        <v>(8,'PPUR-08-GK1','Poste de Purge n°08 GK1','1971-01-01','1978-01-01',NULL,1,),</v>
      </c>
    </row>
    <row r="11" spans="1:18" ht="20.100000000000001" customHeight="1" x14ac:dyDescent="0.25">
      <c r="A11" s="38">
        <v>1</v>
      </c>
      <c r="B11" s="38" t="s">
        <v>650</v>
      </c>
      <c r="C11" s="38">
        <v>17</v>
      </c>
      <c r="D11" s="45" t="str">
        <f t="shared" si="1"/>
        <v>PPUR-01-GK2</v>
      </c>
      <c r="E11" s="48" t="str">
        <f t="shared" si="2"/>
        <v>Poste de Purge n°01 GK2</v>
      </c>
      <c r="F11" s="19">
        <v>35796</v>
      </c>
      <c r="G11" s="19">
        <v>36892</v>
      </c>
      <c r="H11" s="41" t="s">
        <v>20</v>
      </c>
      <c r="I11" s="41">
        <v>1</v>
      </c>
      <c r="J11" s="41" t="s">
        <v>3558</v>
      </c>
      <c r="K11" s="41">
        <v>17</v>
      </c>
      <c r="L11" s="41"/>
      <c r="M11" s="41" t="s">
        <v>398</v>
      </c>
      <c r="N11" s="41" t="s">
        <v>2100</v>
      </c>
      <c r="O11" s="49">
        <f t="shared" si="3"/>
        <v>697</v>
      </c>
      <c r="P11" s="43">
        <f t="shared" ref="P11:P19" si="5">VALUE(SUBSTITUTE(LEFT(N11,SEARCH("/",N11)-1),"+",","))</f>
        <v>45.478000000000002</v>
      </c>
      <c r="Q11" s="41" t="s">
        <v>2070</v>
      </c>
      <c r="R11" s="48" t="str">
        <f t="shared" si="0"/>
        <v>(1,'PPUR-01-GK2','Poste de Purge n°01 GK2','1998-01-01','2001-01-01',NULL,1,),</v>
      </c>
    </row>
    <row r="12" spans="1:18" ht="20.100000000000001" customHeight="1" x14ac:dyDescent="0.25">
      <c r="A12" s="38">
        <v>2</v>
      </c>
      <c r="B12" s="38" t="s">
        <v>650</v>
      </c>
      <c r="C12" s="38">
        <v>17</v>
      </c>
      <c r="D12" s="45" t="str">
        <f t="shared" ref="D12:D21" si="6">CONCATENATE("PPUR-",TEXT(A12,"00"),"-",M12)</f>
        <v>PPUR-02-GK2</v>
      </c>
      <c r="E12" s="48" t="str">
        <f t="shared" ref="E12:E21" si="7">CONCATENATE("Poste de Purge n°",TEXT(A12,"00")," ",M12)</f>
        <v>Poste de Purge n°02 GK2</v>
      </c>
      <c r="F12" s="19">
        <v>35796</v>
      </c>
      <c r="G12" s="19">
        <v>36892</v>
      </c>
      <c r="H12" s="41" t="s">
        <v>20</v>
      </c>
      <c r="I12" s="41">
        <v>1</v>
      </c>
      <c r="J12" s="41" t="s">
        <v>3558</v>
      </c>
      <c r="K12" s="41">
        <v>17</v>
      </c>
      <c r="L12" s="41"/>
      <c r="M12" s="41" t="s">
        <v>398</v>
      </c>
      <c r="N12" s="41" t="s">
        <v>2101</v>
      </c>
      <c r="O12" s="49">
        <f t="shared" si="3"/>
        <v>244</v>
      </c>
      <c r="P12" s="43">
        <f t="shared" si="5"/>
        <v>249.29400000000001</v>
      </c>
      <c r="Q12" s="41" t="s">
        <v>2071</v>
      </c>
      <c r="R12" s="48" t="str">
        <f t="shared" si="0"/>
        <v>(2,'PPUR-02-GK2','Poste de Purge n°02 GK2','1998-01-01','2001-01-01',NULL,1,),</v>
      </c>
    </row>
    <row r="13" spans="1:18" ht="20.100000000000001" customHeight="1" x14ac:dyDescent="0.25">
      <c r="A13" s="38">
        <v>3</v>
      </c>
      <c r="B13" s="38" t="s">
        <v>650</v>
      </c>
      <c r="C13" s="38">
        <v>17</v>
      </c>
      <c r="D13" s="45" t="str">
        <f t="shared" si="6"/>
        <v>PPUR-03-GK2</v>
      </c>
      <c r="E13" s="48" t="str">
        <f t="shared" si="7"/>
        <v>Poste de Purge n°03 GK2</v>
      </c>
      <c r="F13" s="19">
        <v>35796</v>
      </c>
      <c r="G13" s="19">
        <v>36892</v>
      </c>
      <c r="H13" s="41" t="s">
        <v>20</v>
      </c>
      <c r="I13" s="41">
        <v>1</v>
      </c>
      <c r="J13" s="41" t="s">
        <v>3558</v>
      </c>
      <c r="K13" s="41">
        <v>17</v>
      </c>
      <c r="L13" s="41"/>
      <c r="M13" s="41" t="s">
        <v>398</v>
      </c>
      <c r="N13" s="41" t="s">
        <v>2102</v>
      </c>
      <c r="O13" s="49">
        <f t="shared" si="3"/>
        <v>288</v>
      </c>
      <c r="P13" s="43">
        <f t="shared" si="5"/>
        <v>282.48700000000002</v>
      </c>
      <c r="Q13" s="41" t="s">
        <v>2071</v>
      </c>
      <c r="R13" s="48" t="str">
        <f t="shared" si="0"/>
        <v>(3,'PPUR-03-GK2','Poste de Purge n°03 GK2','1998-01-01','2001-01-01',NULL,1,),</v>
      </c>
    </row>
    <row r="14" spans="1:18" ht="20.100000000000001" customHeight="1" x14ac:dyDescent="0.25">
      <c r="A14" s="38">
        <v>4</v>
      </c>
      <c r="B14" s="38" t="s">
        <v>650</v>
      </c>
      <c r="C14" s="38">
        <v>17</v>
      </c>
      <c r="D14" s="45" t="str">
        <f t="shared" si="6"/>
        <v>PPUR-04-GK2</v>
      </c>
      <c r="E14" s="48" t="str">
        <f t="shared" si="7"/>
        <v>Poste de Purge n°04 GK2</v>
      </c>
      <c r="F14" s="19">
        <v>35796</v>
      </c>
      <c r="G14" s="19">
        <v>36892</v>
      </c>
      <c r="H14" s="41" t="s">
        <v>20</v>
      </c>
      <c r="I14" s="41">
        <v>1</v>
      </c>
      <c r="J14" s="41" t="s">
        <v>3558</v>
      </c>
      <c r="K14" s="41">
        <v>17</v>
      </c>
      <c r="L14" s="41"/>
      <c r="M14" s="41" t="s">
        <v>398</v>
      </c>
      <c r="N14" s="41" t="s">
        <v>2103</v>
      </c>
      <c r="O14" s="49">
        <f t="shared" si="3"/>
        <v>316</v>
      </c>
      <c r="P14" s="43">
        <f t="shared" si="5"/>
        <v>299.18799999999999</v>
      </c>
      <c r="Q14" s="41" t="s">
        <v>2072</v>
      </c>
      <c r="R14" s="48" t="str">
        <f t="shared" si="0"/>
        <v>(4,'PPUR-04-GK2','Poste de Purge n°04 GK2','1998-01-01','2001-01-01',NULL,1,),</v>
      </c>
    </row>
    <row r="15" spans="1:18" ht="20.100000000000001" customHeight="1" x14ac:dyDescent="0.25">
      <c r="A15" s="38">
        <v>5</v>
      </c>
      <c r="B15" s="38" t="s">
        <v>650</v>
      </c>
      <c r="C15" s="38">
        <v>17</v>
      </c>
      <c r="D15" s="45" t="str">
        <f t="shared" si="6"/>
        <v>PPUR-05-GK2</v>
      </c>
      <c r="E15" s="48" t="str">
        <f t="shared" si="7"/>
        <v>Poste de Purge n°05 GK2</v>
      </c>
      <c r="F15" s="19">
        <v>35796</v>
      </c>
      <c r="G15" s="19">
        <v>36892</v>
      </c>
      <c r="H15" s="41" t="s">
        <v>20</v>
      </c>
      <c r="I15" s="41">
        <v>1</v>
      </c>
      <c r="J15" s="41" t="s">
        <v>3558</v>
      </c>
      <c r="K15" s="41">
        <v>17</v>
      </c>
      <c r="L15" s="41"/>
      <c r="M15" s="41" t="s">
        <v>398</v>
      </c>
      <c r="N15" s="41" t="s">
        <v>2104</v>
      </c>
      <c r="O15" s="49">
        <f t="shared" si="3"/>
        <v>872</v>
      </c>
      <c r="P15" s="43">
        <f t="shared" si="5"/>
        <v>422.976</v>
      </c>
      <c r="Q15" s="41" t="s">
        <v>2099</v>
      </c>
      <c r="R15" s="48" t="str">
        <f t="shared" si="0"/>
        <v>(5,'PPUR-05-GK2','Poste de Purge n°05 GK2','1998-01-01','2001-01-01',NULL,1,),</v>
      </c>
    </row>
    <row r="16" spans="1:18" ht="20.100000000000001" customHeight="1" x14ac:dyDescent="0.25">
      <c r="A16" s="38">
        <v>6</v>
      </c>
      <c r="B16" s="38" t="s">
        <v>650</v>
      </c>
      <c r="C16" s="38">
        <v>17</v>
      </c>
      <c r="D16" s="45" t="str">
        <f t="shared" si="6"/>
        <v>PPUR-06-GK2</v>
      </c>
      <c r="E16" s="48" t="str">
        <f t="shared" si="7"/>
        <v>Poste de Purge n°06 GK2</v>
      </c>
      <c r="F16" s="19">
        <v>35796</v>
      </c>
      <c r="G16" s="19">
        <v>36892</v>
      </c>
      <c r="H16" s="41" t="s">
        <v>20</v>
      </c>
      <c r="I16" s="41">
        <v>1</v>
      </c>
      <c r="J16" s="41" t="s">
        <v>3558</v>
      </c>
      <c r="K16" s="41">
        <v>17</v>
      </c>
      <c r="L16" s="41"/>
      <c r="M16" s="41" t="s">
        <v>398</v>
      </c>
      <c r="N16" s="41" t="s">
        <v>2105</v>
      </c>
      <c r="O16" s="49">
        <f t="shared" si="3"/>
        <v>663</v>
      </c>
      <c r="P16" s="43">
        <f t="shared" si="5"/>
        <v>485.04</v>
      </c>
      <c r="Q16" s="41" t="s">
        <v>2109</v>
      </c>
      <c r="R16" s="48" t="str">
        <f t="shared" si="0"/>
        <v>(6,'PPUR-06-GK2','Poste de Purge n°06 GK2','1998-01-01','2001-01-01',NULL,1,),</v>
      </c>
    </row>
    <row r="17" spans="1:18" ht="20.100000000000001" customHeight="1" x14ac:dyDescent="0.25">
      <c r="A17" s="38">
        <v>7</v>
      </c>
      <c r="B17" s="38" t="s">
        <v>650</v>
      </c>
      <c r="C17" s="38">
        <v>17</v>
      </c>
      <c r="D17" s="45" t="str">
        <f t="shared" si="6"/>
        <v>PPUR-07-GK2</v>
      </c>
      <c r="E17" s="48" t="str">
        <f t="shared" si="7"/>
        <v>Poste de Purge n°07 GK2</v>
      </c>
      <c r="F17" s="19">
        <v>35796</v>
      </c>
      <c r="G17" s="19">
        <v>36892</v>
      </c>
      <c r="H17" s="41" t="s">
        <v>20</v>
      </c>
      <c r="I17" s="41">
        <v>1</v>
      </c>
      <c r="J17" s="41" t="s">
        <v>3558</v>
      </c>
      <c r="K17" s="41">
        <v>17</v>
      </c>
      <c r="L17" s="41"/>
      <c r="M17" s="41" t="s">
        <v>398</v>
      </c>
      <c r="N17" s="41" t="s">
        <v>2106</v>
      </c>
      <c r="O17" s="49">
        <f t="shared" si="3"/>
        <v>422</v>
      </c>
      <c r="P17" s="43">
        <f t="shared" si="5"/>
        <v>523.92700000000002</v>
      </c>
      <c r="Q17" s="41" t="s">
        <v>2079</v>
      </c>
      <c r="R17" s="48" t="str">
        <f t="shared" si="0"/>
        <v>(7,'PPUR-07-GK2','Poste de Purge n°07 GK2','1998-01-01','2001-01-01',NULL,1,),</v>
      </c>
    </row>
    <row r="18" spans="1:18" ht="20.100000000000001" customHeight="1" x14ac:dyDescent="0.25">
      <c r="A18" s="38">
        <v>8</v>
      </c>
      <c r="B18" s="38" t="s">
        <v>650</v>
      </c>
      <c r="C18" s="38">
        <v>17</v>
      </c>
      <c r="D18" s="45" t="str">
        <f t="shared" si="6"/>
        <v>PPUR-08-GK2</v>
      </c>
      <c r="E18" s="48" t="str">
        <f t="shared" si="7"/>
        <v>Poste de Purge n°08 GK2</v>
      </c>
      <c r="F18" s="19">
        <v>35796</v>
      </c>
      <c r="G18" s="19">
        <v>36892</v>
      </c>
      <c r="H18" s="41" t="s">
        <v>20</v>
      </c>
      <c r="I18" s="41">
        <v>1</v>
      </c>
      <c r="J18" s="41" t="s">
        <v>3558</v>
      </c>
      <c r="K18" s="41">
        <v>17</v>
      </c>
      <c r="L18" s="41"/>
      <c r="M18" s="41" t="s">
        <v>398</v>
      </c>
      <c r="N18" s="41" t="s">
        <v>2107</v>
      </c>
      <c r="O18" s="49">
        <f t="shared" si="3"/>
        <v>50</v>
      </c>
      <c r="P18" s="43">
        <f t="shared" si="5"/>
        <v>558.25400000000002</v>
      </c>
      <c r="Q18" s="41" t="s">
        <v>2082</v>
      </c>
      <c r="R18" s="48" t="str">
        <f t="shared" si="0"/>
        <v>(8,'PPUR-08-GK2','Poste de Purge n°08 GK2','1998-01-01','2001-01-01',NULL,1,),</v>
      </c>
    </row>
    <row r="19" spans="1:18" ht="20.100000000000001" customHeight="1" x14ac:dyDescent="0.25">
      <c r="A19" s="38">
        <v>9</v>
      </c>
      <c r="B19" s="38" t="s">
        <v>650</v>
      </c>
      <c r="C19" s="38">
        <v>17</v>
      </c>
      <c r="D19" s="45" t="str">
        <f t="shared" si="6"/>
        <v>PPUR-09-GK2</v>
      </c>
      <c r="E19" s="48" t="str">
        <f t="shared" si="7"/>
        <v>Poste de Purge n°09 GK2</v>
      </c>
      <c r="F19" s="19">
        <v>35796</v>
      </c>
      <c r="G19" s="19">
        <v>36892</v>
      </c>
      <c r="H19" s="41" t="s">
        <v>20</v>
      </c>
      <c r="I19" s="41">
        <v>1</v>
      </c>
      <c r="J19" s="41" t="s">
        <v>3558</v>
      </c>
      <c r="K19" s="41">
        <v>17</v>
      </c>
      <c r="L19" s="41"/>
      <c r="M19" s="41" t="s">
        <v>398</v>
      </c>
      <c r="N19" s="41" t="s">
        <v>2108</v>
      </c>
      <c r="O19" s="49">
        <f t="shared" si="3"/>
        <v>72</v>
      </c>
      <c r="P19" s="43">
        <f t="shared" si="5"/>
        <v>562.91399999999999</v>
      </c>
      <c r="Q19" s="41" t="s">
        <v>2082</v>
      </c>
      <c r="R19" s="48" t="str">
        <f t="shared" si="0"/>
        <v>(9,'PPUR-09-GK2','Poste de Purge n°09 GK2','1998-01-01','2001-01-01',NULL,1,),</v>
      </c>
    </row>
    <row r="20" spans="1:18" ht="20.100000000000001" customHeight="1" x14ac:dyDescent="0.25">
      <c r="A20" s="38">
        <v>1</v>
      </c>
      <c r="B20" s="38" t="s">
        <v>655</v>
      </c>
      <c r="C20" s="38">
        <v>18</v>
      </c>
      <c r="D20" s="45" t="str">
        <f t="shared" si="6"/>
        <v>PPUR-01-GK3</v>
      </c>
      <c r="E20" s="48" t="str">
        <f t="shared" si="7"/>
        <v>Poste de Purge n°01 GK3</v>
      </c>
      <c r="F20" s="19">
        <v>40909</v>
      </c>
      <c r="G20" s="19">
        <v>40909</v>
      </c>
      <c r="H20" s="41" t="s">
        <v>20</v>
      </c>
      <c r="I20" s="41">
        <v>1</v>
      </c>
      <c r="J20" s="41" t="s">
        <v>3558</v>
      </c>
      <c r="K20" s="41">
        <v>17</v>
      </c>
      <c r="L20" s="41"/>
      <c r="M20" s="41" t="s">
        <v>655</v>
      </c>
      <c r="N20" s="41" t="s">
        <v>2213</v>
      </c>
      <c r="O20" s="49">
        <f t="shared" si="3"/>
        <v>246.64</v>
      </c>
      <c r="P20" s="43">
        <f t="shared" ref="P20:P33" si="8">VALUE(SUBSTITUTE(LEFT(N20,SEARCH("/",N20)-1),"+",","))</f>
        <v>248.441</v>
      </c>
      <c r="Q20" s="41" t="s">
        <v>2071</v>
      </c>
      <c r="R20" s="48" t="str">
        <f t="shared" si="0"/>
        <v>(1,'PPUR-01-GK3','Poste de Purge n°01 GK3','2012-01-01','2012-01-01',NULL,1,),</v>
      </c>
    </row>
    <row r="21" spans="1:18" ht="20.100000000000001" customHeight="1" x14ac:dyDescent="0.25">
      <c r="A21" s="38">
        <v>2</v>
      </c>
      <c r="B21" s="38" t="s">
        <v>655</v>
      </c>
      <c r="C21" s="38">
        <v>18</v>
      </c>
      <c r="D21" s="45" t="str">
        <f t="shared" si="6"/>
        <v>PPUR-02-GK3</v>
      </c>
      <c r="E21" s="48" t="str">
        <f t="shared" si="7"/>
        <v>Poste de Purge n°02 GK3</v>
      </c>
      <c r="F21" s="19">
        <v>40909</v>
      </c>
      <c r="G21" s="19">
        <v>40909</v>
      </c>
      <c r="H21" s="41" t="s">
        <v>20</v>
      </c>
      <c r="I21" s="41">
        <v>1</v>
      </c>
      <c r="J21" s="41" t="s">
        <v>3558</v>
      </c>
      <c r="K21" s="41">
        <v>17</v>
      </c>
      <c r="L21" s="41"/>
      <c r="M21" s="41" t="s">
        <v>655</v>
      </c>
      <c r="N21" s="41" t="s">
        <v>2214</v>
      </c>
      <c r="O21" s="49">
        <f t="shared" si="3"/>
        <v>297.69</v>
      </c>
      <c r="P21" s="43">
        <f t="shared" si="8"/>
        <v>281.464</v>
      </c>
      <c r="Q21" s="41" t="s">
        <v>941</v>
      </c>
      <c r="R21" s="48" t="str">
        <f t="shared" si="0"/>
        <v>(2,'PPUR-02-GK3','Poste de Purge n°02 GK3','2012-01-01','2012-01-01',NULL,1,),</v>
      </c>
    </row>
    <row r="22" spans="1:18" ht="20.100000000000001" customHeight="1" x14ac:dyDescent="0.25">
      <c r="A22" s="38">
        <v>3</v>
      </c>
      <c r="B22" s="38" t="s">
        <v>655</v>
      </c>
      <c r="C22" s="38">
        <v>18</v>
      </c>
      <c r="D22" s="45" t="str">
        <f t="shared" ref="D22:D25" si="9">CONCATENATE("PPUR-",TEXT(A22,"00"),"-",M22)</f>
        <v>PPUR-03-GK3</v>
      </c>
      <c r="E22" s="48" t="str">
        <f t="shared" ref="E22:E25" si="10">CONCATENATE("Poste de Purge n°",TEXT(A22,"00")," ",M22)</f>
        <v>Poste de Purge n°03 GK3</v>
      </c>
      <c r="F22" s="19">
        <v>40909</v>
      </c>
      <c r="G22" s="19">
        <v>40909</v>
      </c>
      <c r="H22" s="41" t="s">
        <v>20</v>
      </c>
      <c r="I22" s="41">
        <v>1</v>
      </c>
      <c r="J22" s="41" t="s">
        <v>3558</v>
      </c>
      <c r="K22" s="41">
        <v>17</v>
      </c>
      <c r="L22" s="41"/>
      <c r="M22" s="41" t="s">
        <v>655</v>
      </c>
      <c r="N22" s="41" t="s">
        <v>2215</v>
      </c>
      <c r="O22" s="49">
        <f t="shared" si="3"/>
        <v>343.77</v>
      </c>
      <c r="P22" s="43">
        <f t="shared" si="8"/>
        <v>298.72500000000002</v>
      </c>
      <c r="Q22" s="41" t="s">
        <v>2072</v>
      </c>
      <c r="R22" s="48" t="str">
        <f t="shared" si="0"/>
        <v>(3,'PPUR-03-GK3','Poste de Purge n°03 GK3','2012-01-01','2012-01-01',NULL,1,),</v>
      </c>
    </row>
    <row r="23" spans="1:18" ht="20.100000000000001" customHeight="1" x14ac:dyDescent="0.25">
      <c r="A23" s="38">
        <v>4</v>
      </c>
      <c r="B23" s="38" t="s">
        <v>655</v>
      </c>
      <c r="C23" s="38">
        <v>18</v>
      </c>
      <c r="D23" s="45" t="str">
        <f t="shared" si="9"/>
        <v>PPUR-04-GK3</v>
      </c>
      <c r="E23" s="48" t="str">
        <f t="shared" si="10"/>
        <v>Poste de Purge n°04 GK3</v>
      </c>
      <c r="F23" s="19">
        <v>40909</v>
      </c>
      <c r="G23" s="19">
        <v>40909</v>
      </c>
      <c r="H23" s="41" t="s">
        <v>20</v>
      </c>
      <c r="I23" s="41">
        <v>1</v>
      </c>
      <c r="J23" s="41" t="s">
        <v>3558</v>
      </c>
      <c r="K23" s="41">
        <v>17</v>
      </c>
      <c r="L23" s="41"/>
      <c r="M23" s="41" t="s">
        <v>655</v>
      </c>
      <c r="N23" s="41" t="s">
        <v>2216</v>
      </c>
      <c r="O23" s="49">
        <f t="shared" si="3"/>
        <v>888.6</v>
      </c>
      <c r="P23" s="43">
        <f t="shared" si="8"/>
        <v>421.1</v>
      </c>
      <c r="Q23" s="41" t="s">
        <v>2177</v>
      </c>
      <c r="R23" s="48" t="str">
        <f t="shared" si="0"/>
        <v>(4,'PPUR-04-GK3','Poste de Purge n°04 GK3','2012-01-01','2012-01-01',NULL,1,),</v>
      </c>
    </row>
    <row r="24" spans="1:18" ht="20.100000000000001" customHeight="1" x14ac:dyDescent="0.25">
      <c r="A24" s="38">
        <v>1</v>
      </c>
      <c r="B24" s="38" t="s">
        <v>655</v>
      </c>
      <c r="C24" s="38">
        <v>18</v>
      </c>
      <c r="D24" s="45" t="str">
        <f t="shared" si="9"/>
        <v>PPUR-01-GK3 Bis</v>
      </c>
      <c r="E24" s="48" t="str">
        <f t="shared" si="10"/>
        <v>Poste de Purge n°01 GK3 Bis</v>
      </c>
      <c r="F24" s="19">
        <v>40909</v>
      </c>
      <c r="G24" s="19">
        <v>40909</v>
      </c>
      <c r="H24" s="41" t="s">
        <v>20</v>
      </c>
      <c r="I24" s="41">
        <v>1</v>
      </c>
      <c r="J24" s="41" t="s">
        <v>3558</v>
      </c>
      <c r="K24" s="41">
        <v>17</v>
      </c>
      <c r="L24" s="41"/>
      <c r="M24" s="41" t="s">
        <v>1002</v>
      </c>
      <c r="N24" s="41" t="s">
        <v>2217</v>
      </c>
      <c r="O24" s="49">
        <f t="shared" si="3"/>
        <v>731.37</v>
      </c>
      <c r="P24" s="43">
        <f t="shared" si="8"/>
        <v>71.432000000000002</v>
      </c>
      <c r="Q24" s="41" t="s">
        <v>2183</v>
      </c>
      <c r="R24" s="48" t="str">
        <f t="shared" si="0"/>
        <v>(1,'PPUR-01-GK3 Bis','Poste de Purge n°01 GK3 Bis','2012-01-01','2012-01-01',NULL,1,),</v>
      </c>
    </row>
    <row r="25" spans="1:18" ht="20.100000000000001" customHeight="1" x14ac:dyDescent="0.25">
      <c r="A25" s="38">
        <v>2</v>
      </c>
      <c r="B25" s="38" t="s">
        <v>655</v>
      </c>
      <c r="C25" s="38">
        <v>18</v>
      </c>
      <c r="D25" s="45" t="str">
        <f t="shared" si="9"/>
        <v>PPUR-02-GK3 Bis</v>
      </c>
      <c r="E25" s="48" t="str">
        <f t="shared" si="10"/>
        <v>Poste de Purge n°02 GK3 Bis</v>
      </c>
      <c r="F25" s="19">
        <v>40909</v>
      </c>
      <c r="G25" s="19">
        <v>40909</v>
      </c>
      <c r="H25" s="41" t="s">
        <v>20</v>
      </c>
      <c r="I25" s="41">
        <v>1</v>
      </c>
      <c r="J25" s="41" t="s">
        <v>3558</v>
      </c>
      <c r="K25" s="41">
        <v>17</v>
      </c>
      <c r="L25" s="41"/>
      <c r="M25" s="41" t="s">
        <v>1002</v>
      </c>
      <c r="N25" s="41" t="s">
        <v>2218</v>
      </c>
      <c r="O25" s="49">
        <f t="shared" si="3"/>
        <v>768.74</v>
      </c>
      <c r="P25" s="43">
        <f t="shared" si="8"/>
        <v>135.893</v>
      </c>
      <c r="Q25" s="41" t="s">
        <v>2188</v>
      </c>
      <c r="R25" s="48" t="str">
        <f t="shared" si="0"/>
        <v>(2,'PPUR-02-GK3 Bis','Poste de Purge n°02 GK3 Bis','2012-01-01','2012-01-01',NULL,1,),</v>
      </c>
    </row>
    <row r="26" spans="1:18" ht="20.100000000000001" customHeight="1" x14ac:dyDescent="0.25">
      <c r="A26" s="38">
        <v>3</v>
      </c>
      <c r="B26" s="38" t="s">
        <v>655</v>
      </c>
      <c r="C26" s="38">
        <v>18</v>
      </c>
      <c r="D26" s="45" t="str">
        <f t="shared" ref="D26:D30" si="11">CONCATENATE("PPUR-",TEXT(A26,"00"),"-",M26)</f>
        <v>PPUR-03-GK3 Bis</v>
      </c>
      <c r="E26" s="48" t="str">
        <f t="shared" ref="E26:E30" si="12">CONCATENATE("Poste de Purge n°",TEXT(A26,"00")," ",M26)</f>
        <v>Poste de Purge n°03 GK3 Bis</v>
      </c>
      <c r="F26" s="19">
        <v>40909</v>
      </c>
      <c r="G26" s="19">
        <v>40909</v>
      </c>
      <c r="H26" s="41" t="s">
        <v>20</v>
      </c>
      <c r="I26" s="41">
        <v>1</v>
      </c>
      <c r="J26" s="41" t="s">
        <v>3558</v>
      </c>
      <c r="K26" s="41">
        <v>17</v>
      </c>
      <c r="L26" s="41"/>
      <c r="M26" s="41" t="s">
        <v>1002</v>
      </c>
      <c r="N26" s="41" t="s">
        <v>2219</v>
      </c>
      <c r="O26" s="49">
        <f t="shared" si="3"/>
        <v>104.98</v>
      </c>
      <c r="P26" s="43">
        <f t="shared" si="8"/>
        <v>189.976</v>
      </c>
      <c r="Q26" s="41" t="s">
        <v>2191</v>
      </c>
      <c r="R26" s="48" t="str">
        <f t="shared" si="0"/>
        <v>(3,'PPUR-03-GK3 Bis','Poste de Purge n°03 GK3 Bis','2012-01-01','2012-01-01',NULL,1,),</v>
      </c>
    </row>
    <row r="27" spans="1:18" ht="20.100000000000001" customHeight="1" x14ac:dyDescent="0.25">
      <c r="A27" s="38">
        <v>4</v>
      </c>
      <c r="B27" s="38" t="s">
        <v>655</v>
      </c>
      <c r="C27" s="38">
        <v>18</v>
      </c>
      <c r="D27" s="45" t="str">
        <f t="shared" si="11"/>
        <v>PPUR-04-GK3 Bis</v>
      </c>
      <c r="E27" s="48" t="str">
        <f t="shared" si="12"/>
        <v>Poste de Purge n°04 GK3 Bis</v>
      </c>
      <c r="F27" s="19">
        <v>40909</v>
      </c>
      <c r="G27" s="19">
        <v>40909</v>
      </c>
      <c r="H27" s="41" t="s">
        <v>20</v>
      </c>
      <c r="I27" s="41">
        <v>1</v>
      </c>
      <c r="J27" s="41" t="s">
        <v>3558</v>
      </c>
      <c r="K27" s="41">
        <v>17</v>
      </c>
      <c r="L27" s="41"/>
      <c r="M27" s="41" t="s">
        <v>1002</v>
      </c>
      <c r="N27" s="41" t="s">
        <v>2220</v>
      </c>
      <c r="O27" s="49">
        <f t="shared" si="3"/>
        <v>67.16</v>
      </c>
      <c r="P27" s="43">
        <f t="shared" si="8"/>
        <v>212.37100000000001</v>
      </c>
      <c r="Q27" s="41" t="s">
        <v>2193</v>
      </c>
      <c r="R27" s="48" t="str">
        <f t="shared" si="0"/>
        <v>(4,'PPUR-04-GK3 Bis','Poste de Purge n°04 GK3 Bis','2012-01-01','2012-01-01',NULL,1,),</v>
      </c>
    </row>
    <row r="28" spans="1:18" ht="20.100000000000001" customHeight="1" x14ac:dyDescent="0.25">
      <c r="A28" s="38">
        <v>5</v>
      </c>
      <c r="B28" s="38" t="s">
        <v>655</v>
      </c>
      <c r="C28" s="38">
        <v>18</v>
      </c>
      <c r="D28" s="45" t="str">
        <f t="shared" si="11"/>
        <v>PPUR-05-GK3 Bis</v>
      </c>
      <c r="E28" s="48" t="str">
        <f t="shared" si="12"/>
        <v>Poste de Purge n°05 GK3 Bis</v>
      </c>
      <c r="F28" s="19">
        <v>40909</v>
      </c>
      <c r="G28" s="19">
        <v>40909</v>
      </c>
      <c r="H28" s="41" t="s">
        <v>20</v>
      </c>
      <c r="I28" s="41">
        <v>1</v>
      </c>
      <c r="J28" s="41" t="s">
        <v>3558</v>
      </c>
      <c r="K28" s="41">
        <v>17</v>
      </c>
      <c r="L28" s="41"/>
      <c r="M28" s="41" t="s">
        <v>1002</v>
      </c>
      <c r="N28" s="41" t="s">
        <v>2221</v>
      </c>
      <c r="O28" s="49">
        <f t="shared" si="3"/>
        <v>75</v>
      </c>
      <c r="P28" s="43">
        <f t="shared" si="8"/>
        <v>236.55099999999999</v>
      </c>
      <c r="Q28" s="41" t="s">
        <v>2195</v>
      </c>
      <c r="R28" s="48" t="str">
        <f t="shared" si="0"/>
        <v>(5,'PPUR-05-GK3 Bis','Poste de Purge n°05 GK3 Bis','2012-01-01','2012-01-01',NULL,1,),</v>
      </c>
    </row>
    <row r="29" spans="1:18" ht="20.100000000000001" customHeight="1" x14ac:dyDescent="0.25">
      <c r="A29" s="38">
        <v>6</v>
      </c>
      <c r="B29" s="38" t="s">
        <v>655</v>
      </c>
      <c r="C29" s="38">
        <v>18</v>
      </c>
      <c r="D29" s="45" t="str">
        <f t="shared" si="11"/>
        <v>PPUR-06-GK3 Bis</v>
      </c>
      <c r="E29" s="48" t="str">
        <f t="shared" si="12"/>
        <v>Poste de Purge n°06 GK3 Bis</v>
      </c>
      <c r="F29" s="19">
        <v>40909</v>
      </c>
      <c r="G29" s="19">
        <v>40909</v>
      </c>
      <c r="H29" s="41" t="s">
        <v>20</v>
      </c>
      <c r="I29" s="41">
        <v>1</v>
      </c>
      <c r="J29" s="41" t="s">
        <v>3558</v>
      </c>
      <c r="K29" s="41">
        <v>17</v>
      </c>
      <c r="L29" s="41"/>
      <c r="M29" s="41" t="s">
        <v>1002</v>
      </c>
      <c r="N29" s="41" t="s">
        <v>2222</v>
      </c>
      <c r="O29" s="49">
        <f t="shared" si="3"/>
        <v>77.290000000000006</v>
      </c>
      <c r="P29" s="43">
        <f t="shared" si="8"/>
        <v>264.738</v>
      </c>
      <c r="Q29" s="41" t="s">
        <v>2196</v>
      </c>
      <c r="R29" s="48" t="str">
        <f t="shared" si="0"/>
        <v>(6,'PPUR-06-GK3 Bis','Poste de Purge n°06 GK3 Bis','2012-01-01','2012-01-01',NULL,1,),</v>
      </c>
    </row>
    <row r="30" spans="1:18" ht="20.100000000000001" customHeight="1" x14ac:dyDescent="0.25">
      <c r="A30" s="38">
        <v>1</v>
      </c>
      <c r="B30" s="38" t="s">
        <v>655</v>
      </c>
      <c r="C30" s="38">
        <v>18</v>
      </c>
      <c r="D30" s="45" t="str">
        <f t="shared" si="11"/>
        <v>PPUR-01-GK3 Ter</v>
      </c>
      <c r="E30" s="48" t="str">
        <f t="shared" si="12"/>
        <v>Poste de Purge n°01 GK3 Ter</v>
      </c>
      <c r="F30" s="19">
        <v>40909</v>
      </c>
      <c r="G30" s="19">
        <v>40909</v>
      </c>
      <c r="H30" s="41" t="s">
        <v>20</v>
      </c>
      <c r="I30" s="41">
        <v>1</v>
      </c>
      <c r="J30" s="41" t="s">
        <v>3558</v>
      </c>
      <c r="K30" s="41">
        <v>17</v>
      </c>
      <c r="L30" s="41"/>
      <c r="M30" s="41" t="s">
        <v>2227</v>
      </c>
      <c r="N30" s="41" t="s">
        <v>2223</v>
      </c>
      <c r="O30" s="49">
        <f t="shared" si="3"/>
        <v>738.89300000000003</v>
      </c>
      <c r="P30" s="43">
        <f t="shared" si="8"/>
        <v>31.844999999999999</v>
      </c>
      <c r="Q30" s="41" t="s">
        <v>2197</v>
      </c>
      <c r="R30" s="48" t="str">
        <f t="shared" si="0"/>
        <v>(1,'PPUR-01-GK3 Ter','Poste de Purge n°01 GK3 Ter','2012-01-01','2012-01-01',NULL,1,),</v>
      </c>
    </row>
    <row r="31" spans="1:18" ht="20.100000000000001" customHeight="1" x14ac:dyDescent="0.25">
      <c r="A31" s="38">
        <v>2</v>
      </c>
      <c r="B31" s="38" t="s">
        <v>655</v>
      </c>
      <c r="C31" s="38">
        <v>18</v>
      </c>
      <c r="D31" s="45" t="str">
        <f t="shared" ref="D31:D47" si="13">CONCATENATE("PPUR-",TEXT(A31,"00"),"-",M31)</f>
        <v>PPUR-02-GK3 Ter</v>
      </c>
      <c r="E31" s="48" t="str">
        <f t="shared" ref="E31:E47" si="14">CONCATENATE("Poste de Purge n°",TEXT(A31,"00")," ",M31)</f>
        <v>Poste de Purge n°02 GK3 Ter</v>
      </c>
      <c r="F31" s="19">
        <v>40909</v>
      </c>
      <c r="G31" s="19">
        <v>40909</v>
      </c>
      <c r="H31" s="41" t="s">
        <v>20</v>
      </c>
      <c r="I31" s="41">
        <v>1</v>
      </c>
      <c r="J31" s="41" t="s">
        <v>3558</v>
      </c>
      <c r="K31" s="41">
        <v>17</v>
      </c>
      <c r="L31" s="41"/>
      <c r="M31" s="41" t="s">
        <v>2227</v>
      </c>
      <c r="N31" s="41" t="s">
        <v>2224</v>
      </c>
      <c r="O31" s="49">
        <f t="shared" si="3"/>
        <v>667.29600000000005</v>
      </c>
      <c r="P31" s="43">
        <f t="shared" si="8"/>
        <v>42.594000000000001</v>
      </c>
      <c r="Q31" s="41" t="s">
        <v>2198</v>
      </c>
      <c r="R31" s="48" t="str">
        <f t="shared" si="0"/>
        <v>(2,'PPUR-02-GK3 Ter','Poste de Purge n°02 GK3 Ter','2012-01-01','2012-01-01',NULL,1,),</v>
      </c>
    </row>
    <row r="32" spans="1:18" ht="20.100000000000001" customHeight="1" x14ac:dyDescent="0.25">
      <c r="A32" s="38">
        <v>3</v>
      </c>
      <c r="B32" s="38" t="s">
        <v>655</v>
      </c>
      <c r="C32" s="38">
        <v>18</v>
      </c>
      <c r="D32" s="45" t="str">
        <f t="shared" si="13"/>
        <v>PPUR-03-GK3 Ter</v>
      </c>
      <c r="E32" s="48" t="str">
        <f t="shared" si="14"/>
        <v>Poste de Purge n°03 GK3 Ter</v>
      </c>
      <c r="F32" s="19">
        <v>40909</v>
      </c>
      <c r="G32" s="19">
        <v>40909</v>
      </c>
      <c r="H32" s="41" t="s">
        <v>20</v>
      </c>
      <c r="I32" s="41">
        <v>1</v>
      </c>
      <c r="J32" s="41" t="s">
        <v>3558</v>
      </c>
      <c r="K32" s="41">
        <v>17</v>
      </c>
      <c r="L32" s="41"/>
      <c r="M32" s="41" t="s">
        <v>2227</v>
      </c>
      <c r="N32" s="41" t="s">
        <v>2225</v>
      </c>
      <c r="O32" s="49">
        <f t="shared" si="3"/>
        <v>170.94800000000001</v>
      </c>
      <c r="P32" s="43">
        <f t="shared" si="8"/>
        <v>68.311999999999998</v>
      </c>
      <c r="Q32" s="41" t="s">
        <v>2082</v>
      </c>
      <c r="R32" s="48" t="str">
        <f t="shared" si="0"/>
        <v>(3,'PPUR-03-GK3 Ter','Poste de Purge n°03 GK3 Ter','2012-01-01','2012-01-01',NULL,1,),</v>
      </c>
    </row>
    <row r="33" spans="1:18" ht="20.100000000000001" customHeight="1" x14ac:dyDescent="0.25">
      <c r="A33" s="38">
        <v>4</v>
      </c>
      <c r="B33" s="38" t="s">
        <v>655</v>
      </c>
      <c r="C33" s="38">
        <v>18</v>
      </c>
      <c r="D33" s="45" t="str">
        <f t="shared" si="13"/>
        <v>PPUR-04-GK3 Ter</v>
      </c>
      <c r="E33" s="48" t="str">
        <f t="shared" si="14"/>
        <v>Poste de Purge n°04 GK3 Ter</v>
      </c>
      <c r="F33" s="19">
        <v>40909</v>
      </c>
      <c r="G33" s="19">
        <v>40909</v>
      </c>
      <c r="H33" s="41" t="s">
        <v>20</v>
      </c>
      <c r="I33" s="41">
        <v>1</v>
      </c>
      <c r="J33" s="41" t="s">
        <v>3558</v>
      </c>
      <c r="K33" s="41">
        <v>17</v>
      </c>
      <c r="L33" s="41"/>
      <c r="M33" s="41" t="s">
        <v>2227</v>
      </c>
      <c r="N33" s="41" t="s">
        <v>2226</v>
      </c>
      <c r="O33" s="49">
        <f t="shared" si="3"/>
        <v>58.326000000000001</v>
      </c>
      <c r="P33" s="43">
        <f t="shared" si="8"/>
        <v>85.97</v>
      </c>
      <c r="Q33" s="41" t="s">
        <v>2228</v>
      </c>
      <c r="R33" s="48" t="str">
        <f t="shared" si="0"/>
        <v>(4,'PPUR-04-GK3 Ter','Poste de Purge n°04 GK3 Ter','2012-01-01','2012-01-01',NULL,1,),</v>
      </c>
    </row>
    <row r="34" spans="1:18" ht="20.100000000000001" customHeight="1" x14ac:dyDescent="0.25">
      <c r="A34" s="38">
        <v>1</v>
      </c>
      <c r="B34" s="38" t="s">
        <v>407</v>
      </c>
      <c r="C34" s="38">
        <v>20</v>
      </c>
      <c r="D34" s="45" t="str">
        <f t="shared" si="13"/>
        <v>PPUR-01-GG1</v>
      </c>
      <c r="E34" s="48" t="str">
        <f t="shared" si="14"/>
        <v>Poste de Purge n°01 GG1</v>
      </c>
      <c r="F34" s="19">
        <v>29587</v>
      </c>
      <c r="G34" s="19">
        <v>29587</v>
      </c>
      <c r="H34" s="41" t="s">
        <v>20</v>
      </c>
      <c r="I34" s="41">
        <v>1</v>
      </c>
      <c r="J34" s="41" t="s">
        <v>3558</v>
      </c>
      <c r="K34" s="41">
        <v>17</v>
      </c>
      <c r="L34" s="41"/>
      <c r="M34" s="41" t="s">
        <v>407</v>
      </c>
      <c r="N34" s="41" t="s">
        <v>2276</v>
      </c>
      <c r="O34" s="49">
        <f t="shared" si="3"/>
        <v>665</v>
      </c>
      <c r="P34" s="43">
        <f t="shared" ref="P34:P42" si="15">VALUE(SUBSTITUTE(LEFT(N34,SEARCH("/",N34)-1),"+",","))</f>
        <v>102.05</v>
      </c>
      <c r="Q34" s="41" t="s">
        <v>2284</v>
      </c>
      <c r="R34" s="48" t="str">
        <f t="shared" si="0"/>
        <v>(1,'PPUR-01-GG1','Poste de Purge n°01 GG1','1981-01-01','1981-01-01',NULL,1,),</v>
      </c>
    </row>
    <row r="35" spans="1:18" ht="20.100000000000001" customHeight="1" x14ac:dyDescent="0.25">
      <c r="A35" s="38">
        <v>2</v>
      </c>
      <c r="B35" s="38" t="s">
        <v>407</v>
      </c>
      <c r="C35" s="38">
        <v>20</v>
      </c>
      <c r="D35" s="45" t="str">
        <f t="shared" si="13"/>
        <v>PPUR-02-GG1</v>
      </c>
      <c r="E35" s="48" t="str">
        <f t="shared" si="14"/>
        <v>Poste de Purge n°02 GG1</v>
      </c>
      <c r="F35" s="19">
        <v>29587</v>
      </c>
      <c r="G35" s="19">
        <v>29587</v>
      </c>
      <c r="H35" s="41" t="s">
        <v>20</v>
      </c>
      <c r="I35" s="41">
        <v>1</v>
      </c>
      <c r="J35" s="41" t="s">
        <v>3558</v>
      </c>
      <c r="K35" s="41">
        <v>17</v>
      </c>
      <c r="L35" s="41"/>
      <c r="M35" s="41" t="s">
        <v>407</v>
      </c>
      <c r="N35" s="41" t="s">
        <v>2277</v>
      </c>
      <c r="O35" s="49">
        <f t="shared" si="3"/>
        <v>374</v>
      </c>
      <c r="P35" s="43">
        <f t="shared" si="15"/>
        <v>319.05</v>
      </c>
      <c r="Q35" s="41" t="s">
        <v>2235</v>
      </c>
      <c r="R35" s="48" t="str">
        <f t="shared" si="0"/>
        <v>(2,'PPUR-02-GG1','Poste de Purge n°02 GG1','1981-01-01','1981-01-01',NULL,1,),</v>
      </c>
    </row>
    <row r="36" spans="1:18" ht="20.100000000000001" customHeight="1" x14ac:dyDescent="0.25">
      <c r="A36" s="38">
        <v>3</v>
      </c>
      <c r="B36" s="38" t="s">
        <v>407</v>
      </c>
      <c r="C36" s="38">
        <v>20</v>
      </c>
      <c r="D36" s="45" t="str">
        <f t="shared" si="13"/>
        <v>PPUR-03-GG1</v>
      </c>
      <c r="E36" s="48" t="str">
        <f t="shared" si="14"/>
        <v>Poste de Purge n°03 GG1</v>
      </c>
      <c r="F36" s="19">
        <v>29587</v>
      </c>
      <c r="G36" s="19">
        <v>29587</v>
      </c>
      <c r="H36" s="41" t="s">
        <v>20</v>
      </c>
      <c r="I36" s="41">
        <v>1</v>
      </c>
      <c r="J36" s="41" t="s">
        <v>3558</v>
      </c>
      <c r="K36" s="41">
        <v>17</v>
      </c>
      <c r="L36" s="41"/>
      <c r="M36" s="41" t="s">
        <v>407</v>
      </c>
      <c r="N36" s="41" t="s">
        <v>2278</v>
      </c>
      <c r="O36" s="49">
        <f t="shared" si="3"/>
        <v>558</v>
      </c>
      <c r="P36" s="43">
        <f t="shared" si="15"/>
        <v>387.5</v>
      </c>
      <c r="Q36" s="41" t="s">
        <v>2271</v>
      </c>
      <c r="R36" s="48" t="str">
        <f t="shared" si="0"/>
        <v>(3,'PPUR-03-GG1','Poste de Purge n°03 GG1','1981-01-01','1981-01-01',NULL,1,),</v>
      </c>
    </row>
    <row r="37" spans="1:18" ht="20.100000000000001" customHeight="1" x14ac:dyDescent="0.25">
      <c r="A37" s="38">
        <v>1</v>
      </c>
      <c r="B37" s="38" t="s">
        <v>407</v>
      </c>
      <c r="C37" s="38">
        <v>20</v>
      </c>
      <c r="D37" s="45" t="str">
        <f t="shared" si="13"/>
        <v>PPUR-01-RGG1</v>
      </c>
      <c r="E37" s="48" t="str">
        <f t="shared" si="14"/>
        <v>Poste de Purge n°01 RGG1</v>
      </c>
      <c r="F37" s="19">
        <v>43466</v>
      </c>
      <c r="G37" s="19">
        <v>43466</v>
      </c>
      <c r="H37" s="41" t="s">
        <v>20</v>
      </c>
      <c r="I37" s="41">
        <v>1</v>
      </c>
      <c r="J37" s="41" t="s">
        <v>3558</v>
      </c>
      <c r="K37" s="41">
        <v>17</v>
      </c>
      <c r="L37" s="41"/>
      <c r="M37" s="41" t="s">
        <v>410</v>
      </c>
      <c r="N37" s="41" t="s">
        <v>2279</v>
      </c>
      <c r="O37" s="49">
        <f t="shared" si="3"/>
        <v>577</v>
      </c>
      <c r="P37" s="43">
        <f t="shared" si="15"/>
        <v>87.32</v>
      </c>
      <c r="Q37" s="41" t="s">
        <v>2235</v>
      </c>
      <c r="R37" s="48" t="str">
        <f t="shared" si="0"/>
        <v>(1,'PPUR-01-RGG1','Poste de Purge n°01 RGG1','2019-01-01','2019-01-01',NULL,1,),</v>
      </c>
    </row>
    <row r="38" spans="1:18" ht="20.100000000000001" customHeight="1" x14ac:dyDescent="0.25">
      <c r="A38" s="38">
        <v>2</v>
      </c>
      <c r="B38" s="38" t="s">
        <v>407</v>
      </c>
      <c r="C38" s="38">
        <v>20</v>
      </c>
      <c r="D38" s="45" t="str">
        <f t="shared" si="13"/>
        <v>PPUR-02-RGG1</v>
      </c>
      <c r="E38" s="48" t="str">
        <f t="shared" si="14"/>
        <v>Poste de Purge n°02 RGG1</v>
      </c>
      <c r="F38" s="19">
        <v>43466</v>
      </c>
      <c r="G38" s="19">
        <v>43466</v>
      </c>
      <c r="H38" s="41" t="s">
        <v>20</v>
      </c>
      <c r="I38" s="41">
        <v>1</v>
      </c>
      <c r="J38" s="41" t="s">
        <v>3558</v>
      </c>
      <c r="K38" s="41">
        <v>17</v>
      </c>
      <c r="L38" s="41"/>
      <c r="M38" s="41" t="s">
        <v>410</v>
      </c>
      <c r="N38" s="41" t="s">
        <v>2280</v>
      </c>
      <c r="O38" s="49">
        <f t="shared" si="3"/>
        <v>800</v>
      </c>
      <c r="P38" s="43">
        <f t="shared" si="15"/>
        <v>135.41200000000001</v>
      </c>
      <c r="Q38" s="41" t="s">
        <v>2285</v>
      </c>
      <c r="R38" s="48" t="str">
        <f t="shared" si="0"/>
        <v>(2,'PPUR-02-RGG1','Poste de Purge n°02 RGG1','2019-01-01','2019-01-01',NULL,1,),</v>
      </c>
    </row>
    <row r="39" spans="1:18" ht="20.100000000000001" customHeight="1" x14ac:dyDescent="0.25">
      <c r="A39" s="38">
        <v>3</v>
      </c>
      <c r="B39" s="38" t="s">
        <v>407</v>
      </c>
      <c r="C39" s="38">
        <v>20</v>
      </c>
      <c r="D39" s="45" t="str">
        <f t="shared" si="13"/>
        <v>PPUR-03-RGG1</v>
      </c>
      <c r="E39" s="48" t="str">
        <f t="shared" si="14"/>
        <v>Poste de Purge n°03 RGG1</v>
      </c>
      <c r="F39" s="19">
        <v>43466</v>
      </c>
      <c r="G39" s="19">
        <v>43466</v>
      </c>
      <c r="H39" s="41" t="s">
        <v>20</v>
      </c>
      <c r="I39" s="41">
        <v>1</v>
      </c>
      <c r="J39" s="41" t="s">
        <v>3558</v>
      </c>
      <c r="K39" s="41">
        <v>17</v>
      </c>
      <c r="L39" s="41"/>
      <c r="M39" s="41" t="s">
        <v>410</v>
      </c>
      <c r="N39" s="41" t="s">
        <v>2281</v>
      </c>
      <c r="O39" s="49">
        <f t="shared" si="3"/>
        <v>394</v>
      </c>
      <c r="P39" s="43">
        <f t="shared" si="15"/>
        <v>172.255</v>
      </c>
      <c r="Q39" s="41" t="s">
        <v>2273</v>
      </c>
      <c r="R39" s="48" t="str">
        <f t="shared" si="0"/>
        <v>(3,'PPUR-03-RGG1','Poste de Purge n°03 RGG1','2019-01-01','2019-01-01',NULL,1,),</v>
      </c>
    </row>
    <row r="40" spans="1:18" ht="20.100000000000001" customHeight="1" x14ac:dyDescent="0.25">
      <c r="A40" s="38">
        <v>4</v>
      </c>
      <c r="B40" s="38" t="s">
        <v>407</v>
      </c>
      <c r="C40" s="38">
        <v>20</v>
      </c>
      <c r="D40" s="45" t="str">
        <f t="shared" si="13"/>
        <v>PPUR-04-RGG1</v>
      </c>
      <c r="E40" s="48" t="str">
        <f t="shared" si="14"/>
        <v>Poste de Purge n°04 RGG1</v>
      </c>
      <c r="F40" s="19">
        <v>43466</v>
      </c>
      <c r="G40" s="19">
        <v>43466</v>
      </c>
      <c r="H40" s="41" t="s">
        <v>20</v>
      </c>
      <c r="I40" s="41">
        <v>1</v>
      </c>
      <c r="J40" s="41" t="s">
        <v>3558</v>
      </c>
      <c r="K40" s="41">
        <v>17</v>
      </c>
      <c r="L40" s="41"/>
      <c r="M40" s="41" t="s">
        <v>410</v>
      </c>
      <c r="N40" s="41" t="s">
        <v>2282</v>
      </c>
      <c r="O40" s="49">
        <f t="shared" si="3"/>
        <v>260</v>
      </c>
      <c r="P40" s="43">
        <f t="shared" si="15"/>
        <v>181.667</v>
      </c>
      <c r="Q40" s="41" t="s">
        <v>2286</v>
      </c>
      <c r="R40" s="48" t="str">
        <f t="shared" si="0"/>
        <v>(4,'PPUR-04-RGG1','Poste de Purge n°04 RGG1','2019-01-01','2019-01-01',NULL,1,),</v>
      </c>
    </row>
    <row r="41" spans="1:18" ht="20.100000000000001" customHeight="1" x14ac:dyDescent="0.25">
      <c r="A41" s="38">
        <v>5</v>
      </c>
      <c r="B41" s="38" t="s">
        <v>407</v>
      </c>
      <c r="C41" s="38">
        <v>20</v>
      </c>
      <c r="D41" s="45" t="str">
        <f t="shared" si="13"/>
        <v>PPUR-05-RGG1</v>
      </c>
      <c r="E41" s="48" t="str">
        <f t="shared" si="14"/>
        <v>Poste de Purge n°05 RGG1</v>
      </c>
      <c r="F41" s="19">
        <v>43466</v>
      </c>
      <c r="G41" s="19">
        <v>43466</v>
      </c>
      <c r="H41" s="41" t="s">
        <v>20</v>
      </c>
      <c r="I41" s="41">
        <v>1</v>
      </c>
      <c r="J41" s="41" t="s">
        <v>3558</v>
      </c>
      <c r="K41" s="41">
        <v>17</v>
      </c>
      <c r="L41" s="41"/>
      <c r="M41" s="41" t="s">
        <v>410</v>
      </c>
      <c r="N41" s="41" t="s">
        <v>2283</v>
      </c>
      <c r="O41" s="49">
        <f t="shared" si="3"/>
        <v>89</v>
      </c>
      <c r="P41" s="43">
        <f t="shared" si="15"/>
        <v>206.72</v>
      </c>
      <c r="Q41" s="41" t="s">
        <v>2287</v>
      </c>
      <c r="R41" s="48" t="str">
        <f t="shared" si="0"/>
        <v>(5,'PPUR-05-RGG1','Poste de Purge n°05 RGG1','2019-01-01','2019-01-01',NULL,1,),</v>
      </c>
    </row>
    <row r="42" spans="1:18" ht="20.100000000000001" customHeight="1" x14ac:dyDescent="0.25">
      <c r="A42" s="38">
        <v>1</v>
      </c>
      <c r="B42" s="38" t="s">
        <v>434</v>
      </c>
      <c r="C42" s="38">
        <v>16</v>
      </c>
      <c r="D42" s="45" t="str">
        <f t="shared" si="13"/>
        <v>PPUR-01-GPDF</v>
      </c>
      <c r="E42" s="48" t="str">
        <f t="shared" si="14"/>
        <v>Poste de Purge n°01 GPDF</v>
      </c>
      <c r="F42" s="19">
        <v>35065</v>
      </c>
      <c r="G42" s="19">
        <v>35065</v>
      </c>
      <c r="H42" s="41" t="s">
        <v>20</v>
      </c>
      <c r="I42" s="41">
        <v>1</v>
      </c>
      <c r="J42" s="41" t="s">
        <v>3558</v>
      </c>
      <c r="K42" s="41">
        <v>17</v>
      </c>
      <c r="L42" s="41"/>
      <c r="M42" s="41" t="s">
        <v>434</v>
      </c>
      <c r="N42" s="41" t="s">
        <v>2361</v>
      </c>
      <c r="O42" s="49">
        <f t="shared" si="3"/>
        <v>1165</v>
      </c>
      <c r="P42" s="43">
        <f t="shared" si="15"/>
        <v>518.55499999999995</v>
      </c>
      <c r="Q42" s="41" t="s">
        <v>2346</v>
      </c>
      <c r="R42" s="48" t="str">
        <f t="shared" si="0"/>
        <v>(1,'PPUR-01-GPDF','Poste de Purge n°01 GPDF','1996-01-01','1996-01-01',NULL,1,),</v>
      </c>
    </row>
    <row r="43" spans="1:18" ht="20.100000000000001" customHeight="1" x14ac:dyDescent="0.25">
      <c r="A43" s="38">
        <v>1</v>
      </c>
      <c r="B43" s="38" t="s">
        <v>434</v>
      </c>
      <c r="C43" s="38">
        <v>16</v>
      </c>
      <c r="D43" s="45" t="str">
        <f t="shared" si="13"/>
        <v>PPUR-01-EGPDF</v>
      </c>
      <c r="E43" s="48" t="str">
        <f t="shared" si="14"/>
        <v>Poste de Purge n°01 EGPDF</v>
      </c>
      <c r="F43" s="19">
        <v>44197</v>
      </c>
      <c r="G43" s="19">
        <v>44197</v>
      </c>
      <c r="H43" s="41" t="s">
        <v>20</v>
      </c>
      <c r="I43" s="41">
        <v>1</v>
      </c>
      <c r="J43" s="41" t="s">
        <v>3558</v>
      </c>
      <c r="K43" s="41">
        <v>17</v>
      </c>
      <c r="L43" s="41"/>
      <c r="M43" s="41" t="s">
        <v>436</v>
      </c>
      <c r="N43" s="41" t="s">
        <v>2362</v>
      </c>
      <c r="O43" s="49">
        <f t="shared" si="3"/>
        <v>1246</v>
      </c>
      <c r="P43" s="43">
        <f t="shared" ref="P43:P45" si="16">VALUE(SUBSTITUTE(LEFT(N43,SEARCH("/",N43)-1),"+",","))</f>
        <v>93.736999999999995</v>
      </c>
      <c r="Q43" s="41" t="s">
        <v>2347</v>
      </c>
      <c r="R43" s="48" t="str">
        <f t="shared" si="0"/>
        <v>(1,'PPUR-01-EGPDF','Poste de Purge n°01 EGPDF','2021-01-01','2021-01-01',NULL,1,),</v>
      </c>
    </row>
    <row r="44" spans="1:18" ht="20.100000000000001" customHeight="1" x14ac:dyDescent="0.25">
      <c r="A44" s="38">
        <v>2</v>
      </c>
      <c r="B44" s="38" t="s">
        <v>434</v>
      </c>
      <c r="C44" s="38">
        <v>16</v>
      </c>
      <c r="D44" s="45" t="str">
        <f t="shared" si="13"/>
        <v>PPUR-02-EGPDF</v>
      </c>
      <c r="E44" s="48" t="str">
        <f t="shared" si="14"/>
        <v>Poste de Purge n°02 EGPDF</v>
      </c>
      <c r="F44" s="19">
        <v>44197</v>
      </c>
      <c r="G44" s="19">
        <v>44197</v>
      </c>
      <c r="H44" s="41" t="s">
        <v>20</v>
      </c>
      <c r="I44" s="41">
        <v>1</v>
      </c>
      <c r="J44" s="41" t="s">
        <v>3558</v>
      </c>
      <c r="K44" s="41">
        <v>17</v>
      </c>
      <c r="L44" s="41"/>
      <c r="M44" s="41" t="s">
        <v>436</v>
      </c>
      <c r="N44" s="41" t="s">
        <v>2363</v>
      </c>
      <c r="O44" s="49">
        <f t="shared" si="3"/>
        <v>782</v>
      </c>
      <c r="P44" s="43">
        <f t="shared" si="16"/>
        <v>133.14699999999999</v>
      </c>
      <c r="Q44" s="41" t="s">
        <v>2365</v>
      </c>
      <c r="R44" s="48" t="str">
        <f t="shared" si="0"/>
        <v>(2,'PPUR-02-EGPDF','Poste de Purge n°02 EGPDF','2021-01-01','2021-01-01',NULL,1,),</v>
      </c>
    </row>
    <row r="45" spans="1:18" ht="20.100000000000001" customHeight="1" x14ac:dyDescent="0.25">
      <c r="A45" s="38">
        <v>3</v>
      </c>
      <c r="B45" s="38" t="s">
        <v>434</v>
      </c>
      <c r="C45" s="38">
        <v>16</v>
      </c>
      <c r="D45" s="45" t="str">
        <f t="shared" si="13"/>
        <v>PPUR-03-EGPDF</v>
      </c>
      <c r="E45" s="48" t="str">
        <f t="shared" si="14"/>
        <v>Poste de Purge n°03 EGPDF</v>
      </c>
      <c r="F45" s="19">
        <v>44197</v>
      </c>
      <c r="G45" s="19">
        <v>44197</v>
      </c>
      <c r="H45" s="41" t="s">
        <v>20</v>
      </c>
      <c r="I45" s="41">
        <v>1</v>
      </c>
      <c r="J45" s="41" t="s">
        <v>3558</v>
      </c>
      <c r="K45" s="41">
        <v>17</v>
      </c>
      <c r="L45" s="41"/>
      <c r="M45" s="41" t="s">
        <v>436</v>
      </c>
      <c r="N45" s="41" t="s">
        <v>2364</v>
      </c>
      <c r="O45" s="49">
        <f t="shared" si="3"/>
        <v>390</v>
      </c>
      <c r="P45" s="43">
        <f t="shared" si="16"/>
        <v>178.59200000000001</v>
      </c>
      <c r="Q45" s="41" t="s">
        <v>2352</v>
      </c>
      <c r="R45" s="48" t="str">
        <f t="shared" si="0"/>
        <v>(3,'PPUR-03-EGPDF','Poste de Purge n°03 EGPDF','2021-01-01','2021-01-01',NULL,1,),</v>
      </c>
    </row>
    <row r="46" spans="1:18" ht="20.100000000000001" customHeight="1" x14ac:dyDescent="0.25">
      <c r="A46" s="38">
        <v>1</v>
      </c>
      <c r="B46" s="38" t="s">
        <v>685</v>
      </c>
      <c r="C46" s="38">
        <v>19</v>
      </c>
      <c r="D46" s="45" t="str">
        <f t="shared" si="13"/>
        <v>PPUR-01-GO1</v>
      </c>
      <c r="E46" s="48" t="str">
        <f t="shared" si="14"/>
        <v>Poste de Purge n°01 GO1</v>
      </c>
      <c r="F46" s="19">
        <v>29952</v>
      </c>
      <c r="G46" s="19">
        <v>29952</v>
      </c>
      <c r="H46" s="41" t="s">
        <v>20</v>
      </c>
      <c r="I46" s="41">
        <v>1</v>
      </c>
      <c r="J46" s="41" t="s">
        <v>3558</v>
      </c>
      <c r="K46" s="41">
        <v>17</v>
      </c>
      <c r="L46" s="41"/>
      <c r="M46" s="41" t="s">
        <v>439</v>
      </c>
      <c r="N46" s="41" t="s">
        <v>2439</v>
      </c>
      <c r="O46" s="49">
        <f t="shared" si="3"/>
        <v>450.92</v>
      </c>
      <c r="P46" s="43">
        <f t="shared" ref="P46:P80" si="17">VALUE(SUBSTITUTE(LEFT(N46,SEARCH("/",N46)-1),"+",","))</f>
        <v>166.93100000000001</v>
      </c>
      <c r="Q46" s="41"/>
      <c r="R46" s="48" t="str">
        <f t="shared" si="0"/>
        <v>(1,'PPUR-01-GO1','Poste de Purge n°01 GO1','1982-01-01','1982-01-01',NULL,1,),</v>
      </c>
    </row>
    <row r="47" spans="1:18" ht="20.100000000000001" customHeight="1" x14ac:dyDescent="0.25">
      <c r="A47" s="38">
        <v>2</v>
      </c>
      <c r="B47" s="38" t="s">
        <v>685</v>
      </c>
      <c r="C47" s="38">
        <v>19</v>
      </c>
      <c r="D47" s="45" t="str">
        <f t="shared" si="13"/>
        <v>PPUR-02-GO1</v>
      </c>
      <c r="E47" s="48" t="str">
        <f t="shared" si="14"/>
        <v>Poste de Purge n°02 GO1</v>
      </c>
      <c r="F47" s="19">
        <v>29952</v>
      </c>
      <c r="G47" s="19">
        <v>29952</v>
      </c>
      <c r="H47" s="41" t="s">
        <v>20</v>
      </c>
      <c r="I47" s="41">
        <v>1</v>
      </c>
      <c r="J47" s="41" t="s">
        <v>3558</v>
      </c>
      <c r="K47" s="41">
        <v>17</v>
      </c>
      <c r="L47" s="41"/>
      <c r="M47" s="41" t="s">
        <v>439</v>
      </c>
      <c r="N47" s="41" t="s">
        <v>2440</v>
      </c>
      <c r="O47" s="49">
        <f t="shared" si="3"/>
        <v>448.13</v>
      </c>
      <c r="P47" s="43">
        <f t="shared" si="17"/>
        <v>168.78</v>
      </c>
      <c r="Q47" s="41"/>
      <c r="R47" s="48" t="str">
        <f t="shared" si="0"/>
        <v>(2,'PPUR-02-GO1','Poste de Purge n°02 GO1','1982-01-01','1982-01-01',NULL,1,),</v>
      </c>
    </row>
    <row r="48" spans="1:18" ht="20.100000000000001" customHeight="1" x14ac:dyDescent="0.25">
      <c r="A48" s="38">
        <v>3</v>
      </c>
      <c r="B48" s="38" t="s">
        <v>685</v>
      </c>
      <c r="C48" s="38">
        <v>19</v>
      </c>
      <c r="D48" s="45" t="str">
        <f t="shared" ref="D48:D66" si="18">CONCATENATE("PPUR-",TEXT(A48,"00"),"-",M48)</f>
        <v>PPUR-03-GO1</v>
      </c>
      <c r="E48" s="48" t="str">
        <f t="shared" ref="E48:E66" si="19">CONCATENATE("Poste de Purge n°",TEXT(A48,"00")," ",M48)</f>
        <v>Poste de Purge n°03 GO1</v>
      </c>
      <c r="F48" s="19">
        <v>29952</v>
      </c>
      <c r="G48" s="19">
        <v>29952</v>
      </c>
      <c r="H48" s="41" t="s">
        <v>20</v>
      </c>
      <c r="I48" s="41">
        <v>1</v>
      </c>
      <c r="J48" s="41" t="s">
        <v>3558</v>
      </c>
      <c r="K48" s="41">
        <v>17</v>
      </c>
      <c r="L48" s="41"/>
      <c r="M48" s="41" t="s">
        <v>439</v>
      </c>
      <c r="N48" s="41" t="s">
        <v>2441</v>
      </c>
      <c r="O48" s="49">
        <f t="shared" si="3"/>
        <v>-10.33</v>
      </c>
      <c r="P48" s="43">
        <f t="shared" si="17"/>
        <v>342.37</v>
      </c>
      <c r="Q48" s="41"/>
      <c r="R48" s="48" t="str">
        <f t="shared" si="0"/>
        <v>(3,'PPUR-03-GO1','Poste de Purge n°03 GO1','1982-01-01','1982-01-01',NULL,1,),</v>
      </c>
    </row>
    <row r="49" spans="1:18" ht="20.100000000000001" customHeight="1" x14ac:dyDescent="0.25">
      <c r="A49" s="38">
        <v>4</v>
      </c>
      <c r="B49" s="38" t="s">
        <v>685</v>
      </c>
      <c r="C49" s="38">
        <v>19</v>
      </c>
      <c r="D49" s="45" t="str">
        <f t="shared" si="18"/>
        <v>PPUR-04-GO1</v>
      </c>
      <c r="E49" s="48" t="str">
        <f t="shared" si="19"/>
        <v>Poste de Purge n°04 GO1</v>
      </c>
      <c r="F49" s="19">
        <v>29952</v>
      </c>
      <c r="G49" s="19">
        <v>29952</v>
      </c>
      <c r="H49" s="41" t="s">
        <v>20</v>
      </c>
      <c r="I49" s="41">
        <v>1</v>
      </c>
      <c r="J49" s="41" t="s">
        <v>3558</v>
      </c>
      <c r="K49" s="41">
        <v>17</v>
      </c>
      <c r="L49" s="41"/>
      <c r="M49" s="41" t="s">
        <v>439</v>
      </c>
      <c r="N49" s="41" t="s">
        <v>2442</v>
      </c>
      <c r="O49" s="49">
        <f t="shared" si="3"/>
        <v>-0.28000000000000003</v>
      </c>
      <c r="P49" s="43">
        <f t="shared" si="17"/>
        <v>349.02</v>
      </c>
      <c r="Q49" s="41"/>
      <c r="R49" s="48" t="str">
        <f t="shared" si="0"/>
        <v>(4,'PPUR-04-GO1','Poste de Purge n°04 GO1','1982-01-01','1982-01-01',NULL,1,),</v>
      </c>
    </row>
    <row r="50" spans="1:18" ht="20.100000000000001" customHeight="1" x14ac:dyDescent="0.25">
      <c r="A50" s="38">
        <v>5</v>
      </c>
      <c r="B50" s="38" t="s">
        <v>685</v>
      </c>
      <c r="C50" s="38">
        <v>19</v>
      </c>
      <c r="D50" s="45" t="str">
        <f t="shared" si="18"/>
        <v>PPUR-05-GO1</v>
      </c>
      <c r="E50" s="48" t="str">
        <f t="shared" si="19"/>
        <v>Poste de Purge n°05 GO1</v>
      </c>
      <c r="F50" s="19">
        <v>29952</v>
      </c>
      <c r="G50" s="19">
        <v>29952</v>
      </c>
      <c r="H50" s="41" t="s">
        <v>20</v>
      </c>
      <c r="I50" s="41">
        <v>1</v>
      </c>
      <c r="J50" s="41" t="s">
        <v>3558</v>
      </c>
      <c r="K50" s="41">
        <v>17</v>
      </c>
      <c r="L50" s="41"/>
      <c r="M50" s="41" t="s">
        <v>439</v>
      </c>
      <c r="N50" s="41" t="s">
        <v>2443</v>
      </c>
      <c r="O50" s="49">
        <f t="shared" si="3"/>
        <v>8.7100000000000009</v>
      </c>
      <c r="P50" s="43">
        <f t="shared" si="17"/>
        <v>453.67500000000001</v>
      </c>
      <c r="Q50" s="41"/>
      <c r="R50" s="48" t="str">
        <f t="shared" si="0"/>
        <v>(5,'PPUR-05-GO1','Poste de Purge n°05 GO1','1982-01-01','1982-01-01',NULL,1,),</v>
      </c>
    </row>
    <row r="51" spans="1:18" ht="20.100000000000001" customHeight="1" x14ac:dyDescent="0.25">
      <c r="A51" s="38">
        <v>6</v>
      </c>
      <c r="B51" s="38" t="s">
        <v>685</v>
      </c>
      <c r="C51" s="38">
        <v>19</v>
      </c>
      <c r="D51" s="45" t="str">
        <f t="shared" si="18"/>
        <v>PPUR-06-GO1</v>
      </c>
      <c r="E51" s="48" t="str">
        <f t="shared" si="19"/>
        <v>Poste de Purge n°06 GO1</v>
      </c>
      <c r="F51" s="19">
        <v>29952</v>
      </c>
      <c r="G51" s="19">
        <v>29952</v>
      </c>
      <c r="H51" s="41" t="s">
        <v>20</v>
      </c>
      <c r="I51" s="41">
        <v>1</v>
      </c>
      <c r="J51" s="41" t="s">
        <v>3558</v>
      </c>
      <c r="K51" s="41">
        <v>17</v>
      </c>
      <c r="L51" s="41"/>
      <c r="M51" s="41" t="s">
        <v>439</v>
      </c>
      <c r="N51" s="41" t="s">
        <v>2444</v>
      </c>
      <c r="O51" s="49">
        <f t="shared" si="3"/>
        <v>26.69</v>
      </c>
      <c r="P51" s="43">
        <f t="shared" si="17"/>
        <v>362.71699999999998</v>
      </c>
      <c r="Q51" s="41"/>
      <c r="R51" s="48" t="str">
        <f t="shared" si="0"/>
        <v>(6,'PPUR-06-GO1','Poste de Purge n°06 GO1','1982-01-01','1982-01-01',NULL,1,),</v>
      </c>
    </row>
    <row r="52" spans="1:18" ht="20.100000000000001" customHeight="1" x14ac:dyDescent="0.25">
      <c r="A52" s="38">
        <v>7</v>
      </c>
      <c r="B52" s="38" t="s">
        <v>685</v>
      </c>
      <c r="C52" s="38">
        <v>19</v>
      </c>
      <c r="D52" s="45" t="str">
        <f t="shared" si="18"/>
        <v>PPUR-07-GO1</v>
      </c>
      <c r="E52" s="48" t="str">
        <f t="shared" si="19"/>
        <v>Poste de Purge n°07 GO1</v>
      </c>
      <c r="F52" s="19">
        <v>29952</v>
      </c>
      <c r="G52" s="19">
        <v>29952</v>
      </c>
      <c r="H52" s="41" t="s">
        <v>20</v>
      </c>
      <c r="I52" s="41">
        <v>1</v>
      </c>
      <c r="J52" s="41" t="s">
        <v>3558</v>
      </c>
      <c r="K52" s="41">
        <v>17</v>
      </c>
      <c r="L52" s="41"/>
      <c r="M52" s="41" t="s">
        <v>439</v>
      </c>
      <c r="N52" s="41" t="s">
        <v>2445</v>
      </c>
      <c r="O52" s="49">
        <f t="shared" si="3"/>
        <v>669.2</v>
      </c>
      <c r="P52" s="43">
        <f t="shared" si="17"/>
        <v>546.90300000000002</v>
      </c>
      <c r="Q52" s="41"/>
      <c r="R52" s="48" t="str">
        <f t="shared" si="0"/>
        <v>(7,'PPUR-07-GO1','Poste de Purge n°07 GO1','1982-01-01','1982-01-01',NULL,1,),</v>
      </c>
    </row>
    <row r="53" spans="1:18" ht="20.100000000000001" customHeight="1" x14ac:dyDescent="0.25">
      <c r="A53" s="38">
        <v>1</v>
      </c>
      <c r="B53" s="38" t="s">
        <v>685</v>
      </c>
      <c r="C53" s="38">
        <v>19</v>
      </c>
      <c r="D53" s="45" t="str">
        <f t="shared" si="18"/>
        <v>PPUR-01-GO2</v>
      </c>
      <c r="E53" s="48" t="str">
        <f t="shared" si="19"/>
        <v>Poste de Purge n°01 GO2</v>
      </c>
      <c r="F53" s="19">
        <v>31778</v>
      </c>
      <c r="G53" s="19">
        <v>31778</v>
      </c>
      <c r="H53" s="41" t="s">
        <v>20</v>
      </c>
      <c r="I53" s="41">
        <v>1</v>
      </c>
      <c r="J53" s="41" t="s">
        <v>3558</v>
      </c>
      <c r="K53" s="41">
        <v>17</v>
      </c>
      <c r="L53" s="41"/>
      <c r="M53" s="41" t="s">
        <v>441</v>
      </c>
      <c r="N53" s="41" t="s">
        <v>2446</v>
      </c>
      <c r="O53" s="49">
        <f t="shared" si="3"/>
        <v>451.9</v>
      </c>
      <c r="P53" s="43">
        <f t="shared" si="17"/>
        <v>166.96600000000001</v>
      </c>
      <c r="Q53" s="41"/>
      <c r="R53" s="48" t="str">
        <f t="shared" si="0"/>
        <v>(1,'PPUR-01-GO2','Poste de Purge n°01 GO2','1987-01-01','1987-01-01',NULL,1,),</v>
      </c>
    </row>
    <row r="54" spans="1:18" ht="20.100000000000001" customHeight="1" x14ac:dyDescent="0.25">
      <c r="A54" s="38">
        <v>2</v>
      </c>
      <c r="B54" s="38" t="s">
        <v>685</v>
      </c>
      <c r="C54" s="38">
        <v>19</v>
      </c>
      <c r="D54" s="45" t="str">
        <f t="shared" si="18"/>
        <v>PPUR-02-GO2</v>
      </c>
      <c r="E54" s="48" t="str">
        <f t="shared" si="19"/>
        <v>Poste de Purge n°02 GO2</v>
      </c>
      <c r="F54" s="19">
        <v>31778</v>
      </c>
      <c r="G54" s="19">
        <v>31778</v>
      </c>
      <c r="H54" s="41" t="s">
        <v>20</v>
      </c>
      <c r="I54" s="41">
        <v>1</v>
      </c>
      <c r="J54" s="41" t="s">
        <v>3558</v>
      </c>
      <c r="K54" s="41">
        <v>17</v>
      </c>
      <c r="L54" s="41"/>
      <c r="M54" s="41" t="s">
        <v>441</v>
      </c>
      <c r="N54" s="41" t="s">
        <v>2447</v>
      </c>
      <c r="O54" s="49">
        <f t="shared" si="3"/>
        <v>448.13</v>
      </c>
      <c r="P54" s="43">
        <f t="shared" si="17"/>
        <v>168.81</v>
      </c>
      <c r="Q54" s="41"/>
      <c r="R54" s="48" t="str">
        <f t="shared" si="0"/>
        <v>(2,'PPUR-02-GO2','Poste de Purge n°02 GO2','1987-01-01','1987-01-01',NULL,1,),</v>
      </c>
    </row>
    <row r="55" spans="1:18" ht="20.100000000000001" customHeight="1" x14ac:dyDescent="0.25">
      <c r="A55" s="38">
        <v>3</v>
      </c>
      <c r="B55" s="38" t="s">
        <v>685</v>
      </c>
      <c r="C55" s="38">
        <v>19</v>
      </c>
      <c r="D55" s="45" t="str">
        <f t="shared" si="18"/>
        <v>PPUR-03-GO2</v>
      </c>
      <c r="E55" s="48" t="str">
        <f t="shared" si="19"/>
        <v>Poste de Purge n°03 GO2</v>
      </c>
      <c r="F55" s="19">
        <v>31778</v>
      </c>
      <c r="G55" s="19">
        <v>31778</v>
      </c>
      <c r="H55" s="41" t="s">
        <v>20</v>
      </c>
      <c r="I55" s="41">
        <v>1</v>
      </c>
      <c r="J55" s="41" t="s">
        <v>3558</v>
      </c>
      <c r="K55" s="41">
        <v>17</v>
      </c>
      <c r="L55" s="41"/>
      <c r="M55" s="41" t="s">
        <v>441</v>
      </c>
      <c r="N55" s="41" t="s">
        <v>2448</v>
      </c>
      <c r="O55" s="49">
        <f t="shared" si="3"/>
        <v>-10.33</v>
      </c>
      <c r="P55" s="43">
        <f t="shared" si="17"/>
        <v>342.30500000000001</v>
      </c>
      <c r="Q55" s="41"/>
      <c r="R55" s="48" t="str">
        <f t="shared" si="0"/>
        <v>(3,'PPUR-03-GO2','Poste de Purge n°03 GO2','1987-01-01','1987-01-01',NULL,1,),</v>
      </c>
    </row>
    <row r="56" spans="1:18" ht="20.100000000000001" customHeight="1" x14ac:dyDescent="0.25">
      <c r="A56" s="38">
        <v>4</v>
      </c>
      <c r="B56" s="38" t="s">
        <v>685</v>
      </c>
      <c r="C56" s="38">
        <v>19</v>
      </c>
      <c r="D56" s="45" t="str">
        <f t="shared" si="18"/>
        <v>PPUR-04-GO2</v>
      </c>
      <c r="E56" s="48" t="str">
        <f t="shared" si="19"/>
        <v>Poste de Purge n°04 GO2</v>
      </c>
      <c r="F56" s="19">
        <v>31778</v>
      </c>
      <c r="G56" s="19">
        <v>31778</v>
      </c>
      <c r="H56" s="41" t="s">
        <v>20</v>
      </c>
      <c r="I56" s="41">
        <v>1</v>
      </c>
      <c r="J56" s="41" t="s">
        <v>3558</v>
      </c>
      <c r="K56" s="41">
        <v>17</v>
      </c>
      <c r="L56" s="41"/>
      <c r="M56" s="41" t="s">
        <v>441</v>
      </c>
      <c r="N56" s="41" t="s">
        <v>2449</v>
      </c>
      <c r="O56" s="49">
        <f t="shared" si="3"/>
        <v>-0.28000000000000003</v>
      </c>
      <c r="P56" s="43">
        <f t="shared" si="17"/>
        <v>349.08499999999998</v>
      </c>
      <c r="Q56" s="41"/>
      <c r="R56" s="48" t="str">
        <f t="shared" si="0"/>
        <v>(4,'PPUR-04-GO2','Poste de Purge n°04 GO2','1987-01-01','1987-01-01',NULL,1,),</v>
      </c>
    </row>
    <row r="57" spans="1:18" ht="20.100000000000001" customHeight="1" x14ac:dyDescent="0.25">
      <c r="A57" s="38">
        <v>5</v>
      </c>
      <c r="B57" s="38" t="s">
        <v>685</v>
      </c>
      <c r="C57" s="38">
        <v>19</v>
      </c>
      <c r="D57" s="45" t="str">
        <f t="shared" si="18"/>
        <v>PPUR-05-GO2</v>
      </c>
      <c r="E57" s="48" t="str">
        <f t="shared" si="19"/>
        <v>Poste de Purge n°05 GO2</v>
      </c>
      <c r="F57" s="19">
        <v>31778</v>
      </c>
      <c r="G57" s="19">
        <v>31778</v>
      </c>
      <c r="H57" s="41" t="s">
        <v>20</v>
      </c>
      <c r="I57" s="41">
        <v>1</v>
      </c>
      <c r="J57" s="41" t="s">
        <v>3558</v>
      </c>
      <c r="K57" s="41">
        <v>17</v>
      </c>
      <c r="L57" s="41"/>
      <c r="M57" s="41" t="s">
        <v>441</v>
      </c>
      <c r="N57" s="41" t="s">
        <v>2450</v>
      </c>
      <c r="O57" s="49">
        <f t="shared" si="3"/>
        <v>8.7100000000000009</v>
      </c>
      <c r="P57" s="43">
        <f t="shared" si="17"/>
        <v>453.72500000000002</v>
      </c>
      <c r="Q57" s="41"/>
      <c r="R57" s="48" t="str">
        <f t="shared" si="0"/>
        <v>(5,'PPUR-05-GO2','Poste de Purge n°05 GO2','1987-01-01','1987-01-01',NULL,1,),</v>
      </c>
    </row>
    <row r="58" spans="1:18" ht="20.100000000000001" customHeight="1" x14ac:dyDescent="0.25">
      <c r="A58" s="38">
        <v>6</v>
      </c>
      <c r="B58" s="38" t="s">
        <v>685</v>
      </c>
      <c r="C58" s="38">
        <v>19</v>
      </c>
      <c r="D58" s="45" t="str">
        <f t="shared" si="18"/>
        <v>PPUR-06-GO2</v>
      </c>
      <c r="E58" s="48" t="str">
        <f t="shared" si="19"/>
        <v>Poste de Purge n°06 GO2</v>
      </c>
      <c r="F58" s="19">
        <v>31778</v>
      </c>
      <c r="G58" s="19">
        <v>31778</v>
      </c>
      <c r="H58" s="41" t="s">
        <v>20</v>
      </c>
      <c r="I58" s="41">
        <v>1</v>
      </c>
      <c r="J58" s="41" t="s">
        <v>3558</v>
      </c>
      <c r="K58" s="41">
        <v>17</v>
      </c>
      <c r="L58" s="41"/>
      <c r="M58" s="41" t="s">
        <v>441</v>
      </c>
      <c r="N58" s="41" t="s">
        <v>2451</v>
      </c>
      <c r="O58" s="49">
        <f t="shared" si="3"/>
        <v>26.69</v>
      </c>
      <c r="P58" s="43">
        <f t="shared" si="17"/>
        <v>462.82</v>
      </c>
      <c r="Q58" s="41"/>
      <c r="R58" s="48" t="str">
        <f t="shared" si="0"/>
        <v>(6,'PPUR-06-GO2','Poste de Purge n°06 GO2','1987-01-01','1987-01-01',NULL,1,),</v>
      </c>
    </row>
    <row r="59" spans="1:18" ht="20.100000000000001" customHeight="1" x14ac:dyDescent="0.25">
      <c r="A59" s="38">
        <v>7</v>
      </c>
      <c r="B59" s="38" t="s">
        <v>685</v>
      </c>
      <c r="C59" s="38">
        <v>19</v>
      </c>
      <c r="D59" s="45" t="str">
        <f t="shared" si="18"/>
        <v>PPUR-07-GO2</v>
      </c>
      <c r="E59" s="48" t="str">
        <f t="shared" si="19"/>
        <v>Poste de Purge n°07 GO2</v>
      </c>
      <c r="F59" s="19">
        <v>31778</v>
      </c>
      <c r="G59" s="19">
        <v>31778</v>
      </c>
      <c r="H59" s="41" t="s">
        <v>20</v>
      </c>
      <c r="I59" s="41">
        <v>1</v>
      </c>
      <c r="J59" s="41" t="s">
        <v>3558</v>
      </c>
      <c r="K59" s="41">
        <v>17</v>
      </c>
      <c r="L59" s="41"/>
      <c r="M59" s="41" t="s">
        <v>441</v>
      </c>
      <c r="N59" s="41" t="s">
        <v>2452</v>
      </c>
      <c r="O59" s="49">
        <f t="shared" si="3"/>
        <v>669.2</v>
      </c>
      <c r="P59" s="43">
        <f t="shared" si="17"/>
        <v>546.952</v>
      </c>
      <c r="Q59" s="41"/>
      <c r="R59" s="48" t="str">
        <f t="shared" si="0"/>
        <v>(7,'PPUR-07-GO2','Poste de Purge n°07 GO2','1987-01-01','1987-01-01',NULL,1,),</v>
      </c>
    </row>
    <row r="60" spans="1:18" ht="20.100000000000001" customHeight="1" x14ac:dyDescent="0.25">
      <c r="A60" s="38">
        <v>1</v>
      </c>
      <c r="B60" s="38" t="s">
        <v>685</v>
      </c>
      <c r="C60" s="38">
        <v>19</v>
      </c>
      <c r="D60" s="45" t="str">
        <f t="shared" si="18"/>
        <v>PPUR-01-GO3</v>
      </c>
      <c r="E60" s="48" t="str">
        <f t="shared" si="19"/>
        <v>Poste de Purge n°01 GO3</v>
      </c>
      <c r="F60" s="19">
        <v>39448</v>
      </c>
      <c r="G60" s="19">
        <v>39448</v>
      </c>
      <c r="H60" s="41" t="s">
        <v>20</v>
      </c>
      <c r="I60" s="41">
        <v>1</v>
      </c>
      <c r="J60" s="41" t="s">
        <v>3558</v>
      </c>
      <c r="K60" s="41">
        <v>17</v>
      </c>
      <c r="L60" s="41"/>
      <c r="M60" s="41" t="s">
        <v>444</v>
      </c>
      <c r="N60" s="41" t="s">
        <v>2453</v>
      </c>
      <c r="O60" s="49">
        <f t="shared" si="3"/>
        <v>452.34</v>
      </c>
      <c r="P60" s="43">
        <f t="shared" si="17"/>
        <v>167.42</v>
      </c>
      <c r="Q60" s="41"/>
      <c r="R60" s="48" t="str">
        <f t="shared" si="0"/>
        <v>(1,'PPUR-01-GO3','Poste de Purge n°01 GO3','2008-01-01','2008-01-01',NULL,1,),</v>
      </c>
    </row>
    <row r="61" spans="1:18" ht="20.100000000000001" customHeight="1" x14ac:dyDescent="0.25">
      <c r="A61" s="38">
        <v>3</v>
      </c>
      <c r="B61" s="38" t="s">
        <v>685</v>
      </c>
      <c r="C61" s="38">
        <v>19</v>
      </c>
      <c r="D61" s="45" t="str">
        <f t="shared" si="18"/>
        <v>PPUR-03-GO3</v>
      </c>
      <c r="E61" s="48" t="str">
        <f t="shared" si="19"/>
        <v>Poste de Purge n°03 GO3</v>
      </c>
      <c r="F61" s="19">
        <v>39448</v>
      </c>
      <c r="G61" s="19">
        <v>39448</v>
      </c>
      <c r="H61" s="41" t="s">
        <v>20</v>
      </c>
      <c r="I61" s="41">
        <v>1</v>
      </c>
      <c r="J61" s="41" t="s">
        <v>3558</v>
      </c>
      <c r="K61" s="41">
        <v>17</v>
      </c>
      <c r="L61" s="41"/>
      <c r="M61" s="41" t="s">
        <v>444</v>
      </c>
      <c r="N61" s="41" t="s">
        <v>2454</v>
      </c>
      <c r="O61" s="49">
        <f t="shared" si="3"/>
        <v>-10.57</v>
      </c>
      <c r="P61" s="43">
        <f t="shared" si="17"/>
        <v>342.86</v>
      </c>
      <c r="Q61" s="41"/>
      <c r="R61" s="48" t="str">
        <f t="shared" si="0"/>
        <v>(3,'PPUR-03-GO3','Poste de Purge n°03 GO3','2008-01-01','2008-01-01',NULL,1,),</v>
      </c>
    </row>
    <row r="62" spans="1:18" ht="20.100000000000001" customHeight="1" x14ac:dyDescent="0.25">
      <c r="A62" s="38">
        <v>4</v>
      </c>
      <c r="B62" s="38" t="s">
        <v>685</v>
      </c>
      <c r="C62" s="38">
        <v>19</v>
      </c>
      <c r="D62" s="45" t="str">
        <f t="shared" si="18"/>
        <v>PPUR-04-GO3</v>
      </c>
      <c r="E62" s="48" t="str">
        <f t="shared" si="19"/>
        <v>Poste de Purge n°04 GO3</v>
      </c>
      <c r="F62" s="19">
        <v>39448</v>
      </c>
      <c r="G62" s="19">
        <v>39448</v>
      </c>
      <c r="H62" s="41" t="s">
        <v>20</v>
      </c>
      <c r="I62" s="41">
        <v>1</v>
      </c>
      <c r="J62" s="41" t="s">
        <v>3558</v>
      </c>
      <c r="K62" s="41">
        <v>17</v>
      </c>
      <c r="L62" s="41"/>
      <c r="M62" s="41" t="s">
        <v>444</v>
      </c>
      <c r="N62" s="41" t="s">
        <v>2455</v>
      </c>
      <c r="O62" s="49">
        <f t="shared" si="3"/>
        <v>-0.28000000000000003</v>
      </c>
      <c r="P62" s="43">
        <f t="shared" si="17"/>
        <v>349.12</v>
      </c>
      <c r="Q62" s="41"/>
      <c r="R62" s="48" t="str">
        <f t="shared" si="0"/>
        <v>(4,'PPUR-04-GO3','Poste de Purge n°04 GO3','2008-01-01','2008-01-01',NULL,1,),</v>
      </c>
    </row>
    <row r="63" spans="1:18" ht="20.100000000000001" customHeight="1" x14ac:dyDescent="0.25">
      <c r="A63" s="38">
        <v>6</v>
      </c>
      <c r="B63" s="38" t="s">
        <v>685</v>
      </c>
      <c r="C63" s="38">
        <v>19</v>
      </c>
      <c r="D63" s="45" t="str">
        <f t="shared" si="18"/>
        <v>PPUR-06-GO3</v>
      </c>
      <c r="E63" s="48" t="str">
        <f t="shared" si="19"/>
        <v>Poste de Purge n°06 GO3</v>
      </c>
      <c r="F63" s="19">
        <v>39448</v>
      </c>
      <c r="G63" s="19">
        <v>39448</v>
      </c>
      <c r="H63" s="41" t="s">
        <v>20</v>
      </c>
      <c r="I63" s="41">
        <v>1</v>
      </c>
      <c r="J63" s="41" t="s">
        <v>3558</v>
      </c>
      <c r="K63" s="41">
        <v>17</v>
      </c>
      <c r="L63" s="41"/>
      <c r="M63" s="41" t="s">
        <v>444</v>
      </c>
      <c r="N63" s="41" t="s">
        <v>2456</v>
      </c>
      <c r="O63" s="49">
        <f t="shared" si="3"/>
        <v>24.37</v>
      </c>
      <c r="P63" s="43">
        <f t="shared" si="17"/>
        <v>461.75</v>
      </c>
      <c r="Q63" s="41"/>
      <c r="R63" s="48" t="str">
        <f t="shared" si="0"/>
        <v>(6,'PPUR-06-GO3','Poste de Purge n°06 GO3','2008-01-01','2008-01-01',NULL,1,),</v>
      </c>
    </row>
    <row r="64" spans="1:18" ht="20.100000000000001" customHeight="1" x14ac:dyDescent="0.25">
      <c r="A64" s="38">
        <v>7</v>
      </c>
      <c r="B64" s="38" t="s">
        <v>685</v>
      </c>
      <c r="C64" s="38">
        <v>19</v>
      </c>
      <c r="D64" s="45" t="str">
        <f t="shared" si="18"/>
        <v>PPUR-07-GO3</v>
      </c>
      <c r="E64" s="48" t="str">
        <f t="shared" si="19"/>
        <v>Poste de Purge n°07 GO3</v>
      </c>
      <c r="F64" s="19">
        <v>39448</v>
      </c>
      <c r="G64" s="19">
        <v>39448</v>
      </c>
      <c r="H64" s="41" t="s">
        <v>20</v>
      </c>
      <c r="I64" s="41">
        <v>1</v>
      </c>
      <c r="J64" s="41" t="s">
        <v>3558</v>
      </c>
      <c r="K64" s="41">
        <v>17</v>
      </c>
      <c r="L64" s="41"/>
      <c r="M64" s="41" t="s">
        <v>444</v>
      </c>
      <c r="N64" s="41" t="s">
        <v>2457</v>
      </c>
      <c r="O64" s="49">
        <f t="shared" si="3"/>
        <v>675.86</v>
      </c>
      <c r="P64" s="43">
        <f t="shared" si="17"/>
        <v>546.88</v>
      </c>
      <c r="Q64" s="41"/>
      <c r="R64" s="48" t="str">
        <f t="shared" si="0"/>
        <v>(7,'PPUR-07-GO3','Poste de Purge n°07 GO3','2008-01-01','2008-01-01',NULL,1,),</v>
      </c>
    </row>
    <row r="65" spans="1:18" ht="20.100000000000001" customHeight="1" x14ac:dyDescent="0.25">
      <c r="A65" s="38">
        <v>1</v>
      </c>
      <c r="B65" s="38" t="s">
        <v>664</v>
      </c>
      <c r="C65" s="38">
        <v>21</v>
      </c>
      <c r="D65" s="45" t="str">
        <f t="shared" si="18"/>
        <v>PPUR-01-GR1</v>
      </c>
      <c r="E65" s="48" t="str">
        <f t="shared" si="19"/>
        <v>Poste de Purge n°01 GR1</v>
      </c>
      <c r="F65" s="19">
        <v>35065</v>
      </c>
      <c r="G65" s="19">
        <v>35065</v>
      </c>
      <c r="H65" s="41" t="s">
        <v>20</v>
      </c>
      <c r="I65" s="41">
        <v>1</v>
      </c>
      <c r="J65" s="41" t="s">
        <v>3558</v>
      </c>
      <c r="K65" s="41">
        <v>17</v>
      </c>
      <c r="L65" s="41"/>
      <c r="M65" s="41" t="s">
        <v>415</v>
      </c>
      <c r="N65" s="41" t="s">
        <v>2631</v>
      </c>
      <c r="O65" s="49">
        <f t="shared" si="3"/>
        <v>570</v>
      </c>
      <c r="P65" s="43">
        <f t="shared" si="17"/>
        <v>93.79</v>
      </c>
      <c r="Q65" s="41" t="s">
        <v>979</v>
      </c>
      <c r="R65" s="48" t="str">
        <f t="shared" si="0"/>
        <v>(1,'PPUR-01-GR1','Poste de Purge n°01 GR1','1996-01-01','1996-01-01',NULL,1,),</v>
      </c>
    </row>
    <row r="66" spans="1:18" ht="20.100000000000001" customHeight="1" x14ac:dyDescent="0.25">
      <c r="A66" s="38">
        <v>2</v>
      </c>
      <c r="B66" s="38" t="s">
        <v>664</v>
      </c>
      <c r="C66" s="38">
        <v>21</v>
      </c>
      <c r="D66" s="45" t="str">
        <f t="shared" si="18"/>
        <v>PPUR-02-GR1</v>
      </c>
      <c r="E66" s="48" t="str">
        <f t="shared" si="19"/>
        <v>Poste de Purge n°02 GR1</v>
      </c>
      <c r="F66" s="19">
        <v>35065</v>
      </c>
      <c r="G66" s="19">
        <v>35065</v>
      </c>
      <c r="H66" s="41" t="s">
        <v>20</v>
      </c>
      <c r="I66" s="41">
        <v>1</v>
      </c>
      <c r="J66" s="41" t="s">
        <v>3558</v>
      </c>
      <c r="K66" s="41">
        <v>17</v>
      </c>
      <c r="L66" s="41"/>
      <c r="M66" s="41" t="s">
        <v>415</v>
      </c>
      <c r="N66" s="41" t="s">
        <v>2632</v>
      </c>
      <c r="O66" s="49">
        <f t="shared" si="3"/>
        <v>450</v>
      </c>
      <c r="P66" s="43">
        <f t="shared" si="17"/>
        <v>200.27</v>
      </c>
      <c r="Q66" s="41" t="s">
        <v>1804</v>
      </c>
      <c r="R66" s="48" t="str">
        <f t="shared" si="0"/>
        <v>(2,'PPUR-02-GR1','Poste de Purge n°02 GR1','1996-01-01','1996-01-01',NULL,1,),</v>
      </c>
    </row>
    <row r="67" spans="1:18" ht="20.100000000000001" customHeight="1" x14ac:dyDescent="0.25">
      <c r="A67" s="38">
        <v>3</v>
      </c>
      <c r="B67" s="38" t="s">
        <v>664</v>
      </c>
      <c r="C67" s="38">
        <v>21</v>
      </c>
      <c r="D67" s="45" t="str">
        <f t="shared" ref="D67:D92" si="20">CONCATENATE("PPUR-",TEXT(A67,"00"),"-",M67)</f>
        <v>PPUR-03-GR1</v>
      </c>
      <c r="E67" s="48" t="str">
        <f t="shared" ref="E67:E92" si="21">CONCATENATE("Poste de Purge n°",TEXT(A67,"00")," ",M67)</f>
        <v>Poste de Purge n°03 GR1</v>
      </c>
      <c r="F67" s="19">
        <v>35065</v>
      </c>
      <c r="G67" s="19">
        <v>35065</v>
      </c>
      <c r="H67" s="41" t="s">
        <v>20</v>
      </c>
      <c r="I67" s="41">
        <v>1</v>
      </c>
      <c r="J67" s="41" t="s">
        <v>3558</v>
      </c>
      <c r="K67" s="41">
        <v>17</v>
      </c>
      <c r="L67" s="41"/>
      <c r="M67" s="41" t="s">
        <v>415</v>
      </c>
      <c r="N67" s="41" t="s">
        <v>2633</v>
      </c>
      <c r="O67" s="49">
        <f t="shared" si="3"/>
        <v>380</v>
      </c>
      <c r="P67" s="43">
        <f t="shared" si="17"/>
        <v>251.99</v>
      </c>
      <c r="Q67" s="41" t="s">
        <v>1804</v>
      </c>
      <c r="R67" s="48" t="str">
        <f t="shared" ref="R67:R130" si="22">CONCATENATE("(",A67,",'",D67,"','",E67,"','",TEXT(F67,"aaaa-mm-jj"),"','",TEXT(G67,"aaaa-mm-jj"),"',",H67,",",I67,",",L67,"),")</f>
        <v>(3,'PPUR-03-GR1','Poste de Purge n°03 GR1','1996-01-01','1996-01-01',NULL,1,),</v>
      </c>
    </row>
    <row r="68" spans="1:18" ht="20.100000000000001" customHeight="1" x14ac:dyDescent="0.25">
      <c r="A68" s="38">
        <v>4</v>
      </c>
      <c r="B68" s="38" t="s">
        <v>664</v>
      </c>
      <c r="C68" s="38">
        <v>21</v>
      </c>
      <c r="D68" s="45" t="str">
        <f t="shared" si="20"/>
        <v>PPUR-04-GR1</v>
      </c>
      <c r="E68" s="48" t="str">
        <f t="shared" si="21"/>
        <v>Poste de Purge n°04 GR1</v>
      </c>
      <c r="F68" s="19">
        <v>35065</v>
      </c>
      <c r="G68" s="19">
        <v>35065</v>
      </c>
      <c r="H68" s="41" t="s">
        <v>20</v>
      </c>
      <c r="I68" s="41">
        <v>1</v>
      </c>
      <c r="J68" s="41" t="s">
        <v>3558</v>
      </c>
      <c r="K68" s="41">
        <v>17</v>
      </c>
      <c r="L68" s="41"/>
      <c r="M68" s="41" t="s">
        <v>415</v>
      </c>
      <c r="N68" s="41" t="s">
        <v>2634</v>
      </c>
      <c r="O68" s="49">
        <f t="shared" ref="O68:O80" si="23">VALUE(RIGHT(N68,LEN(N68)-SEARCH("/",N68)))</f>
        <v>360</v>
      </c>
      <c r="P68" s="43">
        <f t="shared" si="17"/>
        <v>281.27</v>
      </c>
      <c r="Q68" s="41" t="s">
        <v>1804</v>
      </c>
      <c r="R68" s="48" t="str">
        <f t="shared" si="22"/>
        <v>(4,'PPUR-04-GR1','Poste de Purge n°04 GR1','1996-01-01','1996-01-01',NULL,1,),</v>
      </c>
    </row>
    <row r="69" spans="1:18" ht="20.100000000000001" customHeight="1" x14ac:dyDescent="0.25">
      <c r="A69" s="38">
        <v>5</v>
      </c>
      <c r="B69" s="38" t="s">
        <v>664</v>
      </c>
      <c r="C69" s="38">
        <v>21</v>
      </c>
      <c r="D69" s="45" t="str">
        <f t="shared" si="20"/>
        <v>PPUR-05-GR1</v>
      </c>
      <c r="E69" s="48" t="str">
        <f t="shared" si="21"/>
        <v>Poste de Purge n°05 GR1</v>
      </c>
      <c r="F69" s="19">
        <v>35065</v>
      </c>
      <c r="G69" s="19">
        <v>35065</v>
      </c>
      <c r="H69" s="41" t="s">
        <v>20</v>
      </c>
      <c r="I69" s="41">
        <v>1</v>
      </c>
      <c r="J69" s="41" t="s">
        <v>3558</v>
      </c>
      <c r="K69" s="41">
        <v>17</v>
      </c>
      <c r="L69" s="41"/>
      <c r="M69" s="41" t="s">
        <v>415</v>
      </c>
      <c r="N69" s="41" t="s">
        <v>2635</v>
      </c>
      <c r="O69" s="49">
        <f t="shared" si="23"/>
        <v>330</v>
      </c>
      <c r="P69" s="43">
        <f t="shared" si="17"/>
        <v>309.10000000000002</v>
      </c>
      <c r="Q69" s="41" t="s">
        <v>1804</v>
      </c>
      <c r="R69" s="48" t="str">
        <f t="shared" si="22"/>
        <v>(5,'PPUR-05-GR1','Poste de Purge n°05 GR1','1996-01-01','1996-01-01',NULL,1,),</v>
      </c>
    </row>
    <row r="70" spans="1:18" ht="20.100000000000001" customHeight="1" x14ac:dyDescent="0.25">
      <c r="A70" s="38">
        <v>6</v>
      </c>
      <c r="B70" s="38" t="s">
        <v>664</v>
      </c>
      <c r="C70" s="38">
        <v>21</v>
      </c>
      <c r="D70" s="45" t="str">
        <f t="shared" si="20"/>
        <v>PPUR-06-GR1</v>
      </c>
      <c r="E70" s="48" t="str">
        <f t="shared" si="21"/>
        <v>Poste de Purge n°06 GR1</v>
      </c>
      <c r="F70" s="19">
        <v>35065</v>
      </c>
      <c r="G70" s="19">
        <v>35065</v>
      </c>
      <c r="H70" s="41" t="s">
        <v>20</v>
      </c>
      <c r="I70" s="41">
        <v>1</v>
      </c>
      <c r="J70" s="41" t="s">
        <v>3558</v>
      </c>
      <c r="K70" s="41">
        <v>17</v>
      </c>
      <c r="L70" s="41"/>
      <c r="M70" s="41" t="s">
        <v>415</v>
      </c>
      <c r="N70" s="41" t="s">
        <v>2636</v>
      </c>
      <c r="O70" s="49">
        <f t="shared" si="23"/>
        <v>310</v>
      </c>
      <c r="P70" s="43">
        <f t="shared" si="17"/>
        <v>330.92</v>
      </c>
      <c r="Q70" s="41" t="s">
        <v>1804</v>
      </c>
      <c r="R70" s="48" t="str">
        <f t="shared" si="22"/>
        <v>(6,'PPUR-06-GR1','Poste de Purge n°06 GR1','1996-01-01','1996-01-01',NULL,1,),</v>
      </c>
    </row>
    <row r="71" spans="1:18" ht="20.100000000000001" customHeight="1" x14ac:dyDescent="0.25">
      <c r="A71" s="38">
        <v>7</v>
      </c>
      <c r="B71" s="38" t="s">
        <v>664</v>
      </c>
      <c r="C71" s="38">
        <v>21</v>
      </c>
      <c r="D71" s="45" t="str">
        <f t="shared" si="20"/>
        <v>PPUR-07-GR1</v>
      </c>
      <c r="E71" s="48" t="str">
        <f t="shared" si="21"/>
        <v>Poste de Purge n°07 GR1</v>
      </c>
      <c r="F71" s="19">
        <v>35065</v>
      </c>
      <c r="G71" s="19">
        <v>35065</v>
      </c>
      <c r="H71" s="41" t="s">
        <v>20</v>
      </c>
      <c r="I71" s="41">
        <v>1</v>
      </c>
      <c r="J71" s="41" t="s">
        <v>3558</v>
      </c>
      <c r="K71" s="41">
        <v>17</v>
      </c>
      <c r="L71" s="41"/>
      <c r="M71" s="41" t="s">
        <v>415</v>
      </c>
      <c r="N71" s="41" t="s">
        <v>2637</v>
      </c>
      <c r="O71" s="49">
        <f t="shared" si="23"/>
        <v>206</v>
      </c>
      <c r="P71" s="43">
        <f t="shared" si="17"/>
        <v>502.81</v>
      </c>
      <c r="Q71" s="41" t="s">
        <v>998</v>
      </c>
      <c r="R71" s="48" t="str">
        <f t="shared" si="22"/>
        <v>(7,'PPUR-07-GR1','Poste de Purge n°07 GR1','1996-01-01','1996-01-01',NULL,1,),</v>
      </c>
    </row>
    <row r="72" spans="1:18" ht="20.100000000000001" customHeight="1" x14ac:dyDescent="0.25">
      <c r="A72" s="38">
        <v>8</v>
      </c>
      <c r="B72" s="38" t="s">
        <v>664</v>
      </c>
      <c r="C72" s="38">
        <v>21</v>
      </c>
      <c r="D72" s="45" t="str">
        <f t="shared" si="20"/>
        <v>PPUR-08-GR1</v>
      </c>
      <c r="E72" s="48" t="str">
        <f t="shared" si="21"/>
        <v>Poste de Purge n°08 GR1</v>
      </c>
      <c r="F72" s="19">
        <v>35065</v>
      </c>
      <c r="G72" s="19">
        <v>35065</v>
      </c>
      <c r="H72" s="41" t="s">
        <v>20</v>
      </c>
      <c r="I72" s="41">
        <v>1</v>
      </c>
      <c r="J72" s="41" t="s">
        <v>3558</v>
      </c>
      <c r="K72" s="41">
        <v>17</v>
      </c>
      <c r="L72" s="41"/>
      <c r="M72" s="41" t="s">
        <v>415</v>
      </c>
      <c r="N72" s="41" t="s">
        <v>2638</v>
      </c>
      <c r="O72" s="49">
        <f t="shared" si="23"/>
        <v>189</v>
      </c>
      <c r="P72" s="43">
        <f t="shared" si="17"/>
        <v>586.69000000000005</v>
      </c>
      <c r="Q72" s="41" t="s">
        <v>998</v>
      </c>
      <c r="R72" s="48" t="str">
        <f t="shared" si="22"/>
        <v>(8,'PPUR-08-GR1','Poste de Purge n°08 GR1','1996-01-01','1996-01-01',NULL,1,),</v>
      </c>
    </row>
    <row r="73" spans="1:18" ht="20.100000000000001" customHeight="1" x14ac:dyDescent="0.25">
      <c r="A73" s="38">
        <v>9</v>
      </c>
      <c r="B73" s="38" t="s">
        <v>664</v>
      </c>
      <c r="C73" s="38">
        <v>21</v>
      </c>
      <c r="D73" s="45" t="str">
        <f t="shared" si="20"/>
        <v>PPUR-09-GR1</v>
      </c>
      <c r="E73" s="48" t="str">
        <f t="shared" si="21"/>
        <v>Poste de Purge n°09 GR1</v>
      </c>
      <c r="F73" s="19">
        <v>35065</v>
      </c>
      <c r="G73" s="19">
        <v>35065</v>
      </c>
      <c r="H73" s="41" t="s">
        <v>20</v>
      </c>
      <c r="I73" s="41">
        <v>1</v>
      </c>
      <c r="J73" s="41" t="s">
        <v>3558</v>
      </c>
      <c r="K73" s="41">
        <v>17</v>
      </c>
      <c r="L73" s="41"/>
      <c r="M73" s="41" t="s">
        <v>415</v>
      </c>
      <c r="N73" s="41" t="s">
        <v>2639</v>
      </c>
      <c r="O73" s="49">
        <f t="shared" si="23"/>
        <v>175</v>
      </c>
      <c r="P73" s="43">
        <f t="shared" si="17"/>
        <v>631.98</v>
      </c>
      <c r="Q73" s="41" t="s">
        <v>998</v>
      </c>
      <c r="R73" s="48" t="str">
        <f t="shared" si="22"/>
        <v>(9,'PPUR-09-GR1','Poste de Purge n°09 GR1','1996-01-01','1996-01-01',NULL,1,),</v>
      </c>
    </row>
    <row r="74" spans="1:18" ht="20.100000000000001" customHeight="1" x14ac:dyDescent="0.25">
      <c r="A74" s="38">
        <v>10</v>
      </c>
      <c r="B74" s="38" t="s">
        <v>664</v>
      </c>
      <c r="C74" s="38">
        <v>21</v>
      </c>
      <c r="D74" s="45" t="str">
        <f t="shared" si="20"/>
        <v>PPUR-10-GR1</v>
      </c>
      <c r="E74" s="48" t="str">
        <f t="shared" si="21"/>
        <v>Poste de Purge n°10 GR1</v>
      </c>
      <c r="F74" s="19">
        <v>35065</v>
      </c>
      <c r="G74" s="19">
        <v>35065</v>
      </c>
      <c r="H74" s="41" t="s">
        <v>20</v>
      </c>
      <c r="I74" s="41">
        <v>1</v>
      </c>
      <c r="J74" s="41" t="s">
        <v>3558</v>
      </c>
      <c r="K74" s="41">
        <v>17</v>
      </c>
      <c r="L74" s="41"/>
      <c r="M74" s="41" t="s">
        <v>415</v>
      </c>
      <c r="N74" s="41" t="s">
        <v>2640</v>
      </c>
      <c r="O74" s="49">
        <f t="shared" si="23"/>
        <v>168</v>
      </c>
      <c r="P74" s="43">
        <f t="shared" si="17"/>
        <v>653.70000000000005</v>
      </c>
      <c r="Q74" s="41" t="s">
        <v>998</v>
      </c>
      <c r="R74" s="48" t="str">
        <f t="shared" si="22"/>
        <v>(10,'PPUR-10-GR1','Poste de Purge n°10 GR1','1996-01-01','1996-01-01',NULL,1,),</v>
      </c>
    </row>
    <row r="75" spans="1:18" ht="20.100000000000001" customHeight="1" x14ac:dyDescent="0.25">
      <c r="A75" s="38">
        <v>11</v>
      </c>
      <c r="B75" s="38" t="s">
        <v>664</v>
      </c>
      <c r="C75" s="38">
        <v>21</v>
      </c>
      <c r="D75" s="45" t="str">
        <f t="shared" si="20"/>
        <v>PPUR-11-GR1</v>
      </c>
      <c r="E75" s="48" t="str">
        <f t="shared" si="21"/>
        <v>Poste de Purge n°11 GR1</v>
      </c>
      <c r="F75" s="19">
        <v>35065</v>
      </c>
      <c r="G75" s="19">
        <v>35065</v>
      </c>
      <c r="H75" s="41" t="s">
        <v>20</v>
      </c>
      <c r="I75" s="41">
        <v>1</v>
      </c>
      <c r="J75" s="41" t="s">
        <v>3558</v>
      </c>
      <c r="K75" s="41">
        <v>17</v>
      </c>
      <c r="L75" s="41"/>
      <c r="M75" s="41" t="s">
        <v>415</v>
      </c>
      <c r="N75" s="41" t="s">
        <v>2641</v>
      </c>
      <c r="O75" s="49">
        <f t="shared" si="23"/>
        <v>160</v>
      </c>
      <c r="P75" s="43">
        <f t="shared" si="17"/>
        <v>693.73</v>
      </c>
      <c r="Q75" s="41" t="s">
        <v>2544</v>
      </c>
      <c r="R75" s="48" t="str">
        <f t="shared" si="22"/>
        <v>(11,'PPUR-11-GR1','Poste de Purge n°11 GR1','1996-01-01','1996-01-01',NULL,1,),</v>
      </c>
    </row>
    <row r="76" spans="1:18" ht="20.100000000000001" customHeight="1" x14ac:dyDescent="0.25">
      <c r="A76" s="38">
        <v>12</v>
      </c>
      <c r="B76" s="38" t="s">
        <v>664</v>
      </c>
      <c r="C76" s="38">
        <v>21</v>
      </c>
      <c r="D76" s="45" t="str">
        <f t="shared" si="20"/>
        <v>PPUR-12-GR1</v>
      </c>
      <c r="E76" s="48" t="str">
        <f t="shared" si="21"/>
        <v>Poste de Purge n°12 GR1</v>
      </c>
      <c r="F76" s="19">
        <v>35065</v>
      </c>
      <c r="G76" s="19">
        <v>35065</v>
      </c>
      <c r="H76" s="41" t="s">
        <v>20</v>
      </c>
      <c r="I76" s="41">
        <v>1</v>
      </c>
      <c r="J76" s="41" t="s">
        <v>3558</v>
      </c>
      <c r="K76" s="41">
        <v>17</v>
      </c>
      <c r="L76" s="41"/>
      <c r="M76" s="41" t="s">
        <v>415</v>
      </c>
      <c r="N76" s="41" t="s">
        <v>2642</v>
      </c>
      <c r="O76" s="49">
        <f t="shared" si="23"/>
        <v>220</v>
      </c>
      <c r="P76" s="43">
        <f t="shared" si="17"/>
        <v>741.66</v>
      </c>
      <c r="Q76" s="41" t="s">
        <v>2545</v>
      </c>
      <c r="R76" s="48" t="str">
        <f t="shared" si="22"/>
        <v>(12,'PPUR-12-GR1','Poste de Purge n°12 GR1','1996-01-01','1996-01-01',NULL,1,),</v>
      </c>
    </row>
    <row r="77" spans="1:18" ht="20.100000000000001" customHeight="1" x14ac:dyDescent="0.25">
      <c r="A77" s="38">
        <v>13</v>
      </c>
      <c r="B77" s="38" t="s">
        <v>664</v>
      </c>
      <c r="C77" s="38">
        <v>21</v>
      </c>
      <c r="D77" s="45" t="str">
        <f t="shared" si="20"/>
        <v>PPUR-13-GR1</v>
      </c>
      <c r="E77" s="48" t="str">
        <f t="shared" si="21"/>
        <v>Poste de Purge n°13 GR1</v>
      </c>
      <c r="F77" s="19">
        <v>35065</v>
      </c>
      <c r="G77" s="19">
        <v>35065</v>
      </c>
      <c r="H77" s="41" t="s">
        <v>20</v>
      </c>
      <c r="I77" s="41">
        <v>1</v>
      </c>
      <c r="J77" s="41" t="s">
        <v>3558</v>
      </c>
      <c r="K77" s="41">
        <v>17</v>
      </c>
      <c r="L77" s="41"/>
      <c r="M77" s="41" t="s">
        <v>415</v>
      </c>
      <c r="N77" s="41" t="s">
        <v>2643</v>
      </c>
      <c r="O77" s="49">
        <f t="shared" si="23"/>
        <v>150</v>
      </c>
      <c r="P77" s="43">
        <f t="shared" si="17"/>
        <v>800.4</v>
      </c>
      <c r="Q77" s="41" t="s">
        <v>744</v>
      </c>
      <c r="R77" s="48" t="str">
        <f t="shared" si="22"/>
        <v>(13,'PPUR-13-GR1','Poste de Purge n°13 GR1','1996-01-01','1996-01-01',NULL,1,),</v>
      </c>
    </row>
    <row r="78" spans="1:18" ht="20.100000000000001" customHeight="1" x14ac:dyDescent="0.25">
      <c r="A78" s="38">
        <v>14</v>
      </c>
      <c r="B78" s="38" t="s">
        <v>664</v>
      </c>
      <c r="C78" s="38">
        <v>21</v>
      </c>
      <c r="D78" s="45" t="str">
        <f t="shared" si="20"/>
        <v>PPUR-14-GR1</v>
      </c>
      <c r="E78" s="48" t="str">
        <f t="shared" si="21"/>
        <v>Poste de Purge n°14 GR1</v>
      </c>
      <c r="F78" s="19">
        <v>35065</v>
      </c>
      <c r="G78" s="19">
        <v>35065</v>
      </c>
      <c r="H78" s="41" t="s">
        <v>20</v>
      </c>
      <c r="I78" s="41">
        <v>1</v>
      </c>
      <c r="J78" s="41" t="s">
        <v>3558</v>
      </c>
      <c r="K78" s="41">
        <v>17</v>
      </c>
      <c r="L78" s="41"/>
      <c r="M78" s="41" t="s">
        <v>415</v>
      </c>
      <c r="N78" s="41" t="s">
        <v>2644</v>
      </c>
      <c r="O78" s="49">
        <f t="shared" si="23"/>
        <v>455</v>
      </c>
      <c r="P78" s="43">
        <f t="shared" si="17"/>
        <v>862</v>
      </c>
      <c r="Q78" s="41" t="s">
        <v>745</v>
      </c>
      <c r="R78" s="48" t="str">
        <f t="shared" si="22"/>
        <v>(14,'PPUR-14-GR1','Poste de Purge n°14 GR1','1996-01-01','1996-01-01',NULL,1,),</v>
      </c>
    </row>
    <row r="79" spans="1:18" ht="20.100000000000001" customHeight="1" x14ac:dyDescent="0.25">
      <c r="A79" s="38">
        <v>15</v>
      </c>
      <c r="B79" s="38" t="s">
        <v>664</v>
      </c>
      <c r="C79" s="38">
        <v>21</v>
      </c>
      <c r="D79" s="45" t="str">
        <f t="shared" si="20"/>
        <v>PPUR-15-GR1</v>
      </c>
      <c r="E79" s="48" t="str">
        <f t="shared" si="21"/>
        <v>Poste de Purge n°15 GR1</v>
      </c>
      <c r="F79" s="19">
        <v>35065</v>
      </c>
      <c r="G79" s="19">
        <v>35065</v>
      </c>
      <c r="H79" s="41" t="s">
        <v>20</v>
      </c>
      <c r="I79" s="41">
        <v>1</v>
      </c>
      <c r="J79" s="41" t="s">
        <v>3558</v>
      </c>
      <c r="K79" s="41">
        <v>17</v>
      </c>
      <c r="L79" s="41"/>
      <c r="M79" s="41" t="s">
        <v>415</v>
      </c>
      <c r="N79" s="41" t="s">
        <v>2645</v>
      </c>
      <c r="O79" s="49">
        <f t="shared" si="23"/>
        <v>685</v>
      </c>
      <c r="P79" s="43">
        <f t="shared" si="17"/>
        <v>922</v>
      </c>
      <c r="Q79" s="41" t="s">
        <v>2546</v>
      </c>
      <c r="R79" s="48" t="str">
        <f t="shared" si="22"/>
        <v>(15,'PPUR-15-GR1','Poste de Purge n°15 GR1','1996-01-01','1996-01-01',NULL,1,),</v>
      </c>
    </row>
    <row r="80" spans="1:18" ht="20.100000000000001" customHeight="1" x14ac:dyDescent="0.25">
      <c r="A80" s="38">
        <v>16</v>
      </c>
      <c r="B80" s="38" t="s">
        <v>664</v>
      </c>
      <c r="C80" s="38">
        <v>21</v>
      </c>
      <c r="D80" s="45" t="str">
        <f t="shared" si="20"/>
        <v>PPUR-16-GR1</v>
      </c>
      <c r="E80" s="48" t="str">
        <f t="shared" si="21"/>
        <v>Poste de Purge n°16 GR1</v>
      </c>
      <c r="F80" s="19">
        <v>35065</v>
      </c>
      <c r="G80" s="19">
        <v>35065</v>
      </c>
      <c r="H80" s="41" t="s">
        <v>20</v>
      </c>
      <c r="I80" s="41">
        <v>1</v>
      </c>
      <c r="J80" s="41" t="s">
        <v>3558</v>
      </c>
      <c r="K80" s="41">
        <v>17</v>
      </c>
      <c r="L80" s="41"/>
      <c r="M80" s="41" t="s">
        <v>415</v>
      </c>
      <c r="N80" s="41" t="s">
        <v>2646</v>
      </c>
      <c r="O80" s="49">
        <f t="shared" si="23"/>
        <v>778</v>
      </c>
      <c r="P80" s="43">
        <f t="shared" si="17"/>
        <v>961.55</v>
      </c>
      <c r="Q80" s="41" t="s">
        <v>790</v>
      </c>
      <c r="R80" s="48" t="str">
        <f t="shared" si="22"/>
        <v>(16,'PPUR-16-GR1','Poste de Purge n°16 GR1','1996-01-01','1996-01-01',NULL,1,),</v>
      </c>
    </row>
    <row r="81" spans="1:18" ht="20.100000000000001" customHeight="1" x14ac:dyDescent="0.25">
      <c r="A81" s="38">
        <v>1</v>
      </c>
      <c r="B81" s="38" t="s">
        <v>664</v>
      </c>
      <c r="C81" s="38">
        <v>21</v>
      </c>
      <c r="D81" s="39" t="str">
        <f t="shared" si="20"/>
        <v>PPUR-01-GR4</v>
      </c>
      <c r="E81" s="48" t="str">
        <f t="shared" si="21"/>
        <v>Poste de Purge n°01 GR4</v>
      </c>
      <c r="F81" s="19">
        <v>41640</v>
      </c>
      <c r="G81" s="19">
        <v>41640</v>
      </c>
      <c r="H81" s="41" t="s">
        <v>20</v>
      </c>
      <c r="I81" s="41">
        <v>1</v>
      </c>
      <c r="J81" s="41" t="s">
        <v>3558</v>
      </c>
      <c r="K81" s="41">
        <v>17</v>
      </c>
      <c r="L81" s="41"/>
      <c r="M81" s="41" t="s">
        <v>423</v>
      </c>
      <c r="N81" s="41" t="s">
        <v>2647</v>
      </c>
      <c r="O81" s="65">
        <v>0</v>
      </c>
      <c r="P81" s="43">
        <f>VALUE(SUBSTITUTE(N81,"+",","))</f>
        <v>329.39600000000002</v>
      </c>
      <c r="Q81" s="41" t="s">
        <v>744</v>
      </c>
      <c r="R81" s="48" t="str">
        <f t="shared" si="22"/>
        <v>(1,'PPUR-01-GR4','Poste de Purge n°01 GR4','2014-01-01','2014-01-01',NULL,1,),</v>
      </c>
    </row>
    <row r="82" spans="1:18" ht="20.100000000000001" customHeight="1" x14ac:dyDescent="0.25">
      <c r="A82" s="38">
        <v>2</v>
      </c>
      <c r="B82" s="38" t="s">
        <v>664</v>
      </c>
      <c r="C82" s="38">
        <v>21</v>
      </c>
      <c r="D82" s="39" t="str">
        <f t="shared" si="20"/>
        <v>PPUR-02-GR4</v>
      </c>
      <c r="E82" s="48" t="str">
        <f t="shared" si="21"/>
        <v>Poste de Purge n°02 GR4</v>
      </c>
      <c r="F82" s="19">
        <v>41640</v>
      </c>
      <c r="G82" s="19">
        <v>41640</v>
      </c>
      <c r="H82" s="41" t="s">
        <v>20</v>
      </c>
      <c r="I82" s="41">
        <v>1</v>
      </c>
      <c r="J82" s="41" t="s">
        <v>3558</v>
      </c>
      <c r="K82" s="41">
        <v>17</v>
      </c>
      <c r="L82" s="41"/>
      <c r="M82" s="41" t="s">
        <v>423</v>
      </c>
      <c r="N82" s="41" t="s">
        <v>2648</v>
      </c>
      <c r="O82" s="65">
        <v>0</v>
      </c>
      <c r="P82" s="43">
        <f t="shared" ref="P82:P90" si="24">VALUE(SUBSTITUTE(N82,"+",","))</f>
        <v>417.36599999999999</v>
      </c>
      <c r="Q82" s="41" t="s">
        <v>745</v>
      </c>
      <c r="R82" s="48" t="str">
        <f t="shared" si="22"/>
        <v>(2,'PPUR-02-GR4','Poste de Purge n°02 GR4','2014-01-01','2014-01-01',NULL,1,),</v>
      </c>
    </row>
    <row r="83" spans="1:18" ht="20.100000000000001" customHeight="1" x14ac:dyDescent="0.25">
      <c r="A83" s="38">
        <v>3</v>
      </c>
      <c r="B83" s="38" t="s">
        <v>664</v>
      </c>
      <c r="C83" s="38">
        <v>21</v>
      </c>
      <c r="D83" s="39" t="str">
        <f t="shared" si="20"/>
        <v>PPUR-03-GR4</v>
      </c>
      <c r="E83" s="48" t="str">
        <f t="shared" si="21"/>
        <v>Poste de Purge n°03 GR4</v>
      </c>
      <c r="F83" s="19">
        <v>41640</v>
      </c>
      <c r="G83" s="19">
        <v>41640</v>
      </c>
      <c r="H83" s="41" t="s">
        <v>20</v>
      </c>
      <c r="I83" s="41">
        <v>1</v>
      </c>
      <c r="J83" s="41" t="s">
        <v>3558</v>
      </c>
      <c r="K83" s="41">
        <v>17</v>
      </c>
      <c r="L83" s="41"/>
      <c r="M83" s="41" t="s">
        <v>423</v>
      </c>
      <c r="N83" s="41" t="s">
        <v>2649</v>
      </c>
      <c r="O83" s="65">
        <v>0</v>
      </c>
      <c r="P83" s="43">
        <f t="shared" si="24"/>
        <v>515.48599999999999</v>
      </c>
      <c r="Q83" s="41" t="s">
        <v>2546</v>
      </c>
      <c r="R83" s="48" t="str">
        <f t="shared" si="22"/>
        <v>(3,'PPUR-03-GR4','Poste de Purge n°03 GR4','2014-01-01','2014-01-01',NULL,1,),</v>
      </c>
    </row>
    <row r="84" spans="1:18" ht="20.100000000000001" customHeight="1" x14ac:dyDescent="0.25">
      <c r="A84" s="38">
        <v>1</v>
      </c>
      <c r="B84" s="38" t="s">
        <v>664</v>
      </c>
      <c r="C84" s="38">
        <v>21</v>
      </c>
      <c r="D84" s="39" t="str">
        <f t="shared" si="20"/>
        <v>PPUR-01-GR6</v>
      </c>
      <c r="E84" s="48" t="str">
        <f t="shared" si="21"/>
        <v>Poste de Purge n°01 GR6</v>
      </c>
      <c r="F84" s="19">
        <v>42736</v>
      </c>
      <c r="G84" s="19">
        <v>42736</v>
      </c>
      <c r="H84" s="41" t="s">
        <v>20</v>
      </c>
      <c r="I84" s="41">
        <v>1</v>
      </c>
      <c r="J84" s="41" t="s">
        <v>3558</v>
      </c>
      <c r="K84" s="41">
        <v>17</v>
      </c>
      <c r="L84" s="41"/>
      <c r="M84" s="41" t="s">
        <v>428</v>
      </c>
      <c r="N84" s="41" t="s">
        <v>2650</v>
      </c>
      <c r="O84" s="65">
        <v>0</v>
      </c>
      <c r="P84" s="43">
        <f t="shared" si="24"/>
        <v>126.13800000000001</v>
      </c>
      <c r="Q84" s="41" t="s">
        <v>998</v>
      </c>
      <c r="R84" s="48" t="str">
        <f t="shared" si="22"/>
        <v>(1,'PPUR-01-GR6','Poste de Purge n°01 GR6','2017-01-01','2017-01-01',NULL,1,),</v>
      </c>
    </row>
    <row r="85" spans="1:18" ht="20.100000000000001" customHeight="1" x14ac:dyDescent="0.25">
      <c r="A85" s="38">
        <v>2</v>
      </c>
      <c r="B85" s="38" t="s">
        <v>664</v>
      </c>
      <c r="C85" s="38">
        <v>21</v>
      </c>
      <c r="D85" s="39" t="str">
        <f t="shared" si="20"/>
        <v>PPUR-02-GR6</v>
      </c>
      <c r="E85" s="48" t="str">
        <f t="shared" si="21"/>
        <v>Poste de Purge n°02 GR6</v>
      </c>
      <c r="F85" s="19">
        <v>42736</v>
      </c>
      <c r="G85" s="19">
        <v>42736</v>
      </c>
      <c r="H85" s="41" t="s">
        <v>20</v>
      </c>
      <c r="I85" s="41">
        <v>1</v>
      </c>
      <c r="J85" s="41" t="s">
        <v>3558</v>
      </c>
      <c r="K85" s="41">
        <v>17</v>
      </c>
      <c r="L85" s="41"/>
      <c r="M85" s="41" t="s">
        <v>428</v>
      </c>
      <c r="N85" s="41" t="s">
        <v>2651</v>
      </c>
      <c r="O85" s="65">
        <v>0</v>
      </c>
      <c r="P85" s="43">
        <f t="shared" si="24"/>
        <v>212.78800000000001</v>
      </c>
      <c r="Q85" s="41" t="s">
        <v>998</v>
      </c>
      <c r="R85" s="48" t="str">
        <f t="shared" si="22"/>
        <v>(2,'PPUR-02-GR6','Poste de Purge n°02 GR6','2017-01-01','2017-01-01',NULL,1,),</v>
      </c>
    </row>
    <row r="86" spans="1:18" ht="20.100000000000001" customHeight="1" x14ac:dyDescent="0.25">
      <c r="A86" s="38">
        <v>3</v>
      </c>
      <c r="B86" s="38" t="s">
        <v>664</v>
      </c>
      <c r="C86" s="38">
        <v>21</v>
      </c>
      <c r="D86" s="39" t="str">
        <f t="shared" si="20"/>
        <v>PPUR-03-GR6</v>
      </c>
      <c r="E86" s="48" t="str">
        <f t="shared" si="21"/>
        <v>Poste de Purge n°03 GR6</v>
      </c>
      <c r="F86" s="19">
        <v>42736</v>
      </c>
      <c r="G86" s="19">
        <v>42736</v>
      </c>
      <c r="H86" s="41" t="s">
        <v>20</v>
      </c>
      <c r="I86" s="41">
        <v>1</v>
      </c>
      <c r="J86" s="41" t="s">
        <v>3558</v>
      </c>
      <c r="K86" s="41">
        <v>17</v>
      </c>
      <c r="L86" s="41"/>
      <c r="M86" s="41" t="s">
        <v>428</v>
      </c>
      <c r="N86" s="41" t="s">
        <v>2652</v>
      </c>
      <c r="O86" s="65">
        <v>0</v>
      </c>
      <c r="P86" s="43">
        <f t="shared" si="24"/>
        <v>329</v>
      </c>
      <c r="Q86" s="41" t="s">
        <v>744</v>
      </c>
      <c r="R86" s="48" t="str">
        <f t="shared" si="22"/>
        <v>(3,'PPUR-03-GR6','Poste de Purge n°03 GR6','2017-01-01','2017-01-01',NULL,1,),</v>
      </c>
    </row>
    <row r="87" spans="1:18" ht="20.100000000000001" customHeight="1" x14ac:dyDescent="0.25">
      <c r="A87" s="38">
        <v>4</v>
      </c>
      <c r="B87" s="38" t="s">
        <v>664</v>
      </c>
      <c r="C87" s="38">
        <v>21</v>
      </c>
      <c r="D87" s="39" t="str">
        <f t="shared" si="20"/>
        <v>PPUR-04-GR6</v>
      </c>
      <c r="E87" s="48" t="str">
        <f t="shared" si="21"/>
        <v>Poste de Purge n°04 GR6</v>
      </c>
      <c r="F87" s="19">
        <v>42736</v>
      </c>
      <c r="G87" s="19">
        <v>42736</v>
      </c>
      <c r="H87" s="41" t="s">
        <v>20</v>
      </c>
      <c r="I87" s="41">
        <v>1</v>
      </c>
      <c r="J87" s="41" t="s">
        <v>3558</v>
      </c>
      <c r="K87" s="41">
        <v>17</v>
      </c>
      <c r="L87" s="41"/>
      <c r="M87" s="41" t="s">
        <v>428</v>
      </c>
      <c r="N87" s="41" t="s">
        <v>2653</v>
      </c>
      <c r="O87" s="65">
        <v>0</v>
      </c>
      <c r="P87" s="43">
        <f t="shared" si="24"/>
        <v>491.5</v>
      </c>
      <c r="Q87" s="41" t="s">
        <v>2546</v>
      </c>
      <c r="R87" s="48" t="str">
        <f t="shared" si="22"/>
        <v>(4,'PPUR-04-GR6','Poste de Purge n°04 GR6','2017-01-01','2017-01-01',NULL,1,),</v>
      </c>
    </row>
    <row r="88" spans="1:18" ht="20.100000000000001" customHeight="1" x14ac:dyDescent="0.25">
      <c r="A88" s="38">
        <v>5</v>
      </c>
      <c r="B88" s="38" t="s">
        <v>664</v>
      </c>
      <c r="C88" s="38">
        <v>21</v>
      </c>
      <c r="D88" s="39" t="str">
        <f t="shared" si="20"/>
        <v>PPUR-05-GR6</v>
      </c>
      <c r="E88" s="48" t="str">
        <f t="shared" si="21"/>
        <v>Poste de Purge n°05 GR6</v>
      </c>
      <c r="F88" s="19">
        <v>42736</v>
      </c>
      <c r="G88" s="19">
        <v>42736</v>
      </c>
      <c r="H88" s="41" t="s">
        <v>20</v>
      </c>
      <c r="I88" s="41">
        <v>1</v>
      </c>
      <c r="J88" s="41" t="s">
        <v>3558</v>
      </c>
      <c r="K88" s="41">
        <v>17</v>
      </c>
      <c r="L88" s="41"/>
      <c r="M88" s="41" t="s">
        <v>428</v>
      </c>
      <c r="N88" s="41" t="s">
        <v>2654</v>
      </c>
      <c r="O88" s="65">
        <v>0</v>
      </c>
      <c r="P88" s="43">
        <f t="shared" si="24"/>
        <v>517</v>
      </c>
      <c r="Q88" s="41" t="s">
        <v>2546</v>
      </c>
      <c r="R88" s="48" t="str">
        <f t="shared" si="22"/>
        <v>(5,'PPUR-05-GR6','Poste de Purge n°05 GR6','2017-01-01','2017-01-01',NULL,1,),</v>
      </c>
    </row>
    <row r="89" spans="1:18" ht="20.100000000000001" customHeight="1" x14ac:dyDescent="0.25">
      <c r="A89" s="38">
        <v>1</v>
      </c>
      <c r="B89" s="38" t="s">
        <v>675</v>
      </c>
      <c r="C89" s="38">
        <v>22</v>
      </c>
      <c r="D89" s="39" t="str">
        <f t="shared" si="20"/>
        <v>PPUR-01-GR5</v>
      </c>
      <c r="E89" s="48" t="str">
        <f t="shared" si="21"/>
        <v>Poste de Purge n°01 GR5</v>
      </c>
      <c r="F89" s="19">
        <v>42887</v>
      </c>
      <c r="G89" s="19">
        <v>42887</v>
      </c>
      <c r="H89" s="41" t="s">
        <v>20</v>
      </c>
      <c r="I89" s="41">
        <v>1</v>
      </c>
      <c r="J89" s="41" t="s">
        <v>3558</v>
      </c>
      <c r="K89" s="41">
        <v>17</v>
      </c>
      <c r="L89" s="41"/>
      <c r="M89" s="41" t="s">
        <v>425</v>
      </c>
      <c r="N89" s="41" t="s">
        <v>2783</v>
      </c>
      <c r="O89" s="65">
        <v>0</v>
      </c>
      <c r="P89" s="43">
        <f t="shared" si="24"/>
        <v>167.8</v>
      </c>
      <c r="Q89" s="41" t="s">
        <v>2785</v>
      </c>
      <c r="R89" s="48" t="str">
        <f t="shared" si="22"/>
        <v>(1,'PPUR-01-GR5','Poste de Purge n°01 GR5','2017-06-01','2017-06-01',NULL,1,),</v>
      </c>
    </row>
    <row r="90" spans="1:18" ht="20.100000000000001" customHeight="1" x14ac:dyDescent="0.25">
      <c r="A90" s="38">
        <v>2</v>
      </c>
      <c r="B90" s="38" t="s">
        <v>675</v>
      </c>
      <c r="C90" s="38">
        <v>22</v>
      </c>
      <c r="D90" s="39" t="str">
        <f t="shared" si="20"/>
        <v>PPUR-02-GR5</v>
      </c>
      <c r="E90" s="48" t="str">
        <f t="shared" si="21"/>
        <v>Poste de Purge n°02 GR5</v>
      </c>
      <c r="F90" s="19">
        <v>42887</v>
      </c>
      <c r="G90" s="19">
        <v>42887</v>
      </c>
      <c r="H90" s="41" t="s">
        <v>20</v>
      </c>
      <c r="I90" s="41">
        <v>1</v>
      </c>
      <c r="J90" s="41" t="s">
        <v>3558</v>
      </c>
      <c r="K90" s="41">
        <v>17</v>
      </c>
      <c r="L90" s="41"/>
      <c r="M90" s="41" t="s">
        <v>425</v>
      </c>
      <c r="N90" s="41" t="s">
        <v>2784</v>
      </c>
      <c r="O90" s="65">
        <v>0</v>
      </c>
      <c r="P90" s="43">
        <f t="shared" si="24"/>
        <v>253.8</v>
      </c>
      <c r="Q90" s="41" t="s">
        <v>2785</v>
      </c>
      <c r="R90" s="48" t="str">
        <f t="shared" si="22"/>
        <v>(2,'PPUR-02-GR5','Poste de Purge n°02 GR5','2017-06-01','2017-06-01',NULL,1,),</v>
      </c>
    </row>
    <row r="91" spans="1:18" ht="20.100000000000001" customHeight="1" x14ac:dyDescent="0.25">
      <c r="A91" s="38">
        <v>1</v>
      </c>
      <c r="B91" s="38" t="s">
        <v>367</v>
      </c>
      <c r="C91" s="38">
        <v>13</v>
      </c>
      <c r="D91" s="39" t="str">
        <f t="shared" si="20"/>
        <v>PPUR-01-GZ0</v>
      </c>
      <c r="E91" s="48" t="str">
        <f t="shared" si="21"/>
        <v>Poste de Purge n°01 GZ0</v>
      </c>
      <c r="F91" s="19">
        <v>22282</v>
      </c>
      <c r="G91" s="19">
        <v>22282</v>
      </c>
      <c r="H91" s="19">
        <v>44838</v>
      </c>
      <c r="I91" s="41">
        <v>8</v>
      </c>
      <c r="J91" s="41" t="s">
        <v>3558</v>
      </c>
      <c r="K91" s="41">
        <v>17</v>
      </c>
      <c r="L91" s="41"/>
      <c r="M91" s="41" t="s">
        <v>367</v>
      </c>
      <c r="N91" s="41" t="s">
        <v>2810</v>
      </c>
      <c r="O91" s="49">
        <f t="shared" ref="O91:O108" si="25">VALUE(RIGHT(N91,LEN(N91)-SEARCH("/",N91)))</f>
        <v>732.65</v>
      </c>
      <c r="P91" s="43">
        <f t="shared" ref="P91" si="26">VALUE(SUBSTITUTE(LEFT(N91,SEARCH("/",N91)-1),"+",","))</f>
        <v>19.256</v>
      </c>
      <c r="Q91" s="41" t="s">
        <v>790</v>
      </c>
      <c r="R91" s="48" t="str">
        <f t="shared" si="22"/>
        <v>(1,'PPUR-01-GZ0','Poste de Purge n°01 GZ0','1961-01-01','1961-01-01',44838,8,),</v>
      </c>
    </row>
    <row r="92" spans="1:18" ht="20.100000000000001" customHeight="1" x14ac:dyDescent="0.25">
      <c r="A92" s="38">
        <v>2</v>
      </c>
      <c r="B92" s="38" t="s">
        <v>367</v>
      </c>
      <c r="C92" s="38">
        <v>13</v>
      </c>
      <c r="D92" s="39" t="str">
        <f t="shared" si="20"/>
        <v>PPUR-02-GZ0</v>
      </c>
      <c r="E92" s="48" t="str">
        <f t="shared" si="21"/>
        <v>Poste de Purge n°02 GZ0</v>
      </c>
      <c r="F92" s="19">
        <v>22282</v>
      </c>
      <c r="G92" s="19">
        <v>22282</v>
      </c>
      <c r="H92" s="19">
        <v>44838</v>
      </c>
      <c r="I92" s="41">
        <v>8</v>
      </c>
      <c r="J92" s="41" t="s">
        <v>3558</v>
      </c>
      <c r="K92" s="41">
        <v>17</v>
      </c>
      <c r="L92" s="41"/>
      <c r="M92" s="41" t="s">
        <v>367</v>
      </c>
      <c r="N92" s="41" t="s">
        <v>2811</v>
      </c>
      <c r="O92" s="49">
        <f t="shared" si="25"/>
        <v>770.8</v>
      </c>
      <c r="P92" s="43">
        <f t="shared" ref="P92:P108" si="27">VALUE(SUBSTITUTE(LEFT(N92,SEARCH("/",N92)-1),"+",","))</f>
        <v>99.924999999999997</v>
      </c>
      <c r="Q92" s="41" t="s">
        <v>1741</v>
      </c>
      <c r="R92" s="48" t="str">
        <f t="shared" si="22"/>
        <v>(2,'PPUR-02-GZ0','Poste de Purge n°02 GZ0','1961-01-01','1961-01-01',44838,8,),</v>
      </c>
    </row>
    <row r="93" spans="1:18" ht="20.100000000000001" customHeight="1" x14ac:dyDescent="0.25">
      <c r="A93" s="38">
        <v>3</v>
      </c>
      <c r="B93" s="38" t="s">
        <v>367</v>
      </c>
      <c r="C93" s="38">
        <v>13</v>
      </c>
      <c r="D93" s="39" t="str">
        <f t="shared" ref="D93:D113" si="28">CONCATENATE("PPUR-",TEXT(A93,"00"),"-",M93)</f>
        <v>PPUR-03-GZ0</v>
      </c>
      <c r="E93" s="48" t="str">
        <f t="shared" ref="E93:E113" si="29">CONCATENATE("Poste de Purge n°",TEXT(A93,"00")," ",M93)</f>
        <v>Poste de Purge n°03 GZ0</v>
      </c>
      <c r="F93" s="19">
        <v>22282</v>
      </c>
      <c r="G93" s="19">
        <v>22282</v>
      </c>
      <c r="H93" s="19">
        <v>44838</v>
      </c>
      <c r="I93" s="41">
        <v>8</v>
      </c>
      <c r="J93" s="41" t="s">
        <v>3558</v>
      </c>
      <c r="K93" s="41">
        <v>17</v>
      </c>
      <c r="L93" s="41"/>
      <c r="M93" s="41" t="s">
        <v>367</v>
      </c>
      <c r="N93" s="41" t="s">
        <v>2812</v>
      </c>
      <c r="O93" s="49">
        <f t="shared" si="25"/>
        <v>926.7</v>
      </c>
      <c r="P93" s="43">
        <f t="shared" si="27"/>
        <v>126.151</v>
      </c>
      <c r="Q93" s="41" t="s">
        <v>1741</v>
      </c>
      <c r="R93" s="48" t="str">
        <f t="shared" si="22"/>
        <v>(3,'PPUR-03-GZ0','Poste de Purge n°03 GZ0','1961-01-01','1961-01-01',44838,8,),</v>
      </c>
    </row>
    <row r="94" spans="1:18" ht="20.100000000000001" customHeight="1" x14ac:dyDescent="0.25">
      <c r="A94" s="38">
        <v>4</v>
      </c>
      <c r="B94" s="38" t="s">
        <v>367</v>
      </c>
      <c r="C94" s="38">
        <v>13</v>
      </c>
      <c r="D94" s="39" t="str">
        <f t="shared" si="28"/>
        <v>PPUR-04-GZ0</v>
      </c>
      <c r="E94" s="48" t="str">
        <f t="shared" si="29"/>
        <v>Poste de Purge n°04 GZ0</v>
      </c>
      <c r="F94" s="19">
        <v>22282</v>
      </c>
      <c r="G94" s="19">
        <v>22282</v>
      </c>
      <c r="H94" s="19">
        <v>44838</v>
      </c>
      <c r="I94" s="41">
        <v>8</v>
      </c>
      <c r="J94" s="41" t="s">
        <v>3558</v>
      </c>
      <c r="K94" s="41">
        <v>17</v>
      </c>
      <c r="L94" s="41"/>
      <c r="M94" s="41" t="s">
        <v>367</v>
      </c>
      <c r="N94" s="41" t="s">
        <v>2797</v>
      </c>
      <c r="O94" s="49">
        <f t="shared" si="25"/>
        <v>1047</v>
      </c>
      <c r="P94" s="43">
        <f t="shared" si="27"/>
        <v>144.14699999999999</v>
      </c>
      <c r="Q94" s="41" t="s">
        <v>1741</v>
      </c>
      <c r="R94" s="48" t="str">
        <f t="shared" si="22"/>
        <v>(4,'PPUR-04-GZ0','Poste de Purge n°04 GZ0','1961-01-01','1961-01-01',44838,8,),</v>
      </c>
    </row>
    <row r="95" spans="1:18" ht="20.100000000000001" customHeight="1" x14ac:dyDescent="0.25">
      <c r="A95" s="38">
        <v>5</v>
      </c>
      <c r="B95" s="38" t="s">
        <v>367</v>
      </c>
      <c r="C95" s="38">
        <v>13</v>
      </c>
      <c r="D95" s="39" t="str">
        <f t="shared" si="28"/>
        <v>PPUR-05-GZ0</v>
      </c>
      <c r="E95" s="48" t="str">
        <f t="shared" si="29"/>
        <v>Poste de Purge n°05 GZ0</v>
      </c>
      <c r="F95" s="19">
        <v>22282</v>
      </c>
      <c r="G95" s="19">
        <v>22282</v>
      </c>
      <c r="H95" s="19">
        <v>44838</v>
      </c>
      <c r="I95" s="41">
        <v>8</v>
      </c>
      <c r="J95" s="41" t="s">
        <v>3558</v>
      </c>
      <c r="K95" s="41">
        <v>17</v>
      </c>
      <c r="L95" s="41"/>
      <c r="M95" s="41" t="s">
        <v>367</v>
      </c>
      <c r="N95" s="41" t="s">
        <v>2798</v>
      </c>
      <c r="O95" s="49">
        <f t="shared" si="25"/>
        <v>1180</v>
      </c>
      <c r="P95" s="43">
        <f t="shared" si="27"/>
        <v>156.40299999999999</v>
      </c>
      <c r="Q95" s="41" t="s">
        <v>1741</v>
      </c>
      <c r="R95" s="48" t="str">
        <f t="shared" si="22"/>
        <v>(5,'PPUR-05-GZ0','Poste de Purge n°05 GZ0','1961-01-01','1961-01-01',44838,8,),</v>
      </c>
    </row>
    <row r="96" spans="1:18" ht="20.100000000000001" customHeight="1" x14ac:dyDescent="0.25">
      <c r="A96" s="38">
        <v>6</v>
      </c>
      <c r="B96" s="38" t="s">
        <v>367</v>
      </c>
      <c r="C96" s="38">
        <v>13</v>
      </c>
      <c r="D96" s="39" t="str">
        <f t="shared" si="28"/>
        <v>PPUR-06-GZ0</v>
      </c>
      <c r="E96" s="48" t="str">
        <f t="shared" si="29"/>
        <v>Poste de Purge n°06 GZ0</v>
      </c>
      <c r="F96" s="19">
        <v>22282</v>
      </c>
      <c r="G96" s="19">
        <v>22282</v>
      </c>
      <c r="H96" s="19">
        <v>44838</v>
      </c>
      <c r="I96" s="41">
        <v>8</v>
      </c>
      <c r="J96" s="41" t="s">
        <v>3558</v>
      </c>
      <c r="K96" s="41">
        <v>17</v>
      </c>
      <c r="L96" s="41"/>
      <c r="M96" s="41" t="s">
        <v>367</v>
      </c>
      <c r="N96" s="41" t="s">
        <v>2799</v>
      </c>
      <c r="O96" s="49">
        <f t="shared" si="25"/>
        <v>1238</v>
      </c>
      <c r="P96" s="43">
        <f t="shared" si="27"/>
        <v>168.16399999999999</v>
      </c>
      <c r="Q96" s="41" t="s">
        <v>1741</v>
      </c>
      <c r="R96" s="48" t="str">
        <f t="shared" si="22"/>
        <v>(6,'PPUR-06-GZ0','Poste de Purge n°06 GZ0','1961-01-01','1961-01-01',44838,8,),</v>
      </c>
    </row>
    <row r="97" spans="1:18" ht="20.100000000000001" customHeight="1" x14ac:dyDescent="0.25">
      <c r="A97" s="38">
        <v>7</v>
      </c>
      <c r="B97" s="38" t="s">
        <v>367</v>
      </c>
      <c r="C97" s="38">
        <v>13</v>
      </c>
      <c r="D97" s="39" t="str">
        <f t="shared" si="28"/>
        <v>PPUR-07-GZ0</v>
      </c>
      <c r="E97" s="48" t="str">
        <f t="shared" si="29"/>
        <v>Poste de Purge n°07 GZ0</v>
      </c>
      <c r="F97" s="19">
        <v>22282</v>
      </c>
      <c r="G97" s="19">
        <v>22282</v>
      </c>
      <c r="H97" s="19">
        <v>44838</v>
      </c>
      <c r="I97" s="41">
        <v>8</v>
      </c>
      <c r="J97" s="41" t="s">
        <v>3558</v>
      </c>
      <c r="K97" s="41">
        <v>17</v>
      </c>
      <c r="L97" s="41"/>
      <c r="M97" s="41" t="s">
        <v>367</v>
      </c>
      <c r="N97" s="41" t="s">
        <v>2800</v>
      </c>
      <c r="O97" s="49">
        <f t="shared" si="25"/>
        <v>1098</v>
      </c>
      <c r="P97" s="43">
        <f t="shared" si="27"/>
        <v>187.983</v>
      </c>
      <c r="Q97" s="41" t="s">
        <v>2017</v>
      </c>
      <c r="R97" s="48" t="str">
        <f t="shared" si="22"/>
        <v>(7,'PPUR-07-GZ0','Poste de Purge n°07 GZ0','1961-01-01','1961-01-01',44838,8,),</v>
      </c>
    </row>
    <row r="98" spans="1:18" ht="20.100000000000001" customHeight="1" x14ac:dyDescent="0.25">
      <c r="A98" s="38">
        <v>8</v>
      </c>
      <c r="B98" s="38" t="s">
        <v>367</v>
      </c>
      <c r="C98" s="38">
        <v>13</v>
      </c>
      <c r="D98" s="39" t="str">
        <f t="shared" si="28"/>
        <v>PPUR-08-GZ0</v>
      </c>
      <c r="E98" s="48" t="str">
        <f t="shared" si="29"/>
        <v>Poste de Purge n°08 GZ0</v>
      </c>
      <c r="F98" s="19">
        <v>22282</v>
      </c>
      <c r="G98" s="19">
        <v>22282</v>
      </c>
      <c r="H98" s="19">
        <v>44838</v>
      </c>
      <c r="I98" s="41">
        <v>8</v>
      </c>
      <c r="J98" s="41" t="s">
        <v>3558</v>
      </c>
      <c r="K98" s="41">
        <v>17</v>
      </c>
      <c r="L98" s="41"/>
      <c r="M98" s="41" t="s">
        <v>367</v>
      </c>
      <c r="N98" s="41" t="s">
        <v>2801</v>
      </c>
      <c r="O98" s="49">
        <f t="shared" si="25"/>
        <v>938</v>
      </c>
      <c r="P98" s="43">
        <f t="shared" si="27"/>
        <v>217.52</v>
      </c>
      <c r="Q98" s="41" t="s">
        <v>751</v>
      </c>
      <c r="R98" s="48" t="str">
        <f t="shared" si="22"/>
        <v>(8,'PPUR-08-GZ0','Poste de Purge n°08 GZ0','1961-01-01','1961-01-01',44838,8,),</v>
      </c>
    </row>
    <row r="99" spans="1:18" ht="20.100000000000001" customHeight="1" x14ac:dyDescent="0.25">
      <c r="A99" s="38">
        <v>9</v>
      </c>
      <c r="B99" s="38" t="s">
        <v>367</v>
      </c>
      <c r="C99" s="38">
        <v>13</v>
      </c>
      <c r="D99" s="39" t="str">
        <f t="shared" si="28"/>
        <v>PPUR-09-GZ0</v>
      </c>
      <c r="E99" s="48" t="str">
        <f t="shared" si="29"/>
        <v>Poste de Purge n°09 GZ0</v>
      </c>
      <c r="F99" s="19">
        <v>22282</v>
      </c>
      <c r="G99" s="19">
        <v>22282</v>
      </c>
      <c r="H99" s="19">
        <v>44838</v>
      </c>
      <c r="I99" s="41">
        <v>8</v>
      </c>
      <c r="J99" s="41" t="s">
        <v>3558</v>
      </c>
      <c r="K99" s="41">
        <v>17</v>
      </c>
      <c r="L99" s="41"/>
      <c r="M99" s="41" t="s">
        <v>367</v>
      </c>
      <c r="N99" s="41" t="s">
        <v>2802</v>
      </c>
      <c r="O99" s="49">
        <f t="shared" si="25"/>
        <v>954</v>
      </c>
      <c r="P99" s="43">
        <f t="shared" si="27"/>
        <v>235.93600000000001</v>
      </c>
      <c r="Q99" s="41" t="s">
        <v>2024</v>
      </c>
      <c r="R99" s="48" t="str">
        <f t="shared" si="22"/>
        <v>(9,'PPUR-09-GZ0','Poste de Purge n°09 GZ0','1961-01-01','1961-01-01',44838,8,),</v>
      </c>
    </row>
    <row r="100" spans="1:18" ht="20.100000000000001" customHeight="1" x14ac:dyDescent="0.25">
      <c r="A100" s="38">
        <v>10</v>
      </c>
      <c r="B100" s="38" t="s">
        <v>367</v>
      </c>
      <c r="C100" s="38">
        <v>13</v>
      </c>
      <c r="D100" s="39" t="str">
        <f t="shared" si="28"/>
        <v>PPUR-10-GZ0</v>
      </c>
      <c r="E100" s="48" t="str">
        <f t="shared" si="29"/>
        <v>Poste de Purge n°10 GZ0</v>
      </c>
      <c r="F100" s="19">
        <v>22282</v>
      </c>
      <c r="G100" s="19">
        <v>22282</v>
      </c>
      <c r="H100" s="19">
        <v>44838</v>
      </c>
      <c r="I100" s="41">
        <v>8</v>
      </c>
      <c r="J100" s="41" t="s">
        <v>3558</v>
      </c>
      <c r="K100" s="41">
        <v>17</v>
      </c>
      <c r="L100" s="41"/>
      <c r="M100" s="41" t="s">
        <v>367</v>
      </c>
      <c r="N100" s="41" t="s">
        <v>2803</v>
      </c>
      <c r="O100" s="49">
        <f t="shared" si="25"/>
        <v>1154</v>
      </c>
      <c r="P100" s="43">
        <f t="shared" si="27"/>
        <v>294.36099999999999</v>
      </c>
      <c r="Q100" s="41" t="s">
        <v>796</v>
      </c>
      <c r="R100" s="48" t="str">
        <f t="shared" si="22"/>
        <v>(10,'PPUR-10-GZ0','Poste de Purge n°10 GZ0','1961-01-01','1961-01-01',44838,8,),</v>
      </c>
    </row>
    <row r="101" spans="1:18" ht="20.100000000000001" customHeight="1" x14ac:dyDescent="0.25">
      <c r="A101" s="38">
        <v>11</v>
      </c>
      <c r="B101" s="38" t="s">
        <v>367</v>
      </c>
      <c r="C101" s="38">
        <v>13</v>
      </c>
      <c r="D101" s="39" t="str">
        <f t="shared" si="28"/>
        <v>PPUR-11-GZ0</v>
      </c>
      <c r="E101" s="48" t="str">
        <f t="shared" si="29"/>
        <v>Poste de Purge n°11 GZ0</v>
      </c>
      <c r="F101" s="19">
        <v>22282</v>
      </c>
      <c r="G101" s="19">
        <v>22282</v>
      </c>
      <c r="H101" s="19">
        <v>44838</v>
      </c>
      <c r="I101" s="41">
        <v>8</v>
      </c>
      <c r="J101" s="41" t="s">
        <v>3558</v>
      </c>
      <c r="K101" s="41">
        <v>17</v>
      </c>
      <c r="L101" s="41"/>
      <c r="M101" s="41" t="s">
        <v>367</v>
      </c>
      <c r="N101" s="41" t="s">
        <v>2813</v>
      </c>
      <c r="O101" s="49">
        <f t="shared" si="25"/>
        <v>934.82</v>
      </c>
      <c r="P101" s="43">
        <f t="shared" si="27"/>
        <v>327.78699999999998</v>
      </c>
      <c r="Q101" s="41" t="s">
        <v>2024</v>
      </c>
      <c r="R101" s="48" t="str">
        <f t="shared" si="22"/>
        <v>(11,'PPUR-11-GZ0','Poste de Purge n°11 GZ0','1961-01-01','1961-01-01',44838,8,),</v>
      </c>
    </row>
    <row r="102" spans="1:18" ht="20.100000000000001" customHeight="1" x14ac:dyDescent="0.25">
      <c r="A102" s="38">
        <v>12</v>
      </c>
      <c r="B102" s="38" t="s">
        <v>367</v>
      </c>
      <c r="C102" s="38">
        <v>13</v>
      </c>
      <c r="D102" s="39" t="str">
        <f t="shared" si="28"/>
        <v>PPUR-12-GZ0</v>
      </c>
      <c r="E102" s="48" t="str">
        <f t="shared" si="29"/>
        <v>Poste de Purge n°12 GZ0</v>
      </c>
      <c r="F102" s="19">
        <v>22282</v>
      </c>
      <c r="G102" s="19">
        <v>22282</v>
      </c>
      <c r="H102" s="19">
        <v>44838</v>
      </c>
      <c r="I102" s="41">
        <v>8</v>
      </c>
      <c r="J102" s="41" t="s">
        <v>3558</v>
      </c>
      <c r="K102" s="41">
        <v>17</v>
      </c>
      <c r="L102" s="41"/>
      <c r="M102" s="41" t="s">
        <v>367</v>
      </c>
      <c r="N102" s="41" t="s">
        <v>2804</v>
      </c>
      <c r="O102" s="49">
        <f t="shared" si="25"/>
        <v>944</v>
      </c>
      <c r="P102" s="43">
        <f t="shared" si="27"/>
        <v>335.62</v>
      </c>
      <c r="Q102" s="41" t="s">
        <v>2815</v>
      </c>
      <c r="R102" s="48" t="str">
        <f t="shared" si="22"/>
        <v>(12,'PPUR-12-GZ0','Poste de Purge n°12 GZ0','1961-01-01','1961-01-01',44838,8,),</v>
      </c>
    </row>
    <row r="103" spans="1:18" ht="20.100000000000001" customHeight="1" x14ac:dyDescent="0.25">
      <c r="A103" s="38">
        <v>13</v>
      </c>
      <c r="B103" s="38" t="s">
        <v>367</v>
      </c>
      <c r="C103" s="38">
        <v>13</v>
      </c>
      <c r="D103" s="39" t="str">
        <f t="shared" si="28"/>
        <v>PPUR-13-GZ0</v>
      </c>
      <c r="E103" s="48" t="str">
        <f t="shared" si="29"/>
        <v>Poste de Purge n°13 GZ0</v>
      </c>
      <c r="F103" s="19">
        <v>22282</v>
      </c>
      <c r="G103" s="19">
        <v>22282</v>
      </c>
      <c r="H103" s="19">
        <v>44838</v>
      </c>
      <c r="I103" s="41">
        <v>8</v>
      </c>
      <c r="J103" s="41" t="s">
        <v>3558</v>
      </c>
      <c r="K103" s="41">
        <v>17</v>
      </c>
      <c r="L103" s="41"/>
      <c r="M103" s="41" t="s">
        <v>367</v>
      </c>
      <c r="N103" s="41" t="s">
        <v>2805</v>
      </c>
      <c r="O103" s="49">
        <f t="shared" si="25"/>
        <v>575</v>
      </c>
      <c r="P103" s="43">
        <f t="shared" si="27"/>
        <v>358.887</v>
      </c>
      <c r="Q103" s="41" t="s">
        <v>798</v>
      </c>
      <c r="R103" s="48" t="str">
        <f t="shared" si="22"/>
        <v>(13,'PPUR-13-GZ0','Poste de Purge n°13 GZ0','1961-01-01','1961-01-01',44838,8,),</v>
      </c>
    </row>
    <row r="104" spans="1:18" ht="20.100000000000001" customHeight="1" x14ac:dyDescent="0.25">
      <c r="A104" s="38">
        <v>15</v>
      </c>
      <c r="B104" s="38" t="s">
        <v>367</v>
      </c>
      <c r="C104" s="38">
        <v>13</v>
      </c>
      <c r="D104" s="39" t="str">
        <f t="shared" si="28"/>
        <v>PPUR-15-GZ0</v>
      </c>
      <c r="E104" s="48" t="str">
        <f t="shared" si="29"/>
        <v>Poste de Purge n°15 GZ0</v>
      </c>
      <c r="F104" s="19">
        <v>22282</v>
      </c>
      <c r="G104" s="19">
        <v>22282</v>
      </c>
      <c r="H104" s="19">
        <v>44838</v>
      </c>
      <c r="I104" s="41">
        <v>8</v>
      </c>
      <c r="J104" s="41" t="s">
        <v>3558</v>
      </c>
      <c r="K104" s="41">
        <v>17</v>
      </c>
      <c r="L104" s="41"/>
      <c r="M104" s="41" t="s">
        <v>367</v>
      </c>
      <c r="N104" s="41" t="s">
        <v>2806</v>
      </c>
      <c r="O104" s="49">
        <f t="shared" si="25"/>
        <v>558</v>
      </c>
      <c r="P104" s="43">
        <f t="shared" si="27"/>
        <v>393.214</v>
      </c>
      <c r="Q104" s="41" t="s">
        <v>2816</v>
      </c>
      <c r="R104" s="48" t="str">
        <f t="shared" si="22"/>
        <v>(15,'PPUR-15-GZ0','Poste de Purge n°15 GZ0','1961-01-01','1961-01-01',44838,8,),</v>
      </c>
    </row>
    <row r="105" spans="1:18" ht="20.100000000000001" customHeight="1" x14ac:dyDescent="0.25">
      <c r="A105" s="38">
        <v>16</v>
      </c>
      <c r="B105" s="38" t="s">
        <v>367</v>
      </c>
      <c r="C105" s="38">
        <v>13</v>
      </c>
      <c r="D105" s="39" t="str">
        <f t="shared" si="28"/>
        <v>PPUR-16-GZ0</v>
      </c>
      <c r="E105" s="48" t="str">
        <f t="shared" si="29"/>
        <v>Poste de Purge n°16 GZ0</v>
      </c>
      <c r="F105" s="19">
        <v>22282</v>
      </c>
      <c r="G105" s="19">
        <v>22282</v>
      </c>
      <c r="H105" s="19">
        <v>44838</v>
      </c>
      <c r="I105" s="41">
        <v>8</v>
      </c>
      <c r="J105" s="41" t="s">
        <v>3558</v>
      </c>
      <c r="K105" s="41">
        <v>17</v>
      </c>
      <c r="L105" s="41"/>
      <c r="M105" s="41" t="s">
        <v>367</v>
      </c>
      <c r="N105" s="41" t="s">
        <v>2807</v>
      </c>
      <c r="O105" s="49">
        <f t="shared" si="25"/>
        <v>520</v>
      </c>
      <c r="P105" s="43">
        <f t="shared" si="27"/>
        <v>398.61599999999999</v>
      </c>
      <c r="Q105" s="41" t="s">
        <v>799</v>
      </c>
      <c r="R105" s="48" t="str">
        <f t="shared" si="22"/>
        <v>(16,'PPUR-16-GZ0','Poste de Purge n°16 GZ0','1961-01-01','1961-01-01',44838,8,),</v>
      </c>
    </row>
    <row r="106" spans="1:18" ht="20.100000000000001" customHeight="1" x14ac:dyDescent="0.25">
      <c r="A106" s="38">
        <v>17</v>
      </c>
      <c r="B106" s="38" t="s">
        <v>367</v>
      </c>
      <c r="C106" s="38">
        <v>13</v>
      </c>
      <c r="D106" s="39" t="str">
        <f t="shared" si="28"/>
        <v>PPUR-17-GZ0</v>
      </c>
      <c r="E106" s="48" t="str">
        <f t="shared" si="29"/>
        <v>Poste de Purge n°17 GZ0</v>
      </c>
      <c r="F106" s="19">
        <v>22282</v>
      </c>
      <c r="G106" s="19">
        <v>22282</v>
      </c>
      <c r="H106" s="19">
        <v>44838</v>
      </c>
      <c r="I106" s="41">
        <v>8</v>
      </c>
      <c r="J106" s="41" t="s">
        <v>3558</v>
      </c>
      <c r="K106" s="41">
        <v>17</v>
      </c>
      <c r="L106" s="41"/>
      <c r="M106" s="41" t="s">
        <v>367</v>
      </c>
      <c r="N106" s="41" t="s">
        <v>2808</v>
      </c>
      <c r="O106" s="49">
        <f t="shared" si="25"/>
        <v>69</v>
      </c>
      <c r="P106" s="43">
        <f t="shared" si="27"/>
        <v>429.00099999999998</v>
      </c>
      <c r="Q106" s="41" t="s">
        <v>2817</v>
      </c>
      <c r="R106" s="48" t="str">
        <f t="shared" si="22"/>
        <v>(17,'PPUR-17-GZ0','Poste de Purge n°17 GZ0','1961-01-01','1961-01-01',44838,8,),</v>
      </c>
    </row>
    <row r="107" spans="1:18" ht="20.100000000000001" customHeight="1" x14ac:dyDescent="0.25">
      <c r="A107" s="38">
        <v>18</v>
      </c>
      <c r="B107" s="38" t="s">
        <v>367</v>
      </c>
      <c r="C107" s="38">
        <v>13</v>
      </c>
      <c r="D107" s="39" t="str">
        <f t="shared" si="28"/>
        <v>PPUR-18-GZ0</v>
      </c>
      <c r="E107" s="48" t="str">
        <f t="shared" si="29"/>
        <v>Poste de Purge n°18 GZ0</v>
      </c>
      <c r="F107" s="19">
        <v>22282</v>
      </c>
      <c r="G107" s="19">
        <v>22282</v>
      </c>
      <c r="H107" s="19">
        <v>44838</v>
      </c>
      <c r="I107" s="41">
        <v>8</v>
      </c>
      <c r="J107" s="41" t="s">
        <v>3558</v>
      </c>
      <c r="K107" s="41">
        <v>17</v>
      </c>
      <c r="L107" s="41"/>
      <c r="M107" s="41" t="s">
        <v>367</v>
      </c>
      <c r="N107" s="41" t="s">
        <v>2814</v>
      </c>
      <c r="O107" s="49">
        <f t="shared" si="25"/>
        <v>68.2</v>
      </c>
      <c r="P107" s="43">
        <f t="shared" si="27"/>
        <v>477.03899999999999</v>
      </c>
      <c r="Q107" s="41" t="s">
        <v>2818</v>
      </c>
      <c r="R107" s="48" t="str">
        <f t="shared" si="22"/>
        <v>(18,'PPUR-18-GZ0','Poste de Purge n°18 GZ0','1961-01-01','1961-01-01',44838,8,),</v>
      </c>
    </row>
    <row r="108" spans="1:18" ht="20.100000000000001" customHeight="1" x14ac:dyDescent="0.25">
      <c r="A108" s="38">
        <v>19</v>
      </c>
      <c r="B108" s="38" t="s">
        <v>367</v>
      </c>
      <c r="C108" s="38">
        <v>13</v>
      </c>
      <c r="D108" s="39" t="str">
        <f t="shared" si="28"/>
        <v>PPUR-19-GZ0</v>
      </c>
      <c r="E108" s="48" t="str">
        <f t="shared" si="29"/>
        <v>Poste de Purge n°19 GZ0</v>
      </c>
      <c r="F108" s="19">
        <v>22282</v>
      </c>
      <c r="G108" s="19">
        <v>22282</v>
      </c>
      <c r="H108" s="19">
        <v>44838</v>
      </c>
      <c r="I108" s="41">
        <v>8</v>
      </c>
      <c r="J108" s="41" t="s">
        <v>3558</v>
      </c>
      <c r="K108" s="41">
        <v>17</v>
      </c>
      <c r="L108" s="41"/>
      <c r="M108" s="41" t="s">
        <v>367</v>
      </c>
      <c r="N108" s="41" t="s">
        <v>2809</v>
      </c>
      <c r="O108" s="49">
        <f t="shared" si="25"/>
        <v>99</v>
      </c>
      <c r="P108" s="43">
        <f t="shared" si="27"/>
        <v>495.10399999999998</v>
      </c>
      <c r="Q108" s="41" t="s">
        <v>2819</v>
      </c>
      <c r="R108" s="48" t="str">
        <f t="shared" si="22"/>
        <v>(19,'PPUR-19-GZ0','Poste de Purge n°19 GZ0','1961-01-01','1961-01-01',44838,8,),</v>
      </c>
    </row>
    <row r="109" spans="1:18" ht="20.100000000000001" customHeight="1" x14ac:dyDescent="0.25">
      <c r="A109" s="38">
        <v>1</v>
      </c>
      <c r="B109" s="38" t="s">
        <v>631</v>
      </c>
      <c r="C109" s="38">
        <v>14</v>
      </c>
      <c r="D109" s="39" t="str">
        <f t="shared" si="28"/>
        <v>PPUR-01-RGZ1</v>
      </c>
      <c r="E109" s="48" t="str">
        <f t="shared" si="29"/>
        <v>Poste de Purge n°01 RGZ1</v>
      </c>
      <c r="F109" s="19"/>
      <c r="G109" s="19"/>
      <c r="H109" s="41" t="s">
        <v>20</v>
      </c>
      <c r="I109" s="41">
        <v>1</v>
      </c>
      <c r="J109" s="41" t="s">
        <v>3558</v>
      </c>
      <c r="K109" s="41">
        <v>17</v>
      </c>
      <c r="L109" s="41"/>
      <c r="M109" s="41" t="s">
        <v>999</v>
      </c>
      <c r="N109" s="41" t="s">
        <v>2859</v>
      </c>
      <c r="O109" s="49">
        <f t="shared" ref="O109:O159" si="30">VALUE(RIGHT(N109,LEN(N109)-SEARCH("/",N109)))</f>
        <v>840</v>
      </c>
      <c r="P109" s="43">
        <f t="shared" ref="P109:P159" si="31">VALUE(SUBSTITUTE(LEFT(N109,SEARCH("/",N109)-1),"+",","))</f>
        <v>74.349999999999994</v>
      </c>
      <c r="Q109" s="60" t="s">
        <v>2916</v>
      </c>
      <c r="R109" s="48" t="str">
        <f t="shared" si="22"/>
        <v>(1,'PPUR-01-RGZ1','Poste de Purge n°01 RGZ1','1900-01-00','1900-01-00',NULL,1,),</v>
      </c>
    </row>
    <row r="110" spans="1:18" ht="20.100000000000001" customHeight="1" x14ac:dyDescent="0.25">
      <c r="A110" s="38">
        <v>2</v>
      </c>
      <c r="B110" s="38" t="s">
        <v>631</v>
      </c>
      <c r="C110" s="38">
        <v>14</v>
      </c>
      <c r="D110" s="39" t="str">
        <f t="shared" si="28"/>
        <v>PPUR-02-RGZ1</v>
      </c>
      <c r="E110" s="48" t="str">
        <f t="shared" si="29"/>
        <v>Poste de Purge n°02 RGZ1</v>
      </c>
      <c r="F110" s="19"/>
      <c r="G110" s="19"/>
      <c r="H110" s="41" t="s">
        <v>20</v>
      </c>
      <c r="I110" s="41">
        <v>1</v>
      </c>
      <c r="J110" s="41" t="s">
        <v>3558</v>
      </c>
      <c r="K110" s="41">
        <v>17</v>
      </c>
      <c r="L110" s="41"/>
      <c r="M110" s="41" t="s">
        <v>999</v>
      </c>
      <c r="N110" s="41" t="s">
        <v>2860</v>
      </c>
      <c r="O110" s="49">
        <f t="shared" si="30"/>
        <v>1045</v>
      </c>
      <c r="P110" s="43">
        <f t="shared" si="31"/>
        <v>144.5</v>
      </c>
      <c r="Q110" s="60" t="s">
        <v>2917</v>
      </c>
      <c r="R110" s="48" t="str">
        <f t="shared" si="22"/>
        <v>(2,'PPUR-02-RGZ1','Poste de Purge n°02 RGZ1','1900-01-00','1900-01-00',NULL,1,),</v>
      </c>
    </row>
    <row r="111" spans="1:18" ht="20.100000000000001" customHeight="1" x14ac:dyDescent="0.25">
      <c r="A111" s="38">
        <v>3</v>
      </c>
      <c r="B111" s="38" t="s">
        <v>631</v>
      </c>
      <c r="C111" s="38">
        <v>14</v>
      </c>
      <c r="D111" s="39" t="str">
        <f t="shared" si="28"/>
        <v>PPUR-03-RGZ1</v>
      </c>
      <c r="E111" s="48" t="str">
        <f t="shared" si="29"/>
        <v>Poste de Purge n°03 RGZ1</v>
      </c>
      <c r="F111" s="19"/>
      <c r="G111" s="19"/>
      <c r="H111" s="41" t="s">
        <v>20</v>
      </c>
      <c r="I111" s="41">
        <v>1</v>
      </c>
      <c r="J111" s="41" t="s">
        <v>3558</v>
      </c>
      <c r="K111" s="41">
        <v>17</v>
      </c>
      <c r="L111" s="41"/>
      <c r="M111" s="41" t="s">
        <v>999</v>
      </c>
      <c r="N111" s="41" t="s">
        <v>2861</v>
      </c>
      <c r="O111" s="49">
        <f t="shared" si="30"/>
        <v>970</v>
      </c>
      <c r="P111" s="43">
        <f t="shared" si="31"/>
        <v>226.4</v>
      </c>
      <c r="Q111" s="60" t="s">
        <v>2825</v>
      </c>
      <c r="R111" s="48" t="str">
        <f t="shared" si="22"/>
        <v>(3,'PPUR-03-RGZ1','Poste de Purge n°03 RGZ1','1900-01-00','1900-01-00',NULL,1,),</v>
      </c>
    </row>
    <row r="112" spans="1:18" ht="20.100000000000001" customHeight="1" x14ac:dyDescent="0.25">
      <c r="A112" s="38">
        <v>9</v>
      </c>
      <c r="B112" s="38" t="s">
        <v>631</v>
      </c>
      <c r="C112" s="38">
        <v>14</v>
      </c>
      <c r="D112" s="39" t="str">
        <f t="shared" si="28"/>
        <v>PPUR-09-GZ1</v>
      </c>
      <c r="E112" s="48" t="str">
        <f t="shared" si="29"/>
        <v>Poste de Purge n°09 GZ1</v>
      </c>
      <c r="F112" s="19">
        <v>27760</v>
      </c>
      <c r="G112" s="19">
        <v>27760</v>
      </c>
      <c r="H112" s="41" t="s">
        <v>20</v>
      </c>
      <c r="I112" s="41">
        <v>1</v>
      </c>
      <c r="J112" s="41" t="s">
        <v>3558</v>
      </c>
      <c r="K112" s="41">
        <v>17</v>
      </c>
      <c r="L112" s="41"/>
      <c r="M112" s="41" t="s">
        <v>372</v>
      </c>
      <c r="N112" s="41" t="s">
        <v>2862</v>
      </c>
      <c r="O112" s="49">
        <f t="shared" si="30"/>
        <v>954</v>
      </c>
      <c r="P112" s="43">
        <f t="shared" si="31"/>
        <v>236.12700000000001</v>
      </c>
      <c r="Q112" s="60" t="s">
        <v>751</v>
      </c>
      <c r="R112" s="48" t="str">
        <f t="shared" si="22"/>
        <v>(9,'PPUR-09-GZ1','Poste de Purge n°09 GZ1','1976-01-01','1976-01-01',NULL,1,),</v>
      </c>
    </row>
    <row r="113" spans="1:18" ht="20.100000000000001" customHeight="1" x14ac:dyDescent="0.25">
      <c r="A113" s="38">
        <v>10</v>
      </c>
      <c r="B113" s="38" t="s">
        <v>631</v>
      </c>
      <c r="C113" s="38">
        <v>14</v>
      </c>
      <c r="D113" s="39" t="str">
        <f t="shared" si="28"/>
        <v>PPUR-10-GZ1</v>
      </c>
      <c r="E113" s="48" t="str">
        <f t="shared" si="29"/>
        <v>Poste de Purge n°10 GZ1</v>
      </c>
      <c r="F113" s="19">
        <v>27760</v>
      </c>
      <c r="G113" s="19">
        <v>27760</v>
      </c>
      <c r="H113" s="41" t="s">
        <v>20</v>
      </c>
      <c r="I113" s="41">
        <v>1</v>
      </c>
      <c r="J113" s="41" t="s">
        <v>3558</v>
      </c>
      <c r="K113" s="41">
        <v>17</v>
      </c>
      <c r="L113" s="41"/>
      <c r="M113" s="41" t="s">
        <v>372</v>
      </c>
      <c r="N113" s="41" t="s">
        <v>2863</v>
      </c>
      <c r="O113" s="49">
        <f t="shared" si="30"/>
        <v>1254</v>
      </c>
      <c r="P113" s="43">
        <f t="shared" si="31"/>
        <v>294.50599999999997</v>
      </c>
      <c r="Q113" s="58" t="s">
        <v>1743</v>
      </c>
      <c r="R113" s="48" t="str">
        <f t="shared" si="22"/>
        <v>(10,'PPUR-10-GZ1','Poste de Purge n°10 GZ1','1976-01-01','1976-01-01',NULL,1,),</v>
      </c>
    </row>
    <row r="114" spans="1:18" ht="20.100000000000001" customHeight="1" x14ac:dyDescent="0.25">
      <c r="A114" s="38">
        <v>11</v>
      </c>
      <c r="B114" s="38" t="s">
        <v>631</v>
      </c>
      <c r="C114" s="38">
        <v>14</v>
      </c>
      <c r="D114" s="39" t="str">
        <f t="shared" ref="D114:D123" si="32">CONCATENATE("PPUR-",TEXT(A114,"00"),"-",M114)</f>
        <v>PPUR-11-GZ1</v>
      </c>
      <c r="E114" s="48" t="str">
        <f t="shared" ref="E114:E123" si="33">CONCATENATE("Poste de Purge n°",TEXT(A114,"00")," ",M114)</f>
        <v>Poste de Purge n°11 GZ1</v>
      </c>
      <c r="F114" s="19">
        <v>27760</v>
      </c>
      <c r="G114" s="19">
        <v>27760</v>
      </c>
      <c r="H114" s="41" t="s">
        <v>20</v>
      </c>
      <c r="I114" s="41">
        <v>1</v>
      </c>
      <c r="J114" s="41" t="s">
        <v>3558</v>
      </c>
      <c r="K114" s="41">
        <v>17</v>
      </c>
      <c r="L114" s="41"/>
      <c r="M114" s="41" t="s">
        <v>372</v>
      </c>
      <c r="N114" s="41" t="s">
        <v>2864</v>
      </c>
      <c r="O114" s="49">
        <f t="shared" si="30"/>
        <v>990</v>
      </c>
      <c r="P114" s="43">
        <f t="shared" si="31"/>
        <v>328.245</v>
      </c>
      <c r="Q114" s="60" t="s">
        <v>1938</v>
      </c>
      <c r="R114" s="48" t="str">
        <f t="shared" si="22"/>
        <v>(11,'PPUR-11-GZ1','Poste de Purge n°11 GZ1','1976-01-01','1976-01-01',NULL,1,),</v>
      </c>
    </row>
    <row r="115" spans="1:18" ht="20.100000000000001" customHeight="1" x14ac:dyDescent="0.25">
      <c r="A115" s="38">
        <v>12</v>
      </c>
      <c r="B115" s="38" t="s">
        <v>631</v>
      </c>
      <c r="C115" s="38">
        <v>14</v>
      </c>
      <c r="D115" s="39" t="str">
        <f t="shared" si="32"/>
        <v>PPUR-12-GZ1</v>
      </c>
      <c r="E115" s="48" t="str">
        <f t="shared" si="33"/>
        <v>Poste de Purge n°12 GZ1</v>
      </c>
      <c r="F115" s="19">
        <v>27760</v>
      </c>
      <c r="G115" s="19">
        <v>27760</v>
      </c>
      <c r="H115" s="41" t="s">
        <v>20</v>
      </c>
      <c r="I115" s="41">
        <v>1</v>
      </c>
      <c r="J115" s="41" t="s">
        <v>3558</v>
      </c>
      <c r="K115" s="41">
        <v>17</v>
      </c>
      <c r="L115" s="41"/>
      <c r="M115" s="41" t="s">
        <v>372</v>
      </c>
      <c r="N115" s="41" t="s">
        <v>2865</v>
      </c>
      <c r="O115" s="49">
        <f t="shared" si="30"/>
        <v>961</v>
      </c>
      <c r="P115" s="43">
        <f t="shared" si="31"/>
        <v>335.86700000000002</v>
      </c>
      <c r="Q115" s="60" t="s">
        <v>797</v>
      </c>
      <c r="R115" s="48" t="str">
        <f t="shared" si="22"/>
        <v>(12,'PPUR-12-GZ1','Poste de Purge n°12 GZ1','1976-01-01','1976-01-01',NULL,1,),</v>
      </c>
    </row>
    <row r="116" spans="1:18" ht="20.100000000000001" customHeight="1" x14ac:dyDescent="0.25">
      <c r="A116" s="38">
        <v>13</v>
      </c>
      <c r="B116" s="38" t="s">
        <v>631</v>
      </c>
      <c r="C116" s="38">
        <v>14</v>
      </c>
      <c r="D116" s="39" t="str">
        <f t="shared" si="32"/>
        <v>PPUR-13-GZ1</v>
      </c>
      <c r="E116" s="48" t="str">
        <f t="shared" si="33"/>
        <v>Poste de Purge n°13 GZ1</v>
      </c>
      <c r="F116" s="19">
        <v>27760</v>
      </c>
      <c r="G116" s="19">
        <v>27760</v>
      </c>
      <c r="H116" s="41" t="s">
        <v>20</v>
      </c>
      <c r="I116" s="41">
        <v>1</v>
      </c>
      <c r="J116" s="41" t="s">
        <v>3558</v>
      </c>
      <c r="K116" s="41">
        <v>17</v>
      </c>
      <c r="L116" s="41"/>
      <c r="M116" s="41" t="s">
        <v>372</v>
      </c>
      <c r="N116" s="41" t="s">
        <v>2866</v>
      </c>
      <c r="O116" s="49">
        <f t="shared" si="30"/>
        <v>575</v>
      </c>
      <c r="P116" s="43">
        <f t="shared" si="31"/>
        <v>358.99599999999998</v>
      </c>
      <c r="Q116" s="60" t="s">
        <v>2991</v>
      </c>
      <c r="R116" s="48" t="str">
        <f t="shared" si="22"/>
        <v>(13,'PPUR-13-GZ1','Poste de Purge n°13 GZ1','1976-01-01','1976-01-01',NULL,1,),</v>
      </c>
    </row>
    <row r="117" spans="1:18" ht="20.100000000000001" customHeight="1" x14ac:dyDescent="0.25">
      <c r="A117" s="38">
        <v>14</v>
      </c>
      <c r="B117" s="38" t="s">
        <v>631</v>
      </c>
      <c r="C117" s="38">
        <v>14</v>
      </c>
      <c r="D117" s="39" t="str">
        <f t="shared" si="32"/>
        <v>PPUR-14-GZ1</v>
      </c>
      <c r="E117" s="48" t="str">
        <f t="shared" si="33"/>
        <v>Poste de Purge n°14 GZ1</v>
      </c>
      <c r="F117" s="19">
        <v>27760</v>
      </c>
      <c r="G117" s="19">
        <v>27760</v>
      </c>
      <c r="H117" s="41" t="s">
        <v>20</v>
      </c>
      <c r="I117" s="41">
        <v>1</v>
      </c>
      <c r="J117" s="41" t="s">
        <v>3558</v>
      </c>
      <c r="K117" s="41">
        <v>17</v>
      </c>
      <c r="L117" s="41"/>
      <c r="M117" s="41" t="s">
        <v>372</v>
      </c>
      <c r="N117" s="41" t="s">
        <v>2867</v>
      </c>
      <c r="O117" s="49">
        <f t="shared" si="30"/>
        <v>670</v>
      </c>
      <c r="P117" s="43">
        <f t="shared" si="31"/>
        <v>370.98599999999999</v>
      </c>
      <c r="Q117" s="60" t="s">
        <v>755</v>
      </c>
      <c r="R117" s="48" t="str">
        <f t="shared" si="22"/>
        <v>(14,'PPUR-14-GZ1','Poste de Purge n°14 GZ1','1976-01-01','1976-01-01',NULL,1,),</v>
      </c>
    </row>
    <row r="118" spans="1:18" ht="20.100000000000001" customHeight="1" x14ac:dyDescent="0.25">
      <c r="A118" s="38">
        <v>15</v>
      </c>
      <c r="B118" s="38" t="s">
        <v>631</v>
      </c>
      <c r="C118" s="38">
        <v>14</v>
      </c>
      <c r="D118" s="39" t="str">
        <f t="shared" si="32"/>
        <v>PPUR-15-GZ1</v>
      </c>
      <c r="E118" s="48" t="str">
        <f t="shared" si="33"/>
        <v>Poste de Purge n°15 GZ1</v>
      </c>
      <c r="F118" s="19">
        <v>27760</v>
      </c>
      <c r="G118" s="19">
        <v>27760</v>
      </c>
      <c r="H118" s="41" t="s">
        <v>20</v>
      </c>
      <c r="I118" s="41">
        <v>1</v>
      </c>
      <c r="J118" s="41" t="s">
        <v>3558</v>
      </c>
      <c r="K118" s="41">
        <v>17</v>
      </c>
      <c r="L118" s="41"/>
      <c r="M118" s="41" t="s">
        <v>372</v>
      </c>
      <c r="N118" s="41" t="s">
        <v>2868</v>
      </c>
      <c r="O118" s="49">
        <f t="shared" si="30"/>
        <v>504</v>
      </c>
      <c r="P118" s="43">
        <f t="shared" si="31"/>
        <v>391.34</v>
      </c>
      <c r="Q118" s="58" t="s">
        <v>2992</v>
      </c>
      <c r="R118" s="48" t="str">
        <f t="shared" si="22"/>
        <v>(15,'PPUR-15-GZ1','Poste de Purge n°15 GZ1','1976-01-01','1976-01-01',NULL,1,),</v>
      </c>
    </row>
    <row r="119" spans="1:18" ht="20.100000000000001" customHeight="1" x14ac:dyDescent="0.25">
      <c r="A119" s="38">
        <v>16</v>
      </c>
      <c r="B119" s="38" t="s">
        <v>631</v>
      </c>
      <c r="C119" s="38">
        <v>14</v>
      </c>
      <c r="D119" s="39" t="str">
        <f t="shared" si="32"/>
        <v>PPUR-16-GZ1</v>
      </c>
      <c r="E119" s="48" t="str">
        <f t="shared" si="33"/>
        <v>Poste de Purge n°16 GZ1</v>
      </c>
      <c r="F119" s="19">
        <v>27760</v>
      </c>
      <c r="G119" s="19">
        <v>27760</v>
      </c>
      <c r="H119" s="41" t="s">
        <v>20</v>
      </c>
      <c r="I119" s="41">
        <v>1</v>
      </c>
      <c r="J119" s="41" t="s">
        <v>3558</v>
      </c>
      <c r="K119" s="41">
        <v>17</v>
      </c>
      <c r="L119" s="41"/>
      <c r="M119" s="41" t="s">
        <v>372</v>
      </c>
      <c r="N119" s="41" t="s">
        <v>2869</v>
      </c>
      <c r="O119" s="49">
        <f t="shared" si="30"/>
        <v>73</v>
      </c>
      <c r="P119" s="43">
        <f t="shared" si="31"/>
        <v>421.5</v>
      </c>
      <c r="Q119" s="41" t="s">
        <v>1939</v>
      </c>
      <c r="R119" s="48" t="str">
        <f t="shared" si="22"/>
        <v>(16,'PPUR-16-GZ1','Poste de Purge n°16 GZ1','1976-01-01','1976-01-01',NULL,1,),</v>
      </c>
    </row>
    <row r="120" spans="1:18" ht="20.100000000000001" customHeight="1" x14ac:dyDescent="0.25">
      <c r="A120" s="38">
        <v>17</v>
      </c>
      <c r="B120" s="38" t="s">
        <v>631</v>
      </c>
      <c r="C120" s="38">
        <v>14</v>
      </c>
      <c r="D120" s="39" t="str">
        <f t="shared" si="32"/>
        <v>PPUR-17-GZ1</v>
      </c>
      <c r="E120" s="48" t="str">
        <f t="shared" si="33"/>
        <v>Poste de Purge n°17 GZ1</v>
      </c>
      <c r="F120" s="19">
        <v>27760</v>
      </c>
      <c r="G120" s="19">
        <v>27760</v>
      </c>
      <c r="H120" s="41" t="s">
        <v>20</v>
      </c>
      <c r="I120" s="41">
        <v>1</v>
      </c>
      <c r="J120" s="41" t="s">
        <v>3558</v>
      </c>
      <c r="K120" s="41">
        <v>17</v>
      </c>
      <c r="L120" s="41"/>
      <c r="M120" s="41" t="s">
        <v>372</v>
      </c>
      <c r="N120" s="41" t="s">
        <v>2871</v>
      </c>
      <c r="O120" s="49">
        <f t="shared" si="30"/>
        <v>0</v>
      </c>
      <c r="P120" s="43">
        <f t="shared" si="31"/>
        <v>440.1</v>
      </c>
      <c r="Q120" s="41" t="s">
        <v>2993</v>
      </c>
      <c r="R120" s="48" t="str">
        <f t="shared" si="22"/>
        <v>(17,'PPUR-17-GZ1','Poste de Purge n°17 GZ1','1976-01-01','1976-01-01',NULL,1,),</v>
      </c>
    </row>
    <row r="121" spans="1:18" ht="20.100000000000001" customHeight="1" x14ac:dyDescent="0.25">
      <c r="A121" s="38">
        <v>18</v>
      </c>
      <c r="B121" s="38" t="s">
        <v>631</v>
      </c>
      <c r="C121" s="38">
        <v>14</v>
      </c>
      <c r="D121" s="39" t="str">
        <f t="shared" si="32"/>
        <v>PPUR-18-GZ1</v>
      </c>
      <c r="E121" s="48" t="str">
        <f t="shared" si="33"/>
        <v>Poste de Purge n°18 GZ1</v>
      </c>
      <c r="F121" s="19">
        <v>27760</v>
      </c>
      <c r="G121" s="19">
        <v>27760</v>
      </c>
      <c r="H121" s="41" t="s">
        <v>20</v>
      </c>
      <c r="I121" s="41">
        <v>1</v>
      </c>
      <c r="J121" s="41" t="s">
        <v>3558</v>
      </c>
      <c r="K121" s="41">
        <v>17</v>
      </c>
      <c r="L121" s="41"/>
      <c r="M121" s="41" t="s">
        <v>372</v>
      </c>
      <c r="N121" s="41" t="s">
        <v>2870</v>
      </c>
      <c r="O121" s="49">
        <f t="shared" si="30"/>
        <v>5</v>
      </c>
      <c r="P121" s="43">
        <f t="shared" si="31"/>
        <v>487.5</v>
      </c>
      <c r="Q121" s="41" t="s">
        <v>2994</v>
      </c>
      <c r="R121" s="48" t="str">
        <f t="shared" si="22"/>
        <v>(18,'PPUR-18-GZ1','Poste de Purge n°18 GZ1','1976-01-01','1976-01-01',NULL,1,),</v>
      </c>
    </row>
    <row r="122" spans="1:18" ht="20.100000000000001" customHeight="1" x14ac:dyDescent="0.25">
      <c r="A122" s="38">
        <v>1</v>
      </c>
      <c r="B122" s="38" t="s">
        <v>631</v>
      </c>
      <c r="C122" s="38">
        <v>14</v>
      </c>
      <c r="D122" s="39" t="str">
        <f t="shared" si="32"/>
        <v>PPUR-01-GZ2</v>
      </c>
      <c r="E122" s="48" t="str">
        <f t="shared" si="33"/>
        <v>Poste de Purge n°01 GZ2</v>
      </c>
      <c r="F122" s="19">
        <v>29952</v>
      </c>
      <c r="G122" s="19">
        <v>29952</v>
      </c>
      <c r="H122" s="41" t="s">
        <v>20</v>
      </c>
      <c r="I122" s="41">
        <v>1</v>
      </c>
      <c r="J122" s="41" t="s">
        <v>3558</v>
      </c>
      <c r="K122" s="41">
        <v>17</v>
      </c>
      <c r="L122" s="41"/>
      <c r="M122" s="41" t="s">
        <v>375</v>
      </c>
      <c r="N122" s="41" t="s">
        <v>2872</v>
      </c>
      <c r="O122" s="49">
        <f t="shared" si="30"/>
        <v>747</v>
      </c>
      <c r="P122" s="43">
        <f t="shared" si="31"/>
        <v>20.192</v>
      </c>
      <c r="Q122" s="41" t="s">
        <v>790</v>
      </c>
      <c r="R122" s="48" t="str">
        <f t="shared" si="22"/>
        <v>(1,'PPUR-01-GZ2','Poste de Purge n°01 GZ2','1982-01-01','1982-01-01',NULL,1,),</v>
      </c>
    </row>
    <row r="123" spans="1:18" ht="20.100000000000001" customHeight="1" x14ac:dyDescent="0.25">
      <c r="A123" s="38">
        <v>2</v>
      </c>
      <c r="B123" s="38" t="s">
        <v>631</v>
      </c>
      <c r="C123" s="38">
        <v>14</v>
      </c>
      <c r="D123" s="39" t="str">
        <f t="shared" si="32"/>
        <v>PPUR-02-GZ2</v>
      </c>
      <c r="E123" s="48" t="str">
        <f t="shared" si="33"/>
        <v>Poste de Purge n°02 GZ2</v>
      </c>
      <c r="F123" s="19">
        <v>29952</v>
      </c>
      <c r="G123" s="19">
        <v>29952</v>
      </c>
      <c r="H123" s="41" t="s">
        <v>20</v>
      </c>
      <c r="I123" s="41">
        <v>1</v>
      </c>
      <c r="J123" s="41" t="s">
        <v>3558</v>
      </c>
      <c r="K123" s="41">
        <v>17</v>
      </c>
      <c r="L123" s="41"/>
      <c r="M123" s="41" t="s">
        <v>375</v>
      </c>
      <c r="N123" s="41" t="s">
        <v>2873</v>
      </c>
      <c r="O123" s="49">
        <f t="shared" si="30"/>
        <v>771</v>
      </c>
      <c r="P123" s="43">
        <f t="shared" si="31"/>
        <v>99.332999999999998</v>
      </c>
      <c r="Q123" s="41" t="s">
        <v>1740</v>
      </c>
      <c r="R123" s="48" t="str">
        <f t="shared" si="22"/>
        <v>(2,'PPUR-02-GZ2','Poste de Purge n°02 GZ2','1982-01-01','1982-01-01',NULL,1,),</v>
      </c>
    </row>
    <row r="124" spans="1:18" ht="20.100000000000001" customHeight="1" x14ac:dyDescent="0.25">
      <c r="A124" s="38">
        <v>3</v>
      </c>
      <c r="B124" s="38" t="s">
        <v>631</v>
      </c>
      <c r="C124" s="38">
        <v>14</v>
      </c>
      <c r="D124" s="39" t="str">
        <f t="shared" ref="D124:D162" si="34">CONCATENATE("PPUR-",TEXT(A124,"00"),"-",M124)</f>
        <v>PPUR-03-GZ2</v>
      </c>
      <c r="E124" s="48" t="str">
        <f t="shared" ref="E124:E162" si="35">CONCATENATE("Poste de Purge n°",TEXT(A124,"00")," ",M124)</f>
        <v>Poste de Purge n°03 GZ2</v>
      </c>
      <c r="F124" s="19">
        <v>29952</v>
      </c>
      <c r="G124" s="19">
        <v>29952</v>
      </c>
      <c r="H124" s="41" t="s">
        <v>20</v>
      </c>
      <c r="I124" s="41">
        <v>1</v>
      </c>
      <c r="J124" s="41" t="s">
        <v>3558</v>
      </c>
      <c r="K124" s="41">
        <v>17</v>
      </c>
      <c r="L124" s="41"/>
      <c r="M124" s="41" t="s">
        <v>375</v>
      </c>
      <c r="N124" s="41" t="s">
        <v>2874</v>
      </c>
      <c r="O124" s="49">
        <f t="shared" si="30"/>
        <v>904</v>
      </c>
      <c r="P124" s="43">
        <f t="shared" si="31"/>
        <v>125.946</v>
      </c>
      <c r="Q124" s="60" t="s">
        <v>1937</v>
      </c>
      <c r="R124" s="48" t="str">
        <f t="shared" si="22"/>
        <v>(3,'PPUR-03-GZ2','Poste de Purge n°03 GZ2','1982-01-01','1982-01-01',NULL,1,),</v>
      </c>
    </row>
    <row r="125" spans="1:18" ht="20.100000000000001" customHeight="1" x14ac:dyDescent="0.25">
      <c r="A125" s="38">
        <v>4</v>
      </c>
      <c r="B125" s="38" t="s">
        <v>631</v>
      </c>
      <c r="C125" s="38">
        <v>14</v>
      </c>
      <c r="D125" s="39" t="str">
        <f t="shared" si="34"/>
        <v>PPUR-04-GZ2</v>
      </c>
      <c r="E125" s="48" t="str">
        <f t="shared" si="35"/>
        <v>Poste de Purge n°04 GZ2</v>
      </c>
      <c r="F125" s="19">
        <v>29952</v>
      </c>
      <c r="G125" s="19">
        <v>29952</v>
      </c>
      <c r="H125" s="41" t="s">
        <v>20</v>
      </c>
      <c r="I125" s="41">
        <v>1</v>
      </c>
      <c r="J125" s="41" t="s">
        <v>3558</v>
      </c>
      <c r="K125" s="41">
        <v>17</v>
      </c>
      <c r="L125" s="41"/>
      <c r="M125" s="41" t="s">
        <v>375</v>
      </c>
      <c r="N125" s="41" t="s">
        <v>2875</v>
      </c>
      <c r="O125" s="49">
        <f t="shared" si="30"/>
        <v>1032</v>
      </c>
      <c r="P125" s="43">
        <f t="shared" si="31"/>
        <v>143.589</v>
      </c>
      <c r="Q125" s="60" t="s">
        <v>1937</v>
      </c>
      <c r="R125" s="48" t="str">
        <f t="shared" si="22"/>
        <v>(4,'PPUR-04-GZ2','Poste de Purge n°04 GZ2','1982-01-01','1982-01-01',NULL,1,),</v>
      </c>
    </row>
    <row r="126" spans="1:18" ht="20.100000000000001" customHeight="1" x14ac:dyDescent="0.25">
      <c r="A126" s="38">
        <v>5</v>
      </c>
      <c r="B126" s="38" t="s">
        <v>631</v>
      </c>
      <c r="C126" s="38">
        <v>14</v>
      </c>
      <c r="D126" s="39" t="str">
        <f t="shared" si="34"/>
        <v>PPUR-05-GZ2</v>
      </c>
      <c r="E126" s="48" t="str">
        <f t="shared" si="35"/>
        <v>Poste de Purge n°05 GZ2</v>
      </c>
      <c r="F126" s="19">
        <v>29952</v>
      </c>
      <c r="G126" s="19">
        <v>29952</v>
      </c>
      <c r="H126" s="41" t="s">
        <v>20</v>
      </c>
      <c r="I126" s="41">
        <v>1</v>
      </c>
      <c r="J126" s="41" t="s">
        <v>3558</v>
      </c>
      <c r="K126" s="41">
        <v>17</v>
      </c>
      <c r="L126" s="41"/>
      <c r="M126" s="41" t="s">
        <v>375</v>
      </c>
      <c r="N126" s="41" t="s">
        <v>2876</v>
      </c>
      <c r="O126" s="49">
        <f t="shared" si="30"/>
        <v>1172</v>
      </c>
      <c r="P126" s="43">
        <f t="shared" si="31"/>
        <v>155.89599999999999</v>
      </c>
      <c r="Q126" s="60" t="s">
        <v>1937</v>
      </c>
      <c r="R126" s="48" t="str">
        <f t="shared" si="22"/>
        <v>(5,'PPUR-05-GZ2','Poste de Purge n°05 GZ2','1982-01-01','1982-01-01',NULL,1,),</v>
      </c>
    </row>
    <row r="127" spans="1:18" ht="20.100000000000001" customHeight="1" x14ac:dyDescent="0.25">
      <c r="A127" s="38">
        <v>6</v>
      </c>
      <c r="B127" s="38" t="s">
        <v>631</v>
      </c>
      <c r="C127" s="38">
        <v>14</v>
      </c>
      <c r="D127" s="39" t="str">
        <f t="shared" si="34"/>
        <v>PPUR-06-GZ2</v>
      </c>
      <c r="E127" s="48" t="str">
        <f t="shared" si="35"/>
        <v>Poste de Purge n°06 GZ2</v>
      </c>
      <c r="F127" s="19">
        <v>29952</v>
      </c>
      <c r="G127" s="19">
        <v>29952</v>
      </c>
      <c r="H127" s="41" t="s">
        <v>20</v>
      </c>
      <c r="I127" s="41">
        <v>1</v>
      </c>
      <c r="J127" s="41" t="s">
        <v>3558</v>
      </c>
      <c r="K127" s="41">
        <v>17</v>
      </c>
      <c r="L127" s="41"/>
      <c r="M127" s="41" t="s">
        <v>375</v>
      </c>
      <c r="N127" s="41" t="s">
        <v>2877</v>
      </c>
      <c r="O127" s="49">
        <f t="shared" si="30"/>
        <v>1238</v>
      </c>
      <c r="P127" s="43">
        <f t="shared" si="31"/>
        <v>168.39400000000001</v>
      </c>
      <c r="Q127" s="60" t="s">
        <v>1937</v>
      </c>
      <c r="R127" s="48" t="str">
        <f t="shared" si="22"/>
        <v>(6,'PPUR-06-GZ2','Poste de Purge n°06 GZ2','1982-01-01','1982-01-01',NULL,1,),</v>
      </c>
    </row>
    <row r="128" spans="1:18" ht="20.100000000000001" customHeight="1" x14ac:dyDescent="0.25">
      <c r="A128" s="38">
        <v>7</v>
      </c>
      <c r="B128" s="38" t="s">
        <v>631</v>
      </c>
      <c r="C128" s="38">
        <v>14</v>
      </c>
      <c r="D128" s="39" t="str">
        <f t="shared" si="34"/>
        <v>PPUR-07-GZ2</v>
      </c>
      <c r="E128" s="48" t="str">
        <f t="shared" si="35"/>
        <v>Poste de Purge n°07 GZ2</v>
      </c>
      <c r="F128" s="19">
        <v>29952</v>
      </c>
      <c r="G128" s="19">
        <v>29952</v>
      </c>
      <c r="H128" s="41" t="s">
        <v>20</v>
      </c>
      <c r="I128" s="41">
        <v>1</v>
      </c>
      <c r="J128" s="41" t="s">
        <v>3558</v>
      </c>
      <c r="K128" s="41">
        <v>17</v>
      </c>
      <c r="L128" s="41"/>
      <c r="M128" s="41" t="s">
        <v>375</v>
      </c>
      <c r="N128" s="41" t="s">
        <v>2878</v>
      </c>
      <c r="O128" s="49">
        <f t="shared" si="30"/>
        <v>1096</v>
      </c>
      <c r="P128" s="43">
        <f t="shared" si="31"/>
        <v>187.53</v>
      </c>
      <c r="Q128" s="60" t="s">
        <v>1937</v>
      </c>
      <c r="R128" s="48" t="str">
        <f t="shared" si="22"/>
        <v>(7,'PPUR-07-GZ2','Poste de Purge n°07 GZ2','1982-01-01','1982-01-01',NULL,1,),</v>
      </c>
    </row>
    <row r="129" spans="1:18" ht="20.100000000000001" customHeight="1" x14ac:dyDescent="0.25">
      <c r="A129" s="38">
        <v>8</v>
      </c>
      <c r="B129" s="38" t="s">
        <v>631</v>
      </c>
      <c r="C129" s="38">
        <v>14</v>
      </c>
      <c r="D129" s="39" t="str">
        <f t="shared" si="34"/>
        <v>PPUR-08-GZ2</v>
      </c>
      <c r="E129" s="48" t="str">
        <f t="shared" si="35"/>
        <v>Poste de Purge n°08 GZ2</v>
      </c>
      <c r="F129" s="19">
        <v>29952</v>
      </c>
      <c r="G129" s="19">
        <v>29952</v>
      </c>
      <c r="H129" s="41" t="s">
        <v>20</v>
      </c>
      <c r="I129" s="41">
        <v>1</v>
      </c>
      <c r="J129" s="41" t="s">
        <v>3558</v>
      </c>
      <c r="K129" s="41">
        <v>17</v>
      </c>
      <c r="L129" s="41"/>
      <c r="M129" s="41" t="s">
        <v>375</v>
      </c>
      <c r="N129" s="41" t="s">
        <v>2879</v>
      </c>
      <c r="O129" s="49">
        <f t="shared" si="30"/>
        <v>938</v>
      </c>
      <c r="P129" s="43">
        <f t="shared" si="31"/>
        <v>217.08600000000001</v>
      </c>
      <c r="Q129" s="60" t="s">
        <v>2995</v>
      </c>
      <c r="R129" s="48" t="str">
        <f t="shared" si="22"/>
        <v>(8,'PPUR-08-GZ2','Poste de Purge n°08 GZ2','1982-01-01','1982-01-01',NULL,1,),</v>
      </c>
    </row>
    <row r="130" spans="1:18" ht="20.100000000000001" customHeight="1" x14ac:dyDescent="0.25">
      <c r="A130" s="38">
        <v>9</v>
      </c>
      <c r="B130" s="38" t="s">
        <v>631</v>
      </c>
      <c r="C130" s="38">
        <v>14</v>
      </c>
      <c r="D130" s="39" t="str">
        <f t="shared" si="34"/>
        <v>PPUR-09-GZ2</v>
      </c>
      <c r="E130" s="48" t="str">
        <f t="shared" si="35"/>
        <v>Poste de Purge n°09 GZ2</v>
      </c>
      <c r="F130" s="19">
        <v>29952</v>
      </c>
      <c r="G130" s="19">
        <v>29952</v>
      </c>
      <c r="H130" s="41" t="s">
        <v>20</v>
      </c>
      <c r="I130" s="41">
        <v>1</v>
      </c>
      <c r="J130" s="41" t="s">
        <v>3558</v>
      </c>
      <c r="K130" s="41">
        <v>17</v>
      </c>
      <c r="L130" s="41"/>
      <c r="M130" s="41" t="s">
        <v>375</v>
      </c>
      <c r="N130" s="41" t="s">
        <v>2880</v>
      </c>
      <c r="O130" s="49">
        <f t="shared" si="30"/>
        <v>956</v>
      </c>
      <c r="P130" s="43">
        <f t="shared" si="31"/>
        <v>235.81299999999999</v>
      </c>
      <c r="Q130" s="60" t="s">
        <v>2996</v>
      </c>
      <c r="R130" s="48" t="str">
        <f t="shared" si="22"/>
        <v>(9,'PPUR-09-GZ2','Poste de Purge n°09 GZ2','1982-01-01','1982-01-01',NULL,1,),</v>
      </c>
    </row>
    <row r="131" spans="1:18" ht="20.100000000000001" customHeight="1" x14ac:dyDescent="0.25">
      <c r="A131" s="38">
        <v>10</v>
      </c>
      <c r="B131" s="38" t="s">
        <v>631</v>
      </c>
      <c r="C131" s="38">
        <v>14</v>
      </c>
      <c r="D131" s="39" t="str">
        <f t="shared" si="34"/>
        <v>PPUR-10-GZ2</v>
      </c>
      <c r="E131" s="48" t="str">
        <f t="shared" si="35"/>
        <v>Poste de Purge n°10 GZ2</v>
      </c>
      <c r="F131" s="19">
        <v>29952</v>
      </c>
      <c r="G131" s="19">
        <v>29952</v>
      </c>
      <c r="H131" s="41" t="s">
        <v>20</v>
      </c>
      <c r="I131" s="41">
        <v>1</v>
      </c>
      <c r="J131" s="41" t="s">
        <v>3558</v>
      </c>
      <c r="K131" s="41">
        <v>17</v>
      </c>
      <c r="L131" s="41"/>
      <c r="M131" s="41" t="s">
        <v>375</v>
      </c>
      <c r="N131" s="41" t="s">
        <v>2881</v>
      </c>
      <c r="O131" s="49">
        <f t="shared" si="30"/>
        <v>1154</v>
      </c>
      <c r="P131" s="43">
        <f t="shared" si="31"/>
        <v>294.73200000000003</v>
      </c>
      <c r="Q131" s="60" t="s">
        <v>1743</v>
      </c>
      <c r="R131" s="48" t="str">
        <f t="shared" ref="R131:R160" si="36">CONCATENATE("(",A131,",'",D131,"','",E131,"','",TEXT(F131,"aaaa-mm-jj"),"','",TEXT(G131,"aaaa-mm-jj"),"',",H131,",",I131,",",L131,"),")</f>
        <v>(10,'PPUR-10-GZ2','Poste de Purge n°10 GZ2','1982-01-01','1982-01-01',NULL,1,),</v>
      </c>
    </row>
    <row r="132" spans="1:18" ht="20.100000000000001" customHeight="1" x14ac:dyDescent="0.25">
      <c r="A132" s="38">
        <v>11</v>
      </c>
      <c r="B132" s="38" t="s">
        <v>631</v>
      </c>
      <c r="C132" s="38">
        <v>14</v>
      </c>
      <c r="D132" s="39" t="str">
        <f t="shared" si="34"/>
        <v>PPUR-11-GZ2</v>
      </c>
      <c r="E132" s="48" t="str">
        <f t="shared" si="35"/>
        <v>Poste de Purge n°11 GZ2</v>
      </c>
      <c r="F132" s="19">
        <v>29952</v>
      </c>
      <c r="G132" s="19">
        <v>29952</v>
      </c>
      <c r="H132" s="41" t="s">
        <v>20</v>
      </c>
      <c r="I132" s="41">
        <v>1</v>
      </c>
      <c r="J132" s="41" t="s">
        <v>3558</v>
      </c>
      <c r="K132" s="41">
        <v>17</v>
      </c>
      <c r="L132" s="41"/>
      <c r="M132" s="41" t="s">
        <v>375</v>
      </c>
      <c r="N132" s="41" t="s">
        <v>2882</v>
      </c>
      <c r="O132" s="49">
        <f t="shared" si="30"/>
        <v>990</v>
      </c>
      <c r="P132" s="43">
        <f t="shared" si="31"/>
        <v>328.83699999999999</v>
      </c>
      <c r="Q132" s="60" t="s">
        <v>797</v>
      </c>
      <c r="R132" s="48" t="str">
        <f t="shared" si="36"/>
        <v>(11,'PPUR-11-GZ2','Poste de Purge n°11 GZ2','1982-01-01','1982-01-01',NULL,1,),</v>
      </c>
    </row>
    <row r="133" spans="1:18" ht="20.100000000000001" customHeight="1" x14ac:dyDescent="0.25">
      <c r="A133" s="38">
        <v>12</v>
      </c>
      <c r="B133" s="38" t="s">
        <v>631</v>
      </c>
      <c r="C133" s="38">
        <v>14</v>
      </c>
      <c r="D133" s="39" t="str">
        <f t="shared" si="34"/>
        <v>PPUR-12-GZ2</v>
      </c>
      <c r="E133" s="48" t="str">
        <f t="shared" si="35"/>
        <v>Poste de Purge n°12 GZ2</v>
      </c>
      <c r="F133" s="19">
        <v>29952</v>
      </c>
      <c r="G133" s="19">
        <v>29952</v>
      </c>
      <c r="H133" s="41" t="s">
        <v>20</v>
      </c>
      <c r="I133" s="41">
        <v>1</v>
      </c>
      <c r="J133" s="41" t="s">
        <v>3558</v>
      </c>
      <c r="K133" s="41">
        <v>17</v>
      </c>
      <c r="L133" s="41"/>
      <c r="M133" s="41" t="s">
        <v>375</v>
      </c>
      <c r="N133" s="41" t="s">
        <v>2883</v>
      </c>
      <c r="O133" s="49">
        <f t="shared" si="30"/>
        <v>946</v>
      </c>
      <c r="P133" s="43">
        <f t="shared" si="31"/>
        <v>336.37099999999998</v>
      </c>
      <c r="Q133" s="60" t="s">
        <v>797</v>
      </c>
      <c r="R133" s="48" t="str">
        <f t="shared" si="36"/>
        <v>(12,'PPUR-12-GZ2','Poste de Purge n°12 GZ2','1982-01-01','1982-01-01',NULL,1,),</v>
      </c>
    </row>
    <row r="134" spans="1:18" ht="20.100000000000001" customHeight="1" x14ac:dyDescent="0.25">
      <c r="A134" s="38">
        <v>13</v>
      </c>
      <c r="B134" s="38" t="s">
        <v>631</v>
      </c>
      <c r="C134" s="38">
        <v>14</v>
      </c>
      <c r="D134" s="39" t="str">
        <f t="shared" si="34"/>
        <v>PPUR-13-GZ2</v>
      </c>
      <c r="E134" s="48" t="str">
        <f t="shared" si="35"/>
        <v>Poste de Purge n°13 GZ2</v>
      </c>
      <c r="F134" s="19">
        <v>29952</v>
      </c>
      <c r="G134" s="19">
        <v>29952</v>
      </c>
      <c r="H134" s="41" t="s">
        <v>20</v>
      </c>
      <c r="I134" s="41">
        <v>1</v>
      </c>
      <c r="J134" s="41" t="s">
        <v>3558</v>
      </c>
      <c r="K134" s="41">
        <v>17</v>
      </c>
      <c r="L134" s="41"/>
      <c r="M134" s="41" t="s">
        <v>375</v>
      </c>
      <c r="N134" s="41" t="s">
        <v>2884</v>
      </c>
      <c r="O134" s="49">
        <f t="shared" si="30"/>
        <v>572</v>
      </c>
      <c r="P134" s="43">
        <f t="shared" si="31"/>
        <v>359.63499999999999</v>
      </c>
      <c r="Q134" s="58" t="s">
        <v>2991</v>
      </c>
      <c r="R134" s="48" t="str">
        <f t="shared" si="36"/>
        <v>(13,'PPUR-13-GZ2','Poste de Purge n°13 GZ2','1982-01-01','1982-01-01',NULL,1,),</v>
      </c>
    </row>
    <row r="135" spans="1:18" ht="20.100000000000001" customHeight="1" x14ac:dyDescent="0.25">
      <c r="A135" s="38">
        <v>14</v>
      </c>
      <c r="B135" s="38" t="s">
        <v>631</v>
      </c>
      <c r="C135" s="38">
        <v>14</v>
      </c>
      <c r="D135" s="39" t="str">
        <f t="shared" si="34"/>
        <v>PPUR-14-GZ2</v>
      </c>
      <c r="E135" s="48" t="str">
        <f t="shared" si="35"/>
        <v>Poste de Purge n°14 GZ2</v>
      </c>
      <c r="F135" s="19">
        <v>29952</v>
      </c>
      <c r="G135" s="19">
        <v>29952</v>
      </c>
      <c r="H135" s="41" t="s">
        <v>20</v>
      </c>
      <c r="I135" s="41">
        <v>1</v>
      </c>
      <c r="J135" s="41" t="s">
        <v>3558</v>
      </c>
      <c r="K135" s="41">
        <v>17</v>
      </c>
      <c r="L135" s="41"/>
      <c r="M135" s="41" t="s">
        <v>375</v>
      </c>
      <c r="N135" s="41" t="s">
        <v>2885</v>
      </c>
      <c r="O135" s="49">
        <f t="shared" si="30"/>
        <v>670</v>
      </c>
      <c r="P135" s="43">
        <f t="shared" si="31"/>
        <v>371.60500000000002</v>
      </c>
      <c r="Q135" s="41" t="s">
        <v>755</v>
      </c>
      <c r="R135" s="48" t="str">
        <f t="shared" si="36"/>
        <v>(14,'PPUR-14-GZ2','Poste de Purge n°14 GZ2','1982-01-01','1982-01-01',NULL,1,),</v>
      </c>
    </row>
    <row r="136" spans="1:18" ht="20.100000000000001" customHeight="1" x14ac:dyDescent="0.25">
      <c r="A136" s="38">
        <v>15</v>
      </c>
      <c r="B136" s="38" t="s">
        <v>631</v>
      </c>
      <c r="C136" s="38">
        <v>14</v>
      </c>
      <c r="D136" s="39" t="str">
        <f t="shared" si="34"/>
        <v>PPUR-15-GZ2</v>
      </c>
      <c r="E136" s="48" t="str">
        <f t="shared" si="35"/>
        <v>Poste de Purge n°15 GZ2</v>
      </c>
      <c r="F136" s="19">
        <v>29952</v>
      </c>
      <c r="G136" s="19">
        <v>29952</v>
      </c>
      <c r="H136" s="41" t="s">
        <v>20</v>
      </c>
      <c r="I136" s="41">
        <v>1</v>
      </c>
      <c r="J136" s="41" t="s">
        <v>3558</v>
      </c>
      <c r="K136" s="41">
        <v>17</v>
      </c>
      <c r="L136" s="41"/>
      <c r="M136" s="41" t="s">
        <v>375</v>
      </c>
      <c r="N136" s="41" t="s">
        <v>2886</v>
      </c>
      <c r="O136" s="49">
        <f t="shared" si="30"/>
        <v>558</v>
      </c>
      <c r="P136" s="43">
        <f t="shared" si="31"/>
        <v>394.03</v>
      </c>
      <c r="Q136" s="41" t="s">
        <v>2997</v>
      </c>
      <c r="R136" s="48" t="str">
        <f t="shared" si="36"/>
        <v>(15,'PPUR-15-GZ2','Poste de Purge n°15 GZ2','1982-01-01','1982-01-01',NULL,1,),</v>
      </c>
    </row>
    <row r="137" spans="1:18" ht="20.100000000000001" customHeight="1" x14ac:dyDescent="0.25">
      <c r="A137" s="38">
        <v>16</v>
      </c>
      <c r="B137" s="38" t="s">
        <v>631</v>
      </c>
      <c r="C137" s="38">
        <v>14</v>
      </c>
      <c r="D137" s="39" t="str">
        <f t="shared" si="34"/>
        <v>PPUR-16-GZ2</v>
      </c>
      <c r="E137" s="48" t="str">
        <f t="shared" si="35"/>
        <v>Poste de Purge n°16 GZ2</v>
      </c>
      <c r="F137" s="19">
        <v>29952</v>
      </c>
      <c r="G137" s="19">
        <v>29952</v>
      </c>
      <c r="H137" s="41" t="s">
        <v>20</v>
      </c>
      <c r="I137" s="41">
        <v>1</v>
      </c>
      <c r="J137" s="41" t="s">
        <v>3558</v>
      </c>
      <c r="K137" s="41">
        <v>17</v>
      </c>
      <c r="L137" s="41"/>
      <c r="M137" s="41" t="s">
        <v>375</v>
      </c>
      <c r="N137" s="41" t="s">
        <v>2887</v>
      </c>
      <c r="O137" s="49">
        <f t="shared" si="30"/>
        <v>561</v>
      </c>
      <c r="P137" s="43">
        <f t="shared" si="31"/>
        <v>400.12</v>
      </c>
      <c r="Q137" s="41" t="s">
        <v>2998</v>
      </c>
      <c r="R137" s="48" t="str">
        <f t="shared" si="36"/>
        <v>(16,'PPUR-16-GZ2','Poste de Purge n°16 GZ2','1982-01-01','1982-01-01',NULL,1,),</v>
      </c>
    </row>
    <row r="138" spans="1:18" ht="20.100000000000001" customHeight="1" x14ac:dyDescent="0.25">
      <c r="A138" s="38">
        <v>17</v>
      </c>
      <c r="B138" s="38" t="s">
        <v>631</v>
      </c>
      <c r="C138" s="38">
        <v>14</v>
      </c>
      <c r="D138" s="39" t="str">
        <f t="shared" si="34"/>
        <v>PPUR-17-GZ2</v>
      </c>
      <c r="E138" s="48" t="str">
        <f t="shared" si="35"/>
        <v>Poste de Purge n°17 GZ2</v>
      </c>
      <c r="F138" s="19">
        <v>29952</v>
      </c>
      <c r="G138" s="19">
        <v>29952</v>
      </c>
      <c r="H138" s="41" t="s">
        <v>20</v>
      </c>
      <c r="I138" s="41">
        <v>1</v>
      </c>
      <c r="J138" s="41" t="s">
        <v>3558</v>
      </c>
      <c r="K138" s="41">
        <v>17</v>
      </c>
      <c r="L138" s="41"/>
      <c r="M138" s="41" t="s">
        <v>375</v>
      </c>
      <c r="N138" s="41" t="s">
        <v>2888</v>
      </c>
      <c r="O138" s="49">
        <f t="shared" si="30"/>
        <v>124</v>
      </c>
      <c r="P138" s="43">
        <f t="shared" si="31"/>
        <v>431.59199999999998</v>
      </c>
      <c r="Q138" s="41" t="s">
        <v>1868</v>
      </c>
      <c r="R138" s="48" t="str">
        <f t="shared" si="36"/>
        <v>(17,'PPUR-17-GZ2','Poste de Purge n°17 GZ2','1982-01-01','1982-01-01',NULL,1,),</v>
      </c>
    </row>
    <row r="139" spans="1:18" ht="20.100000000000001" customHeight="1" x14ac:dyDescent="0.25">
      <c r="A139" s="38">
        <v>18</v>
      </c>
      <c r="B139" s="38" t="s">
        <v>631</v>
      </c>
      <c r="C139" s="38">
        <v>14</v>
      </c>
      <c r="D139" s="39" t="str">
        <f t="shared" si="34"/>
        <v>PPUR-18-GZ2</v>
      </c>
      <c r="E139" s="48" t="str">
        <f t="shared" si="35"/>
        <v>Poste de Purge n°18 GZ2</v>
      </c>
      <c r="F139" s="19">
        <v>29952</v>
      </c>
      <c r="G139" s="19">
        <v>29952</v>
      </c>
      <c r="H139" s="41" t="s">
        <v>20</v>
      </c>
      <c r="I139" s="41">
        <v>1</v>
      </c>
      <c r="J139" s="41" t="s">
        <v>3558</v>
      </c>
      <c r="K139" s="41">
        <v>17</v>
      </c>
      <c r="L139" s="41"/>
      <c r="M139" s="41" t="s">
        <v>375</v>
      </c>
      <c r="N139" s="41" t="s">
        <v>2889</v>
      </c>
      <c r="O139" s="49">
        <f t="shared" si="30"/>
        <v>71</v>
      </c>
      <c r="P139" s="43">
        <f t="shared" si="31"/>
        <v>459.68799999999999</v>
      </c>
      <c r="Q139" s="41" t="s">
        <v>1748</v>
      </c>
      <c r="R139" s="48" t="str">
        <f t="shared" si="36"/>
        <v>(18,'PPUR-18-GZ2','Poste de Purge n°18 GZ2','1982-01-01','1982-01-01',NULL,1,),</v>
      </c>
    </row>
    <row r="140" spans="1:18" ht="20.100000000000001" customHeight="1" x14ac:dyDescent="0.25">
      <c r="A140" s="38">
        <v>19</v>
      </c>
      <c r="B140" s="38" t="s">
        <v>631</v>
      </c>
      <c r="C140" s="38">
        <v>14</v>
      </c>
      <c r="D140" s="39" t="str">
        <f t="shared" si="34"/>
        <v>PPUR-19-GZ2</v>
      </c>
      <c r="E140" s="48" t="str">
        <f t="shared" si="35"/>
        <v>Poste de Purge n°19 GZ2</v>
      </c>
      <c r="F140" s="19">
        <v>29952</v>
      </c>
      <c r="G140" s="19">
        <v>29952</v>
      </c>
      <c r="H140" s="41" t="s">
        <v>20</v>
      </c>
      <c r="I140" s="41">
        <v>1</v>
      </c>
      <c r="J140" s="41" t="s">
        <v>3558</v>
      </c>
      <c r="K140" s="41">
        <v>17</v>
      </c>
      <c r="L140" s="41"/>
      <c r="M140" s="41" t="s">
        <v>375</v>
      </c>
      <c r="N140" s="41" t="s">
        <v>2890</v>
      </c>
      <c r="O140" s="49">
        <f t="shared" si="30"/>
        <v>94</v>
      </c>
      <c r="P140" s="43">
        <f t="shared" si="31"/>
        <v>500.63499999999999</v>
      </c>
      <c r="Q140" s="41" t="s">
        <v>2999</v>
      </c>
      <c r="R140" s="48" t="str">
        <f t="shared" si="36"/>
        <v>(19,'PPUR-19-GZ2','Poste de Purge n°19 GZ2','1982-01-01','1982-01-01',NULL,1,),</v>
      </c>
    </row>
    <row r="141" spans="1:18" ht="20.100000000000001" customHeight="1" x14ac:dyDescent="0.25">
      <c r="A141" s="38">
        <v>1</v>
      </c>
      <c r="B141" s="38" t="s">
        <v>631</v>
      </c>
      <c r="C141" s="38">
        <v>14</v>
      </c>
      <c r="D141" s="39" t="str">
        <f t="shared" si="34"/>
        <v>PPUR-01-GZ3</v>
      </c>
      <c r="E141" s="48" t="str">
        <f t="shared" si="35"/>
        <v>Poste de Purge n°01 GZ3</v>
      </c>
      <c r="F141" s="19">
        <v>32509</v>
      </c>
      <c r="G141" s="19">
        <v>32509</v>
      </c>
      <c r="H141" s="41" t="s">
        <v>20</v>
      </c>
      <c r="I141" s="41">
        <v>1</v>
      </c>
      <c r="J141" s="41" t="s">
        <v>3558</v>
      </c>
      <c r="K141" s="41">
        <v>17</v>
      </c>
      <c r="L141" s="41"/>
      <c r="M141" s="41" t="s">
        <v>379</v>
      </c>
      <c r="N141" s="41" t="s">
        <v>2891</v>
      </c>
      <c r="O141" s="49">
        <f t="shared" si="30"/>
        <v>747</v>
      </c>
      <c r="P141" s="43">
        <f t="shared" si="31"/>
        <v>20.295000000000002</v>
      </c>
      <c r="Q141" s="41" t="s">
        <v>790</v>
      </c>
      <c r="R141" s="48" t="str">
        <f t="shared" si="36"/>
        <v>(1,'PPUR-01-GZ3','Poste de Purge n°01 GZ3','1989-01-01','1989-01-01',NULL,1,),</v>
      </c>
    </row>
    <row r="142" spans="1:18" ht="20.100000000000001" customHeight="1" x14ac:dyDescent="0.25">
      <c r="A142" s="38">
        <v>2</v>
      </c>
      <c r="B142" s="38" t="s">
        <v>631</v>
      </c>
      <c r="C142" s="38">
        <v>14</v>
      </c>
      <c r="D142" s="39" t="str">
        <f t="shared" si="34"/>
        <v>PPUR-02-GZ3</v>
      </c>
      <c r="E142" s="48" t="str">
        <f t="shared" si="35"/>
        <v>Poste de Purge n°02 GZ3</v>
      </c>
      <c r="F142" s="19">
        <v>32509</v>
      </c>
      <c r="G142" s="19">
        <v>32509</v>
      </c>
      <c r="H142" s="41" t="s">
        <v>20</v>
      </c>
      <c r="I142" s="41">
        <v>1</v>
      </c>
      <c r="J142" s="41" t="s">
        <v>3558</v>
      </c>
      <c r="K142" s="41">
        <v>17</v>
      </c>
      <c r="L142" s="41"/>
      <c r="M142" s="41" t="s">
        <v>379</v>
      </c>
      <c r="N142" s="41" t="s">
        <v>2892</v>
      </c>
      <c r="O142" s="49">
        <f t="shared" si="30"/>
        <v>771</v>
      </c>
      <c r="P142" s="43">
        <f t="shared" si="31"/>
        <v>99.694999999999993</v>
      </c>
      <c r="Q142" s="41" t="s">
        <v>1740</v>
      </c>
      <c r="R142" s="48" t="str">
        <f t="shared" si="36"/>
        <v>(2,'PPUR-02-GZ3','Poste de Purge n°02 GZ3','1989-01-01','1989-01-01',NULL,1,),</v>
      </c>
    </row>
    <row r="143" spans="1:18" ht="20.100000000000001" customHeight="1" x14ac:dyDescent="0.25">
      <c r="A143" s="38">
        <v>3</v>
      </c>
      <c r="B143" s="38" t="s">
        <v>631</v>
      </c>
      <c r="C143" s="38">
        <v>14</v>
      </c>
      <c r="D143" s="39" t="str">
        <f t="shared" si="34"/>
        <v>PPUR-03-GZ3</v>
      </c>
      <c r="E143" s="48" t="str">
        <f t="shared" si="35"/>
        <v>Poste de Purge n°03 GZ3</v>
      </c>
      <c r="F143" s="19">
        <v>32509</v>
      </c>
      <c r="G143" s="19">
        <v>32509</v>
      </c>
      <c r="H143" s="41" t="s">
        <v>20</v>
      </c>
      <c r="I143" s="41">
        <v>1</v>
      </c>
      <c r="J143" s="41" t="s">
        <v>3558</v>
      </c>
      <c r="K143" s="41">
        <v>17</v>
      </c>
      <c r="L143" s="41"/>
      <c r="M143" s="41" t="s">
        <v>379</v>
      </c>
      <c r="N143" s="41" t="s">
        <v>2893</v>
      </c>
      <c r="O143" s="49">
        <f t="shared" si="30"/>
        <v>921</v>
      </c>
      <c r="P143" s="43">
        <f t="shared" si="31"/>
        <v>125.84</v>
      </c>
      <c r="Q143" s="60" t="s">
        <v>1937</v>
      </c>
      <c r="R143" s="48" t="str">
        <f t="shared" si="36"/>
        <v>(3,'PPUR-03-GZ3','Poste de Purge n°03 GZ3','1989-01-01','1989-01-01',NULL,1,),</v>
      </c>
    </row>
    <row r="144" spans="1:18" ht="20.100000000000001" customHeight="1" x14ac:dyDescent="0.25">
      <c r="A144" s="38">
        <v>4</v>
      </c>
      <c r="B144" s="38" t="s">
        <v>631</v>
      </c>
      <c r="C144" s="38">
        <v>14</v>
      </c>
      <c r="D144" s="39" t="str">
        <f t="shared" si="34"/>
        <v>PPUR-04-GZ3</v>
      </c>
      <c r="E144" s="48" t="str">
        <f t="shared" si="35"/>
        <v>Poste de Purge n°04 GZ3</v>
      </c>
      <c r="F144" s="19">
        <v>32509</v>
      </c>
      <c r="G144" s="19">
        <v>32509</v>
      </c>
      <c r="H144" s="41" t="s">
        <v>20</v>
      </c>
      <c r="I144" s="41">
        <v>1</v>
      </c>
      <c r="J144" s="41" t="s">
        <v>3558</v>
      </c>
      <c r="K144" s="41">
        <v>17</v>
      </c>
      <c r="L144" s="41"/>
      <c r="M144" s="41" t="s">
        <v>379</v>
      </c>
      <c r="N144" s="41" t="s">
        <v>2894</v>
      </c>
      <c r="O144" s="49">
        <f t="shared" si="30"/>
        <v>1048</v>
      </c>
      <c r="P144" s="43">
        <f t="shared" si="31"/>
        <v>143.887</v>
      </c>
      <c r="Q144" s="60" t="s">
        <v>1937</v>
      </c>
      <c r="R144" s="48" t="str">
        <f t="shared" si="36"/>
        <v>(4,'PPUR-04-GZ3','Poste de Purge n°04 GZ3','1989-01-01','1989-01-01',NULL,1,),</v>
      </c>
    </row>
    <row r="145" spans="1:18" ht="20.100000000000001" customHeight="1" x14ac:dyDescent="0.25">
      <c r="A145" s="38">
        <v>5</v>
      </c>
      <c r="B145" s="38" t="s">
        <v>631</v>
      </c>
      <c r="C145" s="38">
        <v>14</v>
      </c>
      <c r="D145" s="39" t="str">
        <f t="shared" si="34"/>
        <v>PPUR-05-GZ3</v>
      </c>
      <c r="E145" s="48" t="str">
        <f t="shared" si="35"/>
        <v>Poste de Purge n°05 GZ3</v>
      </c>
      <c r="F145" s="19">
        <v>32509</v>
      </c>
      <c r="G145" s="19">
        <v>32509</v>
      </c>
      <c r="H145" s="41" t="s">
        <v>20</v>
      </c>
      <c r="I145" s="41">
        <v>1</v>
      </c>
      <c r="J145" s="41" t="s">
        <v>3558</v>
      </c>
      <c r="K145" s="41">
        <v>17</v>
      </c>
      <c r="L145" s="41"/>
      <c r="M145" s="41" t="s">
        <v>379</v>
      </c>
      <c r="N145" s="41" t="s">
        <v>2895</v>
      </c>
      <c r="O145" s="49">
        <f t="shared" si="30"/>
        <v>1192</v>
      </c>
      <c r="P145" s="43">
        <f t="shared" si="31"/>
        <v>156.268</v>
      </c>
      <c r="Q145" s="60" t="s">
        <v>1937</v>
      </c>
      <c r="R145" s="48" t="str">
        <f t="shared" si="36"/>
        <v>(5,'PPUR-05-GZ3','Poste de Purge n°05 GZ3','1989-01-01','1989-01-01',NULL,1,),</v>
      </c>
    </row>
    <row r="146" spans="1:18" ht="20.100000000000001" customHeight="1" x14ac:dyDescent="0.25">
      <c r="A146" s="38">
        <v>6</v>
      </c>
      <c r="B146" s="38" t="s">
        <v>631</v>
      </c>
      <c r="C146" s="38">
        <v>14</v>
      </c>
      <c r="D146" s="39" t="str">
        <f t="shared" si="34"/>
        <v>PPUR-06-GZ3</v>
      </c>
      <c r="E146" s="48" t="str">
        <f t="shared" si="35"/>
        <v>Poste de Purge n°06 GZ3</v>
      </c>
      <c r="F146" s="19">
        <v>32509</v>
      </c>
      <c r="G146" s="19">
        <v>32509</v>
      </c>
      <c r="H146" s="41" t="s">
        <v>20</v>
      </c>
      <c r="I146" s="41">
        <v>1</v>
      </c>
      <c r="J146" s="41" t="s">
        <v>3558</v>
      </c>
      <c r="K146" s="41">
        <v>17</v>
      </c>
      <c r="L146" s="41"/>
      <c r="M146" s="41" t="s">
        <v>379</v>
      </c>
      <c r="N146" s="41" t="s">
        <v>2896</v>
      </c>
      <c r="O146" s="49">
        <f t="shared" si="30"/>
        <v>1238</v>
      </c>
      <c r="P146" s="43">
        <f t="shared" si="31"/>
        <v>168.69800000000001</v>
      </c>
      <c r="Q146" s="60" t="s">
        <v>1937</v>
      </c>
      <c r="R146" s="48" t="str">
        <f t="shared" si="36"/>
        <v>(6,'PPUR-06-GZ3','Poste de Purge n°06 GZ3','1989-01-01','1989-01-01',NULL,1,),</v>
      </c>
    </row>
    <row r="147" spans="1:18" ht="20.100000000000001" customHeight="1" x14ac:dyDescent="0.25">
      <c r="A147" s="38">
        <v>7</v>
      </c>
      <c r="B147" s="38" t="s">
        <v>631</v>
      </c>
      <c r="C147" s="38">
        <v>14</v>
      </c>
      <c r="D147" s="39" t="str">
        <f t="shared" si="34"/>
        <v>PPUR-07-GZ3</v>
      </c>
      <c r="E147" s="48" t="str">
        <f t="shared" si="35"/>
        <v>Poste de Purge n°07 GZ3</v>
      </c>
      <c r="F147" s="19">
        <v>32509</v>
      </c>
      <c r="G147" s="19">
        <v>32509</v>
      </c>
      <c r="H147" s="41" t="s">
        <v>20</v>
      </c>
      <c r="I147" s="41">
        <v>8</v>
      </c>
      <c r="J147" s="41" t="s">
        <v>3558</v>
      </c>
      <c r="K147" s="41">
        <v>17</v>
      </c>
      <c r="L147" s="41"/>
      <c r="M147" s="41" t="s">
        <v>379</v>
      </c>
      <c r="N147" s="41" t="s">
        <v>2909</v>
      </c>
      <c r="O147" s="49">
        <f t="shared" si="30"/>
        <v>1096</v>
      </c>
      <c r="P147" s="43">
        <f t="shared" si="31"/>
        <v>187.76400000000001</v>
      </c>
      <c r="Q147" s="60" t="s">
        <v>1937</v>
      </c>
      <c r="R147" s="48" t="str">
        <f t="shared" si="36"/>
        <v>(7,'PPUR-07-GZ3','Poste de Purge n°07 GZ3','1989-01-01','1989-01-01',NULL,8,),</v>
      </c>
    </row>
    <row r="148" spans="1:18" ht="20.100000000000001" customHeight="1" x14ac:dyDescent="0.25">
      <c r="A148" s="38">
        <v>8</v>
      </c>
      <c r="B148" s="38" t="s">
        <v>631</v>
      </c>
      <c r="C148" s="38">
        <v>14</v>
      </c>
      <c r="D148" s="39" t="str">
        <f t="shared" si="34"/>
        <v>PPUR-08-GZ3</v>
      </c>
      <c r="E148" s="48" t="str">
        <f t="shared" si="35"/>
        <v>Poste de Purge n°08 GZ3</v>
      </c>
      <c r="F148" s="19">
        <v>32509</v>
      </c>
      <c r="G148" s="19">
        <v>32509</v>
      </c>
      <c r="H148" s="41" t="s">
        <v>20</v>
      </c>
      <c r="I148" s="41">
        <v>1</v>
      </c>
      <c r="J148" s="41" t="s">
        <v>3558</v>
      </c>
      <c r="K148" s="41">
        <v>17</v>
      </c>
      <c r="L148" s="41"/>
      <c r="M148" s="41" t="s">
        <v>379</v>
      </c>
      <c r="N148" s="41" t="s">
        <v>2897</v>
      </c>
      <c r="O148" s="49">
        <f t="shared" si="30"/>
        <v>930</v>
      </c>
      <c r="P148" s="43">
        <f t="shared" si="31"/>
        <v>216.71199999999999</v>
      </c>
      <c r="Q148" s="60" t="s">
        <v>3000</v>
      </c>
      <c r="R148" s="48" t="str">
        <f t="shared" si="36"/>
        <v>(8,'PPUR-08-GZ3','Poste de Purge n°08 GZ3','1989-01-01','1989-01-01',NULL,1,),</v>
      </c>
    </row>
    <row r="149" spans="1:18" ht="20.100000000000001" customHeight="1" x14ac:dyDescent="0.25">
      <c r="A149" s="38">
        <v>9</v>
      </c>
      <c r="B149" s="38" t="s">
        <v>631</v>
      </c>
      <c r="C149" s="38">
        <v>14</v>
      </c>
      <c r="D149" s="39" t="str">
        <f t="shared" si="34"/>
        <v>PPUR-09-GZ3</v>
      </c>
      <c r="E149" s="48" t="str">
        <f t="shared" si="35"/>
        <v>Poste de Purge n°09 GZ3</v>
      </c>
      <c r="F149" s="19">
        <v>32509</v>
      </c>
      <c r="G149" s="19">
        <v>32509</v>
      </c>
      <c r="H149" s="41" t="s">
        <v>20</v>
      </c>
      <c r="I149" s="41">
        <v>1</v>
      </c>
      <c r="J149" s="41" t="s">
        <v>3558</v>
      </c>
      <c r="K149" s="41">
        <v>17</v>
      </c>
      <c r="L149" s="41"/>
      <c r="M149" s="41" t="s">
        <v>379</v>
      </c>
      <c r="N149" s="41" t="s">
        <v>2898</v>
      </c>
      <c r="O149" s="49">
        <f t="shared" si="30"/>
        <v>954</v>
      </c>
      <c r="P149" s="43">
        <f t="shared" si="31"/>
        <v>236.23</v>
      </c>
      <c r="Q149" s="60" t="s">
        <v>751</v>
      </c>
      <c r="R149" s="48" t="str">
        <f t="shared" si="36"/>
        <v>(9,'PPUR-09-GZ3','Poste de Purge n°09 GZ3','1989-01-01','1989-01-01',NULL,1,),</v>
      </c>
    </row>
    <row r="150" spans="1:18" ht="20.100000000000001" customHeight="1" x14ac:dyDescent="0.25">
      <c r="A150" s="38">
        <v>10</v>
      </c>
      <c r="B150" s="38" t="s">
        <v>631</v>
      </c>
      <c r="C150" s="38">
        <v>14</v>
      </c>
      <c r="D150" s="39" t="str">
        <f t="shared" si="34"/>
        <v>PPUR-10-GZ3</v>
      </c>
      <c r="E150" s="48" t="str">
        <f t="shared" si="35"/>
        <v>Poste de Purge n°10 GZ3</v>
      </c>
      <c r="F150" s="19">
        <v>32509</v>
      </c>
      <c r="G150" s="19">
        <v>32509</v>
      </c>
      <c r="H150" s="41" t="s">
        <v>20</v>
      </c>
      <c r="I150" s="41">
        <v>1</v>
      </c>
      <c r="J150" s="41" t="s">
        <v>3558</v>
      </c>
      <c r="K150" s="41">
        <v>17</v>
      </c>
      <c r="L150" s="41"/>
      <c r="M150" s="41" t="s">
        <v>379</v>
      </c>
      <c r="N150" s="41" t="s">
        <v>2899</v>
      </c>
      <c r="O150" s="49">
        <f t="shared" si="30"/>
        <v>1154</v>
      </c>
      <c r="P150" s="43">
        <f t="shared" si="31"/>
        <v>294.37700000000001</v>
      </c>
      <c r="Q150" s="60" t="s">
        <v>1743</v>
      </c>
      <c r="R150" s="48" t="str">
        <f t="shared" si="36"/>
        <v>(10,'PPUR-10-GZ3','Poste de Purge n°10 GZ3','1989-01-01','1989-01-01',NULL,1,),</v>
      </c>
    </row>
    <row r="151" spans="1:18" ht="20.100000000000001" customHeight="1" x14ac:dyDescent="0.25">
      <c r="A151" s="38">
        <v>11</v>
      </c>
      <c r="B151" s="38" t="s">
        <v>631</v>
      </c>
      <c r="C151" s="38">
        <v>14</v>
      </c>
      <c r="D151" s="39" t="str">
        <f t="shared" si="34"/>
        <v>PPUR-11-RGZ3</v>
      </c>
      <c r="E151" s="48" t="str">
        <f t="shared" si="35"/>
        <v>Poste de Purge n°11 RGZ3</v>
      </c>
      <c r="F151" s="19">
        <v>42736</v>
      </c>
      <c r="G151" s="19">
        <v>42736</v>
      </c>
      <c r="H151" s="41" t="s">
        <v>20</v>
      </c>
      <c r="I151" s="41">
        <v>1</v>
      </c>
      <c r="J151" s="41" t="s">
        <v>3558</v>
      </c>
      <c r="K151" s="41">
        <v>17</v>
      </c>
      <c r="L151" s="41"/>
      <c r="M151" s="41" t="s">
        <v>1000</v>
      </c>
      <c r="N151" s="41" t="s">
        <v>2900</v>
      </c>
      <c r="O151" s="49">
        <f t="shared" si="30"/>
        <v>918</v>
      </c>
      <c r="P151" s="43">
        <f t="shared" si="31"/>
        <v>329.61</v>
      </c>
      <c r="Q151" s="58" t="s">
        <v>797</v>
      </c>
      <c r="R151" s="48" t="str">
        <f t="shared" si="36"/>
        <v>(11,'PPUR-11-RGZ3','Poste de Purge n°11 RGZ3','2017-01-01','2017-01-01',NULL,1,),</v>
      </c>
    </row>
    <row r="152" spans="1:18" ht="20.100000000000001" customHeight="1" x14ac:dyDescent="0.25">
      <c r="A152" s="38">
        <v>12</v>
      </c>
      <c r="B152" s="38" t="s">
        <v>631</v>
      </c>
      <c r="C152" s="38">
        <v>14</v>
      </c>
      <c r="D152" s="39" t="str">
        <f t="shared" si="34"/>
        <v>PPUR-12-RGZ3</v>
      </c>
      <c r="E152" s="48" t="str">
        <f t="shared" si="35"/>
        <v>Poste de Purge n°12 RGZ3</v>
      </c>
      <c r="F152" s="19">
        <v>42736</v>
      </c>
      <c r="G152" s="19">
        <v>42736</v>
      </c>
      <c r="H152" s="41" t="s">
        <v>20</v>
      </c>
      <c r="I152" s="41">
        <v>1</v>
      </c>
      <c r="J152" s="41" t="s">
        <v>3558</v>
      </c>
      <c r="K152" s="41">
        <v>17</v>
      </c>
      <c r="L152" s="41"/>
      <c r="M152" s="41" t="s">
        <v>1000</v>
      </c>
      <c r="N152" s="41" t="s">
        <v>2901</v>
      </c>
      <c r="O152" s="49">
        <f t="shared" si="30"/>
        <v>676</v>
      </c>
      <c r="P152" s="43">
        <f t="shared" si="31"/>
        <v>350.08300000000003</v>
      </c>
      <c r="Q152" s="41" t="s">
        <v>754</v>
      </c>
      <c r="R152" s="48" t="str">
        <f t="shared" si="36"/>
        <v>(12,'PPUR-12-RGZ3','Poste de Purge n°12 RGZ3','2017-01-01','2017-01-01',NULL,1,),</v>
      </c>
    </row>
    <row r="153" spans="1:18" ht="20.100000000000001" customHeight="1" x14ac:dyDescent="0.25">
      <c r="A153" s="38">
        <v>13</v>
      </c>
      <c r="B153" s="38" t="s">
        <v>631</v>
      </c>
      <c r="C153" s="38">
        <v>14</v>
      </c>
      <c r="D153" s="39" t="str">
        <f t="shared" si="34"/>
        <v>PPUR-13-RGZ3</v>
      </c>
      <c r="E153" s="48" t="str">
        <f t="shared" si="35"/>
        <v>Poste de Purge n°13 RGZ3</v>
      </c>
      <c r="F153" s="19">
        <v>42736</v>
      </c>
      <c r="G153" s="19">
        <v>42736</v>
      </c>
      <c r="H153" s="41" t="s">
        <v>20</v>
      </c>
      <c r="I153" s="41">
        <v>1</v>
      </c>
      <c r="J153" s="41" t="s">
        <v>3558</v>
      </c>
      <c r="K153" s="41">
        <v>17</v>
      </c>
      <c r="L153" s="41"/>
      <c r="M153" s="41" t="s">
        <v>1000</v>
      </c>
      <c r="N153" s="41" t="s">
        <v>2902</v>
      </c>
      <c r="O153" s="49">
        <f t="shared" si="30"/>
        <v>569</v>
      </c>
      <c r="P153" s="43">
        <f t="shared" si="31"/>
        <v>357.43400000000003</v>
      </c>
      <c r="Q153" s="41" t="s">
        <v>3001</v>
      </c>
      <c r="R153" s="48" t="str">
        <f t="shared" si="36"/>
        <v>(13,'PPUR-13-RGZ3','Poste de Purge n°13 RGZ3','2017-01-01','2017-01-01',NULL,1,),</v>
      </c>
    </row>
    <row r="154" spans="1:18" ht="20.100000000000001" customHeight="1" x14ac:dyDescent="0.25">
      <c r="A154" s="38">
        <v>14</v>
      </c>
      <c r="B154" s="38" t="s">
        <v>631</v>
      </c>
      <c r="C154" s="38">
        <v>14</v>
      </c>
      <c r="D154" s="39" t="str">
        <f t="shared" si="34"/>
        <v>PPUR-14-RGZ3</v>
      </c>
      <c r="E154" s="48" t="str">
        <f t="shared" si="35"/>
        <v>Poste de Purge n°14 RGZ3</v>
      </c>
      <c r="F154" s="19">
        <v>42736</v>
      </c>
      <c r="G154" s="19">
        <v>42736</v>
      </c>
      <c r="H154" s="41" t="s">
        <v>20</v>
      </c>
      <c r="I154" s="41">
        <v>1</v>
      </c>
      <c r="J154" s="41" t="s">
        <v>3558</v>
      </c>
      <c r="K154" s="41">
        <v>17</v>
      </c>
      <c r="L154" s="41"/>
      <c r="M154" s="41" t="s">
        <v>1000</v>
      </c>
      <c r="N154" s="41" t="s">
        <v>2903</v>
      </c>
      <c r="O154" s="49">
        <f t="shared" si="30"/>
        <v>650</v>
      </c>
      <c r="P154" s="43">
        <f t="shared" si="31"/>
        <v>371.95600000000002</v>
      </c>
      <c r="Q154" s="41" t="s">
        <v>755</v>
      </c>
      <c r="R154" s="48" t="str">
        <f t="shared" si="36"/>
        <v>(14,'PPUR-14-RGZ3','Poste de Purge n°14 RGZ3','2017-01-01','2017-01-01',NULL,1,),</v>
      </c>
    </row>
    <row r="155" spans="1:18" ht="20.100000000000001" customHeight="1" x14ac:dyDescent="0.25">
      <c r="A155" s="38">
        <v>15</v>
      </c>
      <c r="B155" s="38" t="s">
        <v>631</v>
      </c>
      <c r="C155" s="38">
        <v>14</v>
      </c>
      <c r="D155" s="39" t="str">
        <f t="shared" si="34"/>
        <v>PPUR-15-RGZ3</v>
      </c>
      <c r="E155" s="48" t="str">
        <f t="shared" si="35"/>
        <v>Poste de Purge n°15 RGZ3</v>
      </c>
      <c r="F155" s="19">
        <v>43101</v>
      </c>
      <c r="G155" s="19">
        <v>43101</v>
      </c>
      <c r="H155" s="41" t="s">
        <v>20</v>
      </c>
      <c r="I155" s="41">
        <v>1</v>
      </c>
      <c r="J155" s="41" t="s">
        <v>3558</v>
      </c>
      <c r="K155" s="41">
        <v>17</v>
      </c>
      <c r="L155" s="41"/>
      <c r="M155" s="41" t="s">
        <v>1000</v>
      </c>
      <c r="N155" s="41" t="s">
        <v>2904</v>
      </c>
      <c r="O155" s="49">
        <f t="shared" si="30"/>
        <v>499</v>
      </c>
      <c r="P155" s="43">
        <f t="shared" si="31"/>
        <v>393.39499999999998</v>
      </c>
      <c r="Q155" s="41" t="s">
        <v>3002</v>
      </c>
      <c r="R155" s="48" t="str">
        <f t="shared" si="36"/>
        <v>(15,'PPUR-15-RGZ3','Poste de Purge n°15 RGZ3','2018-01-01','2018-01-01',NULL,1,),</v>
      </c>
    </row>
    <row r="156" spans="1:18" ht="20.100000000000001" customHeight="1" x14ac:dyDescent="0.25">
      <c r="A156" s="38">
        <v>16</v>
      </c>
      <c r="B156" s="38" t="s">
        <v>631</v>
      </c>
      <c r="C156" s="38">
        <v>14</v>
      </c>
      <c r="D156" s="39" t="str">
        <f t="shared" si="34"/>
        <v>PPUR-16-RGZ3</v>
      </c>
      <c r="E156" s="48" t="str">
        <f t="shared" si="35"/>
        <v>Poste de Purge n°16 RGZ3</v>
      </c>
      <c r="F156" s="19">
        <v>43101</v>
      </c>
      <c r="G156" s="19">
        <v>43101</v>
      </c>
      <c r="H156" s="41" t="s">
        <v>20</v>
      </c>
      <c r="I156" s="41">
        <v>1</v>
      </c>
      <c r="J156" s="41" t="s">
        <v>3558</v>
      </c>
      <c r="K156" s="41">
        <v>17</v>
      </c>
      <c r="L156" s="41"/>
      <c r="M156" s="41" t="s">
        <v>1000</v>
      </c>
      <c r="N156" s="41" t="s">
        <v>2905</v>
      </c>
      <c r="O156" s="49">
        <f t="shared" si="30"/>
        <v>114.22</v>
      </c>
      <c r="P156" s="43">
        <f t="shared" si="31"/>
        <v>423.98700000000002</v>
      </c>
      <c r="Q156" s="41" t="s">
        <v>1746</v>
      </c>
      <c r="R156" s="48" t="str">
        <f t="shared" si="36"/>
        <v>(16,'PPUR-16-RGZ3','Poste de Purge n°16 RGZ3','2018-01-01','2018-01-01',NULL,1,),</v>
      </c>
    </row>
    <row r="157" spans="1:18" ht="20.100000000000001" customHeight="1" x14ac:dyDescent="0.25">
      <c r="A157" s="38">
        <v>17</v>
      </c>
      <c r="B157" s="38" t="s">
        <v>631</v>
      </c>
      <c r="C157" s="38">
        <v>14</v>
      </c>
      <c r="D157" s="39" t="str">
        <f t="shared" si="34"/>
        <v>PPUR-17-RGZ3</v>
      </c>
      <c r="E157" s="48" t="str">
        <f t="shared" si="35"/>
        <v>Poste de Purge n°17 RGZ3</v>
      </c>
      <c r="F157" s="19">
        <v>43101</v>
      </c>
      <c r="G157" s="19">
        <v>43101</v>
      </c>
      <c r="H157" s="41" t="s">
        <v>20</v>
      </c>
      <c r="I157" s="41">
        <v>1</v>
      </c>
      <c r="J157" s="41" t="s">
        <v>3558</v>
      </c>
      <c r="K157" s="41">
        <v>17</v>
      </c>
      <c r="L157" s="41"/>
      <c r="M157" s="41" t="s">
        <v>1000</v>
      </c>
      <c r="N157" s="41" t="s">
        <v>2906</v>
      </c>
      <c r="O157" s="49">
        <f t="shared" si="30"/>
        <v>234.6</v>
      </c>
      <c r="P157" s="43">
        <f t="shared" si="31"/>
        <v>454.24599999999998</v>
      </c>
      <c r="Q157" s="41" t="s">
        <v>3003</v>
      </c>
      <c r="R157" s="48" t="str">
        <f t="shared" si="36"/>
        <v>(17,'PPUR-17-RGZ3','Poste de Purge n°17 RGZ3','2018-01-01','2018-01-01',NULL,1,),</v>
      </c>
    </row>
    <row r="158" spans="1:18" ht="20.100000000000001" customHeight="1" x14ac:dyDescent="0.25">
      <c r="A158" s="38">
        <v>18</v>
      </c>
      <c r="B158" s="38" t="s">
        <v>631</v>
      </c>
      <c r="C158" s="38">
        <v>14</v>
      </c>
      <c r="D158" s="39" t="str">
        <f t="shared" si="34"/>
        <v>PPUR-18-RGZ3</v>
      </c>
      <c r="E158" s="48" t="str">
        <f t="shared" si="35"/>
        <v>Poste de Purge n°18 RGZ3</v>
      </c>
      <c r="F158" s="19">
        <v>43101</v>
      </c>
      <c r="G158" s="19">
        <v>43101</v>
      </c>
      <c r="H158" s="41" t="s">
        <v>20</v>
      </c>
      <c r="I158" s="41">
        <v>1</v>
      </c>
      <c r="J158" s="41" t="s">
        <v>3558</v>
      </c>
      <c r="K158" s="41">
        <v>17</v>
      </c>
      <c r="L158" s="41"/>
      <c r="M158" s="41" t="s">
        <v>1000</v>
      </c>
      <c r="N158" s="41" t="s">
        <v>2907</v>
      </c>
      <c r="O158" s="49">
        <f t="shared" si="30"/>
        <v>113.54</v>
      </c>
      <c r="P158" s="43">
        <f t="shared" si="31"/>
        <v>460.54199999999997</v>
      </c>
      <c r="Q158" s="41" t="s">
        <v>1748</v>
      </c>
      <c r="R158" s="48" t="str">
        <f t="shared" si="36"/>
        <v>(18,'PPUR-18-RGZ3','Poste de Purge n°18 RGZ3','2018-01-01','2018-01-01',NULL,1,),</v>
      </c>
    </row>
    <row r="159" spans="1:18" ht="20.100000000000001" customHeight="1" x14ac:dyDescent="0.25">
      <c r="A159" s="38">
        <v>19</v>
      </c>
      <c r="B159" s="38" t="s">
        <v>631</v>
      </c>
      <c r="C159" s="38">
        <v>14</v>
      </c>
      <c r="D159" s="39" t="str">
        <f t="shared" si="34"/>
        <v>PPUR-19-RGZ3</v>
      </c>
      <c r="E159" s="48" t="str">
        <f t="shared" si="35"/>
        <v>Poste de Purge n°19 RGZ3</v>
      </c>
      <c r="F159" s="19">
        <v>43101</v>
      </c>
      <c r="G159" s="19">
        <v>43101</v>
      </c>
      <c r="H159" s="41" t="s">
        <v>20</v>
      </c>
      <c r="I159" s="41">
        <v>1</v>
      </c>
      <c r="J159" s="41" t="s">
        <v>3558</v>
      </c>
      <c r="K159" s="41">
        <v>17</v>
      </c>
      <c r="L159" s="41"/>
      <c r="M159" s="41" t="s">
        <v>1000</v>
      </c>
      <c r="N159" s="41" t="s">
        <v>2908</v>
      </c>
      <c r="O159" s="49">
        <f t="shared" si="30"/>
        <v>13.66</v>
      </c>
      <c r="P159" s="43">
        <f t="shared" si="31"/>
        <v>504.18799999999999</v>
      </c>
      <c r="Q159" s="41" t="s">
        <v>3004</v>
      </c>
      <c r="R159" s="48" t="str">
        <f t="shared" si="36"/>
        <v>(19,'PPUR-19-RGZ3','Poste de Purge n°19 RGZ3','2018-01-01','2018-01-01',NULL,1,),</v>
      </c>
    </row>
    <row r="160" spans="1:18" ht="20.100000000000001" customHeight="1" x14ac:dyDescent="0.25">
      <c r="A160" s="38">
        <v>1</v>
      </c>
      <c r="B160" s="38" t="s">
        <v>642</v>
      </c>
      <c r="C160" s="38">
        <v>15</v>
      </c>
      <c r="D160" s="39" t="str">
        <f t="shared" si="34"/>
        <v>PPUR-01-GZ4</v>
      </c>
      <c r="E160" s="48" t="str">
        <f t="shared" si="35"/>
        <v>Poste de Purge n°01 GZ4</v>
      </c>
      <c r="F160" s="19">
        <v>39838</v>
      </c>
      <c r="G160" s="19">
        <v>39838</v>
      </c>
      <c r="H160" s="41" t="s">
        <v>20</v>
      </c>
      <c r="I160" s="41">
        <v>1</v>
      </c>
      <c r="J160" s="41" t="s">
        <v>3558</v>
      </c>
      <c r="K160" s="41">
        <v>17</v>
      </c>
      <c r="L160" s="41"/>
      <c r="M160" s="41" t="s">
        <v>642</v>
      </c>
      <c r="N160" s="41" t="s">
        <v>2990</v>
      </c>
      <c r="O160" s="49">
        <f t="shared" ref="O160:O166" si="37">VALUE(RIGHT(N160,LEN(N160)-SEARCH("/",N160)))</f>
        <v>851.7</v>
      </c>
      <c r="P160" s="43">
        <f t="shared" ref="P160:P166" si="38">VALUE(SUBSTITUTE(LEFT(N160,SEARCH("/",N160)-1),"+",","))</f>
        <v>74</v>
      </c>
      <c r="Q160" s="41" t="s">
        <v>791</v>
      </c>
      <c r="R160" s="48" t="str">
        <f t="shared" si="36"/>
        <v>(1,'PPUR-01-GZ4','Poste de Purge n°01 GZ4','2009-01-25','2009-01-25',NULL,1,),</v>
      </c>
    </row>
    <row r="161" spans="1:18" ht="20.100000000000001" customHeight="1" x14ac:dyDescent="0.25">
      <c r="A161" s="38">
        <v>2</v>
      </c>
      <c r="B161" s="38" t="s">
        <v>642</v>
      </c>
      <c r="C161" s="38">
        <v>15</v>
      </c>
      <c r="D161" s="39" t="str">
        <f t="shared" si="34"/>
        <v>PPUR-02-GZ4</v>
      </c>
      <c r="E161" s="48" t="str">
        <f t="shared" si="35"/>
        <v>Poste de Purge n°02 GZ4</v>
      </c>
      <c r="F161" s="19">
        <v>39838</v>
      </c>
      <c r="G161" s="19">
        <v>39838</v>
      </c>
      <c r="H161" s="41" t="s">
        <v>20</v>
      </c>
      <c r="I161" s="41">
        <v>1</v>
      </c>
      <c r="J161" s="41" t="s">
        <v>3558</v>
      </c>
      <c r="K161" s="41">
        <v>17</v>
      </c>
      <c r="L161" s="41"/>
      <c r="M161" s="41" t="s">
        <v>642</v>
      </c>
      <c r="N161" s="41" t="s">
        <v>2989</v>
      </c>
      <c r="O161" s="49">
        <f t="shared" si="37"/>
        <v>1047.5999999999999</v>
      </c>
      <c r="P161" s="43">
        <f t="shared" si="38"/>
        <v>143.69999999999999</v>
      </c>
      <c r="Q161" s="41" t="s">
        <v>1937</v>
      </c>
      <c r="R161" s="48" t="str">
        <f t="shared" ref="R161:R166" si="39">CONCATENATE("(",A161,",'",D161,"','",E161,"','",TEXT(F161,"aaaa-mm-jj"),"','",TEXT(G161,"aaaa-mm-jj"),"',",H161,",",I161,",",L161,"),")</f>
        <v>(2,'PPUR-02-GZ4','Poste de Purge n°02 GZ4','2009-01-25','2009-01-25',NULL,1,),</v>
      </c>
    </row>
    <row r="162" spans="1:18" ht="20.100000000000001" customHeight="1" x14ac:dyDescent="0.25">
      <c r="A162" s="38">
        <v>3</v>
      </c>
      <c r="B162" s="38" t="s">
        <v>642</v>
      </c>
      <c r="C162" s="38">
        <v>15</v>
      </c>
      <c r="D162" s="39" t="str">
        <f t="shared" si="34"/>
        <v>PPUR-03-GZ4</v>
      </c>
      <c r="E162" s="48" t="str">
        <f t="shared" si="35"/>
        <v>Poste de Purge n°03 GZ4</v>
      </c>
      <c r="F162" s="19">
        <v>39838</v>
      </c>
      <c r="G162" s="19">
        <v>39838</v>
      </c>
      <c r="H162" s="41" t="s">
        <v>20</v>
      </c>
      <c r="I162" s="41">
        <v>1</v>
      </c>
      <c r="J162" s="41" t="s">
        <v>3558</v>
      </c>
      <c r="K162" s="41">
        <v>17</v>
      </c>
      <c r="L162" s="41"/>
      <c r="M162" s="41" t="s">
        <v>642</v>
      </c>
      <c r="N162" s="41" t="s">
        <v>2980</v>
      </c>
      <c r="O162" s="49">
        <f t="shared" si="37"/>
        <v>969</v>
      </c>
      <c r="P162" s="43">
        <f t="shared" si="38"/>
        <v>224.9</v>
      </c>
      <c r="Q162" s="41" t="s">
        <v>2983</v>
      </c>
      <c r="R162" s="48" t="str">
        <f t="shared" si="39"/>
        <v>(3,'PPUR-03-GZ4','Poste de Purge n°03 GZ4','2009-01-25','2009-01-25',NULL,1,),</v>
      </c>
    </row>
    <row r="163" spans="1:18" ht="20.100000000000001" customHeight="1" x14ac:dyDescent="0.25">
      <c r="A163" s="38">
        <v>4</v>
      </c>
      <c r="B163" s="38" t="s">
        <v>642</v>
      </c>
      <c r="C163" s="38">
        <v>15</v>
      </c>
      <c r="D163" s="39" t="str">
        <f t="shared" ref="D163:D166" si="40">CONCATENATE("PPUR-",TEXT(A163,"00"),"-",M163)</f>
        <v>PPUR-04-GZ4</v>
      </c>
      <c r="E163" s="48" t="str">
        <f t="shared" ref="E163:E166" si="41">CONCATENATE("Poste de Purge n°",TEXT(A163,"00")," ",M163)</f>
        <v>Poste de Purge n°04 GZ4</v>
      </c>
      <c r="F163" s="19">
        <v>39838</v>
      </c>
      <c r="G163" s="19">
        <v>39838</v>
      </c>
      <c r="H163" s="41" t="s">
        <v>20</v>
      </c>
      <c r="I163" s="41">
        <v>1</v>
      </c>
      <c r="J163" s="41" t="s">
        <v>3558</v>
      </c>
      <c r="K163" s="41">
        <v>17</v>
      </c>
      <c r="L163" s="41"/>
      <c r="M163" s="41" t="s">
        <v>642</v>
      </c>
      <c r="N163" s="41" t="s">
        <v>2981</v>
      </c>
      <c r="O163" s="49">
        <f t="shared" si="37"/>
        <v>1287</v>
      </c>
      <c r="P163" s="43">
        <f t="shared" si="38"/>
        <v>297</v>
      </c>
      <c r="Q163" s="41" t="s">
        <v>1743</v>
      </c>
      <c r="R163" s="48" t="str">
        <f t="shared" si="39"/>
        <v>(4,'PPUR-04-GZ4','Poste de Purge n°04 GZ4','2009-01-25','2009-01-25',NULL,1,),</v>
      </c>
    </row>
    <row r="164" spans="1:18" ht="20.100000000000001" customHeight="1" x14ac:dyDescent="0.25">
      <c r="A164" s="38">
        <v>5</v>
      </c>
      <c r="B164" s="38" t="s">
        <v>642</v>
      </c>
      <c r="C164" s="38">
        <v>15</v>
      </c>
      <c r="D164" s="39" t="str">
        <f t="shared" si="40"/>
        <v>PPUR-05-GZ4</v>
      </c>
      <c r="E164" s="48" t="str">
        <f t="shared" si="41"/>
        <v>Poste de Purge n°05 GZ4</v>
      </c>
      <c r="F164" s="19">
        <v>39838</v>
      </c>
      <c r="G164" s="19">
        <v>39838</v>
      </c>
      <c r="H164" s="41" t="s">
        <v>20</v>
      </c>
      <c r="I164" s="41">
        <v>1</v>
      </c>
      <c r="J164" s="41" t="s">
        <v>3558</v>
      </c>
      <c r="K164" s="41">
        <v>17</v>
      </c>
      <c r="L164" s="41"/>
      <c r="M164" s="41" t="s">
        <v>642</v>
      </c>
      <c r="N164" s="41" t="s">
        <v>2987</v>
      </c>
      <c r="O164" s="49">
        <f t="shared" si="37"/>
        <v>498.4</v>
      </c>
      <c r="P164" s="43">
        <f t="shared" si="38"/>
        <v>399.68299999999999</v>
      </c>
      <c r="Q164" s="41" t="s">
        <v>2984</v>
      </c>
      <c r="R164" s="48" t="str">
        <f t="shared" si="39"/>
        <v>(5,'PPUR-05-GZ4','Poste de Purge n°05 GZ4','2009-01-25','2009-01-25',NULL,1,),</v>
      </c>
    </row>
    <row r="165" spans="1:18" ht="20.100000000000001" customHeight="1" x14ac:dyDescent="0.25">
      <c r="A165" s="38">
        <v>6</v>
      </c>
      <c r="B165" s="38" t="s">
        <v>642</v>
      </c>
      <c r="C165" s="38">
        <v>15</v>
      </c>
      <c r="D165" s="39" t="str">
        <f t="shared" si="40"/>
        <v>PPUR-06-GZ4</v>
      </c>
      <c r="E165" s="48" t="str">
        <f t="shared" si="41"/>
        <v>Poste de Purge n°06 GZ4</v>
      </c>
      <c r="F165" s="19">
        <v>39838</v>
      </c>
      <c r="G165" s="19">
        <v>39838</v>
      </c>
      <c r="H165" s="41" t="s">
        <v>20</v>
      </c>
      <c r="I165" s="41">
        <v>1</v>
      </c>
      <c r="J165" s="41" t="s">
        <v>3558</v>
      </c>
      <c r="K165" s="41">
        <v>17</v>
      </c>
      <c r="L165" s="41"/>
      <c r="M165" s="41" t="s">
        <v>642</v>
      </c>
      <c r="N165" s="41" t="s">
        <v>2982</v>
      </c>
      <c r="O165" s="49">
        <f t="shared" si="37"/>
        <v>61</v>
      </c>
      <c r="P165" s="43">
        <f t="shared" si="38"/>
        <v>503.57799999999997</v>
      </c>
      <c r="Q165" s="41" t="s">
        <v>2985</v>
      </c>
      <c r="R165" s="48" t="str">
        <f t="shared" si="39"/>
        <v>(6,'PPUR-06-GZ4','Poste de Purge n°06 GZ4','2009-01-25','2009-01-25',NULL,1,),</v>
      </c>
    </row>
    <row r="166" spans="1:18" ht="20.100000000000001" customHeight="1" x14ac:dyDescent="0.25">
      <c r="A166" s="38">
        <v>7</v>
      </c>
      <c r="B166" s="38" t="s">
        <v>642</v>
      </c>
      <c r="C166" s="38">
        <v>15</v>
      </c>
      <c r="D166" s="39" t="str">
        <f t="shared" si="40"/>
        <v>PPUR-07-GZ4</v>
      </c>
      <c r="E166" s="48" t="str">
        <f t="shared" si="41"/>
        <v>Poste de Purge n°07 GZ4</v>
      </c>
      <c r="F166" s="19">
        <v>39838</v>
      </c>
      <c r="G166" s="19">
        <v>39838</v>
      </c>
      <c r="H166" s="41" t="s">
        <v>20</v>
      </c>
      <c r="I166" s="41">
        <v>1</v>
      </c>
      <c r="J166" s="41" t="s">
        <v>3558</v>
      </c>
      <c r="K166" s="41">
        <v>17</v>
      </c>
      <c r="L166" s="41"/>
      <c r="M166" s="41" t="s">
        <v>642</v>
      </c>
      <c r="N166" s="41" t="s">
        <v>2988</v>
      </c>
      <c r="O166" s="49">
        <f t="shared" si="37"/>
        <v>114.54</v>
      </c>
      <c r="P166" s="43">
        <f t="shared" si="38"/>
        <v>55.4</v>
      </c>
      <c r="Q166" s="41" t="s">
        <v>2986</v>
      </c>
      <c r="R166" s="48" t="str">
        <f t="shared" si="39"/>
        <v>(7,'PPUR-07-GZ4','Poste de Purge n°07 GZ4','2009-01-25','2009-01-25',NULL,1,),</v>
      </c>
    </row>
  </sheetData>
  <autoFilter ref="A2:R166"/>
  <phoneticPr fontId="4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2"/>
  <sheetViews>
    <sheetView topLeftCell="A25" zoomScale="90" zoomScaleNormal="90" workbookViewId="0">
      <selection activeCell="C19" sqref="C19"/>
    </sheetView>
  </sheetViews>
  <sheetFormatPr baseColWidth="10" defaultColWidth="10.85546875" defaultRowHeight="15.75" x14ac:dyDescent="0.25"/>
  <cols>
    <col min="1" max="1" width="5.5703125" style="2" customWidth="1"/>
    <col min="2" max="2" width="13.140625" style="2" bestFit="1" customWidth="1"/>
    <col min="3" max="3" width="40.7109375" style="2" customWidth="1"/>
    <col min="4" max="4" width="20.7109375" style="2" customWidth="1"/>
    <col min="5" max="6" width="15.5703125" style="2" customWidth="1"/>
    <col min="7" max="7" width="17.28515625" style="2" bestFit="1" customWidth="1"/>
    <col min="8" max="9" width="15.5703125" style="2" customWidth="1"/>
    <col min="10" max="10" width="89.5703125" style="2" bestFit="1" customWidth="1"/>
    <col min="11" max="16384" width="10.85546875" style="2"/>
  </cols>
  <sheetData>
    <row r="1" spans="1:10" ht="20.100000000000001" customHeight="1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20.100000000000001" customHeight="1" x14ac:dyDescent="0.25">
      <c r="A2" s="1" t="s">
        <v>9</v>
      </c>
      <c r="B2" s="1" t="s">
        <v>10</v>
      </c>
      <c r="C2" s="1" t="s">
        <v>11</v>
      </c>
      <c r="D2" s="1"/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ht="20.100000000000001" customHeight="1" x14ac:dyDescent="0.25">
      <c r="A3" s="3">
        <v>1</v>
      </c>
      <c r="B3" s="4" t="s">
        <v>18</v>
      </c>
      <c r="C3" s="48" t="s">
        <v>19</v>
      </c>
      <c r="D3" s="48" t="s">
        <v>3455</v>
      </c>
      <c r="E3" s="6">
        <v>38426</v>
      </c>
      <c r="F3" s="6">
        <v>39406</v>
      </c>
      <c r="G3" s="7" t="s">
        <v>20</v>
      </c>
      <c r="H3" s="7">
        <v>1</v>
      </c>
      <c r="I3" s="7">
        <v>10</v>
      </c>
      <c r="J3" s="5" t="str">
        <f>CONCATENATE("(",A3,",'",B3,"','",C3,"','",TEXT(E3,"yyyy-mm-dd"),"','",TEXT(F3,"yyyy-mm-dd"),"',",G3,",",H3,",",I3,"),")</f>
        <v>(1,'ONET-DD','Terminal d\'Exportation Terrestre Deb Deb','yyyy-03-dd','yyyy-11-dd',NULL,1,10),</v>
      </c>
    </row>
    <row r="4" spans="1:10" ht="20.100000000000001" customHeight="1" x14ac:dyDescent="0.25">
      <c r="A4" s="3">
        <v>2</v>
      </c>
      <c r="B4" s="8" t="s">
        <v>21</v>
      </c>
      <c r="C4" s="48" t="s">
        <v>22</v>
      </c>
      <c r="D4" s="48" t="s">
        <v>686</v>
      </c>
      <c r="E4" s="6">
        <v>39609</v>
      </c>
      <c r="F4" s="6">
        <v>40436</v>
      </c>
      <c r="G4" s="7" t="s">
        <v>20</v>
      </c>
      <c r="H4" s="7">
        <v>1</v>
      </c>
      <c r="I4" s="7">
        <v>10</v>
      </c>
      <c r="J4" s="5" t="str">
        <f t="shared" ref="J4:J42" si="0">CONCATENATE("(",A4,",'",B4,"','",C4,"','",TEXT(E4,"yyyy-mm-dd"),"','",TEXT(F4,"yyyy-mm-dd"),"',",G4,",",H4,",",I4,"),")</f>
        <v>(2,'ONET-OSS','Terminal d\'Exportation Terrestre Oued Saf Saf','yyyy-06-dd','yyyy-09-dd',NULL,1,10),</v>
      </c>
    </row>
    <row r="5" spans="1:10" ht="20.100000000000001" customHeight="1" x14ac:dyDescent="0.25">
      <c r="A5" s="3">
        <v>3</v>
      </c>
      <c r="B5" s="8" t="s">
        <v>23</v>
      </c>
      <c r="C5" s="48" t="s">
        <v>24</v>
      </c>
      <c r="D5" s="48" t="s">
        <v>645</v>
      </c>
      <c r="E5" s="6">
        <v>38827</v>
      </c>
      <c r="F5" s="6">
        <v>39792</v>
      </c>
      <c r="G5" s="7" t="s">
        <v>20</v>
      </c>
      <c r="H5" s="7">
        <v>1</v>
      </c>
      <c r="I5" s="7">
        <v>10</v>
      </c>
      <c r="J5" s="5" t="str">
        <f t="shared" si="0"/>
        <v>(3,'ONET-BS','Terminal d\'Exportation Terrestre Beni Saf','yyyy-04-dd','yyyy-12-dd',NULL,1,10),</v>
      </c>
    </row>
    <row r="6" spans="1:10" ht="20.100000000000001" customHeight="1" x14ac:dyDescent="0.25">
      <c r="A6" s="3">
        <v>4</v>
      </c>
      <c r="B6" s="8" t="s">
        <v>25</v>
      </c>
      <c r="C6" s="48" t="s">
        <v>26</v>
      </c>
      <c r="D6" s="48" t="s">
        <v>3456</v>
      </c>
      <c r="E6" s="6">
        <v>40909</v>
      </c>
      <c r="F6" s="6">
        <v>40909</v>
      </c>
      <c r="G6" s="7" t="s">
        <v>20</v>
      </c>
      <c r="H6" s="7">
        <v>1</v>
      </c>
      <c r="I6" s="7">
        <v>10</v>
      </c>
      <c r="J6" s="5" t="str">
        <f t="shared" si="0"/>
        <v>(4,'ONET-KL','Terminal d\'Exportation Terrestre El Kala','yyyy-01-dd','yyyy-01-dd',NULL,1,10),</v>
      </c>
    </row>
    <row r="7" spans="1:10" ht="20.100000000000001" customHeight="1" x14ac:dyDescent="0.25">
      <c r="A7" s="3">
        <v>5</v>
      </c>
      <c r="B7" s="8" t="s">
        <v>27</v>
      </c>
      <c r="C7" s="48" t="s">
        <v>3450</v>
      </c>
      <c r="D7" s="48" t="s">
        <v>530</v>
      </c>
      <c r="E7" s="6">
        <v>28505</v>
      </c>
      <c r="F7" s="6">
        <v>29757</v>
      </c>
      <c r="G7" s="7" t="s">
        <v>20</v>
      </c>
      <c r="H7" s="7">
        <v>1</v>
      </c>
      <c r="I7" s="7">
        <v>10</v>
      </c>
      <c r="J7" s="5" t="str">
        <f t="shared" si="0"/>
        <v>(5,'DZAZW','Terminal d\'Exportation Maritime Arzew','yyyy-01-dd','yyyy-06-dd',NULL,1,10),</v>
      </c>
    </row>
    <row r="8" spans="1:10" ht="20.100000000000001" customHeight="1" x14ac:dyDescent="0.25">
      <c r="A8" s="3">
        <v>6</v>
      </c>
      <c r="B8" s="8" t="s">
        <v>28</v>
      </c>
      <c r="C8" s="48" t="s">
        <v>3451</v>
      </c>
      <c r="D8" s="48" t="s">
        <v>540</v>
      </c>
      <c r="E8" s="6">
        <v>26368</v>
      </c>
      <c r="F8" s="6">
        <v>27662</v>
      </c>
      <c r="G8" s="7" t="s">
        <v>20</v>
      </c>
      <c r="H8" s="7">
        <v>1</v>
      </c>
      <c r="I8" s="7">
        <v>10</v>
      </c>
      <c r="J8" s="5" t="str">
        <f t="shared" si="0"/>
        <v>(6,'DZSKI','Terminal d\'Exportation Maritime Skikda','yyyy-03-dd','yyyy-09-dd',NULL,1,10),</v>
      </c>
    </row>
    <row r="9" spans="1:10" ht="20.100000000000001" customHeight="1" x14ac:dyDescent="0.25">
      <c r="A9" s="3">
        <v>7</v>
      </c>
      <c r="B9" s="8" t="s">
        <v>29</v>
      </c>
      <c r="C9" s="48" t="s">
        <v>3452</v>
      </c>
      <c r="D9" s="48" t="s">
        <v>549</v>
      </c>
      <c r="E9" s="6">
        <v>35927</v>
      </c>
      <c r="F9" s="6">
        <v>36968</v>
      </c>
      <c r="G9" s="7" t="s">
        <v>20</v>
      </c>
      <c r="H9" s="7">
        <v>1</v>
      </c>
      <c r="I9" s="7">
        <v>10</v>
      </c>
      <c r="J9" s="5" t="str">
        <f t="shared" si="0"/>
        <v>(7,'DZBJA','Terminal d\'Exportation Maritime Bejaia','yyyy-05-dd','yyyy-03-dd',NULL,1,10),</v>
      </c>
    </row>
    <row r="10" spans="1:10" ht="20.100000000000001" customHeight="1" x14ac:dyDescent="0.25">
      <c r="A10" s="3">
        <v>8</v>
      </c>
      <c r="B10" s="8" t="s">
        <v>30</v>
      </c>
      <c r="C10" s="48" t="s">
        <v>31</v>
      </c>
      <c r="D10" s="48" t="s">
        <v>3467</v>
      </c>
      <c r="E10" s="6">
        <v>37660</v>
      </c>
      <c r="F10" s="6">
        <v>38640</v>
      </c>
      <c r="G10" s="7" t="s">
        <v>20</v>
      </c>
      <c r="H10" s="7">
        <v>1</v>
      </c>
      <c r="I10" s="7">
        <v>10</v>
      </c>
      <c r="J10" s="5" t="str">
        <f t="shared" si="0"/>
        <v>(8,'CDHL','Terminal de Distribution CDHL','yyyy-02-dd','yyyy-10-dd',NULL,1,10),</v>
      </c>
    </row>
    <row r="11" spans="1:10" ht="20.100000000000001" customHeight="1" x14ac:dyDescent="0.25">
      <c r="A11" s="3">
        <v>9</v>
      </c>
      <c r="B11" s="8" t="s">
        <v>32</v>
      </c>
      <c r="C11" s="48" t="s">
        <v>33</v>
      </c>
      <c r="D11" s="48" t="s">
        <v>3468</v>
      </c>
      <c r="E11" s="6">
        <v>38188</v>
      </c>
      <c r="F11" s="6">
        <v>39051</v>
      </c>
      <c r="G11" s="7" t="s">
        <v>20</v>
      </c>
      <c r="H11" s="7">
        <v>1</v>
      </c>
      <c r="I11" s="7">
        <v>10</v>
      </c>
      <c r="J11" s="5" t="str">
        <f t="shared" si="0"/>
        <v>(9,'CNDG','Terminal de Distribution CNDG','yyyy-07-dd','yyyy-11-dd',NULL,1,10),</v>
      </c>
    </row>
    <row r="12" spans="1:10" ht="20.100000000000001" customHeight="1" x14ac:dyDescent="0.25">
      <c r="A12" s="3">
        <v>10</v>
      </c>
      <c r="B12" s="8" t="s">
        <v>34</v>
      </c>
      <c r="C12" s="5" t="s">
        <v>35</v>
      </c>
      <c r="D12" s="5" t="s">
        <v>3465</v>
      </c>
      <c r="E12" s="6">
        <v>39340</v>
      </c>
      <c r="F12" s="6">
        <v>40047</v>
      </c>
      <c r="G12" s="7" t="s">
        <v>20</v>
      </c>
      <c r="H12" s="7">
        <v>1</v>
      </c>
      <c r="I12" s="7">
        <v>10</v>
      </c>
      <c r="J12" s="5" t="str">
        <f t="shared" si="0"/>
        <v>(10,'DT-MED','Terminal de Distribution Medjedel','yyyy-09-dd','yyyy-08-dd',NULL,1,10),</v>
      </c>
    </row>
    <row r="13" spans="1:10" ht="20.100000000000001" customHeight="1" x14ac:dyDescent="0.25">
      <c r="A13" s="3">
        <v>11</v>
      </c>
      <c r="B13" s="8" t="s">
        <v>36</v>
      </c>
      <c r="C13" s="5" t="s">
        <v>37</v>
      </c>
      <c r="D13" s="5" t="s">
        <v>3457</v>
      </c>
      <c r="E13" s="6">
        <v>39556</v>
      </c>
      <c r="F13" s="6">
        <v>40371</v>
      </c>
      <c r="G13" s="7" t="s">
        <v>20</v>
      </c>
      <c r="H13" s="7">
        <v>1</v>
      </c>
      <c r="I13" s="7">
        <v>10</v>
      </c>
      <c r="J13" s="5" t="str">
        <f t="shared" si="0"/>
        <v>(11,'DT-MSL','Terminal de Distribution M\'Sila','yyyy-04-dd','yyyy-07-dd',NULL,1,10),</v>
      </c>
    </row>
    <row r="14" spans="1:10" ht="20.100000000000001" customHeight="1" x14ac:dyDescent="0.25">
      <c r="A14" s="3">
        <v>12</v>
      </c>
      <c r="B14" s="8" t="s">
        <v>38</v>
      </c>
      <c r="C14" s="5" t="s">
        <v>39</v>
      </c>
      <c r="D14" s="5" t="s">
        <v>556</v>
      </c>
      <c r="E14" s="6">
        <v>40122</v>
      </c>
      <c r="F14" s="6">
        <v>40719</v>
      </c>
      <c r="G14" s="7" t="s">
        <v>20</v>
      </c>
      <c r="H14" s="7">
        <v>1</v>
      </c>
      <c r="I14" s="7">
        <v>10</v>
      </c>
      <c r="J14" s="5" t="str">
        <f t="shared" si="0"/>
        <v>(12,'DT-DJM','Terminal de Distribution SP1 Bis Djamaa','yyyy-11-dd','yyyy-06-dd',NULL,1,10),</v>
      </c>
    </row>
    <row r="15" spans="1:10" ht="20.100000000000001" customHeight="1" x14ac:dyDescent="0.25">
      <c r="A15" s="3">
        <v>13</v>
      </c>
      <c r="B15" s="8" t="s">
        <v>40</v>
      </c>
      <c r="C15" s="5" t="s">
        <v>41</v>
      </c>
      <c r="D15" s="5" t="s">
        <v>3458</v>
      </c>
      <c r="E15" s="6">
        <v>40179</v>
      </c>
      <c r="F15" s="6">
        <v>40179</v>
      </c>
      <c r="G15" s="7" t="s">
        <v>20</v>
      </c>
      <c r="H15" s="7">
        <v>1</v>
      </c>
      <c r="I15" s="7">
        <v>10</v>
      </c>
      <c r="J15" s="5" t="str">
        <f t="shared" si="0"/>
        <v>(13,'DT-MDZ','Terminal de Distribution Mocta Douz','yyyy-01-dd','yyyy-01-dd',NULL,1,10),</v>
      </c>
    </row>
    <row r="16" spans="1:10" ht="20.100000000000001" customHeight="1" x14ac:dyDescent="0.25">
      <c r="A16" s="3">
        <v>14</v>
      </c>
      <c r="B16" s="8" t="s">
        <v>42</v>
      </c>
      <c r="C16" s="5" t="s">
        <v>3470</v>
      </c>
      <c r="D16" s="5" t="s">
        <v>3469</v>
      </c>
      <c r="E16" s="6">
        <v>40249</v>
      </c>
      <c r="F16" s="6">
        <v>41160</v>
      </c>
      <c r="G16" s="7" t="s">
        <v>20</v>
      </c>
      <c r="H16" s="7">
        <v>1</v>
      </c>
      <c r="I16" s="7">
        <v>10</v>
      </c>
      <c r="J16" s="5" t="str">
        <f t="shared" si="0"/>
        <v>(14,'TT-ARH','Terminal de Transfert El Aricha','yyyy-03-dd','yyyy-09-dd',NULL,1,10),</v>
      </c>
    </row>
    <row r="17" spans="1:10" ht="20.100000000000001" customHeight="1" x14ac:dyDescent="0.25">
      <c r="A17" s="3">
        <v>15</v>
      </c>
      <c r="B17" s="8" t="s">
        <v>44</v>
      </c>
      <c r="C17" s="5" t="s">
        <v>45</v>
      </c>
      <c r="D17" s="5" t="s">
        <v>3459</v>
      </c>
      <c r="E17" s="6">
        <v>40683</v>
      </c>
      <c r="F17" s="6">
        <v>41593</v>
      </c>
      <c r="G17" s="7" t="s">
        <v>20</v>
      </c>
      <c r="H17" s="7">
        <v>1</v>
      </c>
      <c r="I17" s="7">
        <v>10</v>
      </c>
      <c r="J17" s="5" t="str">
        <f t="shared" si="0"/>
        <v>(15,'TT-BNM','Terminal de Transfert Beni Mensour','yyyy-05-dd','yyyy-11-dd',NULL,1,10),</v>
      </c>
    </row>
    <row r="18" spans="1:10" ht="20.100000000000001" customHeight="1" x14ac:dyDescent="0.25">
      <c r="A18" s="3">
        <v>16</v>
      </c>
      <c r="B18" s="8" t="s">
        <v>46</v>
      </c>
      <c r="C18" s="5" t="s">
        <v>47</v>
      </c>
      <c r="D18" s="5" t="s">
        <v>624</v>
      </c>
      <c r="E18" s="6">
        <v>37478</v>
      </c>
      <c r="F18" s="6">
        <v>38341</v>
      </c>
      <c r="G18" s="7" t="s">
        <v>20</v>
      </c>
      <c r="H18" s="7">
        <v>1</v>
      </c>
      <c r="I18" s="7">
        <v>10</v>
      </c>
      <c r="J18" s="5" t="str">
        <f t="shared" si="0"/>
        <v>(16,'TT-HMD','Terminal de Transfert Hassi Messaoud','yyyy-08-dd','yyyy-12-dd',NULL,1,10),</v>
      </c>
    </row>
    <row r="19" spans="1:10" ht="20.100000000000001" customHeight="1" x14ac:dyDescent="0.25">
      <c r="A19" s="3">
        <v>17</v>
      </c>
      <c r="B19" s="8" t="s">
        <v>48</v>
      </c>
      <c r="C19" s="5" t="s">
        <v>49</v>
      </c>
      <c r="D19" s="5" t="s">
        <v>584</v>
      </c>
      <c r="E19" s="6">
        <v>38518</v>
      </c>
      <c r="F19" s="6">
        <v>39385</v>
      </c>
      <c r="G19" s="7" t="s">
        <v>20</v>
      </c>
      <c r="H19" s="7">
        <v>1</v>
      </c>
      <c r="I19" s="7">
        <v>10</v>
      </c>
      <c r="J19" s="5" t="str">
        <f t="shared" si="0"/>
        <v>(17,'TT-MSD','Terminal de Transfert Mesdar','yyyy-06-dd','yyyy-10-dd',NULL,1,10),</v>
      </c>
    </row>
    <row r="20" spans="1:10" ht="20.100000000000001" customHeight="1" x14ac:dyDescent="0.25">
      <c r="A20" s="3">
        <v>18</v>
      </c>
      <c r="B20" s="8" t="s">
        <v>50</v>
      </c>
      <c r="C20" s="5" t="s">
        <v>51</v>
      </c>
      <c r="D20" s="5" t="s">
        <v>620</v>
      </c>
      <c r="E20" s="6">
        <v>38982</v>
      </c>
      <c r="F20" s="6">
        <v>39678</v>
      </c>
      <c r="G20" s="7" t="s">
        <v>20</v>
      </c>
      <c r="H20" s="7">
        <v>1</v>
      </c>
      <c r="I20" s="7">
        <v>10</v>
      </c>
      <c r="J20" s="5" t="str">
        <f t="shared" si="0"/>
        <v>(18,'TT-OHT','Terminal de Transfert Ohanet','yyyy-09-dd','yyyy-08-dd',NULL,1,10),</v>
      </c>
    </row>
    <row r="21" spans="1:10" ht="20.100000000000001" customHeight="1" x14ac:dyDescent="0.25">
      <c r="A21" s="3">
        <v>19</v>
      </c>
      <c r="B21" s="8" t="s">
        <v>3480</v>
      </c>
      <c r="C21" s="5" t="s">
        <v>53</v>
      </c>
      <c r="D21" s="5" t="s">
        <v>3483</v>
      </c>
      <c r="E21" s="6">
        <v>39421</v>
      </c>
      <c r="F21" s="6">
        <v>40014</v>
      </c>
      <c r="G21" s="7" t="s">
        <v>20</v>
      </c>
      <c r="H21" s="7">
        <v>1</v>
      </c>
      <c r="I21" s="7">
        <v>10</v>
      </c>
      <c r="J21" s="5" t="str">
        <f t="shared" si="0"/>
        <v>(19,'TT-PK137','Terminal de Transfert PC1/PK137','yyyy-12-dd','yyyy-07-dd',NULL,1,10),</v>
      </c>
    </row>
    <row r="22" spans="1:10" ht="20.100000000000001" customHeight="1" x14ac:dyDescent="0.25">
      <c r="A22" s="3">
        <v>20</v>
      </c>
      <c r="B22" s="8" t="s">
        <v>54</v>
      </c>
      <c r="C22" s="5" t="s">
        <v>55</v>
      </c>
      <c r="D22" s="5" t="s">
        <v>3460</v>
      </c>
      <c r="E22" s="6">
        <v>39525</v>
      </c>
      <c r="F22" s="6">
        <v>40323</v>
      </c>
      <c r="G22" s="7" t="s">
        <v>20</v>
      </c>
      <c r="H22" s="7">
        <v>1</v>
      </c>
      <c r="I22" s="7">
        <v>10</v>
      </c>
      <c r="J22" s="5" t="str">
        <f t="shared" si="0"/>
        <v>(20,'TT-RDN','Terminal de Transfert Rhoude Nouss','yyyy-03-dd','yyyy-05-dd',NULL,1,10),</v>
      </c>
    </row>
    <row r="23" spans="1:10" ht="20.100000000000001" customHeight="1" x14ac:dyDescent="0.25">
      <c r="A23" s="3">
        <v>21</v>
      </c>
      <c r="B23" s="8" t="s">
        <v>56</v>
      </c>
      <c r="C23" s="5" t="s">
        <v>57</v>
      </c>
      <c r="D23" s="5" t="s">
        <v>3466</v>
      </c>
      <c r="E23" s="6">
        <v>34709</v>
      </c>
      <c r="F23" s="6">
        <v>35688</v>
      </c>
      <c r="G23" s="7" t="s">
        <v>20</v>
      </c>
      <c r="H23" s="7">
        <v>1</v>
      </c>
      <c r="I23" s="7">
        <v>10</v>
      </c>
      <c r="J23" s="5" t="str">
        <f t="shared" si="0"/>
        <v>(21,'PT-ALG','Terminal de Pipeline Alger','yyyy-01-dd','yyyy-09-dd',NULL,1,10),</v>
      </c>
    </row>
    <row r="24" spans="1:10" ht="20.100000000000001" customHeight="1" x14ac:dyDescent="0.25">
      <c r="A24" s="3">
        <v>22</v>
      </c>
      <c r="B24" s="8" t="s">
        <v>58</v>
      </c>
      <c r="C24" s="5" t="s">
        <v>59</v>
      </c>
      <c r="D24" s="5" t="s">
        <v>615</v>
      </c>
      <c r="E24" s="6">
        <v>35907</v>
      </c>
      <c r="F24" s="6">
        <v>36860</v>
      </c>
      <c r="G24" s="7" t="s">
        <v>20</v>
      </c>
      <c r="H24" s="7">
        <v>1</v>
      </c>
      <c r="I24" s="7">
        <v>10</v>
      </c>
      <c r="J24" s="5" t="str">
        <f t="shared" si="0"/>
        <v>(22,'PT-ALR','Terminal de Pipeline Alrar','yyyy-04-dd','yyyy-11-dd',NULL,1,10),</v>
      </c>
    </row>
    <row r="25" spans="1:10" ht="20.100000000000001" customHeight="1" x14ac:dyDescent="0.25">
      <c r="A25" s="3">
        <v>23</v>
      </c>
      <c r="B25" s="8" t="s">
        <v>60</v>
      </c>
      <c r="C25" s="5" t="s">
        <v>61</v>
      </c>
      <c r="D25" s="5" t="s">
        <v>530</v>
      </c>
      <c r="E25" s="6">
        <v>29387</v>
      </c>
      <c r="F25" s="6">
        <v>30375</v>
      </c>
      <c r="G25" s="7" t="s">
        <v>20</v>
      </c>
      <c r="H25" s="7">
        <v>1</v>
      </c>
      <c r="I25" s="7">
        <v>10</v>
      </c>
      <c r="J25" s="5" t="str">
        <f t="shared" si="0"/>
        <v>(23,'PR-ARZ','Terminal de Pipeline Arzew','yyyy-06-dd','yyyy-02-dd',NULL,1,10),</v>
      </c>
    </row>
    <row r="26" spans="1:10" ht="20.100000000000001" customHeight="1" x14ac:dyDescent="0.25">
      <c r="A26" s="3">
        <v>24</v>
      </c>
      <c r="B26" s="8" t="s">
        <v>85</v>
      </c>
      <c r="C26" s="5" t="s">
        <v>86</v>
      </c>
      <c r="D26" s="5" t="s">
        <v>540</v>
      </c>
      <c r="E26" s="6">
        <v>27494</v>
      </c>
      <c r="F26" s="6">
        <v>28505</v>
      </c>
      <c r="G26" s="7" t="s">
        <v>20</v>
      </c>
      <c r="H26" s="7">
        <v>1</v>
      </c>
      <c r="I26" s="7">
        <v>10</v>
      </c>
      <c r="J26" s="5" t="str">
        <f t="shared" si="0"/>
        <v>(24,'PT-SKD','Terminal de Pipeline Skikda','yyyy-04-dd','yyyy-01-dd',NULL,1,10),</v>
      </c>
    </row>
    <row r="27" spans="1:10" ht="20.100000000000001" customHeight="1" x14ac:dyDescent="0.25">
      <c r="A27" s="3">
        <v>25</v>
      </c>
      <c r="B27" s="8" t="s">
        <v>62</v>
      </c>
      <c r="C27" s="5" t="s">
        <v>63</v>
      </c>
      <c r="D27" s="5" t="s">
        <v>549</v>
      </c>
      <c r="E27" s="6">
        <v>35662</v>
      </c>
      <c r="F27" s="6">
        <v>36504</v>
      </c>
      <c r="G27" s="7" t="s">
        <v>20</v>
      </c>
      <c r="H27" s="7">
        <v>1</v>
      </c>
      <c r="I27" s="7">
        <v>10</v>
      </c>
      <c r="J27" s="5" t="str">
        <f t="shared" si="0"/>
        <v>(25,'PT-BJA','Terminal de Pipeline Bejaia','yyyy-08-dd','yyyy-12-dd',NULL,1,10),</v>
      </c>
    </row>
    <row r="28" spans="1:10" ht="20.100000000000001" customHeight="1" x14ac:dyDescent="0.25">
      <c r="A28" s="3">
        <v>26</v>
      </c>
      <c r="B28" s="8" t="s">
        <v>64</v>
      </c>
      <c r="C28" s="5" t="s">
        <v>65</v>
      </c>
      <c r="D28" s="5" t="s">
        <v>3471</v>
      </c>
      <c r="E28" s="6">
        <v>36965</v>
      </c>
      <c r="F28" s="6">
        <v>37827</v>
      </c>
      <c r="G28" s="7" t="s">
        <v>20</v>
      </c>
      <c r="H28" s="7">
        <v>1</v>
      </c>
      <c r="I28" s="7">
        <v>10</v>
      </c>
      <c r="J28" s="5" t="str">
        <f t="shared" si="0"/>
        <v>(26,'PT-BRN','Terminal de Pipeline Bir Rebaa North','yyyy-03-dd','yyyy-07-dd',NULL,1,10),</v>
      </c>
    </row>
    <row r="29" spans="1:10" ht="20.100000000000001" customHeight="1" x14ac:dyDescent="0.25">
      <c r="A29" s="3">
        <v>27</v>
      </c>
      <c r="B29" s="8" t="s">
        <v>66</v>
      </c>
      <c r="C29" s="5" t="s">
        <v>3453</v>
      </c>
      <c r="D29" s="5" t="s">
        <v>3461</v>
      </c>
      <c r="E29" s="6">
        <v>35377</v>
      </c>
      <c r="F29" s="6">
        <v>36029</v>
      </c>
      <c r="G29" s="7" t="s">
        <v>20</v>
      </c>
      <c r="H29" s="7">
        <v>1</v>
      </c>
      <c r="I29" s="7">
        <v>10</v>
      </c>
      <c r="J29" s="5" t="str">
        <f t="shared" si="0"/>
        <v>(27,'PT-BMN','Terminal de Pipeline Bordj Menaiel','yyyy-11-dd','yyyy-08-dd',NULL,1,10),</v>
      </c>
    </row>
    <row r="30" spans="1:10" ht="20.100000000000001" customHeight="1" x14ac:dyDescent="0.25">
      <c r="A30" s="3">
        <v>28</v>
      </c>
      <c r="B30" s="8" t="s">
        <v>67</v>
      </c>
      <c r="C30" s="5" t="s">
        <v>68</v>
      </c>
      <c r="D30" s="5" t="s">
        <v>3462</v>
      </c>
      <c r="E30" s="6">
        <v>36658</v>
      </c>
      <c r="F30" s="6">
        <v>37547</v>
      </c>
      <c r="G30" s="7" t="s">
        <v>20</v>
      </c>
      <c r="H30" s="7">
        <v>1</v>
      </c>
      <c r="I30" s="7">
        <v>10</v>
      </c>
      <c r="J30" s="5" t="str">
        <f t="shared" si="0"/>
        <v>(28,'PT-BRM','Terminal de Pipeline El Borma','yyyy-05-dd','yyyy-10-dd',NULL,1,10),</v>
      </c>
    </row>
    <row r="31" spans="1:10" ht="20.100000000000001" customHeight="1" x14ac:dyDescent="0.25">
      <c r="A31" s="3">
        <v>29</v>
      </c>
      <c r="B31" s="8" t="s">
        <v>69</v>
      </c>
      <c r="C31" s="5" t="s">
        <v>70</v>
      </c>
      <c r="D31" s="5" t="s">
        <v>621</v>
      </c>
      <c r="E31" s="6">
        <v>37869</v>
      </c>
      <c r="F31" s="6">
        <v>38523</v>
      </c>
      <c r="G31" s="7" t="s">
        <v>20</v>
      </c>
      <c r="H31" s="7">
        <v>1</v>
      </c>
      <c r="I31" s="7">
        <v>10</v>
      </c>
      <c r="J31" s="5" t="str">
        <f t="shared" si="0"/>
        <v>(29,'PT-GST','Terminal de Pipeline Gassi Touil','yyyy-09-dd','yyyy-06-dd',NULL,1,10),</v>
      </c>
    </row>
    <row r="32" spans="1:10" ht="20.100000000000001" customHeight="1" x14ac:dyDescent="0.25">
      <c r="A32" s="3">
        <v>30</v>
      </c>
      <c r="B32" s="8" t="s">
        <v>71</v>
      </c>
      <c r="C32" s="5" t="s">
        <v>72</v>
      </c>
      <c r="D32" s="5" t="s">
        <v>589</v>
      </c>
      <c r="E32" s="6">
        <v>38035</v>
      </c>
      <c r="F32" s="6">
        <v>38837</v>
      </c>
      <c r="G32" s="7" t="s">
        <v>20</v>
      </c>
      <c r="H32" s="7">
        <v>1</v>
      </c>
      <c r="I32" s="7">
        <v>10</v>
      </c>
      <c r="J32" s="5" t="str">
        <f t="shared" si="0"/>
        <v>(30,'PT-HBK','Terminal de Pipeline Hassi Berkine','yyyy-02-dd','yyyy-04-dd',NULL,1,10),</v>
      </c>
    </row>
    <row r="33" spans="1:10" ht="20.100000000000001" customHeight="1" x14ac:dyDescent="0.25">
      <c r="A33" s="3">
        <v>31</v>
      </c>
      <c r="B33" s="8" t="s">
        <v>73</v>
      </c>
      <c r="C33" s="5" t="s">
        <v>3454</v>
      </c>
      <c r="D33" s="5" t="s">
        <v>3463</v>
      </c>
      <c r="E33" s="6">
        <v>38555</v>
      </c>
      <c r="F33" s="6">
        <v>39340</v>
      </c>
      <c r="G33" s="7" t="s">
        <v>20</v>
      </c>
      <c r="H33" s="7">
        <v>1</v>
      </c>
      <c r="I33" s="7">
        <v>10</v>
      </c>
      <c r="J33" s="5" t="str">
        <f t="shared" si="0"/>
        <v>(31,'PT-HTJ','Terminal de Pipeline Hassi Tedjirane','yyyy-07-dd','yyyy-09-dd',NULL,1,10),</v>
      </c>
    </row>
    <row r="34" spans="1:10" ht="20.100000000000001" customHeight="1" x14ac:dyDescent="0.25">
      <c r="A34" s="3">
        <v>32</v>
      </c>
      <c r="B34" s="8" t="s">
        <v>75</v>
      </c>
      <c r="C34" s="5" t="s">
        <v>76</v>
      </c>
      <c r="D34" s="5" t="s">
        <v>568</v>
      </c>
      <c r="E34" s="6">
        <v>37537</v>
      </c>
      <c r="F34" s="6">
        <v>38224</v>
      </c>
      <c r="G34" s="7" t="s">
        <v>20</v>
      </c>
      <c r="H34" s="7">
        <v>1</v>
      </c>
      <c r="I34" s="7">
        <v>10</v>
      </c>
      <c r="J34" s="5" t="str">
        <f t="shared" si="0"/>
        <v>(32,'PT-NMS','Terminal de Pipeline In Amenas','yyyy-10-dd','yyyy-08-dd',NULL,1,10),</v>
      </c>
    </row>
    <row r="35" spans="1:10" ht="20.100000000000001" customHeight="1" x14ac:dyDescent="0.25">
      <c r="A35" s="3">
        <v>33</v>
      </c>
      <c r="B35" s="8" t="s">
        <v>77</v>
      </c>
      <c r="C35" s="5" t="s">
        <v>78</v>
      </c>
      <c r="D35" s="5" t="s">
        <v>3464</v>
      </c>
      <c r="E35" s="6">
        <v>39066</v>
      </c>
      <c r="F35" s="6">
        <v>39772</v>
      </c>
      <c r="G35" s="7" t="s">
        <v>20</v>
      </c>
      <c r="H35" s="7">
        <v>1</v>
      </c>
      <c r="I35" s="7">
        <v>10</v>
      </c>
      <c r="J35" s="5" t="str">
        <f t="shared" si="0"/>
        <v>(33,'PT-NSL','Terminal de Pipeline In Salah','yyyy-12-dd','yyyy-11-dd',NULL,1,10),</v>
      </c>
    </row>
    <row r="36" spans="1:10" ht="20.100000000000001" customHeight="1" x14ac:dyDescent="0.25">
      <c r="A36" s="3">
        <v>34</v>
      </c>
      <c r="B36" s="8" t="s">
        <v>79</v>
      </c>
      <c r="C36" s="5" t="s">
        <v>80</v>
      </c>
      <c r="D36" s="5" t="s">
        <v>3472</v>
      </c>
      <c r="E36" s="6">
        <v>35509</v>
      </c>
      <c r="F36" s="6">
        <v>36290</v>
      </c>
      <c r="G36" s="7" t="s">
        <v>20</v>
      </c>
      <c r="H36" s="7">
        <v>1</v>
      </c>
      <c r="I36" s="7">
        <v>10</v>
      </c>
      <c r="J36" s="5" t="str">
        <f t="shared" si="0"/>
        <v>(34,'PT-ISR','Terminal de Pipeline Isser','yyyy-03-dd','yyyy-05-dd',NULL,1,10),</v>
      </c>
    </row>
    <row r="37" spans="1:10" ht="20.100000000000001" customHeight="1" x14ac:dyDescent="0.25">
      <c r="A37" s="3">
        <v>35</v>
      </c>
      <c r="B37" s="8" t="s">
        <v>81</v>
      </c>
      <c r="C37" s="5" t="s">
        <v>82</v>
      </c>
      <c r="D37" s="5" t="s">
        <v>676</v>
      </c>
      <c r="E37" s="6">
        <v>40341</v>
      </c>
      <c r="F37" s="6">
        <v>41212</v>
      </c>
      <c r="G37" s="7" t="s">
        <v>20</v>
      </c>
      <c r="H37" s="7">
        <v>1</v>
      </c>
      <c r="I37" s="7">
        <v>10</v>
      </c>
      <c r="J37" s="5" t="str">
        <f t="shared" si="0"/>
        <v>(35,'PT-RGN','Terminal de Pipeline Reggane','yyyy-06-dd','yyyy-10-dd',NULL,1,10),</v>
      </c>
    </row>
    <row r="38" spans="1:10" ht="20.100000000000001" customHeight="1" x14ac:dyDescent="0.25">
      <c r="A38" s="3">
        <v>36</v>
      </c>
      <c r="B38" s="8" t="s">
        <v>83</v>
      </c>
      <c r="C38" s="5" t="s">
        <v>84</v>
      </c>
      <c r="D38" s="5" t="s">
        <v>3473</v>
      </c>
      <c r="E38" s="6">
        <v>37152</v>
      </c>
      <c r="F38" s="6">
        <v>37977</v>
      </c>
      <c r="G38" s="7" t="s">
        <v>20</v>
      </c>
      <c r="H38" s="7">
        <v>1</v>
      </c>
      <c r="I38" s="7">
        <v>10</v>
      </c>
      <c r="J38" s="5" t="str">
        <f t="shared" si="0"/>
        <v>(36,'PT-RBL','Terminal de Pipeline Rhoude El Baguel','yyyy-09-dd','yyyy-12-dd',NULL,1,10),</v>
      </c>
    </row>
    <row r="39" spans="1:10" ht="20.100000000000001" customHeight="1" x14ac:dyDescent="0.25">
      <c r="A39" s="3">
        <v>37</v>
      </c>
      <c r="B39" s="8" t="s">
        <v>3479</v>
      </c>
      <c r="C39" s="5" t="s">
        <v>3475</v>
      </c>
      <c r="D39" s="5" t="s">
        <v>3476</v>
      </c>
      <c r="E39" s="6">
        <v>42736</v>
      </c>
      <c r="F39" s="6">
        <v>42736</v>
      </c>
      <c r="G39" s="7" t="s">
        <v>20</v>
      </c>
      <c r="H39" s="7">
        <v>1</v>
      </c>
      <c r="I39" s="7">
        <v>10</v>
      </c>
      <c r="J39" s="5" t="str">
        <f t="shared" si="0"/>
        <v>(37,'PT-KR','Terminal de Pipeline Krechba','yyyy-01-dd','yyyy-01-dd',NULL,1,10),</v>
      </c>
    </row>
    <row r="40" spans="1:10" ht="20.100000000000001" customHeight="1" x14ac:dyDescent="0.25">
      <c r="A40" s="3">
        <v>38</v>
      </c>
      <c r="B40" s="8" t="s">
        <v>3485</v>
      </c>
      <c r="C40" s="5" t="s">
        <v>3478</v>
      </c>
      <c r="D40" s="5" t="s">
        <v>3477</v>
      </c>
      <c r="E40" s="6">
        <v>40909</v>
      </c>
      <c r="F40" s="6">
        <v>40909</v>
      </c>
      <c r="G40" s="7" t="s">
        <v>20</v>
      </c>
      <c r="H40" s="7">
        <v>1</v>
      </c>
      <c r="I40" s="7">
        <v>10</v>
      </c>
      <c r="J40" s="5" t="str">
        <f t="shared" si="0"/>
        <v>(38,'PT-KN','Terminal de Pipeline Kennanda','yyyy-01-dd','yyyy-01-dd',NULL,1,10),</v>
      </c>
    </row>
    <row r="41" spans="1:10" ht="20.100000000000001" customHeight="1" x14ac:dyDescent="0.25">
      <c r="A41" s="3">
        <v>39</v>
      </c>
      <c r="B41" s="8" t="s">
        <v>3484</v>
      </c>
      <c r="C41" s="5" t="s">
        <v>3481</v>
      </c>
      <c r="D41" s="5" t="s">
        <v>3482</v>
      </c>
      <c r="E41" s="6">
        <v>43831</v>
      </c>
      <c r="F41" s="6">
        <v>43831</v>
      </c>
      <c r="G41" s="7" t="s">
        <v>20</v>
      </c>
      <c r="H41" s="7">
        <v>1</v>
      </c>
      <c r="I41" s="7">
        <v>10</v>
      </c>
      <c r="J41" s="5" t="str">
        <f t="shared" si="0"/>
        <v>(39,'PT-PC4GR5','Terminal de Pipeline PC4 GR5','yyyy-01-dd','yyyy-01-dd',NULL,1,10),</v>
      </c>
    </row>
    <row r="42" spans="1:10" ht="20.100000000000001" customHeight="1" x14ac:dyDescent="0.25">
      <c r="A42" s="3">
        <v>40</v>
      </c>
      <c r="B42" s="8" t="s">
        <v>3448</v>
      </c>
      <c r="C42" s="5" t="s">
        <v>3449</v>
      </c>
      <c r="D42" s="5" t="s">
        <v>3474</v>
      </c>
      <c r="E42" s="6">
        <v>43101</v>
      </c>
      <c r="F42" s="6">
        <v>43101</v>
      </c>
      <c r="G42" s="7" t="s">
        <v>20</v>
      </c>
      <c r="H42" s="7">
        <v>1</v>
      </c>
      <c r="I42" s="7">
        <v>10</v>
      </c>
      <c r="J42" s="5" t="str">
        <f t="shared" si="0"/>
        <v>(40,'PT-SC4SGR','Terminal de Pipeline Sougueur','yyyy-01-dd','yyyy-01-dd',NULL,1,10),</v>
      </c>
    </row>
  </sheetData>
  <autoFilter ref="A2:I4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2:E38"/>
  <sheetViews>
    <sheetView workbookViewId="0">
      <selection activeCell="D3" sqref="D3:D38"/>
    </sheetView>
  </sheetViews>
  <sheetFormatPr baseColWidth="10" defaultRowHeight="15" x14ac:dyDescent="0.25"/>
  <cols>
    <col min="2" max="2" width="60.28515625" bestFit="1" customWidth="1"/>
    <col min="3" max="3" width="15" bestFit="1" customWidth="1"/>
    <col min="4" max="4" width="52.42578125" bestFit="1" customWidth="1"/>
    <col min="5" max="5" width="19.85546875" bestFit="1" customWidth="1"/>
  </cols>
  <sheetData>
    <row r="2" spans="2:5" x14ac:dyDescent="0.25">
      <c r="B2" t="s">
        <v>3374</v>
      </c>
      <c r="C2" t="s">
        <v>3375</v>
      </c>
      <c r="D2" t="s">
        <v>3376</v>
      </c>
      <c r="E2" t="s">
        <v>3377</v>
      </c>
    </row>
    <row r="3" spans="2:5" x14ac:dyDescent="0.25">
      <c r="B3" t="s">
        <v>3378</v>
      </c>
      <c r="C3" t="s">
        <v>1015</v>
      </c>
      <c r="D3" t="s">
        <v>3379</v>
      </c>
      <c r="E3" t="s">
        <v>3380</v>
      </c>
    </row>
    <row r="4" spans="2:5" x14ac:dyDescent="0.25">
      <c r="B4" t="s">
        <v>3381</v>
      </c>
      <c r="C4" t="s">
        <v>609</v>
      </c>
      <c r="D4" t="s">
        <v>3382</v>
      </c>
      <c r="E4" t="s">
        <v>3383</v>
      </c>
    </row>
    <row r="5" spans="2:5" x14ac:dyDescent="0.25">
      <c r="B5" t="s">
        <v>3384</v>
      </c>
      <c r="C5" t="s">
        <v>1008</v>
      </c>
      <c r="D5" t="s">
        <v>3385</v>
      </c>
      <c r="E5" t="s">
        <v>3383</v>
      </c>
    </row>
    <row r="6" spans="2:5" x14ac:dyDescent="0.25">
      <c r="B6" t="s">
        <v>3386</v>
      </c>
      <c r="C6" t="s">
        <v>1014</v>
      </c>
      <c r="D6" t="s">
        <v>3387</v>
      </c>
      <c r="E6" t="s">
        <v>3388</v>
      </c>
    </row>
    <row r="7" spans="2:5" x14ac:dyDescent="0.25">
      <c r="B7" t="s">
        <v>3389</v>
      </c>
      <c r="C7" t="s">
        <v>1003</v>
      </c>
      <c r="D7" t="s">
        <v>3390</v>
      </c>
      <c r="E7" t="s">
        <v>3391</v>
      </c>
    </row>
    <row r="8" spans="2:5" x14ac:dyDescent="0.25">
      <c r="B8" t="s">
        <v>3392</v>
      </c>
      <c r="C8" t="s">
        <v>646</v>
      </c>
      <c r="D8" t="s">
        <v>3393</v>
      </c>
      <c r="E8" t="s">
        <v>3394</v>
      </c>
    </row>
    <row r="9" spans="2:5" x14ac:dyDescent="0.25">
      <c r="B9" t="s">
        <v>3395</v>
      </c>
      <c r="C9" t="s">
        <v>1028</v>
      </c>
      <c r="D9" t="s">
        <v>3385</v>
      </c>
      <c r="E9" t="s">
        <v>3396</v>
      </c>
    </row>
    <row r="10" spans="2:5" x14ac:dyDescent="0.25">
      <c r="B10" t="s">
        <v>3397</v>
      </c>
      <c r="C10" t="s">
        <v>653</v>
      </c>
      <c r="D10" t="s">
        <v>3387</v>
      </c>
      <c r="E10" t="s">
        <v>3394</v>
      </c>
    </row>
    <row r="11" spans="2:5" x14ac:dyDescent="0.25">
      <c r="B11" t="s">
        <v>3398</v>
      </c>
      <c r="C11" t="s">
        <v>1020</v>
      </c>
      <c r="D11" t="s">
        <v>3399</v>
      </c>
      <c r="E11" t="s">
        <v>3388</v>
      </c>
    </row>
    <row r="12" spans="2:5" x14ac:dyDescent="0.25">
      <c r="B12" t="s">
        <v>3400</v>
      </c>
      <c r="C12" t="s">
        <v>1018</v>
      </c>
      <c r="D12" t="s">
        <v>3387</v>
      </c>
      <c r="E12" t="s">
        <v>3394</v>
      </c>
    </row>
    <row r="13" spans="2:5" x14ac:dyDescent="0.25">
      <c r="B13" t="s">
        <v>3401</v>
      </c>
      <c r="C13" t="s">
        <v>1022</v>
      </c>
      <c r="D13" t="s">
        <v>3402</v>
      </c>
      <c r="E13" t="s">
        <v>3383</v>
      </c>
    </row>
    <row r="14" spans="2:5" x14ac:dyDescent="0.25">
      <c r="B14" t="s">
        <v>3403</v>
      </c>
      <c r="C14" t="s">
        <v>1029</v>
      </c>
      <c r="D14" t="s">
        <v>3404</v>
      </c>
      <c r="E14" t="s">
        <v>3394</v>
      </c>
    </row>
    <row r="15" spans="2:5" x14ac:dyDescent="0.25">
      <c r="B15" t="s">
        <v>3405</v>
      </c>
      <c r="C15" t="s">
        <v>1016</v>
      </c>
      <c r="D15" t="s">
        <v>3406</v>
      </c>
      <c r="E15" t="s">
        <v>3394</v>
      </c>
    </row>
    <row r="16" spans="2:5" x14ac:dyDescent="0.25">
      <c r="B16" t="s">
        <v>3407</v>
      </c>
      <c r="C16" t="s">
        <v>1007</v>
      </c>
      <c r="D16" t="s">
        <v>3408</v>
      </c>
      <c r="E16" t="s">
        <v>3394</v>
      </c>
    </row>
    <row r="17" spans="2:5" x14ac:dyDescent="0.25">
      <c r="B17" t="s">
        <v>3409</v>
      </c>
      <c r="C17" t="s">
        <v>1009</v>
      </c>
      <c r="D17" t="s">
        <v>3410</v>
      </c>
      <c r="E17" t="s">
        <v>3394</v>
      </c>
    </row>
    <row r="18" spans="2:5" x14ac:dyDescent="0.25">
      <c r="B18" t="s">
        <v>3411</v>
      </c>
      <c r="C18" t="s">
        <v>1030</v>
      </c>
      <c r="D18" t="s">
        <v>3385</v>
      </c>
      <c r="E18" t="s">
        <v>3412</v>
      </c>
    </row>
    <row r="19" spans="2:5" x14ac:dyDescent="0.25">
      <c r="B19" t="s">
        <v>3413</v>
      </c>
      <c r="C19" t="s">
        <v>598</v>
      </c>
      <c r="D19" t="s">
        <v>3414</v>
      </c>
      <c r="E19" t="s">
        <v>3394</v>
      </c>
    </row>
    <row r="20" spans="2:5" x14ac:dyDescent="0.25">
      <c r="B20" t="s">
        <v>3415</v>
      </c>
      <c r="C20" t="s">
        <v>1010</v>
      </c>
      <c r="D20" t="s">
        <v>3399</v>
      </c>
      <c r="E20" t="s">
        <v>3416</v>
      </c>
    </row>
    <row r="21" spans="2:5" x14ac:dyDescent="0.25">
      <c r="B21" t="s">
        <v>3417</v>
      </c>
      <c r="C21" t="s">
        <v>1024</v>
      </c>
      <c r="D21" t="s">
        <v>3418</v>
      </c>
      <c r="E21" t="s">
        <v>3394</v>
      </c>
    </row>
    <row r="22" spans="2:5" x14ac:dyDescent="0.25">
      <c r="B22" t="s">
        <v>3419</v>
      </c>
      <c r="C22" t="s">
        <v>1023</v>
      </c>
      <c r="D22" t="s">
        <v>3387</v>
      </c>
      <c r="E22" t="s">
        <v>3420</v>
      </c>
    </row>
    <row r="23" spans="2:5" x14ac:dyDescent="0.25">
      <c r="B23" t="s">
        <v>3421</v>
      </c>
      <c r="C23" t="s">
        <v>3422</v>
      </c>
      <c r="D23" t="s">
        <v>3423</v>
      </c>
      <c r="E23" t="s">
        <v>3424</v>
      </c>
    </row>
    <row r="24" spans="2:5" x14ac:dyDescent="0.25">
      <c r="B24" t="s">
        <v>3425</v>
      </c>
      <c r="C24" t="s">
        <v>687</v>
      </c>
      <c r="D24" t="s">
        <v>3426</v>
      </c>
      <c r="E24" t="s">
        <v>3427</v>
      </c>
    </row>
    <row r="25" spans="2:5" x14ac:dyDescent="0.25">
      <c r="B25" t="s">
        <v>3428</v>
      </c>
      <c r="C25" t="s">
        <v>612</v>
      </c>
      <c r="D25" t="s">
        <v>3429</v>
      </c>
      <c r="E25" t="s">
        <v>3427</v>
      </c>
    </row>
    <row r="26" spans="2:5" x14ac:dyDescent="0.25">
      <c r="B26" t="s">
        <v>1021</v>
      </c>
      <c r="C26" t="s">
        <v>1021</v>
      </c>
      <c r="D26" t="s">
        <v>3387</v>
      </c>
      <c r="E26" t="s">
        <v>3394</v>
      </c>
    </row>
    <row r="27" spans="2:5" x14ac:dyDescent="0.25">
      <c r="B27" t="s">
        <v>3430</v>
      </c>
      <c r="C27" t="s">
        <v>1011</v>
      </c>
      <c r="D27" t="s">
        <v>3431</v>
      </c>
      <c r="E27" t="s">
        <v>3432</v>
      </c>
    </row>
    <row r="28" spans="2:5" x14ac:dyDescent="0.25">
      <c r="B28" t="s">
        <v>3433</v>
      </c>
      <c r="C28" t="s">
        <v>1012</v>
      </c>
      <c r="D28" t="s">
        <v>3434</v>
      </c>
      <c r="E28" t="s">
        <v>3427</v>
      </c>
    </row>
    <row r="29" spans="2:5" x14ac:dyDescent="0.25">
      <c r="B29" t="s">
        <v>1006</v>
      </c>
      <c r="C29" t="s">
        <v>1006</v>
      </c>
      <c r="D29" t="s">
        <v>3435</v>
      </c>
      <c r="E29" t="s">
        <v>3388</v>
      </c>
    </row>
    <row r="30" spans="2:5" x14ac:dyDescent="0.25">
      <c r="B30" t="s">
        <v>3436</v>
      </c>
      <c r="C30" t="s">
        <v>1017</v>
      </c>
      <c r="D30" t="s">
        <v>3387</v>
      </c>
      <c r="E30" t="s">
        <v>3388</v>
      </c>
    </row>
    <row r="31" spans="2:5" x14ac:dyDescent="0.25">
      <c r="B31" t="s">
        <v>3437</v>
      </c>
      <c r="C31" t="s">
        <v>3437</v>
      </c>
      <c r="D31" t="s">
        <v>3438</v>
      </c>
      <c r="E31" t="s">
        <v>3388</v>
      </c>
    </row>
    <row r="32" spans="2:5" x14ac:dyDescent="0.25">
      <c r="B32" t="s">
        <v>3439</v>
      </c>
      <c r="C32" t="s">
        <v>1013</v>
      </c>
      <c r="D32" t="s">
        <v>3440</v>
      </c>
      <c r="E32" t="s">
        <v>3388</v>
      </c>
    </row>
    <row r="33" spans="2:5" x14ac:dyDescent="0.25">
      <c r="B33" t="s">
        <v>3441</v>
      </c>
      <c r="C33" t="s">
        <v>3441</v>
      </c>
      <c r="D33" t="s">
        <v>3434</v>
      </c>
      <c r="E33" t="s">
        <v>3442</v>
      </c>
    </row>
    <row r="34" spans="2:5" x14ac:dyDescent="0.25">
      <c r="B34" t="s">
        <v>622</v>
      </c>
      <c r="C34" t="s">
        <v>622</v>
      </c>
      <c r="D34" t="s">
        <v>3387</v>
      </c>
      <c r="E34" t="s">
        <v>3394</v>
      </c>
    </row>
    <row r="35" spans="2:5" x14ac:dyDescent="0.25">
      <c r="B35" t="s">
        <v>1031</v>
      </c>
      <c r="C35" t="s">
        <v>1031</v>
      </c>
      <c r="D35" t="s">
        <v>3406</v>
      </c>
      <c r="E35" t="s">
        <v>3394</v>
      </c>
    </row>
    <row r="36" spans="2:5" x14ac:dyDescent="0.25">
      <c r="B36" t="s">
        <v>3443</v>
      </c>
      <c r="C36" t="s">
        <v>550</v>
      </c>
      <c r="D36" t="s">
        <v>3444</v>
      </c>
      <c r="E36" t="s">
        <v>3388</v>
      </c>
    </row>
    <row r="37" spans="2:5" x14ac:dyDescent="0.25">
      <c r="B37" t="s">
        <v>3445</v>
      </c>
      <c r="C37" t="s">
        <v>1026</v>
      </c>
      <c r="D37" t="s">
        <v>3387</v>
      </c>
      <c r="E37" t="s">
        <v>3383</v>
      </c>
    </row>
    <row r="38" spans="2:5" x14ac:dyDescent="0.25">
      <c r="B38" t="s">
        <v>3446</v>
      </c>
      <c r="C38" t="s">
        <v>1025</v>
      </c>
      <c r="D38" t="s">
        <v>3399</v>
      </c>
      <c r="E38" t="s">
        <v>3447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24"/>
  <sheetViews>
    <sheetView topLeftCell="A2" workbookViewId="0">
      <selection activeCell="C12" sqref="C12"/>
    </sheetView>
  </sheetViews>
  <sheetFormatPr baseColWidth="10" defaultColWidth="10.85546875" defaultRowHeight="15.75" x14ac:dyDescent="0.25"/>
  <cols>
    <col min="1" max="1" width="5.5703125" style="2" customWidth="1"/>
    <col min="2" max="2" width="17.7109375" style="2" bestFit="1" customWidth="1"/>
    <col min="3" max="3" width="40.7109375" style="2" customWidth="1"/>
    <col min="4" max="6" width="10.7109375" style="2" customWidth="1"/>
    <col min="7" max="7" width="65.42578125" style="2" bestFit="1" customWidth="1"/>
    <col min="8" max="16384" width="10.85546875" style="2"/>
  </cols>
  <sheetData>
    <row r="1" spans="1:7" ht="20.100000000000001" customHeight="1" x14ac:dyDescent="0.25">
      <c r="A1" s="1" t="s">
        <v>0</v>
      </c>
      <c r="B1" s="1" t="s">
        <v>1</v>
      </c>
      <c r="C1" s="1" t="s">
        <v>2</v>
      </c>
      <c r="D1" s="1" t="s">
        <v>3526</v>
      </c>
      <c r="E1" s="1" t="s">
        <v>6</v>
      </c>
      <c r="F1" s="1" t="s">
        <v>7</v>
      </c>
      <c r="G1" s="1" t="s">
        <v>8</v>
      </c>
    </row>
    <row r="2" spans="1:7" ht="20.100000000000001" customHeight="1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3527</v>
      </c>
    </row>
    <row r="3" spans="1:7" ht="20.100000000000001" customHeight="1" x14ac:dyDescent="0.25">
      <c r="A3" s="3">
        <v>1</v>
      </c>
      <c r="B3" s="4" t="s">
        <v>529</v>
      </c>
      <c r="C3" s="5" t="s">
        <v>3528</v>
      </c>
      <c r="D3" s="23">
        <v>2</v>
      </c>
      <c r="E3" s="23">
        <v>1</v>
      </c>
      <c r="F3" s="7">
        <v>10</v>
      </c>
      <c r="G3" s="5" t="str">
        <f>CONCATENATE("(",A3,",'",B3,"','",C3,"',",D3,",",E3,",",F3,"),")</f>
        <v>(1,'OZ1/OZ2','STC OZ1/OZ2',2,1,10),</v>
      </c>
    </row>
    <row r="4" spans="1:7" ht="20.100000000000001" customHeight="1" x14ac:dyDescent="0.25">
      <c r="A4" s="3">
        <v>2</v>
      </c>
      <c r="B4" s="8" t="s">
        <v>305</v>
      </c>
      <c r="C4" s="5" t="s">
        <v>3529</v>
      </c>
      <c r="D4" s="23">
        <v>2</v>
      </c>
      <c r="E4" s="23">
        <v>1</v>
      </c>
      <c r="F4" s="7">
        <v>10</v>
      </c>
      <c r="G4" s="5" t="str">
        <f t="shared" ref="G4:G24" si="0">CONCATENATE("(",A4,",'",B4,"','",C4,"',",D4,",",E4,",",F4,"),")</f>
        <v>(2,'OK1','STC OK1',2,1,10),</v>
      </c>
    </row>
    <row r="5" spans="1:7" ht="20.100000000000001" customHeight="1" x14ac:dyDescent="0.25">
      <c r="A5" s="3">
        <v>3</v>
      </c>
      <c r="B5" s="8" t="s">
        <v>548</v>
      </c>
      <c r="C5" s="5" t="s">
        <v>3530</v>
      </c>
      <c r="D5" s="23">
        <v>2</v>
      </c>
      <c r="E5" s="23">
        <v>1</v>
      </c>
      <c r="F5" s="7">
        <v>10</v>
      </c>
      <c r="G5" s="5" t="str">
        <f t="shared" si="0"/>
        <v>(3,'OB1/OG1','STC OB1/OG1',2,1,10),</v>
      </c>
    </row>
    <row r="6" spans="1:7" ht="20.100000000000001" customHeight="1" x14ac:dyDescent="0.25">
      <c r="A6" s="3">
        <v>4</v>
      </c>
      <c r="B6" s="8" t="s">
        <v>317</v>
      </c>
      <c r="C6" s="5" t="s">
        <v>3531</v>
      </c>
      <c r="D6" s="23">
        <v>2</v>
      </c>
      <c r="E6" s="23">
        <v>1</v>
      </c>
      <c r="F6" s="7">
        <v>10</v>
      </c>
      <c r="G6" s="5" t="str">
        <f t="shared" si="0"/>
        <v>(4,'OT1','STC OT1',2,1,10),</v>
      </c>
    </row>
    <row r="7" spans="1:7" ht="20.100000000000001" customHeight="1" x14ac:dyDescent="0.25">
      <c r="A7" s="3">
        <v>5</v>
      </c>
      <c r="B7" s="8" t="s">
        <v>319</v>
      </c>
      <c r="C7" s="5" t="s">
        <v>3532</v>
      </c>
      <c r="D7" s="23">
        <v>2</v>
      </c>
      <c r="E7" s="23">
        <v>1</v>
      </c>
      <c r="F7" s="7">
        <v>10</v>
      </c>
      <c r="G7" s="5" t="str">
        <f t="shared" si="0"/>
        <v>(5,'OH1','STC OH1',2,1,10),</v>
      </c>
    </row>
    <row r="8" spans="1:7" ht="20.100000000000001" customHeight="1" x14ac:dyDescent="0.25">
      <c r="A8" s="3">
        <v>6</v>
      </c>
      <c r="B8" s="8" t="s">
        <v>3533</v>
      </c>
      <c r="C8" s="5" t="s">
        <v>3534</v>
      </c>
      <c r="D8" s="23">
        <v>2</v>
      </c>
      <c r="E8" s="23">
        <v>1</v>
      </c>
      <c r="F8" s="7">
        <v>10</v>
      </c>
      <c r="G8" s="5" t="str">
        <f t="shared" si="0"/>
        <v>(6,'OD1/OD3/OH2','STC OD1/OD3/OH2',2,1,10),</v>
      </c>
    </row>
    <row r="9" spans="1:7" ht="20.100000000000001" customHeight="1" x14ac:dyDescent="0.25">
      <c r="A9" s="3">
        <v>7</v>
      </c>
      <c r="B9" s="8" t="s">
        <v>588</v>
      </c>
      <c r="C9" s="5" t="s">
        <v>3535</v>
      </c>
      <c r="D9" s="23">
        <v>2</v>
      </c>
      <c r="E9" s="23">
        <v>1</v>
      </c>
      <c r="F9" s="7">
        <v>10</v>
      </c>
      <c r="G9" s="5" t="str">
        <f t="shared" si="0"/>
        <v>(7,'OH3/OH4','STC OH3/OH4',2,1,10),</v>
      </c>
    </row>
    <row r="10" spans="1:7" ht="20.100000000000001" customHeight="1" x14ac:dyDescent="0.25">
      <c r="A10" s="3">
        <v>8</v>
      </c>
      <c r="B10" s="8" t="s">
        <v>341</v>
      </c>
      <c r="C10" s="5" t="s">
        <v>3536</v>
      </c>
      <c r="D10" s="23">
        <v>3</v>
      </c>
      <c r="E10" s="23">
        <v>1</v>
      </c>
      <c r="F10" s="7">
        <v>10</v>
      </c>
      <c r="G10" s="5" t="str">
        <f t="shared" si="0"/>
        <v>(8,'NZ1','STC NZ1',3,1,10),</v>
      </c>
    </row>
    <row r="11" spans="1:7" ht="20.100000000000001" customHeight="1" x14ac:dyDescent="0.25">
      <c r="A11" s="3">
        <v>9</v>
      </c>
      <c r="B11" s="8" t="s">
        <v>344</v>
      </c>
      <c r="C11" s="5" t="s">
        <v>3537</v>
      </c>
      <c r="D11" s="23">
        <v>3</v>
      </c>
      <c r="E11" s="23">
        <v>1</v>
      </c>
      <c r="F11" s="7">
        <v>10</v>
      </c>
      <c r="G11" s="5" t="str">
        <f t="shared" si="0"/>
        <v>(9,'NK1','STC NK1',3,1,10),</v>
      </c>
    </row>
    <row r="12" spans="1:7" ht="20.100000000000001" customHeight="1" x14ac:dyDescent="0.25">
      <c r="A12" s="3">
        <v>10</v>
      </c>
      <c r="B12" s="8" t="s">
        <v>347</v>
      </c>
      <c r="C12" s="5" t="s">
        <v>3538</v>
      </c>
      <c r="D12" s="23">
        <v>3</v>
      </c>
      <c r="E12" s="23">
        <v>1</v>
      </c>
      <c r="F12" s="7">
        <v>10</v>
      </c>
      <c r="G12" s="5" t="str">
        <f t="shared" si="0"/>
        <v>(10,'NH2','STC NH2',3,1,10),</v>
      </c>
    </row>
    <row r="13" spans="1:7" ht="20.100000000000001" customHeight="1" x14ac:dyDescent="0.25">
      <c r="A13" s="3">
        <v>11</v>
      </c>
      <c r="B13" s="8" t="s">
        <v>607</v>
      </c>
      <c r="C13" s="5" t="s">
        <v>3539</v>
      </c>
      <c r="D13" s="23">
        <v>4</v>
      </c>
      <c r="E13" s="23">
        <v>1</v>
      </c>
      <c r="F13" s="7">
        <v>10</v>
      </c>
      <c r="G13" s="5" t="str">
        <f t="shared" si="0"/>
        <v>(11,'LZ1/LZ2','STC LZ1/LZ2',4,1,10),</v>
      </c>
    </row>
    <row r="14" spans="1:7" ht="20.100000000000001" customHeight="1" x14ac:dyDescent="0.25">
      <c r="A14" s="3">
        <v>12</v>
      </c>
      <c r="B14" s="8" t="s">
        <v>3372</v>
      </c>
      <c r="C14" s="5" t="s">
        <v>3540</v>
      </c>
      <c r="D14" s="23">
        <v>4</v>
      </c>
      <c r="E14" s="23">
        <v>1</v>
      </c>
      <c r="F14" s="7">
        <v>10</v>
      </c>
      <c r="G14" s="5" t="str">
        <f t="shared" si="0"/>
        <v>(12,'LR1/DLR1/ELR1','STC LR1/DLR1/ELR1',4,1,10),</v>
      </c>
    </row>
    <row r="15" spans="1:7" ht="20.100000000000001" customHeight="1" x14ac:dyDescent="0.25">
      <c r="A15" s="3">
        <v>13</v>
      </c>
      <c r="B15" s="8" t="s">
        <v>367</v>
      </c>
      <c r="C15" s="5" t="s">
        <v>3541</v>
      </c>
      <c r="D15" s="23">
        <v>1</v>
      </c>
      <c r="E15" s="23">
        <v>1</v>
      </c>
      <c r="F15" s="7">
        <v>10</v>
      </c>
      <c r="G15" s="5" t="str">
        <f t="shared" si="0"/>
        <v>(13,'GZ0','STC GZ0',1,1,10),</v>
      </c>
    </row>
    <row r="16" spans="1:7" ht="20.100000000000001" customHeight="1" x14ac:dyDescent="0.25">
      <c r="A16" s="3">
        <v>14</v>
      </c>
      <c r="B16" s="8" t="s">
        <v>631</v>
      </c>
      <c r="C16" s="5" t="s">
        <v>3542</v>
      </c>
      <c r="D16" s="23">
        <v>1</v>
      </c>
      <c r="E16" s="23">
        <v>1</v>
      </c>
      <c r="F16" s="7">
        <v>10</v>
      </c>
      <c r="G16" s="5" t="str">
        <f t="shared" si="0"/>
        <v>(14,'GZ1/GZ2/GZ3','STC GZ1/GZ2/GZ3',1,1,10),</v>
      </c>
    </row>
    <row r="17" spans="1:7" ht="20.100000000000001" customHeight="1" x14ac:dyDescent="0.25">
      <c r="A17" s="3">
        <v>15</v>
      </c>
      <c r="B17" s="8" t="s">
        <v>642</v>
      </c>
      <c r="C17" s="5" t="s">
        <v>3543</v>
      </c>
      <c r="D17" s="23">
        <v>1</v>
      </c>
      <c r="E17" s="23">
        <v>1</v>
      </c>
      <c r="F17" s="7">
        <v>10</v>
      </c>
      <c r="G17" s="5" t="str">
        <f t="shared" si="0"/>
        <v>(15,'GZ4','STC GZ4',1,1,10),</v>
      </c>
    </row>
    <row r="18" spans="1:7" ht="20.100000000000001" customHeight="1" x14ac:dyDescent="0.25">
      <c r="A18" s="3">
        <v>16</v>
      </c>
      <c r="B18" s="8" t="s">
        <v>434</v>
      </c>
      <c r="C18" s="5" t="s">
        <v>3544</v>
      </c>
      <c r="D18" s="23">
        <v>1</v>
      </c>
      <c r="E18" s="23">
        <v>1</v>
      </c>
      <c r="F18" s="7">
        <v>10</v>
      </c>
      <c r="G18" s="5" t="str">
        <f t="shared" si="0"/>
        <v>(16,'GPDF','STC GPDF',1,1,10),</v>
      </c>
    </row>
    <row r="19" spans="1:7" ht="20.100000000000001" customHeight="1" x14ac:dyDescent="0.25">
      <c r="A19" s="3">
        <v>17</v>
      </c>
      <c r="B19" s="8" t="s">
        <v>650</v>
      </c>
      <c r="C19" s="5" t="s">
        <v>3545</v>
      </c>
      <c r="D19" s="23">
        <v>1</v>
      </c>
      <c r="E19" s="23">
        <v>1</v>
      </c>
      <c r="F19" s="7">
        <v>10</v>
      </c>
      <c r="G19" s="5" t="str">
        <f t="shared" si="0"/>
        <v>(17,'GK1/GK2','STC GK1/GK2',1,1,10),</v>
      </c>
    </row>
    <row r="20" spans="1:7" ht="20.100000000000001" customHeight="1" x14ac:dyDescent="0.25">
      <c r="A20" s="3">
        <v>18</v>
      </c>
      <c r="B20" s="8" t="s">
        <v>655</v>
      </c>
      <c r="C20" s="5" t="s">
        <v>3546</v>
      </c>
      <c r="D20" s="23">
        <v>1</v>
      </c>
      <c r="E20" s="23">
        <v>1</v>
      </c>
      <c r="F20" s="7">
        <v>10</v>
      </c>
      <c r="G20" s="5" t="str">
        <f t="shared" si="0"/>
        <v>(18,'GK3','STC GK3',1,1,10),</v>
      </c>
    </row>
    <row r="21" spans="1:7" ht="20.100000000000001" customHeight="1" x14ac:dyDescent="0.25">
      <c r="A21" s="3">
        <v>19</v>
      </c>
      <c r="B21" s="8" t="s">
        <v>685</v>
      </c>
      <c r="C21" s="5" t="s">
        <v>3547</v>
      </c>
      <c r="D21" s="23">
        <v>1</v>
      </c>
      <c r="E21" s="23">
        <v>1</v>
      </c>
      <c r="F21" s="7">
        <v>10</v>
      </c>
      <c r="G21" s="5" t="str">
        <f t="shared" si="0"/>
        <v>(19,'GO1/GO2/GO3','STC GO1/GO2/GO3',1,1,10),</v>
      </c>
    </row>
    <row r="22" spans="1:7" ht="20.100000000000001" customHeight="1" x14ac:dyDescent="0.25">
      <c r="A22" s="3">
        <v>20</v>
      </c>
      <c r="B22" s="8" t="s">
        <v>407</v>
      </c>
      <c r="C22" s="5" t="s">
        <v>3548</v>
      </c>
      <c r="D22" s="23">
        <v>1</v>
      </c>
      <c r="E22" s="23">
        <v>1</v>
      </c>
      <c r="F22" s="7">
        <v>10</v>
      </c>
      <c r="G22" s="5" t="str">
        <f t="shared" si="0"/>
        <v>(20,'GG1','STC GG1',1,1,10),</v>
      </c>
    </row>
    <row r="23" spans="1:7" ht="20.100000000000001" customHeight="1" x14ac:dyDescent="0.25">
      <c r="A23" s="3">
        <v>21</v>
      </c>
      <c r="B23" s="8" t="s">
        <v>664</v>
      </c>
      <c r="C23" s="5" t="s">
        <v>3549</v>
      </c>
      <c r="D23" s="23">
        <v>1</v>
      </c>
      <c r="E23" s="23">
        <v>1</v>
      </c>
      <c r="F23" s="7">
        <v>10</v>
      </c>
      <c r="G23" s="5" t="str">
        <f t="shared" si="0"/>
        <v>(21,'GR1/GR2/GR4/GR6','STC GR1/GR2/GR4/GR6',1,1,10),</v>
      </c>
    </row>
    <row r="24" spans="1:7" ht="20.100000000000001" customHeight="1" x14ac:dyDescent="0.25">
      <c r="A24" s="3">
        <v>22</v>
      </c>
      <c r="B24" s="8" t="s">
        <v>675</v>
      </c>
      <c r="C24" s="5" t="s">
        <v>3550</v>
      </c>
      <c r="D24" s="23">
        <v>1</v>
      </c>
      <c r="E24" s="23">
        <v>1</v>
      </c>
      <c r="F24" s="7">
        <v>10</v>
      </c>
      <c r="G24" s="5" t="str">
        <f t="shared" si="0"/>
        <v>(22,'GR5/GR7','STC GR5/GR7',1,1,10),</v>
      </c>
    </row>
  </sheetData>
  <autoFilter ref="A2:F24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FF00"/>
  </sheetPr>
  <dimension ref="A1:AH59"/>
  <sheetViews>
    <sheetView workbookViewId="0">
      <pane xSplit="2" ySplit="2" topLeftCell="Y3" activePane="bottomRight" state="frozen"/>
      <selection pane="topRight" activeCell="C1" sqref="C1"/>
      <selection pane="bottomLeft" activeCell="A3" sqref="A3"/>
      <selection pane="bottomRight" activeCell="AB16" sqref="AB16"/>
    </sheetView>
  </sheetViews>
  <sheetFormatPr baseColWidth="10" defaultColWidth="10.85546875" defaultRowHeight="15.75" x14ac:dyDescent="0.25"/>
  <cols>
    <col min="1" max="1" width="5.5703125" style="2" customWidth="1"/>
    <col min="2" max="2" width="10.5703125" style="2" customWidth="1"/>
    <col min="3" max="3" width="12.7109375" style="2" customWidth="1"/>
    <col min="4" max="7" width="12.7109375" style="2" hidden="1" customWidth="1"/>
    <col min="8" max="8" width="19.7109375" style="2" customWidth="1"/>
    <col min="9" max="9" width="12.7109375" style="2" customWidth="1"/>
    <col min="10" max="10" width="36" style="2" customWidth="1"/>
    <col min="11" max="30" width="12.7109375" style="2" customWidth="1"/>
    <col min="31" max="31" width="21.42578125" style="2" customWidth="1"/>
    <col min="32" max="32" width="12.7109375" style="2" customWidth="1"/>
    <col min="33" max="33" width="117.42578125" style="2" bestFit="1" customWidth="1"/>
    <col min="34" max="16384" width="10.85546875" style="2"/>
  </cols>
  <sheetData>
    <row r="1" spans="1:34" ht="20.100000000000001" customHeight="1" x14ac:dyDescent="0.25">
      <c r="A1" s="1" t="s">
        <v>0</v>
      </c>
      <c r="B1" s="20" t="s">
        <v>1</v>
      </c>
      <c r="C1" s="1" t="s">
        <v>476</v>
      </c>
      <c r="D1" s="1" t="s">
        <v>6</v>
      </c>
      <c r="E1" s="1" t="s">
        <v>477</v>
      </c>
      <c r="F1" s="1" t="s">
        <v>478</v>
      </c>
      <c r="G1" s="1" t="s">
        <v>479</v>
      </c>
      <c r="H1" s="1" t="s">
        <v>480</v>
      </c>
      <c r="I1" s="1" t="s">
        <v>481</v>
      </c>
      <c r="J1" s="1" t="s">
        <v>482</v>
      </c>
      <c r="K1" s="1" t="s">
        <v>483</v>
      </c>
      <c r="L1" s="1" t="s">
        <v>484</v>
      </c>
      <c r="M1" s="1" t="s">
        <v>485</v>
      </c>
      <c r="N1" s="1" t="s">
        <v>486</v>
      </c>
      <c r="O1" s="1" t="s">
        <v>487</v>
      </c>
      <c r="P1" s="1" t="s">
        <v>488</v>
      </c>
      <c r="Q1" s="1" t="s">
        <v>489</v>
      </c>
      <c r="R1" s="1" t="s">
        <v>490</v>
      </c>
      <c r="S1" s="1" t="s">
        <v>491</v>
      </c>
      <c r="T1" s="1" t="s">
        <v>492</v>
      </c>
      <c r="U1" s="1" t="s">
        <v>493</v>
      </c>
      <c r="V1" s="1" t="s">
        <v>494</v>
      </c>
      <c r="W1" s="1" t="s">
        <v>495</v>
      </c>
      <c r="X1" s="1" t="s">
        <v>496</v>
      </c>
      <c r="Y1" s="1" t="s">
        <v>497</v>
      </c>
      <c r="Z1" s="1" t="s">
        <v>498</v>
      </c>
      <c r="AA1" s="1" t="s">
        <v>499</v>
      </c>
      <c r="AB1" s="1" t="s">
        <v>500</v>
      </c>
      <c r="AC1" s="1" t="s">
        <v>501</v>
      </c>
      <c r="AD1" s="1" t="s">
        <v>502</v>
      </c>
      <c r="AE1" s="1" t="s">
        <v>503</v>
      </c>
      <c r="AF1" s="1" t="s">
        <v>504</v>
      </c>
    </row>
    <row r="2" spans="1:34" ht="20.100000000000001" hidden="1" customHeight="1" x14ac:dyDescent="0.25">
      <c r="A2" s="1" t="s">
        <v>9</v>
      </c>
      <c r="B2" s="20" t="s">
        <v>10</v>
      </c>
      <c r="C2" s="20" t="s">
        <v>12</v>
      </c>
      <c r="D2" s="20" t="s">
        <v>15</v>
      </c>
      <c r="E2" s="1"/>
      <c r="F2" s="1" t="s">
        <v>16</v>
      </c>
      <c r="G2" s="1" t="s">
        <v>505</v>
      </c>
      <c r="H2" s="1" t="s">
        <v>506</v>
      </c>
      <c r="I2" s="1" t="s">
        <v>507</v>
      </c>
      <c r="J2" s="1" t="s">
        <v>508</v>
      </c>
      <c r="K2" s="1" t="s">
        <v>509</v>
      </c>
      <c r="L2" s="1" t="s">
        <v>510</v>
      </c>
      <c r="M2" s="1" t="s">
        <v>511</v>
      </c>
      <c r="N2" s="1" t="s">
        <v>512</v>
      </c>
      <c r="O2" s="1" t="s">
        <v>513</v>
      </c>
      <c r="P2" s="1" t="s">
        <v>514</v>
      </c>
      <c r="Q2" s="1" t="s">
        <v>515</v>
      </c>
      <c r="R2" s="1"/>
      <c r="S2" s="1" t="s">
        <v>516</v>
      </c>
      <c r="T2" s="1"/>
      <c r="U2" s="1" t="s">
        <v>517</v>
      </c>
      <c r="V2" s="1"/>
      <c r="W2" s="1" t="s">
        <v>518</v>
      </c>
      <c r="X2" s="1"/>
      <c r="Y2" s="1" t="s">
        <v>519</v>
      </c>
      <c r="Z2" s="1"/>
      <c r="AA2" s="1" t="s">
        <v>520</v>
      </c>
      <c r="AB2" s="1"/>
      <c r="AC2" s="1" t="s">
        <v>521</v>
      </c>
      <c r="AD2" s="1" t="s">
        <v>505</v>
      </c>
      <c r="AE2" s="1"/>
      <c r="AF2" s="1" t="s">
        <v>522</v>
      </c>
      <c r="AG2" s="21" t="s">
        <v>523</v>
      </c>
    </row>
    <row r="3" spans="1:34" ht="20.100000000000001" hidden="1" customHeight="1" x14ac:dyDescent="0.25">
      <c r="A3" s="3">
        <v>156</v>
      </c>
      <c r="B3" s="22" t="s">
        <v>300</v>
      </c>
      <c r="C3" s="6">
        <v>24053</v>
      </c>
      <c r="D3" s="23">
        <v>1</v>
      </c>
      <c r="E3" s="7" t="s">
        <v>524</v>
      </c>
      <c r="F3" s="7">
        <v>11</v>
      </c>
      <c r="G3" s="7">
        <v>12</v>
      </c>
      <c r="H3" s="24">
        <v>28</v>
      </c>
      <c r="I3" s="25" t="s">
        <v>525</v>
      </c>
      <c r="J3" s="7" t="s">
        <v>526</v>
      </c>
      <c r="K3" s="7">
        <v>4.5699999999999998E-2</v>
      </c>
      <c r="L3" s="7">
        <v>63</v>
      </c>
      <c r="M3" s="7">
        <v>54</v>
      </c>
      <c r="N3" s="7">
        <v>0</v>
      </c>
      <c r="O3" s="7">
        <v>0</v>
      </c>
      <c r="P3" s="7">
        <v>21</v>
      </c>
      <c r="Q3" s="7">
        <v>11</v>
      </c>
      <c r="R3" s="7" t="s">
        <v>527</v>
      </c>
      <c r="S3" s="7">
        <v>3</v>
      </c>
      <c r="T3" s="7" t="s">
        <v>528</v>
      </c>
      <c r="U3" s="7">
        <v>14</v>
      </c>
      <c r="V3" s="7" t="s">
        <v>20</v>
      </c>
      <c r="W3" s="7" t="s">
        <v>20</v>
      </c>
      <c r="X3" s="7" t="s">
        <v>529</v>
      </c>
      <c r="Y3" s="7">
        <v>1</v>
      </c>
      <c r="Z3" s="26" t="s">
        <v>30</v>
      </c>
      <c r="AA3" s="27">
        <v>7</v>
      </c>
      <c r="AB3" s="26" t="s">
        <v>530</v>
      </c>
      <c r="AC3" s="27">
        <v>21</v>
      </c>
      <c r="AD3" s="7">
        <v>12</v>
      </c>
      <c r="AE3" s="7" t="s">
        <v>531</v>
      </c>
      <c r="AF3" s="7"/>
      <c r="AG3" s="28" t="str">
        <f>CONCATENATE("(",A3,"*'",H3,"'*",I3,"*'",J3,"'*'",K3,"'*",L3,"*",M3,"*",N3,"*",O3,"*",P3,"*",Q3,"*",S3,"*",U3,"*",W3,"*",Y3,"*",AA3,"*",AC3,"*",AD3,")*")</f>
        <v>(156*'28'*801.478*'6.35 / 7.14 / 7.92 / 8.74 / 9.52 /  11.91 / 12.70'*'0,0457'*63*54*0*0*21*11*3*14*NULL*1*7*21*12)*</v>
      </c>
      <c r="AH3" s="29"/>
    </row>
    <row r="4" spans="1:34" ht="20.100000000000001" hidden="1" customHeight="1" x14ac:dyDescent="0.25">
      <c r="A4" s="3">
        <v>157</v>
      </c>
      <c r="B4" s="22" t="s">
        <v>302</v>
      </c>
      <c r="C4" s="6">
        <v>37851</v>
      </c>
      <c r="D4" s="23">
        <v>1</v>
      </c>
      <c r="E4" s="7" t="s">
        <v>524</v>
      </c>
      <c r="F4" s="7">
        <v>11</v>
      </c>
      <c r="G4" s="7">
        <v>12</v>
      </c>
      <c r="H4" s="24">
        <v>34</v>
      </c>
      <c r="I4" s="25">
        <v>821</v>
      </c>
      <c r="J4" s="7" t="s">
        <v>532</v>
      </c>
      <c r="K4" s="7">
        <v>4.5699999999999998E-2</v>
      </c>
      <c r="L4" s="7">
        <v>70</v>
      </c>
      <c r="M4" s="7">
        <v>70</v>
      </c>
      <c r="N4" s="7">
        <v>0</v>
      </c>
      <c r="O4" s="7">
        <v>0</v>
      </c>
      <c r="P4" s="7">
        <v>34</v>
      </c>
      <c r="Q4" s="7">
        <v>34</v>
      </c>
      <c r="R4" s="7" t="s">
        <v>533</v>
      </c>
      <c r="S4" s="7">
        <v>4</v>
      </c>
      <c r="T4" s="7" t="s">
        <v>534</v>
      </c>
      <c r="U4" s="7">
        <v>11</v>
      </c>
      <c r="V4" s="7" t="s">
        <v>20</v>
      </c>
      <c r="W4" s="7" t="s">
        <v>20</v>
      </c>
      <c r="X4" s="7" t="s">
        <v>529</v>
      </c>
      <c r="Y4" s="7">
        <v>1</v>
      </c>
      <c r="Z4" s="26" t="s">
        <v>30</v>
      </c>
      <c r="AA4" s="7">
        <v>7</v>
      </c>
      <c r="AB4" s="26" t="s">
        <v>530</v>
      </c>
      <c r="AC4" s="7">
        <v>21</v>
      </c>
      <c r="AD4" s="7">
        <v>12</v>
      </c>
      <c r="AE4" s="30" t="s">
        <v>535</v>
      </c>
      <c r="AF4" s="30"/>
      <c r="AG4" s="28" t="str">
        <f t="shared" ref="AG4:AG11" si="0">CONCATENATE("(",A4,"*'",H4,"'*",I4,"*'",J4,"'*'",K4,"'*",L4,"*",M4,"*",N4,"*",O4,"*",P4,"*",Q4,"*",S4,"*",U4,"*",W4,"*",Y4,"*",AA4,"*",AC4,"*",AD4,")*")</f>
        <v>(157*'34'*821*'7.92 - 17.48'*'0,0457'*70*70*0*0*34*34*4*11*NULL*1*7*21*12)*</v>
      </c>
    </row>
    <row r="5" spans="1:34" ht="20.100000000000001" hidden="1" customHeight="1" x14ac:dyDescent="0.25">
      <c r="A5" s="3">
        <v>158</v>
      </c>
      <c r="B5" s="22" t="s">
        <v>305</v>
      </c>
      <c r="C5" s="6">
        <v>26299</v>
      </c>
      <c r="D5" s="23">
        <v>1</v>
      </c>
      <c r="E5" s="7" t="s">
        <v>536</v>
      </c>
      <c r="F5" s="7">
        <v>13</v>
      </c>
      <c r="G5" s="7">
        <v>12</v>
      </c>
      <c r="H5" s="24">
        <v>34</v>
      </c>
      <c r="I5" s="25">
        <v>646</v>
      </c>
      <c r="J5" s="30" t="s">
        <v>537</v>
      </c>
      <c r="K5" s="7">
        <v>4.5699999999999998E-2</v>
      </c>
      <c r="L5" s="7">
        <v>75</v>
      </c>
      <c r="M5" s="7">
        <v>75</v>
      </c>
      <c r="N5" s="7">
        <v>0</v>
      </c>
      <c r="O5" s="7">
        <v>0</v>
      </c>
      <c r="P5" s="7">
        <v>30</v>
      </c>
      <c r="Q5" s="7">
        <v>30</v>
      </c>
      <c r="R5" s="7" t="s">
        <v>538</v>
      </c>
      <c r="S5" s="7">
        <v>3</v>
      </c>
      <c r="T5" s="30" t="s">
        <v>539</v>
      </c>
      <c r="U5" s="7">
        <v>14</v>
      </c>
      <c r="V5" s="7" t="s">
        <v>20</v>
      </c>
      <c r="W5" s="7" t="s">
        <v>20</v>
      </c>
      <c r="X5" s="7" t="s">
        <v>305</v>
      </c>
      <c r="Y5" s="7">
        <v>2</v>
      </c>
      <c r="Z5" s="26" t="s">
        <v>30</v>
      </c>
      <c r="AA5" s="7">
        <v>7</v>
      </c>
      <c r="AB5" s="26" t="s">
        <v>540</v>
      </c>
      <c r="AC5" s="7">
        <v>34</v>
      </c>
      <c r="AD5" s="7">
        <v>12</v>
      </c>
      <c r="AE5" s="7" t="s">
        <v>541</v>
      </c>
      <c r="AF5" s="7"/>
      <c r="AG5" s="28" t="str">
        <f t="shared" si="0"/>
        <v>(158*'34'*646*'7,92 / 8,74 / 9,52 / 10,31 / 11,13 / 11,91 / 12,70 / 14,27 / 15,88 / 17,48 / 22,22'*'0,0457'*75*75*0*0*30*30*3*14*NULL*2*7*34*12)*</v>
      </c>
    </row>
    <row r="6" spans="1:34" ht="20.100000000000001" hidden="1" customHeight="1" x14ac:dyDescent="0.25">
      <c r="A6" s="3">
        <v>159</v>
      </c>
      <c r="B6" s="22" t="s">
        <v>308</v>
      </c>
      <c r="C6" s="6">
        <v>21864</v>
      </c>
      <c r="D6" s="23">
        <v>1</v>
      </c>
      <c r="E6" s="7" t="s">
        <v>542</v>
      </c>
      <c r="F6" s="7">
        <v>15</v>
      </c>
      <c r="G6" s="7">
        <v>12</v>
      </c>
      <c r="H6" s="24" t="s">
        <v>543</v>
      </c>
      <c r="I6" s="25">
        <v>672</v>
      </c>
      <c r="J6" s="7" t="s">
        <v>544</v>
      </c>
      <c r="K6" s="7">
        <v>1.4999999999999999E-2</v>
      </c>
      <c r="L6" s="7">
        <v>83</v>
      </c>
      <c r="M6" s="7">
        <v>0</v>
      </c>
      <c r="N6" s="7">
        <v>0</v>
      </c>
      <c r="O6" s="7">
        <v>0</v>
      </c>
      <c r="P6" s="7">
        <v>14</v>
      </c>
      <c r="Q6" s="7" t="s">
        <v>545</v>
      </c>
      <c r="R6" s="7" t="s">
        <v>546</v>
      </c>
      <c r="S6" s="7">
        <v>2</v>
      </c>
      <c r="T6" s="7" t="s">
        <v>547</v>
      </c>
      <c r="U6" s="7">
        <v>14</v>
      </c>
      <c r="V6" s="7" t="s">
        <v>20</v>
      </c>
      <c r="W6" s="7" t="s">
        <v>20</v>
      </c>
      <c r="X6" s="7" t="s">
        <v>548</v>
      </c>
      <c r="Y6" s="7">
        <v>3</v>
      </c>
      <c r="Z6" s="26" t="s">
        <v>30</v>
      </c>
      <c r="AA6" s="7">
        <v>7</v>
      </c>
      <c r="AB6" s="26" t="s">
        <v>549</v>
      </c>
      <c r="AC6" s="7">
        <v>22</v>
      </c>
      <c r="AD6" s="7">
        <v>12</v>
      </c>
      <c r="AE6" s="7" t="s">
        <v>550</v>
      </c>
      <c r="AF6" s="7"/>
      <c r="AG6" s="28" t="str">
        <f t="shared" si="0"/>
        <v>(159*'24 / 22'*672*'2,7 / 9,52 / 9,0 / 8,73 / 7,92 / 7,13 / 6,35'*'0,015'*83*0*0*0*14*11.4*2*14*NULL*3*7*22*12)*</v>
      </c>
    </row>
    <row r="7" spans="1:34" ht="20.100000000000001" hidden="1" customHeight="1" x14ac:dyDescent="0.25">
      <c r="A7" s="3">
        <v>160</v>
      </c>
      <c r="B7" s="22" t="s">
        <v>310</v>
      </c>
      <c r="C7" s="6">
        <v>44738</v>
      </c>
      <c r="D7" s="23">
        <v>1</v>
      </c>
      <c r="E7" s="7" t="s">
        <v>542</v>
      </c>
      <c r="F7" s="7">
        <v>15</v>
      </c>
      <c r="G7" s="7">
        <v>12</v>
      </c>
      <c r="H7" s="24" t="s">
        <v>543</v>
      </c>
      <c r="I7" s="25">
        <v>174</v>
      </c>
      <c r="J7" s="7" t="s">
        <v>551</v>
      </c>
      <c r="K7" s="7">
        <v>4.5999999999999999E-2</v>
      </c>
      <c r="L7" s="7">
        <v>83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 t="s">
        <v>533</v>
      </c>
      <c r="S7" s="7">
        <v>4</v>
      </c>
      <c r="T7" s="7" t="s">
        <v>552</v>
      </c>
      <c r="U7" s="7">
        <v>10</v>
      </c>
      <c r="V7" s="7" t="s">
        <v>20</v>
      </c>
      <c r="W7" s="7" t="s">
        <v>20</v>
      </c>
      <c r="X7" s="7" t="s">
        <v>548</v>
      </c>
      <c r="Y7" s="7">
        <v>3</v>
      </c>
      <c r="Z7" s="26" t="s">
        <v>553</v>
      </c>
      <c r="AA7" s="7">
        <v>10</v>
      </c>
      <c r="AB7" s="26" t="s">
        <v>549</v>
      </c>
      <c r="AC7" s="7">
        <v>22</v>
      </c>
      <c r="AD7" s="7">
        <v>12</v>
      </c>
      <c r="AE7" s="7"/>
      <c r="AF7" s="7"/>
      <c r="AG7" s="28" t="str">
        <f t="shared" si="0"/>
        <v>(160*'24 / 22'*174*'8,74 / 9,53 / 11,3 / 12,7'*'0,046'*83*0*0*0*0*0*4*10*NULL*3*10*22*12)*</v>
      </c>
    </row>
    <row r="8" spans="1:34" ht="20.100000000000001" hidden="1" customHeight="1" x14ac:dyDescent="0.25">
      <c r="A8" s="3">
        <v>161</v>
      </c>
      <c r="B8" s="22" t="s">
        <v>312</v>
      </c>
      <c r="C8" s="6">
        <v>46388</v>
      </c>
      <c r="D8" s="23">
        <v>1</v>
      </c>
      <c r="E8" s="7" t="s">
        <v>542</v>
      </c>
      <c r="F8" s="7">
        <v>15</v>
      </c>
      <c r="G8" s="7">
        <v>12</v>
      </c>
      <c r="H8" s="24">
        <v>24</v>
      </c>
      <c r="I8" s="25">
        <v>504</v>
      </c>
      <c r="J8" s="7" t="s">
        <v>554</v>
      </c>
      <c r="K8" s="7">
        <v>4.5999999999999999E-2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 t="s">
        <v>533</v>
      </c>
      <c r="S8" s="7">
        <v>4</v>
      </c>
      <c r="T8" s="7" t="s">
        <v>555</v>
      </c>
      <c r="U8" s="7">
        <v>21</v>
      </c>
      <c r="V8" s="7" t="s">
        <v>20</v>
      </c>
      <c r="W8" s="7" t="s">
        <v>20</v>
      </c>
      <c r="X8" s="7" t="s">
        <v>548</v>
      </c>
      <c r="Y8" s="7">
        <v>3</v>
      </c>
      <c r="Z8" s="26" t="s">
        <v>30</v>
      </c>
      <c r="AA8" s="7">
        <v>7</v>
      </c>
      <c r="AB8" s="26" t="s">
        <v>556</v>
      </c>
      <c r="AC8" s="7">
        <v>11</v>
      </c>
      <c r="AD8" s="7">
        <v>12</v>
      </c>
      <c r="AE8" s="7"/>
      <c r="AF8" s="7"/>
      <c r="AG8" s="28" t="str">
        <f t="shared" si="0"/>
        <v>(161*'24'*504*'12,7 / 11,13 / 9,53 / 7,9'*'0,046'*0*0*0*0*0*0*4*21*NULL*3*7*11*12)*</v>
      </c>
    </row>
    <row r="9" spans="1:34" ht="20.100000000000001" hidden="1" customHeight="1" x14ac:dyDescent="0.25">
      <c r="A9" s="3">
        <v>162</v>
      </c>
      <c r="B9" s="22" t="s">
        <v>314</v>
      </c>
      <c r="C9" s="6">
        <v>38537</v>
      </c>
      <c r="D9" s="23">
        <v>1</v>
      </c>
      <c r="E9" s="7" t="s">
        <v>542</v>
      </c>
      <c r="F9" s="7">
        <v>15</v>
      </c>
      <c r="G9" s="7">
        <v>12</v>
      </c>
      <c r="H9" s="24">
        <v>20</v>
      </c>
      <c r="I9" s="25" t="s">
        <v>557</v>
      </c>
      <c r="J9" s="7" t="s">
        <v>558</v>
      </c>
      <c r="K9" s="7">
        <v>4.5699999999999998E-2</v>
      </c>
      <c r="L9" s="7">
        <v>72</v>
      </c>
      <c r="M9" s="7">
        <v>72</v>
      </c>
      <c r="N9" s="7">
        <v>0</v>
      </c>
      <c r="O9" s="7">
        <v>0</v>
      </c>
      <c r="P9" s="7">
        <v>4</v>
      </c>
      <c r="Q9" s="7">
        <v>4</v>
      </c>
      <c r="R9" s="7" t="s">
        <v>533</v>
      </c>
      <c r="S9" s="7">
        <v>4</v>
      </c>
      <c r="T9" s="7" t="s">
        <v>534</v>
      </c>
      <c r="U9" s="7">
        <v>11</v>
      </c>
      <c r="V9" s="7" t="s">
        <v>20</v>
      </c>
      <c r="W9" s="7" t="s">
        <v>20</v>
      </c>
      <c r="X9" s="7" t="s">
        <v>548</v>
      </c>
      <c r="Y9" s="7">
        <v>3</v>
      </c>
      <c r="Z9" s="26" t="s">
        <v>559</v>
      </c>
      <c r="AA9" s="7">
        <v>13</v>
      </c>
      <c r="AB9" s="26" t="s">
        <v>560</v>
      </c>
      <c r="AC9" s="13">
        <v>128</v>
      </c>
      <c r="AD9" s="7">
        <v>12</v>
      </c>
      <c r="AE9" s="7" t="s">
        <v>561</v>
      </c>
      <c r="AF9" s="7"/>
      <c r="AG9" s="28" t="str">
        <f t="shared" si="0"/>
        <v>(162*'20'*144.74*'8,74 / 10,31'*'0,0457'*72*72*0*0*4*4*4*11*NULL*3*13*128*12)*</v>
      </c>
    </row>
    <row r="10" spans="1:34" ht="20.100000000000001" hidden="1" customHeight="1" x14ac:dyDescent="0.25">
      <c r="A10" s="3">
        <v>163</v>
      </c>
      <c r="B10" s="22" t="s">
        <v>317</v>
      </c>
      <c r="C10" s="6">
        <v>21916</v>
      </c>
      <c r="D10" s="23">
        <v>1</v>
      </c>
      <c r="E10" s="7" t="s">
        <v>562</v>
      </c>
      <c r="F10" s="7">
        <v>14</v>
      </c>
      <c r="G10" s="7">
        <v>12</v>
      </c>
      <c r="H10" s="24">
        <v>24</v>
      </c>
      <c r="I10" s="25">
        <v>265</v>
      </c>
      <c r="J10" s="7" t="s">
        <v>563</v>
      </c>
      <c r="K10" s="7">
        <v>1.4999999999999999E-2</v>
      </c>
      <c r="L10" s="7">
        <v>70</v>
      </c>
      <c r="M10" s="7">
        <v>70</v>
      </c>
      <c r="N10" s="7">
        <v>0</v>
      </c>
      <c r="O10" s="7">
        <v>0</v>
      </c>
      <c r="P10" s="7" t="s">
        <v>564</v>
      </c>
      <c r="Q10" s="7" t="s">
        <v>565</v>
      </c>
      <c r="R10" s="7" t="s">
        <v>527</v>
      </c>
      <c r="S10" s="7">
        <v>3</v>
      </c>
      <c r="T10" s="7" t="s">
        <v>566</v>
      </c>
      <c r="U10" s="7">
        <v>14</v>
      </c>
      <c r="V10" s="7" t="s">
        <v>567</v>
      </c>
      <c r="W10" s="7">
        <v>17</v>
      </c>
      <c r="X10" s="7" t="s">
        <v>317</v>
      </c>
      <c r="Y10" s="7">
        <v>4</v>
      </c>
      <c r="Z10" s="26" t="s">
        <v>568</v>
      </c>
      <c r="AA10" s="7">
        <v>29</v>
      </c>
      <c r="AB10" s="26" t="s">
        <v>569</v>
      </c>
      <c r="AC10" s="7">
        <v>1</v>
      </c>
      <c r="AD10" s="7">
        <v>12</v>
      </c>
      <c r="AE10" s="7" t="s">
        <v>570</v>
      </c>
      <c r="AF10" s="7"/>
      <c r="AG10" s="28" t="str">
        <f t="shared" si="0"/>
        <v>(163*'24'*265*'7,94 / 8,74 / 10,31'*'0,015'*70*70*0*0*13.9*7.8*3*14*17*4*29*1*12)*</v>
      </c>
    </row>
    <row r="11" spans="1:34" ht="20.100000000000001" hidden="1" customHeight="1" x14ac:dyDescent="0.25">
      <c r="A11" s="3">
        <v>164</v>
      </c>
      <c r="B11" s="22" t="s">
        <v>319</v>
      </c>
      <c r="C11" s="6">
        <v>29952</v>
      </c>
      <c r="D11" s="23">
        <v>1</v>
      </c>
      <c r="E11" s="7" t="s">
        <v>562</v>
      </c>
      <c r="F11" s="7">
        <v>14</v>
      </c>
      <c r="G11" s="7">
        <v>12</v>
      </c>
      <c r="H11" s="24">
        <v>30</v>
      </c>
      <c r="I11" s="25">
        <v>630</v>
      </c>
      <c r="J11" s="7" t="s">
        <v>571</v>
      </c>
      <c r="K11" s="7">
        <v>0.06</v>
      </c>
      <c r="L11" s="7">
        <v>67</v>
      </c>
      <c r="M11" s="7">
        <v>49</v>
      </c>
      <c r="N11" s="7" t="s">
        <v>572</v>
      </c>
      <c r="O11" s="7">
        <v>0</v>
      </c>
      <c r="P11" s="7">
        <v>18</v>
      </c>
      <c r="Q11" s="7" t="s">
        <v>573</v>
      </c>
      <c r="R11" s="7" t="s">
        <v>527</v>
      </c>
      <c r="S11" s="7">
        <v>3</v>
      </c>
      <c r="T11" s="7" t="s">
        <v>574</v>
      </c>
      <c r="U11" s="7">
        <v>14</v>
      </c>
      <c r="V11" s="7" t="s">
        <v>567</v>
      </c>
      <c r="W11" s="7">
        <v>17</v>
      </c>
      <c r="X11" s="7" t="s">
        <v>319</v>
      </c>
      <c r="Y11" s="7">
        <v>5</v>
      </c>
      <c r="Z11" s="26" t="s">
        <v>568</v>
      </c>
      <c r="AA11" s="7">
        <v>29</v>
      </c>
      <c r="AB11" s="26" t="s">
        <v>30</v>
      </c>
      <c r="AC11" s="7">
        <v>7</v>
      </c>
      <c r="AD11" s="7">
        <v>12</v>
      </c>
      <c r="AE11" s="7" t="s">
        <v>575</v>
      </c>
      <c r="AF11" s="7"/>
      <c r="AG11" s="28" t="str">
        <f t="shared" si="0"/>
        <v>(164*'30'*630*'7,14 / 7,92'*'0,06'*67*49*1.4*0*18*8.9*3*14*17*5*29*7*12)*</v>
      </c>
    </row>
    <row r="12" spans="1:34" ht="20.100000000000001" hidden="1" customHeight="1" x14ac:dyDescent="0.25">
      <c r="A12" s="3">
        <v>165</v>
      </c>
      <c r="B12" s="31" t="s">
        <v>322</v>
      </c>
      <c r="C12" s="6">
        <v>38353</v>
      </c>
      <c r="D12" s="23">
        <v>1</v>
      </c>
      <c r="E12" s="7" t="s">
        <v>562</v>
      </c>
      <c r="F12" s="7">
        <v>14</v>
      </c>
      <c r="G12" s="7">
        <v>12</v>
      </c>
      <c r="H12" s="24">
        <v>30</v>
      </c>
      <c r="I12" s="25" t="s">
        <v>576</v>
      </c>
      <c r="J12" s="7" t="s">
        <v>577</v>
      </c>
      <c r="K12" s="7">
        <v>4.5699999999999998E-2</v>
      </c>
      <c r="L12" s="7">
        <v>49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 t="s">
        <v>533</v>
      </c>
      <c r="S12" s="7">
        <v>4</v>
      </c>
      <c r="T12" s="7" t="s">
        <v>578</v>
      </c>
      <c r="U12" s="7">
        <v>11</v>
      </c>
      <c r="V12" s="7" t="s">
        <v>20</v>
      </c>
      <c r="W12" s="7" t="s">
        <v>20</v>
      </c>
      <c r="X12" s="7" t="s">
        <v>319</v>
      </c>
      <c r="Y12" s="7">
        <v>5</v>
      </c>
      <c r="Z12" s="26" t="s">
        <v>579</v>
      </c>
      <c r="AA12" s="13" t="s">
        <v>579</v>
      </c>
      <c r="AB12" s="26" t="s">
        <v>580</v>
      </c>
      <c r="AC12" s="13" t="s">
        <v>580</v>
      </c>
      <c r="AD12" s="7"/>
      <c r="AE12" s="7"/>
      <c r="AF12" s="7"/>
      <c r="AG12" s="28" t="str">
        <f t="shared" ref="AG12:AG54" si="1">CONCATENATE("(",A12,"*'",H12,"'*",I12,"*'",J12,"'*'",K12,"'*",L12,"*",M12,"*",N12,"*",O12,"*",P12,"*",Q12,"*",S12,"*",U12,"*",W12,"*",Y12,"*",AA12,"*",AC12,")*")</f>
        <v>(165*'30'*44.5*'10.31'*'0,0457'*49*0*0*0*0*0*4*11*NULL*5*TFT*Nezla)*</v>
      </c>
    </row>
    <row r="13" spans="1:34" ht="20.100000000000001" hidden="1" customHeight="1" x14ac:dyDescent="0.25">
      <c r="A13" s="3">
        <v>166</v>
      </c>
      <c r="B13" s="22" t="s">
        <v>324</v>
      </c>
      <c r="C13" s="6">
        <v>26399</v>
      </c>
      <c r="D13" s="23">
        <v>1</v>
      </c>
      <c r="E13" s="7" t="s">
        <v>581</v>
      </c>
      <c r="F13" s="7">
        <v>12</v>
      </c>
      <c r="G13" s="7">
        <v>12</v>
      </c>
      <c r="H13" s="24">
        <v>26</v>
      </c>
      <c r="I13" s="25">
        <v>108.372</v>
      </c>
      <c r="J13" s="7" t="s">
        <v>582</v>
      </c>
      <c r="K13" s="7">
        <v>4.5699999999999998E-2</v>
      </c>
      <c r="L13" s="7">
        <v>40</v>
      </c>
      <c r="M13" s="7">
        <v>40</v>
      </c>
      <c r="N13" s="7">
        <v>0</v>
      </c>
      <c r="O13" s="7">
        <v>0</v>
      </c>
      <c r="P13" s="7">
        <v>12</v>
      </c>
      <c r="Q13" s="7">
        <v>12</v>
      </c>
      <c r="R13" s="7" t="s">
        <v>527</v>
      </c>
      <c r="S13" s="7">
        <v>3</v>
      </c>
      <c r="T13" s="7" t="s">
        <v>574</v>
      </c>
      <c r="U13" s="7">
        <v>14</v>
      </c>
      <c r="V13" s="7" t="s">
        <v>20</v>
      </c>
      <c r="W13" s="7" t="s">
        <v>20</v>
      </c>
      <c r="X13" s="7" t="s">
        <v>583</v>
      </c>
      <c r="Y13" s="7">
        <v>6</v>
      </c>
      <c r="Z13" s="26" t="s">
        <v>584</v>
      </c>
      <c r="AA13" s="7">
        <v>15</v>
      </c>
      <c r="AB13" s="26" t="s">
        <v>30</v>
      </c>
      <c r="AC13" s="7">
        <v>7</v>
      </c>
      <c r="AD13" s="7">
        <v>12</v>
      </c>
      <c r="AE13" s="7" t="s">
        <v>585</v>
      </c>
      <c r="AF13" s="7"/>
      <c r="AG13" s="28" t="str">
        <f t="shared" ref="AG13:AG33" si="2">CONCATENATE("(",A13,"*'",H13,"'*",I13,"*'",J13,"'*'",K13,"'*",L13,"*",M13,"*",N13,"*",O13,"*",P13,"*",Q13,"*",S13,"*",U13,"*",W13,"*",Y13,"*",AA13,"*",AC13,"*",AD13,")*")</f>
        <v>(166*'26'*108,372*'7,14 / 8,74'*'0,0457'*40*40*0*0*12*12*3*14*NULL*6*15*7*12)*</v>
      </c>
    </row>
    <row r="14" spans="1:34" ht="20.100000000000001" hidden="1" customHeight="1" x14ac:dyDescent="0.25">
      <c r="A14" s="3">
        <v>167</v>
      </c>
      <c r="B14" s="22" t="s">
        <v>327</v>
      </c>
      <c r="C14" s="6">
        <v>36161</v>
      </c>
      <c r="D14" s="23">
        <v>1</v>
      </c>
      <c r="E14" s="7" t="s">
        <v>581</v>
      </c>
      <c r="F14" s="7">
        <v>12</v>
      </c>
      <c r="G14" s="7">
        <v>12</v>
      </c>
      <c r="H14" s="24">
        <v>30</v>
      </c>
      <c r="I14" s="25">
        <v>292</v>
      </c>
      <c r="J14" s="7" t="s">
        <v>586</v>
      </c>
      <c r="K14" s="7">
        <v>4.5699999999999998E-2</v>
      </c>
      <c r="L14" s="7">
        <v>70</v>
      </c>
      <c r="M14" s="7">
        <v>70</v>
      </c>
      <c r="N14" s="7">
        <v>0</v>
      </c>
      <c r="O14" s="7">
        <v>0</v>
      </c>
      <c r="P14" s="7">
        <v>30</v>
      </c>
      <c r="Q14" s="7">
        <v>30</v>
      </c>
      <c r="R14" s="7" t="s">
        <v>527</v>
      </c>
      <c r="S14" s="7">
        <v>3</v>
      </c>
      <c r="T14" s="7" t="s">
        <v>587</v>
      </c>
      <c r="U14" s="7">
        <v>11</v>
      </c>
      <c r="V14" s="7" t="s">
        <v>20</v>
      </c>
      <c r="W14" s="7" t="s">
        <v>20</v>
      </c>
      <c r="X14" s="7" t="s">
        <v>588</v>
      </c>
      <c r="Y14" s="7">
        <v>7</v>
      </c>
      <c r="Z14" s="26" t="s">
        <v>589</v>
      </c>
      <c r="AA14" s="7">
        <v>27</v>
      </c>
      <c r="AB14" s="26" t="s">
        <v>30</v>
      </c>
      <c r="AC14" s="7">
        <v>7</v>
      </c>
      <c r="AD14" s="7">
        <v>12</v>
      </c>
      <c r="AE14" s="30" t="s">
        <v>590</v>
      </c>
      <c r="AF14" s="30"/>
      <c r="AG14" s="28" t="str">
        <f t="shared" si="2"/>
        <v>(167*'30'*292*'10,31 - 12,7'*'0,0457'*70*70*0*0*30*30*3*11*NULL*7*27*7*12)*</v>
      </c>
    </row>
    <row r="15" spans="1:34" ht="20.100000000000001" hidden="1" customHeight="1" x14ac:dyDescent="0.25">
      <c r="A15" s="3">
        <v>168</v>
      </c>
      <c r="B15" s="22" t="s">
        <v>329</v>
      </c>
      <c r="C15" s="6">
        <v>38718</v>
      </c>
      <c r="D15" s="23">
        <v>1</v>
      </c>
      <c r="E15" s="7" t="s">
        <v>581</v>
      </c>
      <c r="F15" s="7">
        <v>12</v>
      </c>
      <c r="G15" s="7">
        <v>12</v>
      </c>
      <c r="H15" s="24">
        <v>30</v>
      </c>
      <c r="I15" s="25">
        <v>292</v>
      </c>
      <c r="J15" s="7" t="s">
        <v>586</v>
      </c>
      <c r="K15" s="7">
        <v>4.5699999999999998E-2</v>
      </c>
      <c r="L15" s="7">
        <v>70</v>
      </c>
      <c r="M15" s="7">
        <v>70</v>
      </c>
      <c r="N15" s="7">
        <v>0</v>
      </c>
      <c r="O15" s="7">
        <v>0</v>
      </c>
      <c r="P15" s="7">
        <v>30</v>
      </c>
      <c r="Q15" s="7">
        <v>30</v>
      </c>
      <c r="R15" s="7" t="s">
        <v>533</v>
      </c>
      <c r="S15" s="7">
        <v>4</v>
      </c>
      <c r="T15" s="7" t="s">
        <v>587</v>
      </c>
      <c r="U15" s="7">
        <v>11</v>
      </c>
      <c r="V15" s="7" t="s">
        <v>20</v>
      </c>
      <c r="W15" s="7" t="s">
        <v>20</v>
      </c>
      <c r="X15" s="7" t="s">
        <v>588</v>
      </c>
      <c r="Y15" s="7">
        <v>7</v>
      </c>
      <c r="Z15" s="26" t="s">
        <v>589</v>
      </c>
      <c r="AA15" s="7">
        <v>27</v>
      </c>
      <c r="AB15" s="26" t="s">
        <v>30</v>
      </c>
      <c r="AC15" s="7">
        <v>7</v>
      </c>
      <c r="AD15" s="7">
        <v>12</v>
      </c>
      <c r="AE15" s="30" t="s">
        <v>590</v>
      </c>
      <c r="AF15" s="30"/>
      <c r="AG15" s="28" t="str">
        <f t="shared" si="2"/>
        <v>(168*'30'*292*'10,31 - 12,7'*'0,0457'*70*70*0*0*30*30*4*11*NULL*7*27*7*12)*</v>
      </c>
    </row>
    <row r="16" spans="1:34" ht="20.100000000000001" customHeight="1" x14ac:dyDescent="0.25">
      <c r="A16" s="3">
        <v>169</v>
      </c>
      <c r="B16" s="22" t="s">
        <v>332</v>
      </c>
      <c r="C16" s="6">
        <v>28207</v>
      </c>
      <c r="D16" s="23">
        <v>1</v>
      </c>
      <c r="E16" s="7" t="s">
        <v>581</v>
      </c>
      <c r="F16" s="7">
        <v>12</v>
      </c>
      <c r="G16" s="7">
        <v>12</v>
      </c>
      <c r="H16" s="24">
        <v>20</v>
      </c>
      <c r="I16" s="25">
        <v>272.35000000000002</v>
      </c>
      <c r="J16" s="7" t="s">
        <v>591</v>
      </c>
      <c r="K16" s="7">
        <v>4.5699999999999998E-2</v>
      </c>
      <c r="L16" s="7">
        <v>72</v>
      </c>
      <c r="M16" s="7">
        <v>12</v>
      </c>
      <c r="N16" s="7">
        <v>0</v>
      </c>
      <c r="O16" s="7">
        <v>0</v>
      </c>
      <c r="P16" s="7">
        <v>5</v>
      </c>
      <c r="Q16" s="7">
        <v>2</v>
      </c>
      <c r="R16" s="7" t="s">
        <v>527</v>
      </c>
      <c r="S16" s="7">
        <v>3</v>
      </c>
      <c r="T16" s="7" t="s">
        <v>20</v>
      </c>
      <c r="U16" s="7" t="s">
        <v>20</v>
      </c>
      <c r="V16" s="7" t="s">
        <v>20</v>
      </c>
      <c r="W16" s="7" t="s">
        <v>20</v>
      </c>
      <c r="X16" s="7" t="s">
        <v>583</v>
      </c>
      <c r="Y16" s="7">
        <v>6</v>
      </c>
      <c r="Z16" s="26" t="s">
        <v>592</v>
      </c>
      <c r="AA16" s="7">
        <v>25</v>
      </c>
      <c r="AB16" s="26" t="s">
        <v>593</v>
      </c>
      <c r="AC16" s="7">
        <v>15</v>
      </c>
      <c r="AD16" s="7">
        <v>12</v>
      </c>
      <c r="AE16" s="7" t="s">
        <v>594</v>
      </c>
      <c r="AF16" s="7"/>
      <c r="AG16" s="28" t="str">
        <f t="shared" si="2"/>
        <v>(169*'20'*272,35*'6,35 - 8,74'*'0,0457'*72*12*0*0*5*2*3*NULL*NULL*6*25*15*12)*</v>
      </c>
    </row>
    <row r="17" spans="1:33" ht="20.100000000000001" customHeight="1" x14ac:dyDescent="0.25">
      <c r="A17" s="3">
        <v>170</v>
      </c>
      <c r="B17" s="22" t="s">
        <v>335</v>
      </c>
      <c r="C17" s="6">
        <v>45778</v>
      </c>
      <c r="D17" s="23">
        <v>1</v>
      </c>
      <c r="E17" s="7" t="s">
        <v>581</v>
      </c>
      <c r="F17" s="7">
        <v>12</v>
      </c>
      <c r="G17" s="7">
        <v>12</v>
      </c>
      <c r="H17" s="24">
        <v>16</v>
      </c>
      <c r="I17" s="25">
        <v>271</v>
      </c>
      <c r="J17" s="7">
        <v>6.35</v>
      </c>
      <c r="K17" s="7">
        <v>4.5999999999999999E-2</v>
      </c>
      <c r="L17" s="7">
        <v>40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 t="s">
        <v>533</v>
      </c>
      <c r="S17" s="7">
        <v>4</v>
      </c>
      <c r="T17" s="7" t="s">
        <v>20</v>
      </c>
      <c r="U17" s="7" t="s">
        <v>20</v>
      </c>
      <c r="V17" s="7" t="s">
        <v>20</v>
      </c>
      <c r="W17" s="7" t="s">
        <v>20</v>
      </c>
      <c r="X17" s="7" t="s">
        <v>583</v>
      </c>
      <c r="Y17" s="7">
        <v>6</v>
      </c>
      <c r="Z17" s="26" t="s">
        <v>592</v>
      </c>
      <c r="AA17" s="7">
        <v>25</v>
      </c>
      <c r="AB17" s="26" t="s">
        <v>593</v>
      </c>
      <c r="AC17" s="7">
        <v>15</v>
      </c>
      <c r="AD17" s="7">
        <v>12</v>
      </c>
      <c r="AE17" s="7"/>
      <c r="AF17" s="7"/>
      <c r="AG17" s="28" t="str">
        <f t="shared" si="2"/>
        <v>(170*'16'*271*'6,35'*'0,046'*40*0*0*0*0*0*4*NULL*NULL*6*25*15*12)*</v>
      </c>
    </row>
    <row r="18" spans="1:33" ht="20.100000000000001" hidden="1" customHeight="1" x14ac:dyDescent="0.25">
      <c r="A18" s="3">
        <v>171</v>
      </c>
      <c r="B18" s="22" t="s">
        <v>337</v>
      </c>
      <c r="C18" s="6">
        <v>35431</v>
      </c>
      <c r="D18" s="23">
        <v>1</v>
      </c>
      <c r="E18" s="7" t="s">
        <v>595</v>
      </c>
      <c r="F18" s="7">
        <v>2</v>
      </c>
      <c r="G18" s="7">
        <v>2</v>
      </c>
      <c r="H18" s="24">
        <v>20</v>
      </c>
      <c r="I18" s="25">
        <v>230</v>
      </c>
      <c r="J18" s="7"/>
      <c r="K18" s="7">
        <v>4.5699999999999998E-2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 t="s">
        <v>533</v>
      </c>
      <c r="S18" s="7">
        <v>4</v>
      </c>
      <c r="T18" s="7" t="s">
        <v>20</v>
      </c>
      <c r="U18" s="7" t="s">
        <v>20</v>
      </c>
      <c r="V18" s="7" t="s">
        <v>20</v>
      </c>
      <c r="W18" s="7" t="s">
        <v>20</v>
      </c>
      <c r="X18" s="7" t="s">
        <v>583</v>
      </c>
      <c r="Y18" s="7">
        <v>6</v>
      </c>
      <c r="Z18" s="26" t="s">
        <v>81</v>
      </c>
      <c r="AA18" s="7">
        <v>32</v>
      </c>
      <c r="AB18" s="26" t="s">
        <v>48</v>
      </c>
      <c r="AC18" s="7">
        <v>15</v>
      </c>
      <c r="AD18" s="7">
        <v>12</v>
      </c>
      <c r="AE18" s="7"/>
      <c r="AF18" s="7"/>
      <c r="AG18" s="28" t="str">
        <f t="shared" si="2"/>
        <v>(171*'20'*230*''*'0,0457'*0*0*0*0*0*0*4*NULL*NULL*6*32*15*12)*</v>
      </c>
    </row>
    <row r="19" spans="1:33" ht="20.100000000000001" hidden="1" customHeight="1" x14ac:dyDescent="0.25">
      <c r="A19" s="3">
        <v>172</v>
      </c>
      <c r="B19" s="22" t="s">
        <v>339</v>
      </c>
      <c r="C19" s="6">
        <v>36505</v>
      </c>
      <c r="D19" s="23">
        <v>1</v>
      </c>
      <c r="E19" s="7" t="s">
        <v>581</v>
      </c>
      <c r="F19" s="7">
        <v>12</v>
      </c>
      <c r="G19" s="7">
        <v>12</v>
      </c>
      <c r="H19" s="24">
        <v>20</v>
      </c>
      <c r="I19" s="25">
        <v>33</v>
      </c>
      <c r="J19" s="7" t="s">
        <v>596</v>
      </c>
      <c r="K19" s="7">
        <v>4.5999999999999999E-2</v>
      </c>
      <c r="L19" s="7">
        <v>55</v>
      </c>
      <c r="M19" s="7">
        <v>55</v>
      </c>
      <c r="N19" s="7">
        <v>0</v>
      </c>
      <c r="O19" s="7">
        <v>0</v>
      </c>
      <c r="P19" s="7">
        <v>5</v>
      </c>
      <c r="Q19" s="7">
        <v>5</v>
      </c>
      <c r="R19" s="7" t="s">
        <v>527</v>
      </c>
      <c r="S19" s="7">
        <v>3</v>
      </c>
      <c r="T19" s="7" t="s">
        <v>20</v>
      </c>
      <c r="U19" s="7" t="s">
        <v>20</v>
      </c>
      <c r="V19" s="7" t="s">
        <v>20</v>
      </c>
      <c r="W19" s="7" t="s">
        <v>20</v>
      </c>
      <c r="X19" s="7" t="s">
        <v>583</v>
      </c>
      <c r="Y19" s="7">
        <v>6</v>
      </c>
      <c r="Z19" s="26" t="s">
        <v>597</v>
      </c>
      <c r="AA19" s="7">
        <v>33</v>
      </c>
      <c r="AB19" s="26" t="s">
        <v>593</v>
      </c>
      <c r="AC19" s="7">
        <v>15</v>
      </c>
      <c r="AD19" s="7">
        <v>12</v>
      </c>
      <c r="AE19" s="7" t="s">
        <v>598</v>
      </c>
      <c r="AF19" s="7"/>
      <c r="AG19" s="28" t="str">
        <f t="shared" si="2"/>
        <v>(172*'20'*33*'7,14 - 8,74'*'0,046'*55*55*0*0*5*5*3*NULL*NULL*6*33*15*12)*</v>
      </c>
    </row>
    <row r="20" spans="1:33" ht="20.100000000000001" hidden="1" customHeight="1" x14ac:dyDescent="0.25">
      <c r="A20" s="3">
        <v>173</v>
      </c>
      <c r="B20" s="22" t="s">
        <v>341</v>
      </c>
      <c r="C20" s="6">
        <v>28795</v>
      </c>
      <c r="D20" s="23">
        <v>1</v>
      </c>
      <c r="E20" s="7" t="s">
        <v>524</v>
      </c>
      <c r="F20" s="7">
        <v>11</v>
      </c>
      <c r="G20" s="7">
        <v>12</v>
      </c>
      <c r="H20" s="24">
        <v>28</v>
      </c>
      <c r="I20" s="25">
        <v>507</v>
      </c>
      <c r="J20" s="7" t="s">
        <v>599</v>
      </c>
      <c r="K20" s="7">
        <v>4.5699999999999998E-2</v>
      </c>
      <c r="L20" s="7">
        <v>66</v>
      </c>
      <c r="M20" s="7">
        <v>66</v>
      </c>
      <c r="N20" s="7">
        <v>0</v>
      </c>
      <c r="O20" s="7">
        <v>0</v>
      </c>
      <c r="P20" s="7">
        <v>21</v>
      </c>
      <c r="Q20" s="7">
        <v>13.6</v>
      </c>
      <c r="R20" s="7" t="s">
        <v>527</v>
      </c>
      <c r="S20" s="7">
        <v>3</v>
      </c>
      <c r="T20" s="7" t="s">
        <v>574</v>
      </c>
      <c r="U20" s="7">
        <v>14</v>
      </c>
      <c r="V20" s="7" t="s">
        <v>20</v>
      </c>
      <c r="W20" s="7" t="s">
        <v>20</v>
      </c>
      <c r="X20" s="7" t="s">
        <v>341</v>
      </c>
      <c r="Y20" s="7">
        <v>8</v>
      </c>
      <c r="Z20" s="26" t="s">
        <v>32</v>
      </c>
      <c r="AA20" s="7">
        <v>8</v>
      </c>
      <c r="AB20" s="26" t="s">
        <v>530</v>
      </c>
      <c r="AC20" s="7">
        <v>21</v>
      </c>
      <c r="AD20" s="7">
        <v>12</v>
      </c>
      <c r="AE20" s="30" t="s">
        <v>600</v>
      </c>
      <c r="AF20" s="30"/>
      <c r="AG20" s="28" t="str">
        <f t="shared" si="2"/>
        <v>(173*'28'*507*'6,35 / 7,14 / 7,22 / 8,74 / 9,25 / 12,7 / 14,27'*'0,0457'*66*66*0*0*21*13,6*3*14*NULL*8*8*21*12)*</v>
      </c>
    </row>
    <row r="21" spans="1:33" ht="20.100000000000001" hidden="1" customHeight="1" x14ac:dyDescent="0.25">
      <c r="A21" s="3">
        <v>174</v>
      </c>
      <c r="B21" s="22" t="s">
        <v>344</v>
      </c>
      <c r="C21" s="6">
        <v>40029</v>
      </c>
      <c r="D21" s="23">
        <v>1</v>
      </c>
      <c r="E21" s="7" t="s">
        <v>536</v>
      </c>
      <c r="F21" s="7">
        <v>13</v>
      </c>
      <c r="G21" s="7">
        <v>12</v>
      </c>
      <c r="H21" s="24">
        <v>30</v>
      </c>
      <c r="I21" s="25">
        <v>646</v>
      </c>
      <c r="J21" s="7" t="s">
        <v>601</v>
      </c>
      <c r="K21" s="7">
        <v>4.5699999999999998E-2</v>
      </c>
      <c r="L21" s="7">
        <v>82.9</v>
      </c>
      <c r="M21" s="7">
        <v>82.9</v>
      </c>
      <c r="N21" s="7">
        <v>0</v>
      </c>
      <c r="O21" s="7">
        <v>0</v>
      </c>
      <c r="P21" s="7">
        <v>11.41</v>
      </c>
      <c r="Q21" s="7">
        <v>11.41</v>
      </c>
      <c r="R21" s="7" t="s">
        <v>533</v>
      </c>
      <c r="S21" s="7">
        <v>4</v>
      </c>
      <c r="T21" s="7" t="s">
        <v>534</v>
      </c>
      <c r="U21" s="7">
        <v>11</v>
      </c>
      <c r="V21" s="7" t="s">
        <v>20</v>
      </c>
      <c r="W21" s="7" t="s">
        <v>20</v>
      </c>
      <c r="X21" s="7" t="s">
        <v>344</v>
      </c>
      <c r="Y21" s="7">
        <v>9</v>
      </c>
      <c r="Z21" s="26" t="s">
        <v>32</v>
      </c>
      <c r="AA21" s="7">
        <v>8</v>
      </c>
      <c r="AB21" s="26" t="s">
        <v>540</v>
      </c>
      <c r="AC21" s="7">
        <v>34</v>
      </c>
      <c r="AD21" s="7">
        <v>12</v>
      </c>
      <c r="AE21" s="7" t="s">
        <v>602</v>
      </c>
      <c r="AF21" s="7"/>
      <c r="AG21" s="28" t="str">
        <f t="shared" si="2"/>
        <v>(174*'30'*646*'7,92/ 8,74/ 9,53/ 10,31/ 11,91/ 14,27'*'0,0457'*82,9*82,9*0*0*11,41*11,41*4*11*NULL*9*8*34*12)*</v>
      </c>
    </row>
    <row r="22" spans="1:33" ht="20.100000000000001" hidden="1" customHeight="1" x14ac:dyDescent="0.25">
      <c r="A22" s="3">
        <v>175</v>
      </c>
      <c r="B22" s="22" t="s">
        <v>347</v>
      </c>
      <c r="C22" s="6">
        <v>21916</v>
      </c>
      <c r="D22" s="23">
        <v>1</v>
      </c>
      <c r="E22" s="7" t="s">
        <v>562</v>
      </c>
      <c r="F22" s="7">
        <v>14</v>
      </c>
      <c r="G22" s="7">
        <v>12</v>
      </c>
      <c r="H22" s="24" t="s">
        <v>603</v>
      </c>
      <c r="I22" s="25">
        <v>565</v>
      </c>
      <c r="J22" s="7" t="s">
        <v>582</v>
      </c>
      <c r="K22" s="7">
        <v>4.5699999999999998E-2</v>
      </c>
      <c r="L22" s="7">
        <v>49</v>
      </c>
      <c r="M22" s="7">
        <v>11</v>
      </c>
      <c r="N22" s="7">
        <v>0</v>
      </c>
      <c r="O22" s="7">
        <v>0</v>
      </c>
      <c r="P22" s="7">
        <v>7.9</v>
      </c>
      <c r="Q22" s="7">
        <v>7.9</v>
      </c>
      <c r="R22" s="7" t="s">
        <v>527</v>
      </c>
      <c r="S22" s="7">
        <v>3</v>
      </c>
      <c r="T22" s="7" t="s">
        <v>574</v>
      </c>
      <c r="U22" s="7">
        <v>14</v>
      </c>
      <c r="V22" s="7" t="s">
        <v>567</v>
      </c>
      <c r="W22" s="7">
        <v>17</v>
      </c>
      <c r="X22" s="7" t="s">
        <v>347</v>
      </c>
      <c r="Y22" s="7">
        <v>10</v>
      </c>
      <c r="Z22" s="26" t="s">
        <v>604</v>
      </c>
      <c r="AA22" s="7">
        <v>29</v>
      </c>
      <c r="AB22" s="26" t="s">
        <v>30</v>
      </c>
      <c r="AC22" s="7">
        <v>7</v>
      </c>
      <c r="AD22" s="7">
        <v>12</v>
      </c>
      <c r="AE22" s="7" t="s">
        <v>605</v>
      </c>
      <c r="AF22" s="7"/>
      <c r="AG22" s="28" t="str">
        <f t="shared" si="2"/>
        <v>(175*'24/30'*565*'7,14 / 8,74'*'0,0457'*49*11*0*0*7,9*7,9*3*14*17*10*29*7*12)*</v>
      </c>
    </row>
    <row r="23" spans="1:33" ht="20.100000000000001" hidden="1" customHeight="1" x14ac:dyDescent="0.25">
      <c r="A23" s="3">
        <v>176</v>
      </c>
      <c r="B23" s="22" t="s">
        <v>606</v>
      </c>
      <c r="C23" s="6"/>
      <c r="D23" s="23">
        <v>1</v>
      </c>
      <c r="E23" s="7" t="s">
        <v>524</v>
      </c>
      <c r="F23" s="7">
        <v>11</v>
      </c>
      <c r="G23" s="7">
        <v>12</v>
      </c>
      <c r="H23" s="32">
        <v>16</v>
      </c>
      <c r="I23" s="25"/>
      <c r="J23" s="7"/>
      <c r="K23" s="7">
        <v>4.5699999999999998E-2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 t="s">
        <v>527</v>
      </c>
      <c r="S23" s="7">
        <v>3</v>
      </c>
      <c r="T23" s="7" t="s">
        <v>20</v>
      </c>
      <c r="U23" s="7" t="s">
        <v>20</v>
      </c>
      <c r="V23" s="7" t="s">
        <v>20</v>
      </c>
      <c r="W23" s="7" t="s">
        <v>20</v>
      </c>
      <c r="X23" s="7" t="s">
        <v>607</v>
      </c>
      <c r="Y23" s="7">
        <v>11</v>
      </c>
      <c r="Z23" s="26" t="s">
        <v>32</v>
      </c>
      <c r="AA23" s="7">
        <v>8</v>
      </c>
      <c r="AB23" s="26" t="s">
        <v>530</v>
      </c>
      <c r="AC23" s="7">
        <v>21</v>
      </c>
      <c r="AD23" s="7">
        <v>12</v>
      </c>
      <c r="AE23" s="7"/>
      <c r="AF23" s="7"/>
      <c r="AG23" s="28" t="str">
        <f t="shared" si="2"/>
        <v>(176*'16'**''*'0,0457'*0*0*0*0*0*0*3*NULL*NULL*11*8*21*12)*</v>
      </c>
    </row>
    <row r="24" spans="1:33" ht="20.100000000000001" hidden="1" customHeight="1" x14ac:dyDescent="0.25">
      <c r="A24" s="3">
        <v>177</v>
      </c>
      <c r="B24" s="22" t="s">
        <v>352</v>
      </c>
      <c r="C24" s="6">
        <v>30720</v>
      </c>
      <c r="D24" s="23">
        <v>1</v>
      </c>
      <c r="E24" s="7" t="s">
        <v>524</v>
      </c>
      <c r="F24" s="7">
        <v>11</v>
      </c>
      <c r="G24" s="7">
        <v>12</v>
      </c>
      <c r="H24" s="24">
        <v>24</v>
      </c>
      <c r="I24" s="25">
        <v>503.46</v>
      </c>
      <c r="J24" s="7" t="s">
        <v>608</v>
      </c>
      <c r="K24" s="7">
        <v>0.05</v>
      </c>
      <c r="L24" s="7">
        <v>84</v>
      </c>
      <c r="M24" s="7">
        <v>84</v>
      </c>
      <c r="N24" s="7">
        <v>0</v>
      </c>
      <c r="O24" s="7">
        <v>0</v>
      </c>
      <c r="P24" s="7">
        <v>9</v>
      </c>
      <c r="Q24" s="7">
        <v>9</v>
      </c>
      <c r="R24" s="7" t="s">
        <v>538</v>
      </c>
      <c r="S24" s="7">
        <v>3</v>
      </c>
      <c r="T24" s="7" t="s">
        <v>574</v>
      </c>
      <c r="U24" s="7">
        <v>14</v>
      </c>
      <c r="V24" s="7" t="s">
        <v>20</v>
      </c>
      <c r="W24" s="7" t="s">
        <v>20</v>
      </c>
      <c r="X24" s="7" t="s">
        <v>607</v>
      </c>
      <c r="Y24" s="7">
        <v>11</v>
      </c>
      <c r="Z24" s="26" t="s">
        <v>32</v>
      </c>
      <c r="AA24" s="7">
        <v>8</v>
      </c>
      <c r="AB24" s="26" t="s">
        <v>530</v>
      </c>
      <c r="AC24" s="7">
        <v>21</v>
      </c>
      <c r="AD24" s="7">
        <v>12</v>
      </c>
      <c r="AE24" s="7" t="s">
        <v>609</v>
      </c>
      <c r="AF24" s="7"/>
      <c r="AG24" s="28" t="str">
        <f t="shared" si="2"/>
        <v>(177*'24'*503,46*'9,52 / 11,91 '*'0,05'*84*84*0*0*9*9*3*14*NULL*11*8*21*12)*</v>
      </c>
    </row>
    <row r="25" spans="1:33" ht="20.100000000000001" hidden="1" customHeight="1" x14ac:dyDescent="0.25">
      <c r="A25" s="3">
        <v>178</v>
      </c>
      <c r="B25" s="22" t="s">
        <v>355</v>
      </c>
      <c r="C25" s="6">
        <v>39814</v>
      </c>
      <c r="D25" s="23">
        <v>1</v>
      </c>
      <c r="E25" s="7" t="s">
        <v>524</v>
      </c>
      <c r="F25" s="7">
        <v>11</v>
      </c>
      <c r="G25" s="7">
        <v>12</v>
      </c>
      <c r="H25" s="24">
        <v>24</v>
      </c>
      <c r="I25" s="25">
        <v>495</v>
      </c>
      <c r="J25" s="30" t="s">
        <v>610</v>
      </c>
      <c r="K25" s="7">
        <v>0.05</v>
      </c>
      <c r="L25" s="7">
        <v>114.1</v>
      </c>
      <c r="M25" s="7">
        <v>114.1</v>
      </c>
      <c r="N25" s="7">
        <v>0</v>
      </c>
      <c r="O25" s="7">
        <v>0</v>
      </c>
      <c r="P25" s="7">
        <v>6</v>
      </c>
      <c r="Q25" s="7">
        <v>6</v>
      </c>
      <c r="R25" s="7" t="s">
        <v>611</v>
      </c>
      <c r="S25" s="7">
        <v>4</v>
      </c>
      <c r="T25" s="7" t="s">
        <v>534</v>
      </c>
      <c r="U25" s="7">
        <v>11</v>
      </c>
      <c r="V25" s="7" t="s">
        <v>20</v>
      </c>
      <c r="W25" s="7" t="s">
        <v>20</v>
      </c>
      <c r="X25" s="7" t="s">
        <v>607</v>
      </c>
      <c r="Y25" s="7">
        <v>11</v>
      </c>
      <c r="Z25" s="26" t="s">
        <v>32</v>
      </c>
      <c r="AA25" s="7">
        <v>8</v>
      </c>
      <c r="AB25" s="26" t="s">
        <v>530</v>
      </c>
      <c r="AC25" s="7">
        <v>21</v>
      </c>
      <c r="AD25" s="7">
        <v>12</v>
      </c>
      <c r="AE25" s="7" t="s">
        <v>612</v>
      </c>
      <c r="AF25" s="7"/>
      <c r="AG25" s="28" t="str">
        <f t="shared" si="2"/>
        <v>(178*'24'*495*'8,74 / 9,52 / 10,31 / 12,70 / 14,27 / 15,88 / 19,05 / 17,5'*'0,05'*114,1*114,1*0*0*6*6*4*11*NULL*11*8*21*12)*</v>
      </c>
    </row>
    <row r="26" spans="1:33" ht="20.100000000000001" hidden="1" customHeight="1" x14ac:dyDescent="0.25">
      <c r="A26" s="3">
        <v>179</v>
      </c>
      <c r="B26" s="22" t="s">
        <v>358</v>
      </c>
      <c r="C26" s="6">
        <v>35065</v>
      </c>
      <c r="D26" s="23">
        <v>1</v>
      </c>
      <c r="E26" s="7" t="s">
        <v>581</v>
      </c>
      <c r="F26" s="7">
        <v>12</v>
      </c>
      <c r="G26" s="7">
        <v>12</v>
      </c>
      <c r="H26" s="24" t="s">
        <v>613</v>
      </c>
      <c r="I26" s="25">
        <v>989</v>
      </c>
      <c r="J26" s="7" t="s">
        <v>608</v>
      </c>
      <c r="K26" s="7">
        <v>0.05</v>
      </c>
      <c r="L26" s="7">
        <v>91.7</v>
      </c>
      <c r="M26" s="7">
        <v>91.7</v>
      </c>
      <c r="N26" s="7">
        <v>0</v>
      </c>
      <c r="O26" s="7">
        <v>0</v>
      </c>
      <c r="P26" s="7">
        <v>6.5</v>
      </c>
      <c r="Q26" s="7">
        <v>5.7</v>
      </c>
      <c r="R26" s="7" t="s">
        <v>533</v>
      </c>
      <c r="S26" s="7">
        <v>4</v>
      </c>
      <c r="T26" s="7" t="s">
        <v>534</v>
      </c>
      <c r="U26" s="7">
        <v>11</v>
      </c>
      <c r="V26" s="7" t="s">
        <v>20</v>
      </c>
      <c r="W26" s="7" t="s">
        <v>20</v>
      </c>
      <c r="X26" s="7" t="s">
        <v>614</v>
      </c>
      <c r="Y26" s="7">
        <v>12</v>
      </c>
      <c r="Z26" s="26" t="s">
        <v>615</v>
      </c>
      <c r="AA26" s="7">
        <v>20</v>
      </c>
      <c r="AB26" s="26" t="s">
        <v>32</v>
      </c>
      <c r="AC26" s="7">
        <v>8</v>
      </c>
      <c r="AD26" s="7">
        <v>12</v>
      </c>
      <c r="AE26" s="7" t="s">
        <v>616</v>
      </c>
      <c r="AF26" s="7"/>
      <c r="AG26" s="28" t="str">
        <f t="shared" si="2"/>
        <v>(179*'10 / 12 / 14 / 16 / 20 / 24'*989*'9,52 / 11,91 '*'0,05'*91,7*91,7*0*0*6,5*5,7*4*11*NULL*12*20*8*12)*</v>
      </c>
    </row>
    <row r="27" spans="1:33" ht="20.100000000000001" hidden="1" customHeight="1" x14ac:dyDescent="0.25">
      <c r="A27" s="3">
        <v>179</v>
      </c>
      <c r="B27" s="33" t="s">
        <v>617</v>
      </c>
      <c r="C27" s="6"/>
      <c r="D27" s="23">
        <v>1</v>
      </c>
      <c r="E27" s="7" t="s">
        <v>524</v>
      </c>
      <c r="F27" s="7">
        <v>11</v>
      </c>
      <c r="G27" s="7">
        <v>12</v>
      </c>
      <c r="H27" s="32">
        <v>12</v>
      </c>
      <c r="I27" s="25"/>
      <c r="J27" s="7" t="s">
        <v>618</v>
      </c>
      <c r="K27" s="7">
        <v>0.05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 t="s">
        <v>533</v>
      </c>
      <c r="S27" s="7">
        <v>4</v>
      </c>
      <c r="T27" s="7" t="s">
        <v>20</v>
      </c>
      <c r="U27" s="7" t="s">
        <v>20</v>
      </c>
      <c r="V27" s="7" t="s">
        <v>20</v>
      </c>
      <c r="W27" s="7" t="s">
        <v>20</v>
      </c>
      <c r="X27" s="7" t="s">
        <v>614</v>
      </c>
      <c r="Y27" s="7">
        <v>12</v>
      </c>
      <c r="Z27" s="26" t="s">
        <v>32</v>
      </c>
      <c r="AA27" s="7">
        <v>8</v>
      </c>
      <c r="AB27" s="26" t="s">
        <v>530</v>
      </c>
      <c r="AC27" s="7">
        <v>21</v>
      </c>
      <c r="AD27" s="7">
        <v>12</v>
      </c>
      <c r="AE27" s="7"/>
      <c r="AF27" s="7"/>
      <c r="AG27" s="28" t="str">
        <f t="shared" si="2"/>
        <v>(179*'12'**'11,91 / 12,7 / 14,25 / 19,05'*'0,05'*0*0*0*0*0*0*4*NULL*NULL*12*8*21*12)*</v>
      </c>
    </row>
    <row r="28" spans="1:33" ht="20.100000000000001" hidden="1" customHeight="1" x14ac:dyDescent="0.25">
      <c r="A28" s="3">
        <v>180</v>
      </c>
      <c r="B28" s="22" t="s">
        <v>361</v>
      </c>
      <c r="C28" s="6">
        <v>38264</v>
      </c>
      <c r="D28" s="23">
        <v>1</v>
      </c>
      <c r="E28" s="7" t="s">
        <v>581</v>
      </c>
      <c r="F28" s="7">
        <v>12</v>
      </c>
      <c r="G28" s="7">
        <v>12</v>
      </c>
      <c r="H28" s="24">
        <v>16</v>
      </c>
      <c r="I28" s="25">
        <v>404</v>
      </c>
      <c r="J28" s="7" t="s">
        <v>619</v>
      </c>
      <c r="K28" s="7">
        <v>4.5999999999999999E-2</v>
      </c>
      <c r="L28" s="7">
        <v>89.2</v>
      </c>
      <c r="M28" s="7">
        <v>89.2</v>
      </c>
      <c r="N28" s="7">
        <v>0</v>
      </c>
      <c r="O28" s="7">
        <v>0</v>
      </c>
      <c r="P28" s="7">
        <v>3.26</v>
      </c>
      <c r="Q28" s="7">
        <v>3.26</v>
      </c>
      <c r="R28" s="7" t="s">
        <v>533</v>
      </c>
      <c r="S28" s="7">
        <v>4</v>
      </c>
      <c r="T28" s="7" t="s">
        <v>534</v>
      </c>
      <c r="U28" s="7">
        <v>11</v>
      </c>
      <c r="V28" s="7" t="s">
        <v>20</v>
      </c>
      <c r="W28" s="7" t="s">
        <v>20</v>
      </c>
      <c r="X28" s="7" t="s">
        <v>614</v>
      </c>
      <c r="Y28" s="7">
        <v>12</v>
      </c>
      <c r="Z28" s="26" t="s">
        <v>620</v>
      </c>
      <c r="AA28" s="7">
        <v>16</v>
      </c>
      <c r="AB28" s="26" t="s">
        <v>621</v>
      </c>
      <c r="AC28" s="7">
        <v>26</v>
      </c>
      <c r="AD28" s="7">
        <v>12</v>
      </c>
      <c r="AE28" s="7" t="s">
        <v>622</v>
      </c>
      <c r="AF28" s="7"/>
      <c r="AG28" s="28" t="str">
        <f t="shared" si="2"/>
        <v>(180*'16'*404*'7,92 / 11,13'*'0,046'*89,2*89,2*0*0*3,26*3,26*4*11*NULL*12*16*26*12)*</v>
      </c>
    </row>
    <row r="29" spans="1:33" ht="20.100000000000001" hidden="1" customHeight="1" x14ac:dyDescent="0.25">
      <c r="A29" s="3">
        <v>181</v>
      </c>
      <c r="B29" s="22" t="s">
        <v>364</v>
      </c>
      <c r="C29" s="6">
        <v>41640</v>
      </c>
      <c r="D29" s="23">
        <v>1</v>
      </c>
      <c r="E29" s="7" t="s">
        <v>581</v>
      </c>
      <c r="F29" s="7">
        <v>12</v>
      </c>
      <c r="G29" s="7">
        <v>12</v>
      </c>
      <c r="H29" s="24">
        <v>24</v>
      </c>
      <c r="I29" s="25">
        <v>336</v>
      </c>
      <c r="J29" s="7" t="s">
        <v>623</v>
      </c>
      <c r="K29" s="7">
        <v>4.5999999999999999E-2</v>
      </c>
      <c r="L29" s="7">
        <v>77</v>
      </c>
      <c r="M29" s="7">
        <v>77</v>
      </c>
      <c r="N29" s="7">
        <v>0</v>
      </c>
      <c r="O29" s="7">
        <v>0</v>
      </c>
      <c r="P29" s="7">
        <v>4.5</v>
      </c>
      <c r="Q29" s="7">
        <v>4.5</v>
      </c>
      <c r="R29" s="7" t="s">
        <v>533</v>
      </c>
      <c r="S29" s="7">
        <v>4</v>
      </c>
      <c r="T29" s="7" t="s">
        <v>555</v>
      </c>
      <c r="U29" s="7">
        <v>21</v>
      </c>
      <c r="V29" s="7" t="s">
        <v>20</v>
      </c>
      <c r="W29" s="7" t="s">
        <v>20</v>
      </c>
      <c r="X29" s="7" t="s">
        <v>614</v>
      </c>
      <c r="Y29" s="7">
        <v>12</v>
      </c>
      <c r="Z29" s="26" t="s">
        <v>624</v>
      </c>
      <c r="AA29" s="7">
        <v>14</v>
      </c>
      <c r="AB29" s="26" t="s">
        <v>32</v>
      </c>
      <c r="AC29" s="7">
        <v>8</v>
      </c>
      <c r="AD29" s="7">
        <v>12</v>
      </c>
      <c r="AE29" s="7" t="s">
        <v>625</v>
      </c>
      <c r="AF29" s="7"/>
      <c r="AG29" s="28" t="str">
        <f t="shared" si="2"/>
        <v>(181*'24'*336*'14,3 / 9,52 / 11,13 / 15,88 / 10,31'*'0,046'*77*77*0*0*4,5*4,5*4*21*NULL*12*14*8*12)*</v>
      </c>
    </row>
    <row r="30" spans="1:33" ht="20.100000000000001" hidden="1" customHeight="1" x14ac:dyDescent="0.25">
      <c r="A30" s="3">
        <v>182</v>
      </c>
      <c r="B30" s="22" t="s">
        <v>367</v>
      </c>
      <c r="C30" s="6">
        <v>22282</v>
      </c>
      <c r="D30" s="23">
        <v>1</v>
      </c>
      <c r="E30" s="7" t="s">
        <v>524</v>
      </c>
      <c r="F30" s="7">
        <v>11</v>
      </c>
      <c r="G30" s="7">
        <v>16</v>
      </c>
      <c r="H30" s="24" t="s">
        <v>626</v>
      </c>
      <c r="I30" s="25">
        <v>509</v>
      </c>
      <c r="J30" s="7" t="s">
        <v>627</v>
      </c>
      <c r="K30" s="7">
        <v>1.4999999999999999E-2</v>
      </c>
      <c r="L30" s="7">
        <v>65</v>
      </c>
      <c r="M30" s="7">
        <v>0</v>
      </c>
      <c r="N30" s="7">
        <v>0</v>
      </c>
      <c r="O30" s="7">
        <v>0</v>
      </c>
      <c r="P30" s="7">
        <v>3.56</v>
      </c>
      <c r="Q30" s="7">
        <v>0</v>
      </c>
      <c r="R30" s="7" t="s">
        <v>538</v>
      </c>
      <c r="S30" s="7">
        <v>3</v>
      </c>
      <c r="T30" s="7" t="s">
        <v>628</v>
      </c>
      <c r="U30" s="7">
        <v>14</v>
      </c>
      <c r="V30" s="7" t="s">
        <v>629</v>
      </c>
      <c r="W30" s="7">
        <v>17</v>
      </c>
      <c r="X30" s="7" t="s">
        <v>367</v>
      </c>
      <c r="Y30" s="7">
        <v>13</v>
      </c>
      <c r="Z30" s="26" t="s">
        <v>32</v>
      </c>
      <c r="AA30" s="7">
        <v>8</v>
      </c>
      <c r="AB30" s="26" t="s">
        <v>530</v>
      </c>
      <c r="AC30" s="7">
        <v>21</v>
      </c>
      <c r="AD30" s="7">
        <v>16</v>
      </c>
      <c r="AE30" s="7" t="s">
        <v>630</v>
      </c>
      <c r="AF30" s="7"/>
      <c r="AG30" s="28" t="str">
        <f t="shared" si="2"/>
        <v>(182*'20 / 24'*509*'8,74 - 12,7 - 10,31 - 15,9'*'0,015'*65*0*0*0*3,56*0*3*14*17*13*8*21*16)*</v>
      </c>
    </row>
    <row r="31" spans="1:33" ht="20.100000000000001" hidden="1" customHeight="1" x14ac:dyDescent="0.25">
      <c r="A31" s="3">
        <v>183</v>
      </c>
      <c r="B31" s="22" t="s">
        <v>369</v>
      </c>
      <c r="C31" s="6">
        <v>44805</v>
      </c>
      <c r="D31" s="23">
        <v>1</v>
      </c>
      <c r="E31" s="7" t="s">
        <v>524</v>
      </c>
      <c r="F31" s="7">
        <v>11</v>
      </c>
      <c r="G31" s="7">
        <v>16</v>
      </c>
      <c r="H31" s="24">
        <v>20</v>
      </c>
      <c r="I31" s="25">
        <v>3.6</v>
      </c>
      <c r="J31" s="7">
        <v>11.13</v>
      </c>
      <c r="K31" s="7">
        <v>1.4999999999999999E-2</v>
      </c>
      <c r="L31" s="7">
        <v>70</v>
      </c>
      <c r="M31" s="7">
        <v>70</v>
      </c>
      <c r="N31" s="7">
        <v>0</v>
      </c>
      <c r="O31" s="7">
        <v>0</v>
      </c>
      <c r="P31" s="7">
        <v>0</v>
      </c>
      <c r="Q31" s="7">
        <v>0</v>
      </c>
      <c r="R31" s="7" t="s">
        <v>533</v>
      </c>
      <c r="S31" s="7">
        <v>4</v>
      </c>
      <c r="T31" s="7" t="s">
        <v>555</v>
      </c>
      <c r="U31" s="7">
        <v>21</v>
      </c>
      <c r="V31" s="7" t="s">
        <v>629</v>
      </c>
      <c r="W31" s="7">
        <v>17</v>
      </c>
      <c r="X31" s="7" t="s">
        <v>631</v>
      </c>
      <c r="Y31" s="7">
        <v>14</v>
      </c>
      <c r="Z31" s="26" t="s">
        <v>530</v>
      </c>
      <c r="AA31" s="7">
        <v>21</v>
      </c>
      <c r="AB31" s="26" t="s">
        <v>632</v>
      </c>
      <c r="AC31" s="13">
        <v>122</v>
      </c>
      <c r="AD31" s="7">
        <v>16</v>
      </c>
      <c r="AE31" s="7"/>
      <c r="AF31" s="7"/>
      <c r="AG31" s="28" t="str">
        <f t="shared" si="2"/>
        <v>(183*'20'*3,6*'11,13'*'0,015'*70*70*0*0*0*0*4*21*17*14*21*122*16)*</v>
      </c>
    </row>
    <row r="32" spans="1:33" ht="20.100000000000001" hidden="1" customHeight="1" x14ac:dyDescent="0.25">
      <c r="A32" s="3">
        <v>184</v>
      </c>
      <c r="B32" s="22" t="s">
        <v>372</v>
      </c>
      <c r="C32" s="6">
        <v>27760</v>
      </c>
      <c r="D32" s="23">
        <v>1</v>
      </c>
      <c r="E32" s="7" t="s">
        <v>524</v>
      </c>
      <c r="F32" s="7">
        <v>11</v>
      </c>
      <c r="G32" s="7">
        <v>16</v>
      </c>
      <c r="H32" s="24">
        <v>40</v>
      </c>
      <c r="I32" s="25">
        <v>507</v>
      </c>
      <c r="J32" s="7" t="s">
        <v>633</v>
      </c>
      <c r="K32" s="7">
        <v>1.4999999999999999E-2</v>
      </c>
      <c r="L32" s="7">
        <v>69.8</v>
      </c>
      <c r="M32" s="7">
        <v>69.8</v>
      </c>
      <c r="N32" s="7">
        <v>0</v>
      </c>
      <c r="O32" s="7">
        <v>0</v>
      </c>
      <c r="P32" s="7">
        <v>13.679</v>
      </c>
      <c r="Q32" s="7">
        <v>13.679</v>
      </c>
      <c r="R32" s="7" t="s">
        <v>538</v>
      </c>
      <c r="S32" s="7">
        <v>3</v>
      </c>
      <c r="T32" s="7" t="s">
        <v>628</v>
      </c>
      <c r="U32" s="7">
        <v>14</v>
      </c>
      <c r="V32" s="7" t="s">
        <v>629</v>
      </c>
      <c r="W32" s="7">
        <v>17</v>
      </c>
      <c r="X32" s="7" t="s">
        <v>631</v>
      </c>
      <c r="Y32" s="7">
        <v>14</v>
      </c>
      <c r="Z32" s="26" t="s">
        <v>32</v>
      </c>
      <c r="AA32" s="7">
        <v>8</v>
      </c>
      <c r="AB32" s="26" t="s">
        <v>530</v>
      </c>
      <c r="AC32" s="7">
        <v>21</v>
      </c>
      <c r="AD32" s="7">
        <v>16</v>
      </c>
      <c r="AE32" s="7" t="s">
        <v>634</v>
      </c>
      <c r="AF32" s="7"/>
      <c r="AG32" s="28" t="str">
        <f t="shared" si="2"/>
        <v>(184*'40'*507*'11,13 - 12,7 - 19,05'*'0,015'*69,8*69,8*0*0*13,679*13,679*3*14*17*14*8*21*16)*</v>
      </c>
    </row>
    <row r="33" spans="1:33" ht="20.100000000000001" hidden="1" customHeight="1" x14ac:dyDescent="0.25">
      <c r="A33" s="3">
        <v>185</v>
      </c>
      <c r="B33" s="22" t="s">
        <v>375</v>
      </c>
      <c r="C33" s="6">
        <v>29952</v>
      </c>
      <c r="D33" s="23">
        <v>1</v>
      </c>
      <c r="E33" s="7" t="s">
        <v>524</v>
      </c>
      <c r="F33" s="7">
        <v>11</v>
      </c>
      <c r="G33" s="7">
        <v>16</v>
      </c>
      <c r="H33" s="24">
        <v>40</v>
      </c>
      <c r="I33" s="25">
        <v>511</v>
      </c>
      <c r="J33" s="7" t="s">
        <v>633</v>
      </c>
      <c r="K33" s="7">
        <v>1.4999999999999999E-2</v>
      </c>
      <c r="L33" s="7">
        <v>67</v>
      </c>
      <c r="M33" s="7">
        <v>67</v>
      </c>
      <c r="N33" s="7">
        <v>0</v>
      </c>
      <c r="O33" s="7">
        <v>0</v>
      </c>
      <c r="P33" s="7">
        <v>12.507</v>
      </c>
      <c r="Q33" s="7">
        <v>12.507</v>
      </c>
      <c r="R33" s="7" t="s">
        <v>538</v>
      </c>
      <c r="S33" s="7">
        <v>3</v>
      </c>
      <c r="T33" s="7" t="s">
        <v>628</v>
      </c>
      <c r="U33" s="7">
        <v>14</v>
      </c>
      <c r="V33" s="7" t="s">
        <v>629</v>
      </c>
      <c r="W33" s="7">
        <v>17</v>
      </c>
      <c r="X33" s="7" t="s">
        <v>631</v>
      </c>
      <c r="Y33" s="7">
        <v>14</v>
      </c>
      <c r="Z33" s="26" t="s">
        <v>32</v>
      </c>
      <c r="AA33" s="7">
        <v>8</v>
      </c>
      <c r="AB33" s="26" t="s">
        <v>530</v>
      </c>
      <c r="AC33" s="7">
        <v>21</v>
      </c>
      <c r="AD33" s="7">
        <v>16</v>
      </c>
      <c r="AE33" s="7" t="s">
        <v>635</v>
      </c>
      <c r="AF33" s="7"/>
      <c r="AG33" s="28" t="str">
        <f t="shared" si="2"/>
        <v>(185*'40'*511*'11,13 - 12,7 - 19,05'*'0,015'*67*67*0*0*12,507*12,507*3*14*17*14*8*21*16)*</v>
      </c>
    </row>
    <row r="34" spans="1:33" ht="20.100000000000001" hidden="1" customHeight="1" x14ac:dyDescent="0.25">
      <c r="A34" s="3">
        <v>186</v>
      </c>
      <c r="B34" s="22" t="s">
        <v>377</v>
      </c>
      <c r="C34" s="6"/>
      <c r="D34" s="23">
        <v>1</v>
      </c>
      <c r="E34" s="7" t="s">
        <v>524</v>
      </c>
      <c r="F34" s="7">
        <v>11</v>
      </c>
      <c r="G34" s="7">
        <v>16</v>
      </c>
      <c r="H34" s="24">
        <v>40</v>
      </c>
      <c r="I34" s="25">
        <v>221</v>
      </c>
      <c r="J34" s="7" t="s">
        <v>618</v>
      </c>
      <c r="K34" s="7">
        <v>1.4999999999999999E-2</v>
      </c>
      <c r="L34" s="7">
        <v>67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 t="s">
        <v>533</v>
      </c>
      <c r="S34" s="7">
        <v>4</v>
      </c>
      <c r="T34" s="7" t="s">
        <v>20</v>
      </c>
      <c r="U34" s="7" t="s">
        <v>20</v>
      </c>
      <c r="V34" s="7" t="s">
        <v>20</v>
      </c>
      <c r="W34" s="7" t="s">
        <v>20</v>
      </c>
      <c r="X34" s="7" t="s">
        <v>631</v>
      </c>
      <c r="Y34" s="7">
        <v>14</v>
      </c>
      <c r="Z34" s="26"/>
      <c r="AA34" s="13"/>
      <c r="AB34" s="26"/>
      <c r="AC34" s="13"/>
      <c r="AD34" s="7"/>
      <c r="AE34" s="7"/>
      <c r="AF34" s="7"/>
      <c r="AG34" s="28" t="str">
        <f t="shared" si="1"/>
        <v>(186*'40'*221*'11,91 / 12,7 / 14,25 / 19,05'*'0,015'*67*0*0*0*0*0*4*NULL*NULL*14**)*</v>
      </c>
    </row>
    <row r="35" spans="1:33" ht="20.100000000000001" hidden="1" customHeight="1" x14ac:dyDescent="0.25">
      <c r="A35" s="3">
        <v>187</v>
      </c>
      <c r="B35" s="22" t="s">
        <v>379</v>
      </c>
      <c r="C35" s="6">
        <v>32509</v>
      </c>
      <c r="D35" s="23">
        <v>1</v>
      </c>
      <c r="E35" s="7" t="s">
        <v>524</v>
      </c>
      <c r="F35" s="7">
        <v>11</v>
      </c>
      <c r="G35" s="7">
        <v>16</v>
      </c>
      <c r="H35" s="24">
        <v>42</v>
      </c>
      <c r="I35" s="25">
        <v>517</v>
      </c>
      <c r="J35" s="7" t="s">
        <v>636</v>
      </c>
      <c r="K35" s="7">
        <v>1.4999999999999999E-2</v>
      </c>
      <c r="L35" s="7">
        <v>65</v>
      </c>
      <c r="M35" s="7">
        <v>65</v>
      </c>
      <c r="N35" s="7">
        <v>0</v>
      </c>
      <c r="O35" s="7">
        <v>0</v>
      </c>
      <c r="P35" s="7">
        <v>14.462</v>
      </c>
      <c r="Q35" s="7">
        <v>14.462</v>
      </c>
      <c r="R35" s="7" t="s">
        <v>637</v>
      </c>
      <c r="S35" s="7">
        <v>4</v>
      </c>
      <c r="T35" s="7" t="s">
        <v>638</v>
      </c>
      <c r="U35" s="7">
        <v>14</v>
      </c>
      <c r="V35" s="7" t="s">
        <v>629</v>
      </c>
      <c r="W35" s="7">
        <v>17</v>
      </c>
      <c r="X35" s="7" t="s">
        <v>631</v>
      </c>
      <c r="Y35" s="7">
        <v>14</v>
      </c>
      <c r="Z35" s="26" t="s">
        <v>32</v>
      </c>
      <c r="AA35" s="7">
        <v>8</v>
      </c>
      <c r="AB35" s="26" t="s">
        <v>530</v>
      </c>
      <c r="AC35" s="7">
        <v>21</v>
      </c>
      <c r="AD35" s="7">
        <v>16</v>
      </c>
      <c r="AE35" s="7" t="s">
        <v>639</v>
      </c>
      <c r="AF35" s="7"/>
      <c r="AG35" s="28" t="str">
        <f>CONCATENATE("(",A35,"*'",H35,"'*",I35,"*'",J35,"'*'",K35,"'*",L35,"*",M35,"*",N35,"*",O35,"*",P35,"*",Q35,"*",S35,"*",U35,"*",W35,"*",Y35,"*",AA35,"*",AC35,"*",AD35,")*")</f>
        <v>(187*'42'*517*'11,13 / 12,7 / 14,3 / 0,6 '*'0,015'*65*65*0*0*14,462*14,462*4*14*17*14*8*21*16)*</v>
      </c>
    </row>
    <row r="36" spans="1:33" ht="20.100000000000001" hidden="1" customHeight="1" x14ac:dyDescent="0.25">
      <c r="A36" s="3">
        <v>188</v>
      </c>
      <c r="B36" s="22" t="s">
        <v>382</v>
      </c>
      <c r="C36" s="6"/>
      <c r="D36" s="23">
        <v>1</v>
      </c>
      <c r="E36" s="7" t="s">
        <v>524</v>
      </c>
      <c r="F36" s="7">
        <v>11</v>
      </c>
      <c r="G36" s="7">
        <v>16</v>
      </c>
      <c r="H36" s="24"/>
      <c r="I36" s="25"/>
      <c r="J36" s="24" t="s">
        <v>640</v>
      </c>
      <c r="K36" s="7">
        <v>1.4999999999999999E-2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 t="s">
        <v>533</v>
      </c>
      <c r="S36" s="7">
        <v>4</v>
      </c>
      <c r="T36" s="7" t="s">
        <v>20</v>
      </c>
      <c r="U36" s="7" t="s">
        <v>20</v>
      </c>
      <c r="V36" s="7" t="s">
        <v>20</v>
      </c>
      <c r="W36" s="7" t="s">
        <v>20</v>
      </c>
      <c r="X36" s="7" t="s">
        <v>631</v>
      </c>
      <c r="Y36" s="7">
        <v>14</v>
      </c>
      <c r="Z36" s="26"/>
      <c r="AA36" s="13"/>
      <c r="AB36" s="26"/>
      <c r="AC36" s="13"/>
      <c r="AD36" s="7"/>
      <c r="AE36" s="7"/>
      <c r="AF36" s="7"/>
      <c r="AG36" s="28" t="str">
        <f t="shared" si="1"/>
        <v>(188*''**'11,91 - 22,22'*'0,015'*0*0*0*0*0*0*4*NULL*NULL*14**)*</v>
      </c>
    </row>
    <row r="37" spans="1:33" ht="20.100000000000001" hidden="1" customHeight="1" x14ac:dyDescent="0.25">
      <c r="A37" s="3">
        <v>189</v>
      </c>
      <c r="B37" s="33" t="s">
        <v>385</v>
      </c>
      <c r="C37" s="6"/>
      <c r="D37" s="23">
        <v>1</v>
      </c>
      <c r="E37" s="7" t="s">
        <v>524</v>
      </c>
      <c r="F37" s="7">
        <v>11</v>
      </c>
      <c r="G37" s="7">
        <v>16</v>
      </c>
      <c r="H37" s="24"/>
      <c r="I37" s="25"/>
      <c r="J37" s="24" t="s">
        <v>640</v>
      </c>
      <c r="K37" s="7">
        <v>1.4999999999999999E-2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 t="s">
        <v>533</v>
      </c>
      <c r="S37" s="7">
        <v>4</v>
      </c>
      <c r="T37" s="7" t="s">
        <v>20</v>
      </c>
      <c r="U37" s="7" t="s">
        <v>20</v>
      </c>
      <c r="V37" s="7" t="s">
        <v>20</v>
      </c>
      <c r="W37" s="7" t="s">
        <v>20</v>
      </c>
      <c r="X37" s="7" t="s">
        <v>631</v>
      </c>
      <c r="Y37" s="7">
        <v>14</v>
      </c>
      <c r="Z37" s="26"/>
      <c r="AA37" s="13"/>
      <c r="AB37" s="26"/>
      <c r="AC37" s="13"/>
      <c r="AD37" s="7"/>
      <c r="AE37" s="7"/>
      <c r="AF37" s="7"/>
      <c r="AG37" s="28" t="str">
        <f t="shared" si="1"/>
        <v>(189*''**'11,91 - 22,22'*'0,015'*0*0*0*0*0*0*4*NULL*NULL*14**)*</v>
      </c>
    </row>
    <row r="38" spans="1:33" ht="20.100000000000001" hidden="1" customHeight="1" x14ac:dyDescent="0.25">
      <c r="A38" s="3">
        <v>190</v>
      </c>
      <c r="B38" s="22" t="s">
        <v>642</v>
      </c>
      <c r="C38" s="6">
        <v>39841</v>
      </c>
      <c r="D38" s="23">
        <v>1</v>
      </c>
      <c r="E38" s="7" t="s">
        <v>524</v>
      </c>
      <c r="F38" s="7">
        <v>11</v>
      </c>
      <c r="G38" s="7">
        <v>16</v>
      </c>
      <c r="H38" s="24">
        <v>48</v>
      </c>
      <c r="I38" s="25">
        <v>513.17200000000003</v>
      </c>
      <c r="J38" s="24" t="s">
        <v>640</v>
      </c>
      <c r="K38" s="7">
        <v>1.4999999999999999E-2</v>
      </c>
      <c r="L38" s="7">
        <v>70</v>
      </c>
      <c r="M38" s="7">
        <v>70</v>
      </c>
      <c r="N38" s="7">
        <v>0</v>
      </c>
      <c r="O38" s="7">
        <v>0</v>
      </c>
      <c r="P38" s="7">
        <v>0</v>
      </c>
      <c r="Q38" s="7">
        <v>0</v>
      </c>
      <c r="R38" s="7" t="s">
        <v>641</v>
      </c>
      <c r="S38" s="7">
        <v>6</v>
      </c>
      <c r="T38" s="7" t="s">
        <v>534</v>
      </c>
      <c r="U38" s="7">
        <v>11</v>
      </c>
      <c r="V38" s="7" t="s">
        <v>20</v>
      </c>
      <c r="W38" s="7" t="s">
        <v>20</v>
      </c>
      <c r="X38" s="7" t="s">
        <v>642</v>
      </c>
      <c r="Y38" s="7">
        <v>15</v>
      </c>
      <c r="Z38" s="26" t="s">
        <v>32</v>
      </c>
      <c r="AA38" s="7">
        <v>8</v>
      </c>
      <c r="AB38" s="26" t="s">
        <v>530</v>
      </c>
      <c r="AC38" s="7">
        <v>21</v>
      </c>
      <c r="AD38" s="7">
        <v>16</v>
      </c>
      <c r="AE38" s="7" t="s">
        <v>643</v>
      </c>
      <c r="AF38" s="7"/>
      <c r="AG38" s="28" t="str">
        <f>CONCATENATE("(",A38,"*'",H38,"'*",I38,"*'",J38,"'*'",K38,"'*",L38,"*",M38,"*",N38,"*",O38,"*",P38,"*",Q38,"*",S38,"*",U38,"*",W38,"*",Y38,"*",AA38,"*",AC38,"*",AD38,")*")</f>
        <v>(190*'48'*513,172*'11,91 - 22,22'*'0,015'*70*70*0*0*0*0*6*11*NULL*15*8*21*16)*</v>
      </c>
    </row>
    <row r="39" spans="1:33" ht="20.100000000000001" hidden="1" customHeight="1" x14ac:dyDescent="0.25">
      <c r="A39" s="3">
        <v>191</v>
      </c>
      <c r="B39" s="22" t="s">
        <v>1001</v>
      </c>
      <c r="C39" s="6">
        <v>40284</v>
      </c>
      <c r="D39" s="23">
        <v>1</v>
      </c>
      <c r="E39" s="7" t="s">
        <v>524</v>
      </c>
      <c r="F39" s="7">
        <v>11</v>
      </c>
      <c r="G39" s="7">
        <v>16</v>
      </c>
      <c r="H39" s="24">
        <v>48</v>
      </c>
      <c r="I39" s="25">
        <v>120.37</v>
      </c>
      <c r="J39" s="24" t="s">
        <v>640</v>
      </c>
      <c r="K39" s="7">
        <v>1.4999999999999999E-2</v>
      </c>
      <c r="L39" s="7">
        <v>70</v>
      </c>
      <c r="M39" s="7">
        <v>45</v>
      </c>
      <c r="N39" s="7">
        <v>0</v>
      </c>
      <c r="O39" s="7">
        <v>0</v>
      </c>
      <c r="P39" s="7">
        <v>0</v>
      </c>
      <c r="Q39" s="7">
        <v>0</v>
      </c>
      <c r="R39" s="7" t="s">
        <v>641</v>
      </c>
      <c r="S39" s="7">
        <v>6</v>
      </c>
      <c r="T39" s="7" t="s">
        <v>534</v>
      </c>
      <c r="U39" s="7">
        <v>11</v>
      </c>
      <c r="V39" s="7" t="s">
        <v>20</v>
      </c>
      <c r="W39" s="7" t="s">
        <v>20</v>
      </c>
      <c r="X39" s="7" t="s">
        <v>642</v>
      </c>
      <c r="Y39" s="7">
        <v>15</v>
      </c>
      <c r="Z39" s="26" t="s">
        <v>644</v>
      </c>
      <c r="AA39" s="13" t="s">
        <v>644</v>
      </c>
      <c r="AB39" s="26" t="s">
        <v>645</v>
      </c>
      <c r="AC39" s="7">
        <v>3</v>
      </c>
      <c r="AD39" s="7"/>
      <c r="AE39" s="7" t="s">
        <v>646</v>
      </c>
      <c r="AF39" s="7"/>
      <c r="AG39" s="28" t="str">
        <f t="shared" si="1"/>
        <v>(191*'48'*120,37*'11,91 - 22,22'*'0,015'*70*45*0*0*0*0*6*11*NULL*15*Mactaa Douz*3)*</v>
      </c>
    </row>
    <row r="40" spans="1:33" ht="20.100000000000001" hidden="1" customHeight="1" x14ac:dyDescent="0.25">
      <c r="A40" s="3">
        <v>192</v>
      </c>
      <c r="B40" s="33" t="s">
        <v>392</v>
      </c>
      <c r="C40" s="6"/>
      <c r="D40" s="23">
        <v>1</v>
      </c>
      <c r="E40" s="7" t="s">
        <v>524</v>
      </c>
      <c r="F40" s="7">
        <v>11</v>
      </c>
      <c r="G40" s="7">
        <v>16</v>
      </c>
      <c r="H40" s="24"/>
      <c r="I40" s="25"/>
      <c r="J40" s="24" t="s">
        <v>640</v>
      </c>
      <c r="K40" s="7">
        <v>1.4999999999999999E-2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 t="s">
        <v>533</v>
      </c>
      <c r="S40" s="7">
        <v>4</v>
      </c>
      <c r="T40" s="7" t="s">
        <v>20</v>
      </c>
      <c r="U40" s="7" t="s">
        <v>20</v>
      </c>
      <c r="V40" s="7" t="s">
        <v>20</v>
      </c>
      <c r="W40" s="7" t="s">
        <v>20</v>
      </c>
      <c r="X40" s="7" t="s">
        <v>642</v>
      </c>
      <c r="Y40" s="7">
        <v>15</v>
      </c>
      <c r="Z40" s="26"/>
      <c r="AA40" s="7"/>
      <c r="AB40" s="26" t="s">
        <v>23</v>
      </c>
      <c r="AC40" s="7">
        <v>3</v>
      </c>
      <c r="AD40" s="7"/>
      <c r="AE40" s="7"/>
      <c r="AF40" s="7"/>
      <c r="AG40" s="28" t="str">
        <f t="shared" si="1"/>
        <v>(192*''**'11,91 - 22,22'*'0,015'*0*0*0*0*0*0*4*NULL*NULL*15**3)*</v>
      </c>
    </row>
    <row r="41" spans="1:33" ht="20.100000000000001" hidden="1" customHeight="1" x14ac:dyDescent="0.25">
      <c r="A41" s="3">
        <v>193</v>
      </c>
      <c r="B41" s="22" t="s">
        <v>394</v>
      </c>
      <c r="C41" s="6">
        <v>25934</v>
      </c>
      <c r="D41" s="23">
        <v>1</v>
      </c>
      <c r="E41" s="7" t="s">
        <v>536</v>
      </c>
      <c r="F41" s="7">
        <v>13</v>
      </c>
      <c r="G41" s="7">
        <v>16</v>
      </c>
      <c r="H41" s="24">
        <v>40</v>
      </c>
      <c r="I41" s="25">
        <v>574.87</v>
      </c>
      <c r="J41" s="7" t="s">
        <v>647</v>
      </c>
      <c r="K41" s="7">
        <v>3.5000000000000003E-2</v>
      </c>
      <c r="L41" s="7">
        <v>70</v>
      </c>
      <c r="M41" s="7">
        <v>70</v>
      </c>
      <c r="N41" s="7">
        <v>0</v>
      </c>
      <c r="O41" s="7">
        <v>0</v>
      </c>
      <c r="P41" s="7">
        <v>20.47</v>
      </c>
      <c r="Q41" s="7">
        <v>20.47</v>
      </c>
      <c r="R41" s="7" t="s">
        <v>648</v>
      </c>
      <c r="S41" s="7">
        <v>4</v>
      </c>
      <c r="T41" s="7" t="s">
        <v>649</v>
      </c>
      <c r="U41" s="7">
        <v>14</v>
      </c>
      <c r="V41" s="7" t="s">
        <v>629</v>
      </c>
      <c r="W41" s="7">
        <v>17</v>
      </c>
      <c r="X41" s="7" t="s">
        <v>650</v>
      </c>
      <c r="Y41" s="7">
        <v>17</v>
      </c>
      <c r="Z41" s="26" t="s">
        <v>32</v>
      </c>
      <c r="AA41" s="7">
        <v>8</v>
      </c>
      <c r="AB41" s="26" t="s">
        <v>540</v>
      </c>
      <c r="AC41" s="7">
        <v>34</v>
      </c>
      <c r="AD41" s="7">
        <v>16</v>
      </c>
      <c r="AE41" s="7" t="s">
        <v>651</v>
      </c>
      <c r="AF41" s="7"/>
      <c r="AG41" s="28" t="str">
        <f t="shared" ref="AG41:AG42" si="3">CONCATENATE("(",A41,"*'",H41,"'*",I41,"*'",J41,"'*'",K41,"'*",L41,"*",M41,"*",N41,"*",O41,"*",P41,"*",Q41,"*",S41,"*",U41,"*",W41,"*",Y41,"*",AA41,"*",AC41,"*",AD41,")*")</f>
        <v>(193*'40'*574,87*'12,7 / 15,88 / 19,43 / 19,05 '*'0,035'*70*70*0*0*20,47*20,47*4*14*17*17*8*34*16)*</v>
      </c>
    </row>
    <row r="42" spans="1:33" ht="20.100000000000001" hidden="1" customHeight="1" x14ac:dyDescent="0.25">
      <c r="A42" s="3">
        <v>194</v>
      </c>
      <c r="B42" s="22" t="s">
        <v>398</v>
      </c>
      <c r="C42" s="6">
        <v>35796</v>
      </c>
      <c r="D42" s="23">
        <v>1</v>
      </c>
      <c r="E42" s="7" t="s">
        <v>536</v>
      </c>
      <c r="F42" s="7">
        <v>13</v>
      </c>
      <c r="G42" s="7">
        <v>16</v>
      </c>
      <c r="H42" s="24">
        <v>42</v>
      </c>
      <c r="I42" s="25">
        <v>575.54499999999996</v>
      </c>
      <c r="J42" s="7" t="s">
        <v>647</v>
      </c>
      <c r="K42" s="7">
        <v>1.4999999999999999E-2</v>
      </c>
      <c r="L42" s="7">
        <v>70</v>
      </c>
      <c r="M42" s="7">
        <v>70</v>
      </c>
      <c r="N42" s="7">
        <v>0</v>
      </c>
      <c r="O42" s="7">
        <v>0</v>
      </c>
      <c r="P42" s="7">
        <v>20.47</v>
      </c>
      <c r="Q42" s="7">
        <v>20.47</v>
      </c>
      <c r="R42" s="7" t="s">
        <v>652</v>
      </c>
      <c r="S42" s="7">
        <v>4</v>
      </c>
      <c r="T42" s="7" t="s">
        <v>649</v>
      </c>
      <c r="U42" s="7">
        <v>14</v>
      </c>
      <c r="V42" s="7" t="s">
        <v>629</v>
      </c>
      <c r="W42" s="7">
        <v>17</v>
      </c>
      <c r="X42" s="7" t="s">
        <v>650</v>
      </c>
      <c r="Y42" s="7">
        <v>17</v>
      </c>
      <c r="Z42" s="26" t="s">
        <v>32</v>
      </c>
      <c r="AA42" s="7">
        <v>8</v>
      </c>
      <c r="AB42" s="26" t="s">
        <v>540</v>
      </c>
      <c r="AC42" s="7">
        <v>34</v>
      </c>
      <c r="AD42" s="7">
        <v>16</v>
      </c>
      <c r="AE42" s="7" t="s">
        <v>653</v>
      </c>
      <c r="AF42" s="7"/>
      <c r="AG42" s="28" t="str">
        <f t="shared" si="3"/>
        <v>(194*'42'*575,545*'12,7 / 15,88 / 19,43 / 19,05 '*'0,015'*70*70*0*0*20,47*20,47*4*14*17*17*8*34*16)*</v>
      </c>
    </row>
    <row r="43" spans="1:33" ht="20.100000000000001" hidden="1" customHeight="1" x14ac:dyDescent="0.25">
      <c r="A43" s="3">
        <v>195</v>
      </c>
      <c r="B43" s="22" t="s">
        <v>402</v>
      </c>
      <c r="C43" s="6"/>
      <c r="D43" s="23">
        <v>1</v>
      </c>
      <c r="E43" s="7" t="s">
        <v>536</v>
      </c>
      <c r="F43" s="7">
        <v>13</v>
      </c>
      <c r="G43" s="7">
        <v>16</v>
      </c>
      <c r="H43" s="24"/>
      <c r="I43" s="25"/>
      <c r="J43" s="7" t="s">
        <v>654</v>
      </c>
      <c r="K43" s="7">
        <v>1.4999999999999999E-2</v>
      </c>
      <c r="L43" s="7">
        <v>0</v>
      </c>
      <c r="M43" s="7">
        <v>0</v>
      </c>
      <c r="N43" s="7">
        <v>0</v>
      </c>
      <c r="O43" s="7">
        <v>0</v>
      </c>
      <c r="P43" s="7">
        <v>9.66</v>
      </c>
      <c r="Q43" s="7">
        <v>9.66</v>
      </c>
      <c r="R43" s="7" t="s">
        <v>533</v>
      </c>
      <c r="S43" s="7">
        <v>4</v>
      </c>
      <c r="T43" s="7" t="s">
        <v>20</v>
      </c>
      <c r="U43" s="7" t="s">
        <v>20</v>
      </c>
      <c r="V43" s="7" t="s">
        <v>20</v>
      </c>
      <c r="W43" s="7" t="s">
        <v>20</v>
      </c>
      <c r="X43" s="7" t="s">
        <v>655</v>
      </c>
      <c r="Y43" s="7">
        <v>18</v>
      </c>
      <c r="Z43" s="26" t="s">
        <v>32</v>
      </c>
      <c r="AA43" s="7">
        <v>8</v>
      </c>
      <c r="AB43" s="26" t="s">
        <v>656</v>
      </c>
      <c r="AC43" s="34" t="s">
        <v>656</v>
      </c>
      <c r="AD43" s="26"/>
      <c r="AE43" s="7"/>
      <c r="AF43" s="7"/>
      <c r="AG43" s="28" t="str">
        <f t="shared" si="1"/>
        <v>(195*''**'14,3 / 22,22'*'0,015'*0*0*0*0*9,66*9,66*4*NULL*NULL*18*8*EL Kala)*</v>
      </c>
    </row>
    <row r="44" spans="1:33" ht="20.100000000000001" hidden="1" customHeight="1" x14ac:dyDescent="0.25">
      <c r="A44" s="3">
        <v>196</v>
      </c>
      <c r="B44" s="22" t="s">
        <v>405</v>
      </c>
      <c r="C44" s="6"/>
      <c r="D44" s="23">
        <v>1</v>
      </c>
      <c r="E44" s="7" t="s">
        <v>536</v>
      </c>
      <c r="F44" s="7">
        <v>13</v>
      </c>
      <c r="G44" s="7">
        <v>16</v>
      </c>
      <c r="H44" s="24">
        <v>48</v>
      </c>
      <c r="I44" s="25">
        <v>87</v>
      </c>
      <c r="J44" s="7" t="s">
        <v>654</v>
      </c>
      <c r="K44" s="7">
        <v>1.4999999999999999E-2</v>
      </c>
      <c r="L44" s="7">
        <v>71.5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 t="s">
        <v>657</v>
      </c>
      <c r="S44" s="7">
        <v>6</v>
      </c>
      <c r="T44" s="7" t="s">
        <v>20</v>
      </c>
      <c r="U44" s="7" t="s">
        <v>20</v>
      </c>
      <c r="V44" s="7" t="s">
        <v>20</v>
      </c>
      <c r="W44" s="7" t="s">
        <v>20</v>
      </c>
      <c r="X44" s="7" t="s">
        <v>655</v>
      </c>
      <c r="Y44" s="7">
        <v>18</v>
      </c>
      <c r="Z44" s="26"/>
      <c r="AA44" s="13"/>
      <c r="AB44" s="26"/>
      <c r="AC44" s="13"/>
      <c r="AD44" s="7"/>
      <c r="AE44" s="7"/>
      <c r="AF44" s="7"/>
      <c r="AG44" s="28" t="str">
        <f t="shared" si="1"/>
        <v>(196*'48'*87*'14,3 / 22,22'*'0,015'*71,5*0*0*0*0*0*6*NULL*NULL*18**)*</v>
      </c>
    </row>
    <row r="45" spans="1:33" ht="20.100000000000001" hidden="1" customHeight="1" x14ac:dyDescent="0.25">
      <c r="A45" s="3">
        <v>197</v>
      </c>
      <c r="B45" s="22" t="s">
        <v>407</v>
      </c>
      <c r="C45" s="6">
        <v>29587</v>
      </c>
      <c r="D45" s="23">
        <v>1</v>
      </c>
      <c r="E45" s="7" t="s">
        <v>542</v>
      </c>
      <c r="F45" s="7">
        <v>15</v>
      </c>
      <c r="G45" s="7">
        <v>16</v>
      </c>
      <c r="H45" s="24">
        <v>42</v>
      </c>
      <c r="I45" s="25">
        <v>437</v>
      </c>
      <c r="J45" s="7" t="s">
        <v>658</v>
      </c>
      <c r="K45" s="7">
        <v>1.4999999999999999E-2</v>
      </c>
      <c r="L45" s="7">
        <v>70</v>
      </c>
      <c r="M45" s="7">
        <v>70</v>
      </c>
      <c r="N45" s="7">
        <v>0</v>
      </c>
      <c r="O45" s="7">
        <v>0</v>
      </c>
      <c r="P45" s="7">
        <v>11.3</v>
      </c>
      <c r="Q45" s="7">
        <v>11.3</v>
      </c>
      <c r="R45" s="7" t="s">
        <v>533</v>
      </c>
      <c r="S45" s="7">
        <v>4</v>
      </c>
      <c r="T45" s="7">
        <v>11.3</v>
      </c>
      <c r="U45" s="7">
        <v>14</v>
      </c>
      <c r="V45" s="7" t="s">
        <v>20</v>
      </c>
      <c r="W45" s="7" t="s">
        <v>20</v>
      </c>
      <c r="X45" s="7" t="s">
        <v>407</v>
      </c>
      <c r="Y45" s="7">
        <v>20</v>
      </c>
      <c r="Z45" s="26" t="s">
        <v>32</v>
      </c>
      <c r="AA45" s="7">
        <v>8</v>
      </c>
      <c r="AB45" s="26" t="s">
        <v>659</v>
      </c>
      <c r="AC45" s="7">
        <v>24</v>
      </c>
      <c r="AD45" s="7">
        <v>16</v>
      </c>
      <c r="AE45" s="7" t="s">
        <v>660</v>
      </c>
      <c r="AF45" s="7"/>
      <c r="AG45" s="28" t="str">
        <f t="shared" ref="AG45:AG46" si="4">CONCATENATE("(",A45,"*'",H45,"'*",I45,"*'",J45,"'*'",K45,"'*",L45,"*",M45,"*",N45,"*",O45,"*",P45,"*",Q45,"*",S45,"*",U45,"*",W45,"*",Y45,"*",AA45,"*",AC45,"*",AD45,")*")</f>
        <v>(197*'42'*437*'11,91 / 12,7 / 19,05'*'0,015'*70*70*0*0*11,3*11,3*4*14*NULL*20*8*24*16)*</v>
      </c>
    </row>
    <row r="46" spans="1:33" ht="20.100000000000001" hidden="1" customHeight="1" x14ac:dyDescent="0.25">
      <c r="A46" s="3">
        <v>198</v>
      </c>
      <c r="B46" s="22" t="s">
        <v>410</v>
      </c>
      <c r="C46" s="6">
        <v>43800</v>
      </c>
      <c r="D46" s="23">
        <v>1</v>
      </c>
      <c r="E46" s="7" t="s">
        <v>542</v>
      </c>
      <c r="F46" s="7">
        <v>15</v>
      </c>
      <c r="G46" s="7">
        <v>16</v>
      </c>
      <c r="H46" s="24">
        <v>42</v>
      </c>
      <c r="I46" s="25">
        <v>207</v>
      </c>
      <c r="J46" s="7" t="s">
        <v>661</v>
      </c>
      <c r="K46" s="7">
        <v>1.4999999999999999E-2</v>
      </c>
      <c r="L46" s="7">
        <v>70</v>
      </c>
      <c r="M46" s="7">
        <v>70</v>
      </c>
      <c r="N46" s="7">
        <v>0</v>
      </c>
      <c r="O46" s="7">
        <v>0</v>
      </c>
      <c r="P46" s="7">
        <v>0</v>
      </c>
      <c r="Q46" s="7">
        <v>0</v>
      </c>
      <c r="R46" s="7" t="s">
        <v>657</v>
      </c>
      <c r="S46" s="7">
        <v>6</v>
      </c>
      <c r="T46" s="7" t="s">
        <v>555</v>
      </c>
      <c r="U46" s="7" t="s">
        <v>20</v>
      </c>
      <c r="V46" s="7" t="s">
        <v>20</v>
      </c>
      <c r="W46" s="7" t="s">
        <v>20</v>
      </c>
      <c r="X46" s="7" t="s">
        <v>407</v>
      </c>
      <c r="Y46" s="7">
        <v>20</v>
      </c>
      <c r="Z46" s="26" t="s">
        <v>662</v>
      </c>
      <c r="AA46" s="7">
        <v>9</v>
      </c>
      <c r="AB46" s="26" t="s">
        <v>659</v>
      </c>
      <c r="AC46" s="7">
        <v>24</v>
      </c>
      <c r="AD46" s="7">
        <v>16</v>
      </c>
      <c r="AE46" s="7"/>
      <c r="AF46" s="7"/>
      <c r="AG46" s="28" t="str">
        <f t="shared" si="4"/>
        <v>(198*'42'*207*'20,62 / 14,27'*'0,015'*70*70*0*0*0*0*6*NULL*NULL*20*9*24*16)*</v>
      </c>
    </row>
    <row r="47" spans="1:33" ht="20.100000000000001" hidden="1" customHeight="1" x14ac:dyDescent="0.25">
      <c r="A47" s="3">
        <v>199</v>
      </c>
      <c r="B47" s="22" t="s">
        <v>413</v>
      </c>
      <c r="C47" s="6"/>
      <c r="D47" s="23">
        <v>1</v>
      </c>
      <c r="E47" s="7" t="s">
        <v>663</v>
      </c>
      <c r="F47" s="7"/>
      <c r="G47" s="7">
        <v>16</v>
      </c>
      <c r="H47" s="24"/>
      <c r="I47" s="25"/>
      <c r="J47" s="7" t="s">
        <v>661</v>
      </c>
      <c r="K47" s="7">
        <v>1.4999999999999999E-2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 t="s">
        <v>533</v>
      </c>
      <c r="S47" s="7">
        <v>4</v>
      </c>
      <c r="T47" s="7" t="s">
        <v>20</v>
      </c>
      <c r="U47" s="7" t="s">
        <v>20</v>
      </c>
      <c r="V47" s="7" t="s">
        <v>20</v>
      </c>
      <c r="W47" s="7" t="s">
        <v>20</v>
      </c>
      <c r="X47" s="7" t="s">
        <v>664</v>
      </c>
      <c r="Y47" s="7">
        <v>21</v>
      </c>
      <c r="Z47" s="26"/>
      <c r="AA47" s="13"/>
      <c r="AB47" s="26"/>
      <c r="AC47" s="13"/>
      <c r="AD47" s="7"/>
      <c r="AE47" s="7"/>
      <c r="AF47" s="7"/>
      <c r="AG47" s="28" t="str">
        <f t="shared" si="1"/>
        <v>(199*''**'20,62 / 14,27'*'0,015'*0*0*0*0*0*0*4*NULL*NULL*21**)*</v>
      </c>
    </row>
    <row r="48" spans="1:33" ht="20.100000000000001" hidden="1" customHeight="1" x14ac:dyDescent="0.25">
      <c r="A48" s="3">
        <v>200</v>
      </c>
      <c r="B48" s="22" t="s">
        <v>415</v>
      </c>
      <c r="C48" s="6">
        <v>31413</v>
      </c>
      <c r="D48" s="23">
        <v>1</v>
      </c>
      <c r="E48" s="7" t="s">
        <v>562</v>
      </c>
      <c r="F48" s="7">
        <v>14</v>
      </c>
      <c r="G48" s="7">
        <v>16</v>
      </c>
      <c r="H48" s="24" t="s">
        <v>665</v>
      </c>
      <c r="I48" s="25">
        <v>966</v>
      </c>
      <c r="J48" s="7" t="s">
        <v>666</v>
      </c>
      <c r="K48" s="7">
        <v>1.4999999999999999E-2</v>
      </c>
      <c r="L48" s="7">
        <v>71</v>
      </c>
      <c r="M48" s="7">
        <v>71</v>
      </c>
      <c r="N48" s="7">
        <v>0</v>
      </c>
      <c r="O48" s="7">
        <v>0</v>
      </c>
      <c r="P48" s="7">
        <v>15.76</v>
      </c>
      <c r="Q48" s="7">
        <v>15.76</v>
      </c>
      <c r="R48" s="7" t="s">
        <v>667</v>
      </c>
      <c r="S48" s="7">
        <v>6</v>
      </c>
      <c r="T48" s="7" t="s">
        <v>574</v>
      </c>
      <c r="U48" s="7">
        <v>14</v>
      </c>
      <c r="V48" s="7" t="s">
        <v>629</v>
      </c>
      <c r="W48" s="7">
        <v>17</v>
      </c>
      <c r="X48" s="7" t="s">
        <v>664</v>
      </c>
      <c r="Y48" s="7">
        <v>21</v>
      </c>
      <c r="Z48" s="26" t="s">
        <v>615</v>
      </c>
      <c r="AA48" s="7">
        <v>20</v>
      </c>
      <c r="AB48" s="26" t="s">
        <v>32</v>
      </c>
      <c r="AC48" s="7">
        <v>8</v>
      </c>
      <c r="AD48" s="7">
        <v>16</v>
      </c>
      <c r="AE48" s="7" t="s">
        <v>668</v>
      </c>
      <c r="AF48" s="7"/>
      <c r="AG48" s="28" t="str">
        <f t="shared" ref="AG48:AG49" si="5">CONCATENATE("(",A48,"*'",H48,"'*",I48,"*'",J48,"'*'",K48,"'*",L48,"*",M48,"*",N48,"*",O48,"*",P48,"*",Q48,"*",S48,"*",U48,"*",W48,"*",Y48,"*",AA48,"*",AC48,"*",AD48,")*")</f>
        <v>(200*'42 / 48'*966*'11,92 / 12,7 / 13,35 / 14,27 / 15,88 / 22,22'*'0,015'*71*71*0*0*15,76*15,76*6*14*17*21*20*8*16)*</v>
      </c>
    </row>
    <row r="49" spans="1:33" ht="20.100000000000001" hidden="1" customHeight="1" x14ac:dyDescent="0.25">
      <c r="A49" s="3">
        <v>201</v>
      </c>
      <c r="B49" s="22" t="s">
        <v>418</v>
      </c>
      <c r="C49" s="6">
        <v>36161</v>
      </c>
      <c r="D49" s="23">
        <v>1</v>
      </c>
      <c r="E49" s="7" t="s">
        <v>562</v>
      </c>
      <c r="F49" s="7">
        <v>14</v>
      </c>
      <c r="G49" s="7">
        <v>16</v>
      </c>
      <c r="H49" s="24" t="s">
        <v>665</v>
      </c>
      <c r="I49" s="25">
        <v>966</v>
      </c>
      <c r="J49" s="7" t="s">
        <v>669</v>
      </c>
      <c r="K49" s="7">
        <v>1.4999999999999999E-2</v>
      </c>
      <c r="L49" s="7">
        <v>71</v>
      </c>
      <c r="M49" s="7">
        <v>71</v>
      </c>
      <c r="N49" s="7">
        <v>0</v>
      </c>
      <c r="O49" s="7">
        <v>0</v>
      </c>
      <c r="P49" s="7">
        <v>15.77</v>
      </c>
      <c r="Q49" s="7">
        <v>15.77</v>
      </c>
      <c r="R49" s="7" t="s">
        <v>657</v>
      </c>
      <c r="S49" s="7">
        <v>6</v>
      </c>
      <c r="T49" s="7" t="s">
        <v>534</v>
      </c>
      <c r="U49" s="7">
        <v>11</v>
      </c>
      <c r="V49" s="7" t="s">
        <v>629</v>
      </c>
      <c r="W49" s="7">
        <v>17</v>
      </c>
      <c r="X49" s="7" t="s">
        <v>664</v>
      </c>
      <c r="Y49" s="7">
        <v>21</v>
      </c>
      <c r="Z49" s="26" t="s">
        <v>615</v>
      </c>
      <c r="AA49" s="7">
        <v>20</v>
      </c>
      <c r="AB49" s="26" t="s">
        <v>32</v>
      </c>
      <c r="AC49" s="7">
        <v>8</v>
      </c>
      <c r="AD49" s="7">
        <v>16</v>
      </c>
      <c r="AE49" s="7" t="s">
        <v>670</v>
      </c>
      <c r="AF49" s="7"/>
      <c r="AG49" s="28" t="str">
        <f t="shared" si="5"/>
        <v>(201*'42 / 48'*966*'11,91 / 12,7 / 14,27 / 19,05 / 22,22'*'0,015'*71*71*0*0*15,77*15,77*6*11*17*21*20*8*16)*</v>
      </c>
    </row>
    <row r="50" spans="1:33" ht="20.100000000000001" hidden="1" customHeight="1" x14ac:dyDescent="0.25">
      <c r="A50" s="3">
        <v>202</v>
      </c>
      <c r="B50" s="22" t="s">
        <v>421</v>
      </c>
      <c r="C50" s="6">
        <v>37622</v>
      </c>
      <c r="D50" s="23">
        <v>1</v>
      </c>
      <c r="E50" s="7" t="s">
        <v>595</v>
      </c>
      <c r="F50" s="7">
        <v>2</v>
      </c>
      <c r="G50" s="7">
        <v>2</v>
      </c>
      <c r="H50" s="24">
        <v>48</v>
      </c>
      <c r="I50" s="25">
        <v>520</v>
      </c>
      <c r="J50" s="7" t="s">
        <v>669</v>
      </c>
      <c r="K50" s="7">
        <v>1.4999999999999999E-2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 t="s">
        <v>533</v>
      </c>
      <c r="S50" s="7">
        <v>4</v>
      </c>
      <c r="T50" s="7" t="s">
        <v>20</v>
      </c>
      <c r="U50" s="7" t="s">
        <v>20</v>
      </c>
      <c r="V50" s="7" t="s">
        <v>20</v>
      </c>
      <c r="W50" s="7" t="s">
        <v>20</v>
      </c>
      <c r="X50" s="7" t="s">
        <v>664</v>
      </c>
      <c r="Y50" s="7">
        <v>21</v>
      </c>
      <c r="Z50" s="26"/>
      <c r="AA50" s="13"/>
      <c r="AB50" s="26"/>
      <c r="AC50" s="13"/>
      <c r="AD50" s="7"/>
      <c r="AE50" s="7"/>
      <c r="AF50" s="7"/>
      <c r="AG50" s="28" t="str">
        <f t="shared" si="1"/>
        <v>(202*'48'*520*'11,91 / 12,7 / 14,27 / 19,05 / 22,22'*'0,015'*0*0*0*0*0*0*4*NULL*NULL*21**)*</v>
      </c>
    </row>
    <row r="51" spans="1:33" ht="20.100000000000001" hidden="1" customHeight="1" x14ac:dyDescent="0.25">
      <c r="A51" s="3">
        <v>203</v>
      </c>
      <c r="B51" s="22" t="s">
        <v>423</v>
      </c>
      <c r="C51" s="6">
        <v>41640</v>
      </c>
      <c r="D51" s="23">
        <v>1</v>
      </c>
      <c r="E51" s="7" t="s">
        <v>562</v>
      </c>
      <c r="F51" s="7">
        <v>14</v>
      </c>
      <c r="G51" s="7">
        <v>16</v>
      </c>
      <c r="H51" s="24">
        <v>48</v>
      </c>
      <c r="I51" s="25">
        <v>535</v>
      </c>
      <c r="J51" s="7" t="s">
        <v>671</v>
      </c>
      <c r="K51" s="7">
        <v>1.4999999999999999E-2</v>
      </c>
      <c r="L51" s="7">
        <v>71</v>
      </c>
      <c r="M51" s="7">
        <v>71</v>
      </c>
      <c r="N51" s="7">
        <v>0</v>
      </c>
      <c r="O51" s="7">
        <v>0</v>
      </c>
      <c r="P51" s="7">
        <v>11.05</v>
      </c>
      <c r="Q51" s="7">
        <v>11.05</v>
      </c>
      <c r="R51" s="7" t="s">
        <v>657</v>
      </c>
      <c r="S51" s="7">
        <v>6</v>
      </c>
      <c r="T51" s="7" t="s">
        <v>20</v>
      </c>
      <c r="U51" s="7" t="s">
        <v>20</v>
      </c>
      <c r="V51" s="7" t="s">
        <v>20</v>
      </c>
      <c r="W51" s="7" t="s">
        <v>20</v>
      </c>
      <c r="X51" s="7" t="s">
        <v>664</v>
      </c>
      <c r="Y51" s="7">
        <v>21</v>
      </c>
      <c r="Z51" s="26" t="s">
        <v>672</v>
      </c>
      <c r="AA51" s="7">
        <v>18</v>
      </c>
      <c r="AB51" s="26" t="s">
        <v>32</v>
      </c>
      <c r="AC51" s="7">
        <v>8</v>
      </c>
      <c r="AD51" s="7">
        <v>16</v>
      </c>
      <c r="AE51" s="7" t="s">
        <v>646</v>
      </c>
      <c r="AF51" s="7"/>
      <c r="AG51" s="28" t="str">
        <f t="shared" ref="AG51:AG53" si="6">CONCATENATE("(",A51,"*'",H51,"'*",I51,"*'",J51,"'*'",K51,"'*",L51,"*",M51,"*",N51,"*",O51,"*",P51,"*",Q51,"*",S51,"*",U51,"*",W51,"*",Y51,"*",AA51,"*",AC51,"*",AD51,")*")</f>
        <v>(203*'48'*535*'12,7 / 14,27 / 22,22'*'0,015'*71*71*0*0*11,05*11,05*6*NULL*NULL*21*18*8*16)*</v>
      </c>
    </row>
    <row r="52" spans="1:33" ht="20.100000000000001" hidden="1" customHeight="1" x14ac:dyDescent="0.25">
      <c r="A52" s="3">
        <v>204</v>
      </c>
      <c r="B52" s="22" t="s">
        <v>425</v>
      </c>
      <c r="C52" s="6">
        <v>42887</v>
      </c>
      <c r="D52" s="23">
        <v>1</v>
      </c>
      <c r="E52" s="7" t="s">
        <v>673</v>
      </c>
      <c r="F52" s="7">
        <v>16</v>
      </c>
      <c r="G52" s="7">
        <v>16</v>
      </c>
      <c r="H52" s="24">
        <v>48</v>
      </c>
      <c r="I52" s="25">
        <v>770</v>
      </c>
      <c r="J52" s="30" t="s">
        <v>674</v>
      </c>
      <c r="K52" s="7">
        <v>1.4999999999999999E-2</v>
      </c>
      <c r="L52" s="7">
        <v>70</v>
      </c>
      <c r="M52" s="7">
        <v>70</v>
      </c>
      <c r="N52" s="7">
        <v>45</v>
      </c>
      <c r="O52" s="7">
        <v>45</v>
      </c>
      <c r="P52" s="7">
        <v>0</v>
      </c>
      <c r="Q52" s="7">
        <v>0</v>
      </c>
      <c r="R52" s="7" t="s">
        <v>657</v>
      </c>
      <c r="S52" s="7">
        <v>6</v>
      </c>
      <c r="T52" s="7" t="s">
        <v>20</v>
      </c>
      <c r="U52" s="7" t="s">
        <v>20</v>
      </c>
      <c r="V52" s="7" t="s">
        <v>20</v>
      </c>
      <c r="W52" s="7" t="s">
        <v>20</v>
      </c>
      <c r="X52" s="7" t="s">
        <v>675</v>
      </c>
      <c r="Y52" s="7">
        <v>22</v>
      </c>
      <c r="Z52" s="26" t="s">
        <v>676</v>
      </c>
      <c r="AA52" s="7">
        <v>32</v>
      </c>
      <c r="AB52" s="26" t="s">
        <v>32</v>
      </c>
      <c r="AC52" s="7">
        <v>8</v>
      </c>
      <c r="AD52" s="7">
        <v>16</v>
      </c>
      <c r="AE52" s="7" t="s">
        <v>677</v>
      </c>
      <c r="AF52" s="7"/>
      <c r="AG52" s="28" t="str">
        <f t="shared" si="6"/>
        <v>(204*'48'*770*'12,48 / 13,61 / 20,79 / 24,26'*'0,015'*70*70*45*45*0*0*6*NULL*NULL*22*32*8*16)*</v>
      </c>
    </row>
    <row r="53" spans="1:33" ht="20.100000000000001" hidden="1" customHeight="1" x14ac:dyDescent="0.25">
      <c r="A53" s="3">
        <v>205</v>
      </c>
      <c r="B53" s="22" t="s">
        <v>428</v>
      </c>
      <c r="C53" s="6">
        <v>42736</v>
      </c>
      <c r="D53" s="23">
        <v>1</v>
      </c>
      <c r="E53" s="7" t="s">
        <v>562</v>
      </c>
      <c r="F53" s="7">
        <v>14</v>
      </c>
      <c r="G53" s="7">
        <v>16</v>
      </c>
      <c r="H53" s="24">
        <v>48</v>
      </c>
      <c r="I53" s="25">
        <v>531</v>
      </c>
      <c r="J53" s="7" t="s">
        <v>671</v>
      </c>
      <c r="K53" s="7">
        <v>1.4999999999999999E-2</v>
      </c>
      <c r="L53" s="7">
        <v>71</v>
      </c>
      <c r="M53" s="7">
        <v>71</v>
      </c>
      <c r="N53" s="7">
        <v>0</v>
      </c>
      <c r="O53" s="7">
        <v>0</v>
      </c>
      <c r="P53" s="7">
        <v>8.52</v>
      </c>
      <c r="Q53" s="7">
        <v>8.52</v>
      </c>
      <c r="R53" s="7" t="s">
        <v>657</v>
      </c>
      <c r="S53" s="7">
        <v>6</v>
      </c>
      <c r="T53" s="7" t="s">
        <v>20</v>
      </c>
      <c r="U53" s="7" t="s">
        <v>20</v>
      </c>
      <c r="V53" s="7" t="s">
        <v>20</v>
      </c>
      <c r="W53" s="7" t="s">
        <v>20</v>
      </c>
      <c r="X53" s="7" t="s">
        <v>664</v>
      </c>
      <c r="Y53" s="7">
        <v>21</v>
      </c>
      <c r="Z53" s="26" t="s">
        <v>672</v>
      </c>
      <c r="AA53" s="7">
        <v>18</v>
      </c>
      <c r="AB53" s="26" t="s">
        <v>32</v>
      </c>
      <c r="AC53" s="7">
        <v>8</v>
      </c>
      <c r="AD53" s="7">
        <v>16</v>
      </c>
      <c r="AE53" s="7" t="s">
        <v>646</v>
      </c>
      <c r="AF53" s="7"/>
      <c r="AG53" s="28" t="str">
        <f t="shared" si="6"/>
        <v>(205*'48'*531*'12,7 / 14,27 / 22,22'*'0,015'*71*71*0*0*8,52*8,52*6*NULL*NULL*21*18*8*16)*</v>
      </c>
    </row>
    <row r="54" spans="1:33" ht="20.100000000000001" hidden="1" customHeight="1" x14ac:dyDescent="0.25">
      <c r="A54" s="3">
        <v>206</v>
      </c>
      <c r="B54" s="22" t="s">
        <v>431</v>
      </c>
      <c r="C54" s="6">
        <v>43800</v>
      </c>
      <c r="D54" s="23">
        <v>1</v>
      </c>
      <c r="E54" s="7" t="s">
        <v>673</v>
      </c>
      <c r="F54" s="7">
        <v>16</v>
      </c>
      <c r="G54" s="7">
        <v>16</v>
      </c>
      <c r="H54" s="24">
        <v>48</v>
      </c>
      <c r="I54" s="25">
        <v>345</v>
      </c>
      <c r="J54" s="7" t="s">
        <v>678</v>
      </c>
      <c r="K54" s="7">
        <v>1.4999999999999999E-2</v>
      </c>
      <c r="L54" s="7">
        <v>70</v>
      </c>
      <c r="M54" s="7">
        <v>70</v>
      </c>
      <c r="N54" s="7">
        <v>45</v>
      </c>
      <c r="O54" s="7">
        <v>45</v>
      </c>
      <c r="P54" s="7">
        <v>0</v>
      </c>
      <c r="Q54" s="7">
        <v>0</v>
      </c>
      <c r="R54" s="7" t="s">
        <v>657</v>
      </c>
      <c r="S54" s="7">
        <v>6</v>
      </c>
      <c r="T54" s="7" t="s">
        <v>20</v>
      </c>
      <c r="U54" s="7" t="s">
        <v>20</v>
      </c>
      <c r="V54" s="7" t="s">
        <v>20</v>
      </c>
      <c r="W54" s="7" t="s">
        <v>20</v>
      </c>
      <c r="X54" s="7" t="s">
        <v>675</v>
      </c>
      <c r="Y54" s="7">
        <v>22</v>
      </c>
      <c r="Z54" s="26" t="s">
        <v>679</v>
      </c>
      <c r="AA54" s="7"/>
      <c r="AB54" s="26" t="s">
        <v>32</v>
      </c>
      <c r="AC54" s="7">
        <v>8</v>
      </c>
      <c r="AD54" s="7"/>
      <c r="AE54" s="7"/>
      <c r="AF54" s="7"/>
      <c r="AG54" s="28" t="str">
        <f t="shared" si="1"/>
        <v>(206*'48'*345*'12,95 / 14,27 / 22,23'*'0,015'*70*70*45*45*0*0*6*NULL*NULL*22**8)*</v>
      </c>
    </row>
    <row r="55" spans="1:33" ht="20.100000000000001" hidden="1" customHeight="1" x14ac:dyDescent="0.25">
      <c r="A55" s="3">
        <v>207</v>
      </c>
      <c r="B55" s="22" t="s">
        <v>434</v>
      </c>
      <c r="C55" s="6">
        <v>35065</v>
      </c>
      <c r="D55" s="23">
        <v>1</v>
      </c>
      <c r="E55" s="7" t="s">
        <v>434</v>
      </c>
      <c r="F55" s="7">
        <v>18</v>
      </c>
      <c r="G55" s="7">
        <v>16</v>
      </c>
      <c r="H55" s="24">
        <v>48</v>
      </c>
      <c r="I55" s="25">
        <v>521</v>
      </c>
      <c r="J55" s="7" t="s">
        <v>671</v>
      </c>
      <c r="K55" s="7">
        <v>1.4999999999999999E-2</v>
      </c>
      <c r="L55" s="7">
        <v>71</v>
      </c>
      <c r="M55" s="7">
        <v>50.81</v>
      </c>
      <c r="N55" s="7">
        <v>0</v>
      </c>
      <c r="O55" s="7">
        <v>0</v>
      </c>
      <c r="P55" s="7">
        <v>11.47</v>
      </c>
      <c r="Q55" s="7">
        <v>11.47</v>
      </c>
      <c r="R55" s="7" t="s">
        <v>657</v>
      </c>
      <c r="S55" s="7">
        <v>6</v>
      </c>
      <c r="T55" s="7" t="s">
        <v>680</v>
      </c>
      <c r="U55" s="7">
        <v>9</v>
      </c>
      <c r="V55" s="7" t="s">
        <v>629</v>
      </c>
      <c r="W55" s="7">
        <v>17</v>
      </c>
      <c r="X55" s="7" t="s">
        <v>681</v>
      </c>
      <c r="Y55" s="7">
        <v>16</v>
      </c>
      <c r="Z55" s="26" t="s">
        <v>32</v>
      </c>
      <c r="AA55" s="7">
        <v>8</v>
      </c>
      <c r="AB55" s="26" t="s">
        <v>682</v>
      </c>
      <c r="AC55" s="7">
        <v>12</v>
      </c>
      <c r="AD55" s="7">
        <v>16</v>
      </c>
      <c r="AE55" s="7" t="s">
        <v>609</v>
      </c>
      <c r="AF55" s="7"/>
      <c r="AG55" s="28" t="str">
        <f t="shared" ref="AG55:AG59" si="7">CONCATENATE("(",A55,"*'",H55,"'*",I55,"*'",J55,"'*'",K55,"'*",L55,"*",M55,"*",N55,"*",O55,"*",P55,"*",Q55,"*",S55,"*",U55,"*",W55,"*",Y55,"*",AA55,"*",AC55,"*",AD55,")*")</f>
        <v>(207*'48'*521*'12,7 / 14,27 / 22,22'*'0,015'*71*50,81*0*0*11,47*11,47*6*9*17*16*8*12*16)*</v>
      </c>
    </row>
    <row r="56" spans="1:33" ht="20.100000000000001" hidden="1" customHeight="1" x14ac:dyDescent="0.25">
      <c r="A56" s="3">
        <v>208</v>
      </c>
      <c r="B56" s="22" t="s">
        <v>436</v>
      </c>
      <c r="C56" s="6">
        <v>44197</v>
      </c>
      <c r="D56" s="23">
        <v>1</v>
      </c>
      <c r="E56" s="7" t="s">
        <v>434</v>
      </c>
      <c r="F56" s="7">
        <v>18</v>
      </c>
      <c r="G56" s="7">
        <v>16</v>
      </c>
      <c r="H56" s="24">
        <v>48</v>
      </c>
      <c r="I56" s="25">
        <v>198</v>
      </c>
      <c r="J56" s="7" t="s">
        <v>683</v>
      </c>
      <c r="K56" s="7">
        <v>1.4999999999999999E-2</v>
      </c>
      <c r="L56" s="7">
        <v>70</v>
      </c>
      <c r="M56" s="7">
        <v>0</v>
      </c>
      <c r="N56" s="7">
        <v>0</v>
      </c>
      <c r="O56" s="7">
        <v>0</v>
      </c>
      <c r="P56" s="7">
        <v>9</v>
      </c>
      <c r="Q56" s="7">
        <v>9</v>
      </c>
      <c r="R56" s="7" t="s">
        <v>533</v>
      </c>
      <c r="S56" s="7">
        <v>4</v>
      </c>
      <c r="T56" s="7" t="s">
        <v>20</v>
      </c>
      <c r="U56" s="7" t="s">
        <v>20</v>
      </c>
      <c r="V56" s="7" t="s">
        <v>20</v>
      </c>
      <c r="W56" s="7" t="s">
        <v>20</v>
      </c>
      <c r="X56" s="7" t="s">
        <v>681</v>
      </c>
      <c r="Y56" s="7">
        <v>16</v>
      </c>
      <c r="Z56" s="26" t="s">
        <v>682</v>
      </c>
      <c r="AA56" s="7">
        <v>12</v>
      </c>
      <c r="AB56" s="26" t="s">
        <v>645</v>
      </c>
      <c r="AC56" s="7">
        <v>3</v>
      </c>
      <c r="AD56" s="7">
        <v>16</v>
      </c>
      <c r="AE56" s="7" t="s">
        <v>625</v>
      </c>
      <c r="AF56" s="7"/>
      <c r="AG56" s="28" t="str">
        <f t="shared" si="7"/>
        <v>(208*'48'*198*'13,61/  14,27 / 20,79 / 22,23'*'0,015'*70*0*0*0*9*9*4*NULL*NULL*16*12*3*16)*</v>
      </c>
    </row>
    <row r="57" spans="1:33" ht="20.100000000000001" hidden="1" customHeight="1" x14ac:dyDescent="0.25">
      <c r="A57" s="3">
        <v>209</v>
      </c>
      <c r="B57" s="22" t="s">
        <v>439</v>
      </c>
      <c r="C57" s="6">
        <v>29952</v>
      </c>
      <c r="D57" s="23">
        <v>1</v>
      </c>
      <c r="E57" s="7" t="s">
        <v>684</v>
      </c>
      <c r="F57" s="7">
        <v>17</v>
      </c>
      <c r="G57" s="7">
        <v>16</v>
      </c>
      <c r="H57" s="24">
        <v>48</v>
      </c>
      <c r="I57" s="25">
        <v>548.28499999999997</v>
      </c>
      <c r="J57" s="7" t="s">
        <v>671</v>
      </c>
      <c r="K57" s="7">
        <v>1.4999999999999999E-2</v>
      </c>
      <c r="L57" s="7">
        <v>70</v>
      </c>
      <c r="M57" s="7">
        <v>70</v>
      </c>
      <c r="N57" s="7">
        <v>0</v>
      </c>
      <c r="O57" s="7">
        <v>0</v>
      </c>
      <c r="P57" s="7">
        <v>11.99</v>
      </c>
      <c r="Q57" s="7">
        <v>11.99</v>
      </c>
      <c r="R57" s="7" t="s">
        <v>611</v>
      </c>
      <c r="S57" s="7">
        <v>4</v>
      </c>
      <c r="T57" s="7" t="s">
        <v>566</v>
      </c>
      <c r="U57" s="7">
        <v>14</v>
      </c>
      <c r="V57" s="7" t="s">
        <v>629</v>
      </c>
      <c r="W57" s="7">
        <v>17</v>
      </c>
      <c r="X57" s="7" t="s">
        <v>685</v>
      </c>
      <c r="Y57" s="7">
        <v>19</v>
      </c>
      <c r="Z57" s="26" t="s">
        <v>32</v>
      </c>
      <c r="AA57" s="7">
        <v>8</v>
      </c>
      <c r="AB57" s="26" t="s">
        <v>686</v>
      </c>
      <c r="AC57" s="7">
        <v>2</v>
      </c>
      <c r="AD57" s="7">
        <v>16</v>
      </c>
      <c r="AE57" s="7" t="s">
        <v>612</v>
      </c>
      <c r="AF57" s="7"/>
      <c r="AG57" s="28" t="str">
        <f t="shared" si="7"/>
        <v>(209*'48'*548,285*'12,7 / 14,27 / 22,22'*'0,015'*70*70*0*0*11,99*11,99*4*14*17*19*8*2*16)*</v>
      </c>
    </row>
    <row r="58" spans="1:33" ht="20.100000000000001" hidden="1" customHeight="1" x14ac:dyDescent="0.25">
      <c r="A58" s="3">
        <v>210</v>
      </c>
      <c r="B58" s="22" t="s">
        <v>441</v>
      </c>
      <c r="C58" s="6">
        <v>31778</v>
      </c>
      <c r="D58" s="23">
        <v>1</v>
      </c>
      <c r="E58" s="7" t="s">
        <v>684</v>
      </c>
      <c r="F58" s="7">
        <v>17</v>
      </c>
      <c r="G58" s="7">
        <v>16</v>
      </c>
      <c r="H58" s="24">
        <v>48</v>
      </c>
      <c r="I58" s="25">
        <v>548.28499999999997</v>
      </c>
      <c r="J58" s="7" t="s">
        <v>671</v>
      </c>
      <c r="K58" s="7">
        <v>1.4999999999999999E-2</v>
      </c>
      <c r="L58" s="7">
        <v>70</v>
      </c>
      <c r="M58" s="7">
        <v>70</v>
      </c>
      <c r="N58" s="7">
        <v>0</v>
      </c>
      <c r="O58" s="7">
        <v>0</v>
      </c>
      <c r="P58" s="7">
        <v>11.99</v>
      </c>
      <c r="Q58" s="7">
        <v>11.99</v>
      </c>
      <c r="R58" s="7" t="s">
        <v>611</v>
      </c>
      <c r="S58" s="7">
        <v>4</v>
      </c>
      <c r="T58" s="7" t="s">
        <v>566</v>
      </c>
      <c r="U58" s="7">
        <v>14</v>
      </c>
      <c r="V58" s="7" t="s">
        <v>629</v>
      </c>
      <c r="W58" s="7">
        <v>17</v>
      </c>
      <c r="X58" s="7" t="s">
        <v>685</v>
      </c>
      <c r="Y58" s="7">
        <v>19</v>
      </c>
      <c r="Z58" s="26" t="s">
        <v>32</v>
      </c>
      <c r="AA58" s="7">
        <v>8</v>
      </c>
      <c r="AB58" s="26" t="s">
        <v>686</v>
      </c>
      <c r="AC58" s="7">
        <v>2</v>
      </c>
      <c r="AD58" s="7">
        <v>16</v>
      </c>
      <c r="AE58" s="7" t="s">
        <v>687</v>
      </c>
      <c r="AF58" s="7"/>
      <c r="AG58" s="28" t="str">
        <f t="shared" si="7"/>
        <v>(210*'48'*548,285*'12,7 / 14,27 / 22,22'*'0,015'*70*70*0*0*11,99*11,99*4*14*17*19*8*2*16)*</v>
      </c>
    </row>
    <row r="59" spans="1:33" ht="20.100000000000001" hidden="1" customHeight="1" x14ac:dyDescent="0.25">
      <c r="A59" s="3">
        <v>211</v>
      </c>
      <c r="B59" s="22" t="s">
        <v>444</v>
      </c>
      <c r="C59" s="6">
        <v>39448</v>
      </c>
      <c r="D59" s="23">
        <v>1</v>
      </c>
      <c r="E59" s="7" t="s">
        <v>684</v>
      </c>
      <c r="F59" s="7">
        <v>17</v>
      </c>
      <c r="G59" s="7">
        <v>16</v>
      </c>
      <c r="H59" s="24">
        <v>48</v>
      </c>
      <c r="I59" s="25">
        <v>548.28499999999997</v>
      </c>
      <c r="J59" s="7" t="s">
        <v>671</v>
      </c>
      <c r="K59" s="7">
        <v>1.4999999999999999E-2</v>
      </c>
      <c r="L59" s="7">
        <v>70</v>
      </c>
      <c r="M59" s="7">
        <v>70</v>
      </c>
      <c r="N59" s="7">
        <v>0</v>
      </c>
      <c r="O59" s="7">
        <v>0</v>
      </c>
      <c r="P59" s="7">
        <v>8.74</v>
      </c>
      <c r="Q59" s="7">
        <v>8.74</v>
      </c>
      <c r="R59" s="7" t="s">
        <v>611</v>
      </c>
      <c r="S59" s="7">
        <v>4</v>
      </c>
      <c r="T59" s="7" t="s">
        <v>688</v>
      </c>
      <c r="U59" s="7">
        <v>11</v>
      </c>
      <c r="V59" s="7" t="s">
        <v>629</v>
      </c>
      <c r="W59" s="7">
        <v>17</v>
      </c>
      <c r="X59" s="7" t="s">
        <v>685</v>
      </c>
      <c r="Y59" s="7">
        <v>19</v>
      </c>
      <c r="Z59" s="26" t="s">
        <v>32</v>
      </c>
      <c r="AA59" s="7">
        <v>8</v>
      </c>
      <c r="AB59" s="26" t="s">
        <v>686</v>
      </c>
      <c r="AC59" s="7">
        <v>2</v>
      </c>
      <c r="AD59" s="7">
        <v>16</v>
      </c>
      <c r="AE59" s="7" t="s">
        <v>689</v>
      </c>
      <c r="AF59" s="7"/>
      <c r="AG59" s="28" t="str">
        <f t="shared" si="7"/>
        <v>(211*'48'*548,285*'12,7 / 14,27 / 22,22'*'0,015'*70*70*0*0*8,74*8,74*4*11*17*19*8*2*16)*</v>
      </c>
    </row>
  </sheetData>
  <autoFilter ref="A1:AC59">
    <filterColumn colId="1">
      <filters>
        <filter val="OD1"/>
        <filter val="ROD1"/>
      </filters>
    </filterColumn>
  </autoFilter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H239"/>
  <sheetViews>
    <sheetView tabSelected="1" workbookViewId="0">
      <pane ySplit="2" topLeftCell="A207" activePane="bottomLeft" state="frozen"/>
      <selection pane="bottomLeft" activeCell="L207" sqref="L207"/>
    </sheetView>
  </sheetViews>
  <sheetFormatPr baseColWidth="10" defaultColWidth="10.85546875" defaultRowHeight="15.75" x14ac:dyDescent="0.25"/>
  <cols>
    <col min="1" max="2" width="5.5703125" style="2" customWidth="1"/>
    <col min="3" max="3" width="12.42578125" style="2" bestFit="1" customWidth="1"/>
    <col min="4" max="4" width="18.85546875" style="2" bestFit="1" customWidth="1"/>
    <col min="5" max="8" width="12.7109375" style="2" customWidth="1"/>
    <col min="9" max="9" width="12.7109375" style="2" hidden="1" customWidth="1"/>
    <col min="10" max="11" width="12.7109375" style="2" customWidth="1"/>
    <col min="12" max="13" width="10.5703125" style="2" customWidth="1"/>
    <col min="14" max="15" width="10.7109375" style="2" customWidth="1"/>
    <col min="16" max="16" width="9.7109375" style="91" bestFit="1" customWidth="1"/>
    <col min="17" max="17" width="10.5703125" style="91" customWidth="1"/>
    <col min="18" max="18" width="12.7109375" style="2" customWidth="1"/>
    <col min="19" max="19" width="12.7109375" style="2" hidden="1" customWidth="1"/>
    <col min="20" max="20" width="12.7109375" style="2" customWidth="1"/>
    <col min="21" max="21" width="12.7109375" style="2" hidden="1" customWidth="1"/>
    <col min="22" max="22" width="12.7109375" style="2" customWidth="1"/>
    <col min="23" max="23" width="12.7109375" style="2" hidden="1" customWidth="1"/>
    <col min="24" max="24" width="12.7109375" style="2" customWidth="1"/>
    <col min="25" max="25" width="12.7109375" style="2" hidden="1" customWidth="1"/>
    <col min="26" max="26" width="12.7109375" style="90" customWidth="1"/>
    <col min="27" max="27" width="12.7109375" style="2" hidden="1" customWidth="1"/>
    <col min="28" max="28" width="12.7109375" style="90" customWidth="1"/>
    <col min="29" max="30" width="12.7109375" style="2" hidden="1" customWidth="1"/>
    <col min="31" max="31" width="21.42578125" style="2" hidden="1" customWidth="1"/>
    <col min="32" max="32" width="12.7109375" style="2" hidden="1" customWidth="1"/>
    <col min="33" max="33" width="117.42578125" style="2" bestFit="1" customWidth="1"/>
    <col min="34" max="16384" width="10.85546875" style="2"/>
  </cols>
  <sheetData>
    <row r="1" spans="1:34" ht="20.100000000000001" customHeight="1" x14ac:dyDescent="0.25">
      <c r="A1" s="1" t="s">
        <v>0</v>
      </c>
      <c r="B1" s="1" t="s">
        <v>3617</v>
      </c>
      <c r="C1" s="20" t="s">
        <v>1</v>
      </c>
      <c r="D1" s="20" t="s">
        <v>2</v>
      </c>
      <c r="E1" s="1" t="s">
        <v>3727</v>
      </c>
      <c r="F1" s="1" t="s">
        <v>3728</v>
      </c>
      <c r="G1" s="1" t="s">
        <v>3729</v>
      </c>
      <c r="H1" s="1" t="s">
        <v>6</v>
      </c>
      <c r="I1" s="1" t="s">
        <v>477</v>
      </c>
      <c r="J1" s="1" t="s">
        <v>478</v>
      </c>
      <c r="K1" s="1" t="s">
        <v>479</v>
      </c>
      <c r="L1" s="1" t="s">
        <v>480</v>
      </c>
      <c r="M1" s="93" t="s">
        <v>481</v>
      </c>
      <c r="N1" s="1" t="s">
        <v>482</v>
      </c>
      <c r="O1" s="1" t="s">
        <v>483</v>
      </c>
      <c r="P1" s="1" t="s">
        <v>690</v>
      </c>
      <c r="Q1" s="1" t="s">
        <v>691</v>
      </c>
      <c r="R1" s="1" t="s">
        <v>490</v>
      </c>
      <c r="S1" s="1" t="s">
        <v>491</v>
      </c>
      <c r="T1" s="1" t="s">
        <v>492</v>
      </c>
      <c r="U1" s="1" t="s">
        <v>493</v>
      </c>
      <c r="V1" s="1" t="s">
        <v>494</v>
      </c>
      <c r="W1" s="1" t="s">
        <v>495</v>
      </c>
      <c r="X1" s="1" t="s">
        <v>692</v>
      </c>
      <c r="Y1" s="1" t="s">
        <v>693</v>
      </c>
      <c r="Z1" s="1" t="s">
        <v>498</v>
      </c>
      <c r="AA1" s="1" t="s">
        <v>499</v>
      </c>
      <c r="AB1" s="1" t="s">
        <v>500</v>
      </c>
      <c r="AC1" s="1" t="s">
        <v>501</v>
      </c>
      <c r="AD1" s="1" t="s">
        <v>502</v>
      </c>
      <c r="AE1" s="1" t="s">
        <v>503</v>
      </c>
      <c r="AF1" s="1" t="s">
        <v>504</v>
      </c>
    </row>
    <row r="2" spans="1:34" ht="20.100000000000001" customHeight="1" x14ac:dyDescent="0.25">
      <c r="A2" s="1" t="s">
        <v>9</v>
      </c>
      <c r="B2" s="1"/>
      <c r="C2" s="20" t="s">
        <v>10</v>
      </c>
      <c r="D2" s="20" t="s">
        <v>11</v>
      </c>
      <c r="E2" s="20" t="s">
        <v>12</v>
      </c>
      <c r="F2" s="20"/>
      <c r="G2" s="20"/>
      <c r="H2" s="20" t="s">
        <v>15</v>
      </c>
      <c r="I2" s="1"/>
      <c r="J2" s="1" t="s">
        <v>16</v>
      </c>
      <c r="K2" s="1" t="s">
        <v>505</v>
      </c>
      <c r="L2" s="1" t="s">
        <v>506</v>
      </c>
      <c r="M2" s="1" t="s">
        <v>507</v>
      </c>
      <c r="N2" s="1" t="s">
        <v>508</v>
      </c>
      <c r="O2" s="1" t="s">
        <v>509</v>
      </c>
      <c r="P2" s="1" t="s">
        <v>510</v>
      </c>
      <c r="Q2" s="1" t="s">
        <v>511</v>
      </c>
      <c r="R2" s="1"/>
      <c r="S2" s="1" t="s">
        <v>512</v>
      </c>
      <c r="T2" s="1"/>
      <c r="U2" s="1" t="s">
        <v>513</v>
      </c>
      <c r="V2" s="1"/>
      <c r="W2" s="1" t="s">
        <v>514</v>
      </c>
      <c r="X2" s="1"/>
      <c r="Y2" s="1" t="s">
        <v>515</v>
      </c>
      <c r="Z2" s="1"/>
      <c r="AA2" s="1" t="s">
        <v>516</v>
      </c>
      <c r="AB2" s="1"/>
      <c r="AC2" s="1" t="s">
        <v>517</v>
      </c>
      <c r="AD2" s="1" t="s">
        <v>505</v>
      </c>
      <c r="AE2" s="1"/>
      <c r="AF2" s="1" t="s">
        <v>522</v>
      </c>
      <c r="AG2" s="21" t="s">
        <v>694</v>
      </c>
    </row>
    <row r="3" spans="1:34" ht="20.100000000000001" customHeight="1" x14ac:dyDescent="0.25">
      <c r="A3" s="38">
        <v>1</v>
      </c>
      <c r="B3" s="38"/>
      <c r="C3" s="39" t="s">
        <v>448</v>
      </c>
      <c r="D3" s="39" t="s">
        <v>449</v>
      </c>
      <c r="E3" s="19">
        <v>24053</v>
      </c>
      <c r="F3" s="19">
        <v>24053</v>
      </c>
      <c r="G3" s="19" t="s">
        <v>20</v>
      </c>
      <c r="H3" s="40">
        <v>1</v>
      </c>
      <c r="I3" s="41" t="s">
        <v>524</v>
      </c>
      <c r="J3" s="41">
        <v>11</v>
      </c>
      <c r="K3" s="41">
        <v>12</v>
      </c>
      <c r="L3" s="32">
        <v>28</v>
      </c>
      <c r="M3" s="43">
        <f>Q3-P3</f>
        <v>125</v>
      </c>
      <c r="N3" s="94">
        <v>6.35</v>
      </c>
      <c r="O3" s="41">
        <v>4.5699999999999998E-2</v>
      </c>
      <c r="P3" s="43">
        <v>0</v>
      </c>
      <c r="Q3" s="43">
        <v>125</v>
      </c>
      <c r="R3" s="41" t="s">
        <v>527</v>
      </c>
      <c r="S3" s="41"/>
      <c r="T3" s="41" t="s">
        <v>574</v>
      </c>
      <c r="U3" s="41"/>
      <c r="V3" s="41"/>
      <c r="W3" s="41"/>
      <c r="X3" s="41" t="s">
        <v>300</v>
      </c>
      <c r="Y3" s="41"/>
      <c r="Z3" s="41" t="s">
        <v>3339</v>
      </c>
      <c r="AA3" s="41"/>
      <c r="AB3" s="41" t="s">
        <v>3338</v>
      </c>
      <c r="AC3" s="41"/>
      <c r="AD3" s="46">
        <v>12</v>
      </c>
      <c r="AE3" s="18" t="s">
        <v>531</v>
      </c>
      <c r="AF3" s="18"/>
      <c r="AG3" s="35" t="str">
        <f>CONCATENATE("(",A3,"*",L3,"*",M3,"*",N3,"*",O3,"*",P3,"*",Q3,"*",S3,"*",U3,"*",W3,"*",Y3,"*",AA3,"*",AC3,")*")</f>
        <v>(1*28*125*6,35*0,0457*0*125******)*</v>
      </c>
      <c r="AH3" s="29"/>
    </row>
    <row r="4" spans="1:34" ht="20.100000000000001" customHeight="1" x14ac:dyDescent="0.25">
      <c r="A4" s="38">
        <v>2</v>
      </c>
      <c r="B4" s="38"/>
      <c r="C4" s="39" t="s">
        <v>450</v>
      </c>
      <c r="D4" s="39" t="s">
        <v>451</v>
      </c>
      <c r="E4" s="19">
        <v>24053</v>
      </c>
      <c r="F4" s="19">
        <v>24053</v>
      </c>
      <c r="G4" s="19" t="s">
        <v>20</v>
      </c>
      <c r="H4" s="40">
        <v>1</v>
      </c>
      <c r="I4" s="41" t="s">
        <v>524</v>
      </c>
      <c r="J4" s="41">
        <v>11</v>
      </c>
      <c r="K4" s="41">
        <v>12</v>
      </c>
      <c r="L4" s="32">
        <v>28</v>
      </c>
      <c r="M4" s="43">
        <f t="shared" ref="M4:M9" si="0">Q4-P4</f>
        <v>93</v>
      </c>
      <c r="N4" s="95">
        <v>7.14</v>
      </c>
      <c r="O4" s="41">
        <v>4.5699999999999998E-2</v>
      </c>
      <c r="P4" s="43">
        <v>125</v>
      </c>
      <c r="Q4" s="43">
        <v>218</v>
      </c>
      <c r="R4" s="41" t="s">
        <v>527</v>
      </c>
      <c r="S4" s="41"/>
      <c r="T4" s="41" t="s">
        <v>574</v>
      </c>
      <c r="U4" s="41"/>
      <c r="V4" s="41"/>
      <c r="W4" s="41"/>
      <c r="X4" s="41" t="s">
        <v>300</v>
      </c>
      <c r="Y4" s="41"/>
      <c r="Z4" s="41" t="s">
        <v>3338</v>
      </c>
      <c r="AA4" s="41"/>
      <c r="AB4" s="41" t="s">
        <v>3337</v>
      </c>
      <c r="AC4" s="41"/>
      <c r="AD4" s="46"/>
      <c r="AE4" s="18"/>
      <c r="AF4" s="18"/>
      <c r="AG4" s="35" t="str">
        <f t="shared" ref="AG4:AG20" si="1">CONCATENATE("(",A4,"*",L4,"*",M4,"*",N4,"*",O4,"*",P4,"*",Q4,"*",S4,"*",U4,"*",W4,"*",Y4,"*",AA4,"*",AC4,")*")</f>
        <v>(2*28*93*7,14*0,0457*125*218******)*</v>
      </c>
      <c r="AH4" s="29"/>
    </row>
    <row r="5" spans="1:34" ht="20.100000000000001" customHeight="1" x14ac:dyDescent="0.25">
      <c r="A5" s="38">
        <v>3</v>
      </c>
      <c r="B5" s="38"/>
      <c r="C5" s="39" t="s">
        <v>452</v>
      </c>
      <c r="D5" s="39" t="s">
        <v>453</v>
      </c>
      <c r="E5" s="19">
        <v>24053</v>
      </c>
      <c r="F5" s="19">
        <v>24053</v>
      </c>
      <c r="G5" s="19" t="s">
        <v>20</v>
      </c>
      <c r="H5" s="40">
        <v>1</v>
      </c>
      <c r="I5" s="41" t="s">
        <v>524</v>
      </c>
      <c r="J5" s="41">
        <v>11</v>
      </c>
      <c r="K5" s="41">
        <v>12</v>
      </c>
      <c r="L5" s="32">
        <v>28</v>
      </c>
      <c r="M5" s="43">
        <f t="shared" si="0"/>
        <v>88</v>
      </c>
      <c r="N5" s="95">
        <v>7.92</v>
      </c>
      <c r="O5" s="41">
        <v>4.5699999999999998E-2</v>
      </c>
      <c r="P5" s="43">
        <v>218</v>
      </c>
      <c r="Q5" s="43">
        <v>306</v>
      </c>
      <c r="R5" s="41" t="s">
        <v>527</v>
      </c>
      <c r="S5" s="41"/>
      <c r="T5" s="41" t="s">
        <v>574</v>
      </c>
      <c r="U5" s="41"/>
      <c r="V5" s="41"/>
      <c r="W5" s="41"/>
      <c r="X5" s="41" t="s">
        <v>300</v>
      </c>
      <c r="Y5" s="41"/>
      <c r="Z5" s="41" t="s">
        <v>3337</v>
      </c>
      <c r="AA5" s="41"/>
      <c r="AB5" s="41" t="s">
        <v>3336</v>
      </c>
      <c r="AC5" s="41"/>
      <c r="AD5" s="46"/>
      <c r="AE5" s="18"/>
      <c r="AF5" s="18"/>
      <c r="AG5" s="35" t="str">
        <f t="shared" si="1"/>
        <v>(3*28*88*7,92*0,0457*218*306******)*</v>
      </c>
      <c r="AH5" s="29"/>
    </row>
    <row r="6" spans="1:34" ht="20.100000000000001" customHeight="1" x14ac:dyDescent="0.25">
      <c r="A6" s="38">
        <v>4</v>
      </c>
      <c r="B6" s="38"/>
      <c r="C6" s="39" t="s">
        <v>454</v>
      </c>
      <c r="D6" s="39" t="s">
        <v>455</v>
      </c>
      <c r="E6" s="19">
        <v>24053</v>
      </c>
      <c r="F6" s="19">
        <v>24053</v>
      </c>
      <c r="G6" s="19" t="s">
        <v>20</v>
      </c>
      <c r="H6" s="40">
        <v>1</v>
      </c>
      <c r="I6" s="41" t="s">
        <v>524</v>
      </c>
      <c r="J6" s="41">
        <v>11</v>
      </c>
      <c r="K6" s="41">
        <v>11</v>
      </c>
      <c r="L6" s="32">
        <v>28</v>
      </c>
      <c r="M6" s="43">
        <f t="shared" si="0"/>
        <v>109</v>
      </c>
      <c r="N6" s="95">
        <v>8.74</v>
      </c>
      <c r="O6" s="41">
        <v>4.5699999999999998E-2</v>
      </c>
      <c r="P6" s="43">
        <v>306</v>
      </c>
      <c r="Q6" s="43">
        <v>415</v>
      </c>
      <c r="R6" s="41" t="s">
        <v>527</v>
      </c>
      <c r="S6" s="41"/>
      <c r="T6" s="41" t="s">
        <v>574</v>
      </c>
      <c r="U6" s="41"/>
      <c r="V6" s="41"/>
      <c r="W6" s="41"/>
      <c r="X6" s="41" t="s">
        <v>300</v>
      </c>
      <c r="Y6" s="41"/>
      <c r="Z6" s="41" t="s">
        <v>3336</v>
      </c>
      <c r="AA6" s="41"/>
      <c r="AB6" s="41" t="s">
        <v>3335</v>
      </c>
      <c r="AC6" s="41"/>
      <c r="AD6" s="46"/>
      <c r="AE6" s="18"/>
      <c r="AF6" s="18"/>
      <c r="AG6" s="35" t="str">
        <f t="shared" si="1"/>
        <v>(4*28*109*8,74*0,0457*306*415******)*</v>
      </c>
      <c r="AH6" s="29"/>
    </row>
    <row r="7" spans="1:34" ht="20.100000000000001" customHeight="1" x14ac:dyDescent="0.25">
      <c r="A7" s="38">
        <v>5</v>
      </c>
      <c r="B7" s="38"/>
      <c r="C7" s="39" t="s">
        <v>456</v>
      </c>
      <c r="D7" s="39" t="s">
        <v>457</v>
      </c>
      <c r="E7" s="19">
        <v>24053</v>
      </c>
      <c r="F7" s="19">
        <v>24053</v>
      </c>
      <c r="G7" s="19" t="s">
        <v>20</v>
      </c>
      <c r="H7" s="40">
        <v>1</v>
      </c>
      <c r="I7" s="41" t="s">
        <v>524</v>
      </c>
      <c r="J7" s="41">
        <v>11</v>
      </c>
      <c r="K7" s="41">
        <v>11</v>
      </c>
      <c r="L7" s="32">
        <v>28</v>
      </c>
      <c r="M7" s="43">
        <f t="shared" si="0"/>
        <v>120</v>
      </c>
      <c r="N7" s="95">
        <v>9.52</v>
      </c>
      <c r="O7" s="41">
        <v>4.5699999999999998E-2</v>
      </c>
      <c r="P7" s="43">
        <v>415</v>
      </c>
      <c r="Q7" s="43">
        <v>535</v>
      </c>
      <c r="R7" s="41" t="s">
        <v>527</v>
      </c>
      <c r="S7" s="41"/>
      <c r="T7" s="41" t="s">
        <v>574</v>
      </c>
      <c r="U7" s="41"/>
      <c r="V7" s="41"/>
      <c r="W7" s="41"/>
      <c r="X7" s="41" t="s">
        <v>300</v>
      </c>
      <c r="Y7" s="41"/>
      <c r="Z7" s="41" t="s">
        <v>3335</v>
      </c>
      <c r="AA7" s="41"/>
      <c r="AB7" s="41" t="s">
        <v>3333</v>
      </c>
      <c r="AC7" s="41"/>
      <c r="AD7" s="46"/>
      <c r="AE7" s="18"/>
      <c r="AF7" s="18"/>
      <c r="AG7" s="35" t="str">
        <f t="shared" si="1"/>
        <v>(5*28*120*9,52*0,0457*415*535******)*</v>
      </c>
      <c r="AH7" s="29"/>
    </row>
    <row r="8" spans="1:34" ht="20.100000000000001" customHeight="1" x14ac:dyDescent="0.25">
      <c r="A8" s="38">
        <v>6</v>
      </c>
      <c r="B8" s="38"/>
      <c r="C8" s="39" t="s">
        <v>458</v>
      </c>
      <c r="D8" s="39" t="s">
        <v>459</v>
      </c>
      <c r="E8" s="19">
        <v>24053</v>
      </c>
      <c r="F8" s="19">
        <v>24053</v>
      </c>
      <c r="G8" s="19" t="s">
        <v>20</v>
      </c>
      <c r="H8" s="40">
        <v>1</v>
      </c>
      <c r="I8" s="41" t="s">
        <v>524</v>
      </c>
      <c r="J8" s="41">
        <v>11</v>
      </c>
      <c r="K8" s="41">
        <v>11</v>
      </c>
      <c r="L8" s="32">
        <v>28</v>
      </c>
      <c r="M8" s="43">
        <f t="shared" si="0"/>
        <v>163</v>
      </c>
      <c r="N8" s="95">
        <v>11.91</v>
      </c>
      <c r="O8" s="41">
        <v>4.5699999999999998E-2</v>
      </c>
      <c r="P8" s="43">
        <v>535</v>
      </c>
      <c r="Q8" s="43">
        <v>698</v>
      </c>
      <c r="R8" s="41" t="s">
        <v>527</v>
      </c>
      <c r="S8" s="41"/>
      <c r="T8" s="41" t="s">
        <v>574</v>
      </c>
      <c r="U8" s="41"/>
      <c r="V8" s="41"/>
      <c r="W8" s="41"/>
      <c r="X8" s="41" t="s">
        <v>300</v>
      </c>
      <c r="Y8" s="41"/>
      <c r="Z8" s="41" t="s">
        <v>3333</v>
      </c>
      <c r="AA8" s="41"/>
      <c r="AB8" s="41" t="s">
        <v>3334</v>
      </c>
      <c r="AC8" s="41"/>
      <c r="AD8" s="46"/>
      <c r="AE8" s="18"/>
      <c r="AF8" s="18"/>
      <c r="AG8" s="35" t="str">
        <f t="shared" si="1"/>
        <v>(6*28*163*11,91*0,0457*535*698******)*</v>
      </c>
      <c r="AH8" s="29"/>
    </row>
    <row r="9" spans="1:34" ht="20.100000000000001" customHeight="1" x14ac:dyDescent="0.25">
      <c r="A9" s="38">
        <v>7</v>
      </c>
      <c r="B9" s="38"/>
      <c r="C9" s="39" t="s">
        <v>460</v>
      </c>
      <c r="D9" s="39" t="s">
        <v>461</v>
      </c>
      <c r="E9" s="19">
        <v>24053</v>
      </c>
      <c r="F9" s="19">
        <v>24053</v>
      </c>
      <c r="G9" s="19" t="s">
        <v>20</v>
      </c>
      <c r="H9" s="40">
        <v>1</v>
      </c>
      <c r="I9" s="41" t="s">
        <v>524</v>
      </c>
      <c r="J9" s="41">
        <v>11</v>
      </c>
      <c r="K9" s="41">
        <v>11</v>
      </c>
      <c r="L9" s="32">
        <v>28</v>
      </c>
      <c r="M9" s="43">
        <f t="shared" si="0"/>
        <v>103</v>
      </c>
      <c r="N9" s="95">
        <v>12.7</v>
      </c>
      <c r="O9" s="41">
        <v>4.5699999999999998E-2</v>
      </c>
      <c r="P9" s="43">
        <v>698</v>
      </c>
      <c r="Q9" s="43">
        <v>801</v>
      </c>
      <c r="R9" s="41" t="s">
        <v>527</v>
      </c>
      <c r="S9" s="41"/>
      <c r="T9" s="41" t="s">
        <v>574</v>
      </c>
      <c r="U9" s="41"/>
      <c r="V9" s="41"/>
      <c r="W9" s="41"/>
      <c r="X9" s="41" t="s">
        <v>300</v>
      </c>
      <c r="Y9" s="41"/>
      <c r="Z9" s="41" t="s">
        <v>3334</v>
      </c>
      <c r="AA9" s="41"/>
      <c r="AB9" s="41" t="s">
        <v>3628</v>
      </c>
      <c r="AC9" s="41"/>
      <c r="AD9" s="46"/>
      <c r="AE9" s="18"/>
      <c r="AF9" s="18"/>
      <c r="AG9" s="35" t="str">
        <f t="shared" si="1"/>
        <v>(7*28*103*12,7*0,0457*698*801******)*</v>
      </c>
      <c r="AH9" s="29"/>
    </row>
    <row r="10" spans="1:34" ht="20.100000000000001" customHeight="1" x14ac:dyDescent="0.25">
      <c r="A10" s="38">
        <v>1</v>
      </c>
      <c r="B10" s="38"/>
      <c r="C10" s="39" t="s">
        <v>462</v>
      </c>
      <c r="D10" s="39" t="s">
        <v>463</v>
      </c>
      <c r="E10" s="19">
        <v>45156</v>
      </c>
      <c r="F10" s="19">
        <v>45156</v>
      </c>
      <c r="G10" s="19" t="s">
        <v>20</v>
      </c>
      <c r="H10" s="40">
        <v>1</v>
      </c>
      <c r="I10" s="41"/>
      <c r="J10" s="41">
        <v>11</v>
      </c>
      <c r="K10" s="41">
        <v>12</v>
      </c>
      <c r="L10" s="32">
        <v>34</v>
      </c>
      <c r="M10" s="42">
        <f>Q10-P10</f>
        <v>128</v>
      </c>
      <c r="N10" s="41">
        <v>7.92</v>
      </c>
      <c r="O10" s="41">
        <v>4.5699999999999998E-2</v>
      </c>
      <c r="P10" s="43">
        <v>0</v>
      </c>
      <c r="Q10" s="43">
        <v>128</v>
      </c>
      <c r="R10" s="41" t="s">
        <v>3735</v>
      </c>
      <c r="S10" s="41"/>
      <c r="T10" s="41" t="s">
        <v>534</v>
      </c>
      <c r="U10" s="41"/>
      <c r="V10" s="41"/>
      <c r="W10" s="41"/>
      <c r="X10" s="41" t="s">
        <v>302</v>
      </c>
      <c r="Y10" s="41"/>
      <c r="Z10" s="41" t="s">
        <v>3339</v>
      </c>
      <c r="AA10" s="41"/>
      <c r="AB10" s="41" t="s">
        <v>3338</v>
      </c>
      <c r="AC10" s="41"/>
      <c r="AD10" s="46">
        <v>12</v>
      </c>
      <c r="AE10" s="36" t="s">
        <v>535</v>
      </c>
      <c r="AF10" s="36"/>
      <c r="AG10" s="35" t="str">
        <f t="shared" si="1"/>
        <v>(1*34*128*7,92*0,0457*0*128******)*</v>
      </c>
    </row>
    <row r="11" spans="1:34" ht="20.100000000000001" customHeight="1" x14ac:dyDescent="0.25">
      <c r="A11" s="38">
        <v>2</v>
      </c>
      <c r="B11" s="38"/>
      <c r="C11" s="39" t="s">
        <v>464</v>
      </c>
      <c r="D11" s="39" t="s">
        <v>465</v>
      </c>
      <c r="E11" s="19">
        <v>45156</v>
      </c>
      <c r="F11" s="19">
        <v>45156</v>
      </c>
      <c r="G11" s="19" t="s">
        <v>20</v>
      </c>
      <c r="H11" s="40">
        <v>1</v>
      </c>
      <c r="I11" s="41"/>
      <c r="J11" s="41">
        <v>11</v>
      </c>
      <c r="K11" s="41">
        <v>12</v>
      </c>
      <c r="L11" s="32">
        <v>34</v>
      </c>
      <c r="M11" s="42">
        <f t="shared" ref="M11:M16" si="2">Q11-P11</f>
        <v>93</v>
      </c>
      <c r="N11" s="41"/>
      <c r="O11" s="41">
        <v>4.5699999999999998E-2</v>
      </c>
      <c r="P11" s="43">
        <v>128</v>
      </c>
      <c r="Q11" s="43">
        <v>221</v>
      </c>
      <c r="R11" s="41" t="s">
        <v>3735</v>
      </c>
      <c r="S11" s="41"/>
      <c r="T11" s="41" t="s">
        <v>534</v>
      </c>
      <c r="U11" s="41"/>
      <c r="V11" s="41"/>
      <c r="W11" s="41"/>
      <c r="X11" s="41" t="s">
        <v>302</v>
      </c>
      <c r="Y11" s="41"/>
      <c r="Z11" s="41" t="s">
        <v>3338</v>
      </c>
      <c r="AA11" s="41"/>
      <c r="AB11" s="41" t="s">
        <v>3337</v>
      </c>
      <c r="AC11" s="41"/>
      <c r="AD11" s="46"/>
      <c r="AE11" s="36"/>
      <c r="AF11" s="36"/>
      <c r="AG11" s="35" t="str">
        <f t="shared" si="1"/>
        <v>(2*34*93**0,0457*128*221******)*</v>
      </c>
    </row>
    <row r="12" spans="1:34" ht="20.100000000000001" customHeight="1" x14ac:dyDescent="0.25">
      <c r="A12" s="38">
        <v>3</v>
      </c>
      <c r="B12" s="38"/>
      <c r="C12" s="39" t="s">
        <v>466</v>
      </c>
      <c r="D12" s="39" t="s">
        <v>467</v>
      </c>
      <c r="E12" s="19">
        <v>45156</v>
      </c>
      <c r="F12" s="19">
        <v>45156</v>
      </c>
      <c r="G12" s="19" t="s">
        <v>20</v>
      </c>
      <c r="H12" s="40">
        <v>1</v>
      </c>
      <c r="I12" s="41"/>
      <c r="J12" s="41">
        <v>11</v>
      </c>
      <c r="K12" s="41">
        <v>12</v>
      </c>
      <c r="L12" s="32">
        <v>34</v>
      </c>
      <c r="M12" s="42">
        <f t="shared" si="2"/>
        <v>87</v>
      </c>
      <c r="N12" s="41"/>
      <c r="O12" s="41">
        <v>4.5699999999999998E-2</v>
      </c>
      <c r="P12" s="43">
        <v>221</v>
      </c>
      <c r="Q12" s="43">
        <v>308</v>
      </c>
      <c r="R12" s="41" t="s">
        <v>3735</v>
      </c>
      <c r="S12" s="41"/>
      <c r="T12" s="41" t="s">
        <v>534</v>
      </c>
      <c r="U12" s="41"/>
      <c r="V12" s="41"/>
      <c r="W12" s="41"/>
      <c r="X12" s="41" t="s">
        <v>302</v>
      </c>
      <c r="Y12" s="41"/>
      <c r="Z12" s="41" t="s">
        <v>3337</v>
      </c>
      <c r="AA12" s="41"/>
      <c r="AB12" s="41" t="s">
        <v>3336</v>
      </c>
      <c r="AC12" s="41"/>
      <c r="AD12" s="46"/>
      <c r="AE12" s="36"/>
      <c r="AF12" s="36"/>
      <c r="AG12" s="35" t="str">
        <f t="shared" si="1"/>
        <v>(3*34*87**0,0457*221*308******)*</v>
      </c>
    </row>
    <row r="13" spans="1:34" ht="20.100000000000001" customHeight="1" x14ac:dyDescent="0.25">
      <c r="A13" s="38">
        <v>4</v>
      </c>
      <c r="B13" s="38"/>
      <c r="C13" s="39" t="s">
        <v>468</v>
      </c>
      <c r="D13" s="39" t="s">
        <v>469</v>
      </c>
      <c r="E13" s="19">
        <v>45156</v>
      </c>
      <c r="F13" s="19">
        <v>45156</v>
      </c>
      <c r="G13" s="19" t="s">
        <v>20</v>
      </c>
      <c r="H13" s="40">
        <v>1</v>
      </c>
      <c r="I13" s="41"/>
      <c r="J13" s="41">
        <v>11</v>
      </c>
      <c r="K13" s="41">
        <v>11</v>
      </c>
      <c r="L13" s="32">
        <v>34</v>
      </c>
      <c r="M13" s="42">
        <f t="shared" si="2"/>
        <v>109</v>
      </c>
      <c r="N13" s="41"/>
      <c r="O13" s="41">
        <v>4.5699999999999998E-2</v>
      </c>
      <c r="P13" s="43">
        <v>308</v>
      </c>
      <c r="Q13" s="43">
        <v>417</v>
      </c>
      <c r="R13" s="41" t="s">
        <v>3735</v>
      </c>
      <c r="S13" s="41"/>
      <c r="T13" s="41" t="s">
        <v>534</v>
      </c>
      <c r="U13" s="41"/>
      <c r="V13" s="41"/>
      <c r="W13" s="41"/>
      <c r="X13" s="41" t="s">
        <v>302</v>
      </c>
      <c r="Y13" s="41"/>
      <c r="Z13" s="41" t="s">
        <v>3336</v>
      </c>
      <c r="AA13" s="41"/>
      <c r="AB13" s="41" t="s">
        <v>3335</v>
      </c>
      <c r="AC13" s="41"/>
      <c r="AD13" s="46"/>
      <c r="AE13" s="36"/>
      <c r="AF13" s="36"/>
      <c r="AG13" s="35" t="str">
        <f t="shared" si="1"/>
        <v>(4*34*109**0,0457*308*417******)*</v>
      </c>
    </row>
    <row r="14" spans="1:34" ht="20.100000000000001" customHeight="1" x14ac:dyDescent="0.25">
      <c r="A14" s="38">
        <v>5</v>
      </c>
      <c r="B14" s="38"/>
      <c r="C14" s="39" t="s">
        <v>470</v>
      </c>
      <c r="D14" s="39" t="s">
        <v>471</v>
      </c>
      <c r="E14" s="19">
        <v>45156</v>
      </c>
      <c r="F14" s="19">
        <v>45156</v>
      </c>
      <c r="G14" s="19" t="s">
        <v>20</v>
      </c>
      <c r="H14" s="40">
        <v>1</v>
      </c>
      <c r="I14" s="41"/>
      <c r="J14" s="41">
        <v>11</v>
      </c>
      <c r="K14" s="41">
        <v>11</v>
      </c>
      <c r="L14" s="32">
        <v>34</v>
      </c>
      <c r="M14" s="42">
        <f t="shared" si="2"/>
        <v>121</v>
      </c>
      <c r="N14" s="41"/>
      <c r="O14" s="41">
        <v>4.5699999999999998E-2</v>
      </c>
      <c r="P14" s="43">
        <v>417</v>
      </c>
      <c r="Q14" s="43">
        <v>538</v>
      </c>
      <c r="R14" s="41" t="s">
        <v>3735</v>
      </c>
      <c r="S14" s="41"/>
      <c r="T14" s="41" t="s">
        <v>534</v>
      </c>
      <c r="U14" s="41"/>
      <c r="V14" s="41"/>
      <c r="W14" s="41"/>
      <c r="X14" s="41" t="s">
        <v>302</v>
      </c>
      <c r="Y14" s="41"/>
      <c r="Z14" s="41" t="s">
        <v>3335</v>
      </c>
      <c r="AA14" s="41"/>
      <c r="AB14" s="41" t="s">
        <v>3333</v>
      </c>
      <c r="AC14" s="41"/>
      <c r="AD14" s="46"/>
      <c r="AE14" s="36"/>
      <c r="AF14" s="36"/>
      <c r="AG14" s="35" t="str">
        <f t="shared" si="1"/>
        <v>(5*34*121**0,0457*417*538******)*</v>
      </c>
    </row>
    <row r="15" spans="1:34" ht="20.100000000000001" customHeight="1" x14ac:dyDescent="0.25">
      <c r="A15" s="38">
        <v>6</v>
      </c>
      <c r="B15" s="38"/>
      <c r="C15" s="39" t="s">
        <v>472</v>
      </c>
      <c r="D15" s="39" t="s">
        <v>473</v>
      </c>
      <c r="E15" s="19">
        <v>45156</v>
      </c>
      <c r="F15" s="19">
        <v>45156</v>
      </c>
      <c r="G15" s="19" t="s">
        <v>20</v>
      </c>
      <c r="H15" s="40">
        <v>1</v>
      </c>
      <c r="I15" s="41"/>
      <c r="J15" s="41">
        <v>11</v>
      </c>
      <c r="K15" s="41">
        <v>11</v>
      </c>
      <c r="L15" s="32">
        <v>34</v>
      </c>
      <c r="M15" s="42">
        <f t="shared" si="2"/>
        <v>168</v>
      </c>
      <c r="N15" s="41"/>
      <c r="O15" s="41">
        <v>4.5699999999999998E-2</v>
      </c>
      <c r="P15" s="43">
        <v>538</v>
      </c>
      <c r="Q15" s="43">
        <v>706</v>
      </c>
      <c r="R15" s="41" t="s">
        <v>3735</v>
      </c>
      <c r="S15" s="41"/>
      <c r="T15" s="41" t="s">
        <v>534</v>
      </c>
      <c r="U15" s="41"/>
      <c r="V15" s="41"/>
      <c r="W15" s="41"/>
      <c r="X15" s="41" t="s">
        <v>302</v>
      </c>
      <c r="Y15" s="41"/>
      <c r="Z15" s="41" t="s">
        <v>3333</v>
      </c>
      <c r="AA15" s="41"/>
      <c r="AB15" s="41" t="s">
        <v>3334</v>
      </c>
      <c r="AC15" s="41"/>
      <c r="AD15" s="46"/>
      <c r="AE15" s="36"/>
      <c r="AF15" s="36"/>
      <c r="AG15" s="35" t="str">
        <f t="shared" si="1"/>
        <v>(6*34*168**0,0457*538*706******)*</v>
      </c>
    </row>
    <row r="16" spans="1:34" ht="20.100000000000001" customHeight="1" x14ac:dyDescent="0.25">
      <c r="A16" s="38">
        <v>7</v>
      </c>
      <c r="B16" s="38"/>
      <c r="C16" s="39" t="s">
        <v>474</v>
      </c>
      <c r="D16" s="39" t="s">
        <v>475</v>
      </c>
      <c r="E16" s="19">
        <v>45156</v>
      </c>
      <c r="F16" s="19">
        <v>45156</v>
      </c>
      <c r="G16" s="19" t="s">
        <v>20</v>
      </c>
      <c r="H16" s="40">
        <v>1</v>
      </c>
      <c r="I16" s="41"/>
      <c r="J16" s="41">
        <v>11</v>
      </c>
      <c r="K16" s="41">
        <v>11</v>
      </c>
      <c r="L16" s="32">
        <v>34</v>
      </c>
      <c r="M16" s="42">
        <f t="shared" si="2"/>
        <v>115</v>
      </c>
      <c r="N16" s="41">
        <v>17.48</v>
      </c>
      <c r="O16" s="41">
        <v>4.5699999999999998E-2</v>
      </c>
      <c r="P16" s="43">
        <v>706</v>
      </c>
      <c r="Q16" s="43">
        <v>821</v>
      </c>
      <c r="R16" s="41" t="s">
        <v>3735</v>
      </c>
      <c r="S16" s="41"/>
      <c r="T16" s="41" t="s">
        <v>534</v>
      </c>
      <c r="U16" s="41"/>
      <c r="V16" s="41"/>
      <c r="W16" s="41"/>
      <c r="X16" s="41" t="s">
        <v>302</v>
      </c>
      <c r="Y16" s="41"/>
      <c r="Z16" s="41" t="s">
        <v>3334</v>
      </c>
      <c r="AA16" s="41"/>
      <c r="AB16" s="41" t="s">
        <v>3628</v>
      </c>
      <c r="AC16" s="41"/>
      <c r="AD16" s="46"/>
      <c r="AE16" s="36"/>
      <c r="AF16" s="36"/>
      <c r="AG16" s="35" t="str">
        <f t="shared" si="1"/>
        <v>(7*34*115*17,48*0,0457*706*821******)*</v>
      </c>
    </row>
    <row r="17" spans="1:33" ht="20.100000000000001" customHeight="1" x14ac:dyDescent="0.25">
      <c r="A17" s="38">
        <v>1</v>
      </c>
      <c r="B17" s="38"/>
      <c r="C17" s="39" t="s">
        <v>695</v>
      </c>
      <c r="D17" s="39" t="s">
        <v>696</v>
      </c>
      <c r="E17" s="19">
        <v>26299</v>
      </c>
      <c r="F17" s="19">
        <v>26299</v>
      </c>
      <c r="G17" s="19" t="s">
        <v>20</v>
      </c>
      <c r="H17" s="40">
        <v>1</v>
      </c>
      <c r="I17" s="41"/>
      <c r="J17" s="41">
        <v>13</v>
      </c>
      <c r="K17" s="41">
        <v>13</v>
      </c>
      <c r="L17" s="32">
        <v>34</v>
      </c>
      <c r="M17" s="42">
        <f>Q17-P17</f>
        <v>190.56</v>
      </c>
      <c r="N17" s="44"/>
      <c r="O17" s="41">
        <v>4.5699999999999998E-2</v>
      </c>
      <c r="P17" s="43">
        <v>0</v>
      </c>
      <c r="Q17" s="43">
        <v>190.56</v>
      </c>
      <c r="R17" s="41"/>
      <c r="S17" s="41"/>
      <c r="T17" s="44"/>
      <c r="U17" s="41"/>
      <c r="V17" s="41"/>
      <c r="W17" s="41"/>
      <c r="X17" s="41" t="s">
        <v>305</v>
      </c>
      <c r="Y17" s="41"/>
      <c r="Z17" s="63" t="s">
        <v>93</v>
      </c>
      <c r="AA17" s="38"/>
      <c r="AB17" s="63" t="s">
        <v>95</v>
      </c>
      <c r="AC17" s="38"/>
      <c r="AD17" s="46">
        <v>12</v>
      </c>
      <c r="AE17" s="18" t="s">
        <v>541</v>
      </c>
      <c r="AF17" s="18"/>
      <c r="AG17" s="35" t="str">
        <f t="shared" si="1"/>
        <v>(1*34*190,56**0,0457*0*190,56******)*</v>
      </c>
    </row>
    <row r="18" spans="1:33" ht="20.100000000000001" customHeight="1" x14ac:dyDescent="0.25">
      <c r="A18" s="38">
        <v>2</v>
      </c>
      <c r="B18" s="38"/>
      <c r="C18" s="39" t="s">
        <v>697</v>
      </c>
      <c r="D18" s="39" t="s">
        <v>698</v>
      </c>
      <c r="E18" s="19">
        <v>26299</v>
      </c>
      <c r="F18" s="19">
        <v>26299</v>
      </c>
      <c r="G18" s="19" t="s">
        <v>20</v>
      </c>
      <c r="H18" s="40">
        <v>1</v>
      </c>
      <c r="I18" s="41"/>
      <c r="J18" s="41">
        <v>13</v>
      </c>
      <c r="K18" s="41">
        <v>13</v>
      </c>
      <c r="L18" s="32">
        <v>34</v>
      </c>
      <c r="M18" s="42">
        <f t="shared" ref="M18:M20" si="3">Q18-P18</f>
        <v>148.08299999999997</v>
      </c>
      <c r="N18" s="44"/>
      <c r="O18" s="41">
        <v>4.5699999999999998E-2</v>
      </c>
      <c r="P18" s="43">
        <v>190.56</v>
      </c>
      <c r="Q18" s="43">
        <v>338.64299999999997</v>
      </c>
      <c r="R18" s="41"/>
      <c r="S18" s="41"/>
      <c r="T18" s="44"/>
      <c r="U18" s="41"/>
      <c r="V18" s="41"/>
      <c r="W18" s="41"/>
      <c r="X18" s="41" t="s">
        <v>305</v>
      </c>
      <c r="Y18" s="41"/>
      <c r="Z18" s="63" t="s">
        <v>95</v>
      </c>
      <c r="AA18" s="38"/>
      <c r="AB18" s="63" t="s">
        <v>97</v>
      </c>
      <c r="AC18" s="38"/>
      <c r="AD18" s="46"/>
      <c r="AE18" s="18"/>
      <c r="AF18" s="18"/>
      <c r="AG18" s="35" t="str">
        <f t="shared" si="1"/>
        <v>(2*34*148,083**0,0457*190,56*338,643******)*</v>
      </c>
    </row>
    <row r="19" spans="1:33" ht="20.100000000000001" customHeight="1" x14ac:dyDescent="0.25">
      <c r="A19" s="38">
        <v>3</v>
      </c>
      <c r="B19" s="38"/>
      <c r="C19" s="39" t="s">
        <v>699</v>
      </c>
      <c r="D19" s="39" t="s">
        <v>700</v>
      </c>
      <c r="E19" s="19">
        <v>26299</v>
      </c>
      <c r="F19" s="19">
        <v>26299</v>
      </c>
      <c r="G19" s="19" t="s">
        <v>20</v>
      </c>
      <c r="H19" s="40">
        <v>1</v>
      </c>
      <c r="I19" s="41"/>
      <c r="J19" s="41">
        <v>13</v>
      </c>
      <c r="K19" s="41">
        <v>13</v>
      </c>
      <c r="L19" s="32">
        <v>34</v>
      </c>
      <c r="M19" s="42">
        <f t="shared" si="3"/>
        <v>92.784000000000049</v>
      </c>
      <c r="N19" s="44"/>
      <c r="O19" s="41">
        <v>4.5699999999999998E-2</v>
      </c>
      <c r="P19" s="43">
        <v>338.64299999999997</v>
      </c>
      <c r="Q19" s="43">
        <v>431.42700000000002</v>
      </c>
      <c r="R19" s="41"/>
      <c r="S19" s="41"/>
      <c r="T19" s="44"/>
      <c r="U19" s="41"/>
      <c r="V19" s="41"/>
      <c r="W19" s="41"/>
      <c r="X19" s="41" t="s">
        <v>305</v>
      </c>
      <c r="Y19" s="41"/>
      <c r="Z19" s="63" t="s">
        <v>97</v>
      </c>
      <c r="AA19" s="38"/>
      <c r="AB19" s="63" t="s">
        <v>101</v>
      </c>
      <c r="AC19" s="38"/>
      <c r="AD19" s="46"/>
      <c r="AE19" s="18"/>
      <c r="AF19" s="18"/>
      <c r="AG19" s="35" t="str">
        <f t="shared" si="1"/>
        <v>(3*34*92,784**0,0457*338,643*431,427******)*</v>
      </c>
    </row>
    <row r="20" spans="1:33" ht="20.100000000000001" customHeight="1" x14ac:dyDescent="0.25">
      <c r="A20" s="38">
        <v>4</v>
      </c>
      <c r="B20" s="38"/>
      <c r="C20" s="39" t="s">
        <v>701</v>
      </c>
      <c r="D20" s="39" t="s">
        <v>702</v>
      </c>
      <c r="E20" s="19">
        <v>26299</v>
      </c>
      <c r="F20" s="19">
        <v>26299</v>
      </c>
      <c r="G20" s="19" t="s">
        <v>20</v>
      </c>
      <c r="H20" s="40">
        <v>1</v>
      </c>
      <c r="I20" s="41"/>
      <c r="J20" s="41">
        <v>13</v>
      </c>
      <c r="K20" s="41">
        <v>13</v>
      </c>
      <c r="L20" s="32">
        <v>34</v>
      </c>
      <c r="M20" s="42">
        <f t="shared" si="3"/>
        <v>215.31999999999994</v>
      </c>
      <c r="N20" s="44"/>
      <c r="O20" s="41">
        <v>4.5699999999999998E-2</v>
      </c>
      <c r="P20" s="43">
        <v>431.42700000000002</v>
      </c>
      <c r="Q20" s="43">
        <v>646.74699999999996</v>
      </c>
      <c r="R20" s="41"/>
      <c r="S20" s="41"/>
      <c r="T20" s="44"/>
      <c r="U20" s="41"/>
      <c r="V20" s="41"/>
      <c r="W20" s="41"/>
      <c r="X20" s="41" t="s">
        <v>305</v>
      </c>
      <c r="Y20" s="41"/>
      <c r="Z20" s="63" t="s">
        <v>101</v>
      </c>
      <c r="AA20" s="38"/>
      <c r="AB20" s="41" t="s">
        <v>85</v>
      </c>
      <c r="AC20" s="41"/>
      <c r="AD20" s="46"/>
      <c r="AE20" s="18"/>
      <c r="AF20" s="18"/>
      <c r="AG20" s="35" t="str">
        <f t="shared" si="1"/>
        <v>(4*34*215,32**0,0457*431,427*646,747******)*</v>
      </c>
    </row>
    <row r="21" spans="1:33" ht="20.100000000000001" customHeight="1" x14ac:dyDescent="0.25">
      <c r="A21" s="38">
        <v>1</v>
      </c>
      <c r="B21" s="38"/>
      <c r="C21" s="39" t="s">
        <v>707</v>
      </c>
      <c r="D21" s="39" t="s">
        <v>703</v>
      </c>
      <c r="E21" s="19">
        <v>21864</v>
      </c>
      <c r="F21" s="19">
        <v>21864</v>
      </c>
      <c r="G21" s="19"/>
      <c r="H21" s="40">
        <v>8</v>
      </c>
      <c r="I21" s="41"/>
      <c r="J21" s="41">
        <v>15</v>
      </c>
      <c r="K21" s="41">
        <v>15</v>
      </c>
      <c r="L21" s="32">
        <v>24</v>
      </c>
      <c r="M21" s="42">
        <f>Q21-P21</f>
        <v>189.81</v>
      </c>
      <c r="N21" s="41"/>
      <c r="O21" s="41"/>
      <c r="P21" s="43">
        <v>0</v>
      </c>
      <c r="Q21" s="43">
        <v>189.81</v>
      </c>
      <c r="R21" s="41"/>
      <c r="S21" s="41"/>
      <c r="T21" s="41" t="s">
        <v>574</v>
      </c>
      <c r="U21" s="41"/>
      <c r="V21" s="41"/>
      <c r="W21" s="41"/>
      <c r="X21" s="41" t="s">
        <v>308</v>
      </c>
      <c r="Y21" s="41"/>
      <c r="Z21" s="41" t="s">
        <v>103</v>
      </c>
      <c r="AA21" s="41"/>
      <c r="AB21" s="41" t="s">
        <v>105</v>
      </c>
      <c r="AC21" s="41"/>
      <c r="AD21" s="47">
        <v>12</v>
      </c>
      <c r="AE21" s="7" t="s">
        <v>550</v>
      </c>
      <c r="AF21" s="7"/>
      <c r="AG21" s="35" t="str">
        <f>CONCATENATE("(",A21,"*'",L21,"'*",M21,"*'",N21,"'*'",O21,"'*",P21,"*",Q21,"*",S21,"*",U21,"*",W21,"*",Y21,"*",AA21,"*",AC21,")*")</f>
        <v>(1*'24'*189,81*''*''*0*189,81******)*</v>
      </c>
    </row>
    <row r="22" spans="1:33" ht="20.100000000000001" customHeight="1" x14ac:dyDescent="0.25">
      <c r="A22" s="38">
        <v>2</v>
      </c>
      <c r="B22" s="38"/>
      <c r="C22" s="39" t="s">
        <v>708</v>
      </c>
      <c r="D22" s="39" t="s">
        <v>704</v>
      </c>
      <c r="E22" s="19">
        <v>21864</v>
      </c>
      <c r="F22" s="19">
        <v>21864</v>
      </c>
      <c r="G22" s="19" t="s">
        <v>20</v>
      </c>
      <c r="H22" s="40">
        <v>1</v>
      </c>
      <c r="I22" s="41"/>
      <c r="J22" s="41">
        <v>15</v>
      </c>
      <c r="K22" s="41">
        <v>15</v>
      </c>
      <c r="L22" s="32">
        <v>24</v>
      </c>
      <c r="M22" s="42">
        <f t="shared" ref="M22:M28" si="4">Q22-P22</f>
        <v>161.01999999999998</v>
      </c>
      <c r="N22" s="41"/>
      <c r="O22" s="41"/>
      <c r="P22" s="43">
        <v>189.81</v>
      </c>
      <c r="Q22" s="43">
        <v>350.83</v>
      </c>
      <c r="R22" s="41"/>
      <c r="S22" s="41"/>
      <c r="T22" s="41" t="s">
        <v>574</v>
      </c>
      <c r="U22" s="41"/>
      <c r="V22" s="41"/>
      <c r="W22" s="41"/>
      <c r="X22" s="41" t="s">
        <v>308</v>
      </c>
      <c r="Y22" s="41"/>
      <c r="Z22" s="41" t="s">
        <v>105</v>
      </c>
      <c r="AA22" s="41"/>
      <c r="AB22" s="41" t="s">
        <v>107</v>
      </c>
      <c r="AC22" s="41"/>
      <c r="AD22" s="47"/>
      <c r="AE22" s="7"/>
      <c r="AF22" s="7"/>
      <c r="AG22" s="35" t="str">
        <f>CONCATENATE("(",A22,"*'",L22,"'*",M22,"*'",N22,"'*'",O22,"'*",P22,"*",Q22,"*",S22,"*",U22,"*",W22,"*",Y22,"*",AA22,"*",AC22,")*")</f>
        <v>(2*'24'*161,02*''*''*189,81*350,83******)*</v>
      </c>
    </row>
    <row r="23" spans="1:33" ht="20.100000000000001" customHeight="1" x14ac:dyDescent="0.25">
      <c r="A23" s="38">
        <v>3</v>
      </c>
      <c r="B23" s="38"/>
      <c r="C23" s="39" t="s">
        <v>709</v>
      </c>
      <c r="D23" s="39" t="s">
        <v>705</v>
      </c>
      <c r="E23" s="19">
        <v>21864</v>
      </c>
      <c r="F23" s="19">
        <v>21864</v>
      </c>
      <c r="G23" s="19" t="s">
        <v>20</v>
      </c>
      <c r="H23" s="40">
        <v>1</v>
      </c>
      <c r="I23" s="41"/>
      <c r="J23" s="41">
        <v>15</v>
      </c>
      <c r="K23" s="41">
        <v>15</v>
      </c>
      <c r="L23" s="32">
        <v>24</v>
      </c>
      <c r="M23" s="42">
        <f t="shared" si="4"/>
        <v>144.17900000000003</v>
      </c>
      <c r="N23" s="41"/>
      <c r="O23" s="41"/>
      <c r="P23" s="43">
        <v>350.83</v>
      </c>
      <c r="Q23" s="43">
        <v>495.00900000000001</v>
      </c>
      <c r="R23" s="41"/>
      <c r="S23" s="41"/>
      <c r="T23" s="41" t="s">
        <v>574</v>
      </c>
      <c r="U23" s="41"/>
      <c r="V23" s="41"/>
      <c r="W23" s="41"/>
      <c r="X23" s="41" t="s">
        <v>308</v>
      </c>
      <c r="Y23" s="41"/>
      <c r="Z23" s="41" t="s">
        <v>107</v>
      </c>
      <c r="AA23" s="41"/>
      <c r="AB23" s="41" t="s">
        <v>109</v>
      </c>
      <c r="AC23" s="41"/>
      <c r="AD23" s="47"/>
      <c r="AE23" s="7"/>
      <c r="AF23" s="7"/>
      <c r="AG23" s="35" t="str">
        <f>CONCATENATE("(",A23,"*'",L23,"'*",M23,"*'",N23,"'*'",O23,"'*",P23,"*",Q23,"*",S23,"*",U23,"*",W23,"*",Y23,"*",AA23,"*",AC23,")*")</f>
        <v>(3*'24'*144,179*''*''*350,83*495,009******)*</v>
      </c>
    </row>
    <row r="24" spans="1:33" ht="20.100000000000001" customHeight="1" x14ac:dyDescent="0.25">
      <c r="A24" s="38">
        <v>4</v>
      </c>
      <c r="B24" s="38"/>
      <c r="C24" s="39" t="s">
        <v>710</v>
      </c>
      <c r="D24" s="39" t="s">
        <v>706</v>
      </c>
      <c r="E24" s="19">
        <v>21864</v>
      </c>
      <c r="F24" s="19">
        <v>21864</v>
      </c>
      <c r="G24" s="19"/>
      <c r="H24" s="40">
        <v>8</v>
      </c>
      <c r="I24" s="41"/>
      <c r="J24" s="41">
        <v>15</v>
      </c>
      <c r="K24" s="41">
        <v>15</v>
      </c>
      <c r="L24" s="32">
        <v>24</v>
      </c>
      <c r="M24" s="42">
        <f t="shared" si="4"/>
        <v>173.42099999999994</v>
      </c>
      <c r="N24" s="41"/>
      <c r="O24" s="41"/>
      <c r="P24" s="43">
        <v>495.00900000000001</v>
      </c>
      <c r="Q24" s="43">
        <v>668.43</v>
      </c>
      <c r="R24" s="41"/>
      <c r="S24" s="41"/>
      <c r="T24" s="41" t="s">
        <v>574</v>
      </c>
      <c r="U24" s="41"/>
      <c r="V24" s="41"/>
      <c r="W24" s="41"/>
      <c r="X24" s="41" t="s">
        <v>308</v>
      </c>
      <c r="Y24" s="41"/>
      <c r="Z24" s="41" t="s">
        <v>109</v>
      </c>
      <c r="AA24" s="41"/>
      <c r="AB24" s="41" t="s">
        <v>62</v>
      </c>
      <c r="AC24" s="41"/>
      <c r="AD24" s="47"/>
      <c r="AE24" s="7"/>
      <c r="AF24" s="7"/>
      <c r="AG24" s="35" t="str">
        <f>CONCATENATE("(",A24,"*'",L24,"'*",M24,"*'",N24,"'*'",O24,"'*",P24,"*",Q24,"*",S24,"*",U24,"*",W24,"*",Y24,"*",AA24,"*",AC24,")*")</f>
        <v>(4*'24'*173,421*''*''*495,009*668,43******)*</v>
      </c>
    </row>
    <row r="25" spans="1:33" ht="20.100000000000001" customHeight="1" x14ac:dyDescent="0.25">
      <c r="A25" s="38">
        <v>1</v>
      </c>
      <c r="B25" s="38"/>
      <c r="C25" s="39" t="s">
        <v>711</v>
      </c>
      <c r="D25" s="39" t="s">
        <v>715</v>
      </c>
      <c r="E25" s="19">
        <v>21864</v>
      </c>
      <c r="F25" s="19">
        <v>21864</v>
      </c>
      <c r="G25" s="19" t="s">
        <v>20</v>
      </c>
      <c r="H25" s="40">
        <v>1</v>
      </c>
      <c r="I25" s="41"/>
      <c r="J25" s="41">
        <v>15</v>
      </c>
      <c r="K25" s="41">
        <v>15</v>
      </c>
      <c r="L25" s="32">
        <v>24</v>
      </c>
      <c r="M25" s="42">
        <f t="shared" si="4"/>
        <v>189.81</v>
      </c>
      <c r="N25" s="41"/>
      <c r="O25" s="41"/>
      <c r="P25" s="43">
        <v>0</v>
      </c>
      <c r="Q25" s="43">
        <v>189.81</v>
      </c>
      <c r="R25" s="41"/>
      <c r="S25" s="41"/>
      <c r="T25" s="41" t="s">
        <v>534</v>
      </c>
      <c r="U25" s="41"/>
      <c r="V25" s="41"/>
      <c r="W25" s="41"/>
      <c r="X25" s="41" t="s">
        <v>308</v>
      </c>
      <c r="Y25" s="41"/>
      <c r="Z25" s="41" t="s">
        <v>103</v>
      </c>
      <c r="AA25" s="41"/>
      <c r="AB25" s="41" t="s">
        <v>105</v>
      </c>
      <c r="AC25" s="41"/>
      <c r="AD25" s="47">
        <v>12</v>
      </c>
      <c r="AE25" s="7"/>
      <c r="AF25" s="7"/>
      <c r="AG25" s="28" t="str">
        <f>CONCATENATE("(",A25,"*'",L25,"'*",M25,"*'",N25,"'*'",O25,"'*",P25,"*",Q25,"*",S25,"*",U25,"*",W25,"*",Y25,"*",AA25,"*",AC25,")*")</f>
        <v>(1*'24'*189,81*''*''*0*189,81******)*</v>
      </c>
    </row>
    <row r="26" spans="1:33" ht="20.100000000000001" customHeight="1" x14ac:dyDescent="0.25">
      <c r="A26" s="38">
        <v>2</v>
      </c>
      <c r="B26" s="38"/>
      <c r="C26" s="39" t="s">
        <v>712</v>
      </c>
      <c r="D26" s="39" t="s">
        <v>716</v>
      </c>
      <c r="E26" s="19">
        <v>21864</v>
      </c>
      <c r="F26" s="19">
        <v>21864</v>
      </c>
      <c r="G26" s="19" t="s">
        <v>20</v>
      </c>
      <c r="H26" s="40">
        <v>2</v>
      </c>
      <c r="I26" s="41"/>
      <c r="J26" s="41">
        <v>15</v>
      </c>
      <c r="K26" s="41">
        <v>15</v>
      </c>
      <c r="L26" s="32">
        <v>24</v>
      </c>
      <c r="M26" s="42">
        <f t="shared" si="4"/>
        <v>161.01999999999998</v>
      </c>
      <c r="N26" s="41"/>
      <c r="O26" s="41"/>
      <c r="P26" s="43">
        <v>189.81</v>
      </c>
      <c r="Q26" s="43">
        <v>350.83</v>
      </c>
      <c r="R26" s="41"/>
      <c r="S26" s="41"/>
      <c r="T26" s="41" t="s">
        <v>534</v>
      </c>
      <c r="U26" s="41"/>
      <c r="V26" s="41"/>
      <c r="W26" s="41"/>
      <c r="X26" s="41" t="s">
        <v>308</v>
      </c>
      <c r="Y26" s="41"/>
      <c r="Z26" s="41" t="s">
        <v>105</v>
      </c>
      <c r="AA26" s="41"/>
      <c r="AB26" s="41" t="s">
        <v>107</v>
      </c>
      <c r="AC26" s="41"/>
      <c r="AD26" s="47"/>
      <c r="AE26" s="7"/>
      <c r="AF26" s="7"/>
      <c r="AG26" s="28"/>
    </row>
    <row r="27" spans="1:33" ht="20.100000000000001" customHeight="1" x14ac:dyDescent="0.25">
      <c r="A27" s="38">
        <v>3</v>
      </c>
      <c r="B27" s="38"/>
      <c r="C27" s="39" t="s">
        <v>713</v>
      </c>
      <c r="D27" s="39" t="s">
        <v>717</v>
      </c>
      <c r="E27" s="19">
        <v>21864</v>
      </c>
      <c r="F27" s="19">
        <v>21864</v>
      </c>
      <c r="G27" s="19" t="s">
        <v>20</v>
      </c>
      <c r="H27" s="40">
        <v>2</v>
      </c>
      <c r="I27" s="41"/>
      <c r="J27" s="41">
        <v>15</v>
      </c>
      <c r="K27" s="41">
        <v>15</v>
      </c>
      <c r="L27" s="32">
        <v>24</v>
      </c>
      <c r="M27" s="42">
        <f t="shared" si="4"/>
        <v>144.17900000000003</v>
      </c>
      <c r="N27" s="41"/>
      <c r="O27" s="41"/>
      <c r="P27" s="43">
        <v>350.83</v>
      </c>
      <c r="Q27" s="43">
        <v>495.00900000000001</v>
      </c>
      <c r="R27" s="41"/>
      <c r="S27" s="41"/>
      <c r="T27" s="41" t="s">
        <v>534</v>
      </c>
      <c r="U27" s="41"/>
      <c r="V27" s="41"/>
      <c r="W27" s="41"/>
      <c r="X27" s="41" t="s">
        <v>308</v>
      </c>
      <c r="Y27" s="41"/>
      <c r="Z27" s="41" t="s">
        <v>107</v>
      </c>
      <c r="AA27" s="41"/>
      <c r="AB27" s="41" t="s">
        <v>109</v>
      </c>
      <c r="AC27" s="41"/>
      <c r="AD27" s="47"/>
      <c r="AE27" s="7"/>
      <c r="AF27" s="7"/>
      <c r="AG27" s="28"/>
    </row>
    <row r="28" spans="1:33" ht="20.100000000000001" customHeight="1" x14ac:dyDescent="0.25">
      <c r="A28" s="38">
        <v>4</v>
      </c>
      <c r="B28" s="38"/>
      <c r="C28" s="39" t="s">
        <v>714</v>
      </c>
      <c r="D28" s="39" t="s">
        <v>718</v>
      </c>
      <c r="E28" s="19">
        <v>21864</v>
      </c>
      <c r="F28" s="19">
        <v>21864</v>
      </c>
      <c r="G28" s="19" t="s">
        <v>20</v>
      </c>
      <c r="H28" s="40">
        <v>1</v>
      </c>
      <c r="I28" s="41"/>
      <c r="J28" s="41">
        <v>15</v>
      </c>
      <c r="K28" s="41">
        <v>15</v>
      </c>
      <c r="L28" s="32">
        <v>24</v>
      </c>
      <c r="M28" s="42">
        <f t="shared" si="4"/>
        <v>173.42099999999994</v>
      </c>
      <c r="N28" s="41"/>
      <c r="O28" s="41"/>
      <c r="P28" s="43">
        <v>495.00900000000001</v>
      </c>
      <c r="Q28" s="43">
        <v>668.43</v>
      </c>
      <c r="R28" s="41"/>
      <c r="S28" s="41"/>
      <c r="T28" s="41" t="s">
        <v>534</v>
      </c>
      <c r="U28" s="41"/>
      <c r="V28" s="41"/>
      <c r="W28" s="41"/>
      <c r="X28" s="41" t="s">
        <v>308</v>
      </c>
      <c r="Y28" s="41"/>
      <c r="Z28" s="41" t="s">
        <v>109</v>
      </c>
      <c r="AA28" s="41"/>
      <c r="AB28" s="41" t="s">
        <v>62</v>
      </c>
      <c r="AC28" s="41"/>
      <c r="AD28" s="47"/>
      <c r="AE28" s="7"/>
      <c r="AF28" s="7"/>
      <c r="AG28" s="28"/>
    </row>
    <row r="29" spans="1:33" ht="20.100000000000001" customHeight="1" x14ac:dyDescent="0.25">
      <c r="A29" s="38">
        <v>1</v>
      </c>
      <c r="B29" s="38"/>
      <c r="C29" s="39" t="str">
        <f t="shared" ref="C29:C92" si="5">CONCATENATE("S0",A29,"-",X29)</f>
        <v>S01-OG1</v>
      </c>
      <c r="D29" s="39" t="str">
        <f>CONCATENATE("Segment 0",A29,"-",X29)</f>
        <v>Segment 01-OG1</v>
      </c>
      <c r="E29" s="19"/>
      <c r="F29" s="19"/>
      <c r="G29" s="19"/>
      <c r="H29" s="40">
        <v>1</v>
      </c>
      <c r="I29" s="41"/>
      <c r="J29" s="41">
        <v>15</v>
      </c>
      <c r="K29" s="41">
        <v>15</v>
      </c>
      <c r="L29" s="32"/>
      <c r="M29" s="42"/>
      <c r="N29" s="41"/>
      <c r="O29" s="41"/>
      <c r="P29" s="43">
        <v>0</v>
      </c>
      <c r="Q29" s="43">
        <v>144.74</v>
      </c>
      <c r="R29" s="41"/>
      <c r="S29" s="41"/>
      <c r="T29" s="41"/>
      <c r="U29" s="41"/>
      <c r="V29" s="41"/>
      <c r="W29" s="41"/>
      <c r="X29" s="41" t="s">
        <v>314</v>
      </c>
      <c r="Y29" s="41"/>
      <c r="Z29" s="41" t="s">
        <v>3489</v>
      </c>
      <c r="AA29" s="41"/>
      <c r="AB29" s="41" t="s">
        <v>244</v>
      </c>
      <c r="AC29" s="41"/>
      <c r="AD29" s="47">
        <v>12</v>
      </c>
      <c r="AE29" s="7" t="s">
        <v>561</v>
      </c>
      <c r="AF29" s="7"/>
      <c r="AG29" s="28" t="str">
        <f>CONCATENATE("(",A29,"*'",L29,"'*",M29,"*'",N29,"'*'",O29,"'*",P29,"*",Q29,"*",S29,"*",U29,"*",W29,"*",Y29,"*",AA29,"*",AC29,")*")</f>
        <v>(1*''**''*''*0*144,74******)*</v>
      </c>
    </row>
    <row r="30" spans="1:33" ht="20.100000000000001" customHeight="1" x14ac:dyDescent="0.25">
      <c r="A30" s="38">
        <v>1</v>
      </c>
      <c r="B30" s="38"/>
      <c r="C30" s="39" t="str">
        <f t="shared" si="5"/>
        <v>S01-OT1</v>
      </c>
      <c r="D30" s="39" t="str">
        <f t="shared" ref="D30:D54" si="6">CONCATENATE("Segment 0",A30,"-",X30)</f>
        <v>Segment 01-OT1</v>
      </c>
      <c r="E30" s="19">
        <v>21916</v>
      </c>
      <c r="F30" s="19">
        <v>21916</v>
      </c>
      <c r="G30" s="19" t="s">
        <v>20</v>
      </c>
      <c r="H30" s="40">
        <v>1</v>
      </c>
      <c r="I30" s="41"/>
      <c r="J30" s="41">
        <v>14</v>
      </c>
      <c r="K30" s="41">
        <v>14</v>
      </c>
      <c r="L30" s="32">
        <v>24</v>
      </c>
      <c r="M30" s="42">
        <f>Q30-P30</f>
        <v>54.1</v>
      </c>
      <c r="N30" s="41"/>
      <c r="O30" s="41">
        <v>1.4999999999999999E-2</v>
      </c>
      <c r="P30" s="43">
        <v>0</v>
      </c>
      <c r="Q30" s="43">
        <v>54.1</v>
      </c>
      <c r="R30" s="41" t="s">
        <v>527</v>
      </c>
      <c r="S30" s="41"/>
      <c r="T30" s="41" t="s">
        <v>566</v>
      </c>
      <c r="U30" s="41"/>
      <c r="V30" s="41" t="s">
        <v>567</v>
      </c>
      <c r="W30" s="41"/>
      <c r="X30" s="63" t="s">
        <v>317</v>
      </c>
      <c r="Y30" s="41"/>
      <c r="Z30" s="41" t="s">
        <v>113</v>
      </c>
      <c r="AA30" s="41"/>
      <c r="AB30" s="41" t="s">
        <v>3621</v>
      </c>
      <c r="AC30" s="41"/>
      <c r="AD30" s="47">
        <v>12</v>
      </c>
      <c r="AE30" s="7" t="s">
        <v>570</v>
      </c>
      <c r="AF30" s="7"/>
      <c r="AG30" s="28" t="str">
        <f>CONCATENATE("(",A30,"*'",L30,"'*",M30,"*'",N30,"'*'",O30,"'*",P30,"*",Q30,"*",S30,"*",U30,"*",W30,"*",Y30,"*",AA30,"*",AC30,")*")</f>
        <v>(1*'24'*54,1*''*'0,015'*0*54,1******)*</v>
      </c>
    </row>
    <row r="31" spans="1:33" ht="20.100000000000001" customHeight="1" x14ac:dyDescent="0.25">
      <c r="A31" s="38">
        <v>2</v>
      </c>
      <c r="B31" s="38"/>
      <c r="C31" s="39" t="str">
        <f t="shared" si="5"/>
        <v>S02-OT1</v>
      </c>
      <c r="D31" s="39" t="str">
        <f t="shared" si="6"/>
        <v>Segment 02-OT1</v>
      </c>
      <c r="E31" s="19">
        <v>21916</v>
      </c>
      <c r="F31" s="19">
        <v>21916</v>
      </c>
      <c r="G31" s="19" t="s">
        <v>20</v>
      </c>
      <c r="H31" s="40">
        <v>1</v>
      </c>
      <c r="I31" s="41"/>
      <c r="J31" s="41">
        <v>14</v>
      </c>
      <c r="K31" s="41">
        <v>14</v>
      </c>
      <c r="L31" s="32">
        <v>24</v>
      </c>
      <c r="M31" s="42">
        <f t="shared" ref="M31:M38" si="7">Q31-P31</f>
        <v>29.800000000000004</v>
      </c>
      <c r="N31" s="41"/>
      <c r="O31" s="41">
        <v>1.4999999999999999E-2</v>
      </c>
      <c r="P31" s="43">
        <v>54.1</v>
      </c>
      <c r="Q31" s="43">
        <v>83.9</v>
      </c>
      <c r="R31" s="41" t="s">
        <v>527</v>
      </c>
      <c r="S31" s="41"/>
      <c r="T31" s="41" t="s">
        <v>566</v>
      </c>
      <c r="U31" s="41"/>
      <c r="V31" s="41" t="s">
        <v>567</v>
      </c>
      <c r="W31" s="41"/>
      <c r="X31" s="63" t="s">
        <v>317</v>
      </c>
      <c r="Y31" s="41"/>
      <c r="Z31" s="41" t="s">
        <v>3621</v>
      </c>
      <c r="AA31" s="41"/>
      <c r="AB31" s="41" t="s">
        <v>3622</v>
      </c>
      <c r="AC31" s="41"/>
      <c r="AD31" s="47"/>
      <c r="AE31" s="7"/>
      <c r="AF31" s="7"/>
      <c r="AG31" s="28"/>
    </row>
    <row r="32" spans="1:33" ht="20.100000000000001" customHeight="1" x14ac:dyDescent="0.25">
      <c r="A32" s="38">
        <v>3</v>
      </c>
      <c r="B32" s="38"/>
      <c r="C32" s="39" t="str">
        <f t="shared" si="5"/>
        <v>S03-OT1</v>
      </c>
      <c r="D32" s="39" t="str">
        <f t="shared" si="6"/>
        <v>Segment 03-OT1</v>
      </c>
      <c r="E32" s="19">
        <v>21916</v>
      </c>
      <c r="F32" s="19">
        <v>21916</v>
      </c>
      <c r="G32" s="19" t="s">
        <v>20</v>
      </c>
      <c r="H32" s="40">
        <v>1</v>
      </c>
      <c r="I32" s="41"/>
      <c r="J32" s="41">
        <v>14</v>
      </c>
      <c r="K32" s="41">
        <v>14</v>
      </c>
      <c r="L32" s="32">
        <v>24</v>
      </c>
      <c r="M32" s="42">
        <f t="shared" si="7"/>
        <v>39.199999999999989</v>
      </c>
      <c r="N32" s="41"/>
      <c r="O32" s="41">
        <v>1.4999999999999999E-2</v>
      </c>
      <c r="P32" s="43">
        <v>83.9</v>
      </c>
      <c r="Q32" s="43">
        <v>123.1</v>
      </c>
      <c r="R32" s="41" t="s">
        <v>527</v>
      </c>
      <c r="S32" s="41"/>
      <c r="T32" s="41" t="s">
        <v>566</v>
      </c>
      <c r="U32" s="41"/>
      <c r="V32" s="41" t="s">
        <v>567</v>
      </c>
      <c r="W32" s="41"/>
      <c r="X32" s="63" t="s">
        <v>317</v>
      </c>
      <c r="Y32" s="41"/>
      <c r="Z32" s="41" t="s">
        <v>3622</v>
      </c>
      <c r="AA32" s="41"/>
      <c r="AB32" s="41" t="s">
        <v>3623</v>
      </c>
      <c r="AC32" s="41"/>
      <c r="AD32" s="47"/>
      <c r="AE32" s="7"/>
      <c r="AF32" s="7"/>
      <c r="AG32" s="28"/>
    </row>
    <row r="33" spans="1:33" ht="20.100000000000001" customHeight="1" x14ac:dyDescent="0.25">
      <c r="A33" s="38">
        <v>4</v>
      </c>
      <c r="B33" s="38"/>
      <c r="C33" s="39" t="str">
        <f t="shared" si="5"/>
        <v>S04-OT1</v>
      </c>
      <c r="D33" s="39" t="str">
        <f t="shared" si="6"/>
        <v>Segment 04-OT1</v>
      </c>
      <c r="E33" s="19">
        <v>21916</v>
      </c>
      <c r="F33" s="19">
        <v>21916</v>
      </c>
      <c r="G33" s="19" t="s">
        <v>20</v>
      </c>
      <c r="H33" s="40">
        <v>1</v>
      </c>
      <c r="I33" s="41"/>
      <c r="J33" s="41">
        <v>14</v>
      </c>
      <c r="K33" s="41">
        <v>14</v>
      </c>
      <c r="L33" s="32">
        <v>24</v>
      </c>
      <c r="M33" s="42">
        <f t="shared" si="7"/>
        <v>27.900000000000006</v>
      </c>
      <c r="N33" s="41"/>
      <c r="O33" s="41">
        <v>1.4999999999999999E-2</v>
      </c>
      <c r="P33" s="43">
        <v>123.1</v>
      </c>
      <c r="Q33" s="43">
        <v>151</v>
      </c>
      <c r="R33" s="41" t="s">
        <v>527</v>
      </c>
      <c r="S33" s="41"/>
      <c r="T33" s="41" t="s">
        <v>566</v>
      </c>
      <c r="U33" s="41"/>
      <c r="V33" s="41" t="s">
        <v>567</v>
      </c>
      <c r="W33" s="41"/>
      <c r="X33" s="63" t="s">
        <v>317</v>
      </c>
      <c r="Y33" s="41"/>
      <c r="Z33" s="41" t="s">
        <v>3623</v>
      </c>
      <c r="AA33" s="41"/>
      <c r="AB33" s="41" t="s">
        <v>3624</v>
      </c>
      <c r="AC33" s="41"/>
      <c r="AD33" s="47"/>
      <c r="AE33" s="7"/>
      <c r="AF33" s="7"/>
      <c r="AG33" s="28"/>
    </row>
    <row r="34" spans="1:33" ht="20.100000000000001" customHeight="1" x14ac:dyDescent="0.25">
      <c r="A34" s="38">
        <v>5</v>
      </c>
      <c r="B34" s="38"/>
      <c r="C34" s="39" t="str">
        <f t="shared" si="5"/>
        <v>S05-OT1</v>
      </c>
      <c r="D34" s="39" t="str">
        <f t="shared" si="6"/>
        <v>Segment 05-OT1</v>
      </c>
      <c r="E34" s="19">
        <v>21916</v>
      </c>
      <c r="F34" s="19">
        <v>21916</v>
      </c>
      <c r="G34" s="19" t="s">
        <v>20</v>
      </c>
      <c r="H34" s="40">
        <v>1</v>
      </c>
      <c r="I34" s="41"/>
      <c r="J34" s="41">
        <v>14</v>
      </c>
      <c r="K34" s="41">
        <v>14</v>
      </c>
      <c r="L34" s="32">
        <v>24</v>
      </c>
      <c r="M34" s="42">
        <f t="shared" si="7"/>
        <v>32.300000000000011</v>
      </c>
      <c r="N34" s="41"/>
      <c r="O34" s="41">
        <v>1.4999999999999999E-2</v>
      </c>
      <c r="P34" s="43">
        <v>151</v>
      </c>
      <c r="Q34" s="43">
        <v>183.3</v>
      </c>
      <c r="R34" s="41" t="s">
        <v>527</v>
      </c>
      <c r="S34" s="41"/>
      <c r="T34" s="41" t="s">
        <v>566</v>
      </c>
      <c r="U34" s="41"/>
      <c r="V34" s="41" t="s">
        <v>567</v>
      </c>
      <c r="W34" s="41"/>
      <c r="X34" s="63" t="s">
        <v>317</v>
      </c>
      <c r="Y34" s="41"/>
      <c r="Z34" s="41" t="s">
        <v>3624</v>
      </c>
      <c r="AA34" s="41"/>
      <c r="AB34" s="41" t="s">
        <v>115</v>
      </c>
      <c r="AC34" s="41"/>
      <c r="AD34" s="47"/>
      <c r="AE34" s="7"/>
      <c r="AF34" s="7"/>
      <c r="AG34" s="28"/>
    </row>
    <row r="35" spans="1:33" ht="20.100000000000001" customHeight="1" x14ac:dyDescent="0.25">
      <c r="A35" s="38">
        <v>6</v>
      </c>
      <c r="B35" s="38"/>
      <c r="C35" s="39" t="str">
        <f t="shared" si="5"/>
        <v>S06-OT1</v>
      </c>
      <c r="D35" s="39" t="str">
        <f t="shared" si="6"/>
        <v>Segment 06-OT1</v>
      </c>
      <c r="E35" s="19">
        <v>21916</v>
      </c>
      <c r="F35" s="19">
        <v>21916</v>
      </c>
      <c r="G35" s="19" t="s">
        <v>20</v>
      </c>
      <c r="H35" s="40">
        <v>1</v>
      </c>
      <c r="I35" s="41"/>
      <c r="J35" s="41">
        <v>14</v>
      </c>
      <c r="K35" s="41">
        <v>14</v>
      </c>
      <c r="L35" s="32">
        <v>24</v>
      </c>
      <c r="M35" s="42">
        <f t="shared" si="7"/>
        <v>26.799999999999983</v>
      </c>
      <c r="N35" s="41"/>
      <c r="O35" s="41">
        <v>1.4999999999999999E-2</v>
      </c>
      <c r="P35" s="43">
        <v>183.3</v>
      </c>
      <c r="Q35" s="43">
        <v>210.1</v>
      </c>
      <c r="R35" s="41" t="s">
        <v>527</v>
      </c>
      <c r="S35" s="41"/>
      <c r="T35" s="41" t="s">
        <v>566</v>
      </c>
      <c r="U35" s="41"/>
      <c r="V35" s="41" t="s">
        <v>567</v>
      </c>
      <c r="W35" s="41"/>
      <c r="X35" s="63" t="s">
        <v>317</v>
      </c>
      <c r="Y35" s="41"/>
      <c r="Z35" s="41" t="s">
        <v>115</v>
      </c>
      <c r="AA35" s="41"/>
      <c r="AB35" s="41" t="s">
        <v>3625</v>
      </c>
      <c r="AC35" s="41"/>
      <c r="AD35" s="47"/>
      <c r="AE35" s="7"/>
      <c r="AF35" s="7"/>
      <c r="AG35" s="28"/>
    </row>
    <row r="36" spans="1:33" ht="20.100000000000001" customHeight="1" x14ac:dyDescent="0.25">
      <c r="A36" s="38">
        <v>7</v>
      </c>
      <c r="B36" s="38"/>
      <c r="C36" s="39" t="str">
        <f t="shared" si="5"/>
        <v>S07-OT1</v>
      </c>
      <c r="D36" s="39" t="str">
        <f t="shared" si="6"/>
        <v>Segment 07-OT1</v>
      </c>
      <c r="E36" s="19">
        <v>21916</v>
      </c>
      <c r="F36" s="19">
        <v>21916</v>
      </c>
      <c r="G36" s="19" t="s">
        <v>20</v>
      </c>
      <c r="H36" s="40">
        <v>1</v>
      </c>
      <c r="I36" s="41"/>
      <c r="J36" s="41">
        <v>14</v>
      </c>
      <c r="K36" s="41">
        <v>14</v>
      </c>
      <c r="L36" s="32">
        <v>24</v>
      </c>
      <c r="M36" s="42">
        <f t="shared" si="7"/>
        <v>30.599999999999994</v>
      </c>
      <c r="N36" s="41"/>
      <c r="O36" s="41">
        <v>1.4999999999999999E-2</v>
      </c>
      <c r="P36" s="43">
        <v>210.1</v>
      </c>
      <c r="Q36" s="43">
        <v>240.7</v>
      </c>
      <c r="R36" s="41" t="s">
        <v>527</v>
      </c>
      <c r="S36" s="41"/>
      <c r="T36" s="41" t="s">
        <v>566</v>
      </c>
      <c r="U36" s="41"/>
      <c r="V36" s="41" t="s">
        <v>567</v>
      </c>
      <c r="W36" s="41"/>
      <c r="X36" s="63" t="s">
        <v>317</v>
      </c>
      <c r="Y36" s="41"/>
      <c r="Z36" s="41" t="s">
        <v>3625</v>
      </c>
      <c r="AA36" s="41"/>
      <c r="AB36" s="41" t="s">
        <v>3626</v>
      </c>
      <c r="AC36" s="41"/>
      <c r="AD36" s="47"/>
      <c r="AE36" s="7"/>
      <c r="AF36" s="7"/>
      <c r="AG36" s="28"/>
    </row>
    <row r="37" spans="1:33" ht="20.100000000000001" customHeight="1" x14ac:dyDescent="0.25">
      <c r="A37" s="38">
        <v>8</v>
      </c>
      <c r="B37" s="38"/>
      <c r="C37" s="39" t="str">
        <f t="shared" si="5"/>
        <v>S08-OT1</v>
      </c>
      <c r="D37" s="39" t="str">
        <f t="shared" si="6"/>
        <v>Segment 08-OT1</v>
      </c>
      <c r="E37" s="19">
        <v>21916</v>
      </c>
      <c r="F37" s="19">
        <v>21916</v>
      </c>
      <c r="G37" s="19" t="s">
        <v>20</v>
      </c>
      <c r="H37" s="40">
        <v>1</v>
      </c>
      <c r="I37" s="41"/>
      <c r="J37" s="41">
        <v>14</v>
      </c>
      <c r="K37" s="41">
        <v>14</v>
      </c>
      <c r="L37" s="32">
        <v>24</v>
      </c>
      <c r="M37" s="42">
        <f t="shared" si="7"/>
        <v>23.199999999999989</v>
      </c>
      <c r="N37" s="41"/>
      <c r="O37" s="41">
        <v>1.4999999999999999E-2</v>
      </c>
      <c r="P37" s="43">
        <v>240.7</v>
      </c>
      <c r="Q37" s="43">
        <v>263.89999999999998</v>
      </c>
      <c r="R37" s="41" t="s">
        <v>527</v>
      </c>
      <c r="S37" s="41"/>
      <c r="T37" s="41" t="s">
        <v>566</v>
      </c>
      <c r="U37" s="41"/>
      <c r="V37" s="41" t="s">
        <v>567</v>
      </c>
      <c r="W37" s="41"/>
      <c r="X37" s="63" t="s">
        <v>317</v>
      </c>
      <c r="Y37" s="41"/>
      <c r="Z37" s="41" t="s">
        <v>3626</v>
      </c>
      <c r="AA37" s="41"/>
      <c r="AB37" s="41" t="s">
        <v>3627</v>
      </c>
      <c r="AC37" s="41"/>
      <c r="AD37" s="47"/>
      <c r="AE37" s="7"/>
      <c r="AF37" s="7"/>
      <c r="AG37" s="28"/>
    </row>
    <row r="38" spans="1:33" ht="20.100000000000001" customHeight="1" x14ac:dyDescent="0.25">
      <c r="A38" s="38">
        <v>9</v>
      </c>
      <c r="B38" s="38"/>
      <c r="C38" s="39" t="str">
        <f t="shared" si="5"/>
        <v>S09-OT1</v>
      </c>
      <c r="D38" s="39" t="str">
        <f t="shared" si="6"/>
        <v>Segment 09-OT1</v>
      </c>
      <c r="E38" s="19">
        <v>21916</v>
      </c>
      <c r="F38" s="19">
        <v>21916</v>
      </c>
      <c r="G38" s="19" t="s">
        <v>20</v>
      </c>
      <c r="H38" s="40">
        <v>1</v>
      </c>
      <c r="I38" s="41"/>
      <c r="J38" s="41">
        <v>14</v>
      </c>
      <c r="K38" s="41">
        <v>14</v>
      </c>
      <c r="L38" s="32">
        <v>24</v>
      </c>
      <c r="M38" s="42">
        <f t="shared" si="7"/>
        <v>1.1000000000000227</v>
      </c>
      <c r="N38" s="41"/>
      <c r="O38" s="41">
        <v>1.4999999999999999E-2</v>
      </c>
      <c r="P38" s="43">
        <v>263.89999999999998</v>
      </c>
      <c r="Q38" s="43">
        <v>265</v>
      </c>
      <c r="R38" s="41" t="s">
        <v>527</v>
      </c>
      <c r="S38" s="41"/>
      <c r="T38" s="41" t="s">
        <v>566</v>
      </c>
      <c r="U38" s="41"/>
      <c r="V38" s="41" t="s">
        <v>567</v>
      </c>
      <c r="W38" s="41"/>
      <c r="X38" s="63" t="s">
        <v>317</v>
      </c>
      <c r="Y38" s="41"/>
      <c r="Z38" s="41" t="s">
        <v>3627</v>
      </c>
      <c r="AA38" s="41"/>
      <c r="AB38" s="41" t="s">
        <v>75</v>
      </c>
      <c r="AC38" s="41"/>
      <c r="AD38" s="47"/>
      <c r="AE38" s="7"/>
      <c r="AF38" s="7"/>
      <c r="AG38" s="28"/>
    </row>
    <row r="39" spans="1:33" ht="20.100000000000001" customHeight="1" x14ac:dyDescent="0.25">
      <c r="A39" s="38">
        <v>1</v>
      </c>
      <c r="B39" s="38"/>
      <c r="C39" s="39" t="str">
        <f t="shared" si="5"/>
        <v>S01-OH1</v>
      </c>
      <c r="D39" s="39" t="str">
        <f t="shared" si="6"/>
        <v>Segment 01-OH1</v>
      </c>
      <c r="E39" s="19">
        <v>29952</v>
      </c>
      <c r="F39" s="19">
        <v>29952</v>
      </c>
      <c r="G39" s="19" t="s">
        <v>20</v>
      </c>
      <c r="H39" s="40">
        <v>1</v>
      </c>
      <c r="I39" s="41"/>
      <c r="J39" s="41">
        <v>14</v>
      </c>
      <c r="K39" s="41">
        <v>14</v>
      </c>
      <c r="L39" s="32">
        <v>30</v>
      </c>
      <c r="M39" s="42">
        <f>Q39-P39</f>
        <v>66</v>
      </c>
      <c r="N39" s="41"/>
      <c r="O39" s="41">
        <v>0.06</v>
      </c>
      <c r="P39" s="43">
        <v>0</v>
      </c>
      <c r="Q39" s="43">
        <v>66</v>
      </c>
      <c r="R39" s="41" t="s">
        <v>527</v>
      </c>
      <c r="S39" s="41"/>
      <c r="T39" s="41" t="s">
        <v>574</v>
      </c>
      <c r="U39" s="41"/>
      <c r="V39" s="41"/>
      <c r="W39" s="41"/>
      <c r="X39" s="41" t="s">
        <v>319</v>
      </c>
      <c r="Y39" s="41"/>
      <c r="Z39" s="41" t="s">
        <v>113</v>
      </c>
      <c r="AA39" s="41"/>
      <c r="AB39" s="41" t="s">
        <v>3630</v>
      </c>
      <c r="AC39" s="41"/>
      <c r="AD39" s="47">
        <v>12</v>
      </c>
      <c r="AE39" s="7" t="s">
        <v>575</v>
      </c>
      <c r="AF39" s="7"/>
      <c r="AG39" s="28" t="str">
        <f>CONCATENATE("(",A39,"*'",L39,"'*",M39,"*'",N39,"'*'",O39,"'*",P39,"*",Q39,"*",S39,"*",U39,"*",W39,"*",Y39,"*",AA39,"*",AC39,")*")</f>
        <v>(1*'30'*66*''*'0,06'*0*66******)*</v>
      </c>
    </row>
    <row r="40" spans="1:33" ht="20.100000000000001" customHeight="1" x14ac:dyDescent="0.25">
      <c r="A40" s="38">
        <v>2</v>
      </c>
      <c r="B40" s="38"/>
      <c r="C40" s="39" t="str">
        <f t="shared" si="5"/>
        <v>S02-OH1</v>
      </c>
      <c r="D40" s="39" t="str">
        <f t="shared" si="6"/>
        <v>Segment 02-OH1</v>
      </c>
      <c r="E40" s="19">
        <v>29952</v>
      </c>
      <c r="F40" s="19">
        <v>29952</v>
      </c>
      <c r="G40" s="19" t="s">
        <v>20</v>
      </c>
      <c r="H40" s="40">
        <v>1</v>
      </c>
      <c r="I40" s="41"/>
      <c r="J40" s="41">
        <v>14</v>
      </c>
      <c r="K40" s="41">
        <v>14</v>
      </c>
      <c r="L40" s="32">
        <v>30</v>
      </c>
      <c r="M40" s="42">
        <f t="shared" ref="M40:M49" si="8">Q40-P40</f>
        <v>46.5</v>
      </c>
      <c r="N40" s="41"/>
      <c r="O40" s="41">
        <v>0.06</v>
      </c>
      <c r="P40" s="43">
        <v>66</v>
      </c>
      <c r="Q40" s="43">
        <v>112.5</v>
      </c>
      <c r="R40" s="41" t="s">
        <v>527</v>
      </c>
      <c r="S40" s="41"/>
      <c r="T40" s="41" t="s">
        <v>574</v>
      </c>
      <c r="U40" s="41"/>
      <c r="V40" s="41"/>
      <c r="W40" s="41"/>
      <c r="X40" s="41" t="s">
        <v>319</v>
      </c>
      <c r="Y40" s="41"/>
      <c r="Z40" s="41" t="s">
        <v>3630</v>
      </c>
      <c r="AA40" s="41"/>
      <c r="AB40" s="41" t="s">
        <v>3510</v>
      </c>
      <c r="AC40" s="41"/>
      <c r="AD40" s="47"/>
      <c r="AE40" s="7"/>
      <c r="AF40" s="7"/>
      <c r="AG40" s="28"/>
    </row>
    <row r="41" spans="1:33" ht="20.100000000000001" customHeight="1" x14ac:dyDescent="0.25">
      <c r="A41" s="38">
        <v>3</v>
      </c>
      <c r="B41" s="38"/>
      <c r="C41" s="39" t="str">
        <f t="shared" si="5"/>
        <v>S03-OH1</v>
      </c>
      <c r="D41" s="39" t="str">
        <f t="shared" si="6"/>
        <v>Segment 03-OH1</v>
      </c>
      <c r="E41" s="19">
        <v>29952</v>
      </c>
      <c r="F41" s="19">
        <v>29952</v>
      </c>
      <c r="G41" s="19" t="s">
        <v>20</v>
      </c>
      <c r="H41" s="40">
        <v>1</v>
      </c>
      <c r="I41" s="41"/>
      <c r="J41" s="41">
        <v>14</v>
      </c>
      <c r="K41" s="41">
        <v>14</v>
      </c>
      <c r="L41" s="32">
        <v>30</v>
      </c>
      <c r="M41" s="42">
        <f t="shared" si="8"/>
        <v>158</v>
      </c>
      <c r="N41" s="41"/>
      <c r="O41" s="41">
        <v>0.06</v>
      </c>
      <c r="P41" s="43">
        <v>112.5</v>
      </c>
      <c r="Q41" s="43">
        <v>270.5</v>
      </c>
      <c r="R41" s="41" t="s">
        <v>527</v>
      </c>
      <c r="S41" s="41"/>
      <c r="T41" s="41" t="s">
        <v>574</v>
      </c>
      <c r="U41" s="41"/>
      <c r="V41" s="41"/>
      <c r="W41" s="41"/>
      <c r="X41" s="41" t="s">
        <v>319</v>
      </c>
      <c r="Y41" s="41"/>
      <c r="Z41" s="41" t="s">
        <v>3510</v>
      </c>
      <c r="AA41" s="41"/>
      <c r="AB41" s="41" t="s">
        <v>3511</v>
      </c>
      <c r="AC41" s="41"/>
      <c r="AD41" s="47"/>
      <c r="AE41" s="7"/>
      <c r="AF41" s="7"/>
      <c r="AG41" s="28"/>
    </row>
    <row r="42" spans="1:33" ht="20.100000000000001" customHeight="1" x14ac:dyDescent="0.25">
      <c r="A42" s="38">
        <v>4</v>
      </c>
      <c r="B42" s="38"/>
      <c r="C42" s="39" t="str">
        <f t="shared" si="5"/>
        <v>S04-OH1</v>
      </c>
      <c r="D42" s="39" t="str">
        <f t="shared" si="6"/>
        <v>Segment 04-OH1</v>
      </c>
      <c r="E42" s="19">
        <v>29952</v>
      </c>
      <c r="F42" s="19">
        <v>29952</v>
      </c>
      <c r="G42" s="19" t="s">
        <v>20</v>
      </c>
      <c r="H42" s="40">
        <v>8</v>
      </c>
      <c r="I42" s="41"/>
      <c r="J42" s="41">
        <v>14</v>
      </c>
      <c r="K42" s="41">
        <v>14</v>
      </c>
      <c r="L42" s="32">
        <v>30</v>
      </c>
      <c r="M42" s="42">
        <f t="shared" si="8"/>
        <v>43.600000000000023</v>
      </c>
      <c r="N42" s="41"/>
      <c r="O42" s="41">
        <v>0.06</v>
      </c>
      <c r="P42" s="43">
        <v>270.5</v>
      </c>
      <c r="Q42" s="43">
        <v>314.10000000000002</v>
      </c>
      <c r="R42" s="41" t="s">
        <v>527</v>
      </c>
      <c r="S42" s="41"/>
      <c r="T42" s="41" t="s">
        <v>574</v>
      </c>
      <c r="U42" s="41"/>
      <c r="V42" s="41"/>
      <c r="W42" s="41"/>
      <c r="X42" s="41" t="s">
        <v>319</v>
      </c>
      <c r="Y42" s="41"/>
      <c r="Z42" s="41" t="s">
        <v>3511</v>
      </c>
      <c r="AA42" s="41"/>
      <c r="AB42" s="41" t="s">
        <v>3631</v>
      </c>
      <c r="AC42" s="41"/>
      <c r="AD42" s="47"/>
      <c r="AE42" s="7"/>
      <c r="AF42" s="7"/>
      <c r="AG42" s="28"/>
    </row>
    <row r="43" spans="1:33" ht="20.100000000000001" customHeight="1" x14ac:dyDescent="0.25">
      <c r="A43" s="38">
        <v>5</v>
      </c>
      <c r="B43" s="38"/>
      <c r="C43" s="39" t="str">
        <f t="shared" si="5"/>
        <v>S05-OH1</v>
      </c>
      <c r="D43" s="39" t="str">
        <f t="shared" si="6"/>
        <v>Segment 05-OH1</v>
      </c>
      <c r="E43" s="19">
        <v>29952</v>
      </c>
      <c r="F43" s="19">
        <v>29952</v>
      </c>
      <c r="G43" s="19" t="s">
        <v>20</v>
      </c>
      <c r="H43" s="40">
        <v>8</v>
      </c>
      <c r="I43" s="41"/>
      <c r="J43" s="41">
        <v>14</v>
      </c>
      <c r="K43" s="41">
        <v>14</v>
      </c>
      <c r="L43" s="32">
        <v>30</v>
      </c>
      <c r="M43" s="42">
        <f t="shared" si="8"/>
        <v>45.399999999999977</v>
      </c>
      <c r="N43" s="41"/>
      <c r="O43" s="41">
        <v>0.06</v>
      </c>
      <c r="P43" s="43">
        <v>314.10000000000002</v>
      </c>
      <c r="Q43" s="43">
        <v>359.5</v>
      </c>
      <c r="R43" s="41" t="s">
        <v>527</v>
      </c>
      <c r="S43" s="41"/>
      <c r="T43" s="41" t="s">
        <v>574</v>
      </c>
      <c r="U43" s="41"/>
      <c r="V43" s="41"/>
      <c r="W43" s="41"/>
      <c r="X43" s="41" t="s">
        <v>319</v>
      </c>
      <c r="Y43" s="41"/>
      <c r="Z43" s="41" t="s">
        <v>3631</v>
      </c>
      <c r="AA43" s="41"/>
      <c r="AB43" s="41" t="s">
        <v>3632</v>
      </c>
      <c r="AC43" s="41"/>
      <c r="AD43" s="47"/>
      <c r="AE43" s="7"/>
      <c r="AF43" s="7"/>
      <c r="AG43" s="28"/>
    </row>
    <row r="44" spans="1:33" ht="20.100000000000001" customHeight="1" x14ac:dyDescent="0.25">
      <c r="A44" s="38">
        <v>6</v>
      </c>
      <c r="B44" s="38"/>
      <c r="C44" s="39" t="str">
        <f t="shared" si="5"/>
        <v>S06-OH1</v>
      </c>
      <c r="D44" s="39" t="str">
        <f t="shared" si="6"/>
        <v>Segment 06-OH1</v>
      </c>
      <c r="E44" s="19">
        <v>29952</v>
      </c>
      <c r="F44" s="19">
        <v>29952</v>
      </c>
      <c r="G44" s="19" t="s">
        <v>20</v>
      </c>
      <c r="H44" s="40">
        <v>1</v>
      </c>
      <c r="I44" s="41"/>
      <c r="J44" s="41">
        <v>14</v>
      </c>
      <c r="K44" s="41">
        <v>14</v>
      </c>
      <c r="L44" s="32">
        <v>30</v>
      </c>
      <c r="M44" s="42">
        <f t="shared" si="8"/>
        <v>92.5</v>
      </c>
      <c r="N44" s="41"/>
      <c r="O44" s="41">
        <v>0.06</v>
      </c>
      <c r="P44" s="43">
        <v>359.5</v>
      </c>
      <c r="Q44" s="43">
        <v>452</v>
      </c>
      <c r="R44" s="41" t="s">
        <v>527</v>
      </c>
      <c r="S44" s="41"/>
      <c r="T44" s="41" t="s">
        <v>574</v>
      </c>
      <c r="U44" s="41"/>
      <c r="V44" s="41"/>
      <c r="W44" s="41"/>
      <c r="X44" s="41" t="s">
        <v>319</v>
      </c>
      <c r="Y44" s="41"/>
      <c r="Z44" s="41" t="s">
        <v>3632</v>
      </c>
      <c r="AA44" s="41"/>
      <c r="AB44" s="41" t="s">
        <v>3512</v>
      </c>
      <c r="AC44" s="41"/>
      <c r="AD44" s="47"/>
      <c r="AE44" s="7"/>
      <c r="AF44" s="7"/>
      <c r="AG44" s="28"/>
    </row>
    <row r="45" spans="1:33" ht="20.100000000000001" customHeight="1" x14ac:dyDescent="0.25">
      <c r="A45" s="38">
        <v>7</v>
      </c>
      <c r="B45" s="38"/>
      <c r="C45" s="39" t="str">
        <f t="shared" si="5"/>
        <v>S07-OH1</v>
      </c>
      <c r="D45" s="39" t="str">
        <f t="shared" si="6"/>
        <v>Segment 07-OH1</v>
      </c>
      <c r="E45" s="19">
        <v>29952</v>
      </c>
      <c r="F45" s="19">
        <v>29952</v>
      </c>
      <c r="G45" s="19" t="s">
        <v>20</v>
      </c>
      <c r="H45" s="40">
        <v>1</v>
      </c>
      <c r="I45" s="41"/>
      <c r="J45" s="41">
        <v>14</v>
      </c>
      <c r="K45" s="41">
        <v>14</v>
      </c>
      <c r="L45" s="32">
        <v>30</v>
      </c>
      <c r="M45" s="42">
        <f t="shared" si="8"/>
        <v>93.5</v>
      </c>
      <c r="N45" s="41"/>
      <c r="O45" s="41">
        <v>0.06</v>
      </c>
      <c r="P45" s="43">
        <v>452</v>
      </c>
      <c r="Q45" s="43">
        <v>545.5</v>
      </c>
      <c r="R45" s="41" t="s">
        <v>527</v>
      </c>
      <c r="S45" s="41"/>
      <c r="T45" s="41" t="s">
        <v>574</v>
      </c>
      <c r="U45" s="41"/>
      <c r="V45" s="41"/>
      <c r="W45" s="41"/>
      <c r="X45" s="41" t="s">
        <v>319</v>
      </c>
      <c r="Y45" s="41"/>
      <c r="Z45" s="41" t="s">
        <v>3512</v>
      </c>
      <c r="AA45" s="41"/>
      <c r="AB45" s="41" t="s">
        <v>3633</v>
      </c>
      <c r="AC45" s="41"/>
      <c r="AD45" s="47"/>
      <c r="AE45" s="7"/>
      <c r="AF45" s="7"/>
      <c r="AG45" s="28"/>
    </row>
    <row r="46" spans="1:33" ht="20.100000000000001" customHeight="1" x14ac:dyDescent="0.25">
      <c r="A46" s="38">
        <v>8</v>
      </c>
      <c r="B46" s="38"/>
      <c r="C46" s="39" t="str">
        <f t="shared" si="5"/>
        <v>S08-OH1</v>
      </c>
      <c r="D46" s="39" t="str">
        <f t="shared" si="6"/>
        <v>Segment 08-OH1</v>
      </c>
      <c r="E46" s="19">
        <v>29952</v>
      </c>
      <c r="F46" s="19">
        <v>29952</v>
      </c>
      <c r="G46" s="19" t="s">
        <v>20</v>
      </c>
      <c r="H46" s="40">
        <v>1</v>
      </c>
      <c r="I46" s="41"/>
      <c r="J46" s="41">
        <v>14</v>
      </c>
      <c r="K46" s="41">
        <v>14</v>
      </c>
      <c r="L46" s="32">
        <v>30</v>
      </c>
      <c r="M46" s="42">
        <f t="shared" si="8"/>
        <v>84.5</v>
      </c>
      <c r="N46" s="41"/>
      <c r="O46" s="41">
        <v>0.06</v>
      </c>
      <c r="P46" s="43">
        <v>545.5</v>
      </c>
      <c r="Q46" s="43">
        <v>630</v>
      </c>
      <c r="R46" s="41" t="s">
        <v>527</v>
      </c>
      <c r="S46" s="41"/>
      <c r="T46" s="41" t="s">
        <v>574</v>
      </c>
      <c r="U46" s="41"/>
      <c r="V46" s="41"/>
      <c r="W46" s="41"/>
      <c r="X46" s="41" t="s">
        <v>319</v>
      </c>
      <c r="Y46" s="41"/>
      <c r="Z46" s="41" t="s">
        <v>3633</v>
      </c>
      <c r="AA46" s="41"/>
      <c r="AB46" s="41" t="s">
        <v>46</v>
      </c>
      <c r="AC46" s="41"/>
      <c r="AD46" s="47"/>
      <c r="AE46" s="7"/>
      <c r="AF46" s="7"/>
      <c r="AG46" s="28"/>
    </row>
    <row r="47" spans="1:33" ht="20.100000000000001" customHeight="1" x14ac:dyDescent="0.25">
      <c r="A47" s="38">
        <v>1</v>
      </c>
      <c r="B47" s="38"/>
      <c r="C47" s="39" t="str">
        <f t="shared" si="5"/>
        <v>S01-ROH1</v>
      </c>
      <c r="D47" s="39" t="str">
        <f t="shared" si="6"/>
        <v>Segment 01-ROH1</v>
      </c>
      <c r="E47" s="19">
        <v>45292</v>
      </c>
      <c r="F47" s="19">
        <v>45292</v>
      </c>
      <c r="G47" s="19" t="s">
        <v>20</v>
      </c>
      <c r="H47" s="40">
        <v>2</v>
      </c>
      <c r="I47" s="41"/>
      <c r="J47" s="41">
        <v>14</v>
      </c>
      <c r="K47" s="41">
        <v>14</v>
      </c>
      <c r="L47" s="32">
        <v>24</v>
      </c>
      <c r="M47" s="42">
        <f t="shared" si="8"/>
        <v>46.5</v>
      </c>
      <c r="N47" s="41"/>
      <c r="O47" s="41">
        <v>0.06</v>
      </c>
      <c r="P47" s="43">
        <v>66</v>
      </c>
      <c r="Q47" s="43">
        <v>112.5</v>
      </c>
      <c r="R47" s="41" t="s">
        <v>3736</v>
      </c>
      <c r="S47" s="41"/>
      <c r="T47" s="41" t="s">
        <v>574</v>
      </c>
      <c r="U47" s="41"/>
      <c r="V47" s="41"/>
      <c r="W47" s="41"/>
      <c r="X47" s="41" t="s">
        <v>322</v>
      </c>
      <c r="Y47" s="41"/>
      <c r="Z47" s="41" t="s">
        <v>3630</v>
      </c>
      <c r="AA47" s="41"/>
      <c r="AB47" s="41" t="s">
        <v>3510</v>
      </c>
      <c r="AC47" s="41"/>
      <c r="AD47" s="47"/>
      <c r="AE47" s="7"/>
      <c r="AF47" s="7"/>
      <c r="AG47" s="28" t="str">
        <f t="shared" ref="AG47:AG239" si="9">CONCATENATE("(",A47,"*'",L47,"'*",M47,"*'",N47,"'*'",O47,"'*",P47,"*",Q47,"*",S47,"*",U47,"*",W47,"*",Y47,"*",AA47,"*",AC47,")*")</f>
        <v>(1*'24'*46,5*''*'0,06'*66*112,5******)*</v>
      </c>
    </row>
    <row r="48" spans="1:33" ht="20.100000000000001" customHeight="1" x14ac:dyDescent="0.25">
      <c r="A48" s="38">
        <v>2</v>
      </c>
      <c r="B48" s="38"/>
      <c r="C48" s="39" t="str">
        <f t="shared" si="5"/>
        <v>S02-ROH1</v>
      </c>
      <c r="D48" s="39" t="str">
        <f t="shared" si="6"/>
        <v>Segment 02-ROH1</v>
      </c>
      <c r="E48" s="19">
        <v>34700</v>
      </c>
      <c r="F48" s="19">
        <v>34700</v>
      </c>
      <c r="G48" s="19" t="s">
        <v>20</v>
      </c>
      <c r="H48" s="40">
        <v>1</v>
      </c>
      <c r="I48" s="41"/>
      <c r="J48" s="41">
        <v>14</v>
      </c>
      <c r="K48" s="41">
        <v>14</v>
      </c>
      <c r="L48" s="32">
        <v>30</v>
      </c>
      <c r="M48" s="42">
        <f t="shared" si="8"/>
        <v>43.600000000000023</v>
      </c>
      <c r="N48" s="41">
        <v>10.31</v>
      </c>
      <c r="O48" s="41">
        <v>0.06</v>
      </c>
      <c r="P48" s="43">
        <v>270.5</v>
      </c>
      <c r="Q48" s="43">
        <v>314.10000000000002</v>
      </c>
      <c r="R48" s="41" t="s">
        <v>533</v>
      </c>
      <c r="S48" s="41"/>
      <c r="T48" s="41" t="s">
        <v>578</v>
      </c>
      <c r="U48" s="41"/>
      <c r="V48" s="41" t="s">
        <v>567</v>
      </c>
      <c r="W48" s="41"/>
      <c r="X48" s="41" t="s">
        <v>322</v>
      </c>
      <c r="Y48" s="41"/>
      <c r="Z48" s="41" t="s">
        <v>3511</v>
      </c>
      <c r="AA48" s="41"/>
      <c r="AB48" s="41" t="s">
        <v>3631</v>
      </c>
      <c r="AC48" s="41"/>
      <c r="AD48" s="47"/>
      <c r="AE48" s="7"/>
      <c r="AF48" s="7"/>
      <c r="AG48" s="28"/>
    </row>
    <row r="49" spans="1:33" ht="20.100000000000001" customHeight="1" x14ac:dyDescent="0.25">
      <c r="A49" s="38">
        <v>3</v>
      </c>
      <c r="B49" s="38"/>
      <c r="C49" s="39" t="str">
        <f t="shared" si="5"/>
        <v>S03-ROH1</v>
      </c>
      <c r="D49" s="39" t="str">
        <f t="shared" si="6"/>
        <v>Segment 03-ROH1</v>
      </c>
      <c r="E49" s="19">
        <v>38353</v>
      </c>
      <c r="F49" s="19">
        <v>38353</v>
      </c>
      <c r="G49" s="19" t="s">
        <v>20</v>
      </c>
      <c r="H49" s="40">
        <v>1</v>
      </c>
      <c r="I49" s="41"/>
      <c r="J49" s="41">
        <v>14</v>
      </c>
      <c r="K49" s="41">
        <v>14</v>
      </c>
      <c r="L49" s="32">
        <v>24</v>
      </c>
      <c r="M49" s="42">
        <f t="shared" si="8"/>
        <v>45.399999999999977</v>
      </c>
      <c r="N49" s="41">
        <v>13</v>
      </c>
      <c r="O49" s="41">
        <v>0.06</v>
      </c>
      <c r="P49" s="43">
        <v>314.10000000000002</v>
      </c>
      <c r="Q49" s="43">
        <v>359.5</v>
      </c>
      <c r="R49" s="41" t="s">
        <v>3736</v>
      </c>
      <c r="S49" s="41"/>
      <c r="T49" s="41" t="s">
        <v>574</v>
      </c>
      <c r="U49" s="41"/>
      <c r="V49" s="41"/>
      <c r="W49" s="41"/>
      <c r="X49" s="41" t="s">
        <v>322</v>
      </c>
      <c r="Y49" s="41"/>
      <c r="Z49" s="41" t="s">
        <v>3631</v>
      </c>
      <c r="AA49" s="41"/>
      <c r="AB49" s="41" t="s">
        <v>3632</v>
      </c>
      <c r="AC49" s="41"/>
      <c r="AD49" s="47"/>
      <c r="AE49" s="7"/>
      <c r="AF49" s="7"/>
      <c r="AG49" s="28"/>
    </row>
    <row r="50" spans="1:33" ht="20.100000000000001" customHeight="1" x14ac:dyDescent="0.25">
      <c r="A50" s="38">
        <v>1</v>
      </c>
      <c r="B50" s="38"/>
      <c r="C50" s="39" t="str">
        <f t="shared" si="5"/>
        <v>S01-OH2</v>
      </c>
      <c r="D50" s="39" t="str">
        <f t="shared" si="6"/>
        <v>Segment 01-OH2</v>
      </c>
      <c r="E50" s="19">
        <v>26399</v>
      </c>
      <c r="F50" s="19">
        <v>26399</v>
      </c>
      <c r="G50" s="19" t="s">
        <v>20</v>
      </c>
      <c r="H50" s="40">
        <v>1</v>
      </c>
      <c r="I50" s="41"/>
      <c r="J50" s="41">
        <v>12</v>
      </c>
      <c r="K50" s="41">
        <v>12</v>
      </c>
      <c r="L50" s="32">
        <v>26</v>
      </c>
      <c r="M50" s="42">
        <f>Q50-P50</f>
        <v>108.372</v>
      </c>
      <c r="N50" s="41"/>
      <c r="O50" s="41">
        <v>4.5699999999999998E-2</v>
      </c>
      <c r="P50" s="43">
        <v>0</v>
      </c>
      <c r="Q50" s="43">
        <v>108.372</v>
      </c>
      <c r="R50" s="41" t="s">
        <v>527</v>
      </c>
      <c r="S50" s="41"/>
      <c r="T50" s="41" t="s">
        <v>574</v>
      </c>
      <c r="U50" s="41"/>
      <c r="V50" s="41"/>
      <c r="W50" s="41"/>
      <c r="X50" s="41" t="s">
        <v>324</v>
      </c>
      <c r="Y50" s="41"/>
      <c r="Z50" s="41" t="s">
        <v>3635</v>
      </c>
      <c r="AA50" s="41"/>
      <c r="AB50" s="41" t="s">
        <v>46</v>
      </c>
      <c r="AC50" s="41"/>
      <c r="AD50" s="47">
        <v>12</v>
      </c>
      <c r="AE50" s="7" t="s">
        <v>585</v>
      </c>
      <c r="AF50" s="7"/>
      <c r="AG50" s="28" t="str">
        <f t="shared" si="9"/>
        <v>(1*'26'*108,372*''*'0,0457'*0*108,372******)*</v>
      </c>
    </row>
    <row r="51" spans="1:33" ht="20.100000000000001" customHeight="1" x14ac:dyDescent="0.25">
      <c r="A51" s="38">
        <v>1</v>
      </c>
      <c r="B51" s="38"/>
      <c r="C51" s="39" t="str">
        <f t="shared" si="5"/>
        <v>S01-OH3</v>
      </c>
      <c r="D51" s="39" t="str">
        <f t="shared" si="6"/>
        <v>Segment 01-OH3</v>
      </c>
      <c r="E51" s="19">
        <v>36161</v>
      </c>
      <c r="F51" s="19">
        <v>36161</v>
      </c>
      <c r="G51" s="19" t="s">
        <v>20</v>
      </c>
      <c r="H51" s="40">
        <v>1</v>
      </c>
      <c r="I51" s="41"/>
      <c r="J51" s="41">
        <v>12</v>
      </c>
      <c r="K51" s="41">
        <v>12</v>
      </c>
      <c r="L51" s="32">
        <v>30</v>
      </c>
      <c r="M51" s="42">
        <f>Q51-P51</f>
        <v>158</v>
      </c>
      <c r="N51" s="41"/>
      <c r="O51" s="41">
        <v>4.5699999999999998E-2</v>
      </c>
      <c r="P51" s="43">
        <v>0</v>
      </c>
      <c r="Q51" s="43">
        <v>158</v>
      </c>
      <c r="R51" s="41" t="s">
        <v>527</v>
      </c>
      <c r="S51" s="41"/>
      <c r="T51" s="41" t="s">
        <v>587</v>
      </c>
      <c r="U51" s="41"/>
      <c r="V51" s="41"/>
      <c r="W51" s="41"/>
      <c r="X51" s="41" t="s">
        <v>327</v>
      </c>
      <c r="Y51" s="41"/>
      <c r="Z51" s="41" t="s">
        <v>71</v>
      </c>
      <c r="AA51" s="41"/>
      <c r="AB51" s="41" t="s">
        <v>131</v>
      </c>
      <c r="AC51" s="41"/>
      <c r="AD51" s="47">
        <v>12</v>
      </c>
      <c r="AE51" s="30" t="s">
        <v>590</v>
      </c>
      <c r="AF51" s="30"/>
      <c r="AG51" s="28" t="str">
        <f t="shared" si="9"/>
        <v>(1*'30'*158*''*'0,0457'*0*158******)*</v>
      </c>
    </row>
    <row r="52" spans="1:33" ht="20.100000000000001" customHeight="1" x14ac:dyDescent="0.25">
      <c r="A52" s="38">
        <v>2</v>
      </c>
      <c r="B52" s="38"/>
      <c r="C52" s="39" t="str">
        <f t="shared" si="5"/>
        <v>S02-OH3</v>
      </c>
      <c r="D52" s="39" t="str">
        <f t="shared" si="6"/>
        <v>Segment 02-OH3</v>
      </c>
      <c r="E52" s="19">
        <v>36161</v>
      </c>
      <c r="F52" s="19">
        <v>36161</v>
      </c>
      <c r="G52" s="19" t="s">
        <v>20</v>
      </c>
      <c r="H52" s="40">
        <v>1</v>
      </c>
      <c r="I52" s="41"/>
      <c r="J52" s="41">
        <v>12</v>
      </c>
      <c r="K52" s="41">
        <v>12</v>
      </c>
      <c r="L52" s="32">
        <v>30</v>
      </c>
      <c r="M52" s="42">
        <f t="shared" ref="M52:M54" si="10">Q52-P52</f>
        <v>134</v>
      </c>
      <c r="N52" s="41"/>
      <c r="O52" s="41">
        <v>4.5699999999999998E-2</v>
      </c>
      <c r="P52" s="43">
        <v>158</v>
      </c>
      <c r="Q52" s="43">
        <v>292</v>
      </c>
      <c r="R52" s="41" t="s">
        <v>527</v>
      </c>
      <c r="S52" s="41"/>
      <c r="T52" s="41" t="s">
        <v>587</v>
      </c>
      <c r="U52" s="41"/>
      <c r="V52" s="41"/>
      <c r="W52" s="41"/>
      <c r="X52" s="41" t="s">
        <v>327</v>
      </c>
      <c r="Y52" s="41"/>
      <c r="Z52" s="41" t="s">
        <v>131</v>
      </c>
      <c r="AA52" s="41"/>
      <c r="AB52" s="41" t="s">
        <v>3635</v>
      </c>
      <c r="AC52" s="41"/>
      <c r="AD52" s="47"/>
      <c r="AE52" s="30"/>
      <c r="AF52" s="30"/>
      <c r="AG52" s="28"/>
    </row>
    <row r="53" spans="1:33" ht="20.100000000000001" customHeight="1" x14ac:dyDescent="0.25">
      <c r="A53" s="38">
        <v>1</v>
      </c>
      <c r="B53" s="38"/>
      <c r="C53" s="39" t="str">
        <f t="shared" si="5"/>
        <v>S01-OH4</v>
      </c>
      <c r="D53" s="39" t="str">
        <f t="shared" si="6"/>
        <v>Segment 01-OH4</v>
      </c>
      <c r="E53" s="19">
        <v>38718</v>
      </c>
      <c r="F53" s="19">
        <v>38718</v>
      </c>
      <c r="G53" s="19" t="s">
        <v>20</v>
      </c>
      <c r="H53" s="40">
        <v>1</v>
      </c>
      <c r="I53" s="41"/>
      <c r="J53" s="41">
        <v>12</v>
      </c>
      <c r="K53" s="41">
        <v>12</v>
      </c>
      <c r="L53" s="32">
        <v>30</v>
      </c>
      <c r="M53" s="42">
        <f t="shared" si="10"/>
        <v>158</v>
      </c>
      <c r="N53" s="41"/>
      <c r="O53" s="41">
        <v>4.5699999999999998E-2</v>
      </c>
      <c r="P53" s="43">
        <v>0</v>
      </c>
      <c r="Q53" s="43">
        <v>158</v>
      </c>
      <c r="R53" s="41" t="s">
        <v>533</v>
      </c>
      <c r="S53" s="41"/>
      <c r="T53" s="41" t="s">
        <v>587</v>
      </c>
      <c r="U53" s="41"/>
      <c r="V53" s="41"/>
      <c r="W53" s="41"/>
      <c r="X53" s="41" t="s">
        <v>329</v>
      </c>
      <c r="Y53" s="41"/>
      <c r="Z53" s="41" t="s">
        <v>71</v>
      </c>
      <c r="AA53" s="41"/>
      <c r="AB53" s="41" t="s">
        <v>131</v>
      </c>
      <c r="AC53" s="41"/>
      <c r="AD53" s="47">
        <v>12</v>
      </c>
      <c r="AE53" s="30" t="s">
        <v>590</v>
      </c>
      <c r="AF53" s="30"/>
      <c r="AG53" s="28" t="str">
        <f t="shared" si="9"/>
        <v>(1*'30'*158*''*'0,0457'*0*158******)*</v>
      </c>
    </row>
    <row r="54" spans="1:33" ht="20.100000000000001" customHeight="1" x14ac:dyDescent="0.25">
      <c r="A54" s="38">
        <v>2</v>
      </c>
      <c r="B54" s="38"/>
      <c r="C54" s="39" t="str">
        <f t="shared" si="5"/>
        <v>S02-OH4</v>
      </c>
      <c r="D54" s="39" t="str">
        <f t="shared" si="6"/>
        <v>Segment 02-OH4</v>
      </c>
      <c r="E54" s="19">
        <v>38718</v>
      </c>
      <c r="F54" s="19">
        <v>38718</v>
      </c>
      <c r="G54" s="19" t="s">
        <v>20</v>
      </c>
      <c r="H54" s="40">
        <v>1</v>
      </c>
      <c r="I54" s="41"/>
      <c r="J54" s="41">
        <v>12</v>
      </c>
      <c r="K54" s="41">
        <v>12</v>
      </c>
      <c r="L54" s="32">
        <v>30</v>
      </c>
      <c r="M54" s="42">
        <f t="shared" si="10"/>
        <v>134</v>
      </c>
      <c r="N54" s="41"/>
      <c r="O54" s="41">
        <v>4.5699999999999998E-2</v>
      </c>
      <c r="P54" s="43">
        <v>158</v>
      </c>
      <c r="Q54" s="43">
        <v>292</v>
      </c>
      <c r="R54" s="41" t="s">
        <v>533</v>
      </c>
      <c r="S54" s="41"/>
      <c r="T54" s="41" t="s">
        <v>587</v>
      </c>
      <c r="U54" s="41"/>
      <c r="V54" s="41"/>
      <c r="W54" s="41"/>
      <c r="X54" s="41" t="s">
        <v>329</v>
      </c>
      <c r="Y54" s="41"/>
      <c r="Z54" s="41" t="s">
        <v>131</v>
      </c>
      <c r="AA54" s="41"/>
      <c r="AB54" s="41" t="s">
        <v>3635</v>
      </c>
      <c r="AC54" s="41"/>
      <c r="AD54" s="47"/>
      <c r="AE54" s="30"/>
      <c r="AF54" s="30"/>
      <c r="AG54" s="28"/>
    </row>
    <row r="55" spans="1:33" ht="20.100000000000001" customHeight="1" x14ac:dyDescent="0.25">
      <c r="A55" s="38">
        <v>1</v>
      </c>
      <c r="B55" s="38"/>
      <c r="C55" s="39" t="str">
        <f t="shared" si="5"/>
        <v>S01-OD1</v>
      </c>
      <c r="D55" s="39" t="str">
        <f t="shared" ref="D55:D118" si="11">CONCATENATE("Segment 0",A55,"-",X55)</f>
        <v>Segment 01-OD1</v>
      </c>
      <c r="E55" s="19">
        <v>28207</v>
      </c>
      <c r="F55" s="19">
        <v>28207</v>
      </c>
      <c r="G55" s="19" t="s">
        <v>20</v>
      </c>
      <c r="H55" s="40">
        <v>1</v>
      </c>
      <c r="I55" s="41"/>
      <c r="J55" s="41">
        <v>12</v>
      </c>
      <c r="K55" s="41">
        <v>12</v>
      </c>
      <c r="L55" s="32">
        <v>20</v>
      </c>
      <c r="M55" s="42">
        <f>Q55-P55</f>
        <v>137</v>
      </c>
      <c r="N55" s="41"/>
      <c r="O55" s="41">
        <v>4.5699999999999998E-2</v>
      </c>
      <c r="P55" s="43">
        <v>0</v>
      </c>
      <c r="Q55" s="43">
        <v>137</v>
      </c>
      <c r="R55" s="41" t="s">
        <v>527</v>
      </c>
      <c r="S55" s="41"/>
      <c r="T55" s="41" t="s">
        <v>20</v>
      </c>
      <c r="U55" s="41"/>
      <c r="V55" s="41"/>
      <c r="W55" s="41"/>
      <c r="X55" s="41" t="s">
        <v>332</v>
      </c>
      <c r="Y55" s="41"/>
      <c r="Z55" s="41" t="s">
        <v>67</v>
      </c>
      <c r="AA55" s="41"/>
      <c r="AB55" s="41" t="s">
        <v>3634</v>
      </c>
      <c r="AC55" s="41"/>
      <c r="AD55" s="47">
        <v>12</v>
      </c>
      <c r="AE55" s="7" t="s">
        <v>594</v>
      </c>
      <c r="AF55" s="7"/>
      <c r="AG55" s="28" t="str">
        <f t="shared" si="9"/>
        <v>(1*'20'*137*''*'0,0457'*0*137******)*</v>
      </c>
    </row>
    <row r="56" spans="1:33" ht="20.100000000000001" customHeight="1" x14ac:dyDescent="0.25">
      <c r="A56" s="38">
        <v>2</v>
      </c>
      <c r="B56" s="38"/>
      <c r="C56" s="39" t="str">
        <f t="shared" si="5"/>
        <v>S02-OD1</v>
      </c>
      <c r="D56" s="39" t="str">
        <f t="shared" si="11"/>
        <v>Segment 02-OD1</v>
      </c>
      <c r="E56" s="19">
        <v>28207</v>
      </c>
      <c r="F56" s="19">
        <v>28207</v>
      </c>
      <c r="G56" s="19" t="s">
        <v>20</v>
      </c>
      <c r="H56" s="40">
        <v>1</v>
      </c>
      <c r="I56" s="41"/>
      <c r="J56" s="41">
        <v>12</v>
      </c>
      <c r="K56" s="41">
        <v>12</v>
      </c>
      <c r="L56" s="32">
        <v>20</v>
      </c>
      <c r="M56" s="42">
        <f t="shared" ref="M56:M58" si="12">Q56-P56</f>
        <v>135</v>
      </c>
      <c r="N56" s="41"/>
      <c r="O56" s="41">
        <v>4.5699999999999998E-2</v>
      </c>
      <c r="P56" s="43">
        <v>137</v>
      </c>
      <c r="Q56" s="43">
        <v>272</v>
      </c>
      <c r="R56" s="41" t="s">
        <v>527</v>
      </c>
      <c r="S56" s="41"/>
      <c r="T56" s="41" t="s">
        <v>20</v>
      </c>
      <c r="U56" s="41"/>
      <c r="V56" s="41"/>
      <c r="W56" s="41"/>
      <c r="X56" s="41" t="s">
        <v>332</v>
      </c>
      <c r="Y56" s="41"/>
      <c r="Z56" s="41" t="s">
        <v>3634</v>
      </c>
      <c r="AA56" s="41"/>
      <c r="AB56" s="41" t="s">
        <v>3635</v>
      </c>
      <c r="AC56" s="41"/>
      <c r="AD56" s="47"/>
      <c r="AE56" s="7"/>
      <c r="AF56" s="7"/>
      <c r="AG56" s="28" t="str">
        <f t="shared" si="9"/>
        <v>(2*'20'*135*''*'0,0457'*137*272******)*</v>
      </c>
    </row>
    <row r="57" spans="1:33" ht="20.100000000000001" customHeight="1" x14ac:dyDescent="0.25">
      <c r="A57" s="38">
        <v>1</v>
      </c>
      <c r="B57" s="38"/>
      <c r="C57" s="39" t="str">
        <f t="shared" si="5"/>
        <v>S01-ROD1</v>
      </c>
      <c r="D57" s="39" t="str">
        <f t="shared" si="11"/>
        <v>Segment 01-ROD1</v>
      </c>
      <c r="E57" s="19" t="s">
        <v>20</v>
      </c>
      <c r="F57" s="19" t="s">
        <v>20</v>
      </c>
      <c r="G57" s="19" t="s">
        <v>20</v>
      </c>
      <c r="H57" s="40">
        <v>2</v>
      </c>
      <c r="I57" s="41"/>
      <c r="J57" s="41">
        <v>12</v>
      </c>
      <c r="K57" s="41">
        <v>12</v>
      </c>
      <c r="L57" s="32">
        <v>16</v>
      </c>
      <c r="M57" s="42">
        <f t="shared" si="12"/>
        <v>137</v>
      </c>
      <c r="N57" s="41">
        <v>6.35</v>
      </c>
      <c r="O57" s="41"/>
      <c r="P57" s="43">
        <v>0</v>
      </c>
      <c r="Q57" s="43">
        <v>137</v>
      </c>
      <c r="R57" s="41" t="s">
        <v>533</v>
      </c>
      <c r="S57" s="41"/>
      <c r="T57" s="41"/>
      <c r="U57" s="41"/>
      <c r="V57" s="41"/>
      <c r="W57" s="41"/>
      <c r="X57" s="41" t="s">
        <v>335</v>
      </c>
      <c r="Y57" s="41"/>
      <c r="Z57" s="41" t="s">
        <v>67</v>
      </c>
      <c r="AA57" s="41"/>
      <c r="AB57" s="41" t="s">
        <v>3634</v>
      </c>
      <c r="AC57" s="41"/>
      <c r="AD57" s="47">
        <v>12</v>
      </c>
      <c r="AE57" s="7"/>
      <c r="AF57" s="7"/>
      <c r="AG57" s="28" t="str">
        <f t="shared" si="9"/>
        <v>(1*'16'*137*'6,35'*''*0*137******)*</v>
      </c>
    </row>
    <row r="58" spans="1:33" ht="20.100000000000001" customHeight="1" x14ac:dyDescent="0.25">
      <c r="A58" s="38">
        <v>2</v>
      </c>
      <c r="B58" s="38"/>
      <c r="C58" s="39" t="str">
        <f t="shared" si="5"/>
        <v>S02-ROD1</v>
      </c>
      <c r="D58" s="39" t="str">
        <f t="shared" si="11"/>
        <v>Segment 02-ROD1</v>
      </c>
      <c r="E58" s="19" t="s">
        <v>20</v>
      </c>
      <c r="F58" s="19" t="s">
        <v>20</v>
      </c>
      <c r="G58" s="19" t="s">
        <v>20</v>
      </c>
      <c r="H58" s="40">
        <v>2</v>
      </c>
      <c r="I58" s="41"/>
      <c r="J58" s="41">
        <v>12</v>
      </c>
      <c r="K58" s="41">
        <v>12</v>
      </c>
      <c r="L58" s="32">
        <v>16</v>
      </c>
      <c r="M58" s="42">
        <f t="shared" si="12"/>
        <v>135</v>
      </c>
      <c r="N58" s="41">
        <v>6.35</v>
      </c>
      <c r="O58" s="41"/>
      <c r="P58" s="43">
        <v>137</v>
      </c>
      <c r="Q58" s="43">
        <v>272</v>
      </c>
      <c r="R58" s="41" t="s">
        <v>533</v>
      </c>
      <c r="S58" s="41"/>
      <c r="T58" s="41"/>
      <c r="U58" s="41"/>
      <c r="V58" s="41"/>
      <c r="W58" s="41"/>
      <c r="X58" s="41" t="s">
        <v>335</v>
      </c>
      <c r="Y58" s="41"/>
      <c r="Z58" s="41" t="s">
        <v>3634</v>
      </c>
      <c r="AA58" s="41"/>
      <c r="AB58" s="41" t="s">
        <v>3635</v>
      </c>
      <c r="AC58" s="41"/>
      <c r="AD58" s="47"/>
      <c r="AE58" s="7"/>
      <c r="AF58" s="7"/>
      <c r="AG58" s="28" t="str">
        <f t="shared" si="9"/>
        <v>(2*'16'*135*'6,35'*''*137*272******)*</v>
      </c>
    </row>
    <row r="59" spans="1:33" ht="20.100000000000001" customHeight="1" x14ac:dyDescent="0.25">
      <c r="A59" s="38"/>
      <c r="B59" s="38"/>
      <c r="C59" s="39" t="s">
        <v>337</v>
      </c>
      <c r="D59" s="39"/>
      <c r="E59" s="19"/>
      <c r="F59" s="19"/>
      <c r="G59" s="19"/>
      <c r="H59" s="40"/>
      <c r="I59" s="41"/>
      <c r="J59" s="41"/>
      <c r="K59" s="41"/>
      <c r="L59" s="32"/>
      <c r="M59" s="42"/>
      <c r="N59" s="41"/>
      <c r="O59" s="41"/>
      <c r="P59" s="43"/>
      <c r="Q59" s="43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7">
        <v>12</v>
      </c>
      <c r="AE59" s="7"/>
      <c r="AF59" s="7"/>
      <c r="AG59" s="28" t="str">
        <f t="shared" si="9"/>
        <v>(*''**''*''********)*</v>
      </c>
    </row>
    <row r="60" spans="1:33" ht="20.100000000000001" customHeight="1" x14ac:dyDescent="0.25">
      <c r="A60" s="38">
        <v>1</v>
      </c>
      <c r="B60" s="38"/>
      <c r="C60" s="39" t="str">
        <f t="shared" si="5"/>
        <v>S01-OD3</v>
      </c>
      <c r="D60" s="39" t="str">
        <f t="shared" si="11"/>
        <v>Segment 01-OD3</v>
      </c>
      <c r="E60" s="19">
        <v>36505</v>
      </c>
      <c r="F60" s="19">
        <v>36505</v>
      </c>
      <c r="G60" s="19" t="s">
        <v>20</v>
      </c>
      <c r="H60" s="40">
        <v>1</v>
      </c>
      <c r="I60" s="41"/>
      <c r="J60" s="41">
        <v>12</v>
      </c>
      <c r="K60" s="41">
        <v>12</v>
      </c>
      <c r="L60" s="32">
        <v>20</v>
      </c>
      <c r="M60" s="42">
        <f>Q60-P60</f>
        <v>33</v>
      </c>
      <c r="N60" s="41"/>
      <c r="O60" s="41">
        <v>4.5999999999999999E-2</v>
      </c>
      <c r="P60" s="43">
        <v>0</v>
      </c>
      <c r="Q60" s="43">
        <v>33</v>
      </c>
      <c r="R60" s="41" t="s">
        <v>527</v>
      </c>
      <c r="S60" s="41"/>
      <c r="T60" s="41" t="s">
        <v>20</v>
      </c>
      <c r="U60" s="41"/>
      <c r="V60" s="41"/>
      <c r="W60" s="41"/>
      <c r="X60" s="41" t="s">
        <v>339</v>
      </c>
      <c r="Y60" s="41"/>
      <c r="Z60" s="41" t="s">
        <v>83</v>
      </c>
      <c r="AA60" s="41"/>
      <c r="AB60" s="41" t="s">
        <v>3635</v>
      </c>
      <c r="AC60" s="41"/>
      <c r="AD60" s="47">
        <v>12</v>
      </c>
      <c r="AE60" s="7" t="s">
        <v>598</v>
      </c>
      <c r="AF60" s="7"/>
      <c r="AG60" s="28" t="str">
        <f t="shared" si="9"/>
        <v>(1*'20'*33*''*'0,046'*0*33******)*</v>
      </c>
    </row>
    <row r="61" spans="1:33" ht="20.100000000000001" customHeight="1" x14ac:dyDescent="0.25">
      <c r="A61" s="38">
        <v>1</v>
      </c>
      <c r="B61" s="38"/>
      <c r="C61" s="39" t="str">
        <f t="shared" si="5"/>
        <v>S01-NZ1</v>
      </c>
      <c r="D61" s="39" t="str">
        <f t="shared" si="11"/>
        <v>Segment 01-NZ1</v>
      </c>
      <c r="E61" s="19">
        <v>28795</v>
      </c>
      <c r="F61" s="19">
        <v>28795</v>
      </c>
      <c r="G61" s="19" t="s">
        <v>20</v>
      </c>
      <c r="H61" s="40">
        <v>1</v>
      </c>
      <c r="I61" s="41"/>
      <c r="J61" s="41">
        <v>11</v>
      </c>
      <c r="K61" s="41">
        <v>11</v>
      </c>
      <c r="L61" s="32">
        <v>28</v>
      </c>
      <c r="M61" s="42">
        <f>Q61-P61</f>
        <v>109.02</v>
      </c>
      <c r="N61" s="41"/>
      <c r="O61" s="41">
        <v>4.5699999999999998E-2</v>
      </c>
      <c r="P61" s="43">
        <v>0</v>
      </c>
      <c r="Q61" s="43">
        <v>109.02</v>
      </c>
      <c r="R61" s="41" t="s">
        <v>527</v>
      </c>
      <c r="S61" s="41"/>
      <c r="T61" s="41" t="s">
        <v>574</v>
      </c>
      <c r="U61" s="41"/>
      <c r="V61" s="41"/>
      <c r="W61" s="41"/>
      <c r="X61" s="41" t="s">
        <v>341</v>
      </c>
      <c r="Y61" s="41"/>
      <c r="Z61" s="41" t="s">
        <v>46</v>
      </c>
      <c r="AA61" s="41"/>
      <c r="AB61" s="41" t="s">
        <v>135</v>
      </c>
      <c r="AC61" s="41"/>
      <c r="AD61" s="47">
        <v>12</v>
      </c>
      <c r="AE61" s="30" t="s">
        <v>600</v>
      </c>
      <c r="AF61" s="30"/>
      <c r="AG61" s="28" t="str">
        <f t="shared" si="9"/>
        <v>(1*'28'*109,02*''*'0,0457'*0*109,02******)*</v>
      </c>
    </row>
    <row r="62" spans="1:33" ht="20.100000000000001" customHeight="1" x14ac:dyDescent="0.25">
      <c r="A62" s="38">
        <v>2</v>
      </c>
      <c r="B62" s="38"/>
      <c r="C62" s="39" t="str">
        <f t="shared" si="5"/>
        <v>S02-NZ1</v>
      </c>
      <c r="D62" s="39" t="str">
        <f t="shared" si="11"/>
        <v>Segment 02-NZ1</v>
      </c>
      <c r="E62" s="19">
        <v>28795</v>
      </c>
      <c r="F62" s="19">
        <v>28795</v>
      </c>
      <c r="G62" s="19" t="s">
        <v>20</v>
      </c>
      <c r="H62" s="40">
        <v>1</v>
      </c>
      <c r="I62" s="41"/>
      <c r="J62" s="41">
        <v>11</v>
      </c>
      <c r="K62" s="41">
        <v>11</v>
      </c>
      <c r="L62" s="32">
        <v>28</v>
      </c>
      <c r="M62" s="42">
        <f t="shared" ref="M62:M64" si="13">Q62-P62</f>
        <v>121.04</v>
      </c>
      <c r="N62" s="41"/>
      <c r="O62" s="41">
        <v>4.5699999999999998E-2</v>
      </c>
      <c r="P62" s="43">
        <v>109.02</v>
      </c>
      <c r="Q62" s="43">
        <v>230.06</v>
      </c>
      <c r="R62" s="41" t="s">
        <v>527</v>
      </c>
      <c r="S62" s="41"/>
      <c r="T62" s="41" t="s">
        <v>574</v>
      </c>
      <c r="U62" s="41"/>
      <c r="V62" s="41"/>
      <c r="W62" s="41"/>
      <c r="X62" s="41" t="s">
        <v>341</v>
      </c>
      <c r="Y62" s="41"/>
      <c r="Z62" s="41" t="s">
        <v>135</v>
      </c>
      <c r="AA62" s="41"/>
      <c r="AB62" s="41" t="s">
        <v>137</v>
      </c>
      <c r="AC62" s="41"/>
      <c r="AD62" s="47"/>
      <c r="AE62" s="30"/>
      <c r="AF62" s="30"/>
      <c r="AG62" s="28" t="str">
        <f t="shared" si="9"/>
        <v>(2*'28'*121,04*''*'0,0457'*109,02*230,06******)*</v>
      </c>
    </row>
    <row r="63" spans="1:33" ht="20.100000000000001" customHeight="1" x14ac:dyDescent="0.25">
      <c r="A63" s="38">
        <v>3</v>
      </c>
      <c r="B63" s="38"/>
      <c r="C63" s="39" t="str">
        <f t="shared" si="5"/>
        <v>S03-NZ1</v>
      </c>
      <c r="D63" s="39" t="str">
        <f t="shared" si="11"/>
        <v>Segment 03-NZ1</v>
      </c>
      <c r="E63" s="19">
        <v>28795</v>
      </c>
      <c r="F63" s="19">
        <v>28795</v>
      </c>
      <c r="G63" s="19" t="s">
        <v>20</v>
      </c>
      <c r="H63" s="40">
        <v>1</v>
      </c>
      <c r="I63" s="41"/>
      <c r="J63" s="41">
        <v>11</v>
      </c>
      <c r="K63" s="41">
        <v>11</v>
      </c>
      <c r="L63" s="32">
        <v>28</v>
      </c>
      <c r="M63" s="42">
        <f t="shared" si="13"/>
        <v>164.94</v>
      </c>
      <c r="N63" s="41"/>
      <c r="O63" s="41">
        <v>4.5699999999999998E-2</v>
      </c>
      <c r="P63" s="43">
        <v>230.06</v>
      </c>
      <c r="Q63" s="43">
        <v>395</v>
      </c>
      <c r="R63" s="41" t="s">
        <v>527</v>
      </c>
      <c r="S63" s="41"/>
      <c r="T63" s="41" t="s">
        <v>574</v>
      </c>
      <c r="U63" s="41"/>
      <c r="V63" s="41"/>
      <c r="W63" s="41"/>
      <c r="X63" s="41" t="s">
        <v>341</v>
      </c>
      <c r="Y63" s="41"/>
      <c r="Z63" s="41" t="s">
        <v>137</v>
      </c>
      <c r="AA63" s="41"/>
      <c r="AB63" s="41" t="s">
        <v>139</v>
      </c>
      <c r="AC63" s="41"/>
      <c r="AD63" s="47"/>
      <c r="AE63" s="30"/>
      <c r="AF63" s="30"/>
      <c r="AG63" s="28" t="str">
        <f t="shared" si="9"/>
        <v>(3*'28'*164,94*''*'0,0457'*230,06*395******)*</v>
      </c>
    </row>
    <row r="64" spans="1:33" ht="20.100000000000001" customHeight="1" x14ac:dyDescent="0.25">
      <c r="A64" s="38">
        <v>4</v>
      </c>
      <c r="B64" s="38"/>
      <c r="C64" s="39" t="str">
        <f t="shared" si="5"/>
        <v>S04-NZ1</v>
      </c>
      <c r="D64" s="39" t="str">
        <f t="shared" si="11"/>
        <v>Segment 04-NZ1</v>
      </c>
      <c r="E64" s="19">
        <v>28795</v>
      </c>
      <c r="F64" s="19">
        <v>28795</v>
      </c>
      <c r="G64" s="19" t="s">
        <v>20</v>
      </c>
      <c r="H64" s="40">
        <v>1</v>
      </c>
      <c r="I64" s="41"/>
      <c r="J64" s="41">
        <v>11</v>
      </c>
      <c r="K64" s="41">
        <v>11</v>
      </c>
      <c r="L64" s="32">
        <v>28</v>
      </c>
      <c r="M64" s="42">
        <f t="shared" si="13"/>
        <v>111.56200000000001</v>
      </c>
      <c r="N64" s="41"/>
      <c r="O64" s="41">
        <v>4.5699999999999998E-2</v>
      </c>
      <c r="P64" s="43">
        <v>395</v>
      </c>
      <c r="Q64" s="43">
        <v>506.56200000000001</v>
      </c>
      <c r="R64" s="41" t="s">
        <v>527</v>
      </c>
      <c r="S64" s="41"/>
      <c r="T64" s="41" t="s">
        <v>574</v>
      </c>
      <c r="U64" s="41"/>
      <c r="V64" s="41"/>
      <c r="W64" s="41"/>
      <c r="X64" s="41" t="s">
        <v>341</v>
      </c>
      <c r="Y64" s="41"/>
      <c r="Z64" s="41" t="s">
        <v>139</v>
      </c>
      <c r="AA64" s="41"/>
      <c r="AB64" s="41" t="s">
        <v>3628</v>
      </c>
      <c r="AC64" s="41"/>
      <c r="AD64" s="47"/>
      <c r="AE64" s="30"/>
      <c r="AF64" s="30"/>
      <c r="AG64" s="28" t="str">
        <f t="shared" si="9"/>
        <v>(4*'28'*111,562*''*'0,0457'*395*506,562******)*</v>
      </c>
    </row>
    <row r="65" spans="1:33" ht="20.100000000000001" customHeight="1" x14ac:dyDescent="0.25">
      <c r="A65" s="38">
        <v>1</v>
      </c>
      <c r="B65" s="38"/>
      <c r="C65" s="39" t="str">
        <f t="shared" si="5"/>
        <v>S01-NK1</v>
      </c>
      <c r="D65" s="39" t="str">
        <f t="shared" si="11"/>
        <v>Segment 01-NK1</v>
      </c>
      <c r="E65" s="19">
        <v>40029</v>
      </c>
      <c r="F65" s="19">
        <v>40029</v>
      </c>
      <c r="G65" s="19" t="s">
        <v>20</v>
      </c>
      <c r="H65" s="40">
        <v>1</v>
      </c>
      <c r="I65" s="41"/>
      <c r="J65" s="41">
        <v>13</v>
      </c>
      <c r="K65" s="41">
        <v>13</v>
      </c>
      <c r="L65" s="32">
        <v>30</v>
      </c>
      <c r="M65" s="42">
        <f>Q65-P65</f>
        <v>188.33199999999999</v>
      </c>
      <c r="N65" s="41"/>
      <c r="O65" s="41">
        <v>4.5699999999999998E-2</v>
      </c>
      <c r="P65" s="43">
        <v>0</v>
      </c>
      <c r="Q65" s="43">
        <v>188.33199999999999</v>
      </c>
      <c r="R65" s="41" t="s">
        <v>533</v>
      </c>
      <c r="S65" s="41"/>
      <c r="T65" s="41" t="s">
        <v>534</v>
      </c>
      <c r="U65" s="41"/>
      <c r="V65" s="41" t="s">
        <v>20</v>
      </c>
      <c r="W65" s="41"/>
      <c r="X65" s="41" t="s">
        <v>344</v>
      </c>
      <c r="Y65" s="41"/>
      <c r="Z65" s="41" t="s">
        <v>46</v>
      </c>
      <c r="AA65" s="41"/>
      <c r="AB65" s="41" t="s">
        <v>3636</v>
      </c>
      <c r="AC65" s="41"/>
      <c r="AD65" s="47">
        <v>12</v>
      </c>
      <c r="AE65" s="7" t="s">
        <v>602</v>
      </c>
      <c r="AF65" s="7"/>
      <c r="AG65" s="28" t="str">
        <f t="shared" si="9"/>
        <v>(1*'30'*188,332*''*'0,0457'*0*188,332******)*</v>
      </c>
    </row>
    <row r="66" spans="1:33" ht="20.100000000000001" customHeight="1" x14ac:dyDescent="0.25">
      <c r="A66" s="38">
        <v>2</v>
      </c>
      <c r="B66" s="38"/>
      <c r="C66" s="39" t="str">
        <f t="shared" si="5"/>
        <v>S02-NK1</v>
      </c>
      <c r="D66" s="39" t="str">
        <f t="shared" si="11"/>
        <v>Segment 02-NK1</v>
      </c>
      <c r="E66" s="19">
        <v>40029</v>
      </c>
      <c r="F66" s="19">
        <v>40029</v>
      </c>
      <c r="G66" s="19" t="s">
        <v>20</v>
      </c>
      <c r="H66" s="40">
        <v>1</v>
      </c>
      <c r="I66" s="41"/>
      <c r="J66" s="41">
        <v>13</v>
      </c>
      <c r="K66" s="41">
        <v>13</v>
      </c>
      <c r="L66" s="32">
        <v>30</v>
      </c>
      <c r="M66" s="42">
        <f t="shared" ref="M66:M68" si="14">Q66-P66</f>
        <v>149.45999999999998</v>
      </c>
      <c r="N66" s="41"/>
      <c r="O66" s="41">
        <v>4.5699999999999998E-2</v>
      </c>
      <c r="P66" s="43">
        <v>188.33199999999999</v>
      </c>
      <c r="Q66" s="43">
        <v>337.79199999999997</v>
      </c>
      <c r="R66" s="41" t="s">
        <v>533</v>
      </c>
      <c r="S66" s="41"/>
      <c r="T66" s="41" t="s">
        <v>534</v>
      </c>
      <c r="U66" s="41"/>
      <c r="V66" s="41" t="s">
        <v>20</v>
      </c>
      <c r="W66" s="41"/>
      <c r="X66" s="41" t="s">
        <v>344</v>
      </c>
      <c r="Y66" s="41"/>
      <c r="Z66" s="41" t="s">
        <v>3636</v>
      </c>
      <c r="AA66" s="41"/>
      <c r="AB66" s="41" t="s">
        <v>143</v>
      </c>
      <c r="AC66" s="41"/>
      <c r="AD66" s="47"/>
      <c r="AE66" s="7"/>
      <c r="AF66" s="7"/>
      <c r="AG66" s="28"/>
    </row>
    <row r="67" spans="1:33" ht="20.100000000000001" customHeight="1" x14ac:dyDescent="0.25">
      <c r="A67" s="38">
        <v>3</v>
      </c>
      <c r="B67" s="38"/>
      <c r="C67" s="39" t="str">
        <f t="shared" si="5"/>
        <v>S03-NK1</v>
      </c>
      <c r="D67" s="39" t="str">
        <f t="shared" si="11"/>
        <v>Segment 03-NK1</v>
      </c>
      <c r="E67" s="19">
        <v>40029</v>
      </c>
      <c r="F67" s="19">
        <v>40029</v>
      </c>
      <c r="G67" s="19" t="s">
        <v>20</v>
      </c>
      <c r="H67" s="40">
        <v>1</v>
      </c>
      <c r="I67" s="41"/>
      <c r="J67" s="41">
        <v>13</v>
      </c>
      <c r="K67" s="41">
        <v>13</v>
      </c>
      <c r="L67" s="32">
        <v>30</v>
      </c>
      <c r="M67" s="42">
        <f t="shared" si="14"/>
        <v>92.997000000000014</v>
      </c>
      <c r="N67" s="41"/>
      <c r="O67" s="41">
        <v>4.5699999999999998E-2</v>
      </c>
      <c r="P67" s="43">
        <v>337.79199999999997</v>
      </c>
      <c r="Q67" s="43">
        <v>430.78899999999999</v>
      </c>
      <c r="R67" s="41" t="s">
        <v>533</v>
      </c>
      <c r="S67" s="41"/>
      <c r="T67" s="41" t="s">
        <v>534</v>
      </c>
      <c r="U67" s="41"/>
      <c r="V67" s="41" t="s">
        <v>20</v>
      </c>
      <c r="W67" s="41"/>
      <c r="X67" s="41" t="s">
        <v>344</v>
      </c>
      <c r="Y67" s="41"/>
      <c r="Z67" s="41" t="s">
        <v>143</v>
      </c>
      <c r="AA67" s="41"/>
      <c r="AB67" s="41" t="s">
        <v>3637</v>
      </c>
      <c r="AC67" s="41"/>
      <c r="AD67" s="47"/>
      <c r="AE67" s="7"/>
      <c r="AF67" s="7"/>
      <c r="AG67" s="28"/>
    </row>
    <row r="68" spans="1:33" ht="20.100000000000001" customHeight="1" x14ac:dyDescent="0.25">
      <c r="A68" s="38">
        <v>4</v>
      </c>
      <c r="B68" s="38"/>
      <c r="C68" s="39" t="str">
        <f t="shared" si="5"/>
        <v>S04-NK1</v>
      </c>
      <c r="D68" s="39" t="str">
        <f t="shared" si="11"/>
        <v>Segment 04-NK1</v>
      </c>
      <c r="E68" s="19">
        <v>40029</v>
      </c>
      <c r="F68" s="19">
        <v>40029</v>
      </c>
      <c r="G68" s="19" t="s">
        <v>20</v>
      </c>
      <c r="H68" s="40">
        <v>1</v>
      </c>
      <c r="I68" s="41"/>
      <c r="J68" s="41">
        <v>13</v>
      </c>
      <c r="K68" s="41">
        <v>13</v>
      </c>
      <c r="L68" s="32">
        <v>30</v>
      </c>
      <c r="M68" s="42">
        <f t="shared" si="14"/>
        <v>214.71100000000001</v>
      </c>
      <c r="N68" s="41"/>
      <c r="O68" s="41">
        <v>4.5699999999999998E-2</v>
      </c>
      <c r="P68" s="43">
        <v>430.78899999999999</v>
      </c>
      <c r="Q68" s="43">
        <v>645.5</v>
      </c>
      <c r="R68" s="41" t="s">
        <v>533</v>
      </c>
      <c r="S68" s="41"/>
      <c r="T68" s="41" t="s">
        <v>534</v>
      </c>
      <c r="U68" s="41"/>
      <c r="V68" s="41" t="s">
        <v>20</v>
      </c>
      <c r="W68" s="41"/>
      <c r="X68" s="41" t="s">
        <v>344</v>
      </c>
      <c r="Y68" s="41"/>
      <c r="Z68" s="41" t="s">
        <v>3637</v>
      </c>
      <c r="AA68" s="41"/>
      <c r="AB68" s="41" t="s">
        <v>85</v>
      </c>
      <c r="AC68" s="41"/>
      <c r="AD68" s="47"/>
      <c r="AE68" s="7"/>
      <c r="AF68" s="7"/>
      <c r="AG68" s="28"/>
    </row>
    <row r="69" spans="1:33" ht="20.100000000000001" customHeight="1" x14ac:dyDescent="0.25">
      <c r="A69" s="38">
        <v>1</v>
      </c>
      <c r="B69" s="38"/>
      <c r="C69" s="39" t="str">
        <f t="shared" si="5"/>
        <v>S01-NH2</v>
      </c>
      <c r="D69" s="39" t="str">
        <f t="shared" si="11"/>
        <v>Segment 01-NH2</v>
      </c>
      <c r="E69" s="19"/>
      <c r="F69" s="19"/>
      <c r="G69" s="19" t="s">
        <v>20</v>
      </c>
      <c r="H69" s="40">
        <v>1</v>
      </c>
      <c r="I69" s="41"/>
      <c r="J69" s="41">
        <v>14</v>
      </c>
      <c r="K69" s="41">
        <v>14</v>
      </c>
      <c r="L69" s="32">
        <v>24</v>
      </c>
      <c r="M69" s="42">
        <f>Q69-P69</f>
        <v>47</v>
      </c>
      <c r="N69" s="41"/>
      <c r="O69" s="41"/>
      <c r="P69" s="43">
        <v>0</v>
      </c>
      <c r="Q69" s="43">
        <v>47</v>
      </c>
      <c r="R69" s="41" t="s">
        <v>527</v>
      </c>
      <c r="S69" s="41"/>
      <c r="T69" s="41" t="s">
        <v>574</v>
      </c>
      <c r="U69" s="41"/>
      <c r="V69" s="41" t="s">
        <v>567</v>
      </c>
      <c r="W69" s="41"/>
      <c r="X69" s="41" t="s">
        <v>347</v>
      </c>
      <c r="Y69" s="41"/>
      <c r="Z69" s="41" t="s">
        <v>75</v>
      </c>
      <c r="AA69" s="41"/>
      <c r="AB69" s="41" t="s">
        <v>3638</v>
      </c>
      <c r="AC69" s="41"/>
      <c r="AD69" s="47">
        <v>12</v>
      </c>
      <c r="AE69" s="7" t="s">
        <v>605</v>
      </c>
      <c r="AF69" s="7"/>
      <c r="AG69" s="28" t="str">
        <f t="shared" si="9"/>
        <v>(1*'24'*47*''*''*0*47******)*</v>
      </c>
    </row>
    <row r="70" spans="1:33" ht="20.100000000000001" customHeight="1" x14ac:dyDescent="0.25">
      <c r="A70" s="38">
        <v>2</v>
      </c>
      <c r="B70" s="38"/>
      <c r="C70" s="39" t="str">
        <f t="shared" si="5"/>
        <v>S02-NH2</v>
      </c>
      <c r="D70" s="39" t="str">
        <f t="shared" si="11"/>
        <v>Segment 02-NH2</v>
      </c>
      <c r="E70" s="19"/>
      <c r="F70" s="19"/>
      <c r="G70" s="19" t="s">
        <v>20</v>
      </c>
      <c r="H70" s="40">
        <v>1</v>
      </c>
      <c r="I70" s="41"/>
      <c r="J70" s="41">
        <v>14</v>
      </c>
      <c r="K70" s="41">
        <v>14</v>
      </c>
      <c r="L70" s="32">
        <v>30</v>
      </c>
      <c r="M70" s="42">
        <f t="shared" ref="M70:M72" si="15">Q70-P70</f>
        <v>111</v>
      </c>
      <c r="N70" s="41"/>
      <c r="O70" s="41"/>
      <c r="P70" s="43">
        <v>47</v>
      </c>
      <c r="Q70" s="43">
        <v>158</v>
      </c>
      <c r="R70" s="41" t="s">
        <v>527</v>
      </c>
      <c r="S70" s="41"/>
      <c r="T70" s="41" t="s">
        <v>574</v>
      </c>
      <c r="U70" s="41"/>
      <c r="V70" s="41" t="s">
        <v>567</v>
      </c>
      <c r="W70" s="41"/>
      <c r="X70" s="41" t="s">
        <v>347</v>
      </c>
      <c r="Y70" s="41"/>
      <c r="Z70" s="41" t="s">
        <v>3638</v>
      </c>
      <c r="AA70" s="41"/>
      <c r="AB70" s="41" t="s">
        <v>3639</v>
      </c>
      <c r="AC70" s="41"/>
      <c r="AD70" s="47"/>
      <c r="AE70" s="7"/>
      <c r="AF70" s="7"/>
      <c r="AG70" s="28"/>
    </row>
    <row r="71" spans="1:33" ht="20.100000000000001" customHeight="1" x14ac:dyDescent="0.25">
      <c r="A71" s="38">
        <v>3</v>
      </c>
      <c r="B71" s="38"/>
      <c r="C71" s="39" t="str">
        <f t="shared" si="5"/>
        <v>S03-NH2</v>
      </c>
      <c r="D71" s="39" t="str">
        <f t="shared" si="11"/>
        <v>Segment 03-NH2</v>
      </c>
      <c r="E71" s="19"/>
      <c r="F71" s="19"/>
      <c r="G71" s="19" t="s">
        <v>20</v>
      </c>
      <c r="H71" s="40">
        <v>1</v>
      </c>
      <c r="I71" s="41"/>
      <c r="J71" s="41">
        <v>14</v>
      </c>
      <c r="K71" s="41">
        <v>14</v>
      </c>
      <c r="L71" s="32">
        <v>30</v>
      </c>
      <c r="M71" s="42">
        <f t="shared" si="15"/>
        <v>181.5</v>
      </c>
      <c r="N71" s="41"/>
      <c r="O71" s="41"/>
      <c r="P71" s="43">
        <v>158</v>
      </c>
      <c r="Q71" s="43">
        <v>339.5</v>
      </c>
      <c r="R71" s="41" t="s">
        <v>527</v>
      </c>
      <c r="S71" s="41"/>
      <c r="T71" s="41" t="s">
        <v>574</v>
      </c>
      <c r="U71" s="41"/>
      <c r="V71" s="41" t="s">
        <v>567</v>
      </c>
      <c r="W71" s="41"/>
      <c r="X71" s="41" t="s">
        <v>347</v>
      </c>
      <c r="Y71" s="41"/>
      <c r="Z71" s="41" t="s">
        <v>3639</v>
      </c>
      <c r="AA71" s="41"/>
      <c r="AB71" s="41" t="s">
        <v>3640</v>
      </c>
      <c r="AC71" s="41"/>
      <c r="AD71" s="47"/>
      <c r="AE71" s="7"/>
      <c r="AF71" s="7"/>
      <c r="AG71" s="28"/>
    </row>
    <row r="72" spans="1:33" ht="20.100000000000001" customHeight="1" x14ac:dyDescent="0.25">
      <c r="A72" s="38">
        <v>4</v>
      </c>
      <c r="B72" s="38"/>
      <c r="C72" s="39" t="str">
        <f t="shared" si="5"/>
        <v>S04-NH2</v>
      </c>
      <c r="D72" s="39" t="str">
        <f t="shared" si="11"/>
        <v>Segment 04-NH2</v>
      </c>
      <c r="E72" s="19"/>
      <c r="F72" s="19"/>
      <c r="G72" s="19" t="s">
        <v>20</v>
      </c>
      <c r="H72" s="40">
        <v>1</v>
      </c>
      <c r="I72" s="41"/>
      <c r="J72" s="41">
        <v>14</v>
      </c>
      <c r="K72" s="41">
        <v>14</v>
      </c>
      <c r="L72" s="32">
        <v>30</v>
      </c>
      <c r="M72" s="42">
        <f t="shared" si="15"/>
        <v>225.5</v>
      </c>
      <c r="N72" s="41"/>
      <c r="O72" s="41"/>
      <c r="P72" s="43">
        <v>339.5</v>
      </c>
      <c r="Q72" s="43">
        <v>565</v>
      </c>
      <c r="R72" s="41" t="s">
        <v>527</v>
      </c>
      <c r="S72" s="41"/>
      <c r="T72" s="41" t="s">
        <v>574</v>
      </c>
      <c r="U72" s="41"/>
      <c r="V72" s="41" t="s">
        <v>567</v>
      </c>
      <c r="W72" s="41"/>
      <c r="X72" s="41" t="s">
        <v>347</v>
      </c>
      <c r="Y72" s="41"/>
      <c r="Z72" s="41" t="s">
        <v>3640</v>
      </c>
      <c r="AA72" s="41"/>
      <c r="AB72" s="41" t="s">
        <v>46</v>
      </c>
      <c r="AC72" s="41"/>
      <c r="AD72" s="47"/>
      <c r="AE72" s="7"/>
      <c r="AF72" s="7"/>
      <c r="AG72" s="28"/>
    </row>
    <row r="73" spans="1:33" ht="20.100000000000001" customHeight="1" x14ac:dyDescent="0.25">
      <c r="A73" s="38">
        <v>1</v>
      </c>
      <c r="B73" s="38"/>
      <c r="C73" s="39" t="str">
        <f t="shared" si="5"/>
        <v>S01-LNZ1-16</v>
      </c>
      <c r="D73" s="39" t="str">
        <f t="shared" si="11"/>
        <v>Segment 01-LNZ1-16</v>
      </c>
      <c r="E73" s="19"/>
      <c r="F73" s="19"/>
      <c r="G73" s="19"/>
      <c r="H73" s="40">
        <v>8</v>
      </c>
      <c r="I73" s="41"/>
      <c r="J73" s="41">
        <v>11</v>
      </c>
      <c r="K73" s="41">
        <v>11</v>
      </c>
      <c r="L73" s="32"/>
      <c r="M73" s="42"/>
      <c r="N73" s="41"/>
      <c r="O73" s="41"/>
      <c r="P73" s="43">
        <v>0</v>
      </c>
      <c r="Q73" s="43">
        <v>109</v>
      </c>
      <c r="R73" s="41"/>
      <c r="S73" s="41"/>
      <c r="T73" s="41"/>
      <c r="U73" s="41"/>
      <c r="V73" s="41"/>
      <c r="W73" s="41"/>
      <c r="X73" s="63" t="s">
        <v>606</v>
      </c>
      <c r="Y73" s="41"/>
      <c r="Z73" s="41" t="s">
        <v>46</v>
      </c>
      <c r="AA73" s="41"/>
      <c r="AB73" s="41" t="s">
        <v>147</v>
      </c>
      <c r="AC73" s="41"/>
      <c r="AD73" s="47">
        <v>12</v>
      </c>
      <c r="AE73" s="7"/>
      <c r="AF73" s="7"/>
      <c r="AG73" s="28" t="str">
        <f t="shared" si="9"/>
        <v>(1*''**''*''*0*109******)*</v>
      </c>
    </row>
    <row r="74" spans="1:33" ht="20.100000000000001" customHeight="1" x14ac:dyDescent="0.25">
      <c r="A74" s="38">
        <v>2</v>
      </c>
      <c r="B74" s="38"/>
      <c r="C74" s="39" t="str">
        <f t="shared" si="5"/>
        <v>S02-LNZ1-16</v>
      </c>
      <c r="D74" s="39" t="str">
        <f t="shared" si="11"/>
        <v>Segment 02-LNZ1-16</v>
      </c>
      <c r="E74" s="19"/>
      <c r="F74" s="19"/>
      <c r="G74" s="19"/>
      <c r="H74" s="40">
        <v>8</v>
      </c>
      <c r="I74" s="41"/>
      <c r="J74" s="41">
        <v>11</v>
      </c>
      <c r="K74" s="41">
        <v>11</v>
      </c>
      <c r="L74" s="32"/>
      <c r="M74" s="42"/>
      <c r="N74" s="41"/>
      <c r="O74" s="41"/>
      <c r="P74" s="43">
        <v>109</v>
      </c>
      <c r="Q74" s="43">
        <v>229</v>
      </c>
      <c r="R74" s="41"/>
      <c r="S74" s="41"/>
      <c r="T74" s="41"/>
      <c r="U74" s="41"/>
      <c r="V74" s="41"/>
      <c r="W74" s="41"/>
      <c r="X74" s="63" t="s">
        <v>606</v>
      </c>
      <c r="Y74" s="41"/>
      <c r="Z74" s="41" t="s">
        <v>147</v>
      </c>
      <c r="AA74" s="41"/>
      <c r="AB74" s="41" t="s">
        <v>149</v>
      </c>
      <c r="AC74" s="41"/>
      <c r="AD74" s="47"/>
      <c r="AE74" s="7"/>
      <c r="AF74" s="7"/>
      <c r="AG74" s="28"/>
    </row>
    <row r="75" spans="1:33" ht="20.100000000000001" customHeight="1" x14ac:dyDescent="0.25">
      <c r="A75" s="38">
        <v>3</v>
      </c>
      <c r="B75" s="38"/>
      <c r="C75" s="39" t="str">
        <f t="shared" si="5"/>
        <v>S03-LNZ1-16</v>
      </c>
      <c r="D75" s="39" t="str">
        <f t="shared" si="11"/>
        <v>Segment 03-LNZ1-16</v>
      </c>
      <c r="E75" s="19"/>
      <c r="F75" s="19"/>
      <c r="G75" s="19"/>
      <c r="H75" s="40">
        <v>8</v>
      </c>
      <c r="I75" s="41"/>
      <c r="J75" s="41">
        <v>11</v>
      </c>
      <c r="K75" s="41">
        <v>11</v>
      </c>
      <c r="L75" s="32"/>
      <c r="M75" s="42"/>
      <c r="N75" s="41"/>
      <c r="O75" s="41"/>
      <c r="P75" s="43">
        <v>229</v>
      </c>
      <c r="Q75" s="43">
        <v>311.12400000000002</v>
      </c>
      <c r="R75" s="41"/>
      <c r="S75" s="41"/>
      <c r="T75" s="41"/>
      <c r="U75" s="41"/>
      <c r="V75" s="41"/>
      <c r="W75" s="41"/>
      <c r="X75" s="63" t="s">
        <v>606</v>
      </c>
      <c r="Y75" s="41"/>
      <c r="Z75" s="41" t="s">
        <v>149</v>
      </c>
      <c r="AA75" s="41"/>
      <c r="AB75" s="41" t="s">
        <v>3516</v>
      </c>
      <c r="AC75" s="41"/>
      <c r="AD75" s="47"/>
      <c r="AE75" s="7"/>
      <c r="AF75" s="7"/>
      <c r="AG75" s="28"/>
    </row>
    <row r="76" spans="1:33" ht="20.100000000000001" customHeight="1" x14ac:dyDescent="0.25">
      <c r="A76" s="38">
        <v>4</v>
      </c>
      <c r="B76" s="38"/>
      <c r="C76" s="39" t="str">
        <f t="shared" si="5"/>
        <v>S04-LNZ1-16</v>
      </c>
      <c r="D76" s="39" t="str">
        <f t="shared" si="11"/>
        <v>Segment 04-LNZ1-16</v>
      </c>
      <c r="E76" s="19"/>
      <c r="F76" s="19"/>
      <c r="G76" s="19"/>
      <c r="H76" s="40">
        <v>8</v>
      </c>
      <c r="I76" s="41"/>
      <c r="J76" s="41">
        <v>11</v>
      </c>
      <c r="K76" s="41">
        <v>11</v>
      </c>
      <c r="L76" s="32"/>
      <c r="M76" s="42"/>
      <c r="N76" s="41"/>
      <c r="O76" s="41"/>
      <c r="P76" s="43">
        <v>311.12400000000002</v>
      </c>
      <c r="Q76" s="43">
        <v>503.46</v>
      </c>
      <c r="R76" s="41"/>
      <c r="S76" s="41"/>
      <c r="T76" s="41"/>
      <c r="U76" s="41"/>
      <c r="V76" s="41"/>
      <c r="W76" s="41"/>
      <c r="X76" s="63" t="s">
        <v>606</v>
      </c>
      <c r="Y76" s="41"/>
      <c r="Z76" s="41" t="s">
        <v>3516</v>
      </c>
      <c r="AA76" s="41"/>
      <c r="AB76" s="41" t="s">
        <v>3641</v>
      </c>
      <c r="AC76" s="41"/>
      <c r="AD76" s="47"/>
      <c r="AE76" s="7"/>
      <c r="AF76" s="7"/>
      <c r="AG76" s="28"/>
    </row>
    <row r="77" spans="1:33" ht="20.100000000000001" customHeight="1" x14ac:dyDescent="0.25">
      <c r="A77" s="38">
        <v>1</v>
      </c>
      <c r="B77" s="38"/>
      <c r="C77" s="39" t="str">
        <f t="shared" si="5"/>
        <v>S01-LZ1</v>
      </c>
      <c r="D77" s="39" t="str">
        <f t="shared" si="11"/>
        <v>Segment 01-LZ1</v>
      </c>
      <c r="E77" s="19"/>
      <c r="F77" s="19"/>
      <c r="G77" s="19"/>
      <c r="H77" s="40">
        <v>1</v>
      </c>
      <c r="I77" s="41"/>
      <c r="J77" s="41">
        <v>11</v>
      </c>
      <c r="K77" s="41">
        <v>11</v>
      </c>
      <c r="L77" s="41"/>
      <c r="M77" s="41"/>
      <c r="N77" s="41"/>
      <c r="O77" s="41"/>
      <c r="P77" s="43">
        <v>0</v>
      </c>
      <c r="Q77" s="43">
        <v>110.729</v>
      </c>
      <c r="R77" s="41"/>
      <c r="S77" s="41"/>
      <c r="T77" s="41"/>
      <c r="U77" s="41"/>
      <c r="V77" s="41"/>
      <c r="W77" s="41"/>
      <c r="X77" s="63" t="s">
        <v>352</v>
      </c>
      <c r="Y77" s="41"/>
      <c r="Z77" s="41" t="s">
        <v>46</v>
      </c>
      <c r="AA77" s="41"/>
      <c r="AB77" s="41" t="s">
        <v>3513</v>
      </c>
      <c r="AC77" s="41"/>
      <c r="AD77" s="47">
        <v>12</v>
      </c>
      <c r="AE77" s="7" t="s">
        <v>609</v>
      </c>
      <c r="AF77" s="7"/>
      <c r="AG77" s="28" t="str">
        <f t="shared" si="9"/>
        <v>(1*''**''*''*0*110,729******)*</v>
      </c>
    </row>
    <row r="78" spans="1:33" ht="20.100000000000001" customHeight="1" x14ac:dyDescent="0.25">
      <c r="A78" s="38">
        <v>2</v>
      </c>
      <c r="B78" s="38"/>
      <c r="C78" s="39" t="str">
        <f t="shared" si="5"/>
        <v>S02-LZ1</v>
      </c>
      <c r="D78" s="39" t="str">
        <f t="shared" si="11"/>
        <v>Segment 02-LZ1</v>
      </c>
      <c r="E78" s="19"/>
      <c r="F78" s="19"/>
      <c r="G78" s="19"/>
      <c r="H78" s="40">
        <v>1</v>
      </c>
      <c r="I78" s="41"/>
      <c r="J78" s="41">
        <v>11</v>
      </c>
      <c r="K78" s="41">
        <v>11</v>
      </c>
      <c r="L78" s="41"/>
      <c r="M78" s="41"/>
      <c r="N78" s="41"/>
      <c r="O78" s="41"/>
      <c r="P78" s="43">
        <v>110.729</v>
      </c>
      <c r="Q78" s="43">
        <v>310.14999999999998</v>
      </c>
      <c r="R78" s="41"/>
      <c r="S78" s="41"/>
      <c r="T78" s="41"/>
      <c r="U78" s="41"/>
      <c r="V78" s="41"/>
      <c r="W78" s="41"/>
      <c r="X78" s="63" t="s">
        <v>352</v>
      </c>
      <c r="Y78" s="41"/>
      <c r="Z78" s="41" t="s">
        <v>3513</v>
      </c>
      <c r="AA78" s="41"/>
      <c r="AB78" s="41" t="s">
        <v>3514</v>
      </c>
      <c r="AC78" s="41"/>
      <c r="AD78" s="47"/>
      <c r="AE78" s="7"/>
      <c r="AF78" s="7"/>
      <c r="AG78" s="28"/>
    </row>
    <row r="79" spans="1:33" ht="20.100000000000001" customHeight="1" x14ac:dyDescent="0.25">
      <c r="A79" s="38">
        <v>3</v>
      </c>
      <c r="B79" s="38"/>
      <c r="C79" s="39" t="str">
        <f t="shared" si="5"/>
        <v>S03-LZ1</v>
      </c>
      <c r="D79" s="39" t="str">
        <f t="shared" si="11"/>
        <v>Segment 03-LZ1</v>
      </c>
      <c r="E79" s="19"/>
      <c r="F79" s="19"/>
      <c r="G79" s="19"/>
      <c r="H79" s="40">
        <v>1</v>
      </c>
      <c r="I79" s="41"/>
      <c r="J79" s="41">
        <v>11</v>
      </c>
      <c r="K79" s="41">
        <v>11</v>
      </c>
      <c r="L79" s="41"/>
      <c r="M79" s="41"/>
      <c r="N79" s="41"/>
      <c r="O79" s="41"/>
      <c r="P79" s="43">
        <v>310.14999999999998</v>
      </c>
      <c r="Q79" s="43">
        <v>503.46</v>
      </c>
      <c r="R79" s="41"/>
      <c r="S79" s="41"/>
      <c r="T79" s="41"/>
      <c r="U79" s="41"/>
      <c r="V79" s="41"/>
      <c r="W79" s="41"/>
      <c r="X79" s="63" t="s">
        <v>352</v>
      </c>
      <c r="Y79" s="41"/>
      <c r="Z79" s="41" t="s">
        <v>3514</v>
      </c>
      <c r="AA79" s="41"/>
      <c r="AB79" s="41" t="s">
        <v>3641</v>
      </c>
      <c r="AC79" s="41"/>
      <c r="AD79" s="47"/>
      <c r="AE79" s="7"/>
      <c r="AF79" s="7"/>
      <c r="AG79" s="28"/>
    </row>
    <row r="80" spans="1:33" ht="20.100000000000001" customHeight="1" x14ac:dyDescent="0.25">
      <c r="A80" s="38">
        <v>1</v>
      </c>
      <c r="B80" s="38"/>
      <c r="C80" s="39" t="str">
        <f t="shared" si="5"/>
        <v>S01-LZ2</v>
      </c>
      <c r="D80" s="39" t="str">
        <f t="shared" si="11"/>
        <v>Segment 01-LZ2</v>
      </c>
      <c r="E80" s="19"/>
      <c r="F80" s="19"/>
      <c r="G80" s="19"/>
      <c r="H80" s="40">
        <v>1</v>
      </c>
      <c r="I80" s="41"/>
      <c r="J80" s="41">
        <v>11</v>
      </c>
      <c r="K80" s="41">
        <v>11</v>
      </c>
      <c r="L80" s="41"/>
      <c r="M80" s="41"/>
      <c r="N80" s="41"/>
      <c r="O80" s="41"/>
      <c r="P80" s="43">
        <v>0</v>
      </c>
      <c r="Q80" s="43">
        <v>110.627</v>
      </c>
      <c r="R80" s="41"/>
      <c r="S80" s="41"/>
      <c r="T80" s="41"/>
      <c r="U80" s="41"/>
      <c r="V80" s="41"/>
      <c r="W80" s="41"/>
      <c r="X80" s="63" t="s">
        <v>355</v>
      </c>
      <c r="Y80" s="41"/>
      <c r="Z80" s="41" t="s">
        <v>46</v>
      </c>
      <c r="AA80" s="41"/>
      <c r="AB80" s="41" t="s">
        <v>3644</v>
      </c>
      <c r="AC80" s="41"/>
      <c r="AD80" s="47">
        <v>12</v>
      </c>
      <c r="AE80" s="7" t="s">
        <v>612</v>
      </c>
      <c r="AF80" s="7"/>
      <c r="AG80" s="28" t="str">
        <f t="shared" si="9"/>
        <v>(1*''**''*''*0*110,627******)*</v>
      </c>
    </row>
    <row r="81" spans="1:33" ht="20.100000000000001" customHeight="1" x14ac:dyDescent="0.25">
      <c r="A81" s="38">
        <v>2</v>
      </c>
      <c r="B81" s="38"/>
      <c r="C81" s="39" t="str">
        <f t="shared" si="5"/>
        <v>S02-LZ2</v>
      </c>
      <c r="D81" s="39" t="str">
        <f t="shared" si="11"/>
        <v>Segment 02-LZ2</v>
      </c>
      <c r="E81" s="19"/>
      <c r="F81" s="19"/>
      <c r="G81" s="19"/>
      <c r="H81" s="40">
        <v>1</v>
      </c>
      <c r="I81" s="41"/>
      <c r="J81" s="41">
        <v>11</v>
      </c>
      <c r="K81" s="41">
        <v>11</v>
      </c>
      <c r="L81" s="41"/>
      <c r="M81" s="41"/>
      <c r="N81" s="41"/>
      <c r="O81" s="41"/>
      <c r="P81" s="43">
        <v>110.627</v>
      </c>
      <c r="Q81" s="43">
        <v>311.12400000000002</v>
      </c>
      <c r="R81" s="41"/>
      <c r="S81" s="41"/>
      <c r="T81" s="41"/>
      <c r="U81" s="41"/>
      <c r="V81" s="41"/>
      <c r="W81" s="41"/>
      <c r="X81" s="63" t="s">
        <v>355</v>
      </c>
      <c r="Y81" s="41"/>
      <c r="Z81" s="41" t="s">
        <v>3644</v>
      </c>
      <c r="AA81" s="41"/>
      <c r="AB81" s="41" t="s">
        <v>3515</v>
      </c>
      <c r="AC81" s="41"/>
      <c r="AD81" s="47"/>
      <c r="AE81" s="7"/>
      <c r="AF81" s="7"/>
      <c r="AG81" s="28"/>
    </row>
    <row r="82" spans="1:33" ht="20.100000000000001" customHeight="1" x14ac:dyDescent="0.25">
      <c r="A82" s="38">
        <v>3</v>
      </c>
      <c r="B82" s="38"/>
      <c r="C82" s="39" t="str">
        <f t="shared" si="5"/>
        <v>S03-LZ2</v>
      </c>
      <c r="D82" s="39" t="str">
        <f t="shared" si="11"/>
        <v>Segment 03-LZ2</v>
      </c>
      <c r="E82" s="19"/>
      <c r="F82" s="19"/>
      <c r="G82" s="19"/>
      <c r="H82" s="40">
        <v>1</v>
      </c>
      <c r="I82" s="41"/>
      <c r="J82" s="41">
        <v>11</v>
      </c>
      <c r="K82" s="41">
        <v>11</v>
      </c>
      <c r="L82" s="41"/>
      <c r="M82" s="41"/>
      <c r="N82" s="41"/>
      <c r="O82" s="41"/>
      <c r="P82" s="43">
        <v>311.12400000000002</v>
      </c>
      <c r="Q82" s="43">
        <v>495</v>
      </c>
      <c r="R82" s="41"/>
      <c r="S82" s="41"/>
      <c r="T82" s="41"/>
      <c r="U82" s="41"/>
      <c r="V82" s="41"/>
      <c r="W82" s="41"/>
      <c r="X82" s="63" t="s">
        <v>355</v>
      </c>
      <c r="Y82" s="41"/>
      <c r="Z82" s="41" t="s">
        <v>3515</v>
      </c>
      <c r="AA82" s="41"/>
      <c r="AB82" s="41" t="s">
        <v>3641</v>
      </c>
      <c r="AC82" s="41"/>
      <c r="AD82" s="47"/>
      <c r="AE82" s="7"/>
      <c r="AF82" s="7"/>
      <c r="AG82" s="28"/>
    </row>
    <row r="83" spans="1:33" ht="20.100000000000001" customHeight="1" x14ac:dyDescent="0.25">
      <c r="A83" s="38">
        <v>1</v>
      </c>
      <c r="B83" s="38"/>
      <c r="C83" s="39" t="str">
        <f t="shared" si="5"/>
        <v>S01-LR1</v>
      </c>
      <c r="D83" s="39" t="str">
        <f t="shared" si="11"/>
        <v>Segment 01-LR1</v>
      </c>
      <c r="E83" s="19"/>
      <c r="F83" s="19"/>
      <c r="G83" s="19"/>
      <c r="H83" s="40">
        <v>1</v>
      </c>
      <c r="I83" s="41"/>
      <c r="J83" s="41">
        <v>12</v>
      </c>
      <c r="K83" s="41">
        <v>14</v>
      </c>
      <c r="L83" s="32"/>
      <c r="M83" s="42"/>
      <c r="N83" s="41"/>
      <c r="O83" s="41"/>
      <c r="P83" s="43">
        <v>0</v>
      </c>
      <c r="Q83" s="43">
        <v>100.85</v>
      </c>
      <c r="R83" s="41"/>
      <c r="S83" s="41"/>
      <c r="T83" s="41"/>
      <c r="U83" s="41"/>
      <c r="V83" s="41"/>
      <c r="W83" s="41"/>
      <c r="X83" s="63" t="s">
        <v>358</v>
      </c>
      <c r="Y83" s="41"/>
      <c r="Z83" s="41" t="s">
        <v>58</v>
      </c>
      <c r="AA83" s="41"/>
      <c r="AB83" s="63" t="s">
        <v>3645</v>
      </c>
      <c r="AC83" s="41"/>
      <c r="AD83" s="47">
        <v>12</v>
      </c>
      <c r="AE83" s="7" t="s">
        <v>616</v>
      </c>
      <c r="AF83" s="7"/>
      <c r="AG83" s="28" t="str">
        <f t="shared" si="9"/>
        <v>(1*''**''*''*0*100,85******)*</v>
      </c>
    </row>
    <row r="84" spans="1:33" ht="20.100000000000001" customHeight="1" x14ac:dyDescent="0.25">
      <c r="A84" s="38">
        <v>2</v>
      </c>
      <c r="B84" s="38"/>
      <c r="C84" s="39" t="str">
        <f t="shared" si="5"/>
        <v>S02-LR1</v>
      </c>
      <c r="D84" s="39" t="str">
        <f t="shared" si="11"/>
        <v>Segment 02-LR1</v>
      </c>
      <c r="E84" s="19"/>
      <c r="F84" s="19"/>
      <c r="G84" s="19"/>
      <c r="H84" s="40">
        <v>1</v>
      </c>
      <c r="I84" s="41"/>
      <c r="J84" s="41">
        <v>12</v>
      </c>
      <c r="K84" s="41">
        <v>14</v>
      </c>
      <c r="L84" s="32"/>
      <c r="M84" s="42"/>
      <c r="N84" s="41"/>
      <c r="O84" s="41"/>
      <c r="P84" s="43">
        <v>100.85</v>
      </c>
      <c r="Q84" s="43">
        <v>232.3</v>
      </c>
      <c r="R84" s="41"/>
      <c r="S84" s="41"/>
      <c r="T84" s="41"/>
      <c r="U84" s="41"/>
      <c r="V84" s="41"/>
      <c r="W84" s="41"/>
      <c r="X84" s="63" t="s">
        <v>358</v>
      </c>
      <c r="Y84" s="41"/>
      <c r="Z84" s="63" t="s">
        <v>3645</v>
      </c>
      <c r="AA84" s="41"/>
      <c r="AB84" s="41" t="s">
        <v>3648</v>
      </c>
      <c r="AC84" s="41"/>
      <c r="AD84" s="47"/>
      <c r="AE84" s="7"/>
      <c r="AF84" s="7"/>
      <c r="AG84" s="28"/>
    </row>
    <row r="85" spans="1:33" ht="20.100000000000001" customHeight="1" x14ac:dyDescent="0.25">
      <c r="A85" s="38">
        <v>3</v>
      </c>
      <c r="B85" s="38"/>
      <c r="C85" s="39" t="str">
        <f t="shared" si="5"/>
        <v>S03-LR1</v>
      </c>
      <c r="D85" s="39" t="str">
        <f t="shared" si="11"/>
        <v>Segment 03-LR1</v>
      </c>
      <c r="E85" s="19"/>
      <c r="F85" s="19"/>
      <c r="G85" s="19"/>
      <c r="H85" s="40">
        <v>1</v>
      </c>
      <c r="I85" s="41"/>
      <c r="J85" s="41">
        <v>12</v>
      </c>
      <c r="K85" s="41">
        <v>14</v>
      </c>
      <c r="L85" s="32"/>
      <c r="M85" s="42"/>
      <c r="N85" s="41"/>
      <c r="O85" s="41"/>
      <c r="P85" s="43">
        <v>232.3</v>
      </c>
      <c r="Q85" s="43">
        <v>430.7</v>
      </c>
      <c r="R85" s="41"/>
      <c r="S85" s="41"/>
      <c r="T85" s="41"/>
      <c r="U85" s="41"/>
      <c r="V85" s="41"/>
      <c r="W85" s="41"/>
      <c r="X85" s="63" t="s">
        <v>358</v>
      </c>
      <c r="Y85" s="41"/>
      <c r="Z85" s="41" t="s">
        <v>3648</v>
      </c>
      <c r="AA85" s="41"/>
      <c r="AB85" s="41" t="s">
        <v>159</v>
      </c>
      <c r="AC85" s="41"/>
      <c r="AD85" s="47"/>
      <c r="AE85" s="7"/>
      <c r="AF85" s="7"/>
      <c r="AG85" s="28"/>
    </row>
    <row r="86" spans="1:33" ht="20.100000000000001" customHeight="1" x14ac:dyDescent="0.25">
      <c r="A86" s="38">
        <v>4</v>
      </c>
      <c r="B86" s="38"/>
      <c r="C86" s="39" t="str">
        <f t="shared" si="5"/>
        <v>S04-LR1</v>
      </c>
      <c r="D86" s="39" t="str">
        <f t="shared" si="11"/>
        <v>Segment 04-LR1</v>
      </c>
      <c r="E86" s="19"/>
      <c r="F86" s="19"/>
      <c r="G86" s="19"/>
      <c r="H86" s="40">
        <v>1</v>
      </c>
      <c r="I86" s="41"/>
      <c r="J86" s="41">
        <v>12</v>
      </c>
      <c r="K86" s="41">
        <v>14</v>
      </c>
      <c r="L86" s="32"/>
      <c r="M86" s="42"/>
      <c r="N86" s="41"/>
      <c r="O86" s="41"/>
      <c r="P86" s="43">
        <v>430.7</v>
      </c>
      <c r="Q86" s="43">
        <v>503.5</v>
      </c>
      <c r="R86" s="41"/>
      <c r="S86" s="41"/>
      <c r="T86" s="41"/>
      <c r="U86" s="41"/>
      <c r="V86" s="41"/>
      <c r="W86" s="41"/>
      <c r="X86" s="63" t="s">
        <v>358</v>
      </c>
      <c r="Y86" s="41"/>
      <c r="Z86" s="41" t="s">
        <v>159</v>
      </c>
      <c r="AA86" s="41"/>
      <c r="AB86" s="41" t="s">
        <v>3647</v>
      </c>
      <c r="AC86" s="41"/>
      <c r="AD86" s="47"/>
      <c r="AE86" s="7"/>
      <c r="AF86" s="7"/>
      <c r="AG86" s="28"/>
    </row>
    <row r="87" spans="1:33" ht="20.100000000000001" customHeight="1" x14ac:dyDescent="0.25">
      <c r="A87" s="38">
        <v>5</v>
      </c>
      <c r="B87" s="38"/>
      <c r="C87" s="39" t="str">
        <f t="shared" si="5"/>
        <v>S05-LR1</v>
      </c>
      <c r="D87" s="39" t="str">
        <f t="shared" si="11"/>
        <v>Segment 05-LR1</v>
      </c>
      <c r="E87" s="19"/>
      <c r="F87" s="19"/>
      <c r="G87" s="19"/>
      <c r="H87" s="40">
        <v>1</v>
      </c>
      <c r="I87" s="41"/>
      <c r="J87" s="41">
        <v>12</v>
      </c>
      <c r="K87" s="41">
        <v>14</v>
      </c>
      <c r="L87" s="32"/>
      <c r="M87" s="42"/>
      <c r="N87" s="41"/>
      <c r="O87" s="41"/>
      <c r="P87" s="43">
        <v>503.5</v>
      </c>
      <c r="Q87" s="43">
        <v>653.5</v>
      </c>
      <c r="R87" s="41"/>
      <c r="S87" s="41"/>
      <c r="T87" s="41"/>
      <c r="U87" s="41"/>
      <c r="V87" s="41"/>
      <c r="W87" s="41"/>
      <c r="X87" s="63" t="s">
        <v>358</v>
      </c>
      <c r="Y87" s="41"/>
      <c r="Z87" s="41" t="s">
        <v>3647</v>
      </c>
      <c r="AA87" s="41"/>
      <c r="AB87" s="41" t="s">
        <v>3646</v>
      </c>
      <c r="AC87" s="41"/>
      <c r="AD87" s="47"/>
      <c r="AE87" s="7"/>
      <c r="AF87" s="7"/>
      <c r="AG87" s="28"/>
    </row>
    <row r="88" spans="1:33" ht="20.100000000000001" customHeight="1" x14ac:dyDescent="0.25">
      <c r="A88" s="38">
        <v>6</v>
      </c>
      <c r="B88" s="38"/>
      <c r="C88" s="39" t="str">
        <f t="shared" si="5"/>
        <v>S06-LR1</v>
      </c>
      <c r="D88" s="39" t="str">
        <f t="shared" si="11"/>
        <v>Segment 06-LR1</v>
      </c>
      <c r="E88" s="19"/>
      <c r="F88" s="19"/>
      <c r="G88" s="19"/>
      <c r="H88" s="40">
        <v>1</v>
      </c>
      <c r="I88" s="41"/>
      <c r="J88" s="41">
        <v>12</v>
      </c>
      <c r="K88" s="41">
        <v>14</v>
      </c>
      <c r="L88" s="32"/>
      <c r="M88" s="42"/>
      <c r="N88" s="41"/>
      <c r="O88" s="41"/>
      <c r="P88" s="43">
        <v>653.5</v>
      </c>
      <c r="Q88" s="43">
        <v>686.5</v>
      </c>
      <c r="R88" s="41"/>
      <c r="S88" s="41"/>
      <c r="T88" s="41"/>
      <c r="U88" s="41"/>
      <c r="V88" s="41"/>
      <c r="W88" s="41"/>
      <c r="X88" s="63" t="s">
        <v>358</v>
      </c>
      <c r="Y88" s="41"/>
      <c r="Z88" s="41" t="s">
        <v>3646</v>
      </c>
      <c r="AA88" s="41"/>
      <c r="AB88" s="41" t="s">
        <v>3517</v>
      </c>
      <c r="AC88" s="41"/>
      <c r="AD88" s="47"/>
      <c r="AE88" s="7"/>
      <c r="AF88" s="7"/>
      <c r="AG88" s="28"/>
    </row>
    <row r="89" spans="1:33" ht="20.100000000000001" customHeight="1" x14ac:dyDescent="0.25">
      <c r="A89" s="38">
        <v>7</v>
      </c>
      <c r="B89" s="38"/>
      <c r="C89" s="39" t="str">
        <f t="shared" si="5"/>
        <v>S07-LR1</v>
      </c>
      <c r="D89" s="39" t="str">
        <f t="shared" si="11"/>
        <v>Segment 07-LR1</v>
      </c>
      <c r="E89" s="19"/>
      <c r="F89" s="19"/>
      <c r="G89" s="19"/>
      <c r="H89" s="40">
        <v>1</v>
      </c>
      <c r="I89" s="41"/>
      <c r="J89" s="41">
        <v>12</v>
      </c>
      <c r="K89" s="41">
        <v>12</v>
      </c>
      <c r="L89" s="32"/>
      <c r="M89" s="42"/>
      <c r="N89" s="41"/>
      <c r="O89" s="41"/>
      <c r="P89" s="43">
        <v>686.5</v>
      </c>
      <c r="Q89" s="43">
        <v>805.7</v>
      </c>
      <c r="R89" s="41"/>
      <c r="S89" s="41"/>
      <c r="T89" s="41"/>
      <c r="U89" s="41"/>
      <c r="V89" s="41"/>
      <c r="W89" s="41"/>
      <c r="X89" s="63" t="s">
        <v>358</v>
      </c>
      <c r="Y89" s="41"/>
      <c r="Z89" s="41" t="s">
        <v>3517</v>
      </c>
      <c r="AA89" s="41"/>
      <c r="AB89" s="41" t="s">
        <v>164</v>
      </c>
      <c r="AC89" s="41"/>
      <c r="AD89" s="47"/>
      <c r="AE89" s="7"/>
      <c r="AF89" s="7"/>
      <c r="AG89" s="28"/>
    </row>
    <row r="90" spans="1:33" ht="20.100000000000001" customHeight="1" x14ac:dyDescent="0.25">
      <c r="A90" s="38">
        <v>8</v>
      </c>
      <c r="B90" s="38"/>
      <c r="C90" s="39" t="str">
        <f t="shared" si="5"/>
        <v>S08-LR1</v>
      </c>
      <c r="D90" s="39" t="str">
        <f t="shared" si="11"/>
        <v>Segment 08-LR1</v>
      </c>
      <c r="E90" s="19"/>
      <c r="F90" s="19"/>
      <c r="G90" s="19"/>
      <c r="H90" s="40">
        <v>1</v>
      </c>
      <c r="I90" s="41"/>
      <c r="J90" s="41">
        <v>12</v>
      </c>
      <c r="K90" s="41">
        <v>12</v>
      </c>
      <c r="L90" s="32"/>
      <c r="M90" s="42"/>
      <c r="N90" s="41"/>
      <c r="O90" s="41"/>
      <c r="P90" s="43">
        <v>805.7</v>
      </c>
      <c r="Q90" s="43">
        <v>988.2</v>
      </c>
      <c r="R90" s="41"/>
      <c r="S90" s="41"/>
      <c r="T90" s="41"/>
      <c r="U90" s="41"/>
      <c r="V90" s="41"/>
      <c r="W90" s="41"/>
      <c r="X90" s="63" t="s">
        <v>358</v>
      </c>
      <c r="Y90" s="41"/>
      <c r="Z90" s="41" t="s">
        <v>164</v>
      </c>
      <c r="AA90" s="41"/>
      <c r="AB90" s="41" t="s">
        <v>3649</v>
      </c>
      <c r="AC90" s="41"/>
      <c r="AD90" s="47"/>
      <c r="AE90" s="7"/>
      <c r="AF90" s="7"/>
      <c r="AG90" s="28"/>
    </row>
    <row r="91" spans="1:33" ht="20.100000000000001" customHeight="1" x14ac:dyDescent="0.25">
      <c r="A91" s="38">
        <v>1</v>
      </c>
      <c r="B91" s="38"/>
      <c r="C91" s="39" t="str">
        <f t="shared" si="5"/>
        <v>S01-LNZ1-12</v>
      </c>
      <c r="D91" s="39" t="str">
        <f t="shared" si="11"/>
        <v>Segment 01-LNZ1-12</v>
      </c>
      <c r="E91" s="19"/>
      <c r="F91" s="19"/>
      <c r="G91" s="19"/>
      <c r="H91" s="40">
        <v>8</v>
      </c>
      <c r="I91" s="41"/>
      <c r="J91" s="41">
        <v>12</v>
      </c>
      <c r="K91" s="41">
        <v>12</v>
      </c>
      <c r="L91" s="32"/>
      <c r="M91" s="42"/>
      <c r="N91" s="41"/>
      <c r="O91" s="41"/>
      <c r="P91" s="43">
        <v>0</v>
      </c>
      <c r="Q91" s="43">
        <v>219</v>
      </c>
      <c r="R91" s="41"/>
      <c r="S91" s="41"/>
      <c r="T91" s="41"/>
      <c r="U91" s="41"/>
      <c r="V91" s="41"/>
      <c r="W91" s="41"/>
      <c r="X91" s="63" t="s">
        <v>617</v>
      </c>
      <c r="Y91" s="41"/>
      <c r="Z91" s="41" t="s">
        <v>46</v>
      </c>
      <c r="AA91" s="41"/>
      <c r="AB91" s="63" t="s">
        <v>168</v>
      </c>
      <c r="AC91" s="41"/>
      <c r="AD91" s="47">
        <v>12</v>
      </c>
      <c r="AE91" s="7"/>
      <c r="AF91" s="7"/>
      <c r="AG91" s="28" t="str">
        <f t="shared" si="9"/>
        <v>(1*''**''*''*0*219******)*</v>
      </c>
    </row>
    <row r="92" spans="1:33" ht="20.100000000000001" customHeight="1" x14ac:dyDescent="0.25">
      <c r="A92" s="38">
        <v>2</v>
      </c>
      <c r="B92" s="38"/>
      <c r="C92" s="39" t="str">
        <f t="shared" si="5"/>
        <v>S02-LNZ1-12</v>
      </c>
      <c r="D92" s="39" t="str">
        <f t="shared" si="11"/>
        <v>Segment 02-LNZ1-12</v>
      </c>
      <c r="E92" s="19"/>
      <c r="F92" s="19"/>
      <c r="G92" s="19"/>
      <c r="H92" s="40">
        <v>8</v>
      </c>
      <c r="I92" s="41"/>
      <c r="J92" s="41">
        <v>12</v>
      </c>
      <c r="K92" s="41">
        <v>12</v>
      </c>
      <c r="L92" s="32"/>
      <c r="M92" s="42"/>
      <c r="N92" s="41"/>
      <c r="O92" s="41"/>
      <c r="P92" s="43">
        <v>218.56299999999999</v>
      </c>
      <c r="Q92" s="43">
        <v>306</v>
      </c>
      <c r="R92" s="41"/>
      <c r="S92" s="41"/>
      <c r="T92" s="41"/>
      <c r="U92" s="41"/>
      <c r="V92" s="41"/>
      <c r="W92" s="41"/>
      <c r="X92" s="63" t="s">
        <v>617</v>
      </c>
      <c r="Y92" s="41"/>
      <c r="Z92" s="63" t="s">
        <v>168</v>
      </c>
      <c r="AA92" s="41"/>
      <c r="AB92" s="41" t="s">
        <v>3649</v>
      </c>
      <c r="AC92" s="41"/>
      <c r="AD92" s="47"/>
      <c r="AE92" s="7"/>
      <c r="AF92" s="7"/>
      <c r="AG92" s="28"/>
    </row>
    <row r="93" spans="1:33" ht="20.100000000000001" customHeight="1" x14ac:dyDescent="0.25">
      <c r="A93" s="38">
        <v>1</v>
      </c>
      <c r="B93" s="38"/>
      <c r="C93" s="39" t="str">
        <f t="shared" ref="C93:C156" si="16">CONCATENATE("S0",A93,"-",X93)</f>
        <v>S01-DLR1</v>
      </c>
      <c r="D93" s="39" t="str">
        <f t="shared" si="11"/>
        <v>Segment 01-DLR1</v>
      </c>
      <c r="E93" s="19"/>
      <c r="F93" s="19"/>
      <c r="G93" s="19"/>
      <c r="H93" s="40">
        <v>1</v>
      </c>
      <c r="I93" s="41"/>
      <c r="J93" s="41">
        <v>12</v>
      </c>
      <c r="K93" s="41">
        <v>14</v>
      </c>
      <c r="L93" s="32"/>
      <c r="M93" s="42"/>
      <c r="N93" s="41"/>
      <c r="O93" s="41"/>
      <c r="P93" s="43">
        <v>0</v>
      </c>
      <c r="Q93" s="43">
        <v>133</v>
      </c>
      <c r="R93" s="41"/>
      <c r="S93" s="41"/>
      <c r="T93" s="41"/>
      <c r="U93" s="41"/>
      <c r="V93" s="41"/>
      <c r="W93" s="41"/>
      <c r="X93" s="63" t="s">
        <v>361</v>
      </c>
      <c r="Y93" s="41"/>
      <c r="Z93" s="41" t="s">
        <v>50</v>
      </c>
      <c r="AA93" s="41"/>
      <c r="AB93" s="41" t="s">
        <v>3651</v>
      </c>
      <c r="AC93" s="41"/>
      <c r="AD93" s="47">
        <v>12</v>
      </c>
      <c r="AE93" s="7" t="s">
        <v>622</v>
      </c>
      <c r="AF93" s="7"/>
      <c r="AG93" s="28" t="str">
        <f t="shared" si="9"/>
        <v>(1*''**''*''*0*133******)*</v>
      </c>
    </row>
    <row r="94" spans="1:33" ht="20.100000000000001" customHeight="1" x14ac:dyDescent="0.25">
      <c r="A94" s="38">
        <v>2</v>
      </c>
      <c r="B94" s="38"/>
      <c r="C94" s="39" t="str">
        <f t="shared" si="16"/>
        <v>S02-DLR1</v>
      </c>
      <c r="D94" s="39" t="str">
        <f t="shared" si="11"/>
        <v>Segment 02-DLR1</v>
      </c>
      <c r="E94" s="19"/>
      <c r="F94" s="19"/>
      <c r="G94" s="19"/>
      <c r="H94" s="40">
        <v>1</v>
      </c>
      <c r="I94" s="41"/>
      <c r="J94" s="41">
        <v>12</v>
      </c>
      <c r="K94" s="41">
        <v>14</v>
      </c>
      <c r="L94" s="32"/>
      <c r="M94" s="42"/>
      <c r="N94" s="41"/>
      <c r="O94" s="41"/>
      <c r="P94" s="43">
        <v>133</v>
      </c>
      <c r="Q94" s="43">
        <v>329</v>
      </c>
      <c r="R94" s="41"/>
      <c r="S94" s="41"/>
      <c r="T94" s="41"/>
      <c r="U94" s="41"/>
      <c r="V94" s="41"/>
      <c r="W94" s="41"/>
      <c r="X94" s="63" t="s">
        <v>361</v>
      </c>
      <c r="Y94" s="41"/>
      <c r="Z94" s="41" t="s">
        <v>3651</v>
      </c>
      <c r="AA94" s="41"/>
      <c r="AB94" s="41" t="s">
        <v>3652</v>
      </c>
      <c r="AC94" s="41"/>
      <c r="AD94" s="47"/>
      <c r="AE94" s="7"/>
      <c r="AF94" s="7"/>
      <c r="AG94" s="28"/>
    </row>
    <row r="95" spans="1:33" ht="20.100000000000001" customHeight="1" x14ac:dyDescent="0.25">
      <c r="A95" s="38">
        <v>3</v>
      </c>
      <c r="B95" s="38"/>
      <c r="C95" s="39" t="str">
        <f t="shared" si="16"/>
        <v>S03-DLR1</v>
      </c>
      <c r="D95" s="39" t="str">
        <f t="shared" si="11"/>
        <v>Segment 03-DLR1</v>
      </c>
      <c r="E95" s="19"/>
      <c r="F95" s="19"/>
      <c r="G95" s="19"/>
      <c r="H95" s="40">
        <v>1</v>
      </c>
      <c r="I95" s="41"/>
      <c r="J95" s="41">
        <v>12</v>
      </c>
      <c r="K95" s="41">
        <v>14</v>
      </c>
      <c r="L95" s="32"/>
      <c r="M95" s="42"/>
      <c r="N95" s="41"/>
      <c r="O95" s="41"/>
      <c r="P95" s="43">
        <v>329</v>
      </c>
      <c r="Q95" s="43">
        <v>404</v>
      </c>
      <c r="R95" s="41"/>
      <c r="S95" s="41"/>
      <c r="T95" s="41"/>
      <c r="U95" s="41"/>
      <c r="V95" s="41"/>
      <c r="W95" s="41"/>
      <c r="X95" s="63" t="s">
        <v>361</v>
      </c>
      <c r="Y95" s="41"/>
      <c r="Z95" s="41" t="s">
        <v>3652</v>
      </c>
      <c r="AA95" s="41"/>
      <c r="AB95" s="41" t="s">
        <v>69</v>
      </c>
      <c r="AC95" s="41"/>
      <c r="AD95" s="47"/>
      <c r="AE95" s="7"/>
      <c r="AF95" s="7"/>
      <c r="AG95" s="28"/>
    </row>
    <row r="96" spans="1:33" ht="20.100000000000001" customHeight="1" x14ac:dyDescent="0.25">
      <c r="A96" s="38">
        <v>1</v>
      </c>
      <c r="B96" s="38"/>
      <c r="C96" s="39" t="str">
        <f t="shared" si="16"/>
        <v>S01-ELR1</v>
      </c>
      <c r="D96" s="39" t="str">
        <f t="shared" si="11"/>
        <v>Segment 01-ELR1</v>
      </c>
      <c r="E96" s="19"/>
      <c r="F96" s="19"/>
      <c r="G96" s="19"/>
      <c r="H96" s="40">
        <v>1</v>
      </c>
      <c r="I96" s="41"/>
      <c r="J96" s="41">
        <v>12</v>
      </c>
      <c r="K96" s="41">
        <v>14</v>
      </c>
      <c r="L96" s="32"/>
      <c r="M96" s="42"/>
      <c r="N96" s="41"/>
      <c r="O96" s="41"/>
      <c r="P96" s="43">
        <v>0</v>
      </c>
      <c r="Q96" s="43">
        <v>33</v>
      </c>
      <c r="R96" s="41"/>
      <c r="S96" s="41"/>
      <c r="T96" s="41"/>
      <c r="U96" s="41"/>
      <c r="V96" s="41"/>
      <c r="W96" s="41"/>
      <c r="X96" s="63" t="s">
        <v>364</v>
      </c>
      <c r="Y96" s="41"/>
      <c r="Z96" s="41" t="s">
        <v>46</v>
      </c>
      <c r="AA96" s="41"/>
      <c r="AB96" s="41" t="s">
        <v>3517</v>
      </c>
      <c r="AC96" s="41"/>
      <c r="AD96" s="47">
        <v>12</v>
      </c>
      <c r="AE96" s="7" t="s">
        <v>625</v>
      </c>
      <c r="AF96" s="7"/>
      <c r="AG96" s="28" t="str">
        <f t="shared" si="9"/>
        <v>(1*''**''*''*0*33******)*</v>
      </c>
    </row>
    <row r="97" spans="1:33" ht="20.100000000000001" customHeight="1" x14ac:dyDescent="0.25">
      <c r="A97" s="38">
        <v>2</v>
      </c>
      <c r="B97" s="38"/>
      <c r="C97" s="39" t="str">
        <f t="shared" si="16"/>
        <v>S02-ELR1</v>
      </c>
      <c r="D97" s="39" t="str">
        <f t="shared" si="11"/>
        <v>Segment 02-ELR1</v>
      </c>
      <c r="E97" s="19"/>
      <c r="F97" s="19"/>
      <c r="G97" s="19"/>
      <c r="H97" s="40">
        <v>1</v>
      </c>
      <c r="I97" s="41"/>
      <c r="J97" s="41">
        <v>12</v>
      </c>
      <c r="K97" s="41">
        <v>12</v>
      </c>
      <c r="L97" s="32"/>
      <c r="M97" s="42"/>
      <c r="N97" s="41"/>
      <c r="O97" s="41"/>
      <c r="P97" s="43">
        <v>33</v>
      </c>
      <c r="Q97" s="43">
        <v>153.11799999999999</v>
      </c>
      <c r="R97" s="41"/>
      <c r="S97" s="41"/>
      <c r="T97" s="41"/>
      <c r="U97" s="41"/>
      <c r="V97" s="41"/>
      <c r="W97" s="41"/>
      <c r="X97" s="63" t="s">
        <v>364</v>
      </c>
      <c r="Y97" s="41"/>
      <c r="Z97" s="41" t="s">
        <v>3517</v>
      </c>
      <c r="AA97" s="41"/>
      <c r="AB97" s="41" t="s">
        <v>3654</v>
      </c>
      <c r="AC97" s="41"/>
      <c r="AD97" s="47"/>
      <c r="AE97" s="7"/>
      <c r="AF97" s="7"/>
      <c r="AG97" s="28"/>
    </row>
    <row r="98" spans="1:33" ht="20.100000000000001" customHeight="1" x14ac:dyDescent="0.25">
      <c r="A98" s="38">
        <v>3</v>
      </c>
      <c r="B98" s="38"/>
      <c r="C98" s="39" t="str">
        <f t="shared" si="16"/>
        <v>S03-ELR1</v>
      </c>
      <c r="D98" s="39" t="str">
        <f t="shared" si="11"/>
        <v>Segment 03-ELR1</v>
      </c>
      <c r="E98" s="19"/>
      <c r="F98" s="19"/>
      <c r="G98" s="19"/>
      <c r="H98" s="40">
        <v>1</v>
      </c>
      <c r="I98" s="41"/>
      <c r="J98" s="41">
        <v>12</v>
      </c>
      <c r="K98" s="41">
        <v>12</v>
      </c>
      <c r="L98" s="32"/>
      <c r="M98" s="42"/>
      <c r="N98" s="41"/>
      <c r="O98" s="41"/>
      <c r="P98" s="43">
        <v>153.11799999999999</v>
      </c>
      <c r="Q98" s="43">
        <v>252.09200000000001</v>
      </c>
      <c r="R98" s="41"/>
      <c r="S98" s="41"/>
      <c r="T98" s="41"/>
      <c r="U98" s="41"/>
      <c r="V98" s="41"/>
      <c r="W98" s="41"/>
      <c r="X98" s="63" t="s">
        <v>364</v>
      </c>
      <c r="Y98" s="41"/>
      <c r="Z98" s="41" t="s">
        <v>3654</v>
      </c>
      <c r="AA98" s="41"/>
      <c r="AB98" s="41" t="s">
        <v>3653</v>
      </c>
      <c r="AC98" s="41"/>
      <c r="AD98" s="47"/>
      <c r="AE98" s="7"/>
      <c r="AF98" s="7"/>
      <c r="AG98" s="28"/>
    </row>
    <row r="99" spans="1:33" ht="20.100000000000001" customHeight="1" x14ac:dyDescent="0.25">
      <c r="A99" s="38">
        <v>4</v>
      </c>
      <c r="B99" s="38"/>
      <c r="C99" s="39" t="str">
        <f t="shared" si="16"/>
        <v>S04-ELR1</v>
      </c>
      <c r="D99" s="39" t="str">
        <f t="shared" si="11"/>
        <v>Segment 04-ELR1</v>
      </c>
      <c r="E99" s="19"/>
      <c r="F99" s="19"/>
      <c r="G99" s="19"/>
      <c r="H99" s="40">
        <v>1</v>
      </c>
      <c r="I99" s="41"/>
      <c r="J99" s="41">
        <v>12</v>
      </c>
      <c r="K99" s="41">
        <v>12</v>
      </c>
      <c r="L99" s="32"/>
      <c r="M99" s="42"/>
      <c r="N99" s="41"/>
      <c r="O99" s="41"/>
      <c r="P99" s="43">
        <v>252.09200000000001</v>
      </c>
      <c r="Q99" s="43">
        <v>335.2</v>
      </c>
      <c r="R99" s="41"/>
      <c r="S99" s="41"/>
      <c r="T99" s="41"/>
      <c r="U99" s="41"/>
      <c r="V99" s="41"/>
      <c r="W99" s="41"/>
      <c r="X99" s="63" t="s">
        <v>364</v>
      </c>
      <c r="Y99" s="41"/>
      <c r="Z99" s="41" t="s">
        <v>3653</v>
      </c>
      <c r="AA99" s="41"/>
      <c r="AB99" s="41" t="s">
        <v>3649</v>
      </c>
      <c r="AC99" s="41"/>
      <c r="AD99" s="47"/>
      <c r="AE99" s="7"/>
      <c r="AF99" s="7"/>
      <c r="AG99" s="28"/>
    </row>
    <row r="100" spans="1:33" ht="20.100000000000001" customHeight="1" x14ac:dyDescent="0.25">
      <c r="A100" s="38">
        <v>1</v>
      </c>
      <c r="B100" s="38"/>
      <c r="C100" s="39" t="str">
        <f t="shared" si="16"/>
        <v>S01-GZ0</v>
      </c>
      <c r="D100" s="39" t="str">
        <f t="shared" si="11"/>
        <v>Segment 01-GZ0</v>
      </c>
      <c r="E100" s="19"/>
      <c r="F100" s="19"/>
      <c r="G100" s="19"/>
      <c r="H100" s="40">
        <v>8</v>
      </c>
      <c r="I100" s="41"/>
      <c r="J100" s="41">
        <v>11</v>
      </c>
      <c r="K100" s="41">
        <v>11</v>
      </c>
      <c r="L100" s="32"/>
      <c r="M100" s="42"/>
      <c r="N100" s="41"/>
      <c r="O100" s="41"/>
      <c r="P100" s="43">
        <v>0</v>
      </c>
      <c r="Q100" s="43">
        <v>114.15900000000001</v>
      </c>
      <c r="R100" s="41"/>
      <c r="S100" s="41"/>
      <c r="T100" s="41"/>
      <c r="U100" s="41"/>
      <c r="V100" s="41"/>
      <c r="W100" s="41"/>
      <c r="X100" s="41" t="s">
        <v>367</v>
      </c>
      <c r="Y100" s="41"/>
      <c r="Z100" s="41" t="s">
        <v>3649</v>
      </c>
      <c r="AA100" s="41"/>
      <c r="AB100" s="41" t="s">
        <v>170</v>
      </c>
      <c r="AC100" s="41"/>
      <c r="AD100" s="47">
        <v>16</v>
      </c>
      <c r="AE100" s="7" t="s">
        <v>630</v>
      </c>
      <c r="AF100" s="7"/>
      <c r="AG100" s="28" t="str">
        <f t="shared" si="9"/>
        <v>(1*''**''*''*0*114,159******)*</v>
      </c>
    </row>
    <row r="101" spans="1:33" ht="20.100000000000001" customHeight="1" x14ac:dyDescent="0.25">
      <c r="A101" s="38">
        <v>2</v>
      </c>
      <c r="B101" s="38"/>
      <c r="C101" s="39" t="str">
        <f t="shared" si="16"/>
        <v>S02-GZ0</v>
      </c>
      <c r="D101" s="39" t="str">
        <f t="shared" si="11"/>
        <v>Segment 02-GZ0</v>
      </c>
      <c r="E101" s="19"/>
      <c r="F101" s="19"/>
      <c r="G101" s="19"/>
      <c r="H101" s="40">
        <v>8</v>
      </c>
      <c r="I101" s="41"/>
      <c r="J101" s="41">
        <v>11</v>
      </c>
      <c r="K101" s="41">
        <v>11</v>
      </c>
      <c r="L101" s="32"/>
      <c r="M101" s="42"/>
      <c r="N101" s="41"/>
      <c r="O101" s="41"/>
      <c r="P101" s="43">
        <v>114.15900000000001</v>
      </c>
      <c r="Q101" s="43">
        <v>226.49700000000001</v>
      </c>
      <c r="R101" s="41"/>
      <c r="S101" s="41"/>
      <c r="T101" s="41"/>
      <c r="U101" s="41"/>
      <c r="V101" s="41"/>
      <c r="W101" s="41"/>
      <c r="X101" s="41" t="s">
        <v>367</v>
      </c>
      <c r="Y101" s="41"/>
      <c r="Z101" s="41" t="s">
        <v>170</v>
      </c>
      <c r="AA101" s="41"/>
      <c r="AB101" s="41" t="s">
        <v>172</v>
      </c>
      <c r="AC101" s="41"/>
      <c r="AD101" s="47"/>
      <c r="AE101" s="7"/>
      <c r="AF101" s="7"/>
      <c r="AG101" s="28"/>
    </row>
    <row r="102" spans="1:33" ht="20.100000000000001" customHeight="1" x14ac:dyDescent="0.25">
      <c r="A102" s="38">
        <v>3</v>
      </c>
      <c r="B102" s="38"/>
      <c r="C102" s="39" t="str">
        <f t="shared" si="16"/>
        <v>S03-GZ0</v>
      </c>
      <c r="D102" s="39" t="str">
        <f t="shared" si="11"/>
        <v>Segment 03-GZ0</v>
      </c>
      <c r="E102" s="19"/>
      <c r="F102" s="19"/>
      <c r="G102" s="19"/>
      <c r="H102" s="40">
        <v>8</v>
      </c>
      <c r="I102" s="41"/>
      <c r="J102" s="41">
        <v>11</v>
      </c>
      <c r="K102" s="41">
        <v>11</v>
      </c>
      <c r="L102" s="32"/>
      <c r="M102" s="42"/>
      <c r="N102" s="41"/>
      <c r="O102" s="41"/>
      <c r="P102" s="43">
        <v>226.49700000000001</v>
      </c>
      <c r="Q102" s="43">
        <v>333.91899999999998</v>
      </c>
      <c r="R102" s="41"/>
      <c r="S102" s="41"/>
      <c r="T102" s="41"/>
      <c r="U102" s="41"/>
      <c r="V102" s="41"/>
      <c r="W102" s="41"/>
      <c r="X102" s="41" t="s">
        <v>367</v>
      </c>
      <c r="Y102" s="41"/>
      <c r="Z102" s="41" t="s">
        <v>172</v>
      </c>
      <c r="AA102" s="41"/>
      <c r="AB102" s="41" t="s">
        <v>174</v>
      </c>
      <c r="AC102" s="41"/>
      <c r="AD102" s="47"/>
      <c r="AE102" s="7"/>
      <c r="AF102" s="7"/>
      <c r="AG102" s="28"/>
    </row>
    <row r="103" spans="1:33" ht="20.100000000000001" customHeight="1" x14ac:dyDescent="0.25">
      <c r="A103" s="38">
        <v>4</v>
      </c>
      <c r="B103" s="38"/>
      <c r="C103" s="39" t="str">
        <f t="shared" si="16"/>
        <v>S04-GZ0</v>
      </c>
      <c r="D103" s="39" t="str">
        <f t="shared" si="11"/>
        <v>Segment 04-GZ0</v>
      </c>
      <c r="E103" s="19"/>
      <c r="F103" s="19"/>
      <c r="G103" s="19"/>
      <c r="H103" s="40">
        <v>8</v>
      </c>
      <c r="I103" s="41"/>
      <c r="J103" s="41">
        <v>11</v>
      </c>
      <c r="K103" s="41">
        <v>11</v>
      </c>
      <c r="L103" s="32"/>
      <c r="M103" s="42"/>
      <c r="N103" s="41"/>
      <c r="O103" s="41"/>
      <c r="P103" s="43">
        <v>333.91899999999998</v>
      </c>
      <c r="Q103" s="43">
        <v>421.30700000000002</v>
      </c>
      <c r="R103" s="41"/>
      <c r="S103" s="41"/>
      <c r="T103" s="41"/>
      <c r="U103" s="41"/>
      <c r="V103" s="41"/>
      <c r="W103" s="41"/>
      <c r="X103" s="41" t="s">
        <v>367</v>
      </c>
      <c r="Y103" s="41"/>
      <c r="Z103" s="41" t="s">
        <v>174</v>
      </c>
      <c r="AA103" s="41"/>
      <c r="AB103" s="41" t="s">
        <v>176</v>
      </c>
      <c r="AC103" s="41"/>
      <c r="AD103" s="47"/>
      <c r="AE103" s="7"/>
      <c r="AF103" s="7"/>
      <c r="AG103" s="28"/>
    </row>
    <row r="104" spans="1:33" ht="20.100000000000001" customHeight="1" x14ac:dyDescent="0.25">
      <c r="A104" s="38">
        <v>5</v>
      </c>
      <c r="B104" s="38"/>
      <c r="C104" s="39" t="str">
        <f t="shared" si="16"/>
        <v>S05-GZ0</v>
      </c>
      <c r="D104" s="39" t="str">
        <f t="shared" si="11"/>
        <v>Segment 05-GZ0</v>
      </c>
      <c r="E104" s="19"/>
      <c r="F104" s="19"/>
      <c r="G104" s="19"/>
      <c r="H104" s="40">
        <v>8</v>
      </c>
      <c r="I104" s="41"/>
      <c r="J104" s="41">
        <v>11</v>
      </c>
      <c r="K104" s="41">
        <v>11</v>
      </c>
      <c r="L104" s="32"/>
      <c r="M104" s="42"/>
      <c r="N104" s="41"/>
      <c r="O104" s="41"/>
      <c r="P104" s="43">
        <v>421.30700000000002</v>
      </c>
      <c r="Q104" s="43">
        <v>509</v>
      </c>
      <c r="R104" s="41"/>
      <c r="S104" s="41"/>
      <c r="T104" s="41"/>
      <c r="U104" s="41"/>
      <c r="V104" s="41"/>
      <c r="W104" s="41"/>
      <c r="X104" s="41" t="s">
        <v>367</v>
      </c>
      <c r="Y104" s="41"/>
      <c r="Z104" s="41" t="s">
        <v>176</v>
      </c>
      <c r="AA104" s="41"/>
      <c r="AB104" s="41" t="s">
        <v>3658</v>
      </c>
      <c r="AC104" s="41"/>
      <c r="AD104" s="47"/>
      <c r="AE104" s="7"/>
      <c r="AF104" s="7"/>
      <c r="AG104" s="28"/>
    </row>
    <row r="105" spans="1:33" ht="20.100000000000001" customHeight="1" x14ac:dyDescent="0.25">
      <c r="A105" s="38"/>
      <c r="B105" s="38"/>
      <c r="C105" s="39" t="s">
        <v>369</v>
      </c>
      <c r="D105" s="39"/>
      <c r="E105" s="19"/>
      <c r="F105" s="19"/>
      <c r="G105" s="19"/>
      <c r="H105" s="40"/>
      <c r="I105" s="41"/>
      <c r="J105" s="41"/>
      <c r="K105" s="41"/>
      <c r="L105" s="32"/>
      <c r="M105" s="42"/>
      <c r="N105" s="41"/>
      <c r="O105" s="41"/>
      <c r="P105" s="43"/>
      <c r="Q105" s="43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7">
        <v>16</v>
      </c>
      <c r="AE105" s="7"/>
      <c r="AF105" s="7"/>
      <c r="AG105" s="28" t="str">
        <f t="shared" si="9"/>
        <v>(*''**''*''********)*</v>
      </c>
    </row>
    <row r="106" spans="1:33" ht="20.100000000000001" customHeight="1" x14ac:dyDescent="0.25">
      <c r="A106" s="38">
        <v>1</v>
      </c>
      <c r="B106" s="38"/>
      <c r="C106" s="39" t="str">
        <f t="shared" si="16"/>
        <v>S01-GZ1</v>
      </c>
      <c r="D106" s="39" t="str">
        <f t="shared" si="11"/>
        <v>Segment 01-GZ1</v>
      </c>
      <c r="E106" s="19"/>
      <c r="F106" s="19"/>
      <c r="G106" s="19"/>
      <c r="H106" s="40">
        <v>8</v>
      </c>
      <c r="I106" s="41"/>
      <c r="J106" s="41">
        <v>11</v>
      </c>
      <c r="K106" s="41">
        <v>11</v>
      </c>
      <c r="L106" s="32"/>
      <c r="M106" s="42"/>
      <c r="N106" s="41"/>
      <c r="O106" s="41"/>
      <c r="P106" s="43">
        <v>0</v>
      </c>
      <c r="Q106" s="43">
        <v>74.867000000000004</v>
      </c>
      <c r="R106" s="41"/>
      <c r="S106" s="41"/>
      <c r="T106" s="41"/>
      <c r="U106" s="41"/>
      <c r="V106" s="41"/>
      <c r="W106" s="41"/>
      <c r="X106" s="41" t="s">
        <v>372</v>
      </c>
      <c r="Y106" s="41"/>
      <c r="Z106" s="41" t="s">
        <v>3649</v>
      </c>
      <c r="AA106" s="41"/>
      <c r="AB106" s="41" t="s">
        <v>178</v>
      </c>
      <c r="AC106" s="41"/>
      <c r="AD106" s="47">
        <v>16</v>
      </c>
      <c r="AE106" s="7" t="s">
        <v>634</v>
      </c>
      <c r="AF106" s="7"/>
      <c r="AG106" s="28" t="str">
        <f t="shared" si="9"/>
        <v>(1*''**''*''*0*74,867******)*</v>
      </c>
    </row>
    <row r="107" spans="1:33" ht="20.100000000000001" customHeight="1" x14ac:dyDescent="0.25">
      <c r="A107" s="38">
        <v>2</v>
      </c>
      <c r="B107" s="38"/>
      <c r="C107" s="39" t="str">
        <f t="shared" si="16"/>
        <v>S02-GZ1</v>
      </c>
      <c r="D107" s="39" t="str">
        <f t="shared" si="11"/>
        <v>Segment 02-GZ1</v>
      </c>
      <c r="E107" s="19"/>
      <c r="F107" s="19"/>
      <c r="G107" s="19"/>
      <c r="H107" s="40">
        <v>8</v>
      </c>
      <c r="I107" s="41"/>
      <c r="J107" s="41">
        <v>11</v>
      </c>
      <c r="K107" s="41">
        <v>11</v>
      </c>
      <c r="L107" s="32"/>
      <c r="M107" s="42"/>
      <c r="N107" s="41"/>
      <c r="O107" s="41"/>
      <c r="P107" s="43">
        <v>74.867000000000004</v>
      </c>
      <c r="Q107" s="43">
        <v>144.71799999999999</v>
      </c>
      <c r="R107" s="41"/>
      <c r="S107" s="41"/>
      <c r="T107" s="41"/>
      <c r="U107" s="41"/>
      <c r="V107" s="41"/>
      <c r="W107" s="41"/>
      <c r="X107" s="41" t="s">
        <v>372</v>
      </c>
      <c r="Y107" s="41"/>
      <c r="Z107" s="41" t="s">
        <v>178</v>
      </c>
      <c r="AA107" s="41"/>
      <c r="AB107" s="41" t="s">
        <v>184</v>
      </c>
      <c r="AC107" s="41"/>
      <c r="AD107" s="47"/>
      <c r="AE107" s="7"/>
      <c r="AF107" s="7"/>
      <c r="AG107" s="28"/>
    </row>
    <row r="108" spans="1:33" ht="20.100000000000001" customHeight="1" x14ac:dyDescent="0.25">
      <c r="A108" s="38">
        <v>3</v>
      </c>
      <c r="B108" s="38"/>
      <c r="C108" s="39" t="str">
        <f t="shared" si="16"/>
        <v>S03-GZ1</v>
      </c>
      <c r="D108" s="39" t="str">
        <f t="shared" si="11"/>
        <v>Segment 03-GZ1</v>
      </c>
      <c r="E108" s="19"/>
      <c r="F108" s="19"/>
      <c r="G108" s="19"/>
      <c r="H108" s="40">
        <v>8</v>
      </c>
      <c r="I108" s="41"/>
      <c r="J108" s="41">
        <v>11</v>
      </c>
      <c r="K108" s="41">
        <v>11</v>
      </c>
      <c r="L108" s="32"/>
      <c r="M108" s="42"/>
      <c r="N108" s="41"/>
      <c r="O108" s="41"/>
      <c r="P108" s="43">
        <v>144.71799999999999</v>
      </c>
      <c r="Q108" s="43">
        <v>226.64400000000001</v>
      </c>
      <c r="R108" s="41"/>
      <c r="S108" s="41"/>
      <c r="T108" s="41"/>
      <c r="U108" s="41"/>
      <c r="V108" s="41"/>
      <c r="W108" s="41"/>
      <c r="X108" s="41" t="s">
        <v>372</v>
      </c>
      <c r="Y108" s="41"/>
      <c r="Z108" s="41" t="s">
        <v>184</v>
      </c>
      <c r="AA108" s="41"/>
      <c r="AB108" s="41" t="s">
        <v>190</v>
      </c>
      <c r="AC108" s="41"/>
      <c r="AD108" s="47"/>
      <c r="AE108" s="7"/>
      <c r="AF108" s="7"/>
      <c r="AG108" s="28"/>
    </row>
    <row r="109" spans="1:33" ht="20.100000000000001" customHeight="1" x14ac:dyDescent="0.25">
      <c r="A109" s="38">
        <v>4</v>
      </c>
      <c r="B109" s="38"/>
      <c r="C109" s="39" t="str">
        <f t="shared" si="16"/>
        <v>S04-GZ1</v>
      </c>
      <c r="D109" s="39" t="str">
        <f t="shared" si="11"/>
        <v>Segment 04-GZ1</v>
      </c>
      <c r="E109" s="19"/>
      <c r="F109" s="19"/>
      <c r="G109" s="19"/>
      <c r="H109" s="40">
        <v>1</v>
      </c>
      <c r="I109" s="41"/>
      <c r="J109" s="41">
        <v>11</v>
      </c>
      <c r="K109" s="41">
        <v>11</v>
      </c>
      <c r="L109" s="32"/>
      <c r="M109" s="42"/>
      <c r="N109" s="41"/>
      <c r="O109" s="41"/>
      <c r="P109" s="43">
        <v>226.64400000000001</v>
      </c>
      <c r="Q109" s="43">
        <v>295.44</v>
      </c>
      <c r="R109" s="41"/>
      <c r="S109" s="41"/>
      <c r="T109" s="41"/>
      <c r="U109" s="41"/>
      <c r="V109" s="41"/>
      <c r="W109" s="41"/>
      <c r="X109" s="41" t="s">
        <v>372</v>
      </c>
      <c r="Y109" s="41"/>
      <c r="Z109" s="41" t="s">
        <v>190</v>
      </c>
      <c r="AA109" s="41"/>
      <c r="AB109" s="41" t="s">
        <v>196</v>
      </c>
      <c r="AC109" s="41"/>
      <c r="AD109" s="47"/>
      <c r="AE109" s="7"/>
      <c r="AF109" s="7"/>
      <c r="AG109" s="28"/>
    </row>
    <row r="110" spans="1:33" ht="20.100000000000001" customHeight="1" x14ac:dyDescent="0.25">
      <c r="A110" s="38">
        <v>5</v>
      </c>
      <c r="B110" s="38"/>
      <c r="C110" s="39" t="str">
        <f t="shared" si="16"/>
        <v>S05-GZ1</v>
      </c>
      <c r="D110" s="39" t="str">
        <f t="shared" si="11"/>
        <v>Segment 05-GZ1</v>
      </c>
      <c r="E110" s="19"/>
      <c r="F110" s="19"/>
      <c r="G110" s="19"/>
      <c r="H110" s="40">
        <v>1</v>
      </c>
      <c r="I110" s="41"/>
      <c r="J110" s="41">
        <v>11</v>
      </c>
      <c r="K110" s="41">
        <v>11</v>
      </c>
      <c r="L110" s="32"/>
      <c r="M110" s="42"/>
      <c r="N110" s="41"/>
      <c r="O110" s="41"/>
      <c r="P110" s="43">
        <v>295.44</v>
      </c>
      <c r="Q110" s="43">
        <v>397.76499999999999</v>
      </c>
      <c r="R110" s="41"/>
      <c r="S110" s="41"/>
      <c r="T110" s="41"/>
      <c r="U110" s="41"/>
      <c r="V110" s="41"/>
      <c r="W110" s="41"/>
      <c r="X110" s="41" t="s">
        <v>372</v>
      </c>
      <c r="Y110" s="41"/>
      <c r="Z110" s="41" t="s">
        <v>196</v>
      </c>
      <c r="AA110" s="41"/>
      <c r="AB110" s="41" t="s">
        <v>202</v>
      </c>
      <c r="AC110" s="41"/>
      <c r="AD110" s="47"/>
      <c r="AE110" s="7"/>
      <c r="AF110" s="7"/>
      <c r="AG110" s="28"/>
    </row>
    <row r="111" spans="1:33" ht="20.100000000000001" customHeight="1" x14ac:dyDescent="0.25">
      <c r="A111" s="38">
        <v>6</v>
      </c>
      <c r="B111" s="38"/>
      <c r="C111" s="39" t="str">
        <f t="shared" si="16"/>
        <v>S06-GZ1</v>
      </c>
      <c r="D111" s="39" t="str">
        <f t="shared" si="11"/>
        <v>Segment 06-GZ1</v>
      </c>
      <c r="E111" s="19"/>
      <c r="F111" s="19"/>
      <c r="G111" s="19"/>
      <c r="H111" s="40">
        <v>1</v>
      </c>
      <c r="I111" s="41"/>
      <c r="J111" s="41">
        <v>11</v>
      </c>
      <c r="K111" s="41">
        <v>11</v>
      </c>
      <c r="L111" s="32"/>
      <c r="M111" s="42"/>
      <c r="N111" s="41"/>
      <c r="O111" s="41"/>
      <c r="P111" s="43">
        <v>397.76499999999999</v>
      </c>
      <c r="Q111" s="43">
        <v>507</v>
      </c>
      <c r="R111" s="41"/>
      <c r="S111" s="41"/>
      <c r="T111" s="41"/>
      <c r="U111" s="41"/>
      <c r="V111" s="41"/>
      <c r="W111" s="41"/>
      <c r="X111" s="41" t="s">
        <v>372</v>
      </c>
      <c r="Y111" s="41"/>
      <c r="Z111" s="41" t="s">
        <v>202</v>
      </c>
      <c r="AA111" s="41"/>
      <c r="AB111" s="41" t="s">
        <v>3628</v>
      </c>
      <c r="AC111" s="41"/>
      <c r="AD111" s="47"/>
      <c r="AE111" s="7"/>
      <c r="AF111" s="7"/>
      <c r="AG111" s="28"/>
    </row>
    <row r="112" spans="1:33" ht="20.100000000000001" customHeight="1" x14ac:dyDescent="0.25">
      <c r="A112" s="38">
        <v>1</v>
      </c>
      <c r="B112" s="38"/>
      <c r="C112" s="39" t="str">
        <f t="shared" si="16"/>
        <v>S01-RGZ1</v>
      </c>
      <c r="D112" s="39" t="str">
        <f t="shared" si="11"/>
        <v>Segment 01-RGZ1</v>
      </c>
      <c r="E112" s="19"/>
      <c r="F112" s="19"/>
      <c r="G112" s="19"/>
      <c r="H112" s="40">
        <v>1</v>
      </c>
      <c r="I112" s="41"/>
      <c r="J112" s="41">
        <v>11</v>
      </c>
      <c r="K112" s="41">
        <v>11</v>
      </c>
      <c r="L112" s="32"/>
      <c r="M112" s="42"/>
      <c r="N112" s="41"/>
      <c r="O112" s="41"/>
      <c r="P112" s="43">
        <v>0</v>
      </c>
      <c r="Q112" s="43">
        <v>74.867000000000004</v>
      </c>
      <c r="R112" s="41"/>
      <c r="S112" s="41"/>
      <c r="T112" s="41"/>
      <c r="U112" s="41"/>
      <c r="V112" s="41"/>
      <c r="W112" s="41"/>
      <c r="X112" s="41" t="s">
        <v>999</v>
      </c>
      <c r="Y112" s="41"/>
      <c r="Z112" s="41" t="s">
        <v>3649</v>
      </c>
      <c r="AA112" s="41"/>
      <c r="AB112" s="41" t="s">
        <v>178</v>
      </c>
      <c r="AC112" s="41"/>
      <c r="AD112" s="47"/>
      <c r="AE112" s="7"/>
      <c r="AF112" s="7"/>
      <c r="AG112" s="28"/>
    </row>
    <row r="113" spans="1:33" ht="20.100000000000001" customHeight="1" x14ac:dyDescent="0.25">
      <c r="A113" s="38">
        <v>2</v>
      </c>
      <c r="B113" s="38"/>
      <c r="C113" s="39" t="str">
        <f t="shared" si="16"/>
        <v>S02-RGZ1</v>
      </c>
      <c r="D113" s="39" t="str">
        <f t="shared" si="11"/>
        <v>Segment 02-RGZ1</v>
      </c>
      <c r="E113" s="19"/>
      <c r="F113" s="19"/>
      <c r="G113" s="19"/>
      <c r="H113" s="40">
        <v>1</v>
      </c>
      <c r="I113" s="41"/>
      <c r="J113" s="41">
        <v>11</v>
      </c>
      <c r="K113" s="41">
        <v>11</v>
      </c>
      <c r="L113" s="32"/>
      <c r="M113" s="42"/>
      <c r="N113" s="41"/>
      <c r="O113" s="41"/>
      <c r="P113" s="43">
        <v>74.867000000000004</v>
      </c>
      <c r="Q113" s="43">
        <v>144.71799999999999</v>
      </c>
      <c r="R113" s="41"/>
      <c r="S113" s="41"/>
      <c r="T113" s="41"/>
      <c r="U113" s="41"/>
      <c r="V113" s="41"/>
      <c r="W113" s="41"/>
      <c r="X113" s="41" t="s">
        <v>999</v>
      </c>
      <c r="Y113" s="41"/>
      <c r="Z113" s="41" t="s">
        <v>178</v>
      </c>
      <c r="AA113" s="41"/>
      <c r="AB113" s="41" t="s">
        <v>184</v>
      </c>
      <c r="AC113" s="41"/>
      <c r="AD113" s="47"/>
      <c r="AE113" s="7"/>
      <c r="AF113" s="7"/>
      <c r="AG113" s="28"/>
    </row>
    <row r="114" spans="1:33" ht="20.100000000000001" customHeight="1" x14ac:dyDescent="0.25">
      <c r="A114" s="38">
        <v>3</v>
      </c>
      <c r="B114" s="38"/>
      <c r="C114" s="39" t="str">
        <f t="shared" si="16"/>
        <v>S03-RGZ1</v>
      </c>
      <c r="D114" s="39" t="str">
        <f t="shared" si="11"/>
        <v>Segment 03-RGZ1</v>
      </c>
      <c r="E114" s="19"/>
      <c r="F114" s="19"/>
      <c r="G114" s="19"/>
      <c r="H114" s="40">
        <v>1</v>
      </c>
      <c r="I114" s="41"/>
      <c r="J114" s="41">
        <v>11</v>
      </c>
      <c r="K114" s="41">
        <v>11</v>
      </c>
      <c r="L114" s="32"/>
      <c r="M114" s="42"/>
      <c r="N114" s="41"/>
      <c r="O114" s="41"/>
      <c r="P114" s="43">
        <v>144.71799999999999</v>
      </c>
      <c r="Q114" s="43">
        <v>226.64400000000001</v>
      </c>
      <c r="R114" s="41"/>
      <c r="S114" s="41"/>
      <c r="T114" s="41"/>
      <c r="U114" s="41"/>
      <c r="V114" s="41"/>
      <c r="W114" s="41"/>
      <c r="X114" s="41" t="s">
        <v>999</v>
      </c>
      <c r="Y114" s="41"/>
      <c r="Z114" s="41" t="s">
        <v>184</v>
      </c>
      <c r="AA114" s="41"/>
      <c r="AB114" s="41" t="s">
        <v>190</v>
      </c>
      <c r="AC114" s="41"/>
      <c r="AD114" s="47"/>
      <c r="AE114" s="7"/>
      <c r="AF114" s="7"/>
      <c r="AG114" s="28"/>
    </row>
    <row r="115" spans="1:33" ht="20.100000000000001" customHeight="1" x14ac:dyDescent="0.25">
      <c r="A115" s="38">
        <v>1</v>
      </c>
      <c r="B115" s="38"/>
      <c r="C115" s="39" t="str">
        <f t="shared" si="16"/>
        <v>S01-GZ2</v>
      </c>
      <c r="D115" s="39" t="str">
        <f t="shared" si="11"/>
        <v>Segment 01-GZ2</v>
      </c>
      <c r="E115" s="19"/>
      <c r="F115" s="19"/>
      <c r="G115" s="19"/>
      <c r="H115" s="40">
        <v>1</v>
      </c>
      <c r="I115" s="41"/>
      <c r="J115" s="41">
        <v>11</v>
      </c>
      <c r="K115" s="41">
        <v>11</v>
      </c>
      <c r="L115" s="32"/>
      <c r="M115" s="42"/>
      <c r="N115" s="41"/>
      <c r="O115" s="41"/>
      <c r="P115" s="43">
        <v>0</v>
      </c>
      <c r="Q115" s="43">
        <v>74.867000000000004</v>
      </c>
      <c r="R115" s="41"/>
      <c r="S115" s="41"/>
      <c r="T115" s="41"/>
      <c r="U115" s="41"/>
      <c r="V115" s="41"/>
      <c r="W115" s="41"/>
      <c r="X115" s="41" t="s">
        <v>375</v>
      </c>
      <c r="Y115" s="41"/>
      <c r="Z115" s="41" t="s">
        <v>3649</v>
      </c>
      <c r="AA115" s="41"/>
      <c r="AB115" s="41" t="s">
        <v>180</v>
      </c>
      <c r="AC115" s="41"/>
      <c r="AD115" s="47">
        <v>16</v>
      </c>
      <c r="AE115" s="7" t="s">
        <v>635</v>
      </c>
      <c r="AF115" s="7"/>
      <c r="AG115" s="28" t="str">
        <f t="shared" si="9"/>
        <v>(1*''**''*''*0*74,867******)*</v>
      </c>
    </row>
    <row r="116" spans="1:33" ht="20.100000000000001" customHeight="1" x14ac:dyDescent="0.25">
      <c r="A116" s="38">
        <v>2</v>
      </c>
      <c r="B116" s="38"/>
      <c r="C116" s="39" t="str">
        <f t="shared" si="16"/>
        <v>S02-GZ2</v>
      </c>
      <c r="D116" s="39" t="str">
        <f t="shared" si="11"/>
        <v>Segment 02-GZ2</v>
      </c>
      <c r="E116" s="19"/>
      <c r="F116" s="19"/>
      <c r="G116" s="19"/>
      <c r="H116" s="40">
        <v>1</v>
      </c>
      <c r="I116" s="41"/>
      <c r="J116" s="41">
        <v>11</v>
      </c>
      <c r="K116" s="41">
        <v>11</v>
      </c>
      <c r="L116" s="32"/>
      <c r="M116" s="42"/>
      <c r="N116" s="41"/>
      <c r="O116" s="41"/>
      <c r="P116" s="43">
        <v>74.867000000000004</v>
      </c>
      <c r="Q116" s="43">
        <v>144.68899999999999</v>
      </c>
      <c r="R116" s="41"/>
      <c r="S116" s="41"/>
      <c r="T116" s="41"/>
      <c r="U116" s="41"/>
      <c r="V116" s="41"/>
      <c r="W116" s="41"/>
      <c r="X116" s="41" t="s">
        <v>375</v>
      </c>
      <c r="Y116" s="41"/>
      <c r="Z116" s="41" t="s">
        <v>180</v>
      </c>
      <c r="AA116" s="41"/>
      <c r="AB116" s="41" t="s">
        <v>186</v>
      </c>
      <c r="AC116" s="41"/>
      <c r="AD116" s="47"/>
      <c r="AE116" s="7"/>
      <c r="AF116" s="7"/>
      <c r="AG116" s="28"/>
    </row>
    <row r="117" spans="1:33" ht="20.100000000000001" customHeight="1" x14ac:dyDescent="0.25">
      <c r="A117" s="38">
        <v>3</v>
      </c>
      <c r="B117" s="38"/>
      <c r="C117" s="39" t="str">
        <f t="shared" si="16"/>
        <v>S03-GZ2</v>
      </c>
      <c r="D117" s="39" t="str">
        <f t="shared" si="11"/>
        <v>Segment 03-GZ2</v>
      </c>
      <c r="E117" s="19"/>
      <c r="F117" s="19"/>
      <c r="G117" s="19"/>
      <c r="H117" s="40">
        <v>1</v>
      </c>
      <c r="I117" s="41"/>
      <c r="J117" s="41">
        <v>11</v>
      </c>
      <c r="K117" s="41">
        <v>11</v>
      </c>
      <c r="L117" s="32"/>
      <c r="M117" s="42"/>
      <c r="N117" s="41"/>
      <c r="O117" s="41"/>
      <c r="P117" s="43">
        <v>144.68899999999999</v>
      </c>
      <c r="Q117" s="43">
        <v>226.06399999999999</v>
      </c>
      <c r="R117" s="41"/>
      <c r="S117" s="41"/>
      <c r="T117" s="41"/>
      <c r="U117" s="41"/>
      <c r="V117" s="41"/>
      <c r="W117" s="41"/>
      <c r="X117" s="41" t="s">
        <v>375</v>
      </c>
      <c r="Y117" s="41"/>
      <c r="Z117" s="41" t="s">
        <v>186</v>
      </c>
      <c r="AA117" s="41"/>
      <c r="AB117" s="41" t="s">
        <v>192</v>
      </c>
      <c r="AC117" s="41"/>
      <c r="AD117" s="47"/>
      <c r="AE117" s="7"/>
      <c r="AF117" s="7"/>
      <c r="AG117" s="28"/>
    </row>
    <row r="118" spans="1:33" ht="20.100000000000001" customHeight="1" x14ac:dyDescent="0.25">
      <c r="A118" s="38">
        <v>4</v>
      </c>
      <c r="B118" s="38"/>
      <c r="C118" s="39" t="str">
        <f t="shared" si="16"/>
        <v>S04-GZ2</v>
      </c>
      <c r="D118" s="39" t="str">
        <f t="shared" si="11"/>
        <v>Segment 04-GZ2</v>
      </c>
      <c r="E118" s="19"/>
      <c r="F118" s="19"/>
      <c r="G118" s="19"/>
      <c r="H118" s="40">
        <v>1</v>
      </c>
      <c r="I118" s="41"/>
      <c r="J118" s="41">
        <v>11</v>
      </c>
      <c r="K118" s="41">
        <v>11</v>
      </c>
      <c r="L118" s="32"/>
      <c r="M118" s="42"/>
      <c r="N118" s="41"/>
      <c r="O118" s="41"/>
      <c r="P118" s="43">
        <v>226.06399999999999</v>
      </c>
      <c r="Q118" s="43">
        <v>295.86200000000002</v>
      </c>
      <c r="R118" s="41"/>
      <c r="S118" s="41"/>
      <c r="T118" s="41"/>
      <c r="U118" s="41"/>
      <c r="V118" s="41"/>
      <c r="W118" s="41"/>
      <c r="X118" s="41" t="s">
        <v>375</v>
      </c>
      <c r="Y118" s="41"/>
      <c r="Z118" s="41" t="s">
        <v>192</v>
      </c>
      <c r="AA118" s="41"/>
      <c r="AB118" s="41" t="s">
        <v>198</v>
      </c>
      <c r="AC118" s="41"/>
      <c r="AD118" s="47"/>
      <c r="AE118" s="7"/>
      <c r="AF118" s="7"/>
      <c r="AG118" s="28"/>
    </row>
    <row r="119" spans="1:33" ht="20.100000000000001" customHeight="1" x14ac:dyDescent="0.25">
      <c r="A119" s="38">
        <v>5</v>
      </c>
      <c r="B119" s="38"/>
      <c r="C119" s="39" t="str">
        <f t="shared" si="16"/>
        <v>S05-GZ2</v>
      </c>
      <c r="D119" s="39" t="str">
        <f t="shared" ref="D119:D182" si="17">CONCATENATE("Segment 0",A119,"-",X119)</f>
        <v>Segment 05-GZ2</v>
      </c>
      <c r="E119" s="19"/>
      <c r="F119" s="19"/>
      <c r="G119" s="19"/>
      <c r="H119" s="40">
        <v>1</v>
      </c>
      <c r="I119" s="41"/>
      <c r="J119" s="41">
        <v>11</v>
      </c>
      <c r="K119" s="41">
        <v>11</v>
      </c>
      <c r="L119" s="32"/>
      <c r="M119" s="42"/>
      <c r="N119" s="41"/>
      <c r="O119" s="41"/>
      <c r="P119" s="43">
        <v>295.86200000000002</v>
      </c>
      <c r="Q119" s="43">
        <v>398.50599999999997</v>
      </c>
      <c r="R119" s="41"/>
      <c r="S119" s="41"/>
      <c r="T119" s="41"/>
      <c r="U119" s="41"/>
      <c r="V119" s="41"/>
      <c r="W119" s="41"/>
      <c r="X119" s="41" t="s">
        <v>375</v>
      </c>
      <c r="Y119" s="41"/>
      <c r="Z119" s="41" t="s">
        <v>198</v>
      </c>
      <c r="AA119" s="41"/>
      <c r="AB119" s="41" t="s">
        <v>204</v>
      </c>
      <c r="AC119" s="41"/>
      <c r="AD119" s="47"/>
      <c r="AE119" s="7"/>
      <c r="AF119" s="7"/>
      <c r="AG119" s="28"/>
    </row>
    <row r="120" spans="1:33" ht="20.100000000000001" customHeight="1" x14ac:dyDescent="0.25">
      <c r="A120" s="38">
        <v>6</v>
      </c>
      <c r="B120" s="38"/>
      <c r="C120" s="39" t="str">
        <f t="shared" si="16"/>
        <v>S06-GZ2</v>
      </c>
      <c r="D120" s="39" t="str">
        <f t="shared" si="17"/>
        <v>Segment 06-GZ2</v>
      </c>
      <c r="E120" s="19"/>
      <c r="F120" s="19"/>
      <c r="G120" s="19"/>
      <c r="H120" s="40">
        <v>1</v>
      </c>
      <c r="I120" s="41"/>
      <c r="J120" s="41">
        <v>11</v>
      </c>
      <c r="K120" s="41">
        <v>11</v>
      </c>
      <c r="L120" s="32"/>
      <c r="M120" s="42"/>
      <c r="N120" s="41"/>
      <c r="O120" s="41"/>
      <c r="P120" s="43">
        <v>398.50599999999997</v>
      </c>
      <c r="Q120" s="43">
        <v>511</v>
      </c>
      <c r="R120" s="41"/>
      <c r="S120" s="41"/>
      <c r="T120" s="41"/>
      <c r="U120" s="41"/>
      <c r="V120" s="41"/>
      <c r="W120" s="41"/>
      <c r="X120" s="41" t="s">
        <v>375</v>
      </c>
      <c r="Y120" s="41"/>
      <c r="Z120" s="41" t="s">
        <v>204</v>
      </c>
      <c r="AA120" s="41"/>
      <c r="AB120" s="41" t="s">
        <v>3641</v>
      </c>
      <c r="AC120" s="41"/>
      <c r="AD120" s="47"/>
      <c r="AE120" s="7"/>
      <c r="AF120" s="7"/>
      <c r="AG120" s="28"/>
    </row>
    <row r="121" spans="1:33" ht="20.100000000000001" customHeight="1" x14ac:dyDescent="0.25">
      <c r="A121" s="38">
        <v>1</v>
      </c>
      <c r="B121" s="38"/>
      <c r="C121" s="39" t="str">
        <f t="shared" si="16"/>
        <v>S01-RGZ2</v>
      </c>
      <c r="D121" s="39" t="str">
        <f t="shared" si="17"/>
        <v>Segment 01-RGZ2</v>
      </c>
      <c r="E121" s="19"/>
      <c r="F121" s="19"/>
      <c r="G121" s="19"/>
      <c r="H121" s="40">
        <v>1</v>
      </c>
      <c r="I121" s="41"/>
      <c r="J121" s="41">
        <v>11</v>
      </c>
      <c r="K121" s="41">
        <v>11</v>
      </c>
      <c r="L121" s="32"/>
      <c r="M121" s="42"/>
      <c r="N121" s="41"/>
      <c r="O121" s="41"/>
      <c r="P121" s="43">
        <v>0</v>
      </c>
      <c r="Q121" s="43">
        <v>104</v>
      </c>
      <c r="R121" s="41"/>
      <c r="S121" s="41"/>
      <c r="T121" s="41"/>
      <c r="U121" s="41"/>
      <c r="V121" s="41"/>
      <c r="W121" s="41"/>
      <c r="X121" s="41" t="s">
        <v>377</v>
      </c>
      <c r="Y121" s="41"/>
      <c r="Z121" s="41" t="s">
        <v>198</v>
      </c>
      <c r="AA121" s="41"/>
      <c r="AB121" s="41" t="s">
        <v>204</v>
      </c>
      <c r="AC121" s="41"/>
      <c r="AD121" s="47"/>
      <c r="AE121" s="7"/>
      <c r="AF121" s="7"/>
      <c r="AG121" s="28" t="str">
        <f t="shared" si="9"/>
        <v>(1*''**''*''*0*104******)*</v>
      </c>
    </row>
    <row r="122" spans="1:33" ht="20.100000000000001" customHeight="1" x14ac:dyDescent="0.25">
      <c r="A122" s="38">
        <v>2</v>
      </c>
      <c r="B122" s="38"/>
      <c r="C122" s="39" t="str">
        <f t="shared" si="16"/>
        <v>S02-RGZ2</v>
      </c>
      <c r="D122" s="39" t="str">
        <f t="shared" si="17"/>
        <v>Segment 02-RGZ2</v>
      </c>
      <c r="E122" s="19"/>
      <c r="F122" s="19"/>
      <c r="G122" s="19"/>
      <c r="H122" s="40">
        <v>1</v>
      </c>
      <c r="I122" s="41"/>
      <c r="J122" s="41">
        <v>11</v>
      </c>
      <c r="K122" s="41">
        <v>11</v>
      </c>
      <c r="L122" s="32"/>
      <c r="M122" s="42"/>
      <c r="N122" s="41"/>
      <c r="O122" s="41"/>
      <c r="P122" s="43">
        <v>104</v>
      </c>
      <c r="Q122" s="43">
        <v>221</v>
      </c>
      <c r="R122" s="41"/>
      <c r="S122" s="41"/>
      <c r="T122" s="41"/>
      <c r="U122" s="41"/>
      <c r="V122" s="41"/>
      <c r="W122" s="41"/>
      <c r="X122" s="41" t="s">
        <v>377</v>
      </c>
      <c r="Y122" s="41"/>
      <c r="Z122" s="41" t="s">
        <v>204</v>
      </c>
      <c r="AA122" s="41"/>
      <c r="AB122" s="41" t="s">
        <v>3641</v>
      </c>
      <c r="AC122" s="41"/>
      <c r="AD122" s="47"/>
      <c r="AE122" s="7"/>
      <c r="AF122" s="7"/>
      <c r="AG122" s="28"/>
    </row>
    <row r="123" spans="1:33" ht="20.100000000000001" customHeight="1" x14ac:dyDescent="0.25">
      <c r="A123" s="38">
        <v>1</v>
      </c>
      <c r="B123" s="38"/>
      <c r="C123" s="39" t="str">
        <f t="shared" si="16"/>
        <v>S01-GZ3</v>
      </c>
      <c r="D123" s="39" t="str">
        <f t="shared" si="17"/>
        <v>Segment 01-GZ3</v>
      </c>
      <c r="E123" s="19"/>
      <c r="F123" s="19"/>
      <c r="G123" s="19"/>
      <c r="H123" s="40">
        <v>1</v>
      </c>
      <c r="I123" s="41"/>
      <c r="J123" s="41">
        <v>11</v>
      </c>
      <c r="K123" s="41">
        <v>11</v>
      </c>
      <c r="L123" s="32"/>
      <c r="M123" s="42"/>
      <c r="N123" s="41"/>
      <c r="O123" s="41"/>
      <c r="P123" s="43">
        <v>0</v>
      </c>
      <c r="Q123" s="43">
        <v>75.007999999999996</v>
      </c>
      <c r="R123" s="41"/>
      <c r="S123" s="41"/>
      <c r="T123" s="41"/>
      <c r="U123" s="41"/>
      <c r="V123" s="41"/>
      <c r="W123" s="41"/>
      <c r="X123" s="41" t="s">
        <v>379</v>
      </c>
      <c r="Y123" s="41"/>
      <c r="Z123" s="41" t="s">
        <v>3649</v>
      </c>
      <c r="AA123" s="41"/>
      <c r="AB123" s="41" t="s">
        <v>182</v>
      </c>
      <c r="AC123" s="41"/>
      <c r="AD123" s="47">
        <v>16</v>
      </c>
      <c r="AE123" s="7" t="s">
        <v>639</v>
      </c>
      <c r="AF123" s="7"/>
      <c r="AG123" s="28" t="str">
        <f t="shared" si="9"/>
        <v>(1*''**''*''*0*75,008******)*</v>
      </c>
    </row>
    <row r="124" spans="1:33" ht="20.100000000000001" customHeight="1" x14ac:dyDescent="0.25">
      <c r="A124" s="38">
        <v>2</v>
      </c>
      <c r="B124" s="38"/>
      <c r="C124" s="39" t="str">
        <f t="shared" si="16"/>
        <v>S02-GZ3</v>
      </c>
      <c r="D124" s="39" t="str">
        <f t="shared" si="17"/>
        <v>Segment 02-GZ3</v>
      </c>
      <c r="E124" s="19"/>
      <c r="F124" s="19"/>
      <c r="G124" s="19"/>
      <c r="H124" s="40">
        <v>1</v>
      </c>
      <c r="I124" s="41"/>
      <c r="J124" s="41">
        <v>11</v>
      </c>
      <c r="K124" s="41">
        <v>11</v>
      </c>
      <c r="L124" s="32"/>
      <c r="M124" s="42"/>
      <c r="N124" s="41"/>
      <c r="O124" s="41"/>
      <c r="P124" s="43">
        <v>75.007999999999996</v>
      </c>
      <c r="Q124" s="43">
        <v>144.47800000000001</v>
      </c>
      <c r="R124" s="41"/>
      <c r="S124" s="41"/>
      <c r="T124" s="41"/>
      <c r="U124" s="41"/>
      <c r="V124" s="41"/>
      <c r="W124" s="41"/>
      <c r="X124" s="41" t="s">
        <v>379</v>
      </c>
      <c r="Y124" s="41"/>
      <c r="Z124" s="41" t="s">
        <v>182</v>
      </c>
      <c r="AA124" s="41"/>
      <c r="AB124" s="41" t="s">
        <v>188</v>
      </c>
      <c r="AC124" s="41"/>
      <c r="AD124" s="47"/>
      <c r="AE124" s="7"/>
      <c r="AF124" s="7"/>
      <c r="AG124" s="28"/>
    </row>
    <row r="125" spans="1:33" ht="20.100000000000001" customHeight="1" x14ac:dyDescent="0.25">
      <c r="A125" s="38">
        <v>3</v>
      </c>
      <c r="B125" s="38"/>
      <c r="C125" s="39" t="str">
        <f t="shared" si="16"/>
        <v>S03-GZ3</v>
      </c>
      <c r="D125" s="39" t="str">
        <f t="shared" si="17"/>
        <v>Segment 03-GZ3</v>
      </c>
      <c r="E125" s="19"/>
      <c r="F125" s="19"/>
      <c r="G125" s="19"/>
      <c r="H125" s="40">
        <v>1</v>
      </c>
      <c r="I125" s="41"/>
      <c r="J125" s="41">
        <v>11</v>
      </c>
      <c r="K125" s="41">
        <v>11</v>
      </c>
      <c r="L125" s="32"/>
      <c r="M125" s="42"/>
      <c r="N125" s="41"/>
      <c r="O125" s="41"/>
      <c r="P125" s="43">
        <v>144.47800000000001</v>
      </c>
      <c r="Q125" s="43">
        <v>225.869</v>
      </c>
      <c r="R125" s="41"/>
      <c r="S125" s="41"/>
      <c r="T125" s="41"/>
      <c r="U125" s="41"/>
      <c r="V125" s="41"/>
      <c r="W125" s="41"/>
      <c r="X125" s="41" t="s">
        <v>379</v>
      </c>
      <c r="Y125" s="41"/>
      <c r="Z125" s="41" t="s">
        <v>188</v>
      </c>
      <c r="AA125" s="41"/>
      <c r="AB125" s="41" t="s">
        <v>194</v>
      </c>
      <c r="AC125" s="41"/>
      <c r="AD125" s="47"/>
      <c r="AE125" s="7"/>
      <c r="AF125" s="7"/>
      <c r="AG125" s="28"/>
    </row>
    <row r="126" spans="1:33" ht="20.100000000000001" customHeight="1" x14ac:dyDescent="0.25">
      <c r="A126" s="38">
        <v>4</v>
      </c>
      <c r="B126" s="38"/>
      <c r="C126" s="39" t="str">
        <f t="shared" si="16"/>
        <v>S04-GZ3</v>
      </c>
      <c r="D126" s="39" t="str">
        <f t="shared" si="17"/>
        <v>Segment 04-GZ3</v>
      </c>
      <c r="E126" s="19"/>
      <c r="F126" s="19"/>
      <c r="G126" s="19"/>
      <c r="H126" s="40">
        <v>1</v>
      </c>
      <c r="I126" s="41"/>
      <c r="J126" s="41">
        <v>11</v>
      </c>
      <c r="K126" s="41">
        <v>11</v>
      </c>
      <c r="L126" s="32"/>
      <c r="M126" s="42"/>
      <c r="N126" s="41"/>
      <c r="O126" s="41"/>
      <c r="P126" s="43">
        <v>225.869</v>
      </c>
      <c r="Q126" s="43">
        <v>295.87200000000001</v>
      </c>
      <c r="R126" s="41"/>
      <c r="S126" s="41"/>
      <c r="T126" s="41"/>
      <c r="U126" s="41"/>
      <c r="V126" s="41"/>
      <c r="W126" s="41"/>
      <c r="X126" s="41" t="s">
        <v>379</v>
      </c>
      <c r="Y126" s="41"/>
      <c r="Z126" s="41" t="s">
        <v>194</v>
      </c>
      <c r="AA126" s="41"/>
      <c r="AB126" s="41" t="s">
        <v>200</v>
      </c>
      <c r="AC126" s="41"/>
      <c r="AD126" s="47"/>
      <c r="AE126" s="7"/>
      <c r="AF126" s="7"/>
      <c r="AG126" s="28"/>
    </row>
    <row r="127" spans="1:33" ht="20.100000000000001" customHeight="1" x14ac:dyDescent="0.25">
      <c r="A127" s="38">
        <v>5</v>
      </c>
      <c r="B127" s="38"/>
      <c r="C127" s="39" t="str">
        <f t="shared" si="16"/>
        <v>S05-GZ3</v>
      </c>
      <c r="D127" s="39" t="str">
        <f t="shared" si="17"/>
        <v>Segment 05-GZ3</v>
      </c>
      <c r="E127" s="19"/>
      <c r="F127" s="19"/>
      <c r="G127" s="19"/>
      <c r="H127" s="40">
        <v>1</v>
      </c>
      <c r="I127" s="41"/>
      <c r="J127" s="41">
        <v>11</v>
      </c>
      <c r="K127" s="41">
        <v>11</v>
      </c>
      <c r="L127" s="32"/>
      <c r="M127" s="42"/>
      <c r="N127" s="41"/>
      <c r="O127" s="41"/>
      <c r="P127" s="43">
        <v>295.87200000000001</v>
      </c>
      <c r="Q127" s="43">
        <v>399.46100000000001</v>
      </c>
      <c r="R127" s="41"/>
      <c r="S127" s="41"/>
      <c r="T127" s="41"/>
      <c r="U127" s="41"/>
      <c r="V127" s="41"/>
      <c r="W127" s="41"/>
      <c r="X127" s="41" t="s">
        <v>379</v>
      </c>
      <c r="Y127" s="41"/>
      <c r="Z127" s="41" t="s">
        <v>200</v>
      </c>
      <c r="AA127" s="41"/>
      <c r="AB127" s="41" t="s">
        <v>206</v>
      </c>
      <c r="AC127" s="41"/>
      <c r="AD127" s="47"/>
      <c r="AE127" s="7"/>
      <c r="AF127" s="7"/>
      <c r="AG127" s="28"/>
    </row>
    <row r="128" spans="1:33" ht="20.100000000000001" customHeight="1" x14ac:dyDescent="0.25">
      <c r="A128" s="38">
        <v>6</v>
      </c>
      <c r="B128" s="38"/>
      <c r="C128" s="39" t="str">
        <f t="shared" si="16"/>
        <v>S06-GZ3</v>
      </c>
      <c r="D128" s="39" t="str">
        <f t="shared" si="17"/>
        <v>Segment 06-GZ3</v>
      </c>
      <c r="E128" s="19"/>
      <c r="F128" s="19"/>
      <c r="G128" s="19"/>
      <c r="H128" s="40">
        <v>1</v>
      </c>
      <c r="I128" s="41"/>
      <c r="J128" s="41">
        <v>11</v>
      </c>
      <c r="K128" s="41">
        <v>11</v>
      </c>
      <c r="L128" s="32"/>
      <c r="M128" s="42"/>
      <c r="N128" s="41"/>
      <c r="O128" s="41"/>
      <c r="P128" s="43">
        <v>399.46100000000001</v>
      </c>
      <c r="Q128" s="43">
        <v>517</v>
      </c>
      <c r="R128" s="41"/>
      <c r="S128" s="41"/>
      <c r="T128" s="41"/>
      <c r="U128" s="41"/>
      <c r="V128" s="41"/>
      <c r="W128" s="41"/>
      <c r="X128" s="41" t="s">
        <v>379</v>
      </c>
      <c r="Y128" s="41"/>
      <c r="Z128" s="41" t="s">
        <v>206</v>
      </c>
      <c r="AA128" s="41"/>
      <c r="AB128" s="41" t="s">
        <v>3641</v>
      </c>
      <c r="AC128" s="41"/>
      <c r="AD128" s="47"/>
      <c r="AE128" s="7"/>
      <c r="AF128" s="7"/>
      <c r="AG128" s="28"/>
    </row>
    <row r="129" spans="1:33" ht="20.100000000000001" customHeight="1" x14ac:dyDescent="0.25">
      <c r="A129" s="38">
        <v>1</v>
      </c>
      <c r="B129" s="38"/>
      <c r="C129" s="39" t="str">
        <f t="shared" si="16"/>
        <v>S01-RGZ3</v>
      </c>
      <c r="D129" s="39" t="str">
        <f t="shared" si="17"/>
        <v>Segment 01-RGZ3</v>
      </c>
      <c r="E129" s="19"/>
      <c r="F129" s="19"/>
      <c r="G129" s="19"/>
      <c r="H129" s="40">
        <v>1</v>
      </c>
      <c r="I129" s="41"/>
      <c r="J129" s="41">
        <v>11</v>
      </c>
      <c r="K129" s="41">
        <v>11</v>
      </c>
      <c r="L129" s="32"/>
      <c r="M129" s="42"/>
      <c r="N129" s="32"/>
      <c r="O129" s="41"/>
      <c r="P129" s="43">
        <v>295.87200000000001</v>
      </c>
      <c r="Q129" s="43">
        <v>399.46100000000001</v>
      </c>
      <c r="R129" s="41"/>
      <c r="S129" s="41"/>
      <c r="T129" s="41"/>
      <c r="U129" s="41"/>
      <c r="V129" s="41"/>
      <c r="W129" s="41"/>
      <c r="X129" s="41" t="s">
        <v>1000</v>
      </c>
      <c r="Y129" s="41"/>
      <c r="Z129" s="41" t="s">
        <v>200</v>
      </c>
      <c r="AA129" s="41"/>
      <c r="AB129" s="41" t="s">
        <v>206</v>
      </c>
      <c r="AC129" s="41"/>
      <c r="AD129" s="47"/>
      <c r="AE129" s="7"/>
      <c r="AF129" s="7"/>
      <c r="AG129" s="28" t="str">
        <f t="shared" si="9"/>
        <v>(1*''**''*''*295,872*399,461******)*</v>
      </c>
    </row>
    <row r="130" spans="1:33" ht="20.100000000000001" customHeight="1" x14ac:dyDescent="0.25">
      <c r="A130" s="38">
        <v>2</v>
      </c>
      <c r="B130" s="38"/>
      <c r="C130" s="39" t="str">
        <f t="shared" si="16"/>
        <v>S02-RGZ3</v>
      </c>
      <c r="D130" s="39" t="str">
        <f t="shared" si="17"/>
        <v>Segment 02-RGZ3</v>
      </c>
      <c r="E130" s="19"/>
      <c r="F130" s="19"/>
      <c r="G130" s="19"/>
      <c r="H130" s="40">
        <v>1</v>
      </c>
      <c r="I130" s="41"/>
      <c r="J130" s="41">
        <v>11</v>
      </c>
      <c r="K130" s="41">
        <v>11</v>
      </c>
      <c r="L130" s="32"/>
      <c r="M130" s="42"/>
      <c r="N130" s="32"/>
      <c r="O130" s="41"/>
      <c r="P130" s="43">
        <v>399.46100000000001</v>
      </c>
      <c r="Q130" s="43">
        <v>517</v>
      </c>
      <c r="R130" s="41"/>
      <c r="S130" s="41"/>
      <c r="T130" s="41"/>
      <c r="U130" s="41"/>
      <c r="V130" s="41"/>
      <c r="W130" s="41"/>
      <c r="X130" s="41" t="s">
        <v>1000</v>
      </c>
      <c r="Y130" s="41"/>
      <c r="Z130" s="41" t="s">
        <v>206</v>
      </c>
      <c r="AA130" s="41"/>
      <c r="AB130" s="41" t="s">
        <v>3641</v>
      </c>
      <c r="AC130" s="41"/>
      <c r="AD130" s="47"/>
      <c r="AE130" s="7"/>
      <c r="AF130" s="7"/>
      <c r="AG130" s="28" t="str">
        <f t="shared" si="9"/>
        <v>(2*''**''*''*399,461*517******)*</v>
      </c>
    </row>
    <row r="131" spans="1:33" ht="20.100000000000001" customHeight="1" x14ac:dyDescent="0.25">
      <c r="A131" s="38">
        <v>1</v>
      </c>
      <c r="B131" s="38"/>
      <c r="C131" s="39" t="str">
        <f t="shared" si="16"/>
        <v>S01-GZ4</v>
      </c>
      <c r="D131" s="39" t="str">
        <f t="shared" si="17"/>
        <v>Segment 01-GZ4</v>
      </c>
      <c r="E131" s="19"/>
      <c r="F131" s="19"/>
      <c r="G131" s="19"/>
      <c r="H131" s="40">
        <v>1</v>
      </c>
      <c r="I131" s="41"/>
      <c r="J131" s="41">
        <v>11</v>
      </c>
      <c r="K131" s="41">
        <v>11</v>
      </c>
      <c r="L131" s="32"/>
      <c r="M131" s="42"/>
      <c r="N131" s="32"/>
      <c r="O131" s="41"/>
      <c r="P131" s="43">
        <v>0</v>
      </c>
      <c r="Q131" s="43">
        <v>74.231999999999999</v>
      </c>
      <c r="R131" s="41"/>
      <c r="S131" s="41"/>
      <c r="T131" s="41"/>
      <c r="U131" s="41"/>
      <c r="V131" s="41"/>
      <c r="W131" s="41"/>
      <c r="X131" s="41" t="s">
        <v>642</v>
      </c>
      <c r="Y131" s="41"/>
      <c r="Z131" s="41" t="s">
        <v>3649</v>
      </c>
      <c r="AA131" s="41"/>
      <c r="AB131" s="41" t="s">
        <v>3659</v>
      </c>
      <c r="AC131" s="41"/>
      <c r="AD131" s="47">
        <v>16</v>
      </c>
      <c r="AE131" s="7" t="s">
        <v>643</v>
      </c>
      <c r="AF131" s="7"/>
      <c r="AG131" s="28" t="str">
        <f t="shared" si="9"/>
        <v>(1*''**''*''*0*74,232******)*</v>
      </c>
    </row>
    <row r="132" spans="1:33" ht="20.100000000000001" customHeight="1" x14ac:dyDescent="0.25">
      <c r="A132" s="38">
        <v>2</v>
      </c>
      <c r="B132" s="38"/>
      <c r="C132" s="39" t="str">
        <f t="shared" si="16"/>
        <v>S02-GZ4</v>
      </c>
      <c r="D132" s="39" t="str">
        <f t="shared" si="17"/>
        <v>Segment 02-GZ4</v>
      </c>
      <c r="E132" s="19"/>
      <c r="F132" s="19"/>
      <c r="G132" s="19"/>
      <c r="H132" s="40">
        <v>1</v>
      </c>
      <c r="I132" s="41"/>
      <c r="J132" s="41">
        <v>11</v>
      </c>
      <c r="K132" s="41">
        <v>11</v>
      </c>
      <c r="L132" s="32"/>
      <c r="M132" s="42"/>
      <c r="N132" s="32"/>
      <c r="O132" s="41"/>
      <c r="P132" s="43">
        <v>74.231999999999999</v>
      </c>
      <c r="Q132" s="43">
        <v>145.01499999999999</v>
      </c>
      <c r="R132" s="41"/>
      <c r="S132" s="41"/>
      <c r="T132" s="41"/>
      <c r="U132" s="41"/>
      <c r="V132" s="41"/>
      <c r="W132" s="41"/>
      <c r="X132" s="41" t="s">
        <v>642</v>
      </c>
      <c r="Y132" s="41"/>
      <c r="Z132" s="41" t="s">
        <v>3659</v>
      </c>
      <c r="AA132" s="41"/>
      <c r="AB132" s="41" t="s">
        <v>3660</v>
      </c>
      <c r="AC132" s="41"/>
      <c r="AD132" s="47"/>
      <c r="AE132" s="7"/>
      <c r="AF132" s="7"/>
      <c r="AG132" s="28"/>
    </row>
    <row r="133" spans="1:33" ht="20.100000000000001" customHeight="1" x14ac:dyDescent="0.25">
      <c r="A133" s="38">
        <v>3</v>
      </c>
      <c r="B133" s="38"/>
      <c r="C133" s="39" t="str">
        <f t="shared" si="16"/>
        <v>S03-GZ4</v>
      </c>
      <c r="D133" s="39" t="str">
        <f t="shared" si="17"/>
        <v>Segment 03-GZ4</v>
      </c>
      <c r="E133" s="19"/>
      <c r="F133" s="19"/>
      <c r="G133" s="19"/>
      <c r="H133" s="40">
        <v>1</v>
      </c>
      <c r="I133" s="41"/>
      <c r="J133" s="41">
        <v>11</v>
      </c>
      <c r="K133" s="41">
        <v>11</v>
      </c>
      <c r="L133" s="32"/>
      <c r="M133" s="42"/>
      <c r="N133" s="32"/>
      <c r="O133" s="41"/>
      <c r="P133" s="43">
        <v>145.01499999999999</v>
      </c>
      <c r="Q133" s="43">
        <v>225.51</v>
      </c>
      <c r="R133" s="41"/>
      <c r="S133" s="41"/>
      <c r="T133" s="41"/>
      <c r="U133" s="41"/>
      <c r="V133" s="41"/>
      <c r="W133" s="41"/>
      <c r="X133" s="41" t="s">
        <v>642</v>
      </c>
      <c r="Y133" s="41"/>
      <c r="Z133" s="41" t="s">
        <v>3660</v>
      </c>
      <c r="AA133" s="41"/>
      <c r="AB133" s="41" t="s">
        <v>3661</v>
      </c>
      <c r="AC133" s="41"/>
      <c r="AD133" s="47"/>
      <c r="AE133" s="7"/>
      <c r="AF133" s="7"/>
      <c r="AG133" s="28"/>
    </row>
    <row r="134" spans="1:33" ht="20.100000000000001" customHeight="1" x14ac:dyDescent="0.25">
      <c r="A134" s="38">
        <v>4</v>
      </c>
      <c r="B134" s="38"/>
      <c r="C134" s="39" t="str">
        <f t="shared" si="16"/>
        <v>S04-GZ4</v>
      </c>
      <c r="D134" s="39" t="str">
        <f t="shared" si="17"/>
        <v>Segment 04-GZ4</v>
      </c>
      <c r="E134" s="19"/>
      <c r="F134" s="19"/>
      <c r="G134" s="19"/>
      <c r="H134" s="40">
        <v>1</v>
      </c>
      <c r="I134" s="41"/>
      <c r="J134" s="41">
        <v>11</v>
      </c>
      <c r="K134" s="41">
        <v>11</v>
      </c>
      <c r="L134" s="32"/>
      <c r="M134" s="42"/>
      <c r="N134" s="32"/>
      <c r="O134" s="41"/>
      <c r="P134" s="43">
        <v>225.51</v>
      </c>
      <c r="Q134" s="43">
        <v>297.202</v>
      </c>
      <c r="R134" s="41"/>
      <c r="S134" s="41"/>
      <c r="T134" s="41"/>
      <c r="U134" s="41"/>
      <c r="V134" s="41"/>
      <c r="W134" s="41"/>
      <c r="X134" s="41" t="s">
        <v>642</v>
      </c>
      <c r="Y134" s="41"/>
      <c r="Z134" s="41" t="s">
        <v>3661</v>
      </c>
      <c r="AA134" s="41"/>
      <c r="AB134" s="41" t="s">
        <v>3662</v>
      </c>
      <c r="AC134" s="41"/>
      <c r="AD134" s="47"/>
      <c r="AE134" s="7"/>
      <c r="AF134" s="7"/>
      <c r="AG134" s="28"/>
    </row>
    <row r="135" spans="1:33" ht="20.100000000000001" customHeight="1" x14ac:dyDescent="0.25">
      <c r="A135" s="38">
        <v>5</v>
      </c>
      <c r="B135" s="38"/>
      <c r="C135" s="39" t="str">
        <f t="shared" si="16"/>
        <v>S05-GZ4</v>
      </c>
      <c r="D135" s="39" t="str">
        <f t="shared" si="17"/>
        <v>Segment 05-GZ4</v>
      </c>
      <c r="E135" s="19"/>
      <c r="F135" s="19"/>
      <c r="G135" s="19"/>
      <c r="H135" s="40">
        <v>1</v>
      </c>
      <c r="I135" s="41"/>
      <c r="J135" s="41">
        <v>11</v>
      </c>
      <c r="K135" s="41">
        <v>11</v>
      </c>
      <c r="L135" s="32"/>
      <c r="M135" s="42"/>
      <c r="N135" s="32"/>
      <c r="O135" s="41"/>
      <c r="P135" s="43">
        <v>297.202</v>
      </c>
      <c r="Q135" s="43">
        <v>399.89600000000002</v>
      </c>
      <c r="R135" s="41"/>
      <c r="S135" s="41"/>
      <c r="T135" s="41"/>
      <c r="U135" s="41"/>
      <c r="V135" s="41"/>
      <c r="W135" s="41"/>
      <c r="X135" s="41" t="s">
        <v>642</v>
      </c>
      <c r="Y135" s="41"/>
      <c r="Z135" s="41" t="s">
        <v>3662</v>
      </c>
      <c r="AA135" s="41"/>
      <c r="AB135" s="41" t="s">
        <v>3663</v>
      </c>
      <c r="AC135" s="41"/>
      <c r="AD135" s="47"/>
      <c r="AE135" s="7"/>
      <c r="AF135" s="7"/>
      <c r="AG135" s="28"/>
    </row>
    <row r="136" spans="1:33" ht="20.100000000000001" customHeight="1" x14ac:dyDescent="0.25">
      <c r="A136" s="38">
        <v>6</v>
      </c>
      <c r="B136" s="38"/>
      <c r="C136" s="39" t="str">
        <f t="shared" si="16"/>
        <v>S06-GZ4</v>
      </c>
      <c r="D136" s="39" t="str">
        <f t="shared" si="17"/>
        <v>Segment 06-GZ4</v>
      </c>
      <c r="E136" s="19"/>
      <c r="F136" s="19"/>
      <c r="G136" s="19"/>
      <c r="H136" s="40">
        <v>1</v>
      </c>
      <c r="I136" s="41"/>
      <c r="J136" s="41">
        <v>11</v>
      </c>
      <c r="K136" s="41">
        <v>11</v>
      </c>
      <c r="L136" s="32"/>
      <c r="M136" s="42"/>
      <c r="N136" s="32"/>
      <c r="O136" s="41"/>
      <c r="P136" s="43">
        <v>399.89600000000002</v>
      </c>
      <c r="Q136" s="43">
        <v>479.399</v>
      </c>
      <c r="R136" s="41"/>
      <c r="S136" s="41"/>
      <c r="T136" s="41"/>
      <c r="U136" s="41"/>
      <c r="V136" s="41"/>
      <c r="W136" s="41"/>
      <c r="X136" s="41" t="s">
        <v>642</v>
      </c>
      <c r="Y136" s="41"/>
      <c r="Z136" s="41" t="s">
        <v>3663</v>
      </c>
      <c r="AA136" s="41"/>
      <c r="AB136" s="41" t="s">
        <v>3664</v>
      </c>
      <c r="AC136" s="41"/>
      <c r="AD136" s="47"/>
      <c r="AE136" s="7"/>
      <c r="AF136" s="7"/>
      <c r="AG136" s="28"/>
    </row>
    <row r="137" spans="1:33" ht="20.100000000000001" customHeight="1" x14ac:dyDescent="0.25">
      <c r="A137" s="38">
        <v>7</v>
      </c>
      <c r="B137" s="38"/>
      <c r="C137" s="39" t="str">
        <f t="shared" si="16"/>
        <v>S07-GZ4</v>
      </c>
      <c r="D137" s="39" t="str">
        <f t="shared" si="17"/>
        <v>Segment 07-GZ4</v>
      </c>
      <c r="E137" s="19"/>
      <c r="F137" s="19"/>
      <c r="G137" s="19"/>
      <c r="H137" s="40">
        <v>1</v>
      </c>
      <c r="I137" s="41"/>
      <c r="J137" s="41">
        <v>11</v>
      </c>
      <c r="K137" s="41">
        <v>11</v>
      </c>
      <c r="L137" s="32"/>
      <c r="M137" s="42"/>
      <c r="N137" s="32"/>
      <c r="O137" s="41"/>
      <c r="P137" s="56">
        <v>479.399</v>
      </c>
      <c r="Q137" s="43">
        <v>513.17200000000003</v>
      </c>
      <c r="R137" s="41"/>
      <c r="S137" s="41"/>
      <c r="T137" s="41"/>
      <c r="U137" s="41"/>
      <c r="V137" s="41"/>
      <c r="W137" s="41"/>
      <c r="X137" s="41" t="s">
        <v>642</v>
      </c>
      <c r="Y137" s="41"/>
      <c r="Z137" s="41" t="s">
        <v>3664</v>
      </c>
      <c r="AA137" s="41"/>
      <c r="AB137" s="41" t="s">
        <v>3641</v>
      </c>
      <c r="AC137" s="41"/>
      <c r="AD137" s="47"/>
      <c r="AE137" s="7"/>
      <c r="AF137" s="7"/>
      <c r="AG137" s="28"/>
    </row>
    <row r="138" spans="1:33" ht="20.100000000000001" customHeight="1" x14ac:dyDescent="0.25">
      <c r="A138" s="38">
        <v>8</v>
      </c>
      <c r="B138" s="38"/>
      <c r="C138" s="39" t="str">
        <f t="shared" si="16"/>
        <v>S08-GZ4</v>
      </c>
      <c r="D138" s="39" t="str">
        <f t="shared" si="17"/>
        <v>Segment 08-GZ4</v>
      </c>
      <c r="E138" s="19"/>
      <c r="F138" s="19"/>
      <c r="G138" s="19"/>
      <c r="H138" s="40">
        <v>1</v>
      </c>
      <c r="I138" s="41"/>
      <c r="J138" s="41">
        <v>11</v>
      </c>
      <c r="K138" s="41">
        <v>11</v>
      </c>
      <c r="L138" s="32"/>
      <c r="M138" s="42"/>
      <c r="N138" s="32"/>
      <c r="O138" s="41"/>
      <c r="P138" s="43">
        <v>0</v>
      </c>
      <c r="Q138" s="43">
        <v>120.37</v>
      </c>
      <c r="R138" s="41"/>
      <c r="S138" s="41"/>
      <c r="T138" s="41"/>
      <c r="U138" s="41"/>
      <c r="V138" s="41"/>
      <c r="W138" s="41"/>
      <c r="X138" s="41" t="s">
        <v>642</v>
      </c>
      <c r="Y138" s="41"/>
      <c r="Z138" s="41" t="s">
        <v>3664</v>
      </c>
      <c r="AA138" s="41"/>
      <c r="AB138" s="41" t="s">
        <v>23</v>
      </c>
      <c r="AC138" s="41"/>
      <c r="AD138" s="47"/>
      <c r="AE138" s="7" t="s">
        <v>646</v>
      </c>
      <c r="AF138" s="7"/>
      <c r="AG138" s="28" t="str">
        <f t="shared" si="9"/>
        <v>(8*''**''*''*0*120,37******)*</v>
      </c>
    </row>
    <row r="139" spans="1:33" ht="20.100000000000001" customHeight="1" x14ac:dyDescent="0.25">
      <c r="A139" s="38">
        <v>1</v>
      </c>
      <c r="B139" s="38"/>
      <c r="C139" s="39" t="str">
        <f t="shared" si="16"/>
        <v>S01-GK1</v>
      </c>
      <c r="D139" s="39" t="str">
        <f t="shared" si="17"/>
        <v>Segment 01-GK1</v>
      </c>
      <c r="E139" s="19"/>
      <c r="F139" s="19"/>
      <c r="G139" s="19"/>
      <c r="H139" s="40">
        <v>1</v>
      </c>
      <c r="I139" s="41"/>
      <c r="J139" s="41">
        <v>13</v>
      </c>
      <c r="K139" s="41">
        <v>13</v>
      </c>
      <c r="L139" s="32"/>
      <c r="M139" s="42"/>
      <c r="N139" s="41"/>
      <c r="O139" s="41"/>
      <c r="P139" s="43">
        <v>0</v>
      </c>
      <c r="Q139" s="43">
        <v>83.215000000000003</v>
      </c>
      <c r="R139" s="41"/>
      <c r="S139" s="41"/>
      <c r="T139" s="41"/>
      <c r="U139" s="41"/>
      <c r="V139" s="41"/>
      <c r="W139" s="41"/>
      <c r="X139" s="41" t="s">
        <v>394</v>
      </c>
      <c r="Y139" s="41"/>
      <c r="Z139" s="41" t="s">
        <v>3649</v>
      </c>
      <c r="AA139" s="41"/>
      <c r="AB139" s="41" t="s">
        <v>3518</v>
      </c>
      <c r="AC139" s="41"/>
      <c r="AD139" s="47">
        <v>16</v>
      </c>
      <c r="AE139" s="7" t="s">
        <v>651</v>
      </c>
      <c r="AF139" s="7"/>
      <c r="AG139" s="28" t="str">
        <f t="shared" si="9"/>
        <v>(1*''**''*''*0*83,215******)*</v>
      </c>
    </row>
    <row r="140" spans="1:33" ht="20.100000000000001" customHeight="1" x14ac:dyDescent="0.25">
      <c r="A140" s="38">
        <v>2</v>
      </c>
      <c r="B140" s="38"/>
      <c r="C140" s="39" t="str">
        <f t="shared" si="16"/>
        <v>S02-GK1</v>
      </c>
      <c r="D140" s="39" t="str">
        <f t="shared" si="17"/>
        <v>Segment 02-GK1</v>
      </c>
      <c r="E140" s="19"/>
      <c r="F140" s="19"/>
      <c r="G140" s="19"/>
      <c r="H140" s="40">
        <v>1</v>
      </c>
      <c r="I140" s="41"/>
      <c r="J140" s="41">
        <v>13</v>
      </c>
      <c r="K140" s="41">
        <v>13</v>
      </c>
      <c r="L140" s="32"/>
      <c r="M140" s="42"/>
      <c r="N140" s="41"/>
      <c r="O140" s="41"/>
      <c r="P140" s="43">
        <v>83.215000000000003</v>
      </c>
      <c r="Q140" s="43">
        <v>179.37299999999999</v>
      </c>
      <c r="R140" s="41"/>
      <c r="S140" s="41"/>
      <c r="T140" s="41"/>
      <c r="U140" s="41"/>
      <c r="V140" s="41"/>
      <c r="W140" s="41"/>
      <c r="X140" s="41" t="s">
        <v>394</v>
      </c>
      <c r="Y140" s="41"/>
      <c r="Z140" s="41" t="s">
        <v>3518</v>
      </c>
      <c r="AA140" s="41"/>
      <c r="AB140" s="41" t="s">
        <v>3519</v>
      </c>
      <c r="AC140" s="41"/>
      <c r="AD140" s="47"/>
      <c r="AE140" s="7"/>
      <c r="AF140" s="7"/>
      <c r="AG140" s="28"/>
    </row>
    <row r="141" spans="1:33" ht="20.100000000000001" customHeight="1" x14ac:dyDescent="0.25">
      <c r="A141" s="38">
        <v>3</v>
      </c>
      <c r="B141" s="38"/>
      <c r="C141" s="39" t="str">
        <f t="shared" si="16"/>
        <v>S03-GK1</v>
      </c>
      <c r="D141" s="39" t="str">
        <f t="shared" si="17"/>
        <v>Segment 03-GK1</v>
      </c>
      <c r="E141" s="19"/>
      <c r="F141" s="19"/>
      <c r="G141" s="19"/>
      <c r="H141" s="40">
        <v>1</v>
      </c>
      <c r="I141" s="41"/>
      <c r="J141" s="41">
        <v>13</v>
      </c>
      <c r="K141" s="41">
        <v>13</v>
      </c>
      <c r="L141" s="32"/>
      <c r="M141" s="42"/>
      <c r="N141" s="41"/>
      <c r="O141" s="41"/>
      <c r="P141" s="43">
        <v>179.37299999999999</v>
      </c>
      <c r="Q141" s="43">
        <v>270.78500000000003</v>
      </c>
      <c r="R141" s="41"/>
      <c r="S141" s="41"/>
      <c r="T141" s="41"/>
      <c r="U141" s="41"/>
      <c r="V141" s="41"/>
      <c r="W141" s="41"/>
      <c r="X141" s="41" t="s">
        <v>394</v>
      </c>
      <c r="Y141" s="41"/>
      <c r="Z141" s="41" t="s">
        <v>3519</v>
      </c>
      <c r="AA141" s="41"/>
      <c r="AB141" s="41" t="s">
        <v>3520</v>
      </c>
      <c r="AC141" s="41"/>
      <c r="AD141" s="47"/>
      <c r="AE141" s="7"/>
      <c r="AF141" s="7"/>
      <c r="AG141" s="28"/>
    </row>
    <row r="142" spans="1:33" ht="20.100000000000001" customHeight="1" x14ac:dyDescent="0.25">
      <c r="A142" s="38">
        <v>4</v>
      </c>
      <c r="B142" s="38"/>
      <c r="C142" s="39" t="str">
        <f t="shared" si="16"/>
        <v>S04-GK1</v>
      </c>
      <c r="D142" s="39" t="str">
        <f t="shared" si="17"/>
        <v>Segment 04-GK1</v>
      </c>
      <c r="E142" s="19"/>
      <c r="F142" s="19"/>
      <c r="G142" s="19"/>
      <c r="H142" s="40">
        <v>1</v>
      </c>
      <c r="I142" s="41"/>
      <c r="J142" s="41">
        <v>13</v>
      </c>
      <c r="K142" s="41">
        <v>13</v>
      </c>
      <c r="L142" s="32"/>
      <c r="M142" s="42"/>
      <c r="N142" s="41"/>
      <c r="O142" s="41"/>
      <c r="P142" s="43">
        <v>270.78500000000003</v>
      </c>
      <c r="Q142" s="43">
        <v>354.89</v>
      </c>
      <c r="R142" s="41"/>
      <c r="S142" s="41"/>
      <c r="T142" s="41"/>
      <c r="U142" s="41"/>
      <c r="V142" s="41"/>
      <c r="W142" s="41"/>
      <c r="X142" s="41" t="s">
        <v>394</v>
      </c>
      <c r="Y142" s="41"/>
      <c r="Z142" s="41" t="s">
        <v>3520</v>
      </c>
      <c r="AA142" s="41"/>
      <c r="AB142" s="41" t="s">
        <v>3521</v>
      </c>
      <c r="AC142" s="41"/>
      <c r="AD142" s="47"/>
      <c r="AE142" s="7"/>
      <c r="AF142" s="7"/>
      <c r="AG142" s="28"/>
    </row>
    <row r="143" spans="1:33" ht="20.100000000000001" customHeight="1" x14ac:dyDescent="0.25">
      <c r="A143" s="38">
        <v>5</v>
      </c>
      <c r="B143" s="38"/>
      <c r="C143" s="39" t="str">
        <f t="shared" si="16"/>
        <v>S05-GK1</v>
      </c>
      <c r="D143" s="39" t="str">
        <f t="shared" si="17"/>
        <v>Segment 05-GK1</v>
      </c>
      <c r="E143" s="19"/>
      <c r="F143" s="19"/>
      <c r="G143" s="19"/>
      <c r="H143" s="40">
        <v>1</v>
      </c>
      <c r="I143" s="41"/>
      <c r="J143" s="41">
        <v>13</v>
      </c>
      <c r="K143" s="41">
        <v>13</v>
      </c>
      <c r="L143" s="32"/>
      <c r="M143" s="42"/>
      <c r="N143" s="41"/>
      <c r="O143" s="41"/>
      <c r="P143" s="43">
        <v>354.89</v>
      </c>
      <c r="Q143" s="43">
        <v>430.79</v>
      </c>
      <c r="R143" s="41"/>
      <c r="S143" s="41"/>
      <c r="T143" s="41"/>
      <c r="U143" s="41"/>
      <c r="V143" s="41"/>
      <c r="W143" s="41"/>
      <c r="X143" s="41" t="s">
        <v>394</v>
      </c>
      <c r="Y143" s="41"/>
      <c r="Z143" s="41" t="s">
        <v>3521</v>
      </c>
      <c r="AA143" s="41"/>
      <c r="AB143" s="41" t="s">
        <v>3522</v>
      </c>
      <c r="AC143" s="41"/>
      <c r="AD143" s="47"/>
      <c r="AE143" s="7"/>
      <c r="AF143" s="7"/>
      <c r="AG143" s="28"/>
    </row>
    <row r="144" spans="1:33" ht="20.100000000000001" customHeight="1" x14ac:dyDescent="0.25">
      <c r="A144" s="38">
        <v>6</v>
      </c>
      <c r="B144" s="38"/>
      <c r="C144" s="39" t="str">
        <f t="shared" si="16"/>
        <v>S06-GK1</v>
      </c>
      <c r="D144" s="39" t="str">
        <f t="shared" si="17"/>
        <v>Segment 06-GK1</v>
      </c>
      <c r="E144" s="19"/>
      <c r="F144" s="19"/>
      <c r="G144" s="19"/>
      <c r="H144" s="40">
        <v>1</v>
      </c>
      <c r="I144" s="41"/>
      <c r="J144" s="41">
        <v>13</v>
      </c>
      <c r="K144" s="41">
        <v>13</v>
      </c>
      <c r="L144" s="32"/>
      <c r="M144" s="42"/>
      <c r="N144" s="41"/>
      <c r="O144" s="41"/>
      <c r="P144" s="43">
        <v>430.79</v>
      </c>
      <c r="Q144" s="43">
        <v>574.87</v>
      </c>
      <c r="R144" s="41"/>
      <c r="S144" s="41"/>
      <c r="T144" s="41"/>
      <c r="U144" s="41"/>
      <c r="V144" s="41"/>
      <c r="W144" s="41"/>
      <c r="X144" s="41" t="s">
        <v>394</v>
      </c>
      <c r="Y144" s="41"/>
      <c r="Z144" s="41" t="s">
        <v>3522</v>
      </c>
      <c r="AA144" s="41"/>
      <c r="AB144" s="41" t="s">
        <v>85</v>
      </c>
      <c r="AC144" s="41"/>
      <c r="AD144" s="47"/>
      <c r="AE144" s="7"/>
      <c r="AF144" s="7"/>
      <c r="AG144" s="28"/>
    </row>
    <row r="145" spans="1:33" ht="20.100000000000001" customHeight="1" x14ac:dyDescent="0.25">
      <c r="A145" s="38">
        <v>1</v>
      </c>
      <c r="B145" s="38"/>
      <c r="C145" s="39" t="str">
        <f t="shared" si="16"/>
        <v>S01-GK2</v>
      </c>
      <c r="D145" s="39" t="str">
        <f t="shared" si="17"/>
        <v>Segment 01-GK2</v>
      </c>
      <c r="E145" s="19"/>
      <c r="F145" s="19"/>
      <c r="G145" s="19"/>
      <c r="H145" s="40">
        <v>1</v>
      </c>
      <c r="I145" s="41"/>
      <c r="J145" s="41">
        <v>13</v>
      </c>
      <c r="K145" s="41">
        <v>13</v>
      </c>
      <c r="L145" s="32"/>
      <c r="M145" s="42"/>
      <c r="N145" s="41"/>
      <c r="O145" s="41"/>
      <c r="P145" s="43">
        <v>0</v>
      </c>
      <c r="Q145" s="43">
        <v>83.215000000000003</v>
      </c>
      <c r="R145" s="41"/>
      <c r="S145" s="41"/>
      <c r="T145" s="41"/>
      <c r="U145" s="41"/>
      <c r="V145" s="41"/>
      <c r="W145" s="41"/>
      <c r="X145" s="41" t="s">
        <v>398</v>
      </c>
      <c r="Y145" s="41"/>
      <c r="Z145" s="41" t="s">
        <v>3649</v>
      </c>
      <c r="AA145" s="41"/>
      <c r="AB145" s="41" t="s">
        <v>3665</v>
      </c>
      <c r="AC145" s="41"/>
      <c r="AD145" s="47">
        <v>16</v>
      </c>
      <c r="AE145" s="7" t="s">
        <v>653</v>
      </c>
      <c r="AF145" s="7"/>
      <c r="AG145" s="28" t="str">
        <f t="shared" si="9"/>
        <v>(1*''**''*''*0*83,215******)*</v>
      </c>
    </row>
    <row r="146" spans="1:33" ht="20.100000000000001" customHeight="1" x14ac:dyDescent="0.25">
      <c r="A146" s="38">
        <v>2</v>
      </c>
      <c r="B146" s="38"/>
      <c r="C146" s="39" t="str">
        <f t="shared" si="16"/>
        <v>S02-GK2</v>
      </c>
      <c r="D146" s="39" t="str">
        <f t="shared" si="17"/>
        <v>Segment 02-GK2</v>
      </c>
      <c r="E146" s="19"/>
      <c r="F146" s="19"/>
      <c r="G146" s="19"/>
      <c r="H146" s="40">
        <v>1</v>
      </c>
      <c r="I146" s="41"/>
      <c r="J146" s="41">
        <v>13</v>
      </c>
      <c r="K146" s="41">
        <v>13</v>
      </c>
      <c r="L146" s="32"/>
      <c r="M146" s="42"/>
      <c r="N146" s="41"/>
      <c r="O146" s="41"/>
      <c r="P146" s="43">
        <v>83.215000000000003</v>
      </c>
      <c r="Q146" s="43">
        <v>179.37299999999999</v>
      </c>
      <c r="R146" s="41"/>
      <c r="S146" s="41"/>
      <c r="T146" s="41"/>
      <c r="U146" s="41"/>
      <c r="V146" s="41"/>
      <c r="W146" s="41"/>
      <c r="X146" s="41" t="s">
        <v>398</v>
      </c>
      <c r="Y146" s="41"/>
      <c r="Z146" s="41" t="s">
        <v>3665</v>
      </c>
      <c r="AA146" s="41"/>
      <c r="AB146" s="41" t="s">
        <v>3666</v>
      </c>
      <c r="AC146" s="41"/>
      <c r="AD146" s="26"/>
      <c r="AE146" s="7"/>
      <c r="AF146" s="7"/>
      <c r="AG146" s="28"/>
    </row>
    <row r="147" spans="1:33" ht="20.100000000000001" customHeight="1" x14ac:dyDescent="0.25">
      <c r="A147" s="38">
        <v>3</v>
      </c>
      <c r="B147" s="38"/>
      <c r="C147" s="39" t="str">
        <f t="shared" si="16"/>
        <v>S03-GK2</v>
      </c>
      <c r="D147" s="39" t="str">
        <f t="shared" si="17"/>
        <v>Segment 03-GK2</v>
      </c>
      <c r="E147" s="19"/>
      <c r="F147" s="19"/>
      <c r="G147" s="19"/>
      <c r="H147" s="40">
        <v>1</v>
      </c>
      <c r="I147" s="41"/>
      <c r="J147" s="41">
        <v>13</v>
      </c>
      <c r="K147" s="41">
        <v>13</v>
      </c>
      <c r="L147" s="32"/>
      <c r="M147" s="42"/>
      <c r="N147" s="41"/>
      <c r="O147" s="41"/>
      <c r="P147" s="43">
        <v>179.37299999999999</v>
      </c>
      <c r="Q147" s="43">
        <v>270.78500000000003</v>
      </c>
      <c r="R147" s="41"/>
      <c r="S147" s="41"/>
      <c r="T147" s="41"/>
      <c r="U147" s="41"/>
      <c r="V147" s="41"/>
      <c r="W147" s="41"/>
      <c r="X147" s="41" t="s">
        <v>398</v>
      </c>
      <c r="Y147" s="41"/>
      <c r="Z147" s="41" t="s">
        <v>3666</v>
      </c>
      <c r="AA147" s="41"/>
      <c r="AB147" s="41" t="s">
        <v>3667</v>
      </c>
      <c r="AC147" s="41"/>
      <c r="AD147" s="26"/>
      <c r="AE147" s="7"/>
      <c r="AF147" s="7"/>
      <c r="AG147" s="28"/>
    </row>
    <row r="148" spans="1:33" ht="20.100000000000001" customHeight="1" x14ac:dyDescent="0.25">
      <c r="A148" s="38">
        <v>4</v>
      </c>
      <c r="B148" s="38"/>
      <c r="C148" s="39" t="str">
        <f t="shared" si="16"/>
        <v>S04-GK2</v>
      </c>
      <c r="D148" s="39" t="str">
        <f t="shared" si="17"/>
        <v>Segment 04-GK2</v>
      </c>
      <c r="E148" s="19"/>
      <c r="F148" s="19"/>
      <c r="G148" s="19"/>
      <c r="H148" s="40">
        <v>1</v>
      </c>
      <c r="I148" s="41"/>
      <c r="J148" s="41">
        <v>13</v>
      </c>
      <c r="K148" s="41">
        <v>13</v>
      </c>
      <c r="L148" s="32"/>
      <c r="M148" s="42"/>
      <c r="N148" s="41"/>
      <c r="O148" s="41"/>
      <c r="P148" s="43">
        <v>270.78500000000003</v>
      </c>
      <c r="Q148" s="43">
        <v>354.89</v>
      </c>
      <c r="R148" s="41"/>
      <c r="S148" s="41"/>
      <c r="T148" s="41"/>
      <c r="U148" s="41"/>
      <c r="V148" s="41"/>
      <c r="W148" s="41"/>
      <c r="X148" s="41" t="s">
        <v>398</v>
      </c>
      <c r="Y148" s="41"/>
      <c r="Z148" s="41" t="s">
        <v>3667</v>
      </c>
      <c r="AA148" s="41"/>
      <c r="AB148" s="41" t="s">
        <v>3668</v>
      </c>
      <c r="AC148" s="41"/>
      <c r="AD148" s="26"/>
      <c r="AE148" s="7"/>
      <c r="AF148" s="7"/>
      <c r="AG148" s="28"/>
    </row>
    <row r="149" spans="1:33" ht="20.100000000000001" customHeight="1" x14ac:dyDescent="0.25">
      <c r="A149" s="38">
        <v>5</v>
      </c>
      <c r="B149" s="38"/>
      <c r="C149" s="39" t="str">
        <f t="shared" si="16"/>
        <v>S05-GK2</v>
      </c>
      <c r="D149" s="39" t="str">
        <f t="shared" si="17"/>
        <v>Segment 05-GK2</v>
      </c>
      <c r="E149" s="19"/>
      <c r="F149" s="19"/>
      <c r="G149" s="19"/>
      <c r="H149" s="40">
        <v>1</v>
      </c>
      <c r="I149" s="41"/>
      <c r="J149" s="41">
        <v>13</v>
      </c>
      <c r="K149" s="41">
        <v>13</v>
      </c>
      <c r="L149" s="32"/>
      <c r="M149" s="42"/>
      <c r="N149" s="41"/>
      <c r="O149" s="41"/>
      <c r="P149" s="43">
        <v>354.89</v>
      </c>
      <c r="Q149" s="43">
        <v>430.79</v>
      </c>
      <c r="R149" s="41"/>
      <c r="S149" s="41"/>
      <c r="T149" s="41"/>
      <c r="U149" s="41"/>
      <c r="V149" s="41"/>
      <c r="W149" s="41"/>
      <c r="X149" s="41" t="s">
        <v>398</v>
      </c>
      <c r="Y149" s="41"/>
      <c r="Z149" s="41" t="s">
        <v>3668</v>
      </c>
      <c r="AA149" s="41"/>
      <c r="AB149" s="41" t="s">
        <v>3669</v>
      </c>
      <c r="AC149" s="41"/>
      <c r="AD149" s="26"/>
      <c r="AE149" s="7"/>
      <c r="AF149" s="7"/>
      <c r="AG149" s="28"/>
    </row>
    <row r="150" spans="1:33" ht="20.100000000000001" customHeight="1" x14ac:dyDescent="0.25">
      <c r="A150" s="38">
        <v>6</v>
      </c>
      <c r="B150" s="38"/>
      <c r="C150" s="39" t="str">
        <f t="shared" si="16"/>
        <v>S06-GK2</v>
      </c>
      <c r="D150" s="39" t="str">
        <f t="shared" si="17"/>
        <v>Segment 06-GK2</v>
      </c>
      <c r="E150" s="19"/>
      <c r="F150" s="19"/>
      <c r="G150" s="19"/>
      <c r="H150" s="40">
        <v>1</v>
      </c>
      <c r="I150" s="41"/>
      <c r="J150" s="41">
        <v>13</v>
      </c>
      <c r="K150" s="41">
        <v>13</v>
      </c>
      <c r="L150" s="32"/>
      <c r="M150" s="42"/>
      <c r="N150" s="41"/>
      <c r="O150" s="41"/>
      <c r="P150" s="43">
        <v>430.79</v>
      </c>
      <c r="Q150" s="43">
        <v>574.87</v>
      </c>
      <c r="R150" s="41"/>
      <c r="S150" s="41"/>
      <c r="T150" s="41"/>
      <c r="U150" s="41"/>
      <c r="V150" s="41"/>
      <c r="W150" s="41"/>
      <c r="X150" s="41" t="s">
        <v>398</v>
      </c>
      <c r="Y150" s="41"/>
      <c r="Z150" s="41" t="s">
        <v>3669</v>
      </c>
      <c r="AA150" s="41"/>
      <c r="AB150" s="41" t="s">
        <v>85</v>
      </c>
      <c r="AC150" s="41"/>
      <c r="AD150" s="26"/>
      <c r="AE150" s="7"/>
      <c r="AF150" s="7"/>
      <c r="AG150" s="28"/>
    </row>
    <row r="151" spans="1:33" ht="20.100000000000001" customHeight="1" x14ac:dyDescent="0.25">
      <c r="A151" s="38">
        <v>1</v>
      </c>
      <c r="B151" s="38"/>
      <c r="C151" s="39" t="str">
        <f t="shared" si="16"/>
        <v>S01-GK3</v>
      </c>
      <c r="D151" s="39" t="str">
        <f t="shared" si="17"/>
        <v>Segment 01-GK3</v>
      </c>
      <c r="E151" s="19"/>
      <c r="F151" s="19"/>
      <c r="G151" s="19"/>
      <c r="H151" s="40">
        <v>1</v>
      </c>
      <c r="I151" s="40">
        <v>1</v>
      </c>
      <c r="J151" s="41">
        <v>13</v>
      </c>
      <c r="K151" s="41">
        <v>13</v>
      </c>
      <c r="L151" s="32"/>
      <c r="M151" s="42"/>
      <c r="N151" s="41"/>
      <c r="O151" s="41"/>
      <c r="P151" s="43">
        <v>0</v>
      </c>
      <c r="Q151" s="43">
        <v>81.8</v>
      </c>
      <c r="R151" s="41"/>
      <c r="S151" s="41"/>
      <c r="T151" s="41"/>
      <c r="U151" s="41"/>
      <c r="V151" s="41"/>
      <c r="W151" s="41"/>
      <c r="X151" s="41" t="s">
        <v>655</v>
      </c>
      <c r="Y151" s="41"/>
      <c r="Z151" s="41" t="s">
        <v>3649</v>
      </c>
      <c r="AA151" s="41"/>
      <c r="AB151" s="41" t="s">
        <v>3670</v>
      </c>
      <c r="AC151" s="41"/>
      <c r="AD151" s="26"/>
      <c r="AE151" s="7"/>
      <c r="AF151" s="7"/>
      <c r="AG151" s="28" t="str">
        <f t="shared" si="9"/>
        <v>(1*''**''*''*0*81,8******)*</v>
      </c>
    </row>
    <row r="152" spans="1:33" ht="20.100000000000001" customHeight="1" x14ac:dyDescent="0.25">
      <c r="A152" s="38">
        <v>2</v>
      </c>
      <c r="B152" s="38"/>
      <c r="C152" s="39" t="str">
        <f t="shared" si="16"/>
        <v>S02-GK3</v>
      </c>
      <c r="D152" s="39" t="str">
        <f t="shared" si="17"/>
        <v>Segment 02-GK3</v>
      </c>
      <c r="E152" s="19"/>
      <c r="F152" s="19"/>
      <c r="G152" s="19"/>
      <c r="H152" s="40">
        <v>1</v>
      </c>
      <c r="I152" s="40">
        <v>1</v>
      </c>
      <c r="J152" s="41">
        <v>13</v>
      </c>
      <c r="K152" s="41">
        <v>13</v>
      </c>
      <c r="L152" s="32"/>
      <c r="M152" s="42"/>
      <c r="N152" s="41"/>
      <c r="O152" s="41"/>
      <c r="P152" s="43">
        <v>81.8</v>
      </c>
      <c r="Q152" s="43">
        <v>178.31800000000001</v>
      </c>
      <c r="R152" s="41"/>
      <c r="S152" s="41"/>
      <c r="T152" s="41"/>
      <c r="U152" s="41"/>
      <c r="V152" s="41"/>
      <c r="W152" s="41"/>
      <c r="X152" s="41" t="s">
        <v>655</v>
      </c>
      <c r="Y152" s="41"/>
      <c r="Z152" s="41" t="s">
        <v>3670</v>
      </c>
      <c r="AA152" s="41"/>
      <c r="AB152" s="41" t="s">
        <v>3671</v>
      </c>
      <c r="AC152" s="41"/>
      <c r="AD152" s="26"/>
      <c r="AE152" s="7"/>
      <c r="AF152" s="7"/>
      <c r="AG152" s="28"/>
    </row>
    <row r="153" spans="1:33" ht="20.100000000000001" customHeight="1" x14ac:dyDescent="0.25">
      <c r="A153" s="38">
        <v>3</v>
      </c>
      <c r="B153" s="38"/>
      <c r="C153" s="39" t="str">
        <f t="shared" si="16"/>
        <v>S03-GK3</v>
      </c>
      <c r="D153" s="39" t="str">
        <f t="shared" si="17"/>
        <v>Segment 03-GK3</v>
      </c>
      <c r="E153" s="19"/>
      <c r="F153" s="19"/>
      <c r="G153" s="19"/>
      <c r="H153" s="40">
        <v>1</v>
      </c>
      <c r="I153" s="40">
        <v>1</v>
      </c>
      <c r="J153" s="41">
        <v>13</v>
      </c>
      <c r="K153" s="41">
        <v>13</v>
      </c>
      <c r="L153" s="32"/>
      <c r="M153" s="42"/>
      <c r="N153" s="41"/>
      <c r="O153" s="41"/>
      <c r="P153" s="43">
        <v>178.31800000000001</v>
      </c>
      <c r="Q153" s="43">
        <v>269.44400000000002</v>
      </c>
      <c r="R153" s="41"/>
      <c r="S153" s="41"/>
      <c r="T153" s="41"/>
      <c r="U153" s="41"/>
      <c r="V153" s="41"/>
      <c r="W153" s="41"/>
      <c r="X153" s="41" t="s">
        <v>655</v>
      </c>
      <c r="Y153" s="41"/>
      <c r="Z153" s="41" t="s">
        <v>3671</v>
      </c>
      <c r="AA153" s="41"/>
      <c r="AB153" s="41" t="s">
        <v>3672</v>
      </c>
      <c r="AC153" s="41"/>
      <c r="AD153" s="26"/>
      <c r="AE153" s="7"/>
      <c r="AF153" s="7"/>
      <c r="AG153" s="28"/>
    </row>
    <row r="154" spans="1:33" ht="20.100000000000001" customHeight="1" x14ac:dyDescent="0.25">
      <c r="A154" s="38">
        <v>4</v>
      </c>
      <c r="B154" s="38"/>
      <c r="C154" s="39" t="str">
        <f t="shared" si="16"/>
        <v>S04-GK3</v>
      </c>
      <c r="D154" s="39" t="str">
        <f t="shared" si="17"/>
        <v>Segment 04-GK3</v>
      </c>
      <c r="E154" s="19"/>
      <c r="F154" s="19"/>
      <c r="G154" s="19"/>
      <c r="H154" s="40">
        <v>1</v>
      </c>
      <c r="I154" s="40">
        <v>1</v>
      </c>
      <c r="J154" s="41">
        <v>13</v>
      </c>
      <c r="K154" s="41">
        <v>13</v>
      </c>
      <c r="L154" s="32"/>
      <c r="M154" s="42"/>
      <c r="N154" s="41"/>
      <c r="O154" s="41"/>
      <c r="P154" s="43">
        <v>269.44400000000002</v>
      </c>
      <c r="Q154" s="43">
        <v>354.55200000000002</v>
      </c>
      <c r="R154" s="41"/>
      <c r="S154" s="41"/>
      <c r="T154" s="41"/>
      <c r="U154" s="41"/>
      <c r="V154" s="41"/>
      <c r="W154" s="41"/>
      <c r="X154" s="41" t="s">
        <v>655</v>
      </c>
      <c r="Y154" s="41"/>
      <c r="Z154" s="41" t="s">
        <v>3672</v>
      </c>
      <c r="AA154" s="41"/>
      <c r="AB154" s="41" t="s">
        <v>3673</v>
      </c>
      <c r="AC154" s="41"/>
      <c r="AD154" s="26"/>
      <c r="AE154" s="7"/>
      <c r="AF154" s="7"/>
      <c r="AG154" s="28"/>
    </row>
    <row r="155" spans="1:33" ht="20.100000000000001" customHeight="1" x14ac:dyDescent="0.25">
      <c r="A155" s="38">
        <v>5</v>
      </c>
      <c r="B155" s="38"/>
      <c r="C155" s="39" t="str">
        <f t="shared" si="16"/>
        <v>S05-GK3</v>
      </c>
      <c r="D155" s="39" t="str">
        <f t="shared" si="17"/>
        <v>Segment 05-GK3</v>
      </c>
      <c r="E155" s="19"/>
      <c r="F155" s="19"/>
      <c r="G155" s="19"/>
      <c r="H155" s="40">
        <v>1</v>
      </c>
      <c r="I155" s="40">
        <v>1</v>
      </c>
      <c r="J155" s="41">
        <v>13</v>
      </c>
      <c r="K155" s="41">
        <v>13</v>
      </c>
      <c r="L155" s="32"/>
      <c r="M155" s="42"/>
      <c r="N155" s="41"/>
      <c r="O155" s="41"/>
      <c r="P155" s="43">
        <v>354.55200000000002</v>
      </c>
      <c r="Q155" s="43">
        <v>431.71899999999999</v>
      </c>
      <c r="R155" s="41"/>
      <c r="S155" s="41"/>
      <c r="T155" s="41"/>
      <c r="U155" s="41"/>
      <c r="V155" s="41"/>
      <c r="W155" s="41"/>
      <c r="X155" s="41" t="s">
        <v>655</v>
      </c>
      <c r="Y155" s="41"/>
      <c r="Z155" s="41" t="s">
        <v>3673</v>
      </c>
      <c r="AA155" s="41"/>
      <c r="AB155" s="41" t="s">
        <v>3674</v>
      </c>
      <c r="AC155" s="41"/>
      <c r="AD155" s="26"/>
      <c r="AE155" s="7"/>
      <c r="AF155" s="7"/>
      <c r="AG155" s="28"/>
    </row>
    <row r="156" spans="1:33" ht="20.100000000000001" customHeight="1" x14ac:dyDescent="0.25">
      <c r="A156" s="38">
        <v>6</v>
      </c>
      <c r="B156" s="38"/>
      <c r="C156" s="39" t="str">
        <f t="shared" si="16"/>
        <v>S06-GK3</v>
      </c>
      <c r="D156" s="39" t="str">
        <f t="shared" si="17"/>
        <v>Segment 06-GK3</v>
      </c>
      <c r="E156" s="19"/>
      <c r="F156" s="19"/>
      <c r="G156" s="19"/>
      <c r="H156" s="40">
        <v>1</v>
      </c>
      <c r="I156" s="40">
        <v>1</v>
      </c>
      <c r="J156" s="41">
        <v>13</v>
      </c>
      <c r="K156" s="41">
        <v>13</v>
      </c>
      <c r="L156" s="32"/>
      <c r="M156" s="42"/>
      <c r="N156" s="41"/>
      <c r="O156" s="41"/>
      <c r="P156" s="43">
        <v>0</v>
      </c>
      <c r="Q156" s="43">
        <v>102.274</v>
      </c>
      <c r="R156" s="41"/>
      <c r="S156" s="41"/>
      <c r="T156" s="41"/>
      <c r="U156" s="41"/>
      <c r="V156" s="41"/>
      <c r="W156" s="41"/>
      <c r="X156" s="41" t="s">
        <v>655</v>
      </c>
      <c r="Y156" s="41"/>
      <c r="Z156" s="41" t="s">
        <v>3674</v>
      </c>
      <c r="AA156" s="41"/>
      <c r="AB156" s="41" t="s">
        <v>3675</v>
      </c>
      <c r="AC156" s="41"/>
      <c r="AD156" s="26"/>
      <c r="AE156" s="7"/>
      <c r="AF156" s="7"/>
      <c r="AG156" s="28"/>
    </row>
    <row r="157" spans="1:33" ht="20.100000000000001" customHeight="1" x14ac:dyDescent="0.25">
      <c r="A157" s="38">
        <v>7</v>
      </c>
      <c r="B157" s="38"/>
      <c r="C157" s="39" t="str">
        <f t="shared" ref="C157:C213" si="18">CONCATENATE("S0",A157,"-",X157)</f>
        <v>S07-GK3</v>
      </c>
      <c r="D157" s="39" t="str">
        <f t="shared" si="17"/>
        <v>Segment 07-GK3</v>
      </c>
      <c r="E157" s="19"/>
      <c r="F157" s="19"/>
      <c r="G157" s="19"/>
      <c r="H157" s="40">
        <v>1</v>
      </c>
      <c r="I157" s="40">
        <v>1</v>
      </c>
      <c r="J157" s="41">
        <v>13</v>
      </c>
      <c r="K157" s="41">
        <v>13</v>
      </c>
      <c r="L157" s="32"/>
      <c r="M157" s="42"/>
      <c r="N157" s="41"/>
      <c r="O157" s="41"/>
      <c r="P157" s="43">
        <v>102.274</v>
      </c>
      <c r="Q157" s="43">
        <v>181.59399999999999</v>
      </c>
      <c r="R157" s="41"/>
      <c r="S157" s="41"/>
      <c r="T157" s="41"/>
      <c r="U157" s="41"/>
      <c r="V157" s="41"/>
      <c r="W157" s="41"/>
      <c r="X157" s="41" t="s">
        <v>655</v>
      </c>
      <c r="Y157" s="41"/>
      <c r="Z157" s="41" t="s">
        <v>3675</v>
      </c>
      <c r="AA157" s="41"/>
      <c r="AB157" s="41" t="s">
        <v>3676</v>
      </c>
      <c r="AC157" s="41"/>
      <c r="AD157" s="26"/>
      <c r="AE157" s="7"/>
      <c r="AF157" s="7"/>
      <c r="AG157" s="28"/>
    </row>
    <row r="158" spans="1:33" ht="20.100000000000001" customHeight="1" x14ac:dyDescent="0.25">
      <c r="A158" s="38">
        <v>8</v>
      </c>
      <c r="B158" s="38"/>
      <c r="C158" s="39" t="str">
        <f t="shared" si="18"/>
        <v>S08-GK3</v>
      </c>
      <c r="D158" s="39" t="str">
        <f t="shared" si="17"/>
        <v>Segment 08-GK3</v>
      </c>
      <c r="E158" s="19"/>
      <c r="F158" s="19"/>
      <c r="G158" s="19"/>
      <c r="H158" s="40">
        <v>1</v>
      </c>
      <c r="I158" s="40">
        <v>1</v>
      </c>
      <c r="J158" s="41">
        <v>13</v>
      </c>
      <c r="K158" s="41">
        <v>13</v>
      </c>
      <c r="L158" s="32"/>
      <c r="M158" s="42"/>
      <c r="N158" s="41"/>
      <c r="O158" s="41"/>
      <c r="P158" s="43">
        <v>181.59399999999999</v>
      </c>
      <c r="Q158" s="43">
        <v>267</v>
      </c>
      <c r="R158" s="41"/>
      <c r="S158" s="41"/>
      <c r="T158" s="41"/>
      <c r="U158" s="41"/>
      <c r="V158" s="41"/>
      <c r="W158" s="41"/>
      <c r="X158" s="41" t="s">
        <v>655</v>
      </c>
      <c r="Y158" s="41"/>
      <c r="Z158" s="41" t="s">
        <v>3676</v>
      </c>
      <c r="AA158" s="41"/>
      <c r="AB158" s="41" t="s">
        <v>25</v>
      </c>
      <c r="AC158" s="41"/>
      <c r="AD158" s="26"/>
      <c r="AE158" s="7"/>
      <c r="AF158" s="7"/>
      <c r="AG158" s="28"/>
    </row>
    <row r="159" spans="1:33" ht="20.100000000000001" customHeight="1" x14ac:dyDescent="0.25">
      <c r="A159" s="38">
        <v>9</v>
      </c>
      <c r="B159" s="38"/>
      <c r="C159" s="39" t="str">
        <f t="shared" si="18"/>
        <v>S09-GK3</v>
      </c>
      <c r="D159" s="39" t="str">
        <f t="shared" si="17"/>
        <v>Segment 09-GK3</v>
      </c>
      <c r="E159" s="19"/>
      <c r="F159" s="19"/>
      <c r="G159" s="19"/>
      <c r="H159" s="40">
        <v>1</v>
      </c>
      <c r="I159" s="40">
        <v>1</v>
      </c>
      <c r="J159" s="41">
        <v>13</v>
      </c>
      <c r="K159" s="41">
        <v>13</v>
      </c>
      <c r="L159" s="32"/>
      <c r="M159" s="42"/>
      <c r="N159" s="41"/>
      <c r="O159" s="41"/>
      <c r="P159" s="43">
        <v>0</v>
      </c>
      <c r="Q159" s="43">
        <v>87</v>
      </c>
      <c r="R159" s="41"/>
      <c r="S159" s="41"/>
      <c r="T159" s="41"/>
      <c r="U159" s="41"/>
      <c r="V159" s="41"/>
      <c r="W159" s="41"/>
      <c r="X159" s="41" t="s">
        <v>655</v>
      </c>
      <c r="Y159" s="41"/>
      <c r="Z159" s="41" t="s">
        <v>3675</v>
      </c>
      <c r="AA159" s="41"/>
      <c r="AB159" s="41" t="s">
        <v>85</v>
      </c>
      <c r="AC159" s="41"/>
      <c r="AD159" s="47"/>
      <c r="AE159" s="7"/>
      <c r="AF159" s="7"/>
      <c r="AG159" s="28" t="str">
        <f t="shared" si="9"/>
        <v>(9*''**''*''*0*87******)*</v>
      </c>
    </row>
    <row r="160" spans="1:33" ht="20.100000000000001" customHeight="1" x14ac:dyDescent="0.25">
      <c r="A160" s="38">
        <v>10</v>
      </c>
      <c r="B160" s="38"/>
      <c r="C160" s="39" t="str">
        <f t="shared" si="18"/>
        <v>S010-GK3</v>
      </c>
      <c r="D160" s="39" t="str">
        <f t="shared" si="17"/>
        <v>Segment 010-GK3</v>
      </c>
      <c r="E160" s="19"/>
      <c r="F160" s="19"/>
      <c r="G160" s="19"/>
      <c r="H160" s="40">
        <v>1</v>
      </c>
      <c r="I160" s="40">
        <v>1</v>
      </c>
      <c r="J160" s="41">
        <v>13</v>
      </c>
      <c r="K160" s="41">
        <v>13</v>
      </c>
      <c r="L160" s="32"/>
      <c r="M160" s="42"/>
      <c r="N160" s="41"/>
      <c r="O160" s="41"/>
      <c r="P160" s="43">
        <v>0</v>
      </c>
      <c r="Q160" s="43">
        <v>5</v>
      </c>
      <c r="R160" s="41"/>
      <c r="S160" s="41"/>
      <c r="T160" s="41"/>
      <c r="U160" s="41"/>
      <c r="V160" s="41"/>
      <c r="W160" s="41"/>
      <c r="X160" s="41" t="s">
        <v>655</v>
      </c>
      <c r="Y160" s="41"/>
      <c r="Z160" s="41" t="s">
        <v>85</v>
      </c>
      <c r="AA160" s="41"/>
      <c r="AB160" s="41" t="s">
        <v>238</v>
      </c>
      <c r="AC160" s="41"/>
      <c r="AD160" s="47"/>
      <c r="AE160" s="7"/>
      <c r="AF160" s="7"/>
      <c r="AG160" s="28"/>
    </row>
    <row r="161" spans="1:33" ht="20.100000000000001" customHeight="1" x14ac:dyDescent="0.25">
      <c r="A161" s="38">
        <v>1</v>
      </c>
      <c r="B161" s="38"/>
      <c r="C161" s="39" t="str">
        <f t="shared" si="18"/>
        <v>S01-GG1</v>
      </c>
      <c r="D161" s="39" t="str">
        <f t="shared" si="17"/>
        <v>Segment 01-GG1</v>
      </c>
      <c r="E161" s="19"/>
      <c r="F161" s="19"/>
      <c r="G161" s="19"/>
      <c r="H161" s="40">
        <v>1</v>
      </c>
      <c r="I161" s="41"/>
      <c r="J161" s="41">
        <v>15</v>
      </c>
      <c r="K161" s="41">
        <v>15</v>
      </c>
      <c r="L161" s="32"/>
      <c r="M161" s="42"/>
      <c r="N161" s="41"/>
      <c r="O161" s="41"/>
      <c r="P161" s="43">
        <v>0</v>
      </c>
      <c r="Q161" s="43">
        <v>59.5</v>
      </c>
      <c r="R161" s="41"/>
      <c r="S161" s="41"/>
      <c r="T161" s="41"/>
      <c r="U161" s="41"/>
      <c r="V161" s="41"/>
      <c r="W161" s="41"/>
      <c r="X161" s="41" t="s">
        <v>407</v>
      </c>
      <c r="Y161" s="41"/>
      <c r="Z161" s="41" t="s">
        <v>3649</v>
      </c>
      <c r="AA161" s="41"/>
      <c r="AB161" s="41" t="s">
        <v>3677</v>
      </c>
      <c r="AC161" s="41"/>
      <c r="AD161" s="47">
        <v>16</v>
      </c>
      <c r="AE161" s="7" t="s">
        <v>660</v>
      </c>
      <c r="AF161" s="7"/>
      <c r="AG161" s="28" t="str">
        <f t="shared" si="9"/>
        <v>(1*''**''*''*0*59,5******)*</v>
      </c>
    </row>
    <row r="162" spans="1:33" ht="20.100000000000001" customHeight="1" x14ac:dyDescent="0.25">
      <c r="A162" s="38">
        <v>2</v>
      </c>
      <c r="B162" s="38"/>
      <c r="C162" s="39" t="str">
        <f t="shared" si="18"/>
        <v>S02-GG1</v>
      </c>
      <c r="D162" s="39" t="str">
        <f t="shared" si="17"/>
        <v>Segment 02-GG1</v>
      </c>
      <c r="E162" s="19"/>
      <c r="F162" s="19"/>
      <c r="G162" s="19"/>
      <c r="H162" s="40">
        <v>1</v>
      </c>
      <c r="I162" s="41"/>
      <c r="J162" s="41">
        <v>15</v>
      </c>
      <c r="K162" s="41">
        <v>15</v>
      </c>
      <c r="L162" s="32"/>
      <c r="M162" s="42"/>
      <c r="N162" s="41"/>
      <c r="O162" s="41"/>
      <c r="P162" s="43">
        <v>59.5</v>
      </c>
      <c r="Q162" s="43">
        <v>126.7</v>
      </c>
      <c r="R162" s="41"/>
      <c r="S162" s="41"/>
      <c r="T162" s="41"/>
      <c r="U162" s="41"/>
      <c r="V162" s="41"/>
      <c r="W162" s="41"/>
      <c r="X162" s="41" t="s">
        <v>407</v>
      </c>
      <c r="Y162" s="41"/>
      <c r="Z162" s="41" t="s">
        <v>3677</v>
      </c>
      <c r="AA162" s="41"/>
      <c r="AB162" s="41" t="s">
        <v>3678</v>
      </c>
      <c r="AC162" s="41"/>
      <c r="AD162" s="47"/>
      <c r="AE162" s="7"/>
      <c r="AF162" s="7"/>
      <c r="AG162" s="28"/>
    </row>
    <row r="163" spans="1:33" ht="20.100000000000001" customHeight="1" x14ac:dyDescent="0.25">
      <c r="A163" s="38">
        <v>3</v>
      </c>
      <c r="B163" s="38"/>
      <c r="C163" s="39" t="str">
        <f t="shared" si="18"/>
        <v>S03-GG1</v>
      </c>
      <c r="D163" s="39" t="str">
        <f t="shared" si="17"/>
        <v>Segment 03-GG1</v>
      </c>
      <c r="E163" s="19"/>
      <c r="F163" s="19"/>
      <c r="G163" s="19"/>
      <c r="H163" s="40">
        <v>1</v>
      </c>
      <c r="I163" s="41"/>
      <c r="J163" s="41">
        <v>15</v>
      </c>
      <c r="K163" s="41">
        <v>15</v>
      </c>
      <c r="L163" s="32"/>
      <c r="M163" s="42"/>
      <c r="N163" s="41"/>
      <c r="O163" s="41"/>
      <c r="P163" s="43">
        <v>126.7</v>
      </c>
      <c r="Q163" s="43">
        <v>181.3</v>
      </c>
      <c r="R163" s="41"/>
      <c r="S163" s="41"/>
      <c r="T163" s="41"/>
      <c r="U163" s="41"/>
      <c r="V163" s="41"/>
      <c r="W163" s="41"/>
      <c r="X163" s="41" t="s">
        <v>407</v>
      </c>
      <c r="Y163" s="41"/>
      <c r="Z163" s="41" t="s">
        <v>3678</v>
      </c>
      <c r="AA163" s="41"/>
      <c r="AB163" s="41" t="s">
        <v>2288</v>
      </c>
      <c r="AC163" s="41"/>
      <c r="AD163" s="47"/>
      <c r="AE163" s="7"/>
      <c r="AF163" s="7"/>
      <c r="AG163" s="28"/>
    </row>
    <row r="164" spans="1:33" ht="20.100000000000001" customHeight="1" x14ac:dyDescent="0.25">
      <c r="A164" s="38">
        <v>4</v>
      </c>
      <c r="B164" s="38"/>
      <c r="C164" s="39" t="str">
        <f t="shared" si="18"/>
        <v>S04-GG1</v>
      </c>
      <c r="D164" s="39" t="str">
        <f t="shared" si="17"/>
        <v>Segment 04-GG1</v>
      </c>
      <c r="E164" s="19"/>
      <c r="F164" s="19"/>
      <c r="G164" s="19"/>
      <c r="H164" s="40">
        <v>1</v>
      </c>
      <c r="I164" s="41"/>
      <c r="J164" s="41">
        <v>15</v>
      </c>
      <c r="K164" s="41">
        <v>15</v>
      </c>
      <c r="L164" s="32"/>
      <c r="M164" s="42"/>
      <c r="N164" s="41"/>
      <c r="O164" s="41"/>
      <c r="P164" s="43">
        <v>181.3</v>
      </c>
      <c r="Q164" s="43">
        <v>253.1</v>
      </c>
      <c r="R164" s="41"/>
      <c r="S164" s="41"/>
      <c r="T164" s="41"/>
      <c r="U164" s="41"/>
      <c r="V164" s="41"/>
      <c r="W164" s="41"/>
      <c r="X164" s="41" t="s">
        <v>407</v>
      </c>
      <c r="Y164" s="41"/>
      <c r="Z164" s="41" t="s">
        <v>2288</v>
      </c>
      <c r="AA164" s="41"/>
      <c r="AB164" s="41" t="s">
        <v>3679</v>
      </c>
      <c r="AC164" s="41"/>
      <c r="AD164" s="47"/>
      <c r="AE164" s="7"/>
      <c r="AF164" s="7"/>
      <c r="AG164" s="28"/>
    </row>
    <row r="165" spans="1:33" ht="20.100000000000001" customHeight="1" x14ac:dyDescent="0.25">
      <c r="A165" s="38">
        <v>5</v>
      </c>
      <c r="B165" s="38"/>
      <c r="C165" s="39" t="str">
        <f t="shared" si="18"/>
        <v>S05-GG1</v>
      </c>
      <c r="D165" s="39" t="str">
        <f t="shared" si="17"/>
        <v>Segment 05-GG1</v>
      </c>
      <c r="E165" s="19"/>
      <c r="F165" s="19"/>
      <c r="G165" s="19"/>
      <c r="H165" s="40">
        <v>1</v>
      </c>
      <c r="I165" s="41"/>
      <c r="J165" s="41">
        <v>15</v>
      </c>
      <c r="K165" s="41">
        <v>15</v>
      </c>
      <c r="L165" s="32"/>
      <c r="M165" s="42"/>
      <c r="N165" s="41"/>
      <c r="O165" s="41"/>
      <c r="P165" s="43">
        <v>253.1</v>
      </c>
      <c r="Q165" s="43">
        <v>325.89999999999998</v>
      </c>
      <c r="R165" s="41"/>
      <c r="S165" s="41"/>
      <c r="T165" s="41"/>
      <c r="U165" s="41"/>
      <c r="V165" s="41"/>
      <c r="W165" s="41"/>
      <c r="X165" s="41" t="s">
        <v>407</v>
      </c>
      <c r="Y165" s="41"/>
      <c r="Z165" s="41" t="s">
        <v>3679</v>
      </c>
      <c r="AA165" s="41"/>
      <c r="AB165" s="41" t="s">
        <v>3680</v>
      </c>
      <c r="AC165" s="41"/>
      <c r="AD165" s="47"/>
      <c r="AE165" s="7"/>
      <c r="AF165" s="7"/>
      <c r="AG165" s="28"/>
    </row>
    <row r="166" spans="1:33" ht="20.100000000000001" customHeight="1" x14ac:dyDescent="0.25">
      <c r="A166" s="38">
        <v>6</v>
      </c>
      <c r="B166" s="38"/>
      <c r="C166" s="39" t="str">
        <f t="shared" si="18"/>
        <v>S06-GG1</v>
      </c>
      <c r="D166" s="39" t="str">
        <f t="shared" si="17"/>
        <v>Segment 06-GG1</v>
      </c>
      <c r="E166" s="19"/>
      <c r="F166" s="19"/>
      <c r="G166" s="19"/>
      <c r="H166" s="40">
        <v>1</v>
      </c>
      <c r="I166" s="41"/>
      <c r="J166" s="41">
        <v>15</v>
      </c>
      <c r="K166" s="41">
        <v>15</v>
      </c>
      <c r="L166" s="32"/>
      <c r="M166" s="42"/>
      <c r="N166" s="41"/>
      <c r="O166" s="41"/>
      <c r="P166" s="43">
        <v>325.89999999999998</v>
      </c>
      <c r="Q166" s="43">
        <v>437</v>
      </c>
      <c r="R166" s="41"/>
      <c r="S166" s="41"/>
      <c r="T166" s="41"/>
      <c r="U166" s="41"/>
      <c r="V166" s="41"/>
      <c r="W166" s="41"/>
      <c r="X166" s="41" t="s">
        <v>407</v>
      </c>
      <c r="Y166" s="41"/>
      <c r="Z166" s="41" t="s">
        <v>3680</v>
      </c>
      <c r="AA166" s="41"/>
      <c r="AB166" s="41" t="s">
        <v>62</v>
      </c>
      <c r="AC166" s="41"/>
      <c r="AD166" s="47"/>
      <c r="AE166" s="7"/>
      <c r="AF166" s="7"/>
      <c r="AG166" s="28"/>
    </row>
    <row r="167" spans="1:33" ht="20.100000000000001" customHeight="1" x14ac:dyDescent="0.25">
      <c r="A167" s="38">
        <v>1</v>
      </c>
      <c r="B167" s="38"/>
      <c r="C167" s="39" t="str">
        <f t="shared" si="18"/>
        <v>S01-RGG1</v>
      </c>
      <c r="D167" s="39" t="str">
        <f t="shared" si="17"/>
        <v>Segment 01-RGG1</v>
      </c>
      <c r="E167" s="19"/>
      <c r="F167" s="19"/>
      <c r="G167" s="19"/>
      <c r="H167" s="40">
        <v>1</v>
      </c>
      <c r="I167" s="41"/>
      <c r="J167" s="41">
        <v>15</v>
      </c>
      <c r="K167" s="41">
        <v>15</v>
      </c>
      <c r="L167" s="32"/>
      <c r="M167" s="42"/>
      <c r="N167" s="41"/>
      <c r="O167" s="41"/>
      <c r="P167" s="43">
        <v>0</v>
      </c>
      <c r="Q167" s="43">
        <v>92.977999999999994</v>
      </c>
      <c r="R167" s="41"/>
      <c r="S167" s="41"/>
      <c r="T167" s="41"/>
      <c r="U167" s="41"/>
      <c r="V167" s="41"/>
      <c r="W167" s="41"/>
      <c r="X167" s="63" t="s">
        <v>410</v>
      </c>
      <c r="Y167" s="41"/>
      <c r="Z167" s="41" t="s">
        <v>34</v>
      </c>
      <c r="AA167" s="41"/>
      <c r="AB167" s="41" t="s">
        <v>3681</v>
      </c>
      <c r="AC167" s="41"/>
      <c r="AD167" s="47">
        <v>16</v>
      </c>
      <c r="AE167" s="7"/>
      <c r="AF167" s="7"/>
      <c r="AG167" s="28" t="str">
        <f t="shared" si="9"/>
        <v>(1*''**''*''*0*92,978******)*</v>
      </c>
    </row>
    <row r="168" spans="1:33" ht="20.100000000000001" customHeight="1" x14ac:dyDescent="0.25">
      <c r="A168" s="38">
        <v>2</v>
      </c>
      <c r="B168" s="38"/>
      <c r="C168" s="39" t="str">
        <f t="shared" si="18"/>
        <v>S02-RGG1</v>
      </c>
      <c r="D168" s="39" t="str">
        <f t="shared" si="17"/>
        <v>Segment 02-RGG1</v>
      </c>
      <c r="E168" s="19"/>
      <c r="F168" s="19"/>
      <c r="G168" s="19"/>
      <c r="H168" s="40">
        <v>1</v>
      </c>
      <c r="I168" s="41"/>
      <c r="J168" s="41">
        <v>15</v>
      </c>
      <c r="K168" s="41">
        <v>15</v>
      </c>
      <c r="L168" s="32"/>
      <c r="M168" s="42"/>
      <c r="N168" s="41"/>
      <c r="O168" s="41"/>
      <c r="P168" s="43">
        <v>92.977999999999994</v>
      </c>
      <c r="Q168" s="43">
        <v>207.15799999999999</v>
      </c>
      <c r="R168" s="41"/>
      <c r="S168" s="41"/>
      <c r="T168" s="41"/>
      <c r="U168" s="41"/>
      <c r="V168" s="41"/>
      <c r="W168" s="41"/>
      <c r="X168" s="63" t="s">
        <v>410</v>
      </c>
      <c r="Y168" s="41"/>
      <c r="Z168" s="41" t="s">
        <v>3681</v>
      </c>
      <c r="AA168" s="41"/>
      <c r="AB168" s="41" t="s">
        <v>66</v>
      </c>
      <c r="AC168" s="41"/>
      <c r="AD168" s="47"/>
      <c r="AE168" s="7"/>
      <c r="AF168" s="7"/>
      <c r="AG168" s="28"/>
    </row>
    <row r="169" spans="1:33" ht="20.100000000000001" customHeight="1" x14ac:dyDescent="0.25">
      <c r="A169" s="38"/>
      <c r="B169" s="38"/>
      <c r="C169" s="39" t="s">
        <v>413</v>
      </c>
      <c r="D169" s="39"/>
      <c r="E169" s="19"/>
      <c r="F169" s="19"/>
      <c r="G169" s="19"/>
      <c r="H169" s="40"/>
      <c r="I169" s="41"/>
      <c r="J169" s="41"/>
      <c r="K169" s="41"/>
      <c r="L169" s="32"/>
      <c r="M169" s="42"/>
      <c r="N169" s="41"/>
      <c r="O169" s="41"/>
      <c r="P169" s="43"/>
      <c r="Q169" s="43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7"/>
      <c r="AE169" s="7"/>
      <c r="AF169" s="7"/>
      <c r="AG169" s="28" t="str">
        <f t="shared" si="9"/>
        <v>(*''**''*''********)*</v>
      </c>
    </row>
    <row r="170" spans="1:33" ht="20.100000000000001" customHeight="1" x14ac:dyDescent="0.25">
      <c r="A170" s="38">
        <v>1</v>
      </c>
      <c r="B170" s="38"/>
      <c r="C170" s="39" t="str">
        <f t="shared" si="18"/>
        <v>S01-GR1</v>
      </c>
      <c r="D170" s="39" t="str">
        <f t="shared" si="17"/>
        <v>Segment 01-GR1</v>
      </c>
      <c r="E170" s="19">
        <v>31413</v>
      </c>
      <c r="F170" s="19">
        <v>31413</v>
      </c>
      <c r="G170" s="19" t="s">
        <v>20</v>
      </c>
      <c r="H170" s="40">
        <v>1</v>
      </c>
      <c r="I170" s="41"/>
      <c r="J170" s="41">
        <v>14</v>
      </c>
      <c r="K170" s="41">
        <v>14</v>
      </c>
      <c r="L170" s="32">
        <v>42</v>
      </c>
      <c r="M170" s="42">
        <f>Q170-P170</f>
        <v>101.01</v>
      </c>
      <c r="N170" s="41"/>
      <c r="O170" s="41">
        <v>1.4999999999999999E-2</v>
      </c>
      <c r="P170" s="43">
        <v>0</v>
      </c>
      <c r="Q170" s="43">
        <v>101.01</v>
      </c>
      <c r="R170" s="41"/>
      <c r="S170" s="41"/>
      <c r="T170" s="41" t="s">
        <v>3737</v>
      </c>
      <c r="U170" s="41"/>
      <c r="V170" s="44" t="s">
        <v>3739</v>
      </c>
      <c r="W170" s="41"/>
      <c r="X170" s="41" t="s">
        <v>415</v>
      </c>
      <c r="Y170" s="41"/>
      <c r="Z170" s="41" t="s">
        <v>58</v>
      </c>
      <c r="AA170" s="41"/>
      <c r="AB170" s="41" t="s">
        <v>3682</v>
      </c>
      <c r="AC170" s="41"/>
      <c r="AD170" s="47">
        <v>16</v>
      </c>
      <c r="AE170" s="7" t="s">
        <v>668</v>
      </c>
      <c r="AF170" s="7"/>
      <c r="AG170" s="28" t="str">
        <f t="shared" si="9"/>
        <v>(1*'42'*101,01*''*'0,015'*0*101,01******)*</v>
      </c>
    </row>
    <row r="171" spans="1:33" ht="20.100000000000001" customHeight="1" x14ac:dyDescent="0.25">
      <c r="A171" s="38">
        <v>2</v>
      </c>
      <c r="B171" s="38"/>
      <c r="C171" s="39" t="str">
        <f t="shared" si="18"/>
        <v>S02-GR1</v>
      </c>
      <c r="D171" s="39" t="str">
        <f t="shared" si="17"/>
        <v>Segment 02-GR1</v>
      </c>
      <c r="E171" s="19">
        <v>31413</v>
      </c>
      <c r="F171" s="19">
        <v>31413</v>
      </c>
      <c r="G171" s="19" t="s">
        <v>20</v>
      </c>
      <c r="H171" s="40">
        <v>1</v>
      </c>
      <c r="I171" s="41"/>
      <c r="J171" s="41">
        <v>14</v>
      </c>
      <c r="K171" s="41">
        <v>14</v>
      </c>
      <c r="L171" s="32">
        <v>42</v>
      </c>
      <c r="M171" s="42">
        <f t="shared" ref="M171:M199" si="19">Q171-P171</f>
        <v>131.37</v>
      </c>
      <c r="N171" s="41"/>
      <c r="O171" s="41">
        <v>1.4999999999999999E-2</v>
      </c>
      <c r="P171" s="43">
        <v>101.01</v>
      </c>
      <c r="Q171" s="43">
        <v>232.38</v>
      </c>
      <c r="R171" s="41"/>
      <c r="S171" s="41"/>
      <c r="T171" s="41" t="s">
        <v>3737</v>
      </c>
      <c r="U171" s="41"/>
      <c r="V171" s="41" t="s">
        <v>3739</v>
      </c>
      <c r="W171" s="41"/>
      <c r="X171" s="41" t="s">
        <v>415</v>
      </c>
      <c r="Y171" s="41"/>
      <c r="Z171" s="41" t="s">
        <v>3682</v>
      </c>
      <c r="AA171" s="41"/>
      <c r="AB171" s="41" t="s">
        <v>3683</v>
      </c>
      <c r="AC171" s="41"/>
      <c r="AD171" s="47"/>
      <c r="AE171" s="7"/>
      <c r="AF171" s="7"/>
      <c r="AG171" s="28"/>
    </row>
    <row r="172" spans="1:33" ht="20.100000000000001" customHeight="1" x14ac:dyDescent="0.25">
      <c r="A172" s="38">
        <v>3</v>
      </c>
      <c r="B172" s="38"/>
      <c r="C172" s="39" t="str">
        <f t="shared" si="18"/>
        <v>S03-GR1</v>
      </c>
      <c r="D172" s="39" t="str">
        <f t="shared" si="17"/>
        <v>Segment 03-GR1</v>
      </c>
      <c r="E172" s="19">
        <v>31413</v>
      </c>
      <c r="F172" s="19">
        <v>31413</v>
      </c>
      <c r="G172" s="19" t="s">
        <v>20</v>
      </c>
      <c r="H172" s="40">
        <v>1</v>
      </c>
      <c r="I172" s="41"/>
      <c r="J172" s="41">
        <v>14</v>
      </c>
      <c r="K172" s="41">
        <v>14</v>
      </c>
      <c r="L172" s="32">
        <v>48</v>
      </c>
      <c r="M172" s="42">
        <f t="shared" si="19"/>
        <v>65.995000000000005</v>
      </c>
      <c r="N172" s="41"/>
      <c r="O172" s="41">
        <v>1.4999999999999999E-2</v>
      </c>
      <c r="P172" s="43">
        <v>232.38</v>
      </c>
      <c r="Q172" s="43">
        <v>298.375</v>
      </c>
      <c r="R172" s="41"/>
      <c r="S172" s="41"/>
      <c r="T172" s="41" t="s">
        <v>3737</v>
      </c>
      <c r="U172" s="41"/>
      <c r="V172" s="41" t="s">
        <v>3739</v>
      </c>
      <c r="W172" s="41"/>
      <c r="X172" s="41" t="s">
        <v>415</v>
      </c>
      <c r="Y172" s="41"/>
      <c r="Z172" s="41" t="s">
        <v>3683</v>
      </c>
      <c r="AA172" s="41"/>
      <c r="AB172" s="41" t="s">
        <v>3684</v>
      </c>
      <c r="AC172" s="41"/>
      <c r="AD172" s="47"/>
      <c r="AE172" s="7"/>
      <c r="AF172" s="7"/>
      <c r="AG172" s="28"/>
    </row>
    <row r="173" spans="1:33" ht="20.100000000000001" customHeight="1" x14ac:dyDescent="0.25">
      <c r="A173" s="38">
        <v>4</v>
      </c>
      <c r="B173" s="38"/>
      <c r="C173" s="39" t="str">
        <f t="shared" si="18"/>
        <v>S04-GR1</v>
      </c>
      <c r="D173" s="39" t="str">
        <f t="shared" si="17"/>
        <v>Segment 04-GR1</v>
      </c>
      <c r="E173" s="19">
        <v>31413</v>
      </c>
      <c r="F173" s="19">
        <v>31413</v>
      </c>
      <c r="G173" s="19" t="s">
        <v>20</v>
      </c>
      <c r="H173" s="40">
        <v>1</v>
      </c>
      <c r="I173" s="41"/>
      <c r="J173" s="41">
        <v>14</v>
      </c>
      <c r="K173" s="41">
        <v>14</v>
      </c>
      <c r="L173" s="32">
        <v>48</v>
      </c>
      <c r="M173" s="42">
        <f t="shared" si="19"/>
        <v>134.34500000000003</v>
      </c>
      <c r="N173" s="41"/>
      <c r="O173" s="41">
        <v>1.4999999999999999E-2</v>
      </c>
      <c r="P173" s="43">
        <v>298.375</v>
      </c>
      <c r="Q173" s="43">
        <v>432.72</v>
      </c>
      <c r="R173" s="41"/>
      <c r="S173" s="41"/>
      <c r="T173" s="41" t="s">
        <v>3737</v>
      </c>
      <c r="U173" s="41"/>
      <c r="V173" s="41" t="s">
        <v>3739</v>
      </c>
      <c r="W173" s="41"/>
      <c r="X173" s="41" t="s">
        <v>415</v>
      </c>
      <c r="Y173" s="41"/>
      <c r="Z173" s="41" t="s">
        <v>3684</v>
      </c>
      <c r="AA173" s="41"/>
      <c r="AB173" s="41" t="s">
        <v>3685</v>
      </c>
      <c r="AC173" s="41"/>
      <c r="AD173" s="47"/>
      <c r="AE173" s="7"/>
      <c r="AF173" s="7"/>
      <c r="AG173" s="28"/>
    </row>
    <row r="174" spans="1:33" ht="20.100000000000001" customHeight="1" x14ac:dyDescent="0.25">
      <c r="A174" s="38">
        <v>5</v>
      </c>
      <c r="B174" s="38"/>
      <c r="C174" s="39" t="str">
        <f t="shared" si="18"/>
        <v>S05-GR1</v>
      </c>
      <c r="D174" s="39" t="str">
        <f t="shared" si="17"/>
        <v>Segment 05-GR1</v>
      </c>
      <c r="E174" s="19">
        <v>31413</v>
      </c>
      <c r="F174" s="19">
        <v>31413</v>
      </c>
      <c r="G174" s="19" t="s">
        <v>20</v>
      </c>
      <c r="H174" s="40">
        <v>1</v>
      </c>
      <c r="I174" s="41"/>
      <c r="J174" s="41">
        <v>14</v>
      </c>
      <c r="K174" s="41">
        <v>14</v>
      </c>
      <c r="L174" s="32">
        <v>48</v>
      </c>
      <c r="M174" s="42">
        <f t="shared" si="19"/>
        <v>72.819999999999993</v>
      </c>
      <c r="N174" s="41"/>
      <c r="O174" s="41">
        <v>1.4999999999999999E-2</v>
      </c>
      <c r="P174" s="43">
        <v>432.72</v>
      </c>
      <c r="Q174" s="43">
        <v>505.54</v>
      </c>
      <c r="R174" s="41"/>
      <c r="S174" s="41"/>
      <c r="T174" s="41" t="s">
        <v>3737</v>
      </c>
      <c r="U174" s="41"/>
      <c r="V174" s="41" t="s">
        <v>3739</v>
      </c>
      <c r="W174" s="41"/>
      <c r="X174" s="41" t="s">
        <v>415</v>
      </c>
      <c r="Y174" s="41"/>
      <c r="Z174" s="41" t="s">
        <v>3685</v>
      </c>
      <c r="AA174" s="41"/>
      <c r="AB174" s="41" t="s">
        <v>3686</v>
      </c>
      <c r="AC174" s="41"/>
      <c r="AD174" s="47"/>
      <c r="AE174" s="7"/>
      <c r="AF174" s="7"/>
      <c r="AG174" s="28"/>
    </row>
    <row r="175" spans="1:33" ht="20.100000000000001" customHeight="1" x14ac:dyDescent="0.25">
      <c r="A175" s="38">
        <v>6</v>
      </c>
      <c r="B175" s="38"/>
      <c r="C175" s="39" t="str">
        <f t="shared" si="18"/>
        <v>S06-GR1</v>
      </c>
      <c r="D175" s="39" t="str">
        <f t="shared" si="17"/>
        <v>Segment 06-GR1</v>
      </c>
      <c r="E175" s="19">
        <v>31413</v>
      </c>
      <c r="F175" s="19">
        <v>31413</v>
      </c>
      <c r="G175" s="19" t="s">
        <v>20</v>
      </c>
      <c r="H175" s="40">
        <v>1</v>
      </c>
      <c r="I175" s="41"/>
      <c r="J175" s="41">
        <v>14</v>
      </c>
      <c r="K175" s="41">
        <v>14</v>
      </c>
      <c r="L175" s="32">
        <v>48</v>
      </c>
      <c r="M175" s="42">
        <f t="shared" si="19"/>
        <v>82.81</v>
      </c>
      <c r="N175" s="41"/>
      <c r="O175" s="41">
        <v>1.4999999999999999E-2</v>
      </c>
      <c r="P175" s="43">
        <v>505.54</v>
      </c>
      <c r="Q175" s="43">
        <v>588.35</v>
      </c>
      <c r="R175" s="41"/>
      <c r="S175" s="41"/>
      <c r="T175" s="41" t="s">
        <v>3737</v>
      </c>
      <c r="U175" s="41"/>
      <c r="V175" s="41" t="s">
        <v>3739</v>
      </c>
      <c r="W175" s="41"/>
      <c r="X175" s="41" t="s">
        <v>415</v>
      </c>
      <c r="Y175" s="41"/>
      <c r="Z175" s="41" t="s">
        <v>3686</v>
      </c>
      <c r="AA175" s="41"/>
      <c r="AB175" s="41" t="s">
        <v>3687</v>
      </c>
      <c r="AC175" s="41"/>
      <c r="AD175" s="47"/>
      <c r="AE175" s="7"/>
      <c r="AF175" s="7"/>
      <c r="AG175" s="28"/>
    </row>
    <row r="176" spans="1:33" ht="20.100000000000001" customHeight="1" x14ac:dyDescent="0.25">
      <c r="A176" s="38">
        <v>7</v>
      </c>
      <c r="B176" s="38"/>
      <c r="C176" s="39" t="str">
        <f t="shared" si="18"/>
        <v>S07-GR1</v>
      </c>
      <c r="D176" s="39" t="str">
        <f t="shared" si="17"/>
        <v>Segment 07-GR1</v>
      </c>
      <c r="E176" s="19">
        <v>31413</v>
      </c>
      <c r="F176" s="19">
        <v>31413</v>
      </c>
      <c r="G176" s="19" t="s">
        <v>20</v>
      </c>
      <c r="H176" s="40">
        <v>1</v>
      </c>
      <c r="I176" s="41"/>
      <c r="J176" s="41">
        <v>14</v>
      </c>
      <c r="K176" s="41">
        <v>14</v>
      </c>
      <c r="L176" s="32">
        <v>48</v>
      </c>
      <c r="M176" s="42">
        <f t="shared" si="19"/>
        <v>67.309999999999945</v>
      </c>
      <c r="N176" s="41"/>
      <c r="O176" s="41">
        <v>1.4999999999999999E-2</v>
      </c>
      <c r="P176" s="43">
        <v>588.35</v>
      </c>
      <c r="Q176" s="43">
        <v>655.66</v>
      </c>
      <c r="R176" s="41"/>
      <c r="S176" s="41"/>
      <c r="T176" s="41" t="s">
        <v>3737</v>
      </c>
      <c r="U176" s="41"/>
      <c r="V176" s="41" t="s">
        <v>3739</v>
      </c>
      <c r="W176" s="41"/>
      <c r="X176" s="41" t="s">
        <v>415</v>
      </c>
      <c r="Y176" s="41"/>
      <c r="Z176" s="41" t="s">
        <v>3687</v>
      </c>
      <c r="AA176" s="41"/>
      <c r="AB176" s="41" t="s">
        <v>3688</v>
      </c>
      <c r="AC176" s="41"/>
      <c r="AD176" s="47"/>
      <c r="AE176" s="7"/>
      <c r="AF176" s="7"/>
      <c r="AG176" s="28"/>
    </row>
    <row r="177" spans="1:33" ht="20.100000000000001" customHeight="1" x14ac:dyDescent="0.25">
      <c r="A177" s="38">
        <v>8</v>
      </c>
      <c r="B177" s="38"/>
      <c r="C177" s="39" t="str">
        <f t="shared" si="18"/>
        <v>S08-GR1</v>
      </c>
      <c r="D177" s="39" t="str">
        <f t="shared" si="17"/>
        <v>Segment 08-GR1</v>
      </c>
      <c r="E177" s="19">
        <v>31413</v>
      </c>
      <c r="F177" s="19">
        <v>31413</v>
      </c>
      <c r="G177" s="19" t="s">
        <v>20</v>
      </c>
      <c r="H177" s="40">
        <v>1</v>
      </c>
      <c r="I177" s="41"/>
      <c r="J177" s="41">
        <v>14</v>
      </c>
      <c r="K177" s="41">
        <v>16</v>
      </c>
      <c r="L177" s="32">
        <v>48</v>
      </c>
      <c r="M177" s="42">
        <f t="shared" si="19"/>
        <v>110.95100000000002</v>
      </c>
      <c r="N177" s="41"/>
      <c r="O177" s="41">
        <v>1.4999999999999999E-2</v>
      </c>
      <c r="P177" s="43">
        <v>655.66</v>
      </c>
      <c r="Q177" s="43">
        <v>766.61099999999999</v>
      </c>
      <c r="R177" s="41"/>
      <c r="S177" s="41"/>
      <c r="T177" s="41" t="s">
        <v>3737</v>
      </c>
      <c r="U177" s="41"/>
      <c r="V177" s="41" t="s">
        <v>3739</v>
      </c>
      <c r="W177" s="41"/>
      <c r="X177" s="41" t="s">
        <v>415</v>
      </c>
      <c r="Y177" s="41"/>
      <c r="Z177" s="41" t="s">
        <v>3688</v>
      </c>
      <c r="AA177" s="41"/>
      <c r="AB177" s="41" t="s">
        <v>3689</v>
      </c>
      <c r="AC177" s="41"/>
      <c r="AD177" s="47"/>
      <c r="AE177" s="7"/>
      <c r="AF177" s="7"/>
      <c r="AG177" s="28"/>
    </row>
    <row r="178" spans="1:33" ht="20.100000000000001" customHeight="1" x14ac:dyDescent="0.25">
      <c r="A178" s="38">
        <v>9</v>
      </c>
      <c r="B178" s="38"/>
      <c r="C178" s="39" t="str">
        <f t="shared" si="18"/>
        <v>S09-GR1</v>
      </c>
      <c r="D178" s="39" t="str">
        <f t="shared" si="17"/>
        <v>Segment 09-GR1</v>
      </c>
      <c r="E178" s="19">
        <v>31413</v>
      </c>
      <c r="F178" s="19">
        <v>31413</v>
      </c>
      <c r="G178" s="19" t="s">
        <v>20</v>
      </c>
      <c r="H178" s="40">
        <v>1</v>
      </c>
      <c r="I178" s="41"/>
      <c r="J178" s="41">
        <v>14</v>
      </c>
      <c r="K178" s="41">
        <v>16</v>
      </c>
      <c r="L178" s="32">
        <v>48</v>
      </c>
      <c r="M178" s="42">
        <f t="shared" si="19"/>
        <v>101.279</v>
      </c>
      <c r="N178" s="41"/>
      <c r="O178" s="41">
        <v>1.4999999999999999E-2</v>
      </c>
      <c r="P178" s="43">
        <v>766.61099999999999</v>
      </c>
      <c r="Q178" s="43">
        <v>867.89</v>
      </c>
      <c r="R178" s="41"/>
      <c r="S178" s="41"/>
      <c r="T178" s="41" t="s">
        <v>3737</v>
      </c>
      <c r="U178" s="41"/>
      <c r="V178" s="41" t="s">
        <v>3739</v>
      </c>
      <c r="W178" s="41"/>
      <c r="X178" s="41" t="s">
        <v>415</v>
      </c>
      <c r="Y178" s="41"/>
      <c r="Z178" s="41" t="s">
        <v>3689</v>
      </c>
      <c r="AA178" s="41"/>
      <c r="AB178" s="41" t="s">
        <v>3690</v>
      </c>
      <c r="AC178" s="41"/>
      <c r="AD178" s="47"/>
      <c r="AE178" s="7"/>
      <c r="AF178" s="7"/>
      <c r="AG178" s="28"/>
    </row>
    <row r="179" spans="1:33" ht="20.100000000000001" customHeight="1" x14ac:dyDescent="0.25">
      <c r="A179" s="38">
        <v>10</v>
      </c>
      <c r="B179" s="38"/>
      <c r="C179" s="39" t="str">
        <f t="shared" si="18"/>
        <v>S010-GR1</v>
      </c>
      <c r="D179" s="39" t="str">
        <f t="shared" si="17"/>
        <v>Segment 010-GR1</v>
      </c>
      <c r="E179" s="19">
        <v>31413</v>
      </c>
      <c r="F179" s="19">
        <v>31413</v>
      </c>
      <c r="G179" s="19" t="s">
        <v>20</v>
      </c>
      <c r="H179" s="40">
        <v>1</v>
      </c>
      <c r="I179" s="41"/>
      <c r="J179" s="41">
        <v>14</v>
      </c>
      <c r="K179" s="41">
        <v>16</v>
      </c>
      <c r="L179" s="32">
        <v>48</v>
      </c>
      <c r="M179" s="42">
        <f t="shared" si="19"/>
        <v>93.580000000000041</v>
      </c>
      <c r="N179" s="41"/>
      <c r="O179" s="41">
        <v>1.4999999999999999E-2</v>
      </c>
      <c r="P179" s="43">
        <v>867.89</v>
      </c>
      <c r="Q179" s="43">
        <v>961.47</v>
      </c>
      <c r="R179" s="41"/>
      <c r="S179" s="41"/>
      <c r="T179" s="41" t="s">
        <v>3737</v>
      </c>
      <c r="U179" s="41"/>
      <c r="V179" s="41" t="s">
        <v>3739</v>
      </c>
      <c r="W179" s="41"/>
      <c r="X179" s="41" t="s">
        <v>415</v>
      </c>
      <c r="Y179" s="41"/>
      <c r="Z179" s="41" t="s">
        <v>3690</v>
      </c>
      <c r="AA179" s="41"/>
      <c r="AB179" s="41" t="s">
        <v>3691</v>
      </c>
      <c r="AC179" s="41"/>
      <c r="AD179" s="47"/>
      <c r="AE179" s="7"/>
      <c r="AF179" s="7"/>
      <c r="AG179" s="28"/>
    </row>
    <row r="180" spans="1:33" ht="20.100000000000001" customHeight="1" x14ac:dyDescent="0.25">
      <c r="A180" s="38">
        <v>11</v>
      </c>
      <c r="B180" s="38"/>
      <c r="C180" s="39" t="str">
        <f t="shared" si="18"/>
        <v>S011-GR1</v>
      </c>
      <c r="D180" s="39" t="str">
        <f t="shared" si="17"/>
        <v>Segment 011-GR1</v>
      </c>
      <c r="E180" s="19">
        <v>31413</v>
      </c>
      <c r="F180" s="19">
        <v>31413</v>
      </c>
      <c r="G180" s="19" t="s">
        <v>20</v>
      </c>
      <c r="H180" s="40">
        <v>1</v>
      </c>
      <c r="I180" s="41"/>
      <c r="J180" s="41">
        <v>14</v>
      </c>
      <c r="K180" s="41">
        <v>16</v>
      </c>
      <c r="L180" s="32">
        <v>48</v>
      </c>
      <c r="M180" s="42">
        <f t="shared" si="19"/>
        <v>4.5299999999999727</v>
      </c>
      <c r="N180" s="41"/>
      <c r="O180" s="41">
        <v>1.4999999999999999E-2</v>
      </c>
      <c r="P180" s="43">
        <v>961.47</v>
      </c>
      <c r="Q180" s="43">
        <v>966</v>
      </c>
      <c r="R180" s="41"/>
      <c r="S180" s="41"/>
      <c r="T180" s="41" t="s">
        <v>3737</v>
      </c>
      <c r="U180" s="41"/>
      <c r="V180" s="41" t="s">
        <v>3739</v>
      </c>
      <c r="W180" s="41"/>
      <c r="X180" s="41" t="s">
        <v>415</v>
      </c>
      <c r="Y180" s="41"/>
      <c r="Z180" s="41" t="s">
        <v>3691</v>
      </c>
      <c r="AA180" s="41"/>
      <c r="AB180" s="41" t="s">
        <v>3649</v>
      </c>
      <c r="AC180" s="41"/>
      <c r="AD180" s="47"/>
      <c r="AE180" s="7"/>
      <c r="AF180" s="7"/>
      <c r="AG180" s="28"/>
    </row>
    <row r="181" spans="1:33" ht="20.100000000000001" customHeight="1" x14ac:dyDescent="0.25">
      <c r="A181" s="38">
        <v>1</v>
      </c>
      <c r="B181" s="38"/>
      <c r="C181" s="39" t="str">
        <f t="shared" si="18"/>
        <v>S01-GR2</v>
      </c>
      <c r="D181" s="39" t="str">
        <f t="shared" si="17"/>
        <v>Segment 01-GR2</v>
      </c>
      <c r="E181" s="19">
        <v>36161</v>
      </c>
      <c r="F181" s="19">
        <v>36161</v>
      </c>
      <c r="G181" s="19" t="s">
        <v>20</v>
      </c>
      <c r="H181" s="40">
        <v>1</v>
      </c>
      <c r="I181" s="41"/>
      <c r="J181" s="41">
        <v>14</v>
      </c>
      <c r="K181" s="41">
        <v>14</v>
      </c>
      <c r="L181" s="32">
        <v>42</v>
      </c>
      <c r="M181" s="42">
        <f t="shared" si="19"/>
        <v>101.01</v>
      </c>
      <c r="N181" s="41"/>
      <c r="O181" s="41">
        <v>1.4999999999999999E-2</v>
      </c>
      <c r="P181" s="43">
        <v>0</v>
      </c>
      <c r="Q181" s="43">
        <v>101.01</v>
      </c>
      <c r="R181" s="41" t="s">
        <v>657</v>
      </c>
      <c r="S181" s="41"/>
      <c r="T181" s="44" t="s">
        <v>3738</v>
      </c>
      <c r="U181" s="41"/>
      <c r="V181" s="41" t="s">
        <v>3739</v>
      </c>
      <c r="W181" s="41"/>
      <c r="X181" s="41" t="s">
        <v>418</v>
      </c>
      <c r="Y181" s="41"/>
      <c r="Z181" s="41" t="s">
        <v>58</v>
      </c>
      <c r="AA181" s="41"/>
      <c r="AB181" s="41" t="s">
        <v>3692</v>
      </c>
      <c r="AC181" s="41"/>
      <c r="AD181" s="47">
        <v>16</v>
      </c>
      <c r="AE181" s="7" t="s">
        <v>670</v>
      </c>
      <c r="AF181" s="7"/>
      <c r="AG181" s="28" t="str">
        <f t="shared" si="9"/>
        <v>(1*'42'*101,01*''*'0,015'*0*101,01******)*</v>
      </c>
    </row>
    <row r="182" spans="1:33" ht="20.100000000000001" customHeight="1" x14ac:dyDescent="0.25">
      <c r="A182" s="38">
        <v>2</v>
      </c>
      <c r="B182" s="38"/>
      <c r="C182" s="39" t="str">
        <f t="shared" si="18"/>
        <v>S02-GR2</v>
      </c>
      <c r="D182" s="39" t="str">
        <f t="shared" si="17"/>
        <v>Segment 02-GR2</v>
      </c>
      <c r="E182" s="19">
        <v>36161</v>
      </c>
      <c r="F182" s="19">
        <v>36161</v>
      </c>
      <c r="G182" s="19" t="s">
        <v>20</v>
      </c>
      <c r="H182" s="40">
        <v>1</v>
      </c>
      <c r="I182" s="41"/>
      <c r="J182" s="41">
        <v>14</v>
      </c>
      <c r="K182" s="41">
        <v>14</v>
      </c>
      <c r="L182" s="32">
        <v>42</v>
      </c>
      <c r="M182" s="42">
        <f t="shared" si="19"/>
        <v>131.37</v>
      </c>
      <c r="N182" s="41"/>
      <c r="O182" s="41">
        <v>1.4999999999999999E-2</v>
      </c>
      <c r="P182" s="43">
        <v>101.01</v>
      </c>
      <c r="Q182" s="43">
        <v>232.38</v>
      </c>
      <c r="R182" s="41" t="s">
        <v>657</v>
      </c>
      <c r="S182" s="41"/>
      <c r="T182" s="44" t="s">
        <v>3738</v>
      </c>
      <c r="U182" s="41"/>
      <c r="V182" s="41" t="s">
        <v>3739</v>
      </c>
      <c r="W182" s="41"/>
      <c r="X182" s="41" t="s">
        <v>418</v>
      </c>
      <c r="Y182" s="41"/>
      <c r="Z182" s="41" t="s">
        <v>3692</v>
      </c>
      <c r="AA182" s="41"/>
      <c r="AB182" s="41" t="s">
        <v>3523</v>
      </c>
      <c r="AC182" s="41"/>
      <c r="AD182" s="47"/>
      <c r="AE182" s="7"/>
      <c r="AF182" s="7"/>
      <c r="AG182" s="28"/>
    </row>
    <row r="183" spans="1:33" ht="20.100000000000001" customHeight="1" x14ac:dyDescent="0.25">
      <c r="A183" s="38">
        <v>3</v>
      </c>
      <c r="B183" s="38"/>
      <c r="C183" s="39" t="str">
        <f t="shared" si="18"/>
        <v>S03-GR2</v>
      </c>
      <c r="D183" s="39" t="str">
        <f t="shared" ref="D183:D239" si="20">CONCATENATE("Segment 0",A183,"-",X183)</f>
        <v>Segment 03-GR2</v>
      </c>
      <c r="E183" s="19">
        <v>36161</v>
      </c>
      <c r="F183" s="19">
        <v>36161</v>
      </c>
      <c r="G183" s="19" t="s">
        <v>20</v>
      </c>
      <c r="H183" s="40">
        <v>1</v>
      </c>
      <c r="I183" s="41"/>
      <c r="J183" s="41">
        <v>14</v>
      </c>
      <c r="K183" s="41">
        <v>14</v>
      </c>
      <c r="L183" s="32">
        <v>48</v>
      </c>
      <c r="M183" s="42">
        <f t="shared" si="19"/>
        <v>65.995000000000005</v>
      </c>
      <c r="N183" s="41"/>
      <c r="O183" s="41">
        <v>1.4999999999999999E-2</v>
      </c>
      <c r="P183" s="43">
        <v>232.38</v>
      </c>
      <c r="Q183" s="43">
        <v>298.375</v>
      </c>
      <c r="R183" s="41" t="s">
        <v>657</v>
      </c>
      <c r="S183" s="41"/>
      <c r="T183" s="44" t="s">
        <v>3738</v>
      </c>
      <c r="U183" s="41"/>
      <c r="V183" s="41" t="s">
        <v>3739</v>
      </c>
      <c r="W183" s="41"/>
      <c r="X183" s="41" t="s">
        <v>418</v>
      </c>
      <c r="Y183" s="41"/>
      <c r="Z183" s="41" t="s">
        <v>3523</v>
      </c>
      <c r="AA183" s="41"/>
      <c r="AB183" s="41" t="s">
        <v>3693</v>
      </c>
      <c r="AC183" s="41"/>
      <c r="AD183" s="47"/>
      <c r="AE183" s="7"/>
      <c r="AF183" s="7"/>
      <c r="AG183" s="28"/>
    </row>
    <row r="184" spans="1:33" ht="20.100000000000001" customHeight="1" x14ac:dyDescent="0.25">
      <c r="A184" s="38">
        <v>4</v>
      </c>
      <c r="B184" s="38"/>
      <c r="C184" s="39" t="str">
        <f t="shared" si="18"/>
        <v>S04-GR2</v>
      </c>
      <c r="D184" s="39" t="str">
        <f t="shared" si="20"/>
        <v>Segment 04-GR2</v>
      </c>
      <c r="E184" s="19">
        <v>36161</v>
      </c>
      <c r="F184" s="19">
        <v>36161</v>
      </c>
      <c r="G184" s="19" t="s">
        <v>20</v>
      </c>
      <c r="H184" s="40">
        <v>1</v>
      </c>
      <c r="I184" s="41"/>
      <c r="J184" s="41">
        <v>14</v>
      </c>
      <c r="K184" s="41">
        <v>14</v>
      </c>
      <c r="L184" s="32">
        <v>48</v>
      </c>
      <c r="M184" s="42">
        <f t="shared" si="19"/>
        <v>134.34500000000003</v>
      </c>
      <c r="N184" s="41"/>
      <c r="O184" s="41">
        <v>1.4999999999999999E-2</v>
      </c>
      <c r="P184" s="43">
        <v>298.375</v>
      </c>
      <c r="Q184" s="43">
        <v>432.72</v>
      </c>
      <c r="R184" s="41" t="s">
        <v>657</v>
      </c>
      <c r="S184" s="41"/>
      <c r="T184" s="44" t="s">
        <v>3738</v>
      </c>
      <c r="U184" s="41"/>
      <c r="V184" s="41" t="s">
        <v>3739</v>
      </c>
      <c r="W184" s="41"/>
      <c r="X184" s="41" t="s">
        <v>418</v>
      </c>
      <c r="Y184" s="41"/>
      <c r="Z184" s="41" t="s">
        <v>3693</v>
      </c>
      <c r="AA184" s="41"/>
      <c r="AB184" s="41" t="s">
        <v>224</v>
      </c>
      <c r="AC184" s="41"/>
      <c r="AD184" s="47"/>
      <c r="AE184" s="7"/>
      <c r="AF184" s="7"/>
      <c r="AG184" s="28"/>
    </row>
    <row r="185" spans="1:33" ht="20.100000000000001" customHeight="1" x14ac:dyDescent="0.25">
      <c r="A185" s="38">
        <v>5</v>
      </c>
      <c r="B185" s="38"/>
      <c r="C185" s="39" t="str">
        <f t="shared" si="18"/>
        <v>S05-GR2</v>
      </c>
      <c r="D185" s="39" t="str">
        <f t="shared" si="20"/>
        <v>Segment 05-GR2</v>
      </c>
      <c r="E185" s="19">
        <v>36161</v>
      </c>
      <c r="F185" s="19">
        <v>36161</v>
      </c>
      <c r="G185" s="19" t="s">
        <v>20</v>
      </c>
      <c r="H185" s="40">
        <v>1</v>
      </c>
      <c r="I185" s="41"/>
      <c r="J185" s="41">
        <v>14</v>
      </c>
      <c r="K185" s="41">
        <v>14</v>
      </c>
      <c r="L185" s="32">
        <v>48</v>
      </c>
      <c r="M185" s="42">
        <f t="shared" si="19"/>
        <v>72.819999999999993</v>
      </c>
      <c r="N185" s="41"/>
      <c r="O185" s="41">
        <v>1.4999999999999999E-2</v>
      </c>
      <c r="P185" s="43">
        <v>432.72</v>
      </c>
      <c r="Q185" s="43">
        <v>505.54</v>
      </c>
      <c r="R185" s="41" t="s">
        <v>657</v>
      </c>
      <c r="S185" s="41"/>
      <c r="T185" s="44" t="s">
        <v>3738</v>
      </c>
      <c r="U185" s="41"/>
      <c r="V185" s="41" t="s">
        <v>3739</v>
      </c>
      <c r="W185" s="41"/>
      <c r="X185" s="41" t="s">
        <v>418</v>
      </c>
      <c r="Y185" s="41"/>
      <c r="Z185" s="41" t="s">
        <v>224</v>
      </c>
      <c r="AA185" s="41"/>
      <c r="AB185" s="41" t="s">
        <v>3694</v>
      </c>
      <c r="AC185" s="41"/>
      <c r="AD185" s="47"/>
      <c r="AE185" s="7"/>
      <c r="AF185" s="7"/>
      <c r="AG185" s="28"/>
    </row>
    <row r="186" spans="1:33" ht="20.100000000000001" customHeight="1" x14ac:dyDescent="0.25">
      <c r="A186" s="38">
        <v>6</v>
      </c>
      <c r="B186" s="38"/>
      <c r="C186" s="39" t="str">
        <f t="shared" si="18"/>
        <v>S06-GR2</v>
      </c>
      <c r="D186" s="39" t="str">
        <f t="shared" si="20"/>
        <v>Segment 06-GR2</v>
      </c>
      <c r="E186" s="19">
        <v>36161</v>
      </c>
      <c r="F186" s="19">
        <v>36161</v>
      </c>
      <c r="G186" s="19" t="s">
        <v>20</v>
      </c>
      <c r="H186" s="40">
        <v>1</v>
      </c>
      <c r="I186" s="41"/>
      <c r="J186" s="41">
        <v>14</v>
      </c>
      <c r="K186" s="41">
        <v>14</v>
      </c>
      <c r="L186" s="32">
        <v>48</v>
      </c>
      <c r="M186" s="42">
        <f t="shared" si="19"/>
        <v>82.81</v>
      </c>
      <c r="N186" s="41"/>
      <c r="O186" s="41">
        <v>1.4999999999999999E-2</v>
      </c>
      <c r="P186" s="43">
        <v>505.54</v>
      </c>
      <c r="Q186" s="43">
        <v>588.35</v>
      </c>
      <c r="R186" s="41" t="s">
        <v>657</v>
      </c>
      <c r="S186" s="41"/>
      <c r="T186" s="44" t="s">
        <v>3738</v>
      </c>
      <c r="U186" s="41"/>
      <c r="V186" s="41" t="s">
        <v>3739</v>
      </c>
      <c r="W186" s="41"/>
      <c r="X186" s="41" t="s">
        <v>418</v>
      </c>
      <c r="Y186" s="41"/>
      <c r="Z186" s="41" t="s">
        <v>3694</v>
      </c>
      <c r="AA186" s="41"/>
      <c r="AB186" s="41" t="s">
        <v>226</v>
      </c>
      <c r="AC186" s="41"/>
      <c r="AD186" s="47"/>
      <c r="AE186" s="7"/>
      <c r="AF186" s="7"/>
      <c r="AG186" s="28"/>
    </row>
    <row r="187" spans="1:33" ht="20.100000000000001" customHeight="1" x14ac:dyDescent="0.25">
      <c r="A187" s="38">
        <v>7</v>
      </c>
      <c r="B187" s="38"/>
      <c r="C187" s="39" t="str">
        <f t="shared" si="18"/>
        <v>S07-GR2</v>
      </c>
      <c r="D187" s="39" t="str">
        <f t="shared" si="20"/>
        <v>Segment 07-GR2</v>
      </c>
      <c r="E187" s="19">
        <v>36161</v>
      </c>
      <c r="F187" s="19">
        <v>36161</v>
      </c>
      <c r="G187" s="19" t="s">
        <v>20</v>
      </c>
      <c r="H187" s="40">
        <v>1</v>
      </c>
      <c r="I187" s="41"/>
      <c r="J187" s="41">
        <v>14</v>
      </c>
      <c r="K187" s="41">
        <v>14</v>
      </c>
      <c r="L187" s="32">
        <v>48</v>
      </c>
      <c r="M187" s="42">
        <f t="shared" si="19"/>
        <v>67.309999999999945</v>
      </c>
      <c r="N187" s="41"/>
      <c r="O187" s="41">
        <v>1.4999999999999999E-2</v>
      </c>
      <c r="P187" s="43">
        <v>588.35</v>
      </c>
      <c r="Q187" s="43">
        <v>655.66</v>
      </c>
      <c r="R187" s="41" t="s">
        <v>657</v>
      </c>
      <c r="S187" s="41"/>
      <c r="T187" s="44" t="s">
        <v>3738</v>
      </c>
      <c r="U187" s="41"/>
      <c r="V187" s="41" t="s">
        <v>3739</v>
      </c>
      <c r="W187" s="41"/>
      <c r="X187" s="41" t="s">
        <v>418</v>
      </c>
      <c r="Y187" s="41"/>
      <c r="Z187" s="41" t="s">
        <v>226</v>
      </c>
      <c r="AA187" s="41"/>
      <c r="AB187" s="41" t="s">
        <v>3695</v>
      </c>
      <c r="AC187" s="41"/>
      <c r="AD187" s="47"/>
      <c r="AE187" s="7"/>
      <c r="AF187" s="7"/>
      <c r="AG187" s="28"/>
    </row>
    <row r="188" spans="1:33" ht="20.100000000000001" customHeight="1" x14ac:dyDescent="0.25">
      <c r="A188" s="38">
        <v>8</v>
      </c>
      <c r="B188" s="38"/>
      <c r="C188" s="39" t="str">
        <f t="shared" si="18"/>
        <v>S08-GR2</v>
      </c>
      <c r="D188" s="39" t="str">
        <f t="shared" si="20"/>
        <v>Segment 08-GR2</v>
      </c>
      <c r="E188" s="19">
        <v>36161</v>
      </c>
      <c r="F188" s="19">
        <v>36161</v>
      </c>
      <c r="G188" s="19" t="s">
        <v>20</v>
      </c>
      <c r="H188" s="40">
        <v>1</v>
      </c>
      <c r="I188" s="41"/>
      <c r="J188" s="41">
        <v>14</v>
      </c>
      <c r="K188" s="41">
        <v>16</v>
      </c>
      <c r="L188" s="32">
        <v>48</v>
      </c>
      <c r="M188" s="42">
        <f t="shared" si="19"/>
        <v>110.95100000000002</v>
      </c>
      <c r="N188" s="41"/>
      <c r="O188" s="41">
        <v>1.4999999999999999E-2</v>
      </c>
      <c r="P188" s="43">
        <v>655.66</v>
      </c>
      <c r="Q188" s="43">
        <v>766.61099999999999</v>
      </c>
      <c r="R188" s="41" t="s">
        <v>657</v>
      </c>
      <c r="S188" s="41"/>
      <c r="T188" s="44" t="s">
        <v>3738</v>
      </c>
      <c r="U188" s="41"/>
      <c r="V188" s="41" t="s">
        <v>3739</v>
      </c>
      <c r="W188" s="41"/>
      <c r="X188" s="41" t="s">
        <v>418</v>
      </c>
      <c r="Y188" s="41"/>
      <c r="Z188" s="41" t="s">
        <v>3695</v>
      </c>
      <c r="AA188" s="41"/>
      <c r="AB188" s="41" t="s">
        <v>228</v>
      </c>
      <c r="AC188" s="41"/>
      <c r="AD188" s="47"/>
      <c r="AE188" s="7"/>
      <c r="AF188" s="7"/>
      <c r="AG188" s="28"/>
    </row>
    <row r="189" spans="1:33" ht="20.100000000000001" customHeight="1" x14ac:dyDescent="0.25">
      <c r="A189" s="38">
        <v>9</v>
      </c>
      <c r="B189" s="38"/>
      <c r="C189" s="39" t="str">
        <f t="shared" si="18"/>
        <v>S09-GR2</v>
      </c>
      <c r="D189" s="39" t="str">
        <f t="shared" si="20"/>
        <v>Segment 09-GR2</v>
      </c>
      <c r="E189" s="19">
        <v>36161</v>
      </c>
      <c r="F189" s="19">
        <v>36161</v>
      </c>
      <c r="G189" s="19" t="s">
        <v>20</v>
      </c>
      <c r="H189" s="40">
        <v>1</v>
      </c>
      <c r="I189" s="41"/>
      <c r="J189" s="41">
        <v>14</v>
      </c>
      <c r="K189" s="41">
        <v>16</v>
      </c>
      <c r="L189" s="32">
        <v>48</v>
      </c>
      <c r="M189" s="42">
        <f t="shared" si="19"/>
        <v>101.279</v>
      </c>
      <c r="N189" s="41"/>
      <c r="O189" s="41">
        <v>1.4999999999999999E-2</v>
      </c>
      <c r="P189" s="43">
        <v>766.61099999999999</v>
      </c>
      <c r="Q189" s="43">
        <v>867.89</v>
      </c>
      <c r="R189" s="41" t="s">
        <v>657</v>
      </c>
      <c r="S189" s="41"/>
      <c r="T189" s="44" t="s">
        <v>3738</v>
      </c>
      <c r="U189" s="41"/>
      <c r="V189" s="41" t="s">
        <v>3739</v>
      </c>
      <c r="W189" s="41"/>
      <c r="X189" s="41" t="s">
        <v>418</v>
      </c>
      <c r="Y189" s="41"/>
      <c r="Z189" s="41" t="s">
        <v>228</v>
      </c>
      <c r="AA189" s="41"/>
      <c r="AB189" s="41" t="s">
        <v>3696</v>
      </c>
      <c r="AC189" s="41"/>
      <c r="AD189" s="47"/>
      <c r="AE189" s="7"/>
      <c r="AF189" s="7"/>
      <c r="AG189" s="28"/>
    </row>
    <row r="190" spans="1:33" ht="20.100000000000001" customHeight="1" x14ac:dyDescent="0.25">
      <c r="A190" s="38">
        <v>10</v>
      </c>
      <c r="B190" s="38"/>
      <c r="C190" s="39" t="str">
        <f t="shared" si="18"/>
        <v>S010-GR2</v>
      </c>
      <c r="D190" s="39" t="str">
        <f t="shared" si="20"/>
        <v>Segment 010-GR2</v>
      </c>
      <c r="E190" s="19">
        <v>36161</v>
      </c>
      <c r="F190" s="19">
        <v>36161</v>
      </c>
      <c r="G190" s="19" t="s">
        <v>20</v>
      </c>
      <c r="H190" s="40">
        <v>1</v>
      </c>
      <c r="I190" s="41"/>
      <c r="J190" s="41">
        <v>14</v>
      </c>
      <c r="K190" s="41">
        <v>16</v>
      </c>
      <c r="L190" s="32">
        <v>48</v>
      </c>
      <c r="M190" s="42">
        <f t="shared" si="19"/>
        <v>93.580000000000041</v>
      </c>
      <c r="N190" s="41"/>
      <c r="O190" s="41">
        <v>1.4999999999999999E-2</v>
      </c>
      <c r="P190" s="43">
        <v>867.89</v>
      </c>
      <c r="Q190" s="43">
        <v>961.47</v>
      </c>
      <c r="R190" s="41" t="s">
        <v>657</v>
      </c>
      <c r="S190" s="41"/>
      <c r="T190" s="44" t="s">
        <v>3738</v>
      </c>
      <c r="U190" s="41"/>
      <c r="V190" s="41" t="s">
        <v>3739</v>
      </c>
      <c r="W190" s="41"/>
      <c r="X190" s="41" t="s">
        <v>418</v>
      </c>
      <c r="Y190" s="41"/>
      <c r="Z190" s="41" t="s">
        <v>3696</v>
      </c>
      <c r="AA190" s="41"/>
      <c r="AB190" s="41" t="s">
        <v>230</v>
      </c>
      <c r="AC190" s="41"/>
      <c r="AD190" s="47"/>
      <c r="AE190" s="7"/>
      <c r="AF190" s="7"/>
      <c r="AG190" s="28"/>
    </row>
    <row r="191" spans="1:33" ht="20.100000000000001" customHeight="1" x14ac:dyDescent="0.25">
      <c r="A191" s="38">
        <v>11</v>
      </c>
      <c r="B191" s="38"/>
      <c r="C191" s="39" t="str">
        <f t="shared" si="18"/>
        <v>S011-GR2</v>
      </c>
      <c r="D191" s="39" t="str">
        <f t="shared" si="20"/>
        <v>Segment 011-GR2</v>
      </c>
      <c r="E191" s="19">
        <v>36161</v>
      </c>
      <c r="F191" s="19">
        <v>36161</v>
      </c>
      <c r="G191" s="19" t="s">
        <v>20</v>
      </c>
      <c r="H191" s="40">
        <v>1</v>
      </c>
      <c r="I191" s="41"/>
      <c r="J191" s="41">
        <v>14</v>
      </c>
      <c r="K191" s="41">
        <v>16</v>
      </c>
      <c r="L191" s="32">
        <v>48</v>
      </c>
      <c r="M191" s="42">
        <f t="shared" si="19"/>
        <v>4.5299999999999727</v>
      </c>
      <c r="N191" s="41"/>
      <c r="O191" s="41">
        <v>1.4999999999999999E-2</v>
      </c>
      <c r="P191" s="43">
        <v>961.47</v>
      </c>
      <c r="Q191" s="43">
        <v>966</v>
      </c>
      <c r="R191" s="41" t="s">
        <v>657</v>
      </c>
      <c r="S191" s="41"/>
      <c r="T191" s="44" t="s">
        <v>3738</v>
      </c>
      <c r="U191" s="41"/>
      <c r="V191" s="41" t="s">
        <v>3739</v>
      </c>
      <c r="W191" s="41"/>
      <c r="X191" s="41" t="s">
        <v>418</v>
      </c>
      <c r="Y191" s="41"/>
      <c r="Z191" s="41" t="s">
        <v>230</v>
      </c>
      <c r="AA191" s="41"/>
      <c r="AB191" s="41" t="s">
        <v>3649</v>
      </c>
      <c r="AC191" s="41"/>
      <c r="AD191" s="47"/>
      <c r="AE191" s="7"/>
      <c r="AF191" s="7"/>
      <c r="AG191" s="28"/>
    </row>
    <row r="192" spans="1:33" ht="19.5" customHeight="1" x14ac:dyDescent="0.25">
      <c r="A192" s="38">
        <v>1</v>
      </c>
      <c r="B192" s="38"/>
      <c r="C192" s="41" t="s">
        <v>421</v>
      </c>
      <c r="D192" s="39"/>
      <c r="E192" s="19"/>
      <c r="F192" s="19"/>
      <c r="G192" s="19"/>
      <c r="H192" s="40"/>
      <c r="I192" s="41"/>
      <c r="J192" s="41"/>
      <c r="K192" s="41"/>
      <c r="L192" s="32"/>
      <c r="M192" s="42"/>
      <c r="N192" s="41"/>
      <c r="O192" s="41"/>
      <c r="P192" s="43"/>
      <c r="Q192" s="43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7"/>
      <c r="AE192" s="7"/>
      <c r="AF192" s="7"/>
      <c r="AG192" s="28" t="str">
        <f t="shared" si="9"/>
        <v>(1*''**''*''********)*</v>
      </c>
    </row>
    <row r="193" spans="1:33" ht="20.100000000000001" customHeight="1" x14ac:dyDescent="0.25">
      <c r="A193" s="38">
        <v>1</v>
      </c>
      <c r="B193" s="38"/>
      <c r="C193" s="39" t="str">
        <f t="shared" si="18"/>
        <v>S01-GR4</v>
      </c>
      <c r="D193" s="39" t="str">
        <f t="shared" si="20"/>
        <v>Segment 01-GR4</v>
      </c>
      <c r="E193" s="19">
        <v>42736</v>
      </c>
      <c r="F193" s="19">
        <v>42736</v>
      </c>
      <c r="G193" s="19" t="s">
        <v>20</v>
      </c>
      <c r="H193" s="40">
        <v>1</v>
      </c>
      <c r="I193" s="41"/>
      <c r="J193" s="41">
        <v>14</v>
      </c>
      <c r="K193" s="41">
        <v>14</v>
      </c>
      <c r="L193" s="32">
        <v>48</v>
      </c>
      <c r="M193" s="42">
        <f t="shared" si="19"/>
        <v>73</v>
      </c>
      <c r="N193" s="41"/>
      <c r="O193" s="41">
        <v>1.4999999999999999E-2</v>
      </c>
      <c r="P193" s="43">
        <v>0</v>
      </c>
      <c r="Q193" s="43">
        <v>73</v>
      </c>
      <c r="R193" s="41" t="s">
        <v>657</v>
      </c>
      <c r="S193" s="41"/>
      <c r="T193" s="41"/>
      <c r="U193" s="41"/>
      <c r="V193" s="41"/>
      <c r="W193" s="41"/>
      <c r="X193" s="41" t="s">
        <v>423</v>
      </c>
      <c r="Y193" s="41"/>
      <c r="Z193" s="41" t="s">
        <v>54</v>
      </c>
      <c r="AA193" s="41"/>
      <c r="AB193" s="41" t="s">
        <v>3697</v>
      </c>
      <c r="AC193" s="41"/>
      <c r="AD193" s="47">
        <v>16</v>
      </c>
      <c r="AE193" s="7" t="s">
        <v>646</v>
      </c>
      <c r="AF193" s="7"/>
      <c r="AG193" s="28" t="str">
        <f t="shared" si="9"/>
        <v>(1*'48'*73*''*'0,015'*0*73******)*</v>
      </c>
    </row>
    <row r="194" spans="1:33" ht="20.100000000000001" customHeight="1" x14ac:dyDescent="0.25">
      <c r="A194" s="38">
        <v>2</v>
      </c>
      <c r="B194" s="38"/>
      <c r="C194" s="39" t="str">
        <f t="shared" si="18"/>
        <v>S02-GR4</v>
      </c>
      <c r="D194" s="39" t="str">
        <f t="shared" si="20"/>
        <v>Segment 02-GR4</v>
      </c>
      <c r="E194" s="19">
        <v>42736</v>
      </c>
      <c r="F194" s="19">
        <v>42736</v>
      </c>
      <c r="G194" s="19" t="s">
        <v>20</v>
      </c>
      <c r="H194" s="40">
        <v>1</v>
      </c>
      <c r="I194" s="41"/>
      <c r="J194" s="41">
        <v>14</v>
      </c>
      <c r="K194" s="41">
        <v>14</v>
      </c>
      <c r="L194" s="32">
        <v>48</v>
      </c>
      <c r="M194" s="42">
        <f t="shared" si="19"/>
        <v>81.650000000000006</v>
      </c>
      <c r="N194" s="41"/>
      <c r="O194" s="41">
        <v>1.4999999999999999E-2</v>
      </c>
      <c r="P194" s="43">
        <v>73</v>
      </c>
      <c r="Q194" s="43">
        <v>154.65</v>
      </c>
      <c r="R194" s="41" t="s">
        <v>657</v>
      </c>
      <c r="S194" s="41"/>
      <c r="T194" s="41"/>
      <c r="U194" s="41"/>
      <c r="V194" s="41"/>
      <c r="W194" s="41"/>
      <c r="X194" s="41" t="s">
        <v>423</v>
      </c>
      <c r="Y194" s="41"/>
      <c r="Z194" s="41" t="s">
        <v>3697</v>
      </c>
      <c r="AA194" s="41"/>
      <c r="AB194" s="41" t="s">
        <v>3698</v>
      </c>
      <c r="AC194" s="41"/>
      <c r="AD194" s="47"/>
      <c r="AE194" s="7"/>
      <c r="AF194" s="7"/>
      <c r="AG194" s="28"/>
    </row>
    <row r="195" spans="1:33" ht="20.100000000000001" customHeight="1" x14ac:dyDescent="0.25">
      <c r="A195" s="38">
        <v>3</v>
      </c>
      <c r="B195" s="38"/>
      <c r="C195" s="39" t="str">
        <f t="shared" si="18"/>
        <v>S03-GR4</v>
      </c>
      <c r="D195" s="39" t="str">
        <f t="shared" si="20"/>
        <v>Segment 03-GR4</v>
      </c>
      <c r="E195" s="19">
        <v>42736</v>
      </c>
      <c r="F195" s="19">
        <v>42736</v>
      </c>
      <c r="G195" s="19" t="s">
        <v>20</v>
      </c>
      <c r="H195" s="40">
        <v>1</v>
      </c>
      <c r="I195" s="41"/>
      <c r="J195" s="41">
        <v>14</v>
      </c>
      <c r="K195" s="41">
        <v>14</v>
      </c>
      <c r="L195" s="32">
        <v>48</v>
      </c>
      <c r="M195" s="42">
        <f t="shared" si="19"/>
        <v>68.275999999999982</v>
      </c>
      <c r="N195" s="41"/>
      <c r="O195" s="41">
        <v>1.4999999999999999E-2</v>
      </c>
      <c r="P195" s="43">
        <v>154.65</v>
      </c>
      <c r="Q195" s="43">
        <v>222.92599999999999</v>
      </c>
      <c r="R195" s="41" t="s">
        <v>657</v>
      </c>
      <c r="S195" s="41"/>
      <c r="T195" s="41"/>
      <c r="U195" s="41"/>
      <c r="V195" s="41"/>
      <c r="W195" s="41"/>
      <c r="X195" s="41" t="s">
        <v>423</v>
      </c>
      <c r="Y195" s="41"/>
      <c r="Z195" s="41" t="s">
        <v>3698</v>
      </c>
      <c r="AA195" s="41"/>
      <c r="AB195" s="41" t="s">
        <v>3699</v>
      </c>
      <c r="AC195" s="41"/>
      <c r="AD195" s="47"/>
      <c r="AE195" s="7"/>
      <c r="AF195" s="7"/>
      <c r="AG195" s="28"/>
    </row>
    <row r="196" spans="1:33" ht="20.100000000000001" customHeight="1" x14ac:dyDescent="0.25">
      <c r="A196" s="38">
        <v>4</v>
      </c>
      <c r="B196" s="38"/>
      <c r="C196" s="39" t="str">
        <f t="shared" si="18"/>
        <v>S04-GR4</v>
      </c>
      <c r="D196" s="39" t="str">
        <f t="shared" si="20"/>
        <v>Segment 04-GR4</v>
      </c>
      <c r="E196" s="19">
        <v>42736</v>
      </c>
      <c r="F196" s="19">
        <v>42736</v>
      </c>
      <c r="G196" s="19" t="s">
        <v>20</v>
      </c>
      <c r="H196" s="40">
        <v>1</v>
      </c>
      <c r="I196" s="41"/>
      <c r="J196" s="41">
        <v>14</v>
      </c>
      <c r="K196" s="41">
        <v>16</v>
      </c>
      <c r="L196" s="32">
        <v>48</v>
      </c>
      <c r="M196" s="42">
        <f t="shared" si="19"/>
        <v>113.70100000000002</v>
      </c>
      <c r="N196" s="41"/>
      <c r="O196" s="41">
        <v>1.4999999999999999E-2</v>
      </c>
      <c r="P196" s="43">
        <v>222.92599999999999</v>
      </c>
      <c r="Q196" s="43">
        <v>336.62700000000001</v>
      </c>
      <c r="R196" s="41" t="s">
        <v>657</v>
      </c>
      <c r="S196" s="41"/>
      <c r="T196" s="41"/>
      <c r="U196" s="41"/>
      <c r="V196" s="41"/>
      <c r="W196" s="41"/>
      <c r="X196" s="41" t="s">
        <v>423</v>
      </c>
      <c r="Y196" s="41"/>
      <c r="Z196" s="41" t="s">
        <v>3699</v>
      </c>
      <c r="AA196" s="41"/>
      <c r="AB196" s="41" t="s">
        <v>3700</v>
      </c>
      <c r="AC196" s="41"/>
      <c r="AD196" s="47"/>
      <c r="AE196" s="7"/>
      <c r="AF196" s="7"/>
      <c r="AG196" s="28"/>
    </row>
    <row r="197" spans="1:33" ht="20.100000000000001" customHeight="1" x14ac:dyDescent="0.25">
      <c r="A197" s="38">
        <v>5</v>
      </c>
      <c r="B197" s="38"/>
      <c r="C197" s="39" t="str">
        <f t="shared" si="18"/>
        <v>S05-GR4</v>
      </c>
      <c r="D197" s="39" t="str">
        <f t="shared" si="20"/>
        <v>Segment 05-GR4</v>
      </c>
      <c r="E197" s="19">
        <v>42736</v>
      </c>
      <c r="F197" s="19">
        <v>42736</v>
      </c>
      <c r="G197" s="19" t="s">
        <v>20</v>
      </c>
      <c r="H197" s="40">
        <v>1</v>
      </c>
      <c r="I197" s="41"/>
      <c r="J197" s="41">
        <v>14</v>
      </c>
      <c r="K197" s="41">
        <v>16</v>
      </c>
      <c r="L197" s="32">
        <v>48</v>
      </c>
      <c r="M197" s="42">
        <f t="shared" si="19"/>
        <v>101.02699999999999</v>
      </c>
      <c r="N197" s="41"/>
      <c r="O197" s="41">
        <v>1.4999999999999999E-2</v>
      </c>
      <c r="P197" s="43">
        <v>336.62700000000001</v>
      </c>
      <c r="Q197" s="43">
        <v>437.654</v>
      </c>
      <c r="R197" s="41" t="s">
        <v>657</v>
      </c>
      <c r="S197" s="41"/>
      <c r="T197" s="41"/>
      <c r="U197" s="41"/>
      <c r="V197" s="41"/>
      <c r="W197" s="41"/>
      <c r="X197" s="41" t="s">
        <v>423</v>
      </c>
      <c r="Y197" s="41"/>
      <c r="Z197" s="41" t="s">
        <v>3700</v>
      </c>
      <c r="AA197" s="41"/>
      <c r="AB197" s="41" t="s">
        <v>3701</v>
      </c>
      <c r="AC197" s="41"/>
      <c r="AD197" s="47"/>
      <c r="AE197" s="7"/>
      <c r="AF197" s="7"/>
      <c r="AG197" s="28"/>
    </row>
    <row r="198" spans="1:33" ht="20.100000000000001" customHeight="1" x14ac:dyDescent="0.25">
      <c r="A198" s="38">
        <v>6</v>
      </c>
      <c r="B198" s="38"/>
      <c r="C198" s="39" t="str">
        <f t="shared" si="18"/>
        <v>S06-GR4</v>
      </c>
      <c r="D198" s="39" t="str">
        <f t="shared" si="20"/>
        <v>Segment 06-GR4</v>
      </c>
      <c r="E198" s="19">
        <v>42736</v>
      </c>
      <c r="F198" s="19">
        <v>42736</v>
      </c>
      <c r="G198" s="19" t="s">
        <v>20</v>
      </c>
      <c r="H198" s="40">
        <v>1</v>
      </c>
      <c r="I198" s="41"/>
      <c r="J198" s="41">
        <v>14</v>
      </c>
      <c r="K198" s="41">
        <v>16</v>
      </c>
      <c r="L198" s="32">
        <v>48</v>
      </c>
      <c r="M198" s="42">
        <f t="shared" si="19"/>
        <v>92.846000000000004</v>
      </c>
      <c r="N198" s="41"/>
      <c r="O198" s="41">
        <v>1.4999999999999999E-2</v>
      </c>
      <c r="P198" s="43">
        <v>437.654</v>
      </c>
      <c r="Q198" s="43">
        <v>530.5</v>
      </c>
      <c r="R198" s="41" t="s">
        <v>657</v>
      </c>
      <c r="S198" s="41"/>
      <c r="T198" s="41"/>
      <c r="U198" s="41"/>
      <c r="V198" s="41"/>
      <c r="W198" s="41"/>
      <c r="X198" s="41" t="s">
        <v>423</v>
      </c>
      <c r="Y198" s="41"/>
      <c r="Z198" s="41" t="s">
        <v>3701</v>
      </c>
      <c r="AA198" s="41"/>
      <c r="AB198" s="41" t="s">
        <v>3524</v>
      </c>
      <c r="AC198" s="41"/>
      <c r="AD198" s="47"/>
      <c r="AE198" s="7"/>
      <c r="AF198" s="7"/>
      <c r="AG198" s="28"/>
    </row>
    <row r="199" spans="1:33" ht="20.100000000000001" customHeight="1" x14ac:dyDescent="0.25">
      <c r="A199" s="38">
        <v>7</v>
      </c>
      <c r="B199" s="38"/>
      <c r="C199" s="39" t="str">
        <f t="shared" si="18"/>
        <v>S07-GR4</v>
      </c>
      <c r="D199" s="39" t="str">
        <f t="shared" si="20"/>
        <v>Segment 07-GR4</v>
      </c>
      <c r="E199" s="19">
        <v>42736</v>
      </c>
      <c r="F199" s="19">
        <v>42736</v>
      </c>
      <c r="G199" s="19" t="s">
        <v>20</v>
      </c>
      <c r="H199" s="40">
        <v>1</v>
      </c>
      <c r="I199" s="41"/>
      <c r="J199" s="41">
        <v>14</v>
      </c>
      <c r="K199" s="41">
        <v>16</v>
      </c>
      <c r="L199" s="32">
        <v>48</v>
      </c>
      <c r="M199" s="42">
        <f t="shared" si="19"/>
        <v>4.5</v>
      </c>
      <c r="N199" s="41"/>
      <c r="O199" s="41">
        <v>1.4999999999999999E-2</v>
      </c>
      <c r="P199" s="43">
        <v>530.5</v>
      </c>
      <c r="Q199" s="43">
        <v>535</v>
      </c>
      <c r="R199" s="41" t="s">
        <v>657</v>
      </c>
      <c r="S199" s="41"/>
      <c r="T199" s="41"/>
      <c r="U199" s="41"/>
      <c r="V199" s="41"/>
      <c r="W199" s="41"/>
      <c r="X199" s="41" t="s">
        <v>423</v>
      </c>
      <c r="Y199" s="41"/>
      <c r="Z199" s="41" t="s">
        <v>3524</v>
      </c>
      <c r="AA199" s="41"/>
      <c r="AB199" s="41" t="s">
        <v>3649</v>
      </c>
      <c r="AC199" s="41"/>
      <c r="AD199" s="47"/>
      <c r="AE199" s="7"/>
      <c r="AF199" s="7"/>
      <c r="AG199" s="28"/>
    </row>
    <row r="200" spans="1:33" ht="20.100000000000001" customHeight="1" x14ac:dyDescent="0.25">
      <c r="A200" s="38">
        <v>1</v>
      </c>
      <c r="B200" s="38"/>
      <c r="C200" s="39" t="str">
        <f t="shared" si="18"/>
        <v>S01-GR5</v>
      </c>
      <c r="D200" s="39" t="str">
        <f t="shared" si="20"/>
        <v>Segment 01-GR5</v>
      </c>
      <c r="E200" s="19">
        <v>42736</v>
      </c>
      <c r="F200" s="19">
        <v>42736</v>
      </c>
      <c r="G200" s="19" t="s">
        <v>20</v>
      </c>
      <c r="H200" s="40">
        <v>1</v>
      </c>
      <c r="I200" s="41"/>
      <c r="J200" s="41">
        <v>16</v>
      </c>
      <c r="K200" s="41">
        <v>16</v>
      </c>
      <c r="L200" s="32"/>
      <c r="M200" s="42">
        <f>Q200-P200</f>
        <v>75</v>
      </c>
      <c r="N200" s="44"/>
      <c r="O200" s="41">
        <v>1.4999999999999999E-2</v>
      </c>
      <c r="P200" s="43">
        <v>0</v>
      </c>
      <c r="Q200" s="43">
        <v>75</v>
      </c>
      <c r="R200" s="41" t="s">
        <v>657</v>
      </c>
      <c r="S200" s="41"/>
      <c r="T200" s="41"/>
      <c r="U200" s="41"/>
      <c r="V200" s="41"/>
      <c r="W200" s="41"/>
      <c r="X200" s="41" t="s">
        <v>425</v>
      </c>
      <c r="Y200" s="41"/>
      <c r="Z200" s="41" t="s">
        <v>81</v>
      </c>
      <c r="AA200" s="41"/>
      <c r="AB200" s="41" t="s">
        <v>3702</v>
      </c>
      <c r="AC200" s="41"/>
      <c r="AD200" s="47">
        <v>16</v>
      </c>
      <c r="AE200" s="7" t="s">
        <v>677</v>
      </c>
      <c r="AF200" s="7"/>
      <c r="AG200" s="28" t="str">
        <f t="shared" si="9"/>
        <v>(1*''*75*''*'0,015'*0*75******)*</v>
      </c>
    </row>
    <row r="201" spans="1:33" ht="20.100000000000001" customHeight="1" x14ac:dyDescent="0.25">
      <c r="A201" s="38">
        <v>2</v>
      </c>
      <c r="B201" s="38"/>
      <c r="C201" s="39" t="str">
        <f t="shared" si="18"/>
        <v>S02-GR5</v>
      </c>
      <c r="D201" s="39" t="str">
        <f t="shared" si="20"/>
        <v>Segment 02-GR5</v>
      </c>
      <c r="E201" s="19">
        <v>42736</v>
      </c>
      <c r="F201" s="19">
        <v>42736</v>
      </c>
      <c r="G201" s="19" t="s">
        <v>20</v>
      </c>
      <c r="H201" s="40">
        <v>1</v>
      </c>
      <c r="I201" s="41"/>
      <c r="J201" s="41">
        <v>16</v>
      </c>
      <c r="K201" s="41">
        <v>16</v>
      </c>
      <c r="L201" s="32"/>
      <c r="M201" s="42">
        <f t="shared" ref="M201:M214" si="21">Q201-P201</f>
        <v>120</v>
      </c>
      <c r="N201" s="44"/>
      <c r="O201" s="41">
        <v>1.4999999999999999E-2</v>
      </c>
      <c r="P201" s="43">
        <v>75</v>
      </c>
      <c r="Q201" s="43">
        <v>195</v>
      </c>
      <c r="R201" s="41" t="s">
        <v>657</v>
      </c>
      <c r="S201" s="41"/>
      <c r="T201" s="41"/>
      <c r="U201" s="41"/>
      <c r="V201" s="41"/>
      <c r="W201" s="41"/>
      <c r="X201" s="41" t="s">
        <v>425</v>
      </c>
      <c r="Y201" s="41"/>
      <c r="Z201" s="41" t="s">
        <v>3702</v>
      </c>
      <c r="AA201" s="41"/>
      <c r="AB201" s="41" t="s">
        <v>3703</v>
      </c>
      <c r="AC201" s="41"/>
      <c r="AD201" s="47"/>
      <c r="AE201" s="7"/>
      <c r="AF201" s="7"/>
      <c r="AG201" s="28"/>
    </row>
    <row r="202" spans="1:33" ht="20.100000000000001" customHeight="1" x14ac:dyDescent="0.25">
      <c r="A202" s="38">
        <v>3</v>
      </c>
      <c r="B202" s="38"/>
      <c r="C202" s="39" t="str">
        <f t="shared" si="18"/>
        <v>S03-GR5</v>
      </c>
      <c r="D202" s="39" t="str">
        <f t="shared" si="20"/>
        <v>Segment 03-GR5</v>
      </c>
      <c r="E202" s="19">
        <v>42736</v>
      </c>
      <c r="F202" s="19">
        <v>42736</v>
      </c>
      <c r="G202" s="19" t="s">
        <v>20</v>
      </c>
      <c r="H202" s="40">
        <v>1</v>
      </c>
      <c r="I202" s="41"/>
      <c r="J202" s="41">
        <v>16</v>
      </c>
      <c r="K202" s="41">
        <v>16</v>
      </c>
      <c r="L202" s="32"/>
      <c r="M202" s="42">
        <f t="shared" si="21"/>
        <v>114</v>
      </c>
      <c r="N202" s="44"/>
      <c r="O202" s="41">
        <v>1.4999999999999999E-2</v>
      </c>
      <c r="P202" s="43">
        <v>195</v>
      </c>
      <c r="Q202" s="43">
        <v>309</v>
      </c>
      <c r="R202" s="41" t="s">
        <v>657</v>
      </c>
      <c r="S202" s="41"/>
      <c r="T202" s="41"/>
      <c r="U202" s="41"/>
      <c r="V202" s="41"/>
      <c r="W202" s="41"/>
      <c r="X202" s="41" t="s">
        <v>425</v>
      </c>
      <c r="Y202" s="41"/>
      <c r="Z202" s="41" t="s">
        <v>3703</v>
      </c>
      <c r="AA202" s="41"/>
      <c r="AB202" s="41" t="s">
        <v>3704</v>
      </c>
      <c r="AC202" s="41"/>
      <c r="AD202" s="47"/>
      <c r="AE202" s="7"/>
      <c r="AF202" s="7"/>
      <c r="AG202" s="28"/>
    </row>
    <row r="203" spans="1:33" ht="20.100000000000001" customHeight="1" x14ac:dyDescent="0.25">
      <c r="A203" s="38">
        <v>4</v>
      </c>
      <c r="B203" s="38"/>
      <c r="C203" s="39" t="str">
        <f t="shared" si="18"/>
        <v>S04-GR5</v>
      </c>
      <c r="D203" s="39" t="str">
        <f t="shared" si="20"/>
        <v>Segment 04-GR5</v>
      </c>
      <c r="E203" s="19">
        <v>42736</v>
      </c>
      <c r="F203" s="19">
        <v>42736</v>
      </c>
      <c r="G203" s="19" t="s">
        <v>20</v>
      </c>
      <c r="H203" s="40">
        <v>1</v>
      </c>
      <c r="I203" s="41"/>
      <c r="J203" s="41">
        <v>16</v>
      </c>
      <c r="K203" s="41">
        <v>16</v>
      </c>
      <c r="L203" s="32"/>
      <c r="M203" s="42">
        <f t="shared" si="21"/>
        <v>109</v>
      </c>
      <c r="N203" s="44"/>
      <c r="O203" s="41">
        <v>1.4999999999999999E-2</v>
      </c>
      <c r="P203" s="43">
        <v>309</v>
      </c>
      <c r="Q203" s="43">
        <v>418</v>
      </c>
      <c r="R203" s="41" t="s">
        <v>657</v>
      </c>
      <c r="S203" s="41"/>
      <c r="T203" s="41"/>
      <c r="U203" s="41"/>
      <c r="V203" s="41"/>
      <c r="W203" s="41"/>
      <c r="X203" s="41" t="s">
        <v>425</v>
      </c>
      <c r="Y203" s="41"/>
      <c r="Z203" s="41" t="s">
        <v>3704</v>
      </c>
      <c r="AA203" s="41"/>
      <c r="AB203" s="41" t="s">
        <v>3705</v>
      </c>
      <c r="AC203" s="41"/>
      <c r="AD203" s="47"/>
      <c r="AE203" s="7"/>
      <c r="AF203" s="7"/>
      <c r="AG203" s="28"/>
    </row>
    <row r="204" spans="1:33" ht="20.100000000000001" customHeight="1" x14ac:dyDescent="0.25">
      <c r="A204" s="38">
        <v>5</v>
      </c>
      <c r="B204" s="38"/>
      <c r="C204" s="39" t="str">
        <f t="shared" si="18"/>
        <v>S05-GR5</v>
      </c>
      <c r="D204" s="39" t="str">
        <f t="shared" si="20"/>
        <v>Segment 05-GR5</v>
      </c>
      <c r="E204" s="19">
        <v>42736</v>
      </c>
      <c r="F204" s="19">
        <v>42736</v>
      </c>
      <c r="G204" s="19" t="s">
        <v>20</v>
      </c>
      <c r="H204" s="40">
        <v>1</v>
      </c>
      <c r="I204" s="41"/>
      <c r="J204" s="41">
        <v>16</v>
      </c>
      <c r="K204" s="41">
        <v>16</v>
      </c>
      <c r="L204" s="32"/>
      <c r="M204" s="42">
        <f t="shared" si="21"/>
        <v>115</v>
      </c>
      <c r="N204" s="44"/>
      <c r="O204" s="41">
        <v>1.4999999999999999E-2</v>
      </c>
      <c r="P204" s="43">
        <v>418</v>
      </c>
      <c r="Q204" s="43">
        <v>533</v>
      </c>
      <c r="R204" s="41" t="s">
        <v>657</v>
      </c>
      <c r="S204" s="41"/>
      <c r="T204" s="41"/>
      <c r="U204" s="41"/>
      <c r="V204" s="41"/>
      <c r="W204" s="41"/>
      <c r="X204" s="41" t="s">
        <v>425</v>
      </c>
      <c r="Y204" s="41"/>
      <c r="Z204" s="41" t="s">
        <v>3705</v>
      </c>
      <c r="AA204" s="41"/>
      <c r="AB204" s="41" t="s">
        <v>3706</v>
      </c>
      <c r="AC204" s="41"/>
      <c r="AD204" s="47"/>
      <c r="AE204" s="7"/>
      <c r="AF204" s="7"/>
      <c r="AG204" s="28"/>
    </row>
    <row r="205" spans="1:33" ht="20.100000000000001" customHeight="1" x14ac:dyDescent="0.25">
      <c r="A205" s="38">
        <v>6</v>
      </c>
      <c r="B205" s="38"/>
      <c r="C205" s="39" t="str">
        <f t="shared" si="18"/>
        <v>S06-GR5</v>
      </c>
      <c r="D205" s="39" t="str">
        <f t="shared" si="20"/>
        <v>Segment 06-GR5</v>
      </c>
      <c r="E205" s="19">
        <v>42736</v>
      </c>
      <c r="F205" s="19">
        <v>42736</v>
      </c>
      <c r="G205" s="19" t="s">
        <v>20</v>
      </c>
      <c r="H205" s="40">
        <v>1</v>
      </c>
      <c r="I205" s="41"/>
      <c r="J205" s="41">
        <v>16</v>
      </c>
      <c r="K205" s="41">
        <v>16</v>
      </c>
      <c r="L205" s="32"/>
      <c r="M205" s="42">
        <f t="shared" si="21"/>
        <v>116.55899999999997</v>
      </c>
      <c r="N205" s="44"/>
      <c r="O205" s="41">
        <v>1.4999999999999999E-2</v>
      </c>
      <c r="P205" s="43">
        <v>533</v>
      </c>
      <c r="Q205" s="43">
        <v>649.55899999999997</v>
      </c>
      <c r="R205" s="41" t="s">
        <v>657</v>
      </c>
      <c r="S205" s="41"/>
      <c r="T205" s="41"/>
      <c r="U205" s="41"/>
      <c r="V205" s="41"/>
      <c r="W205" s="41"/>
      <c r="X205" s="41" t="s">
        <v>425</v>
      </c>
      <c r="Y205" s="41"/>
      <c r="Z205" s="41" t="s">
        <v>3706</v>
      </c>
      <c r="AA205" s="41"/>
      <c r="AB205" s="41" t="s">
        <v>3707</v>
      </c>
      <c r="AC205" s="41"/>
      <c r="AD205" s="47"/>
      <c r="AE205" s="7"/>
      <c r="AF205" s="7"/>
      <c r="AG205" s="28"/>
    </row>
    <row r="206" spans="1:33" ht="20.100000000000001" customHeight="1" x14ac:dyDescent="0.25">
      <c r="A206" s="38">
        <v>7</v>
      </c>
      <c r="B206" s="38"/>
      <c r="C206" s="39" t="str">
        <f t="shared" si="18"/>
        <v>S07-GR5</v>
      </c>
      <c r="D206" s="39" t="str">
        <f t="shared" si="20"/>
        <v>Segment 07-GR5</v>
      </c>
      <c r="E206" s="19">
        <v>42736</v>
      </c>
      <c r="F206" s="19">
        <v>42736</v>
      </c>
      <c r="G206" s="19" t="s">
        <v>20</v>
      </c>
      <c r="H206" s="40">
        <v>1</v>
      </c>
      <c r="I206" s="41"/>
      <c r="J206" s="41">
        <v>16</v>
      </c>
      <c r="K206" s="41">
        <v>16</v>
      </c>
      <c r="L206" s="32"/>
      <c r="M206" s="42">
        <f t="shared" si="21"/>
        <v>113.03100000000006</v>
      </c>
      <c r="N206" s="44"/>
      <c r="O206" s="41">
        <v>1.4999999999999999E-2</v>
      </c>
      <c r="P206" s="43">
        <v>649.55899999999997</v>
      </c>
      <c r="Q206" s="43">
        <v>762.59</v>
      </c>
      <c r="R206" s="41" t="s">
        <v>657</v>
      </c>
      <c r="S206" s="41"/>
      <c r="T206" s="41"/>
      <c r="U206" s="41"/>
      <c r="V206" s="41"/>
      <c r="W206" s="41"/>
      <c r="X206" s="41" t="s">
        <v>425</v>
      </c>
      <c r="Y206" s="41"/>
      <c r="Z206" s="41" t="s">
        <v>3707</v>
      </c>
      <c r="AA206" s="41"/>
      <c r="AB206" s="41" t="s">
        <v>2728</v>
      </c>
      <c r="AC206" s="41"/>
      <c r="AD206" s="47"/>
      <c r="AE206" s="7"/>
      <c r="AF206" s="7"/>
      <c r="AG206" s="28"/>
    </row>
    <row r="207" spans="1:33" ht="20.100000000000001" customHeight="1" x14ac:dyDescent="0.25">
      <c r="A207" s="38">
        <v>8</v>
      </c>
      <c r="B207" s="38"/>
      <c r="C207" s="39" t="str">
        <f t="shared" si="18"/>
        <v>S08-GR5</v>
      </c>
      <c r="D207" s="39" t="str">
        <f t="shared" si="20"/>
        <v>Segment 08-GR5</v>
      </c>
      <c r="E207" s="19">
        <v>42736</v>
      </c>
      <c r="F207" s="19">
        <v>42736</v>
      </c>
      <c r="G207" s="19" t="s">
        <v>20</v>
      </c>
      <c r="H207" s="40">
        <v>1</v>
      </c>
      <c r="I207" s="41"/>
      <c r="J207" s="41">
        <v>16</v>
      </c>
      <c r="K207" s="41">
        <v>16</v>
      </c>
      <c r="L207" s="32"/>
      <c r="M207" s="42">
        <f t="shared" si="21"/>
        <v>7.4099999999999682</v>
      </c>
      <c r="N207" s="44"/>
      <c r="O207" s="41">
        <v>1.4999999999999999E-2</v>
      </c>
      <c r="P207" s="43">
        <v>762.59</v>
      </c>
      <c r="Q207" s="43">
        <v>770</v>
      </c>
      <c r="R207" s="41" t="s">
        <v>657</v>
      </c>
      <c r="S207" s="41"/>
      <c r="T207" s="41"/>
      <c r="U207" s="41"/>
      <c r="V207" s="41"/>
      <c r="W207" s="41"/>
      <c r="X207" s="41" t="s">
        <v>425</v>
      </c>
      <c r="Y207" s="41"/>
      <c r="Z207" s="41" t="s">
        <v>2728</v>
      </c>
      <c r="AA207" s="41"/>
      <c r="AB207" s="41" t="s">
        <v>3649</v>
      </c>
      <c r="AC207" s="41"/>
      <c r="AD207" s="47"/>
      <c r="AE207" s="7"/>
      <c r="AF207" s="7"/>
      <c r="AG207" s="28"/>
    </row>
    <row r="208" spans="1:33" ht="20.100000000000001" customHeight="1" x14ac:dyDescent="0.25">
      <c r="A208" s="38">
        <v>1</v>
      </c>
      <c r="B208" s="38"/>
      <c r="C208" s="39" t="str">
        <f t="shared" si="18"/>
        <v>S01-GR6</v>
      </c>
      <c r="D208" s="39" t="str">
        <f t="shared" si="20"/>
        <v>Segment 01-GR6</v>
      </c>
      <c r="E208" s="19">
        <v>42736</v>
      </c>
      <c r="F208" s="19">
        <v>42736</v>
      </c>
      <c r="G208" s="19" t="s">
        <v>20</v>
      </c>
      <c r="H208" s="40">
        <v>1</v>
      </c>
      <c r="I208" s="41"/>
      <c r="J208" s="41">
        <v>14</v>
      </c>
      <c r="K208" s="41">
        <v>14</v>
      </c>
      <c r="L208" s="32">
        <v>48</v>
      </c>
      <c r="M208" s="42">
        <f t="shared" si="21"/>
        <v>71.302999999999997</v>
      </c>
      <c r="N208" s="41"/>
      <c r="O208" s="41">
        <v>1.4999999999999999E-2</v>
      </c>
      <c r="P208" s="43">
        <v>0</v>
      </c>
      <c r="Q208" s="43">
        <v>71.302999999999997</v>
      </c>
      <c r="R208" s="41" t="s">
        <v>657</v>
      </c>
      <c r="S208" s="41"/>
      <c r="T208" s="41"/>
      <c r="U208" s="41"/>
      <c r="V208" s="41"/>
      <c r="W208" s="41"/>
      <c r="X208" s="41" t="s">
        <v>428</v>
      </c>
      <c r="Y208" s="41"/>
      <c r="Z208" s="41" t="s">
        <v>54</v>
      </c>
      <c r="AA208" s="41"/>
      <c r="AB208" s="41" t="s">
        <v>3708</v>
      </c>
      <c r="AC208" s="41"/>
      <c r="AD208" s="47">
        <v>16</v>
      </c>
      <c r="AE208" s="7" t="s">
        <v>646</v>
      </c>
      <c r="AF208" s="7"/>
      <c r="AG208" s="28" t="str">
        <f t="shared" si="9"/>
        <v>(1*'48'*71,303*''*'0,015'*0*71,303******)*</v>
      </c>
    </row>
    <row r="209" spans="1:33" ht="20.100000000000001" customHeight="1" x14ac:dyDescent="0.25">
      <c r="A209" s="38">
        <v>2</v>
      </c>
      <c r="B209" s="38"/>
      <c r="C209" s="39" t="str">
        <f t="shared" si="18"/>
        <v>S02-GR6</v>
      </c>
      <c r="D209" s="39" t="str">
        <f t="shared" si="20"/>
        <v>Segment 02-GR6</v>
      </c>
      <c r="E209" s="19">
        <v>42736</v>
      </c>
      <c r="F209" s="19">
        <v>42736</v>
      </c>
      <c r="G209" s="19" t="s">
        <v>20</v>
      </c>
      <c r="H209" s="40">
        <v>1</v>
      </c>
      <c r="I209" s="41"/>
      <c r="J209" s="41">
        <v>14</v>
      </c>
      <c r="K209" s="41">
        <v>14</v>
      </c>
      <c r="L209" s="32">
        <v>48</v>
      </c>
      <c r="M209" s="42">
        <f t="shared" si="21"/>
        <v>82.588999999999999</v>
      </c>
      <c r="N209" s="41"/>
      <c r="O209" s="41">
        <v>1.4999999999999999E-2</v>
      </c>
      <c r="P209" s="43">
        <v>71.302999999999997</v>
      </c>
      <c r="Q209" s="43">
        <v>153.892</v>
      </c>
      <c r="R209" s="41" t="s">
        <v>657</v>
      </c>
      <c r="S209" s="41"/>
      <c r="T209" s="41"/>
      <c r="U209" s="41"/>
      <c r="V209" s="41"/>
      <c r="W209" s="41"/>
      <c r="X209" s="41" t="s">
        <v>428</v>
      </c>
      <c r="Y209" s="41"/>
      <c r="Z209" s="41" t="s">
        <v>3708</v>
      </c>
      <c r="AA209" s="41"/>
      <c r="AB209" s="41" t="s">
        <v>3709</v>
      </c>
      <c r="AC209" s="41"/>
      <c r="AD209" s="47"/>
      <c r="AE209" s="7"/>
      <c r="AF209" s="7"/>
      <c r="AG209" s="28"/>
    </row>
    <row r="210" spans="1:33" ht="20.100000000000001" customHeight="1" x14ac:dyDescent="0.25">
      <c r="A210" s="38">
        <v>3</v>
      </c>
      <c r="B210" s="38"/>
      <c r="C210" s="39" t="str">
        <f t="shared" si="18"/>
        <v>S03-GR6</v>
      </c>
      <c r="D210" s="39" t="str">
        <f t="shared" si="20"/>
        <v>Segment 03-GR6</v>
      </c>
      <c r="E210" s="19">
        <v>42736</v>
      </c>
      <c r="F210" s="19">
        <v>42736</v>
      </c>
      <c r="G210" s="19" t="s">
        <v>20</v>
      </c>
      <c r="H210" s="40">
        <v>1</v>
      </c>
      <c r="I210" s="41"/>
      <c r="J210" s="41">
        <v>14</v>
      </c>
      <c r="K210" s="41">
        <v>14</v>
      </c>
      <c r="L210" s="32">
        <v>48</v>
      </c>
      <c r="M210" s="42">
        <f t="shared" si="21"/>
        <v>67.713999999999999</v>
      </c>
      <c r="N210" s="41"/>
      <c r="O210" s="41">
        <v>1.4999999999999999E-2</v>
      </c>
      <c r="P210" s="43">
        <v>153.892</v>
      </c>
      <c r="Q210" s="43">
        <v>221.60599999999999</v>
      </c>
      <c r="R210" s="41" t="s">
        <v>657</v>
      </c>
      <c r="S210" s="41"/>
      <c r="T210" s="41"/>
      <c r="U210" s="41"/>
      <c r="V210" s="41"/>
      <c r="W210" s="41"/>
      <c r="X210" s="41" t="s">
        <v>428</v>
      </c>
      <c r="Y210" s="41"/>
      <c r="Z210" s="41" t="s">
        <v>3709</v>
      </c>
      <c r="AA210" s="41"/>
      <c r="AB210" s="41" t="s">
        <v>3710</v>
      </c>
      <c r="AC210" s="41"/>
      <c r="AD210" s="47"/>
      <c r="AE210" s="7"/>
      <c r="AF210" s="7"/>
      <c r="AG210" s="28"/>
    </row>
    <row r="211" spans="1:33" ht="20.100000000000001" customHeight="1" x14ac:dyDescent="0.25">
      <c r="A211" s="38">
        <v>4</v>
      </c>
      <c r="B211" s="38"/>
      <c r="C211" s="39" t="str">
        <f t="shared" si="18"/>
        <v>S04-GR6</v>
      </c>
      <c r="D211" s="39" t="str">
        <f t="shared" si="20"/>
        <v>Segment 04-GR6</v>
      </c>
      <c r="E211" s="19">
        <v>42736</v>
      </c>
      <c r="F211" s="19">
        <v>42736</v>
      </c>
      <c r="G211" s="19" t="s">
        <v>20</v>
      </c>
      <c r="H211" s="40">
        <v>1</v>
      </c>
      <c r="I211" s="41"/>
      <c r="J211" s="41">
        <v>14</v>
      </c>
      <c r="K211" s="41">
        <v>16</v>
      </c>
      <c r="L211" s="32">
        <v>48</v>
      </c>
      <c r="M211" s="42">
        <f t="shared" si="21"/>
        <v>111.19400000000002</v>
      </c>
      <c r="N211" s="41"/>
      <c r="O211" s="41">
        <v>1.4999999999999999E-2</v>
      </c>
      <c r="P211" s="43">
        <v>221.60599999999999</v>
      </c>
      <c r="Q211" s="43">
        <v>332.8</v>
      </c>
      <c r="R211" s="41" t="s">
        <v>657</v>
      </c>
      <c r="S211" s="41"/>
      <c r="T211" s="41"/>
      <c r="U211" s="41"/>
      <c r="V211" s="41"/>
      <c r="W211" s="41"/>
      <c r="X211" s="41" t="s">
        <v>428</v>
      </c>
      <c r="Y211" s="41"/>
      <c r="Z211" s="41" t="s">
        <v>3710</v>
      </c>
      <c r="AA211" s="41"/>
      <c r="AB211" s="41" t="s">
        <v>3711</v>
      </c>
      <c r="AC211" s="41"/>
      <c r="AD211" s="47"/>
      <c r="AE211" s="7"/>
      <c r="AF211" s="7"/>
      <c r="AG211" s="28"/>
    </row>
    <row r="212" spans="1:33" ht="20.100000000000001" customHeight="1" x14ac:dyDescent="0.25">
      <c r="A212" s="38">
        <v>5</v>
      </c>
      <c r="B212" s="38"/>
      <c r="C212" s="39" t="str">
        <f t="shared" si="18"/>
        <v>S05-GR6</v>
      </c>
      <c r="D212" s="39" t="str">
        <f t="shared" si="20"/>
        <v>Segment 05-GR6</v>
      </c>
      <c r="E212" s="19">
        <v>42736</v>
      </c>
      <c r="F212" s="19">
        <v>42736</v>
      </c>
      <c r="G212" s="19" t="s">
        <v>20</v>
      </c>
      <c r="H212" s="40">
        <v>1</v>
      </c>
      <c r="I212" s="41"/>
      <c r="J212" s="41">
        <v>14</v>
      </c>
      <c r="K212" s="41">
        <v>16</v>
      </c>
      <c r="L212" s="32">
        <v>48</v>
      </c>
      <c r="M212" s="42">
        <f t="shared" si="21"/>
        <v>100.95499999999998</v>
      </c>
      <c r="N212" s="41"/>
      <c r="O212" s="41">
        <v>1.4999999999999999E-2</v>
      </c>
      <c r="P212" s="43">
        <v>332.8</v>
      </c>
      <c r="Q212" s="43">
        <v>433.755</v>
      </c>
      <c r="R212" s="41" t="s">
        <v>657</v>
      </c>
      <c r="S212" s="41"/>
      <c r="T212" s="41"/>
      <c r="U212" s="41"/>
      <c r="V212" s="41"/>
      <c r="W212" s="41"/>
      <c r="X212" s="41" t="s">
        <v>428</v>
      </c>
      <c r="Y212" s="41"/>
      <c r="Z212" s="41" t="s">
        <v>3711</v>
      </c>
      <c r="AA212" s="41"/>
      <c r="AB212" s="41" t="s">
        <v>3712</v>
      </c>
      <c r="AC212" s="41"/>
      <c r="AD212" s="47"/>
      <c r="AE212" s="7"/>
      <c r="AF212" s="7"/>
      <c r="AG212" s="28"/>
    </row>
    <row r="213" spans="1:33" ht="20.100000000000001" customHeight="1" x14ac:dyDescent="0.25">
      <c r="A213" s="38">
        <v>6</v>
      </c>
      <c r="B213" s="38"/>
      <c r="C213" s="39" t="str">
        <f t="shared" si="18"/>
        <v>S06-GR6</v>
      </c>
      <c r="D213" s="39" t="str">
        <f t="shared" si="20"/>
        <v>Segment 06-GR6</v>
      </c>
      <c r="E213" s="19">
        <v>42736</v>
      </c>
      <c r="F213" s="19">
        <v>42736</v>
      </c>
      <c r="G213" s="19" t="s">
        <v>20</v>
      </c>
      <c r="H213" s="40">
        <v>1</v>
      </c>
      <c r="I213" s="41"/>
      <c r="J213" s="41">
        <v>14</v>
      </c>
      <c r="K213" s="41">
        <v>16</v>
      </c>
      <c r="L213" s="32">
        <v>48</v>
      </c>
      <c r="M213" s="42">
        <f t="shared" si="21"/>
        <v>89.225000000000023</v>
      </c>
      <c r="N213" s="41"/>
      <c r="O213" s="41">
        <v>1.4999999999999999E-2</v>
      </c>
      <c r="P213" s="43">
        <v>433.755</v>
      </c>
      <c r="Q213" s="43">
        <v>522.98</v>
      </c>
      <c r="R213" s="41" t="s">
        <v>657</v>
      </c>
      <c r="S213" s="41"/>
      <c r="T213" s="41"/>
      <c r="U213" s="41"/>
      <c r="V213" s="41"/>
      <c r="W213" s="41"/>
      <c r="X213" s="41" t="s">
        <v>428</v>
      </c>
      <c r="Y213" s="41"/>
      <c r="Z213" s="41" t="s">
        <v>3712</v>
      </c>
      <c r="AA213" s="41"/>
      <c r="AB213" s="41" t="s">
        <v>3713</v>
      </c>
      <c r="AC213" s="41"/>
      <c r="AD213" s="47"/>
      <c r="AE213" s="7"/>
      <c r="AF213" s="7"/>
      <c r="AG213" s="28"/>
    </row>
    <row r="214" spans="1:33" ht="20.100000000000001" customHeight="1" x14ac:dyDescent="0.25">
      <c r="A214" s="38">
        <v>7</v>
      </c>
      <c r="B214" s="38"/>
      <c r="C214" s="39" t="str">
        <f>CONCATENATE("S0",A214,"-",X214)</f>
        <v>S07-GR6</v>
      </c>
      <c r="D214" s="39" t="str">
        <f t="shared" si="20"/>
        <v>Segment 07-GR6</v>
      </c>
      <c r="E214" s="19">
        <v>42736</v>
      </c>
      <c r="F214" s="19">
        <v>42736</v>
      </c>
      <c r="G214" s="19" t="s">
        <v>20</v>
      </c>
      <c r="H214" s="40">
        <v>1</v>
      </c>
      <c r="I214" s="41"/>
      <c r="J214" s="41">
        <v>14</v>
      </c>
      <c r="K214" s="41">
        <v>16</v>
      </c>
      <c r="L214" s="32">
        <v>48</v>
      </c>
      <c r="M214" s="42">
        <f t="shared" si="21"/>
        <v>8.0199999999999818</v>
      </c>
      <c r="N214" s="41"/>
      <c r="O214" s="41">
        <v>1.4999999999999999E-2</v>
      </c>
      <c r="P214" s="43">
        <v>522.98</v>
      </c>
      <c r="Q214" s="43">
        <v>531</v>
      </c>
      <c r="R214" s="41" t="s">
        <v>657</v>
      </c>
      <c r="S214" s="41"/>
      <c r="T214" s="41"/>
      <c r="U214" s="41"/>
      <c r="V214" s="41"/>
      <c r="W214" s="41"/>
      <c r="X214" s="41" t="s">
        <v>428</v>
      </c>
      <c r="Y214" s="41"/>
      <c r="Z214" s="41" t="s">
        <v>3713</v>
      </c>
      <c r="AA214" s="41"/>
      <c r="AB214" s="41" t="s">
        <v>3649</v>
      </c>
      <c r="AC214" s="41"/>
      <c r="AD214" s="47"/>
      <c r="AE214" s="7"/>
      <c r="AF214" s="7"/>
      <c r="AG214" s="28"/>
    </row>
    <row r="215" spans="1:33" ht="20.100000000000001" customHeight="1" x14ac:dyDescent="0.25">
      <c r="A215" s="38">
        <v>1</v>
      </c>
      <c r="B215" s="38"/>
      <c r="C215" s="39" t="str">
        <f t="shared" ref="C215:C219" si="22">CONCATENATE("S0",A215,"-",X215)</f>
        <v>S01-GR7</v>
      </c>
      <c r="D215" s="39" t="str">
        <f t="shared" si="20"/>
        <v>Segment 01-GR7</v>
      </c>
      <c r="E215" s="19"/>
      <c r="F215" s="19"/>
      <c r="G215" s="19"/>
      <c r="H215" s="40">
        <v>1</v>
      </c>
      <c r="I215" s="41"/>
      <c r="J215" s="41">
        <v>16</v>
      </c>
      <c r="K215" s="41">
        <v>16</v>
      </c>
      <c r="L215" s="32"/>
      <c r="M215" s="42"/>
      <c r="N215" s="41"/>
      <c r="O215" s="41"/>
      <c r="P215" s="43"/>
      <c r="Q215" s="43"/>
      <c r="R215" s="41"/>
      <c r="S215" s="41"/>
      <c r="T215" s="41"/>
      <c r="U215" s="41"/>
      <c r="V215" s="41"/>
      <c r="W215" s="41"/>
      <c r="X215" s="41" t="s">
        <v>431</v>
      </c>
      <c r="Y215" s="41"/>
      <c r="Z215" s="41"/>
      <c r="AA215" s="41"/>
      <c r="AB215" s="41"/>
      <c r="AC215" s="41"/>
      <c r="AD215" s="47"/>
      <c r="AE215" s="7"/>
      <c r="AF215" s="7"/>
      <c r="AG215" s="28" t="str">
        <f t="shared" si="9"/>
        <v>(1*''**''*''********)*</v>
      </c>
    </row>
    <row r="216" spans="1:33" ht="20.100000000000001" customHeight="1" x14ac:dyDescent="0.25">
      <c r="A216" s="38">
        <v>2</v>
      </c>
      <c r="B216" s="38"/>
      <c r="C216" s="39" t="str">
        <f t="shared" si="22"/>
        <v>S02-GR7</v>
      </c>
      <c r="D216" s="39" t="str">
        <f t="shared" si="20"/>
        <v>Segment 02-GR7</v>
      </c>
      <c r="E216" s="19"/>
      <c r="F216" s="19"/>
      <c r="G216" s="19"/>
      <c r="H216" s="40">
        <v>1</v>
      </c>
      <c r="I216" s="41"/>
      <c r="J216" s="41">
        <v>16</v>
      </c>
      <c r="K216" s="41">
        <v>16</v>
      </c>
      <c r="L216" s="32"/>
      <c r="M216" s="42"/>
      <c r="N216" s="41"/>
      <c r="O216" s="41"/>
      <c r="P216" s="43"/>
      <c r="Q216" s="43"/>
      <c r="R216" s="41"/>
      <c r="S216" s="41"/>
      <c r="T216" s="41"/>
      <c r="U216" s="41"/>
      <c r="V216" s="41"/>
      <c r="W216" s="41"/>
      <c r="X216" s="41" t="s">
        <v>431</v>
      </c>
      <c r="Y216" s="41"/>
      <c r="Z216" s="41"/>
      <c r="AA216" s="41"/>
      <c r="AB216" s="41"/>
      <c r="AC216" s="41"/>
      <c r="AD216" s="47"/>
      <c r="AE216" s="7"/>
      <c r="AF216" s="7"/>
      <c r="AG216" s="28"/>
    </row>
    <row r="217" spans="1:33" ht="20.100000000000001" customHeight="1" x14ac:dyDescent="0.25">
      <c r="A217" s="38">
        <v>3</v>
      </c>
      <c r="B217" s="38"/>
      <c r="C217" s="39" t="str">
        <f t="shared" si="22"/>
        <v>S03-GR7</v>
      </c>
      <c r="D217" s="39" t="str">
        <f t="shared" si="20"/>
        <v>Segment 03-GR7</v>
      </c>
      <c r="E217" s="19"/>
      <c r="F217" s="19"/>
      <c r="G217" s="19"/>
      <c r="H217" s="40">
        <v>1</v>
      </c>
      <c r="I217" s="41"/>
      <c r="J217" s="41">
        <v>16</v>
      </c>
      <c r="K217" s="41">
        <v>16</v>
      </c>
      <c r="L217" s="32"/>
      <c r="M217" s="42"/>
      <c r="N217" s="41"/>
      <c r="O217" s="41"/>
      <c r="P217" s="43"/>
      <c r="Q217" s="43"/>
      <c r="R217" s="41"/>
      <c r="S217" s="41"/>
      <c r="T217" s="41"/>
      <c r="U217" s="41"/>
      <c r="V217" s="41"/>
      <c r="W217" s="41"/>
      <c r="X217" s="41" t="s">
        <v>431</v>
      </c>
      <c r="Y217" s="41"/>
      <c r="Z217" s="41"/>
      <c r="AA217" s="41"/>
      <c r="AB217" s="41"/>
      <c r="AC217" s="41"/>
      <c r="AD217" s="47"/>
      <c r="AE217" s="7"/>
      <c r="AF217" s="7"/>
      <c r="AG217" s="28"/>
    </row>
    <row r="218" spans="1:33" ht="20.100000000000001" customHeight="1" x14ac:dyDescent="0.25">
      <c r="A218" s="38">
        <v>4</v>
      </c>
      <c r="B218" s="38"/>
      <c r="C218" s="39" t="str">
        <f t="shared" si="22"/>
        <v>S04-GR7</v>
      </c>
      <c r="D218" s="39" t="str">
        <f t="shared" si="20"/>
        <v>Segment 04-GR7</v>
      </c>
      <c r="E218" s="19"/>
      <c r="F218" s="19"/>
      <c r="G218" s="19"/>
      <c r="H218" s="40">
        <v>1</v>
      </c>
      <c r="I218" s="41"/>
      <c r="J218" s="41">
        <v>16</v>
      </c>
      <c r="K218" s="41">
        <v>16</v>
      </c>
      <c r="L218" s="32"/>
      <c r="M218" s="42"/>
      <c r="N218" s="41"/>
      <c r="O218" s="41"/>
      <c r="P218" s="43"/>
      <c r="Q218" s="43"/>
      <c r="R218" s="41"/>
      <c r="S218" s="41"/>
      <c r="T218" s="41"/>
      <c r="U218" s="41"/>
      <c r="V218" s="41"/>
      <c r="W218" s="41"/>
      <c r="X218" s="41" t="s">
        <v>431</v>
      </c>
      <c r="Y218" s="41"/>
      <c r="Z218" s="41"/>
      <c r="AA218" s="41"/>
      <c r="AB218" s="41"/>
      <c r="AC218" s="41"/>
      <c r="AD218" s="47"/>
      <c r="AE218" s="7"/>
      <c r="AF218" s="7"/>
      <c r="AG218" s="28"/>
    </row>
    <row r="219" spans="1:33" ht="20.100000000000001" customHeight="1" x14ac:dyDescent="0.25">
      <c r="A219" s="38">
        <v>5</v>
      </c>
      <c r="B219" s="38"/>
      <c r="C219" s="39" t="str">
        <f t="shared" si="22"/>
        <v>S05-GR7</v>
      </c>
      <c r="D219" s="39" t="str">
        <f t="shared" si="20"/>
        <v>Segment 05-GR7</v>
      </c>
      <c r="E219" s="19"/>
      <c r="F219" s="19"/>
      <c r="G219" s="19"/>
      <c r="H219" s="40">
        <v>1</v>
      </c>
      <c r="I219" s="41"/>
      <c r="J219" s="41">
        <v>16</v>
      </c>
      <c r="K219" s="41">
        <v>16</v>
      </c>
      <c r="L219" s="32"/>
      <c r="M219" s="42"/>
      <c r="N219" s="41"/>
      <c r="O219" s="41"/>
      <c r="P219" s="43"/>
      <c r="Q219" s="43"/>
      <c r="R219" s="41"/>
      <c r="S219" s="41"/>
      <c r="T219" s="41"/>
      <c r="U219" s="41"/>
      <c r="V219" s="41"/>
      <c r="W219" s="41"/>
      <c r="X219" s="41" t="s">
        <v>431</v>
      </c>
      <c r="Y219" s="41"/>
      <c r="Z219" s="41"/>
      <c r="AA219" s="41"/>
      <c r="AB219" s="41"/>
      <c r="AC219" s="41"/>
      <c r="AD219" s="47"/>
      <c r="AE219" s="7"/>
      <c r="AF219" s="7"/>
      <c r="AG219" s="28"/>
    </row>
    <row r="220" spans="1:33" ht="20.100000000000001" customHeight="1" x14ac:dyDescent="0.25">
      <c r="A220" s="38">
        <v>1</v>
      </c>
      <c r="B220" s="38"/>
      <c r="C220" s="39" t="s">
        <v>434</v>
      </c>
      <c r="D220" s="39" t="str">
        <f t="shared" si="20"/>
        <v>Segment 01-GPDF</v>
      </c>
      <c r="E220" s="19"/>
      <c r="F220" s="19"/>
      <c r="G220" s="19"/>
      <c r="H220" s="40">
        <v>1</v>
      </c>
      <c r="I220" s="41"/>
      <c r="J220" s="41">
        <v>18</v>
      </c>
      <c r="K220" s="41">
        <v>18</v>
      </c>
      <c r="L220" s="32"/>
      <c r="M220" s="42"/>
      <c r="N220" s="41"/>
      <c r="O220" s="41"/>
      <c r="P220" s="43">
        <v>0</v>
      </c>
      <c r="Q220" s="43">
        <v>87.963999999999999</v>
      </c>
      <c r="R220" s="41"/>
      <c r="S220" s="41"/>
      <c r="T220" s="41"/>
      <c r="U220" s="41"/>
      <c r="V220" s="41"/>
      <c r="W220" s="41"/>
      <c r="X220" s="63" t="s">
        <v>434</v>
      </c>
      <c r="Y220" s="41"/>
      <c r="Z220" s="41" t="s">
        <v>3649</v>
      </c>
      <c r="AA220" s="41"/>
      <c r="AB220" s="41" t="s">
        <v>3714</v>
      </c>
      <c r="AC220" s="41"/>
      <c r="AD220" s="47">
        <v>16</v>
      </c>
      <c r="AE220" s="7" t="s">
        <v>609</v>
      </c>
      <c r="AF220" s="7"/>
      <c r="AG220" s="28" t="str">
        <f t="shared" si="9"/>
        <v>(1*''**''*''*0*87,964******)*</v>
      </c>
    </row>
    <row r="221" spans="1:33" ht="20.100000000000001" customHeight="1" x14ac:dyDescent="0.25">
      <c r="A221" s="38">
        <v>2</v>
      </c>
      <c r="B221" s="38"/>
      <c r="C221" s="39" t="s">
        <v>434</v>
      </c>
      <c r="D221" s="39" t="str">
        <f t="shared" si="20"/>
        <v>Segment 02-GPDF</v>
      </c>
      <c r="E221" s="19"/>
      <c r="F221" s="19"/>
      <c r="G221" s="19"/>
      <c r="H221" s="40">
        <v>1</v>
      </c>
      <c r="I221" s="41"/>
      <c r="J221" s="41">
        <v>18</v>
      </c>
      <c r="K221" s="41">
        <v>18</v>
      </c>
      <c r="L221" s="32"/>
      <c r="M221" s="42"/>
      <c r="N221" s="41"/>
      <c r="O221" s="41"/>
      <c r="P221" s="43">
        <v>87.963999999999999</v>
      </c>
      <c r="Q221" s="43">
        <v>175.97800000000001</v>
      </c>
      <c r="R221" s="41"/>
      <c r="S221" s="41"/>
      <c r="T221" s="41"/>
      <c r="U221" s="41"/>
      <c r="V221" s="41"/>
      <c r="W221" s="41"/>
      <c r="X221" s="63" t="s">
        <v>434</v>
      </c>
      <c r="Y221" s="41"/>
      <c r="Z221" s="41" t="s">
        <v>3714</v>
      </c>
      <c r="AA221" s="41"/>
      <c r="AB221" s="41" t="s">
        <v>3715</v>
      </c>
      <c r="AC221" s="41"/>
      <c r="AD221" s="47"/>
      <c r="AE221" s="7"/>
      <c r="AF221" s="7"/>
      <c r="AG221" s="28"/>
    </row>
    <row r="222" spans="1:33" ht="20.100000000000001" customHeight="1" x14ac:dyDescent="0.25">
      <c r="A222" s="38">
        <v>3</v>
      </c>
      <c r="B222" s="38"/>
      <c r="C222" s="39" t="s">
        <v>434</v>
      </c>
      <c r="D222" s="39" t="str">
        <f t="shared" si="20"/>
        <v>Segment 03-GPDF</v>
      </c>
      <c r="E222" s="19"/>
      <c r="F222" s="19"/>
      <c r="G222" s="19"/>
      <c r="H222" s="40">
        <v>1</v>
      </c>
      <c r="I222" s="41"/>
      <c r="J222" s="41">
        <v>18</v>
      </c>
      <c r="K222" s="41">
        <v>18</v>
      </c>
      <c r="L222" s="32"/>
      <c r="M222" s="42"/>
      <c r="N222" s="41"/>
      <c r="O222" s="41"/>
      <c r="P222" s="43">
        <v>175.97800000000001</v>
      </c>
      <c r="Q222" s="43">
        <v>267.59899999999999</v>
      </c>
      <c r="R222" s="41"/>
      <c r="S222" s="41"/>
      <c r="T222" s="41"/>
      <c r="U222" s="41"/>
      <c r="V222" s="41"/>
      <c r="W222" s="41"/>
      <c r="X222" s="63" t="s">
        <v>434</v>
      </c>
      <c r="Y222" s="41"/>
      <c r="Z222" s="41" t="s">
        <v>3715</v>
      </c>
      <c r="AA222" s="41"/>
      <c r="AB222" s="41" t="s">
        <v>208</v>
      </c>
      <c r="AC222" s="41"/>
      <c r="AD222" s="47"/>
      <c r="AE222" s="7"/>
      <c r="AF222" s="7"/>
      <c r="AG222" s="28"/>
    </row>
    <row r="223" spans="1:33" ht="20.100000000000001" customHeight="1" x14ac:dyDescent="0.25">
      <c r="A223" s="38">
        <v>4</v>
      </c>
      <c r="B223" s="38"/>
      <c r="C223" s="39" t="s">
        <v>434</v>
      </c>
      <c r="D223" s="39" t="str">
        <f t="shared" si="20"/>
        <v>Segment 04-GPDF</v>
      </c>
      <c r="E223" s="19"/>
      <c r="F223" s="19"/>
      <c r="G223" s="19"/>
      <c r="H223" s="40">
        <v>1</v>
      </c>
      <c r="I223" s="41"/>
      <c r="J223" s="41">
        <v>18</v>
      </c>
      <c r="K223" s="41">
        <v>18</v>
      </c>
      <c r="L223" s="32"/>
      <c r="M223" s="42"/>
      <c r="N223" s="41"/>
      <c r="O223" s="41"/>
      <c r="P223" s="43">
        <v>267.59899999999999</v>
      </c>
      <c r="Q223" s="43">
        <v>341.91699999999997</v>
      </c>
      <c r="R223" s="41"/>
      <c r="S223" s="41"/>
      <c r="T223" s="41"/>
      <c r="U223" s="41"/>
      <c r="V223" s="41"/>
      <c r="W223" s="41"/>
      <c r="X223" s="63" t="s">
        <v>434</v>
      </c>
      <c r="Y223" s="41"/>
      <c r="Z223" s="41" t="s">
        <v>208</v>
      </c>
      <c r="AA223" s="41"/>
      <c r="AB223" s="41" t="s">
        <v>3716</v>
      </c>
      <c r="AC223" s="41"/>
      <c r="AD223" s="47"/>
      <c r="AE223" s="7"/>
      <c r="AF223" s="7"/>
      <c r="AG223" s="28"/>
    </row>
    <row r="224" spans="1:33" ht="20.100000000000001" customHeight="1" x14ac:dyDescent="0.25">
      <c r="A224" s="38">
        <v>5</v>
      </c>
      <c r="B224" s="38"/>
      <c r="C224" s="39" t="s">
        <v>434</v>
      </c>
      <c r="D224" s="39" t="str">
        <f t="shared" si="20"/>
        <v>Segment 05-GPDF</v>
      </c>
      <c r="E224" s="19"/>
      <c r="F224" s="19"/>
      <c r="G224" s="19"/>
      <c r="H224" s="40">
        <v>1</v>
      </c>
      <c r="I224" s="41"/>
      <c r="J224" s="41">
        <v>18</v>
      </c>
      <c r="K224" s="41">
        <v>18</v>
      </c>
      <c r="L224" s="32"/>
      <c r="M224" s="42"/>
      <c r="N224" s="41"/>
      <c r="O224" s="41"/>
      <c r="P224" s="43">
        <v>341.91699999999997</v>
      </c>
      <c r="Q224" s="43">
        <v>441.01600000000002</v>
      </c>
      <c r="R224" s="41"/>
      <c r="S224" s="41"/>
      <c r="T224" s="41"/>
      <c r="U224" s="41"/>
      <c r="V224" s="41"/>
      <c r="W224" s="41"/>
      <c r="X224" s="63" t="s">
        <v>434</v>
      </c>
      <c r="Y224" s="41"/>
      <c r="Z224" s="41" t="s">
        <v>3716</v>
      </c>
      <c r="AA224" s="41"/>
      <c r="AB224" s="41" t="s">
        <v>3717</v>
      </c>
      <c r="AC224" s="41"/>
      <c r="AD224" s="47"/>
      <c r="AE224" s="7"/>
      <c r="AF224" s="7"/>
      <c r="AG224" s="28"/>
    </row>
    <row r="225" spans="1:33" ht="20.100000000000001" customHeight="1" x14ac:dyDescent="0.25">
      <c r="A225" s="38">
        <v>6</v>
      </c>
      <c r="B225" s="38"/>
      <c r="C225" s="39" t="s">
        <v>434</v>
      </c>
      <c r="D225" s="39" t="str">
        <f t="shared" si="20"/>
        <v>Segment 06-GPDF</v>
      </c>
      <c r="E225" s="19"/>
      <c r="F225" s="19"/>
      <c r="G225" s="19"/>
      <c r="H225" s="40">
        <v>1</v>
      </c>
      <c r="I225" s="41"/>
      <c r="J225" s="41">
        <v>18</v>
      </c>
      <c r="K225" s="41">
        <v>18</v>
      </c>
      <c r="L225" s="32"/>
      <c r="M225" s="42"/>
      <c r="N225" s="41"/>
      <c r="O225" s="41"/>
      <c r="P225" s="43">
        <v>441.01600000000002</v>
      </c>
      <c r="Q225" s="43">
        <v>521</v>
      </c>
      <c r="R225" s="41"/>
      <c r="S225" s="41"/>
      <c r="T225" s="41"/>
      <c r="U225" s="41"/>
      <c r="V225" s="41"/>
      <c r="W225" s="41"/>
      <c r="X225" s="63" t="s">
        <v>434</v>
      </c>
      <c r="Y225" s="41"/>
      <c r="Z225" s="41" t="s">
        <v>3717</v>
      </c>
      <c r="AA225" s="41"/>
      <c r="AB225" s="41" t="s">
        <v>42</v>
      </c>
      <c r="AC225" s="41"/>
      <c r="AD225" s="47"/>
      <c r="AE225" s="7"/>
      <c r="AF225" s="7"/>
      <c r="AG225" s="28"/>
    </row>
    <row r="226" spans="1:33" ht="20.100000000000001" customHeight="1" x14ac:dyDescent="0.25">
      <c r="A226" s="38">
        <v>1</v>
      </c>
      <c r="B226" s="38"/>
      <c r="C226" s="39" t="s">
        <v>436</v>
      </c>
      <c r="D226" s="39" t="str">
        <f t="shared" si="20"/>
        <v>Segment 01-EGPDF</v>
      </c>
      <c r="E226" s="19"/>
      <c r="F226" s="19"/>
      <c r="G226" s="19"/>
      <c r="H226" s="40">
        <v>1</v>
      </c>
      <c r="I226" s="41"/>
      <c r="J226" s="41">
        <v>18</v>
      </c>
      <c r="K226" s="41">
        <v>18</v>
      </c>
      <c r="L226" s="32"/>
      <c r="M226" s="42"/>
      <c r="N226" s="41"/>
      <c r="O226" s="41"/>
      <c r="P226" s="43">
        <v>0</v>
      </c>
      <c r="Q226" s="43">
        <v>103.121</v>
      </c>
      <c r="R226" s="41"/>
      <c r="S226" s="41"/>
      <c r="T226" s="41"/>
      <c r="U226" s="41"/>
      <c r="V226" s="41"/>
      <c r="W226" s="41"/>
      <c r="X226" s="63" t="s">
        <v>436</v>
      </c>
      <c r="Y226" s="41"/>
      <c r="Z226" s="41" t="s">
        <v>42</v>
      </c>
      <c r="AA226" s="41"/>
      <c r="AB226" s="41" t="s">
        <v>3718</v>
      </c>
      <c r="AC226" s="41"/>
      <c r="AD226" s="47">
        <v>16</v>
      </c>
      <c r="AE226" s="7" t="s">
        <v>625</v>
      </c>
      <c r="AF226" s="7"/>
      <c r="AG226" s="28" t="str">
        <f t="shared" si="9"/>
        <v>(1*''**''*''*0*103,121******)*</v>
      </c>
    </row>
    <row r="227" spans="1:33" ht="20.100000000000001" customHeight="1" x14ac:dyDescent="0.25">
      <c r="A227" s="38">
        <v>2</v>
      </c>
      <c r="B227" s="38"/>
      <c r="C227" s="39" t="s">
        <v>436</v>
      </c>
      <c r="D227" s="39" t="str">
        <f t="shared" si="20"/>
        <v>Segment 02-EGPDF</v>
      </c>
      <c r="E227" s="19"/>
      <c r="F227" s="19"/>
      <c r="G227" s="19"/>
      <c r="H227" s="40">
        <v>1</v>
      </c>
      <c r="I227" s="41"/>
      <c r="J227" s="41">
        <v>18</v>
      </c>
      <c r="K227" s="41">
        <v>18</v>
      </c>
      <c r="L227" s="32"/>
      <c r="M227" s="42"/>
      <c r="N227" s="41"/>
      <c r="O227" s="41"/>
      <c r="P227" s="43">
        <v>103.121</v>
      </c>
      <c r="Q227" s="43">
        <v>198</v>
      </c>
      <c r="R227" s="41"/>
      <c r="S227" s="41"/>
      <c r="T227" s="41"/>
      <c r="U227" s="41"/>
      <c r="V227" s="41"/>
      <c r="W227" s="41"/>
      <c r="X227" s="63" t="s">
        <v>436</v>
      </c>
      <c r="Y227" s="41"/>
      <c r="Z227" s="41" t="s">
        <v>3718</v>
      </c>
      <c r="AA227" s="41"/>
      <c r="AB227" s="41" t="s">
        <v>23</v>
      </c>
      <c r="AC227" s="41"/>
      <c r="AD227" s="47"/>
      <c r="AE227" s="7"/>
      <c r="AF227" s="7"/>
      <c r="AG227" s="28"/>
    </row>
    <row r="228" spans="1:33" ht="20.100000000000001" customHeight="1" x14ac:dyDescent="0.25">
      <c r="A228" s="38">
        <v>1</v>
      </c>
      <c r="B228" s="38"/>
      <c r="C228" s="39" t="s">
        <v>439</v>
      </c>
      <c r="D228" s="39" t="str">
        <f t="shared" si="20"/>
        <v>Segment 01-GO1</v>
      </c>
      <c r="E228" s="19"/>
      <c r="F228" s="19"/>
      <c r="G228" s="19"/>
      <c r="H228" s="40">
        <v>1</v>
      </c>
      <c r="I228" s="41"/>
      <c r="J228" s="41">
        <v>17</v>
      </c>
      <c r="K228" s="41">
        <v>17</v>
      </c>
      <c r="L228" s="32"/>
      <c r="M228" s="42"/>
      <c r="N228" s="41"/>
      <c r="O228" s="41"/>
      <c r="P228" s="43">
        <v>0</v>
      </c>
      <c r="Q228" s="43">
        <v>168.29900000000001</v>
      </c>
      <c r="R228" s="41"/>
      <c r="S228" s="41"/>
      <c r="T228" s="41"/>
      <c r="U228" s="41"/>
      <c r="V228" s="41"/>
      <c r="W228" s="41"/>
      <c r="X228" s="41" t="s">
        <v>439</v>
      </c>
      <c r="Y228" s="41"/>
      <c r="Z228" s="41" t="s">
        <v>3649</v>
      </c>
      <c r="AA228" s="41"/>
      <c r="AB228" s="41" t="s">
        <v>3719</v>
      </c>
      <c r="AC228" s="41"/>
      <c r="AD228" s="47">
        <v>16</v>
      </c>
      <c r="AE228" s="7" t="s">
        <v>612</v>
      </c>
      <c r="AF228" s="7"/>
      <c r="AG228" s="28" t="str">
        <f t="shared" si="9"/>
        <v>(1*''**''*''*0*168,299******)*</v>
      </c>
    </row>
    <row r="229" spans="1:33" ht="20.100000000000001" customHeight="1" x14ac:dyDescent="0.25">
      <c r="A229" s="38">
        <v>2</v>
      </c>
      <c r="B229" s="38"/>
      <c r="C229" s="39" t="s">
        <v>439</v>
      </c>
      <c r="D229" s="39" t="str">
        <f t="shared" si="20"/>
        <v>Segment 02-GO1</v>
      </c>
      <c r="E229" s="19"/>
      <c r="F229" s="19"/>
      <c r="G229" s="19"/>
      <c r="H229" s="40">
        <v>1</v>
      </c>
      <c r="I229" s="41"/>
      <c r="J229" s="41">
        <v>17</v>
      </c>
      <c r="K229" s="41">
        <v>17</v>
      </c>
      <c r="L229" s="32"/>
      <c r="M229" s="42"/>
      <c r="N229" s="41"/>
      <c r="O229" s="41"/>
      <c r="P229" s="43">
        <v>168.29900000000001</v>
      </c>
      <c r="Q229" s="43">
        <v>348.38099999999997</v>
      </c>
      <c r="R229" s="41"/>
      <c r="S229" s="41"/>
      <c r="T229" s="41"/>
      <c r="U229" s="41"/>
      <c r="V229" s="41"/>
      <c r="W229" s="41"/>
      <c r="X229" s="41" t="s">
        <v>439</v>
      </c>
      <c r="Y229" s="41"/>
      <c r="Z229" s="41" t="s">
        <v>3719</v>
      </c>
      <c r="AA229" s="41"/>
      <c r="AB229" s="41" t="s">
        <v>3720</v>
      </c>
      <c r="AC229" s="41"/>
      <c r="AD229" s="47"/>
      <c r="AE229" s="7"/>
      <c r="AF229" s="7"/>
      <c r="AG229" s="28"/>
    </row>
    <row r="230" spans="1:33" ht="20.100000000000001" customHeight="1" x14ac:dyDescent="0.25">
      <c r="A230" s="38">
        <v>3</v>
      </c>
      <c r="B230" s="38"/>
      <c r="C230" s="39" t="s">
        <v>439</v>
      </c>
      <c r="D230" s="39" t="str">
        <f t="shared" si="20"/>
        <v>Segment 03-GO1</v>
      </c>
      <c r="E230" s="19"/>
      <c r="F230" s="19"/>
      <c r="G230" s="19"/>
      <c r="H230" s="40">
        <v>1</v>
      </c>
      <c r="I230" s="41"/>
      <c r="J230" s="41">
        <v>17</v>
      </c>
      <c r="K230" s="41">
        <v>17</v>
      </c>
      <c r="L230" s="32"/>
      <c r="M230" s="42"/>
      <c r="N230" s="41"/>
      <c r="O230" s="41"/>
      <c r="P230" s="43">
        <v>348.38099999999997</v>
      </c>
      <c r="Q230" s="43">
        <v>461.03199999999998</v>
      </c>
      <c r="R230" s="41"/>
      <c r="S230" s="41"/>
      <c r="T230" s="41"/>
      <c r="U230" s="41"/>
      <c r="V230" s="41"/>
      <c r="W230" s="41"/>
      <c r="X230" s="41" t="s">
        <v>439</v>
      </c>
      <c r="Y230" s="41"/>
      <c r="Z230" s="41" t="s">
        <v>3720</v>
      </c>
      <c r="AA230" s="41"/>
      <c r="AB230" s="41" t="s">
        <v>3721</v>
      </c>
      <c r="AC230" s="41"/>
      <c r="AD230" s="47"/>
      <c r="AE230" s="7"/>
      <c r="AF230" s="7"/>
      <c r="AG230" s="28"/>
    </row>
    <row r="231" spans="1:33" ht="20.100000000000001" customHeight="1" x14ac:dyDescent="0.25">
      <c r="A231" s="38">
        <v>4</v>
      </c>
      <c r="B231" s="38"/>
      <c r="C231" s="39" t="s">
        <v>439</v>
      </c>
      <c r="D231" s="39" t="str">
        <f t="shared" si="20"/>
        <v>Segment 04-GO1</v>
      </c>
      <c r="E231" s="19"/>
      <c r="F231" s="19"/>
      <c r="G231" s="19"/>
      <c r="H231" s="40">
        <v>1</v>
      </c>
      <c r="I231" s="41"/>
      <c r="J231" s="41">
        <v>17</v>
      </c>
      <c r="K231" s="41">
        <v>17</v>
      </c>
      <c r="L231" s="32"/>
      <c r="M231" s="42"/>
      <c r="N231" s="41"/>
      <c r="O231" s="41"/>
      <c r="P231" s="43">
        <v>461.03199999999998</v>
      </c>
      <c r="Q231" s="43">
        <v>548.28499999999997</v>
      </c>
      <c r="R231" s="41"/>
      <c r="S231" s="41"/>
      <c r="T231" s="41"/>
      <c r="U231" s="41"/>
      <c r="V231" s="41"/>
      <c r="W231" s="41"/>
      <c r="X231" s="41" t="s">
        <v>439</v>
      </c>
      <c r="Y231" s="41"/>
      <c r="Z231" s="41" t="s">
        <v>3721</v>
      </c>
      <c r="AA231" s="41"/>
      <c r="AB231" s="41" t="s">
        <v>21</v>
      </c>
      <c r="AC231" s="41"/>
      <c r="AD231" s="47"/>
      <c r="AE231" s="7"/>
      <c r="AF231" s="7"/>
      <c r="AG231" s="28"/>
    </row>
    <row r="232" spans="1:33" ht="20.100000000000001" customHeight="1" x14ac:dyDescent="0.25">
      <c r="A232" s="38">
        <v>1</v>
      </c>
      <c r="B232" s="38"/>
      <c r="C232" s="39" t="s">
        <v>441</v>
      </c>
      <c r="D232" s="39" t="str">
        <f t="shared" si="20"/>
        <v>Segment 01-GO2</v>
      </c>
      <c r="E232" s="19"/>
      <c r="F232" s="19"/>
      <c r="G232" s="19"/>
      <c r="H232" s="40">
        <v>1</v>
      </c>
      <c r="I232" s="41"/>
      <c r="J232" s="41">
        <v>17</v>
      </c>
      <c r="K232" s="41">
        <v>17</v>
      </c>
      <c r="L232" s="32"/>
      <c r="M232" s="42"/>
      <c r="N232" s="41"/>
      <c r="O232" s="41"/>
      <c r="P232" s="43">
        <v>0</v>
      </c>
      <c r="Q232" s="43">
        <v>168.49100000000001</v>
      </c>
      <c r="R232" s="41"/>
      <c r="S232" s="41"/>
      <c r="T232" s="41"/>
      <c r="U232" s="41"/>
      <c r="V232" s="41"/>
      <c r="W232" s="41"/>
      <c r="X232" s="41" t="s">
        <v>441</v>
      </c>
      <c r="Y232" s="41"/>
      <c r="Z232" s="41" t="s">
        <v>3649</v>
      </c>
      <c r="AA232" s="41"/>
      <c r="AB232" s="41" t="s">
        <v>3722</v>
      </c>
      <c r="AC232" s="41"/>
      <c r="AD232" s="47">
        <v>16</v>
      </c>
      <c r="AE232" s="7" t="s">
        <v>687</v>
      </c>
      <c r="AF232" s="7"/>
      <c r="AG232" s="28" t="str">
        <f t="shared" si="9"/>
        <v>(1*''**''*''*0*168,491******)*</v>
      </c>
    </row>
    <row r="233" spans="1:33" ht="20.100000000000001" customHeight="1" x14ac:dyDescent="0.25">
      <c r="A233" s="38">
        <v>2</v>
      </c>
      <c r="B233" s="38"/>
      <c r="C233" s="39" t="s">
        <v>441</v>
      </c>
      <c r="D233" s="39" t="str">
        <f t="shared" si="20"/>
        <v>Segment 02-GO2</v>
      </c>
      <c r="E233" s="19"/>
      <c r="F233" s="19"/>
      <c r="G233" s="19"/>
      <c r="H233" s="40">
        <v>1</v>
      </c>
      <c r="I233" s="41"/>
      <c r="J233" s="41">
        <v>17</v>
      </c>
      <c r="K233" s="41">
        <v>17</v>
      </c>
      <c r="L233" s="32"/>
      <c r="M233" s="42"/>
      <c r="N233" s="41"/>
      <c r="O233" s="41"/>
      <c r="P233" s="43">
        <v>168.49100000000001</v>
      </c>
      <c r="Q233" s="43">
        <v>348.18900000000002</v>
      </c>
      <c r="R233" s="41"/>
      <c r="S233" s="41"/>
      <c r="T233" s="41"/>
      <c r="U233" s="41"/>
      <c r="V233" s="41"/>
      <c r="W233" s="41"/>
      <c r="X233" s="41" t="s">
        <v>441</v>
      </c>
      <c r="Y233" s="41"/>
      <c r="Z233" s="41" t="s">
        <v>3722</v>
      </c>
      <c r="AA233" s="41"/>
      <c r="AB233" s="41" t="s">
        <v>2458</v>
      </c>
      <c r="AC233" s="41"/>
      <c r="AD233" s="47"/>
      <c r="AE233" s="7"/>
      <c r="AF233" s="7"/>
      <c r="AG233" s="28"/>
    </row>
    <row r="234" spans="1:33" ht="20.100000000000001" customHeight="1" x14ac:dyDescent="0.25">
      <c r="A234" s="38">
        <v>3</v>
      </c>
      <c r="B234" s="38"/>
      <c r="C234" s="39" t="s">
        <v>441</v>
      </c>
      <c r="D234" s="39" t="str">
        <f t="shared" si="20"/>
        <v>Segment 03-GO2</v>
      </c>
      <c r="E234" s="19"/>
      <c r="F234" s="19"/>
      <c r="G234" s="19"/>
      <c r="H234" s="40">
        <v>1</v>
      </c>
      <c r="I234" s="41"/>
      <c r="J234" s="41">
        <v>17</v>
      </c>
      <c r="K234" s="41">
        <v>17</v>
      </c>
      <c r="L234" s="32"/>
      <c r="M234" s="42"/>
      <c r="N234" s="41"/>
      <c r="O234" s="41"/>
      <c r="P234" s="43">
        <v>348.18900000000002</v>
      </c>
      <c r="Q234" s="43">
        <v>460.87200000000001</v>
      </c>
      <c r="R234" s="41"/>
      <c r="S234" s="41"/>
      <c r="T234" s="41"/>
      <c r="U234" s="41"/>
      <c r="V234" s="41"/>
      <c r="W234" s="41"/>
      <c r="X234" s="41" t="s">
        <v>441</v>
      </c>
      <c r="Y234" s="41"/>
      <c r="Z234" s="41" t="s">
        <v>2458</v>
      </c>
      <c r="AA234" s="41"/>
      <c r="AB234" s="41" t="s">
        <v>3723</v>
      </c>
      <c r="AC234" s="41"/>
      <c r="AD234" s="47"/>
      <c r="AE234" s="7"/>
      <c r="AF234" s="7"/>
      <c r="AG234" s="28"/>
    </row>
    <row r="235" spans="1:33" ht="20.100000000000001" customHeight="1" x14ac:dyDescent="0.25">
      <c r="A235" s="38">
        <v>4</v>
      </c>
      <c r="B235" s="38"/>
      <c r="C235" s="39" t="s">
        <v>441</v>
      </c>
      <c r="D235" s="39" t="str">
        <f t="shared" si="20"/>
        <v>Segment 04-GO2</v>
      </c>
      <c r="E235" s="19"/>
      <c r="F235" s="19"/>
      <c r="G235" s="19"/>
      <c r="H235" s="40">
        <v>1</v>
      </c>
      <c r="I235" s="41"/>
      <c r="J235" s="41">
        <v>17</v>
      </c>
      <c r="K235" s="41">
        <v>17</v>
      </c>
      <c r="L235" s="32"/>
      <c r="M235" s="42"/>
      <c r="N235" s="41"/>
      <c r="O235" s="41"/>
      <c r="P235" s="43">
        <v>460.87200000000001</v>
      </c>
      <c r="Q235" s="43">
        <v>548.28499999999997</v>
      </c>
      <c r="R235" s="41"/>
      <c r="S235" s="41"/>
      <c r="T235" s="41"/>
      <c r="U235" s="41"/>
      <c r="V235" s="41"/>
      <c r="W235" s="41"/>
      <c r="X235" s="41" t="s">
        <v>441</v>
      </c>
      <c r="Y235" s="41"/>
      <c r="Z235" s="41" t="s">
        <v>3723</v>
      </c>
      <c r="AA235" s="41"/>
      <c r="AB235" s="41" t="s">
        <v>21</v>
      </c>
      <c r="AC235" s="41"/>
      <c r="AD235" s="47"/>
      <c r="AE235" s="7"/>
      <c r="AF235" s="7"/>
      <c r="AG235" s="28"/>
    </row>
    <row r="236" spans="1:33" ht="20.100000000000001" customHeight="1" x14ac:dyDescent="0.25">
      <c r="A236" s="38">
        <v>1</v>
      </c>
      <c r="B236" s="38"/>
      <c r="C236" s="39" t="s">
        <v>444</v>
      </c>
      <c r="D236" s="39" t="str">
        <f t="shared" si="20"/>
        <v>Segment 01-GO3</v>
      </c>
      <c r="E236" s="19"/>
      <c r="F236" s="19"/>
      <c r="G236" s="19"/>
      <c r="H236" s="40">
        <v>1</v>
      </c>
      <c r="I236" s="41"/>
      <c r="J236" s="41">
        <v>17</v>
      </c>
      <c r="K236" s="41">
        <v>17</v>
      </c>
      <c r="L236" s="32"/>
      <c r="M236" s="42"/>
      <c r="N236" s="41"/>
      <c r="O236" s="41"/>
      <c r="P236" s="43">
        <v>0</v>
      </c>
      <c r="Q236" s="43">
        <v>168.73099999999999</v>
      </c>
      <c r="R236" s="41"/>
      <c r="S236" s="41"/>
      <c r="T236" s="41"/>
      <c r="U236" s="41"/>
      <c r="V236" s="41"/>
      <c r="W236" s="41"/>
      <c r="X236" s="41" t="s">
        <v>444</v>
      </c>
      <c r="Y236" s="41"/>
      <c r="Z236" s="41" t="s">
        <v>3649</v>
      </c>
      <c r="AA236" s="41"/>
      <c r="AB236" s="41" t="s">
        <v>3724</v>
      </c>
      <c r="AC236" s="41"/>
      <c r="AD236" s="47"/>
      <c r="AE236" s="7"/>
      <c r="AF236" s="7"/>
      <c r="AG236" s="28"/>
    </row>
    <row r="237" spans="1:33" ht="20.100000000000001" customHeight="1" x14ac:dyDescent="0.25">
      <c r="A237" s="38">
        <v>2</v>
      </c>
      <c r="B237" s="38"/>
      <c r="C237" s="39" t="s">
        <v>444</v>
      </c>
      <c r="D237" s="39" t="str">
        <f t="shared" si="20"/>
        <v>Segment 02-GO3</v>
      </c>
      <c r="E237" s="19"/>
      <c r="F237" s="19"/>
      <c r="G237" s="19"/>
      <c r="H237" s="40">
        <v>1</v>
      </c>
      <c r="I237" s="41"/>
      <c r="J237" s="41">
        <v>17</v>
      </c>
      <c r="K237" s="41">
        <v>17</v>
      </c>
      <c r="L237" s="32"/>
      <c r="M237" s="42"/>
      <c r="N237" s="41"/>
      <c r="O237" s="41"/>
      <c r="P237" s="43">
        <v>168.73099999999999</v>
      </c>
      <c r="Q237" s="43">
        <v>348.56</v>
      </c>
      <c r="R237" s="41"/>
      <c r="S237" s="41"/>
      <c r="T237" s="41"/>
      <c r="U237" s="41"/>
      <c r="V237" s="41"/>
      <c r="W237" s="41"/>
      <c r="X237" s="41" t="s">
        <v>444</v>
      </c>
      <c r="Y237" s="41"/>
      <c r="Z237" s="41" t="s">
        <v>3724</v>
      </c>
      <c r="AA237" s="41"/>
      <c r="AB237" s="41" t="s">
        <v>3725</v>
      </c>
      <c r="AC237" s="41"/>
      <c r="AD237" s="47"/>
      <c r="AE237" s="7"/>
      <c r="AF237" s="7"/>
      <c r="AG237" s="28"/>
    </row>
    <row r="238" spans="1:33" ht="20.100000000000001" customHeight="1" x14ac:dyDescent="0.25">
      <c r="A238" s="38">
        <v>3</v>
      </c>
      <c r="B238" s="38"/>
      <c r="C238" s="39" t="s">
        <v>444</v>
      </c>
      <c r="D238" s="39" t="str">
        <f t="shared" si="20"/>
        <v>Segment 03-GO3</v>
      </c>
      <c r="E238" s="19"/>
      <c r="F238" s="19"/>
      <c r="G238" s="19"/>
      <c r="H238" s="40">
        <v>1</v>
      </c>
      <c r="I238" s="41"/>
      <c r="J238" s="41">
        <v>17</v>
      </c>
      <c r="K238" s="41">
        <v>17</v>
      </c>
      <c r="L238" s="32"/>
      <c r="M238" s="42"/>
      <c r="N238" s="41"/>
      <c r="O238" s="41"/>
      <c r="P238" s="43">
        <v>348.56</v>
      </c>
      <c r="Q238" s="43">
        <v>460.68</v>
      </c>
      <c r="R238" s="41"/>
      <c r="S238" s="41"/>
      <c r="T238" s="41"/>
      <c r="U238" s="41"/>
      <c r="V238" s="41"/>
      <c r="W238" s="41"/>
      <c r="X238" s="41" t="s">
        <v>444</v>
      </c>
      <c r="Y238" s="41"/>
      <c r="Z238" s="41" t="s">
        <v>3725</v>
      </c>
      <c r="AA238" s="41"/>
      <c r="AB238" s="41" t="s">
        <v>3726</v>
      </c>
      <c r="AC238" s="41"/>
      <c r="AD238" s="47"/>
      <c r="AE238" s="7"/>
      <c r="AF238" s="7"/>
      <c r="AG238" s="28"/>
    </row>
    <row r="239" spans="1:33" ht="20.100000000000001" customHeight="1" x14ac:dyDescent="0.25">
      <c r="A239" s="38">
        <v>4</v>
      </c>
      <c r="B239" s="38"/>
      <c r="C239" s="39" t="s">
        <v>444</v>
      </c>
      <c r="D239" s="39" t="str">
        <f t="shared" si="20"/>
        <v>Segment 04-GO3</v>
      </c>
      <c r="E239" s="19"/>
      <c r="F239" s="19"/>
      <c r="G239" s="19"/>
      <c r="H239" s="40">
        <v>1</v>
      </c>
      <c r="I239" s="41"/>
      <c r="J239" s="41">
        <v>17</v>
      </c>
      <c r="K239" s="41">
        <v>17</v>
      </c>
      <c r="L239" s="32"/>
      <c r="M239" s="42"/>
      <c r="N239" s="41"/>
      <c r="O239" s="41"/>
      <c r="P239" s="43">
        <v>460.68</v>
      </c>
      <c r="Q239" s="43">
        <v>548.28499999999997</v>
      </c>
      <c r="R239" s="41"/>
      <c r="S239" s="41"/>
      <c r="T239" s="41"/>
      <c r="U239" s="41"/>
      <c r="V239" s="41"/>
      <c r="W239" s="41"/>
      <c r="X239" s="41" t="s">
        <v>444</v>
      </c>
      <c r="Y239" s="41"/>
      <c r="Z239" s="41" t="s">
        <v>3726</v>
      </c>
      <c r="AA239" s="41"/>
      <c r="AB239" s="41" t="s">
        <v>21</v>
      </c>
      <c r="AC239" s="41"/>
      <c r="AD239" s="47">
        <v>16</v>
      </c>
      <c r="AE239" s="7" t="s">
        <v>689</v>
      </c>
      <c r="AF239" s="7"/>
      <c r="AG239" s="28" t="str">
        <f t="shared" si="9"/>
        <v>(4*''**''*''*460,68*548,285******)*</v>
      </c>
    </row>
  </sheetData>
  <autoFilter ref="A1:AC239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Z236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3" sqref="F13"/>
    </sheetView>
  </sheetViews>
  <sheetFormatPr baseColWidth="10" defaultColWidth="10.85546875" defaultRowHeight="15.75" x14ac:dyDescent="0.25"/>
  <cols>
    <col min="1" max="1" width="6.85546875" style="2" bestFit="1" customWidth="1"/>
    <col min="2" max="2" width="30.5703125" style="2" customWidth="1"/>
    <col min="3" max="52" width="10.5703125" style="2" customWidth="1"/>
    <col min="53" max="16384" width="10.85546875" style="2"/>
  </cols>
  <sheetData>
    <row r="1" spans="1:52" ht="20.100000000000001" customHeight="1" x14ac:dyDescent="0.25">
      <c r="A1" s="1" t="s">
        <v>0</v>
      </c>
      <c r="B1" s="1" t="s">
        <v>1</v>
      </c>
      <c r="C1" s="50" t="s">
        <v>300</v>
      </c>
      <c r="D1" s="50" t="s">
        <v>302</v>
      </c>
      <c r="E1" s="50" t="s">
        <v>305</v>
      </c>
      <c r="F1" s="50" t="s">
        <v>308</v>
      </c>
      <c r="G1" s="50" t="s">
        <v>856</v>
      </c>
      <c r="H1" s="50" t="s">
        <v>314</v>
      </c>
      <c r="I1" s="50" t="s">
        <v>317</v>
      </c>
      <c r="J1" s="50" t="s">
        <v>319</v>
      </c>
      <c r="K1" s="50" t="s">
        <v>332</v>
      </c>
      <c r="L1" s="50" t="s">
        <v>335</v>
      </c>
      <c r="M1" s="50" t="s">
        <v>339</v>
      </c>
      <c r="N1" s="50" t="s">
        <v>324</v>
      </c>
      <c r="O1" s="50" t="s">
        <v>327</v>
      </c>
      <c r="P1" s="50" t="s">
        <v>329</v>
      </c>
      <c r="Q1" s="51" t="s">
        <v>341</v>
      </c>
      <c r="R1" s="51" t="s">
        <v>344</v>
      </c>
      <c r="S1" s="51" t="s">
        <v>347</v>
      </c>
      <c r="T1" s="53" t="s">
        <v>352</v>
      </c>
      <c r="U1" s="53" t="s">
        <v>350</v>
      </c>
      <c r="V1" s="53" t="s">
        <v>355</v>
      </c>
      <c r="W1" s="53" t="s">
        <v>358</v>
      </c>
      <c r="X1" s="53" t="s">
        <v>364</v>
      </c>
      <c r="Y1" s="53" t="s">
        <v>361</v>
      </c>
      <c r="Z1" s="1" t="s">
        <v>367</v>
      </c>
      <c r="AA1" s="1" t="s">
        <v>369</v>
      </c>
      <c r="AB1" s="1" t="s">
        <v>372</v>
      </c>
      <c r="AC1" s="1" t="s">
        <v>999</v>
      </c>
      <c r="AD1" s="1" t="s">
        <v>375</v>
      </c>
      <c r="AE1" s="1" t="s">
        <v>377</v>
      </c>
      <c r="AF1" s="1" t="s">
        <v>379</v>
      </c>
      <c r="AG1" s="1" t="s">
        <v>1000</v>
      </c>
      <c r="AH1" s="1" t="s">
        <v>642</v>
      </c>
      <c r="AI1" s="1" t="s">
        <v>1001</v>
      </c>
      <c r="AJ1" s="1" t="s">
        <v>394</v>
      </c>
      <c r="AK1" s="1" t="s">
        <v>398</v>
      </c>
      <c r="AL1" s="1" t="s">
        <v>655</v>
      </c>
      <c r="AM1" s="1" t="s">
        <v>1002</v>
      </c>
      <c r="AN1" s="1" t="s">
        <v>407</v>
      </c>
      <c r="AO1" s="1" t="s">
        <v>410</v>
      </c>
      <c r="AP1" s="1" t="s">
        <v>434</v>
      </c>
      <c r="AQ1" s="1" t="s">
        <v>436</v>
      </c>
      <c r="AR1" s="1" t="s">
        <v>439</v>
      </c>
      <c r="AS1" s="1" t="s">
        <v>441</v>
      </c>
      <c r="AT1" s="1" t="s">
        <v>444</v>
      </c>
      <c r="AU1" s="1" t="s">
        <v>415</v>
      </c>
      <c r="AV1" s="1" t="s">
        <v>418</v>
      </c>
      <c r="AW1" s="1" t="s">
        <v>423</v>
      </c>
      <c r="AX1" s="1" t="s">
        <v>425</v>
      </c>
      <c r="AY1" s="1" t="s">
        <v>428</v>
      </c>
      <c r="AZ1" s="1" t="s">
        <v>431</v>
      </c>
    </row>
    <row r="2" spans="1:52" ht="20.100000000000001" customHeight="1" x14ac:dyDescent="0.25">
      <c r="A2" s="38">
        <v>1</v>
      </c>
      <c r="B2" s="45" t="s">
        <v>1088</v>
      </c>
      <c r="C2" s="18"/>
      <c r="D2" s="17"/>
      <c r="E2" s="17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52" t="s">
        <v>1149</v>
      </c>
      <c r="R2" s="52"/>
      <c r="S2" s="52"/>
      <c r="T2" s="54"/>
      <c r="U2" s="54"/>
      <c r="V2" s="54"/>
      <c r="W2" s="54"/>
      <c r="X2" s="54"/>
      <c r="Y2" s="54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</row>
    <row r="3" spans="1:52" ht="20.100000000000001" customHeight="1" x14ac:dyDescent="0.25">
      <c r="A3" s="38">
        <v>2</v>
      </c>
      <c r="B3" s="45" t="s">
        <v>1089</v>
      </c>
      <c r="C3" s="18"/>
      <c r="D3" s="17"/>
      <c r="E3" s="17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52" t="s">
        <v>1149</v>
      </c>
      <c r="R3" s="52"/>
      <c r="S3" s="52"/>
      <c r="T3" s="54"/>
      <c r="U3" s="54"/>
      <c r="V3" s="54"/>
      <c r="W3" s="54"/>
      <c r="X3" s="54"/>
      <c r="Y3" s="54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</row>
    <row r="4" spans="1:52" ht="20.100000000000001" customHeight="1" x14ac:dyDescent="0.25">
      <c r="A4" s="38">
        <v>3</v>
      </c>
      <c r="B4" s="45" t="s">
        <v>676</v>
      </c>
      <c r="C4" s="18"/>
      <c r="D4" s="17"/>
      <c r="E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52" t="s">
        <v>1149</v>
      </c>
      <c r="R4" s="52"/>
      <c r="S4" s="52"/>
      <c r="T4" s="54"/>
      <c r="U4" s="54"/>
      <c r="V4" s="54"/>
      <c r="W4" s="54"/>
      <c r="X4" s="54"/>
      <c r="Y4" s="54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</row>
    <row r="5" spans="1:52" ht="20.100000000000001" customHeight="1" x14ac:dyDescent="0.25">
      <c r="A5" s="38">
        <v>4</v>
      </c>
      <c r="B5" s="45" t="s">
        <v>1090</v>
      </c>
      <c r="C5" s="18" t="s">
        <v>1094</v>
      </c>
      <c r="D5" s="17" t="s">
        <v>1098</v>
      </c>
      <c r="E5" s="17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52"/>
      <c r="R5" s="52"/>
      <c r="S5" s="52"/>
      <c r="T5" s="54"/>
      <c r="U5" s="54"/>
      <c r="V5" s="54"/>
      <c r="W5" s="54"/>
      <c r="X5" s="54"/>
      <c r="Y5" s="54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</row>
    <row r="6" spans="1:52" ht="20.100000000000001" customHeight="1" x14ac:dyDescent="0.25">
      <c r="A6" s="38">
        <v>5</v>
      </c>
      <c r="B6" s="45" t="s">
        <v>1091</v>
      </c>
      <c r="C6" s="18" t="s">
        <v>1095</v>
      </c>
      <c r="D6" s="17" t="s">
        <v>1099</v>
      </c>
      <c r="E6" s="17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52"/>
      <c r="R6" s="52"/>
      <c r="S6" s="52"/>
      <c r="T6" s="54"/>
      <c r="U6" s="54"/>
      <c r="V6" s="54"/>
      <c r="W6" s="54"/>
      <c r="X6" s="54"/>
      <c r="Y6" s="54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</row>
    <row r="7" spans="1:52" ht="20.100000000000001" customHeight="1" x14ac:dyDescent="0.25">
      <c r="A7" s="38">
        <v>6</v>
      </c>
      <c r="B7" s="45" t="s">
        <v>1092</v>
      </c>
      <c r="C7" s="18" t="s">
        <v>1096</v>
      </c>
      <c r="D7" s="17" t="s">
        <v>1100</v>
      </c>
      <c r="E7" s="17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52"/>
      <c r="R7" s="52"/>
      <c r="S7" s="52"/>
      <c r="T7" s="54"/>
      <c r="U7" s="54"/>
      <c r="V7" s="54"/>
      <c r="W7" s="54"/>
      <c r="X7" s="54"/>
      <c r="Y7" s="54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</row>
    <row r="8" spans="1:52" ht="20.100000000000001" customHeight="1" x14ac:dyDescent="0.25">
      <c r="A8" s="38">
        <v>7</v>
      </c>
      <c r="B8" s="45" t="s">
        <v>1093</v>
      </c>
      <c r="C8" s="18" t="s">
        <v>1097</v>
      </c>
      <c r="D8" s="17" t="s">
        <v>1101</v>
      </c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52"/>
      <c r="R8" s="52"/>
      <c r="S8" s="52"/>
      <c r="T8" s="54"/>
      <c r="U8" s="54"/>
      <c r="V8" s="54"/>
      <c r="W8" s="54"/>
      <c r="X8" s="54"/>
      <c r="Y8" s="54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</row>
    <row r="9" spans="1:52" ht="20.100000000000001" customHeight="1" x14ac:dyDescent="0.25">
      <c r="A9" s="38">
        <v>8</v>
      </c>
      <c r="B9" s="45" t="s">
        <v>1102</v>
      </c>
      <c r="C9" s="18"/>
      <c r="D9" s="17"/>
      <c r="E9" s="17"/>
      <c r="F9" s="18" t="s">
        <v>1105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52"/>
      <c r="R9" s="52"/>
      <c r="S9" s="52"/>
      <c r="T9" s="54"/>
      <c r="U9" s="54"/>
      <c r="V9" s="54"/>
      <c r="W9" s="54"/>
      <c r="X9" s="54"/>
      <c r="Y9" s="54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</row>
    <row r="10" spans="1:52" ht="20.100000000000001" customHeight="1" x14ac:dyDescent="0.25">
      <c r="A10" s="38">
        <v>9</v>
      </c>
      <c r="B10" s="45" t="s">
        <v>1103</v>
      </c>
      <c r="C10" s="18"/>
      <c r="D10" s="17"/>
      <c r="E10" s="17"/>
      <c r="F10" s="18" t="s">
        <v>1105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52"/>
      <c r="R10" s="52"/>
      <c r="S10" s="52"/>
      <c r="T10" s="54"/>
      <c r="U10" s="54"/>
      <c r="V10" s="54"/>
      <c r="W10" s="54"/>
      <c r="X10" s="54"/>
      <c r="Y10" s="54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</row>
    <row r="11" spans="1:52" ht="20.100000000000001" customHeight="1" x14ac:dyDescent="0.25">
      <c r="A11" s="38">
        <v>10</v>
      </c>
      <c r="B11" s="45" t="s">
        <v>1104</v>
      </c>
      <c r="C11" s="18"/>
      <c r="D11" s="17"/>
      <c r="E11" s="17"/>
      <c r="F11" s="18" t="s">
        <v>1106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52"/>
      <c r="R11" s="52"/>
      <c r="S11" s="52"/>
      <c r="T11" s="54"/>
      <c r="U11" s="54"/>
      <c r="V11" s="54"/>
      <c r="W11" s="54"/>
      <c r="X11" s="54"/>
      <c r="Y11" s="54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</row>
    <row r="12" spans="1:52" ht="20.100000000000001" customHeight="1" x14ac:dyDescent="0.25">
      <c r="A12" s="38">
        <v>11</v>
      </c>
      <c r="B12" s="45" t="s">
        <v>1112</v>
      </c>
      <c r="C12" s="18"/>
      <c r="D12" s="17"/>
      <c r="E12" s="17"/>
      <c r="F12" s="18"/>
      <c r="G12" s="18"/>
      <c r="H12" s="18"/>
      <c r="I12" s="18" t="s">
        <v>1111</v>
      </c>
      <c r="J12" s="18" t="s">
        <v>1111</v>
      </c>
      <c r="K12" s="18"/>
      <c r="L12" s="18"/>
      <c r="M12" s="18"/>
      <c r="N12" s="18"/>
      <c r="O12" s="18"/>
      <c r="P12" s="18"/>
      <c r="Q12" s="52"/>
      <c r="R12" s="52"/>
      <c r="S12" s="52"/>
      <c r="T12" s="54"/>
      <c r="U12" s="54"/>
      <c r="V12" s="54"/>
      <c r="W12" s="54"/>
      <c r="X12" s="54"/>
      <c r="Y12" s="54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</row>
    <row r="13" spans="1:52" ht="20.100000000000001" customHeight="1" x14ac:dyDescent="0.25">
      <c r="A13" s="38">
        <v>12</v>
      </c>
      <c r="B13" s="45" t="s">
        <v>1113</v>
      </c>
      <c r="C13" s="18"/>
      <c r="D13" s="17"/>
      <c r="E13" s="17"/>
      <c r="F13" s="18"/>
      <c r="G13" s="18"/>
      <c r="H13" s="18"/>
      <c r="I13" s="18" t="s">
        <v>1111</v>
      </c>
      <c r="J13" s="18"/>
      <c r="K13" s="18"/>
      <c r="L13" s="18"/>
      <c r="M13" s="18"/>
      <c r="N13" s="18"/>
      <c r="O13" s="18"/>
      <c r="P13" s="18"/>
      <c r="Q13" s="52"/>
      <c r="R13" s="52"/>
      <c r="S13" s="52"/>
      <c r="T13" s="54"/>
      <c r="U13" s="54"/>
      <c r="V13" s="54"/>
      <c r="W13" s="54"/>
      <c r="X13" s="54"/>
      <c r="Y13" s="54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</row>
    <row r="14" spans="1:52" ht="20.100000000000001" customHeight="1" x14ac:dyDescent="0.25">
      <c r="A14" s="38">
        <v>13</v>
      </c>
      <c r="B14" s="45" t="s">
        <v>1114</v>
      </c>
      <c r="C14" s="18"/>
      <c r="D14" s="17"/>
      <c r="E14" s="17"/>
      <c r="F14" s="18"/>
      <c r="G14" s="18"/>
      <c r="H14" s="18"/>
      <c r="I14" s="18" t="s">
        <v>1111</v>
      </c>
      <c r="J14" s="18" t="s">
        <v>1111</v>
      </c>
      <c r="K14" s="18"/>
      <c r="L14" s="18"/>
      <c r="M14" s="18"/>
      <c r="N14" s="18"/>
      <c r="O14" s="18"/>
      <c r="P14" s="18"/>
      <c r="Q14" s="52"/>
      <c r="R14" s="52"/>
      <c r="S14" s="52"/>
      <c r="T14" s="54"/>
      <c r="U14" s="54"/>
      <c r="V14" s="54"/>
      <c r="W14" s="54"/>
      <c r="X14" s="54"/>
      <c r="Y14" s="54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</row>
    <row r="15" spans="1:52" ht="20.100000000000001" customHeight="1" x14ac:dyDescent="0.25">
      <c r="A15" s="38">
        <v>14</v>
      </c>
      <c r="B15" s="45" t="s">
        <v>1115</v>
      </c>
      <c r="C15" s="18"/>
      <c r="D15" s="17"/>
      <c r="E15" s="17"/>
      <c r="F15" s="18"/>
      <c r="G15" s="18"/>
      <c r="H15" s="18"/>
      <c r="I15" s="18" t="s">
        <v>1111</v>
      </c>
      <c r="J15" s="18" t="s">
        <v>1111</v>
      </c>
      <c r="K15" s="18"/>
      <c r="L15" s="18"/>
      <c r="M15" s="18"/>
      <c r="N15" s="18"/>
      <c r="O15" s="18"/>
      <c r="P15" s="18"/>
      <c r="Q15" s="52"/>
      <c r="R15" s="52"/>
      <c r="S15" s="52"/>
      <c r="T15" s="54"/>
      <c r="U15" s="54"/>
      <c r="V15" s="54"/>
      <c r="W15" s="54"/>
      <c r="X15" s="54"/>
      <c r="Y15" s="54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</row>
    <row r="16" spans="1:52" ht="20.100000000000001" customHeight="1" x14ac:dyDescent="0.25">
      <c r="A16" s="38">
        <v>15</v>
      </c>
      <c r="B16" s="45" t="s">
        <v>1116</v>
      </c>
      <c r="C16" s="18"/>
      <c r="D16" s="17"/>
      <c r="E16" s="17"/>
      <c r="F16" s="18"/>
      <c r="G16" s="18"/>
      <c r="H16" s="18"/>
      <c r="I16" s="18" t="s">
        <v>1111</v>
      </c>
      <c r="J16" s="18" t="s">
        <v>1111</v>
      </c>
      <c r="K16" s="18"/>
      <c r="L16" s="18"/>
      <c r="M16" s="18"/>
      <c r="N16" s="18"/>
      <c r="O16" s="18"/>
      <c r="P16" s="18"/>
      <c r="Q16" s="52"/>
      <c r="R16" s="52"/>
      <c r="S16" s="52"/>
      <c r="T16" s="54"/>
      <c r="U16" s="54"/>
      <c r="V16" s="54"/>
      <c r="W16" s="54"/>
      <c r="X16" s="54"/>
      <c r="Y16" s="54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</row>
    <row r="17" spans="1:52" ht="20.100000000000001" customHeight="1" x14ac:dyDescent="0.25">
      <c r="A17" s="38">
        <v>16</v>
      </c>
      <c r="B17" s="45" t="s">
        <v>1108</v>
      </c>
      <c r="C17" s="18"/>
      <c r="D17" s="17"/>
      <c r="E17" s="17"/>
      <c r="F17" s="18"/>
      <c r="G17" s="18"/>
      <c r="H17" s="18"/>
      <c r="I17" s="18" t="s">
        <v>1109</v>
      </c>
      <c r="J17" s="18"/>
      <c r="K17" s="18"/>
      <c r="L17" s="18"/>
      <c r="M17" s="18"/>
      <c r="N17" s="18"/>
      <c r="O17" s="18"/>
      <c r="P17" s="18"/>
      <c r="Q17" s="52"/>
      <c r="R17" s="52"/>
      <c r="S17" s="52"/>
      <c r="T17" s="54"/>
      <c r="U17" s="54"/>
      <c r="V17" s="54"/>
      <c r="W17" s="54"/>
      <c r="X17" s="54"/>
      <c r="Y17" s="54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</row>
    <row r="18" spans="1:52" ht="20.100000000000001" customHeight="1" x14ac:dyDescent="0.25">
      <c r="A18" s="38">
        <v>17</v>
      </c>
      <c r="B18" s="45" t="s">
        <v>1107</v>
      </c>
      <c r="C18" s="18"/>
      <c r="D18" s="17"/>
      <c r="E18" s="17"/>
      <c r="F18" s="18"/>
      <c r="G18" s="18"/>
      <c r="H18" s="18"/>
      <c r="I18" s="18" t="s">
        <v>1110</v>
      </c>
      <c r="J18" s="18"/>
      <c r="K18" s="18"/>
      <c r="L18" s="18"/>
      <c r="M18" s="18"/>
      <c r="N18" s="18"/>
      <c r="O18" s="18"/>
      <c r="P18" s="18"/>
      <c r="Q18" s="52"/>
      <c r="R18" s="52"/>
      <c r="S18" s="52"/>
      <c r="T18" s="54"/>
      <c r="U18" s="54"/>
      <c r="V18" s="54"/>
      <c r="W18" s="54"/>
      <c r="X18" s="54"/>
      <c r="Y18" s="54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</row>
    <row r="19" spans="1:52" ht="20.100000000000001" customHeight="1" x14ac:dyDescent="0.25">
      <c r="A19" s="38">
        <v>18</v>
      </c>
      <c r="B19" s="45" t="s">
        <v>1117</v>
      </c>
      <c r="C19" s="18"/>
      <c r="D19" s="17"/>
      <c r="E19" s="17"/>
      <c r="F19" s="18"/>
      <c r="G19" s="18"/>
      <c r="H19" s="18"/>
      <c r="I19" s="18"/>
      <c r="J19" s="18" t="s">
        <v>1109</v>
      </c>
      <c r="K19" s="18"/>
      <c r="L19" s="18"/>
      <c r="M19" s="18"/>
      <c r="N19" s="18"/>
      <c r="O19" s="18"/>
      <c r="P19" s="18"/>
      <c r="Q19" s="52"/>
      <c r="R19" s="52"/>
      <c r="S19" s="52"/>
      <c r="T19" s="54"/>
      <c r="U19" s="54"/>
      <c r="V19" s="54"/>
      <c r="W19" s="54"/>
      <c r="X19" s="54"/>
      <c r="Y19" s="54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</row>
    <row r="20" spans="1:52" ht="20.100000000000001" customHeight="1" x14ac:dyDescent="0.25">
      <c r="A20" s="38">
        <v>19</v>
      </c>
      <c r="B20" s="45" t="s">
        <v>1118</v>
      </c>
      <c r="C20" s="18"/>
      <c r="D20" s="17"/>
      <c r="E20" s="17"/>
      <c r="F20" s="18"/>
      <c r="G20" s="18"/>
      <c r="H20" s="18"/>
      <c r="I20" s="18"/>
      <c r="J20" s="18" t="s">
        <v>1124</v>
      </c>
      <c r="K20" s="18"/>
      <c r="L20" s="18"/>
      <c r="M20" s="18"/>
      <c r="N20" s="18"/>
      <c r="O20" s="18"/>
      <c r="P20" s="18"/>
      <c r="Q20" s="52"/>
      <c r="R20" s="52"/>
      <c r="S20" s="52"/>
      <c r="T20" s="54"/>
      <c r="U20" s="54"/>
      <c r="V20" s="54"/>
      <c r="W20" s="54"/>
      <c r="X20" s="54"/>
      <c r="Y20" s="54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</row>
    <row r="21" spans="1:52" ht="20.100000000000001" customHeight="1" x14ac:dyDescent="0.25">
      <c r="A21" s="38">
        <v>20</v>
      </c>
      <c r="B21" s="45" t="s">
        <v>1119</v>
      </c>
      <c r="C21" s="18"/>
      <c r="D21" s="17"/>
      <c r="E21" s="17"/>
      <c r="F21" s="18"/>
      <c r="G21" s="18"/>
      <c r="H21" s="18"/>
      <c r="I21" s="18"/>
      <c r="J21" s="18" t="s">
        <v>1125</v>
      </c>
      <c r="K21" s="18"/>
      <c r="L21" s="18"/>
      <c r="M21" s="18"/>
      <c r="N21" s="18"/>
      <c r="O21" s="18"/>
      <c r="P21" s="18"/>
      <c r="Q21" s="52"/>
      <c r="R21" s="52"/>
      <c r="S21" s="52"/>
      <c r="T21" s="54"/>
      <c r="U21" s="54"/>
      <c r="V21" s="54"/>
      <c r="W21" s="54"/>
      <c r="X21" s="54"/>
      <c r="Y21" s="54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</row>
    <row r="22" spans="1:52" ht="20.100000000000001" customHeight="1" x14ac:dyDescent="0.25">
      <c r="A22" s="38">
        <v>21</v>
      </c>
      <c r="B22" s="45" t="s">
        <v>1120</v>
      </c>
      <c r="C22" s="18"/>
      <c r="D22" s="17"/>
      <c r="E22" s="17"/>
      <c r="F22" s="18"/>
      <c r="G22" s="18"/>
      <c r="H22" s="18"/>
      <c r="I22" s="18"/>
      <c r="J22" s="18" t="s">
        <v>1126</v>
      </c>
      <c r="K22" s="18"/>
      <c r="L22" s="18"/>
      <c r="M22" s="18"/>
      <c r="N22" s="18"/>
      <c r="O22" s="18"/>
      <c r="P22" s="18"/>
      <c r="Q22" s="52"/>
      <c r="R22" s="52"/>
      <c r="S22" s="52"/>
      <c r="T22" s="54"/>
      <c r="U22" s="54"/>
      <c r="V22" s="54"/>
      <c r="W22" s="54"/>
      <c r="X22" s="54"/>
      <c r="Y22" s="54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</row>
    <row r="23" spans="1:52" ht="20.100000000000001" customHeight="1" x14ac:dyDescent="0.25">
      <c r="A23" s="38">
        <v>22</v>
      </c>
      <c r="B23" s="45" t="s">
        <v>1121</v>
      </c>
      <c r="C23" s="18"/>
      <c r="D23" s="17"/>
      <c r="E23" s="17"/>
      <c r="F23" s="18"/>
      <c r="G23" s="18"/>
      <c r="H23" s="18"/>
      <c r="I23" s="18"/>
      <c r="J23" s="18" t="s">
        <v>1127</v>
      </c>
      <c r="K23" s="18"/>
      <c r="L23" s="18"/>
      <c r="M23" s="18"/>
      <c r="N23" s="18"/>
      <c r="O23" s="18"/>
      <c r="P23" s="18"/>
      <c r="Q23" s="52"/>
      <c r="R23" s="52"/>
      <c r="S23" s="52"/>
      <c r="T23" s="54"/>
      <c r="U23" s="54"/>
      <c r="V23" s="54"/>
      <c r="W23" s="54"/>
      <c r="X23" s="54"/>
      <c r="Y23" s="54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</row>
    <row r="24" spans="1:52" ht="20.100000000000001" customHeight="1" x14ac:dyDescent="0.25">
      <c r="A24" s="38">
        <v>23</v>
      </c>
      <c r="B24" s="45" t="s">
        <v>1122</v>
      </c>
      <c r="C24" s="18"/>
      <c r="D24" s="17"/>
      <c r="E24" s="17"/>
      <c r="F24" s="18"/>
      <c r="G24" s="18"/>
      <c r="H24" s="18"/>
      <c r="I24" s="18"/>
      <c r="J24" s="18" t="s">
        <v>1128</v>
      </c>
      <c r="K24" s="18"/>
      <c r="L24" s="18"/>
      <c r="M24" s="18"/>
      <c r="N24" s="18"/>
      <c r="O24" s="18"/>
      <c r="P24" s="18"/>
      <c r="Q24" s="52"/>
      <c r="R24" s="52"/>
      <c r="S24" s="52"/>
      <c r="T24" s="54"/>
      <c r="U24" s="54"/>
      <c r="V24" s="54"/>
      <c r="W24" s="54"/>
      <c r="X24" s="54"/>
      <c r="Y24" s="54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</row>
    <row r="25" spans="1:52" ht="20.100000000000001" customHeight="1" x14ac:dyDescent="0.25">
      <c r="A25" s="38">
        <v>24</v>
      </c>
      <c r="B25" s="45" t="s">
        <v>1123</v>
      </c>
      <c r="C25" s="18"/>
      <c r="D25" s="17"/>
      <c r="E25" s="17"/>
      <c r="F25" s="18"/>
      <c r="G25" s="18"/>
      <c r="H25" s="18"/>
      <c r="I25" s="18"/>
      <c r="J25" s="18" t="s">
        <v>1129</v>
      </c>
      <c r="K25" s="18"/>
      <c r="L25" s="18"/>
      <c r="M25" s="18"/>
      <c r="N25" s="18"/>
      <c r="O25" s="18"/>
      <c r="P25" s="18"/>
      <c r="Q25" s="52"/>
      <c r="R25" s="52"/>
      <c r="S25" s="52"/>
      <c r="T25" s="54"/>
      <c r="U25" s="54"/>
      <c r="V25" s="54"/>
      <c r="W25" s="54"/>
      <c r="X25" s="54"/>
      <c r="Y25" s="54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</row>
    <row r="26" spans="1:52" ht="20.100000000000001" customHeight="1" x14ac:dyDescent="0.25">
      <c r="A26" s="38">
        <v>25</v>
      </c>
      <c r="B26" s="45" t="s">
        <v>592</v>
      </c>
      <c r="C26" s="18"/>
      <c r="D26" s="17"/>
      <c r="E26" s="17"/>
      <c r="F26" s="18"/>
      <c r="G26" s="18"/>
      <c r="H26" s="18"/>
      <c r="I26" s="18"/>
      <c r="J26" s="18"/>
      <c r="K26" s="18" t="s">
        <v>1134</v>
      </c>
      <c r="L26" s="18"/>
      <c r="M26" s="18"/>
      <c r="N26" s="18"/>
      <c r="O26" s="18"/>
      <c r="P26" s="18"/>
      <c r="Q26" s="52"/>
      <c r="R26" s="52"/>
      <c r="S26" s="52"/>
      <c r="T26" s="54"/>
      <c r="U26" s="54"/>
      <c r="V26" s="54"/>
      <c r="W26" s="54"/>
      <c r="X26" s="54"/>
      <c r="Y26" s="54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</row>
    <row r="27" spans="1:52" ht="20.100000000000001" customHeight="1" x14ac:dyDescent="0.25">
      <c r="A27" s="38">
        <v>26</v>
      </c>
      <c r="B27" s="45" t="s">
        <v>1130</v>
      </c>
      <c r="C27" s="18"/>
      <c r="D27" s="17"/>
      <c r="E27" s="17"/>
      <c r="F27" s="18"/>
      <c r="G27" s="18"/>
      <c r="H27" s="18"/>
      <c r="I27" s="18"/>
      <c r="J27" s="18"/>
      <c r="K27" s="18" t="s">
        <v>1135</v>
      </c>
      <c r="L27" s="18" t="s">
        <v>1136</v>
      </c>
      <c r="M27" s="18"/>
      <c r="N27" s="18"/>
      <c r="O27" s="18"/>
      <c r="P27" s="18"/>
      <c r="Q27" s="52"/>
      <c r="R27" s="52"/>
      <c r="S27" s="52"/>
      <c r="T27" s="54"/>
      <c r="U27" s="54"/>
      <c r="V27" s="54"/>
      <c r="W27" s="54"/>
      <c r="X27" s="54"/>
      <c r="Y27" s="54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</row>
    <row r="28" spans="1:52" ht="20.100000000000001" customHeight="1" x14ac:dyDescent="0.25">
      <c r="A28" s="38">
        <v>27</v>
      </c>
      <c r="B28" s="45" t="s">
        <v>593</v>
      </c>
      <c r="C28" s="18"/>
      <c r="D28" s="17"/>
      <c r="E28" s="17"/>
      <c r="F28" s="18"/>
      <c r="G28" s="18"/>
      <c r="H28" s="18"/>
      <c r="I28" s="18"/>
      <c r="J28" s="18"/>
      <c r="K28" s="18"/>
      <c r="L28" s="18"/>
      <c r="M28" s="18"/>
      <c r="N28" s="18" t="s">
        <v>1137</v>
      </c>
      <c r="O28" s="18"/>
      <c r="P28" s="18"/>
      <c r="Q28" s="52"/>
      <c r="R28" s="52"/>
      <c r="S28" s="52"/>
      <c r="T28" s="54"/>
      <c r="U28" s="54"/>
      <c r="V28" s="54"/>
      <c r="W28" s="54"/>
      <c r="X28" s="54"/>
      <c r="Y28" s="54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</row>
    <row r="29" spans="1:52" ht="20.100000000000001" customHeight="1" x14ac:dyDescent="0.25">
      <c r="A29" s="38">
        <v>28</v>
      </c>
      <c r="B29" s="45" t="s">
        <v>1131</v>
      </c>
      <c r="C29" s="18"/>
      <c r="D29" s="17"/>
      <c r="E29" s="17"/>
      <c r="F29" s="18"/>
      <c r="G29" s="18"/>
      <c r="H29" s="18"/>
      <c r="I29" s="18"/>
      <c r="J29" s="18"/>
      <c r="K29" s="18"/>
      <c r="L29" s="18"/>
      <c r="M29" s="18"/>
      <c r="N29" s="18" t="s">
        <v>1137</v>
      </c>
      <c r="O29" s="18"/>
      <c r="P29" s="18"/>
      <c r="Q29" s="52"/>
      <c r="R29" s="52"/>
      <c r="S29" s="52"/>
      <c r="T29" s="54"/>
      <c r="U29" s="54"/>
      <c r="V29" s="54"/>
      <c r="W29" s="54"/>
      <c r="X29" s="54"/>
      <c r="Y29" s="54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</row>
    <row r="30" spans="1:52" ht="20.100000000000001" customHeight="1" x14ac:dyDescent="0.25">
      <c r="A30" s="38">
        <v>29</v>
      </c>
      <c r="B30" s="45" t="s">
        <v>1132</v>
      </c>
      <c r="C30" s="18"/>
      <c r="D30" s="17"/>
      <c r="E30" s="17"/>
      <c r="F30" s="18"/>
      <c r="G30" s="18"/>
      <c r="H30" s="18"/>
      <c r="I30" s="18"/>
      <c r="J30" s="18"/>
      <c r="K30" s="18"/>
      <c r="L30" s="18"/>
      <c r="M30" s="18" t="s">
        <v>1138</v>
      </c>
      <c r="N30" s="18"/>
      <c r="O30" s="18"/>
      <c r="P30" s="18"/>
      <c r="Q30" s="52"/>
      <c r="R30" s="52"/>
      <c r="S30" s="52"/>
      <c r="T30" s="54"/>
      <c r="U30" s="54"/>
      <c r="V30" s="54"/>
      <c r="W30" s="54"/>
      <c r="X30" s="54"/>
      <c r="Y30" s="54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</row>
    <row r="31" spans="1:52" ht="20.100000000000001" customHeight="1" x14ac:dyDescent="0.25">
      <c r="A31" s="38">
        <v>30</v>
      </c>
      <c r="B31" s="45" t="s">
        <v>1133</v>
      </c>
      <c r="C31" s="18"/>
      <c r="D31" s="17"/>
      <c r="E31" s="17"/>
      <c r="F31" s="18"/>
      <c r="G31" s="18"/>
      <c r="H31" s="18"/>
      <c r="I31" s="18"/>
      <c r="J31" s="18"/>
      <c r="K31" s="18"/>
      <c r="L31" s="18"/>
      <c r="M31" s="18" t="s">
        <v>1138</v>
      </c>
      <c r="N31" s="18"/>
      <c r="O31" s="18"/>
      <c r="P31" s="18"/>
      <c r="Q31" s="52"/>
      <c r="R31" s="52"/>
      <c r="S31" s="52"/>
      <c r="T31" s="54"/>
      <c r="U31" s="54"/>
      <c r="V31" s="54"/>
      <c r="W31" s="54"/>
      <c r="X31" s="54"/>
      <c r="Y31" s="54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</row>
    <row r="32" spans="1:52" ht="20.100000000000001" customHeight="1" x14ac:dyDescent="0.25">
      <c r="A32" s="38">
        <v>31</v>
      </c>
      <c r="B32" s="45" t="s">
        <v>1139</v>
      </c>
      <c r="C32" s="18"/>
      <c r="D32" s="17"/>
      <c r="E32" s="17"/>
      <c r="F32" s="18"/>
      <c r="G32" s="18"/>
      <c r="H32" s="18"/>
      <c r="I32" s="18"/>
      <c r="J32" s="18"/>
      <c r="K32" s="18"/>
      <c r="L32" s="18"/>
      <c r="M32" s="18"/>
      <c r="N32" s="18"/>
      <c r="O32" s="18" t="s">
        <v>1146</v>
      </c>
      <c r="P32" s="18" t="s">
        <v>1146</v>
      </c>
      <c r="Q32" s="52"/>
      <c r="R32" s="52"/>
      <c r="S32" s="52"/>
      <c r="T32" s="54"/>
      <c r="U32" s="54"/>
      <c r="V32" s="54"/>
      <c r="W32" s="54"/>
      <c r="X32" s="54"/>
      <c r="Y32" s="54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</row>
    <row r="33" spans="1:52" ht="20.100000000000001" customHeight="1" x14ac:dyDescent="0.25">
      <c r="A33" s="38">
        <v>32</v>
      </c>
      <c r="B33" s="45" t="s">
        <v>1140</v>
      </c>
      <c r="C33" s="18"/>
      <c r="D33" s="17"/>
      <c r="E33" s="17"/>
      <c r="F33" s="18"/>
      <c r="G33" s="18"/>
      <c r="H33" s="18"/>
      <c r="I33" s="18"/>
      <c r="J33" s="18"/>
      <c r="K33" s="18"/>
      <c r="L33" s="18"/>
      <c r="M33" s="18"/>
      <c r="N33" s="18"/>
      <c r="O33" s="18" t="s">
        <v>1146</v>
      </c>
      <c r="P33" s="18" t="s">
        <v>1146</v>
      </c>
      <c r="Q33" s="52"/>
      <c r="R33" s="52"/>
      <c r="S33" s="52"/>
      <c r="T33" s="54"/>
      <c r="U33" s="54"/>
      <c r="V33" s="54"/>
      <c r="W33" s="54"/>
      <c r="X33" s="54"/>
      <c r="Y33" s="54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</row>
    <row r="34" spans="1:52" ht="20.100000000000001" customHeight="1" x14ac:dyDescent="0.25">
      <c r="A34" s="38">
        <v>33</v>
      </c>
      <c r="B34" s="45" t="s">
        <v>1141</v>
      </c>
      <c r="C34" s="18"/>
      <c r="D34" s="17"/>
      <c r="E34" s="17"/>
      <c r="F34" s="18"/>
      <c r="G34" s="18"/>
      <c r="H34" s="18"/>
      <c r="I34" s="18"/>
      <c r="J34" s="18"/>
      <c r="K34" s="18"/>
      <c r="L34" s="18"/>
      <c r="M34" s="18"/>
      <c r="N34" s="18"/>
      <c r="O34" s="18" t="s">
        <v>1146</v>
      </c>
      <c r="P34" s="18" t="s">
        <v>1146</v>
      </c>
      <c r="Q34" s="52"/>
      <c r="R34" s="52"/>
      <c r="S34" s="52"/>
      <c r="T34" s="54"/>
      <c r="U34" s="54"/>
      <c r="V34" s="54"/>
      <c r="W34" s="54"/>
      <c r="X34" s="54"/>
      <c r="Y34" s="54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</row>
    <row r="35" spans="1:52" ht="20.100000000000001" customHeight="1" x14ac:dyDescent="0.25">
      <c r="A35" s="38">
        <v>34</v>
      </c>
      <c r="B35" s="45" t="s">
        <v>1144</v>
      </c>
      <c r="C35" s="18"/>
      <c r="D35" s="17"/>
      <c r="E35" s="17"/>
      <c r="F35" s="18"/>
      <c r="G35" s="18"/>
      <c r="H35" s="18"/>
      <c r="I35" s="18"/>
      <c r="J35" s="18"/>
      <c r="K35" s="18"/>
      <c r="L35" s="18"/>
      <c r="M35" s="18"/>
      <c r="N35" s="18"/>
      <c r="O35" s="18" t="s">
        <v>1146</v>
      </c>
      <c r="P35" s="18" t="s">
        <v>1146</v>
      </c>
      <c r="Q35" s="52"/>
      <c r="R35" s="52"/>
      <c r="S35" s="52"/>
      <c r="T35" s="54"/>
      <c r="U35" s="54"/>
      <c r="V35" s="54"/>
      <c r="W35" s="54"/>
      <c r="X35" s="54"/>
      <c r="Y35" s="54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</row>
    <row r="36" spans="1:52" ht="20.100000000000001" customHeight="1" x14ac:dyDescent="0.25">
      <c r="A36" s="38">
        <v>35</v>
      </c>
      <c r="B36" s="45" t="s">
        <v>1145</v>
      </c>
      <c r="C36" s="18"/>
      <c r="D36" s="17"/>
      <c r="E36" s="17"/>
      <c r="F36" s="18"/>
      <c r="G36" s="18"/>
      <c r="H36" s="18"/>
      <c r="I36" s="18"/>
      <c r="J36" s="18"/>
      <c r="K36" s="18"/>
      <c r="L36" s="18"/>
      <c r="M36" s="18"/>
      <c r="N36" s="18"/>
      <c r="O36" s="18" t="s">
        <v>1146</v>
      </c>
      <c r="P36" s="18" t="s">
        <v>1146</v>
      </c>
      <c r="Q36" s="52"/>
      <c r="R36" s="52"/>
      <c r="S36" s="52"/>
      <c r="T36" s="54"/>
      <c r="U36" s="54"/>
      <c r="V36" s="54"/>
      <c r="W36" s="54"/>
      <c r="X36" s="54"/>
      <c r="Y36" s="54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</row>
    <row r="37" spans="1:52" ht="20.100000000000001" customHeight="1" x14ac:dyDescent="0.25">
      <c r="A37" s="38">
        <v>36</v>
      </c>
      <c r="B37" s="45" t="s">
        <v>1142</v>
      </c>
      <c r="C37" s="18"/>
      <c r="D37" s="17"/>
      <c r="E37" s="17"/>
      <c r="F37" s="18"/>
      <c r="G37" s="18"/>
      <c r="H37" s="18"/>
      <c r="I37" s="18"/>
      <c r="J37" s="18"/>
      <c r="K37" s="18"/>
      <c r="L37" s="18"/>
      <c r="M37" s="18"/>
      <c r="N37" s="18"/>
      <c r="O37" s="18" t="s">
        <v>1146</v>
      </c>
      <c r="P37" s="18" t="s">
        <v>1146</v>
      </c>
      <c r="Q37" s="52"/>
      <c r="R37" s="52"/>
      <c r="S37" s="52"/>
      <c r="T37" s="54"/>
      <c r="U37" s="54"/>
      <c r="V37" s="54"/>
      <c r="W37" s="54"/>
      <c r="X37" s="54"/>
      <c r="Y37" s="54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</row>
    <row r="38" spans="1:52" ht="20.100000000000001" customHeight="1" x14ac:dyDescent="0.25">
      <c r="A38" s="38">
        <v>37</v>
      </c>
      <c r="B38" s="45" t="s">
        <v>1143</v>
      </c>
      <c r="C38" s="18"/>
      <c r="D38" s="17"/>
      <c r="E38" s="17"/>
      <c r="F38" s="18"/>
      <c r="G38" s="18"/>
      <c r="H38" s="18"/>
      <c r="I38" s="18"/>
      <c r="J38" s="18"/>
      <c r="K38" s="18"/>
      <c r="L38" s="18"/>
      <c r="M38" s="18"/>
      <c r="N38" s="18"/>
      <c r="O38" s="18" t="s">
        <v>1146</v>
      </c>
      <c r="P38" s="18" t="s">
        <v>1146</v>
      </c>
      <c r="Q38" s="52"/>
      <c r="R38" s="52"/>
      <c r="S38" s="52"/>
      <c r="T38" s="54"/>
      <c r="U38" s="54"/>
      <c r="V38" s="54"/>
      <c r="W38" s="54"/>
      <c r="X38" s="54"/>
      <c r="Y38" s="54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</row>
    <row r="39" spans="1:52" ht="20.100000000000001" customHeight="1" x14ac:dyDescent="0.25">
      <c r="A39" s="38">
        <v>38</v>
      </c>
      <c r="B39" s="45" t="s">
        <v>1147</v>
      </c>
      <c r="C39" s="18"/>
      <c r="D39" s="17"/>
      <c r="E39" s="17"/>
      <c r="F39" s="18"/>
      <c r="G39" s="18"/>
      <c r="H39" s="18"/>
      <c r="I39" s="18"/>
      <c r="J39" s="18"/>
      <c r="K39" s="18"/>
      <c r="L39" s="18"/>
      <c r="M39" s="18"/>
      <c r="N39" s="18"/>
      <c r="O39" s="18" t="s">
        <v>1148</v>
      </c>
      <c r="P39" s="18" t="s">
        <v>1148</v>
      </c>
      <c r="Q39" s="52"/>
      <c r="R39" s="52"/>
      <c r="S39" s="52"/>
      <c r="T39" s="54"/>
      <c r="U39" s="54"/>
      <c r="V39" s="54"/>
      <c r="W39" s="54"/>
      <c r="X39" s="54"/>
      <c r="Y39" s="54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</row>
    <row r="40" spans="1:52" ht="20.100000000000001" customHeight="1" x14ac:dyDescent="0.25">
      <c r="A40" s="38">
        <v>39</v>
      </c>
      <c r="B40" s="45" t="s">
        <v>1150</v>
      </c>
      <c r="C40" s="18"/>
      <c r="D40" s="17"/>
      <c r="E40" s="17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52"/>
      <c r="R40" s="52" t="s">
        <v>1152</v>
      </c>
      <c r="S40" s="52"/>
      <c r="T40" s="54"/>
      <c r="U40" s="54"/>
      <c r="V40" s="54"/>
      <c r="W40" s="54"/>
      <c r="X40" s="54"/>
      <c r="Y40" s="54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</row>
    <row r="41" spans="1:52" ht="20.100000000000001" customHeight="1" x14ac:dyDescent="0.25">
      <c r="A41" s="38">
        <v>40</v>
      </c>
      <c r="B41" s="45" t="s">
        <v>1151</v>
      </c>
      <c r="C41" s="18"/>
      <c r="D41" s="17"/>
      <c r="E41" s="17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52"/>
      <c r="R41" s="52" t="s">
        <v>1152</v>
      </c>
      <c r="S41" s="52"/>
      <c r="T41" s="54"/>
      <c r="U41" s="54"/>
      <c r="V41" s="54"/>
      <c r="W41" s="54"/>
      <c r="X41" s="54"/>
      <c r="Y41" s="54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</row>
    <row r="42" spans="1:52" ht="20.100000000000001" customHeight="1" x14ac:dyDescent="0.25">
      <c r="A42" s="38">
        <v>41</v>
      </c>
      <c r="B42" s="45" t="s">
        <v>615</v>
      </c>
      <c r="C42" s="18"/>
      <c r="D42" s="17"/>
      <c r="E42" s="17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52"/>
      <c r="R42" s="52"/>
      <c r="S42" s="52">
        <v>0</v>
      </c>
      <c r="T42" s="54"/>
      <c r="U42" s="54"/>
      <c r="V42" s="54"/>
      <c r="W42" s="54"/>
      <c r="X42" s="54"/>
      <c r="Y42" s="54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</row>
    <row r="43" spans="1:52" ht="20.100000000000001" customHeight="1" x14ac:dyDescent="0.25">
      <c r="A43" s="38">
        <v>42</v>
      </c>
      <c r="B43" s="45" t="s">
        <v>1153</v>
      </c>
      <c r="C43" s="18"/>
      <c r="D43" s="17"/>
      <c r="E43" s="17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52"/>
      <c r="R43" s="52"/>
      <c r="S43" s="52">
        <v>0</v>
      </c>
      <c r="T43" s="54"/>
      <c r="U43" s="54"/>
      <c r="V43" s="54"/>
      <c r="W43" s="54"/>
      <c r="X43" s="54"/>
      <c r="Y43" s="54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</row>
    <row r="44" spans="1:52" ht="20.100000000000001" customHeight="1" x14ac:dyDescent="0.25">
      <c r="A44" s="38">
        <v>43</v>
      </c>
      <c r="B44" s="45" t="s">
        <v>1154</v>
      </c>
      <c r="C44" s="18"/>
      <c r="D44" s="17"/>
      <c r="E44" s="17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52"/>
      <c r="R44" s="52"/>
      <c r="S44" s="52">
        <v>47</v>
      </c>
      <c r="T44" s="54"/>
      <c r="U44" s="54"/>
      <c r="V44" s="54"/>
      <c r="W44" s="54"/>
      <c r="X44" s="54"/>
      <c r="Y44" s="54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</row>
    <row r="45" spans="1:52" ht="20.100000000000001" customHeight="1" x14ac:dyDescent="0.25">
      <c r="A45" s="38">
        <v>44</v>
      </c>
      <c r="B45" s="45" t="s">
        <v>1155</v>
      </c>
      <c r="C45" s="18"/>
      <c r="D45" s="17"/>
      <c r="E45" s="17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52"/>
      <c r="R45" s="52"/>
      <c r="S45" s="52">
        <v>47</v>
      </c>
      <c r="T45" s="54"/>
      <c r="U45" s="54"/>
      <c r="V45" s="54"/>
      <c r="W45" s="54"/>
      <c r="X45" s="54"/>
      <c r="Y45" s="54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</row>
    <row r="46" spans="1:52" ht="20.100000000000001" customHeight="1" x14ac:dyDescent="0.25">
      <c r="A46" s="38">
        <v>45</v>
      </c>
      <c r="B46" s="45" t="s">
        <v>1153</v>
      </c>
      <c r="C46" s="18"/>
      <c r="D46" s="17"/>
      <c r="E46" s="17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52"/>
      <c r="R46" s="52"/>
      <c r="S46" s="52">
        <v>47</v>
      </c>
      <c r="T46" s="54"/>
      <c r="U46" s="54"/>
      <c r="V46" s="54"/>
      <c r="W46" s="54"/>
      <c r="X46" s="54"/>
      <c r="Y46" s="54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</row>
    <row r="47" spans="1:52" ht="20.100000000000001" customHeight="1" x14ac:dyDescent="0.25">
      <c r="A47" s="38">
        <v>46</v>
      </c>
      <c r="B47" s="45" t="s">
        <v>1156</v>
      </c>
      <c r="C47" s="18"/>
      <c r="D47" s="17"/>
      <c r="E47" s="17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52"/>
      <c r="R47" s="52"/>
      <c r="S47" s="52">
        <v>158</v>
      </c>
      <c r="T47" s="54"/>
      <c r="U47" s="54"/>
      <c r="V47" s="54"/>
      <c r="W47" s="54"/>
      <c r="X47" s="54"/>
      <c r="Y47" s="54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</row>
    <row r="48" spans="1:52" ht="20.100000000000001" customHeight="1" x14ac:dyDescent="0.25">
      <c r="A48" s="38">
        <v>47</v>
      </c>
      <c r="B48" s="45" t="s">
        <v>1157</v>
      </c>
      <c r="C48" s="18"/>
      <c r="D48" s="17"/>
      <c r="E48" s="17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52"/>
      <c r="R48" s="52"/>
      <c r="S48" s="52">
        <v>158</v>
      </c>
      <c r="T48" s="54"/>
      <c r="U48" s="54"/>
      <c r="V48" s="54"/>
      <c r="W48" s="54"/>
      <c r="X48" s="54"/>
      <c r="Y48" s="54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</row>
    <row r="49" spans="1:52" ht="20.100000000000001" customHeight="1" x14ac:dyDescent="0.25">
      <c r="A49" s="38">
        <v>48</v>
      </c>
      <c r="B49" s="45" t="s">
        <v>1158</v>
      </c>
      <c r="C49" s="18"/>
      <c r="D49" s="17"/>
      <c r="E49" s="17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52"/>
      <c r="R49" s="52"/>
      <c r="S49" s="52" t="s">
        <v>1161</v>
      </c>
      <c r="T49" s="54"/>
      <c r="U49" s="54"/>
      <c r="V49" s="54"/>
      <c r="W49" s="54"/>
      <c r="X49" s="54"/>
      <c r="Y49" s="54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</row>
    <row r="50" spans="1:52" ht="20.100000000000001" customHeight="1" x14ac:dyDescent="0.25">
      <c r="A50" s="38">
        <v>49</v>
      </c>
      <c r="B50" s="45" t="s">
        <v>1159</v>
      </c>
      <c r="C50" s="18"/>
      <c r="D50" s="17"/>
      <c r="E50" s="17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52"/>
      <c r="R50" s="52"/>
      <c r="S50" s="52" t="s">
        <v>1161</v>
      </c>
      <c r="T50" s="54"/>
      <c r="U50" s="54"/>
      <c r="V50" s="54"/>
      <c r="W50" s="54"/>
      <c r="X50" s="54"/>
      <c r="Y50" s="54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</row>
    <row r="51" spans="1:52" ht="20.100000000000001" customHeight="1" x14ac:dyDescent="0.25">
      <c r="A51" s="38">
        <v>50</v>
      </c>
      <c r="B51" s="45" t="s">
        <v>1160</v>
      </c>
      <c r="C51" s="18"/>
      <c r="D51" s="17"/>
      <c r="E51" s="17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52"/>
      <c r="R51" s="52"/>
      <c r="S51" s="52" t="s">
        <v>1162</v>
      </c>
      <c r="T51" s="54"/>
      <c r="U51" s="54"/>
      <c r="V51" s="54"/>
      <c r="W51" s="54"/>
      <c r="X51" s="54"/>
      <c r="Y51" s="54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</row>
    <row r="52" spans="1:52" ht="20.100000000000001" customHeight="1" x14ac:dyDescent="0.25">
      <c r="A52" s="38">
        <v>51</v>
      </c>
      <c r="B52" s="45" t="s">
        <v>1142</v>
      </c>
      <c r="C52" s="18"/>
      <c r="D52" s="17"/>
      <c r="E52" s="17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52"/>
      <c r="R52" s="52"/>
      <c r="S52" s="52" t="s">
        <v>1162</v>
      </c>
      <c r="T52" s="54"/>
      <c r="U52" s="54"/>
      <c r="V52" s="54"/>
      <c r="W52" s="54"/>
      <c r="X52" s="54"/>
      <c r="Y52" s="54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</row>
    <row r="53" spans="1:52" ht="20.100000000000001" customHeight="1" x14ac:dyDescent="0.25">
      <c r="A53" s="38">
        <v>52</v>
      </c>
      <c r="B53" s="45" t="s">
        <v>621</v>
      </c>
      <c r="C53" s="18"/>
      <c r="D53" s="17"/>
      <c r="E53" s="17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52"/>
      <c r="R53" s="52"/>
      <c r="S53" s="52" t="s">
        <v>1162</v>
      </c>
      <c r="T53" s="54"/>
      <c r="U53" s="54"/>
      <c r="V53" s="54"/>
      <c r="W53" s="54"/>
      <c r="X53" s="54"/>
      <c r="Y53" s="54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</row>
    <row r="54" spans="1:52" ht="20.100000000000001" customHeight="1" x14ac:dyDescent="0.25">
      <c r="A54" s="38">
        <v>53</v>
      </c>
      <c r="B54" s="45" t="s">
        <v>1163</v>
      </c>
      <c r="C54" s="18"/>
      <c r="D54" s="17"/>
      <c r="E54" s="17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52"/>
      <c r="R54" s="52"/>
      <c r="S54" s="52"/>
      <c r="T54" s="54" t="s">
        <v>1164</v>
      </c>
      <c r="U54" s="54"/>
      <c r="V54" s="54" t="s">
        <v>1164</v>
      </c>
      <c r="W54" s="54"/>
      <c r="X54" s="54"/>
      <c r="Y54" s="54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</row>
    <row r="55" spans="1:52" ht="20.100000000000001" customHeight="1" x14ac:dyDescent="0.25">
      <c r="A55" s="38">
        <v>54</v>
      </c>
      <c r="B55" s="45" t="s">
        <v>1088</v>
      </c>
      <c r="C55" s="18"/>
      <c r="D55" s="17"/>
      <c r="E55" s="17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52"/>
      <c r="R55" s="52"/>
      <c r="S55" s="52"/>
      <c r="T55" s="54" t="s">
        <v>1164</v>
      </c>
      <c r="U55" s="54"/>
      <c r="V55" s="54" t="s">
        <v>1164</v>
      </c>
      <c r="W55" s="54"/>
      <c r="X55" s="54"/>
      <c r="Y55" s="54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</row>
    <row r="56" spans="1:52" ht="20.100000000000001" customHeight="1" x14ac:dyDescent="0.25">
      <c r="A56" s="38">
        <v>55</v>
      </c>
      <c r="B56" s="45" t="s">
        <v>1165</v>
      </c>
      <c r="C56" s="18"/>
      <c r="D56" s="17"/>
      <c r="E56" s="17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52"/>
      <c r="R56" s="52"/>
      <c r="S56" s="52"/>
      <c r="T56" s="54"/>
      <c r="U56" s="54"/>
      <c r="V56" s="54"/>
      <c r="W56" s="54" t="s">
        <v>1183</v>
      </c>
      <c r="X56" s="54"/>
      <c r="Y56" s="54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</row>
    <row r="57" spans="1:52" ht="20.100000000000001" customHeight="1" x14ac:dyDescent="0.25">
      <c r="A57" s="38">
        <v>56</v>
      </c>
      <c r="B57" s="45" t="s">
        <v>1166</v>
      </c>
      <c r="C57" s="18"/>
      <c r="D57" s="17"/>
      <c r="E57" s="17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52"/>
      <c r="R57" s="52"/>
      <c r="S57" s="52"/>
      <c r="T57" s="54"/>
      <c r="U57" s="54"/>
      <c r="V57" s="54"/>
      <c r="W57" s="54" t="s">
        <v>1184</v>
      </c>
      <c r="X57" s="54"/>
      <c r="Y57" s="54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</row>
    <row r="58" spans="1:52" ht="20.100000000000001" customHeight="1" x14ac:dyDescent="0.25">
      <c r="A58" s="38">
        <v>57</v>
      </c>
      <c r="B58" s="45" t="s">
        <v>1167</v>
      </c>
      <c r="C58" s="18"/>
      <c r="D58" s="17"/>
      <c r="E58" s="17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52"/>
      <c r="R58" s="52"/>
      <c r="S58" s="52"/>
      <c r="T58" s="54"/>
      <c r="U58" s="54"/>
      <c r="V58" s="54"/>
      <c r="W58" s="54" t="s">
        <v>1185</v>
      </c>
      <c r="X58" s="54"/>
      <c r="Y58" s="54" t="s">
        <v>1185</v>
      </c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</row>
    <row r="59" spans="1:52" ht="20.100000000000001" customHeight="1" x14ac:dyDescent="0.25">
      <c r="A59" s="38">
        <v>58</v>
      </c>
      <c r="B59" s="45" t="s">
        <v>1168</v>
      </c>
      <c r="C59" s="18"/>
      <c r="D59" s="17"/>
      <c r="E59" s="17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52"/>
      <c r="R59" s="52"/>
      <c r="S59" s="52"/>
      <c r="T59" s="54"/>
      <c r="U59" s="54"/>
      <c r="V59" s="54"/>
      <c r="W59" s="54" t="s">
        <v>1185</v>
      </c>
      <c r="X59" s="54"/>
      <c r="Y59" s="54" t="s">
        <v>1185</v>
      </c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</row>
    <row r="60" spans="1:52" ht="20.100000000000001" customHeight="1" x14ac:dyDescent="0.25">
      <c r="A60" s="38">
        <v>59</v>
      </c>
      <c r="B60" s="45" t="s">
        <v>1169</v>
      </c>
      <c r="C60" s="18"/>
      <c r="D60" s="17"/>
      <c r="E60" s="17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52"/>
      <c r="R60" s="52"/>
      <c r="S60" s="52"/>
      <c r="T60" s="54"/>
      <c r="U60" s="54"/>
      <c r="V60" s="54"/>
      <c r="W60" s="54" t="s">
        <v>1186</v>
      </c>
      <c r="X60" s="54"/>
      <c r="Y60" s="54" t="s">
        <v>1186</v>
      </c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</row>
    <row r="61" spans="1:52" ht="20.100000000000001" customHeight="1" x14ac:dyDescent="0.25">
      <c r="A61" s="38">
        <v>60</v>
      </c>
      <c r="B61" s="45" t="s">
        <v>1170</v>
      </c>
      <c r="C61" s="18"/>
      <c r="D61" s="17"/>
      <c r="E61" s="17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52"/>
      <c r="R61" s="52"/>
      <c r="S61" s="52"/>
      <c r="T61" s="54"/>
      <c r="U61" s="54"/>
      <c r="V61" s="54"/>
      <c r="W61" s="54" t="s">
        <v>1186</v>
      </c>
      <c r="X61" s="54"/>
      <c r="Y61" s="54" t="s">
        <v>1186</v>
      </c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</row>
    <row r="62" spans="1:52" ht="20.100000000000001" customHeight="1" x14ac:dyDescent="0.25">
      <c r="A62" s="38">
        <v>61</v>
      </c>
      <c r="B62" s="45" t="s">
        <v>1171</v>
      </c>
      <c r="C62" s="18"/>
      <c r="D62" s="17"/>
      <c r="E62" s="17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52"/>
      <c r="R62" s="52"/>
      <c r="S62" s="52"/>
      <c r="T62" s="54"/>
      <c r="U62" s="54"/>
      <c r="V62" s="54"/>
      <c r="W62" s="54" t="s">
        <v>1187</v>
      </c>
      <c r="X62" s="54"/>
      <c r="Y62" s="54" t="s">
        <v>1187</v>
      </c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</row>
    <row r="63" spans="1:52" ht="20.100000000000001" customHeight="1" x14ac:dyDescent="0.25">
      <c r="A63" s="38">
        <v>62</v>
      </c>
      <c r="B63" s="45" t="s">
        <v>1172</v>
      </c>
      <c r="C63" s="18"/>
      <c r="D63" s="17"/>
      <c r="E63" s="17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52"/>
      <c r="R63" s="52"/>
      <c r="S63" s="52"/>
      <c r="T63" s="54"/>
      <c r="U63" s="54"/>
      <c r="V63" s="54"/>
      <c r="W63" s="54" t="s">
        <v>1188</v>
      </c>
      <c r="X63" s="54"/>
      <c r="Y63" s="54" t="s">
        <v>1188</v>
      </c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</row>
    <row r="64" spans="1:52" ht="20.100000000000001" customHeight="1" x14ac:dyDescent="0.25">
      <c r="A64" s="38">
        <v>63</v>
      </c>
      <c r="B64" s="45" t="s">
        <v>1173</v>
      </c>
      <c r="C64" s="18"/>
      <c r="D64" s="17"/>
      <c r="E64" s="17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52"/>
      <c r="R64" s="52"/>
      <c r="S64" s="52"/>
      <c r="T64" s="54"/>
      <c r="U64" s="54"/>
      <c r="V64" s="54"/>
      <c r="W64" s="54" t="s">
        <v>1188</v>
      </c>
      <c r="X64" s="54"/>
      <c r="Y64" s="54" t="s">
        <v>1188</v>
      </c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</row>
    <row r="65" spans="1:52" ht="20.100000000000001" customHeight="1" x14ac:dyDescent="0.25">
      <c r="A65" s="38">
        <v>64</v>
      </c>
      <c r="B65" s="45" t="s">
        <v>1174</v>
      </c>
      <c r="C65" s="18"/>
      <c r="D65" s="17"/>
      <c r="E65" s="17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52"/>
      <c r="R65" s="52"/>
      <c r="S65" s="52"/>
      <c r="T65" s="54"/>
      <c r="U65" s="54"/>
      <c r="V65" s="54"/>
      <c r="W65" s="54" t="s">
        <v>1188</v>
      </c>
      <c r="X65" s="54"/>
      <c r="Y65" s="54" t="s">
        <v>1188</v>
      </c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</row>
    <row r="66" spans="1:52" ht="20.100000000000001" customHeight="1" x14ac:dyDescent="0.25">
      <c r="A66" s="38">
        <v>65</v>
      </c>
      <c r="B66" s="45" t="s">
        <v>1175</v>
      </c>
      <c r="C66" s="18"/>
      <c r="D66" s="17"/>
      <c r="E66" s="17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52"/>
      <c r="R66" s="52"/>
      <c r="S66" s="52"/>
      <c r="T66" s="54"/>
      <c r="U66" s="54"/>
      <c r="V66" s="54"/>
      <c r="W66" s="54" t="s">
        <v>1189</v>
      </c>
      <c r="X66" s="54"/>
      <c r="Y66" s="54" t="s">
        <v>1189</v>
      </c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</row>
    <row r="67" spans="1:52" ht="20.100000000000001" customHeight="1" x14ac:dyDescent="0.25">
      <c r="A67" s="38">
        <v>66</v>
      </c>
      <c r="B67" s="45" t="s">
        <v>1176</v>
      </c>
      <c r="C67" s="18"/>
      <c r="D67" s="17"/>
      <c r="E67" s="17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52"/>
      <c r="R67" s="52"/>
      <c r="S67" s="52"/>
      <c r="T67" s="54"/>
      <c r="U67" s="54"/>
      <c r="V67" s="54"/>
      <c r="W67" s="54" t="s">
        <v>1189</v>
      </c>
      <c r="X67" s="54"/>
      <c r="Y67" s="54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</row>
    <row r="68" spans="1:52" ht="20.100000000000001" customHeight="1" x14ac:dyDescent="0.25">
      <c r="A68" s="38">
        <v>67</v>
      </c>
      <c r="B68" s="45" t="s">
        <v>1177</v>
      </c>
      <c r="C68" s="18"/>
      <c r="D68" s="17"/>
      <c r="E68" s="17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52"/>
      <c r="R68" s="52"/>
      <c r="S68" s="52"/>
      <c r="T68" s="54"/>
      <c r="U68" s="54"/>
      <c r="V68" s="54"/>
      <c r="W68" s="54" t="s">
        <v>1189</v>
      </c>
      <c r="X68" s="54"/>
      <c r="Y68" s="54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</row>
    <row r="69" spans="1:52" ht="20.100000000000001" customHeight="1" x14ac:dyDescent="0.25">
      <c r="A69" s="38">
        <v>68</v>
      </c>
      <c r="B69" s="45" t="s">
        <v>1178</v>
      </c>
      <c r="C69" s="18"/>
      <c r="D69" s="17"/>
      <c r="E69" s="17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52"/>
      <c r="R69" s="52"/>
      <c r="S69" s="52"/>
      <c r="T69" s="54"/>
      <c r="U69" s="54"/>
      <c r="V69" s="54"/>
      <c r="W69" s="54" t="s">
        <v>1190</v>
      </c>
      <c r="X69" s="54"/>
      <c r="Y69" s="54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</row>
    <row r="70" spans="1:52" ht="20.100000000000001" customHeight="1" x14ac:dyDescent="0.25">
      <c r="A70" s="38">
        <v>69</v>
      </c>
      <c r="B70" s="39" t="s">
        <v>1179</v>
      </c>
      <c r="C70" s="18"/>
      <c r="D70" s="17"/>
      <c r="E70" s="17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52"/>
      <c r="R70" s="52"/>
      <c r="S70" s="52"/>
      <c r="T70" s="54"/>
      <c r="U70" s="54"/>
      <c r="V70" s="54"/>
      <c r="W70" s="54" t="s">
        <v>1191</v>
      </c>
      <c r="X70" s="54" t="s">
        <v>1194</v>
      </c>
      <c r="Y70" s="54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</row>
    <row r="71" spans="1:52" ht="20.100000000000001" customHeight="1" x14ac:dyDescent="0.25">
      <c r="A71" s="38">
        <v>70</v>
      </c>
      <c r="B71" s="39" t="s">
        <v>1180</v>
      </c>
      <c r="C71" s="18"/>
      <c r="D71" s="17"/>
      <c r="E71" s="17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52"/>
      <c r="R71" s="52"/>
      <c r="S71" s="52"/>
      <c r="T71" s="54"/>
      <c r="U71" s="54"/>
      <c r="V71" s="54"/>
      <c r="W71" s="54" t="s">
        <v>1191</v>
      </c>
      <c r="X71" s="54" t="s">
        <v>1195</v>
      </c>
      <c r="Y71" s="54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</row>
    <row r="72" spans="1:52" ht="20.100000000000001" customHeight="1" x14ac:dyDescent="0.25">
      <c r="A72" s="38">
        <v>71</v>
      </c>
      <c r="B72" s="39" t="s">
        <v>1181</v>
      </c>
      <c r="C72" s="18"/>
      <c r="D72" s="17"/>
      <c r="E72" s="17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52"/>
      <c r="R72" s="52"/>
      <c r="S72" s="52"/>
      <c r="T72" s="54"/>
      <c r="U72" s="54"/>
      <c r="V72" s="54"/>
      <c r="W72" s="54" t="s">
        <v>1192</v>
      </c>
      <c r="X72" s="54"/>
      <c r="Y72" s="54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</row>
    <row r="73" spans="1:52" ht="20.100000000000001" customHeight="1" x14ac:dyDescent="0.25">
      <c r="A73" s="38">
        <v>72</v>
      </c>
      <c r="B73" s="39" t="s">
        <v>1182</v>
      </c>
      <c r="C73" s="18"/>
      <c r="D73" s="17"/>
      <c r="E73" s="17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52"/>
      <c r="R73" s="52"/>
      <c r="S73" s="52"/>
      <c r="T73" s="54"/>
      <c r="U73" s="54"/>
      <c r="V73" s="54"/>
      <c r="W73" s="54" t="s">
        <v>1193</v>
      </c>
      <c r="X73" s="54"/>
      <c r="Y73" s="54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</row>
    <row r="74" spans="1:52" ht="20.100000000000001" customHeight="1" x14ac:dyDescent="0.25">
      <c r="A74" s="38">
        <v>73</v>
      </c>
      <c r="B74" s="39" t="s">
        <v>615</v>
      </c>
      <c r="C74" s="18"/>
      <c r="D74" s="17"/>
      <c r="E74" s="17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52"/>
      <c r="R74" s="52"/>
      <c r="S74" s="52"/>
      <c r="T74" s="54"/>
      <c r="U74" s="54"/>
      <c r="V74" s="54"/>
      <c r="W74" s="54"/>
      <c r="X74" s="54"/>
      <c r="Y74" s="54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>
        <v>0</v>
      </c>
      <c r="AV74" s="41">
        <v>0</v>
      </c>
      <c r="AW74" s="41"/>
      <c r="AX74" s="41"/>
      <c r="AY74" s="41"/>
      <c r="AZ74" s="41"/>
    </row>
    <row r="75" spans="1:52" ht="20.100000000000001" customHeight="1" x14ac:dyDescent="0.25">
      <c r="A75" s="38">
        <v>74</v>
      </c>
      <c r="B75" s="39" t="s">
        <v>1155</v>
      </c>
      <c r="C75" s="18"/>
      <c r="D75" s="17"/>
      <c r="E75" s="17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52"/>
      <c r="R75" s="52"/>
      <c r="S75" s="52"/>
      <c r="T75" s="54"/>
      <c r="U75" s="54"/>
      <c r="V75" s="54"/>
      <c r="W75" s="54"/>
      <c r="X75" s="54"/>
      <c r="Y75" s="54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>
        <v>101</v>
      </c>
      <c r="AV75" s="41">
        <v>101</v>
      </c>
      <c r="AW75" s="41"/>
      <c r="AX75" s="41"/>
      <c r="AY75" s="41"/>
      <c r="AZ75" s="41"/>
    </row>
    <row r="76" spans="1:52" ht="20.100000000000001" customHeight="1" x14ac:dyDescent="0.25">
      <c r="A76" s="38">
        <v>75</v>
      </c>
      <c r="B76" s="39" t="s">
        <v>1154</v>
      </c>
      <c r="C76" s="18"/>
      <c r="D76" s="17"/>
      <c r="E76" s="17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52"/>
      <c r="R76" s="52"/>
      <c r="S76" s="52"/>
      <c r="T76" s="54"/>
      <c r="U76" s="54"/>
      <c r="V76" s="54"/>
      <c r="W76" s="54"/>
      <c r="X76" s="54"/>
      <c r="Y76" s="54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>
        <v>101</v>
      </c>
      <c r="AV76" s="41">
        <v>101</v>
      </c>
      <c r="AW76" s="41"/>
      <c r="AX76" s="41"/>
      <c r="AY76" s="41"/>
      <c r="AZ76" s="41"/>
    </row>
    <row r="77" spans="1:52" ht="20.100000000000001" customHeight="1" x14ac:dyDescent="0.25">
      <c r="A77" s="38">
        <v>76</v>
      </c>
      <c r="B77" s="39" t="s">
        <v>1598</v>
      </c>
      <c r="C77" s="18"/>
      <c r="D77" s="17"/>
      <c r="E77" s="17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52"/>
      <c r="R77" s="52"/>
      <c r="S77" s="52"/>
      <c r="T77" s="54"/>
      <c r="U77" s="54"/>
      <c r="V77" s="54"/>
      <c r="W77" s="54"/>
      <c r="X77" s="54"/>
      <c r="Y77" s="54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>
        <v>232</v>
      </c>
      <c r="AV77" s="41">
        <v>232</v>
      </c>
      <c r="AW77" s="41"/>
      <c r="AX77" s="41"/>
      <c r="AY77" s="41"/>
      <c r="AZ77" s="41"/>
    </row>
    <row r="78" spans="1:52" ht="20.100000000000001" customHeight="1" x14ac:dyDescent="0.25">
      <c r="A78" s="38">
        <v>77</v>
      </c>
      <c r="B78" s="39" t="s">
        <v>1156</v>
      </c>
      <c r="C78" s="18"/>
      <c r="D78" s="17"/>
      <c r="E78" s="17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52"/>
      <c r="R78" s="52"/>
      <c r="S78" s="52"/>
      <c r="T78" s="54"/>
      <c r="U78" s="54"/>
      <c r="V78" s="54"/>
      <c r="W78" s="54"/>
      <c r="X78" s="54"/>
      <c r="Y78" s="54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>
        <v>232</v>
      </c>
      <c r="AV78" s="41">
        <v>232</v>
      </c>
      <c r="AW78" s="41"/>
      <c r="AX78" s="41"/>
      <c r="AY78" s="41"/>
      <c r="AZ78" s="41"/>
    </row>
    <row r="79" spans="1:52" ht="20.100000000000001" customHeight="1" x14ac:dyDescent="0.25">
      <c r="A79" s="38">
        <v>78</v>
      </c>
      <c r="B79" s="39" t="s">
        <v>1599</v>
      </c>
      <c r="C79" s="18"/>
      <c r="D79" s="17"/>
      <c r="E79" s="17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52"/>
      <c r="R79" s="52"/>
      <c r="S79" s="52"/>
      <c r="T79" s="54"/>
      <c r="U79" s="54"/>
      <c r="V79" s="54"/>
      <c r="W79" s="54"/>
      <c r="X79" s="54"/>
      <c r="Y79" s="54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>
        <v>232</v>
      </c>
      <c r="AV79" s="41">
        <v>232</v>
      </c>
      <c r="AW79" s="41"/>
      <c r="AX79" s="41"/>
      <c r="AY79" s="41"/>
      <c r="AZ79" s="41"/>
    </row>
    <row r="80" spans="1:52" ht="20.100000000000001" customHeight="1" x14ac:dyDescent="0.25">
      <c r="A80" s="38">
        <v>79</v>
      </c>
      <c r="B80" s="39" t="s">
        <v>1158</v>
      </c>
      <c r="C80" s="18"/>
      <c r="D80" s="17"/>
      <c r="E80" s="17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52"/>
      <c r="R80" s="52"/>
      <c r="S80" s="52"/>
      <c r="T80" s="54"/>
      <c r="U80" s="54"/>
      <c r="V80" s="54"/>
      <c r="W80" s="54"/>
      <c r="X80" s="54"/>
      <c r="Y80" s="54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>
        <v>398</v>
      </c>
      <c r="AV80" s="41">
        <v>398</v>
      </c>
      <c r="AW80" s="41"/>
      <c r="AX80" s="41"/>
      <c r="AY80" s="41"/>
      <c r="AZ80" s="41"/>
    </row>
    <row r="81" spans="1:52" ht="20.100000000000001" customHeight="1" x14ac:dyDescent="0.25">
      <c r="A81" s="38">
        <v>80</v>
      </c>
      <c r="B81" s="39" t="s">
        <v>1159</v>
      </c>
      <c r="C81" s="18"/>
      <c r="D81" s="17"/>
      <c r="E81" s="17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52"/>
      <c r="R81" s="52"/>
      <c r="S81" s="52"/>
      <c r="T81" s="54"/>
      <c r="U81" s="54"/>
      <c r="V81" s="54"/>
      <c r="W81" s="54"/>
      <c r="X81" s="54"/>
      <c r="Y81" s="54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>
        <v>431</v>
      </c>
      <c r="AV81" s="41">
        <v>431</v>
      </c>
      <c r="AW81" s="41">
        <v>0</v>
      </c>
      <c r="AX81" s="41"/>
      <c r="AY81" s="41">
        <v>0</v>
      </c>
      <c r="AZ81" s="41"/>
    </row>
    <row r="82" spans="1:52" ht="20.100000000000001" customHeight="1" x14ac:dyDescent="0.25">
      <c r="A82" s="38">
        <v>81</v>
      </c>
      <c r="B82" s="39" t="s">
        <v>1160</v>
      </c>
      <c r="C82" s="18"/>
      <c r="D82" s="17"/>
      <c r="E82" s="17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52"/>
      <c r="R82" s="52"/>
      <c r="S82" s="52"/>
      <c r="T82" s="54"/>
      <c r="U82" s="54"/>
      <c r="V82" s="54"/>
      <c r="W82" s="54"/>
      <c r="X82" s="54"/>
      <c r="Y82" s="54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>
        <v>505</v>
      </c>
      <c r="AV82" s="41">
        <v>505</v>
      </c>
      <c r="AW82" s="41">
        <v>73</v>
      </c>
      <c r="AX82" s="41"/>
      <c r="AY82" s="41">
        <v>73</v>
      </c>
      <c r="AZ82" s="41"/>
    </row>
    <row r="83" spans="1:52" ht="20.100000000000001" customHeight="1" x14ac:dyDescent="0.25">
      <c r="A83" s="38">
        <v>82</v>
      </c>
      <c r="B83" s="39" t="s">
        <v>621</v>
      </c>
      <c r="C83" s="18"/>
      <c r="D83" s="17"/>
      <c r="E83" s="17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52"/>
      <c r="R83" s="52"/>
      <c r="S83" s="52"/>
      <c r="T83" s="54"/>
      <c r="U83" s="54"/>
      <c r="V83" s="54"/>
      <c r="W83" s="54"/>
      <c r="X83" s="54"/>
      <c r="Y83" s="54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>
        <v>505</v>
      </c>
      <c r="AV83" s="41">
        <v>505</v>
      </c>
      <c r="AW83" s="41">
        <v>73</v>
      </c>
      <c r="AX83" s="41"/>
      <c r="AY83" s="41">
        <v>73</v>
      </c>
      <c r="AZ83" s="41"/>
    </row>
    <row r="84" spans="1:52" ht="20.100000000000001" customHeight="1" x14ac:dyDescent="0.25">
      <c r="A84" s="38">
        <v>83</v>
      </c>
      <c r="B84" s="39" t="s">
        <v>1600</v>
      </c>
      <c r="C84" s="18"/>
      <c r="D84" s="17"/>
      <c r="E84" s="17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52"/>
      <c r="R84" s="52"/>
      <c r="S84" s="52"/>
      <c r="T84" s="54"/>
      <c r="U84" s="54"/>
      <c r="V84" s="54"/>
      <c r="W84" s="54"/>
      <c r="X84" s="54"/>
      <c r="Y84" s="54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>
        <v>73</v>
      </c>
      <c r="AX84" s="41"/>
      <c r="AY84" s="41">
        <v>73</v>
      </c>
      <c r="AZ84" s="41"/>
    </row>
    <row r="85" spans="1:52" ht="20.100000000000001" customHeight="1" x14ac:dyDescent="0.25">
      <c r="A85" s="38">
        <v>84</v>
      </c>
      <c r="B85" s="39" t="s">
        <v>597</v>
      </c>
      <c r="C85" s="18"/>
      <c r="D85" s="17"/>
      <c r="E85" s="17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52"/>
      <c r="R85" s="52"/>
      <c r="S85" s="52"/>
      <c r="T85" s="54"/>
      <c r="U85" s="54"/>
      <c r="V85" s="54"/>
      <c r="W85" s="54"/>
      <c r="X85" s="54"/>
      <c r="Y85" s="54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>
        <v>588</v>
      </c>
      <c r="AV85" s="41">
        <v>588</v>
      </c>
      <c r="AW85" s="41">
        <v>154</v>
      </c>
      <c r="AX85" s="41"/>
      <c r="AY85" s="41">
        <v>154</v>
      </c>
      <c r="AZ85" s="41"/>
    </row>
    <row r="86" spans="1:52" ht="20.100000000000001" customHeight="1" x14ac:dyDescent="0.25">
      <c r="A86" s="38">
        <v>85</v>
      </c>
      <c r="B86" s="39" t="s">
        <v>1601</v>
      </c>
      <c r="C86" s="18"/>
      <c r="D86" s="17"/>
      <c r="E86" s="17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52"/>
      <c r="R86" s="52"/>
      <c r="S86" s="52"/>
      <c r="T86" s="54"/>
      <c r="U86" s="54"/>
      <c r="V86" s="54"/>
      <c r="W86" s="54"/>
      <c r="X86" s="54"/>
      <c r="Y86" s="54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>
        <v>656</v>
      </c>
      <c r="AV86" s="41">
        <v>656</v>
      </c>
      <c r="AW86" s="41">
        <v>222</v>
      </c>
      <c r="AX86" s="41"/>
      <c r="AY86" s="41">
        <v>222</v>
      </c>
      <c r="AZ86" s="41"/>
    </row>
    <row r="87" spans="1:52" ht="20.100000000000001" customHeight="1" x14ac:dyDescent="0.25">
      <c r="A87" s="38">
        <v>86</v>
      </c>
      <c r="B87" s="39" t="s">
        <v>1602</v>
      </c>
      <c r="C87" s="18"/>
      <c r="D87" s="17"/>
      <c r="E87" s="17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52"/>
      <c r="R87" s="52"/>
      <c r="S87" s="52"/>
      <c r="T87" s="54"/>
      <c r="U87" s="54"/>
      <c r="V87" s="54"/>
      <c r="W87" s="54"/>
      <c r="X87" s="54"/>
      <c r="Y87" s="54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>
        <v>749</v>
      </c>
      <c r="AV87" s="41">
        <v>749</v>
      </c>
      <c r="AW87" s="41"/>
      <c r="AX87" s="41"/>
      <c r="AY87" s="41"/>
      <c r="AZ87" s="41"/>
    </row>
    <row r="88" spans="1:52" ht="20.100000000000001" customHeight="1" x14ac:dyDescent="0.25">
      <c r="A88" s="38">
        <v>87</v>
      </c>
      <c r="B88" s="39" t="s">
        <v>1603</v>
      </c>
      <c r="C88" s="18"/>
      <c r="D88" s="17"/>
      <c r="E88" s="17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52"/>
      <c r="R88" s="52"/>
      <c r="S88" s="52"/>
      <c r="T88" s="54"/>
      <c r="U88" s="54"/>
      <c r="V88" s="54"/>
      <c r="W88" s="54"/>
      <c r="X88" s="54"/>
      <c r="Y88" s="54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>
        <v>879</v>
      </c>
      <c r="AV88" s="41">
        <v>879</v>
      </c>
      <c r="AW88" s="41"/>
      <c r="AX88" s="41"/>
      <c r="AY88" s="41"/>
      <c r="AZ88" s="41"/>
    </row>
    <row r="89" spans="1:52" ht="20.100000000000001" customHeight="1" x14ac:dyDescent="0.25">
      <c r="A89" s="38">
        <v>88</v>
      </c>
      <c r="B89" s="39" t="s">
        <v>1640</v>
      </c>
      <c r="C89" s="18"/>
      <c r="D89" s="17"/>
      <c r="E89" s="17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52"/>
      <c r="R89" s="52"/>
      <c r="S89" s="52"/>
      <c r="T89" s="54"/>
      <c r="U89" s="54"/>
      <c r="V89" s="54"/>
      <c r="W89" s="54"/>
      <c r="X89" s="54"/>
      <c r="Y89" s="54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>
        <v>0</v>
      </c>
      <c r="AY89" s="41"/>
      <c r="AZ89" s="41"/>
    </row>
    <row r="90" spans="1:52" ht="20.100000000000001" customHeight="1" x14ac:dyDescent="0.25">
      <c r="A90" s="38">
        <v>89</v>
      </c>
      <c r="B90" s="39" t="s">
        <v>1641</v>
      </c>
      <c r="C90" s="18"/>
      <c r="D90" s="17"/>
      <c r="E90" s="17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52"/>
      <c r="R90" s="52"/>
      <c r="S90" s="52"/>
      <c r="T90" s="54"/>
      <c r="U90" s="54"/>
      <c r="V90" s="54"/>
      <c r="W90" s="54"/>
      <c r="X90" s="54"/>
      <c r="Y90" s="54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>
        <v>95</v>
      </c>
      <c r="AY90" s="41"/>
      <c r="AZ90" s="41"/>
    </row>
    <row r="91" spans="1:52" ht="20.100000000000001" customHeight="1" x14ac:dyDescent="0.25">
      <c r="A91" s="38">
        <v>90</v>
      </c>
      <c r="B91" s="39" t="s">
        <v>1642</v>
      </c>
      <c r="C91" s="18"/>
      <c r="D91" s="17"/>
      <c r="E91" s="17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52"/>
      <c r="R91" s="52"/>
      <c r="S91" s="52"/>
      <c r="T91" s="54"/>
      <c r="U91" s="54"/>
      <c r="V91" s="54"/>
      <c r="W91" s="54"/>
      <c r="X91" s="54"/>
      <c r="Y91" s="54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>
        <v>198</v>
      </c>
      <c r="AY91" s="41"/>
      <c r="AZ91" s="41"/>
    </row>
    <row r="92" spans="1:52" ht="20.100000000000001" customHeight="1" x14ac:dyDescent="0.25">
      <c r="A92" s="38">
        <v>91</v>
      </c>
      <c r="B92" s="39" t="s">
        <v>1643</v>
      </c>
      <c r="C92" s="18"/>
      <c r="D92" s="17"/>
      <c r="E92" s="17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52"/>
      <c r="R92" s="52"/>
      <c r="S92" s="52"/>
      <c r="T92" s="54"/>
      <c r="U92" s="54"/>
      <c r="V92" s="54"/>
      <c r="W92" s="54"/>
      <c r="X92" s="54"/>
      <c r="Y92" s="54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>
        <v>309</v>
      </c>
      <c r="AY92" s="41"/>
      <c r="AZ92" s="41"/>
    </row>
    <row r="93" spans="1:52" ht="20.100000000000001" customHeight="1" x14ac:dyDescent="0.25">
      <c r="A93" s="38">
        <v>92</v>
      </c>
      <c r="B93" s="39" t="s">
        <v>1644</v>
      </c>
      <c r="C93" s="18"/>
      <c r="D93" s="17"/>
      <c r="E93" s="17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52"/>
      <c r="R93" s="52"/>
      <c r="S93" s="52"/>
      <c r="T93" s="54"/>
      <c r="U93" s="54"/>
      <c r="V93" s="54"/>
      <c r="W93" s="54"/>
      <c r="X93" s="54"/>
      <c r="Y93" s="54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</row>
    <row r="94" spans="1:52" ht="20.100000000000001" customHeight="1" x14ac:dyDescent="0.25">
      <c r="A94" s="38">
        <v>93</v>
      </c>
      <c r="B94" s="39" t="s">
        <v>1645</v>
      </c>
      <c r="C94" s="18"/>
      <c r="D94" s="17"/>
      <c r="E94" s="17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52"/>
      <c r="R94" s="52"/>
      <c r="S94" s="52"/>
      <c r="T94" s="54"/>
      <c r="U94" s="54"/>
      <c r="V94" s="54"/>
      <c r="W94" s="54"/>
      <c r="X94" s="54"/>
      <c r="Y94" s="54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>
        <v>533</v>
      </c>
      <c r="AY94" s="41"/>
      <c r="AZ94" s="41"/>
    </row>
    <row r="95" spans="1:52" ht="20.100000000000001" customHeight="1" x14ac:dyDescent="0.25">
      <c r="A95" s="38">
        <v>94</v>
      </c>
      <c r="B95" s="39"/>
      <c r="C95" s="18"/>
      <c r="D95" s="17"/>
      <c r="E95" s="17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52"/>
      <c r="R95" s="52"/>
      <c r="S95" s="52"/>
      <c r="T95" s="54"/>
      <c r="U95" s="54"/>
      <c r="V95" s="54"/>
      <c r="W95" s="54"/>
      <c r="X95" s="54"/>
      <c r="Y95" s="54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</row>
    <row r="96" spans="1:52" ht="20.100000000000001" customHeight="1" x14ac:dyDescent="0.25">
      <c r="A96" s="38">
        <v>95</v>
      </c>
      <c r="B96" s="39"/>
      <c r="C96" s="18"/>
      <c r="D96" s="17"/>
      <c r="E96" s="17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52"/>
      <c r="R96" s="52"/>
      <c r="S96" s="52"/>
      <c r="T96" s="54"/>
      <c r="U96" s="54"/>
      <c r="V96" s="54"/>
      <c r="W96" s="54"/>
      <c r="X96" s="54"/>
      <c r="Y96" s="54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</row>
    <row r="97" spans="1:52" ht="20.100000000000001" customHeight="1" x14ac:dyDescent="0.25">
      <c r="A97" s="38">
        <v>96</v>
      </c>
      <c r="B97" s="39"/>
      <c r="C97" s="18"/>
      <c r="D97" s="17"/>
      <c r="E97" s="17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52"/>
      <c r="R97" s="52"/>
      <c r="S97" s="52"/>
      <c r="T97" s="54"/>
      <c r="U97" s="54"/>
      <c r="V97" s="54"/>
      <c r="W97" s="54"/>
      <c r="X97" s="54"/>
      <c r="Y97" s="54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</row>
    <row r="98" spans="1:52" ht="20.100000000000001" customHeight="1" x14ac:dyDescent="0.25">
      <c r="A98" s="38">
        <v>97</v>
      </c>
      <c r="B98" s="39"/>
      <c r="C98" s="18"/>
      <c r="D98" s="17"/>
      <c r="E98" s="17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52"/>
      <c r="R98" s="52"/>
      <c r="S98" s="52"/>
      <c r="T98" s="54"/>
      <c r="U98" s="54"/>
      <c r="V98" s="54"/>
      <c r="W98" s="54"/>
      <c r="X98" s="54"/>
      <c r="Y98" s="54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</row>
    <row r="99" spans="1:52" ht="20.100000000000001" customHeight="1" x14ac:dyDescent="0.25">
      <c r="A99" s="38">
        <v>98</v>
      </c>
      <c r="B99" s="39"/>
      <c r="C99" s="18"/>
      <c r="D99" s="17"/>
      <c r="E99" s="17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52"/>
      <c r="R99" s="52"/>
      <c r="S99" s="52"/>
      <c r="T99" s="54"/>
      <c r="U99" s="54"/>
      <c r="V99" s="54"/>
      <c r="W99" s="54"/>
      <c r="X99" s="54"/>
      <c r="Y99" s="54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</row>
    <row r="100" spans="1:52" ht="20.100000000000001" customHeight="1" x14ac:dyDescent="0.25">
      <c r="A100" s="38">
        <v>99</v>
      </c>
      <c r="B100" s="39"/>
      <c r="C100" s="18"/>
      <c r="D100" s="17"/>
      <c r="E100" s="17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52"/>
      <c r="R100" s="52"/>
      <c r="S100" s="52"/>
      <c r="T100" s="54"/>
      <c r="U100" s="54"/>
      <c r="V100" s="54"/>
      <c r="W100" s="54"/>
      <c r="X100" s="54"/>
      <c r="Y100" s="54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</row>
    <row r="101" spans="1:52" ht="20.100000000000001" customHeight="1" x14ac:dyDescent="0.25">
      <c r="A101" s="38">
        <v>100</v>
      </c>
      <c r="B101" s="39"/>
      <c r="C101" s="18"/>
      <c r="D101" s="17"/>
      <c r="E101" s="17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52"/>
      <c r="R101" s="52"/>
      <c r="S101" s="52"/>
      <c r="T101" s="54"/>
      <c r="U101" s="54"/>
      <c r="V101" s="54"/>
      <c r="W101" s="54"/>
      <c r="X101" s="54"/>
      <c r="Y101" s="54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</row>
    <row r="102" spans="1:52" ht="20.100000000000001" customHeight="1" x14ac:dyDescent="0.25">
      <c r="A102" s="38">
        <v>101</v>
      </c>
      <c r="B102" s="39"/>
      <c r="C102" s="18"/>
      <c r="D102" s="17"/>
      <c r="E102" s="17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52"/>
      <c r="R102" s="52"/>
      <c r="S102" s="52"/>
      <c r="T102" s="54"/>
      <c r="U102" s="54"/>
      <c r="V102" s="54"/>
      <c r="W102" s="54"/>
      <c r="X102" s="54"/>
      <c r="Y102" s="54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</row>
    <row r="103" spans="1:52" ht="20.100000000000001" customHeight="1" x14ac:dyDescent="0.25">
      <c r="A103" s="38">
        <v>102</v>
      </c>
      <c r="B103" s="39"/>
      <c r="C103" s="18"/>
      <c r="D103" s="17"/>
      <c r="E103" s="17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52"/>
      <c r="R103" s="52"/>
      <c r="S103" s="52"/>
      <c r="T103" s="54"/>
      <c r="U103" s="54"/>
      <c r="V103" s="54"/>
      <c r="W103" s="54"/>
      <c r="X103" s="54"/>
      <c r="Y103" s="54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</row>
    <row r="104" spans="1:52" ht="20.100000000000001" customHeight="1" x14ac:dyDescent="0.25">
      <c r="A104" s="38">
        <v>103</v>
      </c>
      <c r="B104" s="39"/>
      <c r="C104" s="18"/>
      <c r="D104" s="17"/>
      <c r="E104" s="17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52"/>
      <c r="R104" s="52"/>
      <c r="S104" s="52"/>
      <c r="T104" s="54"/>
      <c r="U104" s="54"/>
      <c r="V104" s="54"/>
      <c r="W104" s="54"/>
      <c r="X104" s="54"/>
      <c r="Y104" s="54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</row>
    <row r="105" spans="1:52" ht="20.100000000000001" customHeight="1" x14ac:dyDescent="0.25">
      <c r="A105" s="38">
        <v>104</v>
      </c>
      <c r="B105" s="39"/>
      <c r="C105" s="18"/>
      <c r="D105" s="17"/>
      <c r="E105" s="17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52"/>
      <c r="R105" s="52"/>
      <c r="S105" s="52"/>
      <c r="T105" s="54"/>
      <c r="U105" s="54"/>
      <c r="V105" s="54"/>
      <c r="W105" s="54"/>
      <c r="X105" s="54"/>
      <c r="Y105" s="54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</row>
    <row r="106" spans="1:52" ht="20.100000000000001" customHeight="1" x14ac:dyDescent="0.25">
      <c r="A106" s="38">
        <v>105</v>
      </c>
      <c r="B106" s="39"/>
      <c r="C106" s="18"/>
      <c r="D106" s="17"/>
      <c r="E106" s="17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52"/>
      <c r="R106" s="52"/>
      <c r="S106" s="52"/>
      <c r="T106" s="54"/>
      <c r="U106" s="54"/>
      <c r="V106" s="54"/>
      <c r="W106" s="54"/>
      <c r="X106" s="54"/>
      <c r="Y106" s="54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</row>
    <row r="107" spans="1:52" ht="20.100000000000001" customHeight="1" x14ac:dyDescent="0.25">
      <c r="A107" s="38">
        <v>106</v>
      </c>
      <c r="B107" s="39"/>
      <c r="C107" s="18"/>
      <c r="D107" s="17"/>
      <c r="E107" s="17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52"/>
      <c r="R107" s="52"/>
      <c r="S107" s="52"/>
      <c r="T107" s="54"/>
      <c r="U107" s="54"/>
      <c r="V107" s="54"/>
      <c r="W107" s="54"/>
      <c r="X107" s="54"/>
      <c r="Y107" s="54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</row>
    <row r="108" spans="1:52" ht="20.100000000000001" customHeight="1" x14ac:dyDescent="0.25">
      <c r="A108" s="38">
        <v>107</v>
      </c>
      <c r="B108" s="39"/>
      <c r="C108" s="18"/>
      <c r="D108" s="17"/>
      <c r="E108" s="17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52"/>
      <c r="R108" s="52"/>
      <c r="S108" s="52"/>
      <c r="T108" s="54"/>
      <c r="U108" s="54"/>
      <c r="V108" s="54"/>
      <c r="W108" s="54"/>
      <c r="X108" s="54"/>
      <c r="Y108" s="54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</row>
    <row r="109" spans="1:52" ht="20.100000000000001" customHeight="1" x14ac:dyDescent="0.25">
      <c r="A109" s="38">
        <v>108</v>
      </c>
      <c r="B109" s="39"/>
      <c r="C109" s="18"/>
      <c r="D109" s="17"/>
      <c r="E109" s="17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52"/>
      <c r="R109" s="52"/>
      <c r="S109" s="52"/>
      <c r="T109" s="54"/>
      <c r="U109" s="54"/>
      <c r="V109" s="54"/>
      <c r="W109" s="54"/>
      <c r="X109" s="54"/>
      <c r="Y109" s="54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</row>
    <row r="110" spans="1:52" ht="20.100000000000001" customHeight="1" x14ac:dyDescent="0.25">
      <c r="A110" s="38">
        <v>109</v>
      </c>
      <c r="B110" s="39"/>
      <c r="C110" s="18"/>
      <c r="D110" s="17"/>
      <c r="E110" s="17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52"/>
      <c r="R110" s="52"/>
      <c r="S110" s="52"/>
      <c r="T110" s="54"/>
      <c r="U110" s="54"/>
      <c r="V110" s="54"/>
      <c r="W110" s="54"/>
      <c r="X110" s="54"/>
      <c r="Y110" s="54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</row>
    <row r="111" spans="1:52" ht="20.100000000000001" customHeight="1" x14ac:dyDescent="0.25">
      <c r="A111" s="38">
        <v>110</v>
      </c>
      <c r="B111" s="39"/>
      <c r="C111" s="18"/>
      <c r="D111" s="17"/>
      <c r="E111" s="17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52"/>
      <c r="R111" s="52"/>
      <c r="S111" s="52"/>
      <c r="T111" s="54"/>
      <c r="U111" s="54"/>
      <c r="V111" s="54"/>
      <c r="W111" s="54"/>
      <c r="X111" s="54"/>
      <c r="Y111" s="54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</row>
    <row r="112" spans="1:52" ht="20.100000000000001" customHeight="1" x14ac:dyDescent="0.25">
      <c r="A112" s="38">
        <v>111</v>
      </c>
      <c r="B112" s="39"/>
      <c r="C112" s="18"/>
      <c r="D112" s="17"/>
      <c r="E112" s="17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52"/>
      <c r="R112" s="52"/>
      <c r="S112" s="52"/>
      <c r="T112" s="54"/>
      <c r="U112" s="54"/>
      <c r="V112" s="54"/>
      <c r="W112" s="54"/>
      <c r="X112" s="54"/>
      <c r="Y112" s="54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</row>
    <row r="113" spans="1:52" ht="20.100000000000001" customHeight="1" x14ac:dyDescent="0.25">
      <c r="A113" s="38">
        <v>112</v>
      </c>
      <c r="B113" s="39"/>
      <c r="C113" s="18"/>
      <c r="D113" s="17"/>
      <c r="E113" s="17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52"/>
      <c r="R113" s="52"/>
      <c r="S113" s="52"/>
      <c r="T113" s="54"/>
      <c r="U113" s="54"/>
      <c r="V113" s="54"/>
      <c r="W113" s="54"/>
      <c r="X113" s="54"/>
      <c r="Y113" s="54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</row>
    <row r="114" spans="1:52" ht="20.100000000000001" customHeight="1" x14ac:dyDescent="0.25">
      <c r="A114" s="38">
        <v>113</v>
      </c>
      <c r="B114" s="39"/>
      <c r="C114" s="18"/>
      <c r="D114" s="17"/>
      <c r="E114" s="17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52"/>
      <c r="R114" s="52"/>
      <c r="S114" s="52"/>
      <c r="T114" s="54"/>
      <c r="U114" s="54"/>
      <c r="V114" s="54"/>
      <c r="W114" s="54"/>
      <c r="X114" s="54"/>
      <c r="Y114" s="54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</row>
    <row r="115" spans="1:52" ht="20.100000000000001" customHeight="1" x14ac:dyDescent="0.25">
      <c r="A115" s="38">
        <v>114</v>
      </c>
      <c r="B115" s="39"/>
      <c r="C115" s="18"/>
      <c r="D115" s="17"/>
      <c r="E115" s="17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52"/>
      <c r="R115" s="52"/>
      <c r="S115" s="52"/>
      <c r="T115" s="54"/>
      <c r="U115" s="54"/>
      <c r="V115" s="54"/>
      <c r="W115" s="54"/>
      <c r="X115" s="54"/>
      <c r="Y115" s="54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</row>
    <row r="116" spans="1:52" ht="20.100000000000001" customHeight="1" x14ac:dyDescent="0.25">
      <c r="A116" s="38">
        <v>115</v>
      </c>
      <c r="B116" s="39"/>
      <c r="C116" s="18"/>
      <c r="D116" s="17"/>
      <c r="E116" s="1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52"/>
      <c r="R116" s="52"/>
      <c r="S116" s="52"/>
      <c r="T116" s="54"/>
      <c r="U116" s="54"/>
      <c r="V116" s="54"/>
      <c r="W116" s="54"/>
      <c r="X116" s="54"/>
      <c r="Y116" s="54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</row>
    <row r="117" spans="1:52" ht="20.100000000000001" customHeight="1" x14ac:dyDescent="0.25">
      <c r="A117" s="38">
        <v>116</v>
      </c>
      <c r="B117" s="39"/>
      <c r="C117" s="18"/>
      <c r="D117" s="17"/>
      <c r="E117" s="17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52"/>
      <c r="R117" s="52"/>
      <c r="S117" s="52"/>
      <c r="T117" s="54"/>
      <c r="U117" s="54"/>
      <c r="V117" s="54"/>
      <c r="W117" s="54"/>
      <c r="X117" s="54"/>
      <c r="Y117" s="54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</row>
    <row r="118" spans="1:52" ht="20.100000000000001" customHeight="1" x14ac:dyDescent="0.25">
      <c r="A118" s="38">
        <v>117</v>
      </c>
      <c r="B118" s="39"/>
      <c r="C118" s="18"/>
      <c r="D118" s="17"/>
      <c r="E118" s="17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52"/>
      <c r="R118" s="52"/>
      <c r="S118" s="52"/>
      <c r="T118" s="54"/>
      <c r="U118" s="54"/>
      <c r="V118" s="54"/>
      <c r="W118" s="54"/>
      <c r="X118" s="54"/>
      <c r="Y118" s="54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</row>
    <row r="119" spans="1:52" ht="20.100000000000001" customHeight="1" x14ac:dyDescent="0.25">
      <c r="A119" s="38">
        <v>118</v>
      </c>
      <c r="B119" s="39"/>
      <c r="C119" s="18"/>
      <c r="D119" s="17"/>
      <c r="E119" s="17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52"/>
      <c r="R119" s="52"/>
      <c r="S119" s="52"/>
      <c r="T119" s="54"/>
      <c r="U119" s="54"/>
      <c r="V119" s="54"/>
      <c r="W119" s="54"/>
      <c r="X119" s="54"/>
      <c r="Y119" s="54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</row>
    <row r="120" spans="1:52" ht="20.100000000000001" customHeight="1" x14ac:dyDescent="0.25">
      <c r="A120" s="38">
        <v>119</v>
      </c>
      <c r="B120" s="39"/>
      <c r="C120" s="18"/>
      <c r="D120" s="17"/>
      <c r="E120" s="17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52"/>
      <c r="R120" s="52"/>
      <c r="S120" s="52"/>
      <c r="T120" s="54"/>
      <c r="U120" s="54"/>
      <c r="V120" s="54"/>
      <c r="W120" s="54"/>
      <c r="X120" s="54"/>
      <c r="Y120" s="54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</row>
    <row r="121" spans="1:52" ht="20.100000000000001" customHeight="1" x14ac:dyDescent="0.25">
      <c r="A121" s="38">
        <v>120</v>
      </c>
      <c r="B121" s="39"/>
      <c r="C121" s="18"/>
      <c r="D121" s="17"/>
      <c r="E121" s="17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52"/>
      <c r="R121" s="52"/>
      <c r="S121" s="52"/>
      <c r="T121" s="54"/>
      <c r="U121" s="54"/>
      <c r="V121" s="54"/>
      <c r="W121" s="54"/>
      <c r="X121" s="54"/>
      <c r="Y121" s="54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</row>
    <row r="122" spans="1:52" ht="20.100000000000001" customHeight="1" x14ac:dyDescent="0.25">
      <c r="A122" s="38">
        <v>121</v>
      </c>
      <c r="B122" s="39"/>
      <c r="C122" s="18"/>
      <c r="D122" s="17"/>
      <c r="E122" s="17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52"/>
      <c r="R122" s="52"/>
      <c r="S122" s="52"/>
      <c r="T122" s="54"/>
      <c r="U122" s="54"/>
      <c r="V122" s="54"/>
      <c r="W122" s="54"/>
      <c r="X122" s="54"/>
      <c r="Y122" s="54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</row>
    <row r="123" spans="1:52" ht="20.100000000000001" customHeight="1" x14ac:dyDescent="0.25">
      <c r="A123" s="38">
        <v>122</v>
      </c>
      <c r="B123" s="39"/>
      <c r="C123" s="18"/>
      <c r="D123" s="17"/>
      <c r="E123" s="17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52"/>
      <c r="R123" s="52"/>
      <c r="S123" s="52"/>
      <c r="T123" s="54"/>
      <c r="U123" s="54"/>
      <c r="V123" s="54"/>
      <c r="W123" s="54"/>
      <c r="X123" s="54"/>
      <c r="Y123" s="54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</row>
    <row r="124" spans="1:52" ht="20.100000000000001" customHeight="1" x14ac:dyDescent="0.25">
      <c r="A124" s="38">
        <v>123</v>
      </c>
      <c r="B124" s="39"/>
      <c r="C124" s="18"/>
      <c r="D124" s="17"/>
      <c r="E124" s="17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52"/>
      <c r="R124" s="52"/>
      <c r="S124" s="52"/>
      <c r="T124" s="54"/>
      <c r="U124" s="54"/>
      <c r="V124" s="54"/>
      <c r="W124" s="54"/>
      <c r="X124" s="54"/>
      <c r="Y124" s="54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</row>
    <row r="125" spans="1:52" ht="20.100000000000001" customHeight="1" x14ac:dyDescent="0.25">
      <c r="A125" s="38">
        <v>124</v>
      </c>
      <c r="B125" s="39"/>
      <c r="C125" s="18"/>
      <c r="D125" s="17"/>
      <c r="E125" s="17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52"/>
      <c r="R125" s="52"/>
      <c r="S125" s="52"/>
      <c r="T125" s="54"/>
      <c r="U125" s="54"/>
      <c r="V125" s="54"/>
      <c r="W125" s="54"/>
      <c r="X125" s="54"/>
      <c r="Y125" s="54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</row>
    <row r="126" spans="1:52" ht="20.100000000000001" customHeight="1" x14ac:dyDescent="0.25">
      <c r="A126" s="38">
        <v>125</v>
      </c>
      <c r="B126" s="39"/>
      <c r="C126" s="18"/>
      <c r="D126" s="17"/>
      <c r="E126" s="17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52"/>
      <c r="R126" s="52"/>
      <c r="S126" s="52"/>
      <c r="T126" s="54"/>
      <c r="U126" s="54"/>
      <c r="V126" s="54"/>
      <c r="W126" s="54"/>
      <c r="X126" s="54"/>
      <c r="Y126" s="54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</row>
    <row r="127" spans="1:52" ht="20.100000000000001" customHeight="1" x14ac:dyDescent="0.25">
      <c r="A127" s="38">
        <v>126</v>
      </c>
      <c r="B127" s="39"/>
      <c r="C127" s="18"/>
      <c r="D127" s="17"/>
      <c r="E127" s="17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52"/>
      <c r="R127" s="52"/>
      <c r="S127" s="52"/>
      <c r="T127" s="54"/>
      <c r="U127" s="54"/>
      <c r="V127" s="54"/>
      <c r="W127" s="54"/>
      <c r="X127" s="54"/>
      <c r="Y127" s="54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</row>
    <row r="128" spans="1:52" ht="20.100000000000001" customHeight="1" x14ac:dyDescent="0.25">
      <c r="A128" s="38">
        <v>127</v>
      </c>
      <c r="B128" s="39"/>
      <c r="C128" s="18"/>
      <c r="D128" s="17"/>
      <c r="E128" s="1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52"/>
      <c r="R128" s="52"/>
      <c r="S128" s="52"/>
      <c r="T128" s="54"/>
      <c r="U128" s="54"/>
      <c r="V128" s="54"/>
      <c r="W128" s="54"/>
      <c r="X128" s="54"/>
      <c r="Y128" s="54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</row>
    <row r="129" spans="1:52" ht="20.100000000000001" customHeight="1" x14ac:dyDescent="0.25">
      <c r="A129" s="38">
        <v>128</v>
      </c>
      <c r="B129" s="39"/>
      <c r="C129" s="18"/>
      <c r="D129" s="17"/>
      <c r="E129" s="17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52"/>
      <c r="R129" s="52"/>
      <c r="S129" s="52"/>
      <c r="T129" s="54"/>
      <c r="U129" s="54"/>
      <c r="V129" s="54"/>
      <c r="W129" s="54"/>
      <c r="X129" s="54"/>
      <c r="Y129" s="54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</row>
    <row r="130" spans="1:52" ht="20.100000000000001" customHeight="1" x14ac:dyDescent="0.25">
      <c r="A130" s="38">
        <v>129</v>
      </c>
      <c r="B130" s="39"/>
      <c r="C130" s="18"/>
      <c r="D130" s="17"/>
      <c r="E130" s="17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52"/>
      <c r="R130" s="52"/>
      <c r="S130" s="52"/>
      <c r="T130" s="54"/>
      <c r="U130" s="54"/>
      <c r="V130" s="54"/>
      <c r="W130" s="54"/>
      <c r="X130" s="54"/>
      <c r="Y130" s="54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</row>
    <row r="131" spans="1:52" ht="20.100000000000001" customHeight="1" x14ac:dyDescent="0.25">
      <c r="A131" s="38">
        <v>130</v>
      </c>
      <c r="B131" s="39"/>
      <c r="C131" s="18"/>
      <c r="D131" s="17"/>
      <c r="E131" s="17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52"/>
      <c r="R131" s="52"/>
      <c r="S131" s="52"/>
      <c r="T131" s="54"/>
      <c r="U131" s="54"/>
      <c r="V131" s="54"/>
      <c r="W131" s="54"/>
      <c r="X131" s="54"/>
      <c r="Y131" s="54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</row>
    <row r="132" spans="1:52" ht="20.100000000000001" customHeight="1" x14ac:dyDescent="0.25">
      <c r="A132" s="38">
        <v>131</v>
      </c>
      <c r="B132" s="39"/>
      <c r="C132" s="18"/>
      <c r="D132" s="17"/>
      <c r="E132" s="17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52"/>
      <c r="R132" s="52"/>
      <c r="S132" s="52"/>
      <c r="T132" s="54"/>
      <c r="U132" s="54"/>
      <c r="V132" s="54"/>
      <c r="W132" s="54"/>
      <c r="X132" s="54"/>
      <c r="Y132" s="54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</row>
    <row r="133" spans="1:52" ht="20.100000000000001" customHeight="1" x14ac:dyDescent="0.25">
      <c r="A133" s="38">
        <v>132</v>
      </c>
      <c r="B133" s="39"/>
      <c r="C133" s="18"/>
      <c r="D133" s="17"/>
      <c r="E133" s="17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52"/>
      <c r="R133" s="52"/>
      <c r="S133" s="52"/>
      <c r="T133" s="54"/>
      <c r="U133" s="54"/>
      <c r="V133" s="54"/>
      <c r="W133" s="54"/>
      <c r="X133" s="54"/>
      <c r="Y133" s="54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</row>
    <row r="134" spans="1:52" ht="20.100000000000001" customHeight="1" x14ac:dyDescent="0.25">
      <c r="A134" s="38">
        <v>133</v>
      </c>
      <c r="B134" s="39"/>
      <c r="C134" s="18"/>
      <c r="D134" s="17"/>
      <c r="E134" s="17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52"/>
      <c r="R134" s="52"/>
      <c r="S134" s="52"/>
      <c r="T134" s="54"/>
      <c r="U134" s="54"/>
      <c r="V134" s="54"/>
      <c r="W134" s="54"/>
      <c r="X134" s="54"/>
      <c r="Y134" s="54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</row>
    <row r="135" spans="1:52" ht="20.100000000000001" customHeight="1" x14ac:dyDescent="0.25">
      <c r="A135" s="38">
        <v>134</v>
      </c>
      <c r="B135" s="39"/>
      <c r="C135" s="18"/>
      <c r="D135" s="17"/>
      <c r="E135" s="17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52"/>
      <c r="R135" s="52"/>
      <c r="S135" s="52"/>
      <c r="T135" s="54"/>
      <c r="U135" s="54"/>
      <c r="V135" s="54"/>
      <c r="W135" s="54"/>
      <c r="X135" s="54"/>
      <c r="Y135" s="54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</row>
    <row r="136" spans="1:52" ht="20.100000000000001" customHeight="1" x14ac:dyDescent="0.25">
      <c r="A136" s="38">
        <v>135</v>
      </c>
      <c r="B136" s="39"/>
      <c r="C136" s="18"/>
      <c r="D136" s="17"/>
      <c r="E136" s="17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52"/>
      <c r="R136" s="52"/>
      <c r="S136" s="52"/>
      <c r="T136" s="54"/>
      <c r="U136" s="54"/>
      <c r="V136" s="54"/>
      <c r="W136" s="54"/>
      <c r="X136" s="54"/>
      <c r="Y136" s="54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</row>
    <row r="137" spans="1:52" ht="20.100000000000001" customHeight="1" x14ac:dyDescent="0.25">
      <c r="A137" s="38">
        <v>136</v>
      </c>
      <c r="B137" s="39"/>
      <c r="C137" s="18"/>
      <c r="D137" s="17"/>
      <c r="E137" s="17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52"/>
      <c r="R137" s="52"/>
      <c r="S137" s="52"/>
      <c r="T137" s="54"/>
      <c r="U137" s="54"/>
      <c r="V137" s="54"/>
      <c r="W137" s="54"/>
      <c r="X137" s="54"/>
      <c r="Y137" s="54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</row>
    <row r="138" spans="1:52" ht="20.100000000000001" customHeight="1" x14ac:dyDescent="0.25">
      <c r="A138" s="38">
        <v>137</v>
      </c>
      <c r="B138" s="39"/>
      <c r="C138" s="18"/>
      <c r="D138" s="17"/>
      <c r="E138" s="17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52"/>
      <c r="R138" s="52"/>
      <c r="S138" s="52"/>
      <c r="T138" s="54"/>
      <c r="U138" s="54"/>
      <c r="V138" s="54"/>
      <c r="W138" s="54"/>
      <c r="X138" s="54"/>
      <c r="Y138" s="54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</row>
    <row r="139" spans="1:52" ht="20.100000000000001" customHeight="1" x14ac:dyDescent="0.25">
      <c r="A139" s="38">
        <v>138</v>
      </c>
      <c r="B139" s="39"/>
      <c r="C139" s="18"/>
      <c r="D139" s="17"/>
      <c r="E139" s="17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52"/>
      <c r="R139" s="52"/>
      <c r="S139" s="52"/>
      <c r="T139" s="54"/>
      <c r="U139" s="54"/>
      <c r="V139" s="54"/>
      <c r="W139" s="54"/>
      <c r="X139" s="54"/>
      <c r="Y139" s="54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</row>
    <row r="140" spans="1:52" ht="20.100000000000001" customHeight="1" x14ac:dyDescent="0.25">
      <c r="A140" s="38">
        <v>139</v>
      </c>
      <c r="B140" s="39"/>
      <c r="C140" s="18"/>
      <c r="D140" s="17"/>
      <c r="E140" s="1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52"/>
      <c r="R140" s="52"/>
      <c r="S140" s="52"/>
      <c r="T140" s="54"/>
      <c r="U140" s="54"/>
      <c r="V140" s="54"/>
      <c r="W140" s="54"/>
      <c r="X140" s="54"/>
      <c r="Y140" s="54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</row>
    <row r="141" spans="1:52" ht="20.100000000000001" customHeight="1" x14ac:dyDescent="0.25">
      <c r="A141" s="38">
        <v>140</v>
      </c>
      <c r="B141" s="39"/>
      <c r="C141" s="18"/>
      <c r="D141" s="17"/>
      <c r="E141" s="17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52"/>
      <c r="R141" s="52"/>
      <c r="S141" s="52"/>
      <c r="T141" s="54"/>
      <c r="U141" s="54"/>
      <c r="V141" s="54"/>
      <c r="W141" s="54"/>
      <c r="X141" s="54"/>
      <c r="Y141" s="54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</row>
    <row r="142" spans="1:52" ht="20.100000000000001" customHeight="1" x14ac:dyDescent="0.25">
      <c r="A142" s="38">
        <v>141</v>
      </c>
      <c r="B142" s="39"/>
      <c r="C142" s="18"/>
      <c r="D142" s="17"/>
      <c r="E142" s="17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52"/>
      <c r="R142" s="52"/>
      <c r="S142" s="52"/>
      <c r="T142" s="54"/>
      <c r="U142" s="54"/>
      <c r="V142" s="54"/>
      <c r="W142" s="54"/>
      <c r="X142" s="54"/>
      <c r="Y142" s="54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</row>
    <row r="143" spans="1:52" ht="20.100000000000001" customHeight="1" x14ac:dyDescent="0.25">
      <c r="A143" s="38">
        <v>142</v>
      </c>
      <c r="B143" s="39"/>
      <c r="C143" s="18"/>
      <c r="D143" s="17"/>
      <c r="E143" s="17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52"/>
      <c r="R143" s="52"/>
      <c r="S143" s="52"/>
      <c r="T143" s="54"/>
      <c r="U143" s="54"/>
      <c r="V143" s="54"/>
      <c r="W143" s="54"/>
      <c r="X143" s="54"/>
      <c r="Y143" s="54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</row>
    <row r="144" spans="1:52" ht="20.100000000000001" customHeight="1" x14ac:dyDescent="0.25">
      <c r="A144" s="38">
        <v>143</v>
      </c>
      <c r="B144" s="39"/>
      <c r="C144" s="18"/>
      <c r="D144" s="17"/>
      <c r="E144" s="17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52"/>
      <c r="R144" s="52"/>
      <c r="S144" s="52"/>
      <c r="T144" s="54"/>
      <c r="U144" s="54"/>
      <c r="V144" s="54"/>
      <c r="W144" s="54"/>
      <c r="X144" s="54"/>
      <c r="Y144" s="54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</row>
    <row r="145" spans="1:52" ht="20.100000000000001" customHeight="1" x14ac:dyDescent="0.25">
      <c r="A145" s="38">
        <v>144</v>
      </c>
      <c r="B145" s="39"/>
      <c r="C145" s="18"/>
      <c r="D145" s="17"/>
      <c r="E145" s="17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52"/>
      <c r="R145" s="52"/>
      <c r="S145" s="52"/>
      <c r="T145" s="54"/>
      <c r="U145" s="54"/>
      <c r="V145" s="54"/>
      <c r="W145" s="54"/>
      <c r="X145" s="54"/>
      <c r="Y145" s="54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</row>
    <row r="146" spans="1:52" ht="20.100000000000001" customHeight="1" x14ac:dyDescent="0.25">
      <c r="A146" s="38">
        <v>145</v>
      </c>
      <c r="B146" s="39"/>
      <c r="C146" s="18"/>
      <c r="D146" s="17"/>
      <c r="E146" s="17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52"/>
      <c r="R146" s="52"/>
      <c r="S146" s="52"/>
      <c r="T146" s="54"/>
      <c r="U146" s="54"/>
      <c r="V146" s="54"/>
      <c r="W146" s="54"/>
      <c r="X146" s="54"/>
      <c r="Y146" s="54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</row>
    <row r="147" spans="1:52" ht="20.100000000000001" customHeight="1" x14ac:dyDescent="0.25">
      <c r="A147" s="38">
        <v>146</v>
      </c>
      <c r="B147" s="39"/>
      <c r="C147" s="18"/>
      <c r="D147" s="17"/>
      <c r="E147" s="17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52"/>
      <c r="R147" s="52"/>
      <c r="S147" s="52"/>
      <c r="T147" s="54"/>
      <c r="U147" s="54"/>
      <c r="V147" s="54"/>
      <c r="W147" s="54"/>
      <c r="X147" s="54"/>
      <c r="Y147" s="54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</row>
    <row r="148" spans="1:52" ht="20.100000000000001" customHeight="1" x14ac:dyDescent="0.25">
      <c r="A148" s="38">
        <v>147</v>
      </c>
      <c r="B148" s="39"/>
      <c r="C148" s="18"/>
      <c r="D148" s="17"/>
      <c r="E148" s="17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52"/>
      <c r="R148" s="52"/>
      <c r="S148" s="52"/>
      <c r="T148" s="54"/>
      <c r="U148" s="54"/>
      <c r="V148" s="54"/>
      <c r="W148" s="54"/>
      <c r="X148" s="54"/>
      <c r="Y148" s="54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</row>
    <row r="149" spans="1:52" ht="20.100000000000001" customHeight="1" x14ac:dyDescent="0.25">
      <c r="A149" s="38">
        <v>148</v>
      </c>
      <c r="B149" s="39"/>
      <c r="C149" s="18"/>
      <c r="D149" s="17"/>
      <c r="E149" s="17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52"/>
      <c r="R149" s="52"/>
      <c r="S149" s="52"/>
      <c r="T149" s="54"/>
      <c r="U149" s="54"/>
      <c r="V149" s="54"/>
      <c r="W149" s="54"/>
      <c r="X149" s="54"/>
      <c r="Y149" s="54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</row>
    <row r="150" spans="1:52" ht="20.100000000000001" customHeight="1" x14ac:dyDescent="0.25">
      <c r="A150" s="38">
        <v>149</v>
      </c>
      <c r="B150" s="39"/>
      <c r="C150" s="18"/>
      <c r="D150" s="17"/>
      <c r="E150" s="17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52"/>
      <c r="R150" s="52"/>
      <c r="S150" s="52"/>
      <c r="T150" s="54"/>
      <c r="U150" s="54"/>
      <c r="V150" s="54"/>
      <c r="W150" s="54"/>
      <c r="X150" s="54"/>
      <c r="Y150" s="54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</row>
    <row r="151" spans="1:52" ht="20.100000000000001" customHeight="1" x14ac:dyDescent="0.25">
      <c r="A151" s="38">
        <v>150</v>
      </c>
      <c r="B151" s="39"/>
      <c r="C151" s="18"/>
      <c r="D151" s="17"/>
      <c r="E151" s="17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52"/>
      <c r="R151" s="52"/>
      <c r="S151" s="52"/>
      <c r="T151" s="54"/>
      <c r="U151" s="54"/>
      <c r="V151" s="54"/>
      <c r="W151" s="54"/>
      <c r="X151" s="54"/>
      <c r="Y151" s="54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</row>
    <row r="152" spans="1:52" ht="20.100000000000001" customHeight="1" x14ac:dyDescent="0.25">
      <c r="A152" s="38">
        <v>151</v>
      </c>
      <c r="B152" s="39"/>
      <c r="C152" s="18"/>
      <c r="D152" s="17"/>
      <c r="E152" s="1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52"/>
      <c r="R152" s="52"/>
      <c r="S152" s="52"/>
      <c r="T152" s="54"/>
      <c r="U152" s="54"/>
      <c r="V152" s="54"/>
      <c r="W152" s="54"/>
      <c r="X152" s="54"/>
      <c r="Y152" s="54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</row>
    <row r="153" spans="1:52" ht="20.100000000000001" customHeight="1" x14ac:dyDescent="0.25">
      <c r="A153" s="38">
        <v>152</v>
      </c>
      <c r="B153" s="39"/>
      <c r="C153" s="18"/>
      <c r="D153" s="17"/>
      <c r="E153" s="17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52"/>
      <c r="R153" s="52"/>
      <c r="S153" s="52"/>
      <c r="T153" s="54"/>
      <c r="U153" s="54"/>
      <c r="V153" s="54"/>
      <c r="W153" s="54"/>
      <c r="X153" s="54"/>
      <c r="Y153" s="54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</row>
    <row r="154" spans="1:52" ht="20.100000000000001" customHeight="1" x14ac:dyDescent="0.25">
      <c r="A154" s="38">
        <v>153</v>
      </c>
      <c r="B154" s="39"/>
      <c r="C154" s="18"/>
      <c r="D154" s="17"/>
      <c r="E154" s="17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52"/>
      <c r="R154" s="52"/>
      <c r="S154" s="52"/>
      <c r="T154" s="54"/>
      <c r="U154" s="54"/>
      <c r="V154" s="54"/>
      <c r="W154" s="54"/>
      <c r="X154" s="54"/>
      <c r="Y154" s="54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</row>
    <row r="155" spans="1:52" ht="20.100000000000001" customHeight="1" x14ac:dyDescent="0.25">
      <c r="A155" s="38">
        <v>154</v>
      </c>
      <c r="B155" s="39"/>
      <c r="C155" s="18"/>
      <c r="D155" s="17"/>
      <c r="E155" s="17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52"/>
      <c r="R155" s="52"/>
      <c r="S155" s="52"/>
      <c r="T155" s="54"/>
      <c r="U155" s="54"/>
      <c r="V155" s="54"/>
      <c r="W155" s="54"/>
      <c r="X155" s="54"/>
      <c r="Y155" s="54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</row>
    <row r="156" spans="1:52" ht="20.100000000000001" customHeight="1" x14ac:dyDescent="0.25">
      <c r="A156" s="38">
        <v>155</v>
      </c>
      <c r="B156" s="39"/>
      <c r="C156" s="18"/>
      <c r="D156" s="17"/>
      <c r="E156" s="17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52"/>
      <c r="R156" s="52"/>
      <c r="S156" s="52"/>
      <c r="T156" s="54"/>
      <c r="U156" s="54"/>
      <c r="V156" s="54"/>
      <c r="W156" s="54"/>
      <c r="X156" s="54"/>
      <c r="Y156" s="54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</row>
    <row r="157" spans="1:52" ht="20.100000000000001" customHeight="1" x14ac:dyDescent="0.25">
      <c r="A157" s="38">
        <v>156</v>
      </c>
      <c r="B157" s="39"/>
      <c r="C157" s="18"/>
      <c r="D157" s="17"/>
      <c r="E157" s="17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52"/>
      <c r="R157" s="52"/>
      <c r="S157" s="52"/>
      <c r="T157" s="54"/>
      <c r="U157" s="54"/>
      <c r="V157" s="54"/>
      <c r="W157" s="54"/>
      <c r="X157" s="54"/>
      <c r="Y157" s="54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</row>
    <row r="158" spans="1:52" ht="20.100000000000001" customHeight="1" x14ac:dyDescent="0.25">
      <c r="A158" s="38">
        <v>157</v>
      </c>
      <c r="B158" s="39"/>
      <c r="C158" s="18"/>
      <c r="D158" s="17"/>
      <c r="E158" s="17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52"/>
      <c r="R158" s="52"/>
      <c r="S158" s="52"/>
      <c r="T158" s="54"/>
      <c r="U158" s="54"/>
      <c r="V158" s="54"/>
      <c r="W158" s="54"/>
      <c r="X158" s="54"/>
      <c r="Y158" s="54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</row>
    <row r="159" spans="1:52" ht="20.100000000000001" customHeight="1" x14ac:dyDescent="0.25">
      <c r="A159" s="38">
        <v>158</v>
      </c>
      <c r="B159" s="39"/>
      <c r="C159" s="18"/>
      <c r="D159" s="17"/>
      <c r="E159" s="17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52"/>
      <c r="R159" s="52"/>
      <c r="S159" s="52"/>
      <c r="T159" s="54"/>
      <c r="U159" s="54"/>
      <c r="V159" s="54"/>
      <c r="W159" s="54"/>
      <c r="X159" s="54"/>
      <c r="Y159" s="54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</row>
    <row r="160" spans="1:52" ht="20.100000000000001" customHeight="1" x14ac:dyDescent="0.25">
      <c r="A160" s="38">
        <v>159</v>
      </c>
      <c r="B160" s="39"/>
      <c r="C160" s="18"/>
      <c r="D160" s="17"/>
      <c r="E160" s="17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52"/>
      <c r="R160" s="52"/>
      <c r="S160" s="52"/>
      <c r="T160" s="54"/>
      <c r="U160" s="54"/>
      <c r="V160" s="54"/>
      <c r="W160" s="54"/>
      <c r="X160" s="54"/>
      <c r="Y160" s="54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</row>
    <row r="161" spans="1:52" ht="20.100000000000001" customHeight="1" x14ac:dyDescent="0.25">
      <c r="A161" s="38">
        <v>160</v>
      </c>
      <c r="B161" s="39"/>
      <c r="C161" s="18"/>
      <c r="D161" s="17"/>
      <c r="E161" s="17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52"/>
      <c r="R161" s="52"/>
      <c r="S161" s="52"/>
      <c r="T161" s="54"/>
      <c r="U161" s="54"/>
      <c r="V161" s="54"/>
      <c r="W161" s="54"/>
      <c r="X161" s="54"/>
      <c r="Y161" s="54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</row>
    <row r="162" spans="1:52" ht="20.100000000000001" customHeight="1" x14ac:dyDescent="0.25">
      <c r="A162" s="38">
        <v>161</v>
      </c>
      <c r="B162" s="39"/>
      <c r="C162" s="18"/>
      <c r="D162" s="17"/>
      <c r="E162" s="17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52"/>
      <c r="R162" s="52"/>
      <c r="S162" s="52"/>
      <c r="T162" s="54"/>
      <c r="U162" s="54"/>
      <c r="V162" s="54"/>
      <c r="W162" s="54"/>
      <c r="X162" s="54"/>
      <c r="Y162" s="54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</row>
    <row r="163" spans="1:52" ht="20.100000000000001" customHeight="1" x14ac:dyDescent="0.25">
      <c r="A163" s="38">
        <v>162</v>
      </c>
      <c r="B163" s="39"/>
      <c r="C163" s="18"/>
      <c r="D163" s="17"/>
      <c r="E163" s="17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52"/>
      <c r="R163" s="52"/>
      <c r="S163" s="52"/>
      <c r="T163" s="54"/>
      <c r="U163" s="54"/>
      <c r="V163" s="54"/>
      <c r="W163" s="54"/>
      <c r="X163" s="54"/>
      <c r="Y163" s="54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</row>
    <row r="164" spans="1:52" ht="20.100000000000001" customHeight="1" x14ac:dyDescent="0.25">
      <c r="A164" s="38">
        <v>163</v>
      </c>
      <c r="B164" s="39"/>
      <c r="C164" s="18"/>
      <c r="D164" s="17"/>
      <c r="E164" s="17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52"/>
      <c r="R164" s="52"/>
      <c r="S164" s="52"/>
      <c r="T164" s="54"/>
      <c r="U164" s="54"/>
      <c r="V164" s="54"/>
      <c r="W164" s="54"/>
      <c r="X164" s="54"/>
      <c r="Y164" s="54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</row>
    <row r="165" spans="1:52" ht="20.100000000000001" customHeight="1" x14ac:dyDescent="0.25">
      <c r="A165" s="38">
        <v>164</v>
      </c>
      <c r="B165" s="39"/>
      <c r="C165" s="18"/>
      <c r="D165" s="17"/>
      <c r="E165" s="17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52"/>
      <c r="R165" s="52"/>
      <c r="S165" s="52"/>
      <c r="T165" s="54"/>
      <c r="U165" s="54"/>
      <c r="V165" s="54"/>
      <c r="W165" s="54"/>
      <c r="X165" s="54"/>
      <c r="Y165" s="54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</row>
    <row r="166" spans="1:52" ht="20.100000000000001" customHeight="1" x14ac:dyDescent="0.25">
      <c r="A166" s="38">
        <v>165</v>
      </c>
      <c r="B166" s="39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52"/>
      <c r="R166" s="52"/>
      <c r="S166" s="52"/>
      <c r="T166" s="54"/>
      <c r="U166" s="54"/>
      <c r="V166" s="54"/>
      <c r="W166" s="54"/>
      <c r="X166" s="54"/>
      <c r="Y166" s="54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</row>
    <row r="167" spans="1:52" ht="20.100000000000001" customHeight="1" x14ac:dyDescent="0.25">
      <c r="A167" s="38">
        <v>166</v>
      </c>
      <c r="B167" s="39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52"/>
      <c r="R167" s="52"/>
      <c r="S167" s="52"/>
      <c r="T167" s="54"/>
      <c r="U167" s="54"/>
      <c r="V167" s="54"/>
      <c r="W167" s="54"/>
      <c r="X167" s="54"/>
      <c r="Y167" s="54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</row>
    <row r="168" spans="1:52" ht="20.100000000000001" customHeight="1" x14ac:dyDescent="0.25">
      <c r="A168" s="38">
        <v>167</v>
      </c>
      <c r="B168" s="39"/>
      <c r="C168" s="18"/>
      <c r="D168" s="17"/>
      <c r="E168" s="17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52"/>
      <c r="R168" s="52"/>
      <c r="S168" s="52"/>
      <c r="T168" s="54"/>
      <c r="U168" s="54"/>
      <c r="V168" s="54"/>
      <c r="W168" s="54"/>
      <c r="X168" s="54"/>
      <c r="Y168" s="54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</row>
    <row r="169" spans="1:52" ht="20.100000000000001" customHeight="1" x14ac:dyDescent="0.25">
      <c r="A169" s="38">
        <v>168</v>
      </c>
      <c r="B169" s="39"/>
      <c r="C169" s="18"/>
      <c r="D169" s="17"/>
      <c r="E169" s="17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52"/>
      <c r="R169" s="52"/>
      <c r="S169" s="52"/>
      <c r="T169" s="54"/>
      <c r="U169" s="54"/>
      <c r="V169" s="54"/>
      <c r="W169" s="54"/>
      <c r="X169" s="54"/>
      <c r="Y169" s="54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</row>
    <row r="170" spans="1:52" ht="20.100000000000001" customHeight="1" x14ac:dyDescent="0.25">
      <c r="A170" s="38">
        <v>169</v>
      </c>
      <c r="B170" s="39"/>
      <c r="C170" s="18"/>
      <c r="D170" s="17"/>
      <c r="E170" s="17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52"/>
      <c r="R170" s="52"/>
      <c r="S170" s="52"/>
      <c r="T170" s="54"/>
      <c r="U170" s="54"/>
      <c r="V170" s="54"/>
      <c r="W170" s="54"/>
      <c r="X170" s="54"/>
      <c r="Y170" s="54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</row>
    <row r="171" spans="1:52" ht="20.100000000000001" customHeight="1" x14ac:dyDescent="0.25">
      <c r="A171" s="38">
        <v>170</v>
      </c>
      <c r="B171" s="39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52"/>
      <c r="R171" s="52"/>
      <c r="S171" s="52"/>
      <c r="T171" s="54"/>
      <c r="U171" s="54"/>
      <c r="V171" s="54"/>
      <c r="W171" s="54"/>
      <c r="X171" s="54"/>
      <c r="Y171" s="54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</row>
    <row r="172" spans="1:52" ht="20.100000000000001" customHeight="1" x14ac:dyDescent="0.25">
      <c r="A172" s="38">
        <v>171</v>
      </c>
      <c r="B172" s="39"/>
      <c r="C172" s="18"/>
      <c r="D172" s="17"/>
      <c r="E172" s="17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52"/>
      <c r="R172" s="52"/>
      <c r="S172" s="52"/>
      <c r="T172" s="54"/>
      <c r="U172" s="54"/>
      <c r="V172" s="54"/>
      <c r="W172" s="54"/>
      <c r="X172" s="54"/>
      <c r="Y172" s="54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</row>
    <row r="173" spans="1:52" ht="20.100000000000001" customHeight="1" x14ac:dyDescent="0.25">
      <c r="A173" s="38">
        <v>172</v>
      </c>
      <c r="B173" s="39"/>
      <c r="C173" s="18"/>
      <c r="D173" s="17"/>
      <c r="E173" s="17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52"/>
      <c r="R173" s="52"/>
      <c r="S173" s="52"/>
      <c r="T173" s="54"/>
      <c r="U173" s="54"/>
      <c r="V173" s="54"/>
      <c r="W173" s="54"/>
      <c r="X173" s="54"/>
      <c r="Y173" s="54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</row>
    <row r="174" spans="1:52" ht="20.100000000000001" customHeight="1" x14ac:dyDescent="0.25">
      <c r="A174" s="38">
        <v>173</v>
      </c>
      <c r="B174" s="45"/>
      <c r="C174" s="18"/>
      <c r="D174" s="17"/>
      <c r="E174" s="17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52"/>
      <c r="R174" s="52"/>
      <c r="S174" s="52"/>
      <c r="T174" s="54"/>
      <c r="U174" s="54"/>
      <c r="V174" s="54"/>
      <c r="W174" s="54"/>
      <c r="X174" s="54"/>
      <c r="Y174" s="54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</row>
    <row r="175" spans="1:52" ht="20.100000000000001" customHeight="1" x14ac:dyDescent="0.25">
      <c r="A175" s="38">
        <v>174</v>
      </c>
      <c r="B175" s="39"/>
      <c r="C175" s="18"/>
      <c r="D175" s="17"/>
      <c r="E175" s="17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52"/>
      <c r="R175" s="52"/>
      <c r="S175" s="52"/>
      <c r="T175" s="54"/>
      <c r="U175" s="54"/>
      <c r="V175" s="54"/>
      <c r="W175" s="54"/>
      <c r="X175" s="54"/>
      <c r="Y175" s="54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</row>
    <row r="176" spans="1:52" ht="20.100000000000001" customHeight="1" x14ac:dyDescent="0.25">
      <c r="A176" s="38">
        <v>175</v>
      </c>
      <c r="B176" s="39"/>
      <c r="C176" s="18"/>
      <c r="D176" s="17"/>
      <c r="E176" s="1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52"/>
      <c r="R176" s="52"/>
      <c r="S176" s="52"/>
      <c r="T176" s="54"/>
      <c r="U176" s="54"/>
      <c r="V176" s="54"/>
      <c r="W176" s="54"/>
      <c r="X176" s="54"/>
      <c r="Y176" s="54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</row>
    <row r="177" spans="1:52" ht="20.100000000000001" customHeight="1" x14ac:dyDescent="0.25">
      <c r="A177" s="38">
        <v>176</v>
      </c>
      <c r="B177" s="39"/>
      <c r="C177" s="18"/>
      <c r="D177" s="17"/>
      <c r="E177" s="17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52"/>
      <c r="R177" s="52"/>
      <c r="S177" s="52"/>
      <c r="T177" s="54"/>
      <c r="U177" s="54"/>
      <c r="V177" s="54"/>
      <c r="W177" s="54"/>
      <c r="X177" s="54"/>
      <c r="Y177" s="54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</row>
    <row r="178" spans="1:52" ht="20.100000000000001" customHeight="1" x14ac:dyDescent="0.25">
      <c r="A178" s="38">
        <v>177</v>
      </c>
      <c r="B178" s="39"/>
      <c r="C178" s="18"/>
      <c r="D178" s="17"/>
      <c r="E178" s="17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52"/>
      <c r="R178" s="52"/>
      <c r="S178" s="52"/>
      <c r="T178" s="54"/>
      <c r="U178" s="54"/>
      <c r="V178" s="54"/>
      <c r="W178" s="54"/>
      <c r="X178" s="54"/>
      <c r="Y178" s="54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</row>
    <row r="179" spans="1:52" ht="20.100000000000001" customHeight="1" x14ac:dyDescent="0.25">
      <c r="A179" s="38">
        <v>178</v>
      </c>
      <c r="B179" s="39"/>
      <c r="C179" s="18"/>
      <c r="D179" s="17"/>
      <c r="E179" s="17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52"/>
      <c r="R179" s="52"/>
      <c r="S179" s="52"/>
      <c r="T179" s="54"/>
      <c r="U179" s="54"/>
      <c r="V179" s="54"/>
      <c r="W179" s="54"/>
      <c r="X179" s="54"/>
      <c r="Y179" s="54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</row>
    <row r="180" spans="1:52" ht="20.100000000000001" customHeight="1" x14ac:dyDescent="0.25">
      <c r="A180" s="38">
        <v>179</v>
      </c>
      <c r="B180" s="39"/>
      <c r="C180" s="18"/>
      <c r="D180" s="17"/>
      <c r="E180" s="17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52"/>
      <c r="R180" s="52"/>
      <c r="S180" s="52"/>
      <c r="T180" s="54"/>
      <c r="U180" s="54"/>
      <c r="V180" s="54"/>
      <c r="W180" s="54"/>
      <c r="X180" s="54"/>
      <c r="Y180" s="54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</row>
    <row r="181" spans="1:52" ht="20.100000000000001" customHeight="1" x14ac:dyDescent="0.25">
      <c r="A181" s="38">
        <v>180</v>
      </c>
      <c r="B181" s="39"/>
      <c r="C181" s="18"/>
      <c r="D181" s="17"/>
      <c r="E181" s="17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52"/>
      <c r="R181" s="52"/>
      <c r="S181" s="52"/>
      <c r="T181" s="54"/>
      <c r="U181" s="54"/>
      <c r="V181" s="54"/>
      <c r="W181" s="54"/>
      <c r="X181" s="54"/>
      <c r="Y181" s="54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</row>
    <row r="182" spans="1:52" ht="20.100000000000001" customHeight="1" x14ac:dyDescent="0.25">
      <c r="A182" s="38">
        <v>181</v>
      </c>
      <c r="B182" s="39"/>
      <c r="C182" s="18"/>
      <c r="D182" s="17"/>
      <c r="E182" s="17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52"/>
      <c r="R182" s="52"/>
      <c r="S182" s="52"/>
      <c r="T182" s="54"/>
      <c r="U182" s="54"/>
      <c r="V182" s="54"/>
      <c r="W182" s="54"/>
      <c r="X182" s="54"/>
      <c r="Y182" s="54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</row>
    <row r="183" spans="1:52" ht="20.100000000000001" customHeight="1" x14ac:dyDescent="0.25">
      <c r="A183" s="38">
        <v>182</v>
      </c>
      <c r="B183" s="39"/>
      <c r="C183" s="18"/>
      <c r="D183" s="17"/>
      <c r="E183" s="17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52"/>
      <c r="R183" s="52"/>
      <c r="S183" s="52"/>
      <c r="T183" s="54"/>
      <c r="U183" s="54"/>
      <c r="V183" s="54"/>
      <c r="W183" s="54"/>
      <c r="X183" s="54"/>
      <c r="Y183" s="54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</row>
    <row r="184" spans="1:52" ht="20.100000000000001" customHeight="1" x14ac:dyDescent="0.25">
      <c r="A184" s="38">
        <v>183</v>
      </c>
      <c r="B184" s="39"/>
      <c r="C184" s="18"/>
      <c r="D184" s="17"/>
      <c r="E184" s="17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52"/>
      <c r="R184" s="52"/>
      <c r="S184" s="52"/>
      <c r="T184" s="54"/>
      <c r="U184" s="54"/>
      <c r="V184" s="54"/>
      <c r="W184" s="54"/>
      <c r="X184" s="54"/>
      <c r="Y184" s="54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</row>
    <row r="185" spans="1:52" ht="20.100000000000001" customHeight="1" x14ac:dyDescent="0.25">
      <c r="A185" s="38">
        <v>184</v>
      </c>
      <c r="B185" s="39"/>
      <c r="C185" s="18"/>
      <c r="D185" s="17"/>
      <c r="E185" s="17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52"/>
      <c r="R185" s="52"/>
      <c r="S185" s="52"/>
      <c r="T185" s="54"/>
      <c r="U185" s="54"/>
      <c r="V185" s="54"/>
      <c r="W185" s="54"/>
      <c r="X185" s="54"/>
      <c r="Y185" s="54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</row>
    <row r="186" spans="1:52" ht="20.100000000000001" customHeight="1" x14ac:dyDescent="0.25">
      <c r="A186" s="38">
        <v>185</v>
      </c>
      <c r="B186" s="39"/>
      <c r="C186" s="18"/>
      <c r="D186" s="17"/>
      <c r="E186" s="17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52"/>
      <c r="R186" s="52"/>
      <c r="S186" s="52"/>
      <c r="T186" s="54"/>
      <c r="U186" s="54"/>
      <c r="V186" s="54"/>
      <c r="W186" s="54"/>
      <c r="X186" s="54"/>
      <c r="Y186" s="54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</row>
    <row r="187" spans="1:52" ht="20.100000000000001" customHeight="1" x14ac:dyDescent="0.25">
      <c r="A187" s="38">
        <v>186</v>
      </c>
      <c r="B187" s="39"/>
      <c r="C187" s="18"/>
      <c r="D187" s="17"/>
      <c r="E187" s="17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52"/>
      <c r="R187" s="52"/>
      <c r="S187" s="52"/>
      <c r="T187" s="54"/>
      <c r="U187" s="54"/>
      <c r="V187" s="54"/>
      <c r="W187" s="54"/>
      <c r="X187" s="54"/>
      <c r="Y187" s="54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</row>
    <row r="188" spans="1:52" ht="20.100000000000001" customHeight="1" x14ac:dyDescent="0.25">
      <c r="A188" s="38">
        <v>187</v>
      </c>
      <c r="B188" s="39"/>
      <c r="C188" s="18"/>
      <c r="D188" s="17"/>
      <c r="E188" s="17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52"/>
      <c r="R188" s="52"/>
      <c r="S188" s="52"/>
      <c r="T188" s="54"/>
      <c r="U188" s="54"/>
      <c r="V188" s="54"/>
      <c r="W188" s="54"/>
      <c r="X188" s="54"/>
      <c r="Y188" s="54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</row>
    <row r="189" spans="1:52" ht="20.100000000000001" customHeight="1" x14ac:dyDescent="0.25">
      <c r="A189" s="38">
        <v>188</v>
      </c>
      <c r="B189" s="39"/>
      <c r="C189" s="18"/>
      <c r="D189" s="17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52"/>
      <c r="R189" s="52"/>
      <c r="S189" s="52"/>
      <c r="T189" s="54"/>
      <c r="U189" s="54"/>
      <c r="V189" s="54"/>
      <c r="W189" s="54"/>
      <c r="X189" s="54"/>
      <c r="Y189" s="54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</row>
    <row r="190" spans="1:52" ht="20.100000000000001" customHeight="1" x14ac:dyDescent="0.25">
      <c r="A190" s="38">
        <v>189</v>
      </c>
      <c r="B190" s="39"/>
      <c r="C190" s="18"/>
      <c r="D190" s="17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52"/>
      <c r="R190" s="52"/>
      <c r="S190" s="52"/>
      <c r="T190" s="54"/>
      <c r="U190" s="54"/>
      <c r="V190" s="54"/>
      <c r="W190" s="54"/>
      <c r="X190" s="54"/>
      <c r="Y190" s="54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</row>
    <row r="191" spans="1:52" ht="20.100000000000001" customHeight="1" x14ac:dyDescent="0.25">
      <c r="A191" s="38">
        <v>190</v>
      </c>
      <c r="B191" s="39"/>
      <c r="C191" s="18"/>
      <c r="D191" s="17"/>
      <c r="E191" s="17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52"/>
      <c r="R191" s="52"/>
      <c r="S191" s="52"/>
      <c r="T191" s="54"/>
      <c r="U191" s="54"/>
      <c r="V191" s="54"/>
      <c r="W191" s="54"/>
      <c r="X191" s="54"/>
      <c r="Y191" s="54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</row>
    <row r="192" spans="1:52" ht="20.100000000000001" customHeight="1" x14ac:dyDescent="0.25">
      <c r="A192" s="38">
        <v>191</v>
      </c>
      <c r="B192" s="39"/>
      <c r="C192" s="18"/>
      <c r="D192" s="17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52"/>
      <c r="R192" s="52"/>
      <c r="S192" s="52"/>
      <c r="T192" s="54"/>
      <c r="U192" s="54"/>
      <c r="V192" s="54"/>
      <c r="W192" s="54"/>
      <c r="X192" s="54"/>
      <c r="Y192" s="54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</row>
    <row r="193" spans="1:52" ht="20.100000000000001" customHeight="1" x14ac:dyDescent="0.25">
      <c r="A193" s="38">
        <v>192</v>
      </c>
      <c r="B193" s="39"/>
      <c r="C193" s="18"/>
      <c r="D193" s="17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52"/>
      <c r="R193" s="52"/>
      <c r="S193" s="52"/>
      <c r="T193" s="54"/>
      <c r="U193" s="54"/>
      <c r="V193" s="54"/>
      <c r="W193" s="54"/>
      <c r="X193" s="54"/>
      <c r="Y193" s="54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</row>
    <row r="194" spans="1:52" ht="20.100000000000001" customHeight="1" x14ac:dyDescent="0.25">
      <c r="A194" s="38">
        <v>193</v>
      </c>
      <c r="B194" s="39"/>
      <c r="C194" s="18"/>
      <c r="D194" s="17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52"/>
      <c r="R194" s="52"/>
      <c r="S194" s="52"/>
      <c r="T194" s="54"/>
      <c r="U194" s="54"/>
      <c r="V194" s="54"/>
      <c r="W194" s="54"/>
      <c r="X194" s="54"/>
      <c r="Y194" s="54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</row>
    <row r="195" spans="1:52" ht="20.100000000000001" customHeight="1" x14ac:dyDescent="0.25">
      <c r="A195" s="38">
        <v>194</v>
      </c>
      <c r="B195" s="39"/>
      <c r="C195" s="18"/>
      <c r="D195" s="17"/>
      <c r="E195" s="17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52"/>
      <c r="R195" s="52"/>
      <c r="S195" s="52"/>
      <c r="T195" s="54"/>
      <c r="U195" s="54"/>
      <c r="V195" s="54"/>
      <c r="W195" s="54"/>
      <c r="X195" s="54"/>
      <c r="Y195" s="54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</row>
    <row r="196" spans="1:52" ht="20.100000000000001" customHeight="1" x14ac:dyDescent="0.25">
      <c r="A196" s="38">
        <v>195</v>
      </c>
      <c r="B196" s="39"/>
      <c r="C196" s="18"/>
      <c r="D196" s="17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52"/>
      <c r="R196" s="52"/>
      <c r="S196" s="52"/>
      <c r="T196" s="54"/>
      <c r="U196" s="54"/>
      <c r="V196" s="54"/>
      <c r="W196" s="54"/>
      <c r="X196" s="54"/>
      <c r="Y196" s="54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</row>
    <row r="197" spans="1:52" ht="20.100000000000001" customHeight="1" x14ac:dyDescent="0.25">
      <c r="A197" s="38">
        <v>196</v>
      </c>
      <c r="B197" s="39"/>
      <c r="C197" s="18"/>
      <c r="D197" s="17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52"/>
      <c r="R197" s="52"/>
      <c r="S197" s="52"/>
      <c r="T197" s="54"/>
      <c r="U197" s="54"/>
      <c r="V197" s="54"/>
      <c r="W197" s="54"/>
      <c r="X197" s="54"/>
      <c r="Y197" s="54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</row>
    <row r="198" spans="1:52" ht="20.100000000000001" customHeight="1" x14ac:dyDescent="0.25">
      <c r="A198" s="38">
        <v>197</v>
      </c>
      <c r="B198" s="39"/>
      <c r="C198" s="18"/>
      <c r="D198" s="17"/>
      <c r="E198" s="17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52"/>
      <c r="R198" s="52"/>
      <c r="S198" s="52"/>
      <c r="T198" s="54"/>
      <c r="U198" s="54"/>
      <c r="V198" s="54"/>
      <c r="W198" s="54"/>
      <c r="X198" s="54"/>
      <c r="Y198" s="54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</row>
    <row r="199" spans="1:52" ht="20.100000000000001" customHeight="1" x14ac:dyDescent="0.25">
      <c r="A199" s="38">
        <v>198</v>
      </c>
      <c r="B199" s="39"/>
      <c r="C199" s="18"/>
      <c r="D199" s="17"/>
      <c r="E199" s="17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52"/>
      <c r="R199" s="52"/>
      <c r="S199" s="52"/>
      <c r="T199" s="54"/>
      <c r="U199" s="54"/>
      <c r="V199" s="54"/>
      <c r="W199" s="54"/>
      <c r="X199" s="54"/>
      <c r="Y199" s="54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</row>
    <row r="200" spans="1:52" ht="20.100000000000001" customHeight="1" x14ac:dyDescent="0.25">
      <c r="A200" s="38">
        <v>199</v>
      </c>
      <c r="B200" s="39"/>
      <c r="C200" s="18"/>
      <c r="D200" s="17"/>
      <c r="E200" s="1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52"/>
      <c r="R200" s="52"/>
      <c r="S200" s="52"/>
      <c r="T200" s="54"/>
      <c r="U200" s="54"/>
      <c r="V200" s="54"/>
      <c r="W200" s="54"/>
      <c r="X200" s="54"/>
      <c r="Y200" s="54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</row>
    <row r="201" spans="1:52" ht="20.100000000000001" customHeight="1" x14ac:dyDescent="0.25">
      <c r="A201" s="38">
        <v>200</v>
      </c>
      <c r="B201" s="39"/>
      <c r="C201" s="18"/>
      <c r="D201" s="17"/>
      <c r="E201" s="17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52"/>
      <c r="R201" s="52"/>
      <c r="S201" s="52"/>
      <c r="T201" s="54"/>
      <c r="U201" s="54"/>
      <c r="V201" s="54"/>
      <c r="W201" s="54"/>
      <c r="X201" s="54"/>
      <c r="Y201" s="54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</row>
    <row r="202" spans="1:52" ht="20.100000000000001" customHeight="1" x14ac:dyDescent="0.25">
      <c r="A202" s="38">
        <v>201</v>
      </c>
      <c r="B202" s="39"/>
      <c r="C202" s="18"/>
      <c r="D202" s="17"/>
      <c r="E202" s="17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52"/>
      <c r="R202" s="52"/>
      <c r="S202" s="52"/>
      <c r="T202" s="54"/>
      <c r="U202" s="54"/>
      <c r="V202" s="54"/>
      <c r="W202" s="54"/>
      <c r="X202" s="54"/>
      <c r="Y202" s="54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</row>
    <row r="203" spans="1:52" ht="20.100000000000001" customHeight="1" x14ac:dyDescent="0.25">
      <c r="A203" s="38">
        <v>202</v>
      </c>
      <c r="B203" s="39"/>
      <c r="C203" s="18"/>
      <c r="D203" s="17"/>
      <c r="E203" s="17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52"/>
      <c r="R203" s="52"/>
      <c r="S203" s="52"/>
      <c r="T203" s="54"/>
      <c r="U203" s="54"/>
      <c r="V203" s="54"/>
      <c r="W203" s="54"/>
      <c r="X203" s="54"/>
      <c r="Y203" s="54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</row>
    <row r="204" spans="1:52" ht="20.100000000000001" customHeight="1" x14ac:dyDescent="0.25">
      <c r="A204" s="38">
        <v>203</v>
      </c>
      <c r="B204" s="39"/>
      <c r="C204" s="18"/>
      <c r="D204" s="17"/>
      <c r="E204" s="17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52"/>
      <c r="R204" s="52"/>
      <c r="S204" s="52"/>
      <c r="T204" s="54"/>
      <c r="U204" s="54"/>
      <c r="V204" s="54"/>
      <c r="W204" s="54"/>
      <c r="X204" s="54"/>
      <c r="Y204" s="54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</row>
    <row r="205" spans="1:52" ht="20.100000000000001" customHeight="1" x14ac:dyDescent="0.25">
      <c r="A205" s="38">
        <v>204</v>
      </c>
      <c r="B205" s="39"/>
      <c r="C205" s="18"/>
      <c r="D205" s="17"/>
      <c r="E205" s="17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52"/>
      <c r="R205" s="52"/>
      <c r="S205" s="52"/>
      <c r="T205" s="54"/>
      <c r="U205" s="54"/>
      <c r="V205" s="54"/>
      <c r="W205" s="54"/>
      <c r="X205" s="54"/>
      <c r="Y205" s="54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</row>
    <row r="206" spans="1:52" ht="20.100000000000001" customHeight="1" x14ac:dyDescent="0.25">
      <c r="A206" s="38">
        <v>205</v>
      </c>
      <c r="B206" s="39"/>
      <c r="C206" s="18"/>
      <c r="D206" s="17"/>
      <c r="E206" s="17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52"/>
      <c r="R206" s="52"/>
      <c r="S206" s="52"/>
      <c r="T206" s="54"/>
      <c r="U206" s="54"/>
      <c r="V206" s="54"/>
      <c r="W206" s="54"/>
      <c r="X206" s="54"/>
      <c r="Y206" s="54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</row>
    <row r="207" spans="1:52" ht="20.100000000000001" customHeight="1" x14ac:dyDescent="0.25">
      <c r="A207" s="38">
        <v>206</v>
      </c>
      <c r="B207" s="39"/>
      <c r="C207" s="18"/>
      <c r="D207" s="17"/>
      <c r="E207" s="17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52"/>
      <c r="R207" s="52"/>
      <c r="S207" s="52"/>
      <c r="T207" s="54"/>
      <c r="U207" s="54"/>
      <c r="V207" s="54"/>
      <c r="W207" s="54"/>
      <c r="X207" s="54"/>
      <c r="Y207" s="54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</row>
    <row r="208" spans="1:52" ht="20.100000000000001" customHeight="1" x14ac:dyDescent="0.25">
      <c r="A208" s="38">
        <v>207</v>
      </c>
      <c r="B208" s="39"/>
      <c r="C208" s="18"/>
      <c r="D208" s="17"/>
      <c r="E208" s="17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52"/>
      <c r="R208" s="52"/>
      <c r="S208" s="52"/>
      <c r="T208" s="54"/>
      <c r="U208" s="54"/>
      <c r="V208" s="54"/>
      <c r="W208" s="54"/>
      <c r="X208" s="54"/>
      <c r="Y208" s="54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</row>
    <row r="209" spans="1:52" ht="20.100000000000001" customHeight="1" x14ac:dyDescent="0.25">
      <c r="A209" s="38">
        <v>208</v>
      </c>
      <c r="B209" s="39"/>
      <c r="C209" s="18"/>
      <c r="D209" s="17"/>
      <c r="E209" s="17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52"/>
      <c r="R209" s="52"/>
      <c r="S209" s="52"/>
      <c r="T209" s="54"/>
      <c r="U209" s="54"/>
      <c r="V209" s="54"/>
      <c r="W209" s="54"/>
      <c r="X209" s="54"/>
      <c r="Y209" s="54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</row>
    <row r="210" spans="1:52" ht="20.100000000000001" customHeight="1" x14ac:dyDescent="0.25">
      <c r="A210" s="38">
        <v>209</v>
      </c>
      <c r="B210" s="39"/>
      <c r="C210" s="18"/>
      <c r="D210" s="17"/>
      <c r="E210" s="17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52"/>
      <c r="R210" s="52"/>
      <c r="S210" s="52"/>
      <c r="T210" s="54"/>
      <c r="U210" s="54"/>
      <c r="V210" s="54"/>
      <c r="W210" s="54"/>
      <c r="X210" s="54"/>
      <c r="Y210" s="54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</row>
    <row r="211" spans="1:52" ht="20.100000000000001" customHeight="1" x14ac:dyDescent="0.25">
      <c r="A211" s="38">
        <v>210</v>
      </c>
      <c r="B211" s="39"/>
      <c r="C211" s="18"/>
      <c r="D211" s="17"/>
      <c r="E211" s="17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52"/>
      <c r="R211" s="52"/>
      <c r="S211" s="52"/>
      <c r="T211" s="54"/>
      <c r="U211" s="54"/>
      <c r="V211" s="54"/>
      <c r="W211" s="54"/>
      <c r="X211" s="54"/>
      <c r="Y211" s="54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</row>
    <row r="212" spans="1:52" ht="20.100000000000001" customHeight="1" x14ac:dyDescent="0.25">
      <c r="A212" s="38">
        <v>211</v>
      </c>
      <c r="B212" s="39"/>
      <c r="C212" s="18"/>
      <c r="D212" s="17"/>
      <c r="E212" s="1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52"/>
      <c r="R212" s="52"/>
      <c r="S212" s="52"/>
      <c r="T212" s="54"/>
      <c r="U212" s="54"/>
      <c r="V212" s="54"/>
      <c r="W212" s="54"/>
      <c r="X212" s="54"/>
      <c r="Y212" s="54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</row>
    <row r="213" spans="1:52" ht="20.100000000000001" customHeight="1" x14ac:dyDescent="0.25">
      <c r="A213" s="38">
        <v>212</v>
      </c>
      <c r="B213" s="39"/>
      <c r="C213" s="18"/>
      <c r="D213" s="17"/>
      <c r="E213" s="17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52"/>
      <c r="R213" s="52"/>
      <c r="S213" s="52"/>
      <c r="T213" s="54"/>
      <c r="U213" s="54"/>
      <c r="V213" s="54"/>
      <c r="W213" s="54"/>
      <c r="X213" s="54"/>
      <c r="Y213" s="54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</row>
    <row r="214" spans="1:52" ht="20.100000000000001" customHeight="1" x14ac:dyDescent="0.25">
      <c r="A214" s="38">
        <v>213</v>
      </c>
      <c r="B214" s="39"/>
      <c r="C214" s="18"/>
      <c r="D214" s="17"/>
      <c r="E214" s="17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52"/>
      <c r="R214" s="52"/>
      <c r="S214" s="52"/>
      <c r="T214" s="54"/>
      <c r="U214" s="54"/>
      <c r="V214" s="54"/>
      <c r="W214" s="54"/>
      <c r="X214" s="54"/>
      <c r="Y214" s="54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</row>
    <row r="215" spans="1:52" ht="20.100000000000001" customHeight="1" x14ac:dyDescent="0.25">
      <c r="A215" s="38">
        <v>214</v>
      </c>
      <c r="B215" s="39"/>
      <c r="C215" s="18"/>
      <c r="D215" s="17"/>
      <c r="E215" s="17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52"/>
      <c r="R215" s="52"/>
      <c r="S215" s="52"/>
      <c r="T215" s="54"/>
      <c r="U215" s="54"/>
      <c r="V215" s="54"/>
      <c r="W215" s="54"/>
      <c r="X215" s="54"/>
      <c r="Y215" s="54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</row>
    <row r="216" spans="1:52" ht="20.100000000000001" customHeight="1" x14ac:dyDescent="0.25">
      <c r="A216" s="38">
        <v>215</v>
      </c>
      <c r="B216" s="39"/>
      <c r="C216" s="18"/>
      <c r="D216" s="17"/>
      <c r="E216" s="17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52"/>
      <c r="R216" s="52"/>
      <c r="S216" s="52"/>
      <c r="T216" s="54"/>
      <c r="U216" s="54"/>
      <c r="V216" s="54"/>
      <c r="W216" s="54"/>
      <c r="X216" s="54"/>
      <c r="Y216" s="54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</row>
    <row r="217" spans="1:52" ht="20.100000000000001" customHeight="1" x14ac:dyDescent="0.25">
      <c r="A217" s="38">
        <v>216</v>
      </c>
      <c r="B217" s="39"/>
      <c r="C217" s="18"/>
      <c r="D217" s="17"/>
      <c r="E217" s="17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52"/>
      <c r="R217" s="52"/>
      <c r="S217" s="52"/>
      <c r="T217" s="54"/>
      <c r="U217" s="54"/>
      <c r="V217" s="54"/>
      <c r="W217" s="54"/>
      <c r="X217" s="54"/>
      <c r="Y217" s="54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</row>
    <row r="218" spans="1:52" ht="20.100000000000001" customHeight="1" x14ac:dyDescent="0.25">
      <c r="A218" s="38">
        <v>217</v>
      </c>
      <c r="B218" s="39"/>
      <c r="C218" s="18"/>
      <c r="D218" s="17"/>
      <c r="E218" s="17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52"/>
      <c r="R218" s="52"/>
      <c r="S218" s="52"/>
      <c r="T218" s="54"/>
      <c r="U218" s="54"/>
      <c r="V218" s="54"/>
      <c r="W218" s="54"/>
      <c r="X218" s="54"/>
      <c r="Y218" s="54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</row>
    <row r="219" spans="1:52" ht="20.100000000000001" customHeight="1" x14ac:dyDescent="0.25">
      <c r="A219" s="38">
        <v>218</v>
      </c>
      <c r="B219" s="39"/>
      <c r="C219" s="18"/>
      <c r="D219" s="17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52"/>
      <c r="R219" s="52"/>
      <c r="S219" s="52"/>
      <c r="T219" s="54"/>
      <c r="U219" s="54"/>
      <c r="V219" s="54"/>
      <c r="W219" s="54"/>
      <c r="X219" s="54"/>
      <c r="Y219" s="54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</row>
    <row r="220" spans="1:52" ht="20.100000000000001" customHeight="1" x14ac:dyDescent="0.25">
      <c r="A220" s="38">
        <v>219</v>
      </c>
      <c r="B220" s="39"/>
      <c r="C220" s="18"/>
      <c r="D220" s="17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52"/>
      <c r="R220" s="52"/>
      <c r="S220" s="52"/>
      <c r="T220" s="54"/>
      <c r="U220" s="54"/>
      <c r="V220" s="54"/>
      <c r="W220" s="54"/>
      <c r="X220" s="54"/>
      <c r="Y220" s="54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</row>
    <row r="221" spans="1:52" ht="20.100000000000001" customHeight="1" x14ac:dyDescent="0.25">
      <c r="A221" s="38">
        <v>220</v>
      </c>
      <c r="B221" s="39"/>
      <c r="C221" s="18"/>
      <c r="D221" s="17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52"/>
      <c r="R221" s="52"/>
      <c r="S221" s="52"/>
      <c r="T221" s="54"/>
      <c r="U221" s="54"/>
      <c r="V221" s="54"/>
      <c r="W221" s="54"/>
      <c r="X221" s="54"/>
      <c r="Y221" s="54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</row>
    <row r="222" spans="1:52" ht="20.100000000000001" customHeight="1" x14ac:dyDescent="0.25">
      <c r="A222" s="38">
        <v>221</v>
      </c>
      <c r="B222" s="39"/>
      <c r="C222" s="18"/>
      <c r="D222" s="17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52"/>
      <c r="R222" s="52"/>
      <c r="S222" s="52"/>
      <c r="T222" s="54"/>
      <c r="U222" s="54"/>
      <c r="V222" s="54"/>
      <c r="W222" s="54"/>
      <c r="X222" s="54"/>
      <c r="Y222" s="54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</row>
    <row r="223" spans="1:52" ht="20.100000000000001" customHeight="1" x14ac:dyDescent="0.25">
      <c r="A223" s="38">
        <v>222</v>
      </c>
      <c r="B223" s="39"/>
      <c r="C223" s="18"/>
      <c r="D223" s="17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52"/>
      <c r="R223" s="52"/>
      <c r="S223" s="52"/>
      <c r="T223" s="54"/>
      <c r="U223" s="54"/>
      <c r="V223" s="54"/>
      <c r="W223" s="54"/>
      <c r="X223" s="54"/>
      <c r="Y223" s="54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</row>
    <row r="224" spans="1:52" ht="20.100000000000001" customHeight="1" x14ac:dyDescent="0.25">
      <c r="A224" s="38">
        <v>223</v>
      </c>
      <c r="B224" s="39"/>
      <c r="C224" s="18"/>
      <c r="D224" s="17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52"/>
      <c r="R224" s="52"/>
      <c r="S224" s="52"/>
      <c r="T224" s="54"/>
      <c r="U224" s="54"/>
      <c r="V224" s="54"/>
      <c r="W224" s="54"/>
      <c r="X224" s="54"/>
      <c r="Y224" s="54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</row>
    <row r="225" spans="1:52" ht="20.100000000000001" customHeight="1" x14ac:dyDescent="0.25">
      <c r="A225" s="38">
        <v>224</v>
      </c>
      <c r="B225" s="39"/>
      <c r="C225" s="18"/>
      <c r="D225" s="17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52"/>
      <c r="R225" s="52"/>
      <c r="S225" s="52"/>
      <c r="T225" s="54"/>
      <c r="U225" s="54"/>
      <c r="V225" s="54"/>
      <c r="W225" s="54"/>
      <c r="X225" s="54"/>
      <c r="Y225" s="54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</row>
    <row r="226" spans="1:52" ht="20.100000000000001" customHeight="1" x14ac:dyDescent="0.25">
      <c r="A226" s="38">
        <v>225</v>
      </c>
      <c r="B226" s="39"/>
      <c r="C226" s="18"/>
      <c r="D226" s="17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52"/>
      <c r="R226" s="52"/>
      <c r="S226" s="52"/>
      <c r="T226" s="54"/>
      <c r="U226" s="54"/>
      <c r="V226" s="54"/>
      <c r="W226" s="54"/>
      <c r="X226" s="54"/>
      <c r="Y226" s="54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</row>
    <row r="227" spans="1:52" ht="20.100000000000001" customHeight="1" x14ac:dyDescent="0.25">
      <c r="A227" s="38">
        <v>226</v>
      </c>
      <c r="B227" s="39"/>
      <c r="C227" s="18"/>
      <c r="D227" s="17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52"/>
      <c r="R227" s="52"/>
      <c r="S227" s="52"/>
      <c r="T227" s="54"/>
      <c r="U227" s="54"/>
      <c r="V227" s="54"/>
      <c r="W227" s="54"/>
      <c r="X227" s="54"/>
      <c r="Y227" s="54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</row>
    <row r="228" spans="1:52" ht="20.100000000000001" customHeight="1" x14ac:dyDescent="0.25">
      <c r="A228" s="38">
        <v>227</v>
      </c>
      <c r="B228" s="39"/>
      <c r="C228" s="18"/>
      <c r="D228" s="17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52"/>
      <c r="R228" s="52"/>
      <c r="S228" s="52"/>
      <c r="T228" s="54"/>
      <c r="U228" s="54"/>
      <c r="V228" s="54"/>
      <c r="W228" s="54"/>
      <c r="X228" s="54"/>
      <c r="Y228" s="54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</row>
    <row r="229" spans="1:52" ht="20.100000000000001" customHeight="1" x14ac:dyDescent="0.25">
      <c r="A229" s="38">
        <v>228</v>
      </c>
      <c r="B229" s="39"/>
      <c r="C229" s="18"/>
      <c r="D229" s="17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52"/>
      <c r="R229" s="52"/>
      <c r="S229" s="52"/>
      <c r="T229" s="54"/>
      <c r="U229" s="54"/>
      <c r="V229" s="54"/>
      <c r="W229" s="54"/>
      <c r="X229" s="54"/>
      <c r="Y229" s="54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</row>
    <row r="230" spans="1:52" ht="20.100000000000001" customHeight="1" x14ac:dyDescent="0.25">
      <c r="A230" s="38">
        <v>229</v>
      </c>
      <c r="B230" s="39"/>
      <c r="C230" s="18"/>
      <c r="D230" s="17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52"/>
      <c r="R230" s="52"/>
      <c r="S230" s="52"/>
      <c r="T230" s="54"/>
      <c r="U230" s="54"/>
      <c r="V230" s="54"/>
      <c r="W230" s="54"/>
      <c r="X230" s="54"/>
      <c r="Y230" s="54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</row>
    <row r="231" spans="1:52" ht="20.100000000000001" customHeight="1" x14ac:dyDescent="0.25">
      <c r="A231" s="38">
        <v>230</v>
      </c>
      <c r="B231" s="39"/>
      <c r="C231" s="18"/>
      <c r="D231" s="17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52"/>
      <c r="R231" s="52"/>
      <c r="S231" s="52"/>
      <c r="T231" s="54"/>
      <c r="U231" s="54"/>
      <c r="V231" s="54"/>
      <c r="W231" s="54"/>
      <c r="X231" s="54"/>
      <c r="Y231" s="54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</row>
    <row r="232" spans="1:52" ht="20.100000000000001" customHeight="1" x14ac:dyDescent="0.25">
      <c r="A232" s="38">
        <v>231</v>
      </c>
      <c r="B232" s="39"/>
      <c r="C232" s="18"/>
      <c r="D232" s="17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52"/>
      <c r="R232" s="52"/>
      <c r="S232" s="52"/>
      <c r="T232" s="54"/>
      <c r="U232" s="54"/>
      <c r="V232" s="54"/>
      <c r="W232" s="54"/>
      <c r="X232" s="54"/>
      <c r="Y232" s="54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</row>
    <row r="233" spans="1:52" ht="20.100000000000001" customHeight="1" x14ac:dyDescent="0.25">
      <c r="A233" s="38">
        <v>232</v>
      </c>
      <c r="B233" s="39"/>
      <c r="C233" s="18"/>
      <c r="D233" s="17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52"/>
      <c r="R233" s="52"/>
      <c r="S233" s="52"/>
      <c r="T233" s="54"/>
      <c r="U233" s="54"/>
      <c r="V233" s="54"/>
      <c r="W233" s="54"/>
      <c r="X233" s="54"/>
      <c r="Y233" s="54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</row>
    <row r="234" spans="1:52" ht="20.100000000000001" customHeight="1" x14ac:dyDescent="0.25">
      <c r="A234" s="38">
        <v>233</v>
      </c>
      <c r="B234" s="39"/>
      <c r="C234" s="18"/>
      <c r="D234" s="17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52"/>
      <c r="R234" s="52"/>
      <c r="S234" s="52"/>
      <c r="T234" s="54"/>
      <c r="U234" s="54"/>
      <c r="V234" s="54"/>
      <c r="W234" s="54"/>
      <c r="X234" s="54"/>
      <c r="Y234" s="54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</row>
    <row r="235" spans="1:52" ht="20.100000000000001" customHeight="1" x14ac:dyDescent="0.25">
      <c r="A235" s="38">
        <v>234</v>
      </c>
      <c r="B235" s="39"/>
      <c r="C235" s="18"/>
      <c r="D235" s="17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52"/>
      <c r="R235" s="52"/>
      <c r="S235" s="52"/>
      <c r="T235" s="54"/>
      <c r="U235" s="54"/>
      <c r="V235" s="54"/>
      <c r="W235" s="54"/>
      <c r="X235" s="54"/>
      <c r="Y235" s="54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</row>
    <row r="236" spans="1:52" ht="20.100000000000001" customHeight="1" x14ac:dyDescent="0.25">
      <c r="A236" s="38">
        <v>235</v>
      </c>
      <c r="B236" s="39"/>
      <c r="C236" s="18"/>
      <c r="D236" s="17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52"/>
      <c r="R236" s="52"/>
      <c r="S236" s="52"/>
      <c r="T236" s="54"/>
      <c r="U236" s="54"/>
      <c r="V236" s="54"/>
      <c r="W236" s="54"/>
      <c r="X236" s="54"/>
      <c r="Y236" s="54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</row>
  </sheetData>
  <autoFilter ref="A1:AZ236"/>
  <phoneticPr fontId="4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Z235"/>
  <sheetViews>
    <sheetView zoomScaleNormal="100" workbookViewId="0">
      <pane xSplit="2" ySplit="1" topLeftCell="AC229" activePane="bottomRight" state="frozen"/>
      <selection pane="topRight" activeCell="C1" sqref="C1"/>
      <selection pane="bottomLeft" activeCell="A2" sqref="A2"/>
      <selection pane="bottomRight" activeCell="D232" sqref="D232:D233"/>
    </sheetView>
  </sheetViews>
  <sheetFormatPr baseColWidth="10" defaultColWidth="10.85546875" defaultRowHeight="15.75" x14ac:dyDescent="0.25"/>
  <cols>
    <col min="1" max="1" width="6.85546875" style="2" bestFit="1" customWidth="1"/>
    <col min="2" max="2" width="30.5703125" style="2" customWidth="1"/>
    <col min="3" max="52" width="10.5703125" style="2" customWidth="1"/>
    <col min="53" max="16384" width="10.85546875" style="2"/>
  </cols>
  <sheetData>
    <row r="1" spans="1:52" ht="20.100000000000001" customHeight="1" x14ac:dyDescent="0.25">
      <c r="A1" s="1" t="s">
        <v>0</v>
      </c>
      <c r="B1" s="1" t="s">
        <v>1</v>
      </c>
      <c r="C1" s="50" t="s">
        <v>300</v>
      </c>
      <c r="D1" s="50" t="s">
        <v>302</v>
      </c>
      <c r="E1" s="50" t="s">
        <v>305</v>
      </c>
      <c r="F1" s="50" t="s">
        <v>308</v>
      </c>
      <c r="G1" s="50" t="s">
        <v>856</v>
      </c>
      <c r="H1" s="50" t="s">
        <v>314</v>
      </c>
      <c r="I1" s="50" t="s">
        <v>317</v>
      </c>
      <c r="J1" s="50" t="s">
        <v>319</v>
      </c>
      <c r="K1" s="50" t="s">
        <v>332</v>
      </c>
      <c r="L1" s="50" t="s">
        <v>335</v>
      </c>
      <c r="M1" s="50" t="s">
        <v>339</v>
      </c>
      <c r="N1" s="50" t="s">
        <v>324</v>
      </c>
      <c r="O1" s="50" t="s">
        <v>327</v>
      </c>
      <c r="P1" s="50" t="s">
        <v>329</v>
      </c>
      <c r="Q1" s="51" t="s">
        <v>341</v>
      </c>
      <c r="R1" s="51" t="s">
        <v>344</v>
      </c>
      <c r="S1" s="51" t="s">
        <v>347</v>
      </c>
      <c r="T1" s="53" t="s">
        <v>352</v>
      </c>
      <c r="U1" s="53" t="s">
        <v>350</v>
      </c>
      <c r="V1" s="53" t="s">
        <v>355</v>
      </c>
      <c r="W1" s="53" t="s">
        <v>358</v>
      </c>
      <c r="X1" s="53" t="s">
        <v>364</v>
      </c>
      <c r="Y1" s="53" t="s">
        <v>361</v>
      </c>
      <c r="Z1" s="1" t="s">
        <v>367</v>
      </c>
      <c r="AA1" s="1" t="s">
        <v>369</v>
      </c>
      <c r="AB1" s="1" t="s">
        <v>372</v>
      </c>
      <c r="AC1" s="1" t="s">
        <v>999</v>
      </c>
      <c r="AD1" s="1" t="s">
        <v>375</v>
      </c>
      <c r="AE1" s="1" t="s">
        <v>377</v>
      </c>
      <c r="AF1" s="1" t="s">
        <v>379</v>
      </c>
      <c r="AG1" s="1" t="s">
        <v>1000</v>
      </c>
      <c r="AH1" s="1" t="s">
        <v>642</v>
      </c>
      <c r="AI1" s="1" t="s">
        <v>1001</v>
      </c>
      <c r="AJ1" s="1" t="s">
        <v>394</v>
      </c>
      <c r="AK1" s="1" t="s">
        <v>398</v>
      </c>
      <c r="AL1" s="1" t="s">
        <v>655</v>
      </c>
      <c r="AM1" s="1" t="s">
        <v>1002</v>
      </c>
      <c r="AN1" s="1" t="s">
        <v>407</v>
      </c>
      <c r="AO1" s="1" t="s">
        <v>410</v>
      </c>
      <c r="AP1" s="1" t="s">
        <v>434</v>
      </c>
      <c r="AQ1" s="1" t="s">
        <v>436</v>
      </c>
      <c r="AR1" s="1" t="s">
        <v>439</v>
      </c>
      <c r="AS1" s="1" t="s">
        <v>441</v>
      </c>
      <c r="AT1" s="1" t="s">
        <v>444</v>
      </c>
      <c r="AU1" s="1" t="s">
        <v>415</v>
      </c>
      <c r="AV1" s="1" t="s">
        <v>418</v>
      </c>
      <c r="AW1" s="1" t="s">
        <v>423</v>
      </c>
      <c r="AX1" s="1" t="s">
        <v>425</v>
      </c>
      <c r="AY1" s="1" t="s">
        <v>428</v>
      </c>
      <c r="AZ1" s="1" t="s">
        <v>431</v>
      </c>
    </row>
    <row r="2" spans="1:52" ht="20.100000000000001" customHeight="1" x14ac:dyDescent="0.25">
      <c r="A2" s="38">
        <v>1</v>
      </c>
      <c r="B2" s="45" t="s">
        <v>1196</v>
      </c>
      <c r="C2" s="16"/>
      <c r="D2" s="17"/>
      <c r="E2" s="17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52"/>
      <c r="R2" s="52"/>
      <c r="S2" s="52"/>
      <c r="T2" s="54"/>
      <c r="U2" s="54"/>
      <c r="V2" s="54"/>
      <c r="W2" s="54"/>
      <c r="X2" s="54"/>
      <c r="Y2" s="54"/>
      <c r="Z2" s="41" t="s">
        <v>1216</v>
      </c>
      <c r="AA2" s="41"/>
      <c r="AB2" s="41" t="s">
        <v>1216</v>
      </c>
      <c r="AC2" s="41"/>
      <c r="AD2" s="41" t="s">
        <v>1216</v>
      </c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</row>
    <row r="3" spans="1:52" ht="20.100000000000001" customHeight="1" x14ac:dyDescent="0.25">
      <c r="A3" s="38">
        <v>2</v>
      </c>
      <c r="B3" s="45" t="s">
        <v>1197</v>
      </c>
      <c r="C3" s="16"/>
      <c r="D3" s="17"/>
      <c r="E3" s="17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52"/>
      <c r="R3" s="52"/>
      <c r="S3" s="52"/>
      <c r="T3" s="54"/>
      <c r="U3" s="54"/>
      <c r="V3" s="54"/>
      <c r="W3" s="54"/>
      <c r="X3" s="54"/>
      <c r="Y3" s="54"/>
      <c r="Z3" s="41" t="s">
        <v>1217</v>
      </c>
      <c r="AA3" s="41"/>
      <c r="AB3" s="41" t="s">
        <v>1217</v>
      </c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</row>
    <row r="4" spans="1:52" ht="20.100000000000001" customHeight="1" x14ac:dyDescent="0.25">
      <c r="A4" s="38">
        <v>3</v>
      </c>
      <c r="B4" s="45" t="s">
        <v>1198</v>
      </c>
      <c r="C4" s="16"/>
      <c r="D4" s="17"/>
      <c r="E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52"/>
      <c r="R4" s="52"/>
      <c r="S4" s="52"/>
      <c r="T4" s="54"/>
      <c r="U4" s="54"/>
      <c r="V4" s="54"/>
      <c r="W4" s="54"/>
      <c r="X4" s="54"/>
      <c r="Y4" s="54"/>
      <c r="Z4" s="41" t="s">
        <v>1218</v>
      </c>
      <c r="AA4" s="41"/>
      <c r="AB4" s="41" t="s">
        <v>1218</v>
      </c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</row>
    <row r="5" spans="1:52" ht="20.100000000000001" customHeight="1" x14ac:dyDescent="0.25">
      <c r="A5" s="38">
        <v>4</v>
      </c>
      <c r="B5" s="45" t="s">
        <v>1199</v>
      </c>
      <c r="C5" s="16"/>
      <c r="D5" s="17"/>
      <c r="E5" s="17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52"/>
      <c r="R5" s="52"/>
      <c r="S5" s="52"/>
      <c r="T5" s="54"/>
      <c r="U5" s="54"/>
      <c r="V5" s="54"/>
      <c r="W5" s="54"/>
      <c r="X5" s="54"/>
      <c r="Y5" s="54"/>
      <c r="Z5" s="41" t="s">
        <v>1219</v>
      </c>
      <c r="AA5" s="41"/>
      <c r="AB5" s="41" t="s">
        <v>1219</v>
      </c>
      <c r="AC5" s="41"/>
      <c r="AD5" s="41"/>
      <c r="AE5" s="41"/>
      <c r="AF5" s="41" t="s">
        <v>1219</v>
      </c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</row>
    <row r="6" spans="1:52" ht="20.100000000000001" customHeight="1" x14ac:dyDescent="0.25">
      <c r="A6" s="38">
        <v>5</v>
      </c>
      <c r="B6" s="45" t="s">
        <v>1200</v>
      </c>
      <c r="C6" s="16"/>
      <c r="D6" s="17"/>
      <c r="E6" s="17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52"/>
      <c r="R6" s="52"/>
      <c r="S6" s="52"/>
      <c r="T6" s="54"/>
      <c r="U6" s="54"/>
      <c r="V6" s="54"/>
      <c r="W6" s="54"/>
      <c r="X6" s="54"/>
      <c r="Y6" s="54"/>
      <c r="Z6" s="41" t="s">
        <v>1220</v>
      </c>
      <c r="AA6" s="41"/>
      <c r="AB6" s="41" t="s">
        <v>1220</v>
      </c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</row>
    <row r="7" spans="1:52" ht="20.100000000000001" customHeight="1" x14ac:dyDescent="0.25">
      <c r="A7" s="38">
        <v>6</v>
      </c>
      <c r="B7" s="45" t="s">
        <v>1201</v>
      </c>
      <c r="C7" s="16"/>
      <c r="D7" s="17"/>
      <c r="E7" s="17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52"/>
      <c r="R7" s="52"/>
      <c r="S7" s="52"/>
      <c r="T7" s="54"/>
      <c r="U7" s="54"/>
      <c r="V7" s="54"/>
      <c r="W7" s="54"/>
      <c r="X7" s="54"/>
      <c r="Y7" s="54"/>
      <c r="Z7" s="41" t="s">
        <v>1221</v>
      </c>
      <c r="AA7" s="41"/>
      <c r="AB7" s="41" t="s">
        <v>1221</v>
      </c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</row>
    <row r="8" spans="1:52" ht="20.100000000000001" customHeight="1" x14ac:dyDescent="0.25">
      <c r="A8" s="38">
        <v>7</v>
      </c>
      <c r="B8" s="45" t="s">
        <v>1202</v>
      </c>
      <c r="C8" s="16"/>
      <c r="D8" s="17"/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52"/>
      <c r="R8" s="52"/>
      <c r="S8" s="52"/>
      <c r="T8" s="54"/>
      <c r="U8" s="54"/>
      <c r="V8" s="54"/>
      <c r="W8" s="54"/>
      <c r="X8" s="54"/>
      <c r="Y8" s="54"/>
      <c r="Z8" s="41" t="s">
        <v>1222</v>
      </c>
      <c r="AA8" s="41"/>
      <c r="AB8" s="41" t="s">
        <v>1222</v>
      </c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</row>
    <row r="9" spans="1:52" ht="20.100000000000001" customHeight="1" x14ac:dyDescent="0.25">
      <c r="A9" s="38">
        <v>8</v>
      </c>
      <c r="B9" s="45" t="s">
        <v>1203</v>
      </c>
      <c r="C9" s="16"/>
      <c r="D9" s="17"/>
      <c r="E9" s="17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52"/>
      <c r="R9" s="52"/>
      <c r="S9" s="52"/>
      <c r="T9" s="54"/>
      <c r="U9" s="54"/>
      <c r="V9" s="54"/>
      <c r="W9" s="54"/>
      <c r="X9" s="54"/>
      <c r="Y9" s="54"/>
      <c r="Z9" s="41" t="s">
        <v>1223</v>
      </c>
      <c r="AA9" s="41"/>
      <c r="AB9" s="41" t="s">
        <v>1223</v>
      </c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</row>
    <row r="10" spans="1:52" ht="20.100000000000001" customHeight="1" x14ac:dyDescent="0.25">
      <c r="A10" s="38">
        <v>9</v>
      </c>
      <c r="B10" s="45" t="s">
        <v>1204</v>
      </c>
      <c r="C10" s="16"/>
      <c r="D10" s="17"/>
      <c r="E10" s="17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52"/>
      <c r="R10" s="52"/>
      <c r="S10" s="52"/>
      <c r="T10" s="54"/>
      <c r="U10" s="54"/>
      <c r="V10" s="54"/>
      <c r="W10" s="54"/>
      <c r="X10" s="54"/>
      <c r="Y10" s="54"/>
      <c r="Z10" s="41" t="s">
        <v>1224</v>
      </c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</row>
    <row r="11" spans="1:52" ht="20.100000000000001" customHeight="1" x14ac:dyDescent="0.25">
      <c r="A11" s="38">
        <v>10</v>
      </c>
      <c r="B11" s="45" t="s">
        <v>1205</v>
      </c>
      <c r="C11" s="16"/>
      <c r="D11" s="17"/>
      <c r="E11" s="17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52"/>
      <c r="R11" s="52"/>
      <c r="S11" s="52"/>
      <c r="T11" s="54"/>
      <c r="U11" s="54"/>
      <c r="V11" s="54"/>
      <c r="W11" s="54"/>
      <c r="X11" s="54"/>
      <c r="Y11" s="54"/>
      <c r="Z11" s="41" t="s">
        <v>1225</v>
      </c>
      <c r="AA11" s="41"/>
      <c r="AB11" s="41" t="s">
        <v>1225</v>
      </c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</row>
    <row r="12" spans="1:52" ht="20.100000000000001" customHeight="1" x14ac:dyDescent="0.25">
      <c r="A12" s="38">
        <v>11</v>
      </c>
      <c r="B12" s="45" t="s">
        <v>1206</v>
      </c>
      <c r="C12" s="16"/>
      <c r="D12" s="17"/>
      <c r="E12" s="1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52"/>
      <c r="R12" s="52"/>
      <c r="S12" s="52"/>
      <c r="T12" s="54"/>
      <c r="U12" s="54"/>
      <c r="V12" s="54"/>
      <c r="W12" s="54"/>
      <c r="X12" s="54"/>
      <c r="Y12" s="54"/>
      <c r="Z12" s="41" t="s">
        <v>1226</v>
      </c>
      <c r="AA12" s="41"/>
      <c r="AB12" s="41" t="s">
        <v>1226</v>
      </c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</row>
    <row r="13" spans="1:52" ht="20.100000000000001" customHeight="1" x14ac:dyDescent="0.25">
      <c r="A13" s="38">
        <v>12</v>
      </c>
      <c r="B13" s="45" t="s">
        <v>1207</v>
      </c>
      <c r="C13" s="16"/>
      <c r="D13" s="17"/>
      <c r="E13" s="17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52"/>
      <c r="R13" s="52"/>
      <c r="S13" s="52"/>
      <c r="T13" s="54"/>
      <c r="U13" s="54"/>
      <c r="V13" s="54"/>
      <c r="W13" s="54"/>
      <c r="X13" s="54"/>
      <c r="Y13" s="54"/>
      <c r="Z13" s="41" t="s">
        <v>1227</v>
      </c>
      <c r="AA13" s="41"/>
      <c r="AB13" s="41" t="s">
        <v>1227</v>
      </c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</row>
    <row r="14" spans="1:52" ht="20.100000000000001" customHeight="1" x14ac:dyDescent="0.25">
      <c r="A14" s="38">
        <v>13</v>
      </c>
      <c r="B14" s="45" t="s">
        <v>1208</v>
      </c>
      <c r="C14" s="16"/>
      <c r="D14" s="17"/>
      <c r="E14" s="17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52"/>
      <c r="R14" s="52"/>
      <c r="S14" s="52"/>
      <c r="T14" s="54"/>
      <c r="U14" s="54"/>
      <c r="V14" s="54"/>
      <c r="W14" s="54"/>
      <c r="X14" s="54"/>
      <c r="Y14" s="54"/>
      <c r="Z14" s="41" t="s">
        <v>1228</v>
      </c>
      <c r="AA14" s="41"/>
      <c r="AB14" s="41" t="s">
        <v>1228</v>
      </c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</row>
    <row r="15" spans="1:52" ht="20.100000000000001" customHeight="1" x14ac:dyDescent="0.25">
      <c r="A15" s="38">
        <v>14</v>
      </c>
      <c r="B15" s="45" t="s">
        <v>1209</v>
      </c>
      <c r="C15" s="16"/>
      <c r="D15" s="17"/>
      <c r="E15" s="17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52"/>
      <c r="R15" s="52"/>
      <c r="S15" s="52"/>
      <c r="T15" s="54"/>
      <c r="U15" s="54"/>
      <c r="V15" s="54"/>
      <c r="W15" s="54"/>
      <c r="X15" s="54"/>
      <c r="Y15" s="54"/>
      <c r="Z15" s="41" t="s">
        <v>1229</v>
      </c>
      <c r="AA15" s="41"/>
      <c r="AB15" s="41" t="s">
        <v>1229</v>
      </c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</row>
    <row r="16" spans="1:52" ht="20.100000000000001" customHeight="1" x14ac:dyDescent="0.25">
      <c r="A16" s="38">
        <v>15</v>
      </c>
      <c r="B16" s="45" t="s">
        <v>1210</v>
      </c>
      <c r="C16" s="16"/>
      <c r="D16" s="17"/>
      <c r="E16" s="17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52"/>
      <c r="R16" s="52"/>
      <c r="S16" s="52"/>
      <c r="T16" s="54"/>
      <c r="U16" s="54"/>
      <c r="V16" s="54"/>
      <c r="W16" s="54"/>
      <c r="X16" s="54"/>
      <c r="Y16" s="54"/>
      <c r="Z16" s="41" t="s">
        <v>1230</v>
      </c>
      <c r="AA16" s="41"/>
      <c r="AB16" s="41" t="s">
        <v>1230</v>
      </c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</row>
    <row r="17" spans="1:52" ht="20.100000000000001" customHeight="1" x14ac:dyDescent="0.25">
      <c r="A17" s="38">
        <v>16</v>
      </c>
      <c r="B17" s="45" t="s">
        <v>1211</v>
      </c>
      <c r="C17" s="16"/>
      <c r="D17" s="17"/>
      <c r="E17" s="17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52"/>
      <c r="R17" s="52"/>
      <c r="S17" s="52"/>
      <c r="T17" s="54"/>
      <c r="U17" s="54"/>
      <c r="V17" s="54"/>
      <c r="W17" s="54"/>
      <c r="X17" s="54"/>
      <c r="Y17" s="54"/>
      <c r="Z17" s="41" t="s">
        <v>1231</v>
      </c>
      <c r="AA17" s="41"/>
      <c r="AB17" s="41" t="s">
        <v>1231</v>
      </c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</row>
    <row r="18" spans="1:52" ht="20.100000000000001" customHeight="1" x14ac:dyDescent="0.25">
      <c r="A18" s="38">
        <v>17</v>
      </c>
      <c r="B18" s="45" t="s">
        <v>1212</v>
      </c>
      <c r="C18" s="16"/>
      <c r="D18" s="17"/>
      <c r="E18" s="17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52"/>
      <c r="R18" s="52"/>
      <c r="S18" s="52"/>
      <c r="T18" s="54"/>
      <c r="U18" s="54"/>
      <c r="V18" s="54"/>
      <c r="W18" s="54"/>
      <c r="X18" s="54"/>
      <c r="Y18" s="54"/>
      <c r="Z18" s="41" t="s">
        <v>1232</v>
      </c>
      <c r="AA18" s="41"/>
      <c r="AB18" s="41" t="s">
        <v>1232</v>
      </c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</row>
    <row r="19" spans="1:52" ht="20.100000000000001" customHeight="1" x14ac:dyDescent="0.25">
      <c r="A19" s="38">
        <v>18</v>
      </c>
      <c r="B19" s="45" t="s">
        <v>1213</v>
      </c>
      <c r="C19" s="16"/>
      <c r="D19" s="17"/>
      <c r="E19" s="17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52"/>
      <c r="R19" s="52"/>
      <c r="S19" s="52"/>
      <c r="T19" s="54"/>
      <c r="U19" s="54"/>
      <c r="V19" s="54"/>
      <c r="W19" s="54"/>
      <c r="X19" s="54"/>
      <c r="Y19" s="54"/>
      <c r="Z19" s="41" t="s">
        <v>1233</v>
      </c>
      <c r="AA19" s="41"/>
      <c r="AB19" s="41" t="s">
        <v>1233</v>
      </c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</row>
    <row r="20" spans="1:52" ht="20.100000000000001" customHeight="1" x14ac:dyDescent="0.25">
      <c r="A20" s="38">
        <v>19</v>
      </c>
      <c r="B20" s="45" t="s">
        <v>1071</v>
      </c>
      <c r="C20" s="16"/>
      <c r="D20" s="17"/>
      <c r="E20" s="17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52"/>
      <c r="R20" s="52"/>
      <c r="S20" s="52"/>
      <c r="T20" s="54"/>
      <c r="U20" s="54"/>
      <c r="V20" s="54"/>
      <c r="W20" s="54"/>
      <c r="X20" s="54"/>
      <c r="Y20" s="54"/>
      <c r="Z20" s="41" t="s">
        <v>1234</v>
      </c>
      <c r="AA20" s="41"/>
      <c r="AB20" s="41" t="s">
        <v>1234</v>
      </c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</row>
    <row r="21" spans="1:52" ht="20.100000000000001" customHeight="1" x14ac:dyDescent="0.25">
      <c r="A21" s="38">
        <v>20</v>
      </c>
      <c r="B21" s="45" t="s">
        <v>1214</v>
      </c>
      <c r="C21" s="16"/>
      <c r="D21" s="17"/>
      <c r="E21" s="17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52"/>
      <c r="R21" s="52"/>
      <c r="S21" s="52"/>
      <c r="T21" s="54"/>
      <c r="U21" s="54"/>
      <c r="V21" s="54"/>
      <c r="W21" s="54"/>
      <c r="X21" s="54"/>
      <c r="Y21" s="54"/>
      <c r="Z21" s="41" t="s">
        <v>1235</v>
      </c>
      <c r="AA21" s="41"/>
      <c r="AB21" s="41" t="s">
        <v>1235</v>
      </c>
      <c r="AC21" s="41"/>
      <c r="AD21" s="41" t="s">
        <v>1235</v>
      </c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</row>
    <row r="22" spans="1:52" ht="20.100000000000001" customHeight="1" x14ac:dyDescent="0.25">
      <c r="A22" s="38">
        <v>21</v>
      </c>
      <c r="B22" s="45" t="s">
        <v>1215</v>
      </c>
      <c r="C22" s="16"/>
      <c r="D22" s="17"/>
      <c r="E22" s="17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52"/>
      <c r="R22" s="52"/>
      <c r="S22" s="52"/>
      <c r="T22" s="54"/>
      <c r="U22" s="54"/>
      <c r="V22" s="54"/>
      <c r="W22" s="54"/>
      <c r="X22" s="54"/>
      <c r="Y22" s="54"/>
      <c r="Z22" s="41" t="s">
        <v>1235</v>
      </c>
      <c r="AA22" s="41"/>
      <c r="AB22" s="41" t="s">
        <v>1235</v>
      </c>
      <c r="AC22" s="41"/>
      <c r="AD22" s="41" t="s">
        <v>1235</v>
      </c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</row>
    <row r="23" spans="1:52" ht="20.100000000000001" customHeight="1" x14ac:dyDescent="0.25">
      <c r="A23" s="38">
        <v>22</v>
      </c>
      <c r="B23" s="45" t="s">
        <v>1236</v>
      </c>
      <c r="C23" s="16"/>
      <c r="D23" s="17"/>
      <c r="E23" s="17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52"/>
      <c r="R23" s="52"/>
      <c r="S23" s="52"/>
      <c r="T23" s="54"/>
      <c r="U23" s="54"/>
      <c r="V23" s="54"/>
      <c r="W23" s="54"/>
      <c r="X23" s="54"/>
      <c r="Y23" s="54"/>
      <c r="Z23" s="41" t="s">
        <v>1244</v>
      </c>
      <c r="AA23" s="41"/>
      <c r="AB23" s="41" t="s">
        <v>1244</v>
      </c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</row>
    <row r="24" spans="1:52" ht="20.100000000000001" customHeight="1" x14ac:dyDescent="0.25">
      <c r="A24" s="38">
        <v>23</v>
      </c>
      <c r="B24" s="45" t="s">
        <v>1237</v>
      </c>
      <c r="C24" s="16"/>
      <c r="D24" s="17"/>
      <c r="E24" s="17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52"/>
      <c r="R24" s="52"/>
      <c r="S24" s="52"/>
      <c r="T24" s="54"/>
      <c r="U24" s="54"/>
      <c r="V24" s="54"/>
      <c r="W24" s="54"/>
      <c r="X24" s="54"/>
      <c r="Y24" s="54"/>
      <c r="Z24" s="41" t="s">
        <v>1245</v>
      </c>
      <c r="AA24" s="41"/>
      <c r="AB24" s="41" t="s">
        <v>1245</v>
      </c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</row>
    <row r="25" spans="1:52" ht="20.100000000000001" customHeight="1" x14ac:dyDescent="0.25">
      <c r="A25" s="38">
        <v>24</v>
      </c>
      <c r="B25" s="45" t="s">
        <v>1238</v>
      </c>
      <c r="C25" s="16"/>
      <c r="D25" s="17"/>
      <c r="E25" s="17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52"/>
      <c r="R25" s="52"/>
      <c r="S25" s="52"/>
      <c r="T25" s="54"/>
      <c r="U25" s="54"/>
      <c r="V25" s="54"/>
      <c r="W25" s="54"/>
      <c r="X25" s="54"/>
      <c r="Y25" s="54"/>
      <c r="Z25" s="41" t="s">
        <v>1246</v>
      </c>
      <c r="AA25" s="41"/>
      <c r="AB25" s="41" t="s">
        <v>1246</v>
      </c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</row>
    <row r="26" spans="1:52" ht="20.100000000000001" customHeight="1" x14ac:dyDescent="0.25">
      <c r="A26" s="38">
        <v>25</v>
      </c>
      <c r="B26" s="45" t="s">
        <v>1239</v>
      </c>
      <c r="C26" s="16"/>
      <c r="D26" s="17"/>
      <c r="E26" s="17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52"/>
      <c r="R26" s="52"/>
      <c r="S26" s="52"/>
      <c r="T26" s="54"/>
      <c r="U26" s="54"/>
      <c r="V26" s="54"/>
      <c r="W26" s="54"/>
      <c r="X26" s="54"/>
      <c r="Y26" s="54"/>
      <c r="Z26" s="41" t="s">
        <v>1247</v>
      </c>
      <c r="AA26" s="41"/>
      <c r="AB26" s="41" t="s">
        <v>1247</v>
      </c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</row>
    <row r="27" spans="1:52" ht="20.100000000000001" customHeight="1" x14ac:dyDescent="0.25">
      <c r="A27" s="38">
        <v>26</v>
      </c>
      <c r="B27" s="45" t="s">
        <v>1240</v>
      </c>
      <c r="C27" s="16"/>
      <c r="D27" s="17"/>
      <c r="E27" s="17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52"/>
      <c r="R27" s="52"/>
      <c r="S27" s="52"/>
      <c r="T27" s="54"/>
      <c r="U27" s="54"/>
      <c r="V27" s="54"/>
      <c r="W27" s="54"/>
      <c r="X27" s="54"/>
      <c r="Y27" s="54"/>
      <c r="Z27" s="41" t="s">
        <v>1248</v>
      </c>
      <c r="AA27" s="41"/>
      <c r="AB27" s="41" t="s">
        <v>1248</v>
      </c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</row>
    <row r="28" spans="1:52" ht="20.100000000000001" customHeight="1" x14ac:dyDescent="0.25">
      <c r="A28" s="38">
        <v>27</v>
      </c>
      <c r="B28" s="45" t="s">
        <v>1241</v>
      </c>
      <c r="C28" s="16"/>
      <c r="D28" s="17"/>
      <c r="E28" s="17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52"/>
      <c r="R28" s="52"/>
      <c r="S28" s="52"/>
      <c r="T28" s="54"/>
      <c r="U28" s="54"/>
      <c r="V28" s="54"/>
      <c r="W28" s="54"/>
      <c r="X28" s="54"/>
      <c r="Y28" s="54"/>
      <c r="Z28" s="41" t="s">
        <v>1249</v>
      </c>
      <c r="AA28" s="41"/>
      <c r="AB28" s="41" t="s">
        <v>1249</v>
      </c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</row>
    <row r="29" spans="1:52" ht="20.100000000000001" customHeight="1" x14ac:dyDescent="0.25">
      <c r="A29" s="38">
        <v>28</v>
      </c>
      <c r="B29" s="45" t="s">
        <v>632</v>
      </c>
      <c r="C29" s="16"/>
      <c r="D29" s="17"/>
      <c r="E29" s="17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52"/>
      <c r="R29" s="52"/>
      <c r="S29" s="52"/>
      <c r="T29" s="54"/>
      <c r="U29" s="54"/>
      <c r="V29" s="54"/>
      <c r="W29" s="54"/>
      <c r="X29" s="54"/>
      <c r="Y29" s="54"/>
      <c r="Z29" s="41" t="s">
        <v>1250</v>
      </c>
      <c r="AA29" s="41"/>
      <c r="AB29" s="41" t="s">
        <v>1250</v>
      </c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</row>
    <row r="30" spans="1:52" ht="20.100000000000001" customHeight="1" x14ac:dyDescent="0.25">
      <c r="A30" s="38">
        <v>29</v>
      </c>
      <c r="B30" s="45" t="s">
        <v>1242</v>
      </c>
      <c r="C30" s="16"/>
      <c r="D30" s="17"/>
      <c r="E30" s="17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52"/>
      <c r="R30" s="52"/>
      <c r="S30" s="52"/>
      <c r="T30" s="54"/>
      <c r="U30" s="54"/>
      <c r="V30" s="54"/>
      <c r="W30" s="54"/>
      <c r="X30" s="54"/>
      <c r="Y30" s="54"/>
      <c r="Z30" s="41" t="s">
        <v>1251</v>
      </c>
      <c r="AA30" s="41" t="s">
        <v>1251</v>
      </c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</row>
    <row r="31" spans="1:52" ht="20.100000000000001" customHeight="1" x14ac:dyDescent="0.25">
      <c r="A31" s="38">
        <v>30</v>
      </c>
      <c r="B31" s="45" t="s">
        <v>242</v>
      </c>
      <c r="C31" s="16"/>
      <c r="D31" s="17"/>
      <c r="E31" s="17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52"/>
      <c r="R31" s="52"/>
      <c r="S31" s="52"/>
      <c r="T31" s="54"/>
      <c r="U31" s="54"/>
      <c r="V31" s="54"/>
      <c r="W31" s="54"/>
      <c r="X31" s="54"/>
      <c r="Y31" s="54"/>
      <c r="Z31" s="41" t="s">
        <v>1252</v>
      </c>
      <c r="AA31" s="41" t="s">
        <v>1252</v>
      </c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</row>
    <row r="32" spans="1:52" ht="20.100000000000001" customHeight="1" x14ac:dyDescent="0.25">
      <c r="A32" s="38">
        <v>31</v>
      </c>
      <c r="B32" s="45" t="s">
        <v>256</v>
      </c>
      <c r="C32" s="16"/>
      <c r="D32" s="17"/>
      <c r="E32" s="17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52"/>
      <c r="R32" s="52"/>
      <c r="S32" s="52"/>
      <c r="T32" s="54"/>
      <c r="U32" s="54"/>
      <c r="V32" s="54"/>
      <c r="W32" s="54"/>
      <c r="X32" s="54"/>
      <c r="Y32" s="54"/>
      <c r="Z32" s="41" t="s">
        <v>1253</v>
      </c>
      <c r="AA32" s="41" t="s">
        <v>1253</v>
      </c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</row>
    <row r="33" spans="1:52" ht="20.100000000000001" customHeight="1" x14ac:dyDescent="0.25">
      <c r="A33" s="38">
        <v>32</v>
      </c>
      <c r="B33" s="45" t="s">
        <v>246</v>
      </c>
      <c r="C33" s="16"/>
      <c r="D33" s="17"/>
      <c r="E33" s="17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52"/>
      <c r="R33" s="52"/>
      <c r="S33" s="52"/>
      <c r="T33" s="54"/>
      <c r="U33" s="54"/>
      <c r="V33" s="54"/>
      <c r="W33" s="54"/>
      <c r="X33" s="54"/>
      <c r="Y33" s="54"/>
      <c r="Z33" s="41" t="s">
        <v>1253</v>
      </c>
      <c r="AA33" s="41" t="s">
        <v>1253</v>
      </c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</row>
    <row r="34" spans="1:52" ht="20.100000000000001" customHeight="1" x14ac:dyDescent="0.25">
      <c r="A34" s="38">
        <v>33</v>
      </c>
      <c r="B34" s="45" t="s">
        <v>1243</v>
      </c>
      <c r="C34" s="16"/>
      <c r="D34" s="17"/>
      <c r="E34" s="17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52"/>
      <c r="R34" s="52"/>
      <c r="S34" s="52"/>
      <c r="T34" s="54"/>
      <c r="U34" s="54"/>
      <c r="V34" s="54"/>
      <c r="W34" s="54"/>
      <c r="X34" s="54"/>
      <c r="Y34" s="54"/>
      <c r="Z34" s="41" t="s">
        <v>1254</v>
      </c>
      <c r="AA34" s="41" t="s">
        <v>1254</v>
      </c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</row>
    <row r="35" spans="1:52" ht="20.100000000000001" customHeight="1" x14ac:dyDescent="0.25">
      <c r="A35" s="38">
        <v>34</v>
      </c>
      <c r="B35" s="45" t="s">
        <v>1255</v>
      </c>
      <c r="C35" s="16"/>
      <c r="D35" s="17"/>
      <c r="E35" s="17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52"/>
      <c r="R35" s="52"/>
      <c r="S35" s="52"/>
      <c r="T35" s="54"/>
      <c r="U35" s="54"/>
      <c r="V35" s="54"/>
      <c r="W35" s="54"/>
      <c r="X35" s="54"/>
      <c r="Y35" s="54"/>
      <c r="Z35" s="41"/>
      <c r="AA35" s="41"/>
      <c r="AB35" s="41"/>
      <c r="AC35" s="41" t="s">
        <v>1216</v>
      </c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</row>
    <row r="36" spans="1:52" ht="20.100000000000001" customHeight="1" x14ac:dyDescent="0.25">
      <c r="A36" s="38">
        <v>35</v>
      </c>
      <c r="B36" s="45" t="s">
        <v>1256</v>
      </c>
      <c r="C36" s="16"/>
      <c r="D36" s="17"/>
      <c r="E36" s="17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52"/>
      <c r="R36" s="52"/>
      <c r="S36" s="52"/>
      <c r="T36" s="54"/>
      <c r="U36" s="54"/>
      <c r="V36" s="54"/>
      <c r="W36" s="54"/>
      <c r="X36" s="54"/>
      <c r="Y36" s="54"/>
      <c r="Z36" s="41"/>
      <c r="AA36" s="41"/>
      <c r="AB36" s="41"/>
      <c r="AC36" s="41" t="s">
        <v>1217</v>
      </c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</row>
    <row r="37" spans="1:52" ht="20.100000000000001" customHeight="1" x14ac:dyDescent="0.25">
      <c r="A37" s="38">
        <v>36</v>
      </c>
      <c r="B37" s="45" t="s">
        <v>1198</v>
      </c>
      <c r="C37" s="16"/>
      <c r="D37" s="17"/>
      <c r="E37" s="17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52"/>
      <c r="R37" s="52"/>
      <c r="S37" s="52"/>
      <c r="T37" s="54"/>
      <c r="U37" s="54"/>
      <c r="V37" s="54"/>
      <c r="W37" s="54"/>
      <c r="X37" s="54"/>
      <c r="Y37" s="54"/>
      <c r="Z37" s="41"/>
      <c r="AA37" s="41"/>
      <c r="AB37" s="41"/>
      <c r="AC37" s="41" t="s">
        <v>1218</v>
      </c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</row>
    <row r="38" spans="1:52" ht="20.100000000000001" customHeight="1" x14ac:dyDescent="0.25">
      <c r="A38" s="38">
        <v>37</v>
      </c>
      <c r="B38" s="45" t="s">
        <v>1257</v>
      </c>
      <c r="C38" s="16"/>
      <c r="D38" s="17"/>
      <c r="E38" s="17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52"/>
      <c r="R38" s="52"/>
      <c r="S38" s="52"/>
      <c r="T38" s="54"/>
      <c r="U38" s="54"/>
      <c r="V38" s="54"/>
      <c r="W38" s="54"/>
      <c r="X38" s="54"/>
      <c r="Y38" s="54"/>
      <c r="Z38" s="41"/>
      <c r="AA38" s="41"/>
      <c r="AB38" s="41"/>
      <c r="AC38" s="41" t="s">
        <v>1219</v>
      </c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</row>
    <row r="39" spans="1:52" ht="20.100000000000001" customHeight="1" x14ac:dyDescent="0.25">
      <c r="A39" s="38">
        <v>38</v>
      </c>
      <c r="B39" s="45" t="s">
        <v>1069</v>
      </c>
      <c r="C39" s="16"/>
      <c r="D39" s="17"/>
      <c r="E39" s="17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52"/>
      <c r="R39" s="52"/>
      <c r="S39" s="52"/>
      <c r="T39" s="54"/>
      <c r="U39" s="54"/>
      <c r="V39" s="54"/>
      <c r="W39" s="54"/>
      <c r="X39" s="54"/>
      <c r="Y39" s="54"/>
      <c r="Z39" s="41"/>
      <c r="AA39" s="41"/>
      <c r="AB39" s="41"/>
      <c r="AC39" s="41" t="s">
        <v>1220</v>
      </c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</row>
    <row r="40" spans="1:52" ht="20.100000000000001" customHeight="1" x14ac:dyDescent="0.25">
      <c r="A40" s="38">
        <v>39</v>
      </c>
      <c r="B40" s="45" t="s">
        <v>1201</v>
      </c>
      <c r="C40" s="16"/>
      <c r="D40" s="17"/>
      <c r="E40" s="17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52"/>
      <c r="R40" s="52"/>
      <c r="S40" s="52"/>
      <c r="T40" s="54"/>
      <c r="U40" s="54"/>
      <c r="V40" s="54"/>
      <c r="W40" s="54"/>
      <c r="X40" s="54"/>
      <c r="Y40" s="54"/>
      <c r="Z40" s="41"/>
      <c r="AA40" s="41"/>
      <c r="AB40" s="41"/>
      <c r="AC40" s="41" t="s">
        <v>1261</v>
      </c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</row>
    <row r="41" spans="1:52" ht="20.100000000000001" customHeight="1" x14ac:dyDescent="0.25">
      <c r="A41" s="38">
        <v>40</v>
      </c>
      <c r="B41" s="45" t="s">
        <v>1202</v>
      </c>
      <c r="C41" s="16"/>
      <c r="D41" s="17"/>
      <c r="E41" s="17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52"/>
      <c r="R41" s="52"/>
      <c r="S41" s="52"/>
      <c r="T41" s="54"/>
      <c r="U41" s="54"/>
      <c r="V41" s="54"/>
      <c r="W41" s="54"/>
      <c r="X41" s="54"/>
      <c r="Y41" s="54"/>
      <c r="Z41" s="41"/>
      <c r="AA41" s="41"/>
      <c r="AB41" s="41"/>
      <c r="AC41" s="41" t="s">
        <v>1222</v>
      </c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</row>
    <row r="42" spans="1:52" ht="20.100000000000001" customHeight="1" x14ac:dyDescent="0.25">
      <c r="A42" s="38">
        <v>41</v>
      </c>
      <c r="B42" s="45" t="s">
        <v>1258</v>
      </c>
      <c r="C42" s="16"/>
      <c r="D42" s="17"/>
      <c r="E42" s="17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52"/>
      <c r="R42" s="52"/>
      <c r="S42" s="52"/>
      <c r="T42" s="54"/>
      <c r="U42" s="54"/>
      <c r="V42" s="54"/>
      <c r="W42" s="54"/>
      <c r="X42" s="54"/>
      <c r="Y42" s="54"/>
      <c r="Z42" s="41"/>
      <c r="AA42" s="41"/>
      <c r="AB42" s="41"/>
      <c r="AC42" s="41" t="s">
        <v>1223</v>
      </c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</row>
    <row r="43" spans="1:52" ht="20.100000000000001" customHeight="1" x14ac:dyDescent="0.25">
      <c r="A43" s="38">
        <v>42</v>
      </c>
      <c r="B43" s="45" t="s">
        <v>1204</v>
      </c>
      <c r="C43" s="16"/>
      <c r="D43" s="17"/>
      <c r="E43" s="17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52"/>
      <c r="R43" s="52"/>
      <c r="S43" s="52"/>
      <c r="T43" s="54"/>
      <c r="U43" s="54"/>
      <c r="V43" s="54"/>
      <c r="W43" s="54"/>
      <c r="X43" s="54"/>
      <c r="Y43" s="54"/>
      <c r="Z43" s="41"/>
      <c r="AA43" s="41"/>
      <c r="AB43" s="41"/>
      <c r="AC43" s="41" t="s">
        <v>1262</v>
      </c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</row>
    <row r="44" spans="1:52" ht="20.100000000000001" customHeight="1" x14ac:dyDescent="0.25">
      <c r="A44" s="38">
        <v>43</v>
      </c>
      <c r="B44" s="45" t="s">
        <v>1205</v>
      </c>
      <c r="C44" s="16"/>
      <c r="D44" s="17"/>
      <c r="E44" s="17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52"/>
      <c r="R44" s="52"/>
      <c r="S44" s="52"/>
      <c r="T44" s="54"/>
      <c r="U44" s="54"/>
      <c r="V44" s="54"/>
      <c r="W44" s="54"/>
      <c r="X44" s="54"/>
      <c r="Y44" s="54"/>
      <c r="Z44" s="41"/>
      <c r="AA44" s="41"/>
      <c r="AB44" s="41" t="s">
        <v>1263</v>
      </c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</row>
    <row r="45" spans="1:52" ht="20.100000000000001" customHeight="1" x14ac:dyDescent="0.25">
      <c r="A45" s="38">
        <v>44</v>
      </c>
      <c r="B45" s="45" t="s">
        <v>1259</v>
      </c>
      <c r="C45" s="16"/>
      <c r="D45" s="17"/>
      <c r="E45" s="17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52"/>
      <c r="R45" s="52"/>
      <c r="S45" s="52"/>
      <c r="T45" s="54"/>
      <c r="U45" s="54"/>
      <c r="V45" s="54"/>
      <c r="W45" s="54"/>
      <c r="X45" s="54"/>
      <c r="Y45" s="54"/>
      <c r="Z45" s="41"/>
      <c r="AA45" s="41"/>
      <c r="AB45" s="41" t="s">
        <v>1264</v>
      </c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</row>
    <row r="46" spans="1:52" ht="20.100000000000001" customHeight="1" x14ac:dyDescent="0.25">
      <c r="A46" s="38">
        <v>45</v>
      </c>
      <c r="B46" s="45" t="s">
        <v>1207</v>
      </c>
      <c r="C46" s="16"/>
      <c r="D46" s="17"/>
      <c r="E46" s="17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52"/>
      <c r="R46" s="52"/>
      <c r="S46" s="52"/>
      <c r="T46" s="54"/>
      <c r="U46" s="54"/>
      <c r="V46" s="54"/>
      <c r="W46" s="54"/>
      <c r="X46" s="54"/>
      <c r="Y46" s="54"/>
      <c r="Z46" s="41"/>
      <c r="AA46" s="41"/>
      <c r="AB46" s="41" t="s">
        <v>1227</v>
      </c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</row>
    <row r="47" spans="1:52" ht="20.100000000000001" customHeight="1" x14ac:dyDescent="0.25">
      <c r="A47" s="38">
        <v>46</v>
      </c>
      <c r="B47" s="45" t="s">
        <v>1260</v>
      </c>
      <c r="C47" s="16"/>
      <c r="D47" s="17"/>
      <c r="E47" s="17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52"/>
      <c r="R47" s="52"/>
      <c r="S47" s="52"/>
      <c r="T47" s="54"/>
      <c r="U47" s="54"/>
      <c r="V47" s="54"/>
      <c r="W47" s="54"/>
      <c r="X47" s="54"/>
      <c r="Y47" s="54"/>
      <c r="Z47" s="41"/>
      <c r="AA47" s="41"/>
      <c r="AB47" s="41"/>
      <c r="AC47" s="41"/>
      <c r="AD47" s="41"/>
      <c r="AE47" s="41"/>
      <c r="AF47" s="41"/>
      <c r="AG47" s="41" t="s">
        <v>1265</v>
      </c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</row>
    <row r="48" spans="1:52" ht="20.100000000000001" customHeight="1" x14ac:dyDescent="0.25">
      <c r="A48" s="38">
        <v>47</v>
      </c>
      <c r="B48" s="45" t="s">
        <v>1266</v>
      </c>
      <c r="C48" s="16"/>
      <c r="D48" s="17"/>
      <c r="E48" s="17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52"/>
      <c r="R48" s="52"/>
      <c r="S48" s="52"/>
      <c r="T48" s="54"/>
      <c r="U48" s="54"/>
      <c r="V48" s="54"/>
      <c r="W48" s="54"/>
      <c r="X48" s="54"/>
      <c r="Y48" s="54"/>
      <c r="Z48" s="41"/>
      <c r="AA48" s="41"/>
      <c r="AB48" s="37" t="s">
        <v>1283</v>
      </c>
      <c r="AC48" s="41"/>
      <c r="AD48" s="41"/>
      <c r="AE48" s="41"/>
      <c r="AF48" s="41"/>
      <c r="AG48" s="41" t="s">
        <v>1283</v>
      </c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</row>
    <row r="49" spans="1:52" ht="20.100000000000001" customHeight="1" x14ac:dyDescent="0.25">
      <c r="A49" s="38">
        <v>48</v>
      </c>
      <c r="B49" s="45" t="s">
        <v>1267</v>
      </c>
      <c r="C49" s="16"/>
      <c r="D49" s="17"/>
      <c r="E49" s="17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52"/>
      <c r="R49" s="52"/>
      <c r="S49" s="52"/>
      <c r="T49" s="54"/>
      <c r="U49" s="54"/>
      <c r="V49" s="54"/>
      <c r="W49" s="54"/>
      <c r="X49" s="54"/>
      <c r="Y49" s="54"/>
      <c r="Z49" s="41"/>
      <c r="AA49" s="41"/>
      <c r="AB49" s="41" t="s">
        <v>1228</v>
      </c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</row>
    <row r="50" spans="1:52" ht="20.100000000000001" customHeight="1" x14ac:dyDescent="0.25">
      <c r="A50" s="38">
        <v>49</v>
      </c>
      <c r="B50" s="45" t="s">
        <v>1268</v>
      </c>
      <c r="C50" s="16"/>
      <c r="D50" s="17"/>
      <c r="E50" s="17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52"/>
      <c r="R50" s="52"/>
      <c r="S50" s="52"/>
      <c r="T50" s="54"/>
      <c r="U50" s="54"/>
      <c r="V50" s="54"/>
      <c r="W50" s="54"/>
      <c r="X50" s="54"/>
      <c r="Y50" s="54"/>
      <c r="Z50" s="41"/>
      <c r="AA50" s="41"/>
      <c r="AB50" s="41" t="s">
        <v>1229</v>
      </c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</row>
    <row r="51" spans="1:52" ht="20.100000000000001" customHeight="1" x14ac:dyDescent="0.25">
      <c r="A51" s="38">
        <v>50</v>
      </c>
      <c r="B51" s="45" t="s">
        <v>1269</v>
      </c>
      <c r="C51" s="16"/>
      <c r="D51" s="17"/>
      <c r="E51" s="17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52"/>
      <c r="R51" s="52"/>
      <c r="S51" s="52"/>
      <c r="T51" s="54"/>
      <c r="U51" s="54"/>
      <c r="V51" s="54"/>
      <c r="W51" s="54"/>
      <c r="X51" s="54"/>
      <c r="Y51" s="54"/>
      <c r="Z51" s="41"/>
      <c r="AA51" s="41"/>
      <c r="AB51" s="41" t="s">
        <v>1284</v>
      </c>
      <c r="AC51" s="41"/>
      <c r="AD51" s="41" t="s">
        <v>1284</v>
      </c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</row>
    <row r="52" spans="1:52" ht="20.100000000000001" customHeight="1" x14ac:dyDescent="0.25">
      <c r="A52" s="38">
        <v>51</v>
      </c>
      <c r="B52" s="45" t="s">
        <v>1270</v>
      </c>
      <c r="C52" s="16"/>
      <c r="D52" s="17"/>
      <c r="E52" s="17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52"/>
      <c r="R52" s="52"/>
      <c r="S52" s="52"/>
      <c r="T52" s="54"/>
      <c r="U52" s="54"/>
      <c r="V52" s="54"/>
      <c r="W52" s="54"/>
      <c r="X52" s="54"/>
      <c r="Y52" s="54"/>
      <c r="Z52" s="41"/>
      <c r="AA52" s="41"/>
      <c r="AB52" s="41" t="s">
        <v>1285</v>
      </c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</row>
    <row r="53" spans="1:52" ht="20.100000000000001" customHeight="1" x14ac:dyDescent="0.25">
      <c r="A53" s="38">
        <v>52</v>
      </c>
      <c r="B53" s="45" t="s">
        <v>1271</v>
      </c>
      <c r="C53" s="16"/>
      <c r="D53" s="17"/>
      <c r="E53" s="17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52"/>
      <c r="R53" s="52"/>
      <c r="S53" s="52"/>
      <c r="T53" s="54"/>
      <c r="U53" s="54"/>
      <c r="V53" s="54"/>
      <c r="W53" s="54"/>
      <c r="X53" s="54"/>
      <c r="Y53" s="54"/>
      <c r="Z53" s="41"/>
      <c r="AA53" s="41"/>
      <c r="AB53" s="41" t="s">
        <v>1231</v>
      </c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</row>
    <row r="54" spans="1:52" ht="20.100000000000001" customHeight="1" x14ac:dyDescent="0.25">
      <c r="A54" s="38">
        <v>53</v>
      </c>
      <c r="B54" s="45" t="s">
        <v>1272</v>
      </c>
      <c r="C54" s="16"/>
      <c r="D54" s="17"/>
      <c r="E54" s="17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52"/>
      <c r="R54" s="52"/>
      <c r="S54" s="52"/>
      <c r="T54" s="54"/>
      <c r="U54" s="54"/>
      <c r="V54" s="54"/>
      <c r="W54" s="54"/>
      <c r="X54" s="54"/>
      <c r="Y54" s="54"/>
      <c r="Z54" s="41"/>
      <c r="AA54" s="41"/>
      <c r="AB54" s="41" t="s">
        <v>1232</v>
      </c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</row>
    <row r="55" spans="1:52" ht="20.100000000000001" customHeight="1" x14ac:dyDescent="0.25">
      <c r="A55" s="38">
        <v>54</v>
      </c>
      <c r="B55" s="45" t="s">
        <v>1273</v>
      </c>
      <c r="C55" s="16"/>
      <c r="D55" s="17"/>
      <c r="E55" s="17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52"/>
      <c r="R55" s="52"/>
      <c r="S55" s="52"/>
      <c r="T55" s="54"/>
      <c r="U55" s="54"/>
      <c r="V55" s="54"/>
      <c r="W55" s="54"/>
      <c r="X55" s="54"/>
      <c r="Y55" s="54"/>
      <c r="Z55" s="41"/>
      <c r="AA55" s="41"/>
      <c r="AB55" s="41" t="s">
        <v>1233</v>
      </c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</row>
    <row r="56" spans="1:52" ht="20.100000000000001" customHeight="1" x14ac:dyDescent="0.25">
      <c r="A56" s="38">
        <v>55</v>
      </c>
      <c r="B56" s="45" t="s">
        <v>1274</v>
      </c>
      <c r="C56" s="16"/>
      <c r="D56" s="17"/>
      <c r="E56" s="17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52"/>
      <c r="R56" s="52"/>
      <c r="S56" s="52"/>
      <c r="T56" s="54"/>
      <c r="U56" s="54"/>
      <c r="V56" s="54"/>
      <c r="W56" s="54"/>
      <c r="X56" s="54"/>
      <c r="Y56" s="54"/>
      <c r="Z56" s="41"/>
      <c r="AA56" s="41"/>
      <c r="AB56" s="41" t="s">
        <v>1286</v>
      </c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</row>
    <row r="57" spans="1:52" ht="20.100000000000001" customHeight="1" x14ac:dyDescent="0.25">
      <c r="A57" s="38">
        <v>56</v>
      </c>
      <c r="B57" s="45" t="s">
        <v>1070</v>
      </c>
      <c r="C57" s="16"/>
      <c r="D57" s="17"/>
      <c r="E57" s="17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52"/>
      <c r="R57" s="52"/>
      <c r="S57" s="52"/>
      <c r="T57" s="54"/>
      <c r="U57" s="54"/>
      <c r="V57" s="54"/>
      <c r="W57" s="54"/>
      <c r="X57" s="54"/>
      <c r="Y57" s="54"/>
      <c r="Z57" s="41"/>
      <c r="AA57" s="41"/>
      <c r="AB57" s="41" t="s">
        <v>1287</v>
      </c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</row>
    <row r="58" spans="1:52" ht="20.100000000000001" customHeight="1" x14ac:dyDescent="0.25">
      <c r="A58" s="38">
        <v>57</v>
      </c>
      <c r="B58" s="45" t="s">
        <v>1275</v>
      </c>
      <c r="C58" s="16"/>
      <c r="D58" s="17"/>
      <c r="E58" s="17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52"/>
      <c r="R58" s="52"/>
      <c r="S58" s="52"/>
      <c r="T58" s="54"/>
      <c r="U58" s="54"/>
      <c r="V58" s="54"/>
      <c r="W58" s="54"/>
      <c r="X58" s="54"/>
      <c r="Y58" s="54"/>
      <c r="Z58" s="41"/>
      <c r="AA58" s="41"/>
      <c r="AB58" s="41" t="s">
        <v>1288</v>
      </c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</row>
    <row r="59" spans="1:52" ht="20.100000000000001" customHeight="1" x14ac:dyDescent="0.25">
      <c r="A59" s="38">
        <v>58</v>
      </c>
      <c r="B59" s="45" t="s">
        <v>1276</v>
      </c>
      <c r="C59" s="16"/>
      <c r="D59" s="17"/>
      <c r="E59" s="17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52"/>
      <c r="R59" s="52"/>
      <c r="S59" s="52"/>
      <c r="T59" s="54"/>
      <c r="U59" s="54"/>
      <c r="V59" s="54"/>
      <c r="W59" s="54"/>
      <c r="X59" s="54"/>
      <c r="Y59" s="54"/>
      <c r="Z59" s="41"/>
      <c r="AA59" s="41"/>
      <c r="AB59" s="41" t="s">
        <v>1289</v>
      </c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</row>
    <row r="60" spans="1:52" ht="20.100000000000001" customHeight="1" x14ac:dyDescent="0.25">
      <c r="A60" s="38">
        <v>59</v>
      </c>
      <c r="B60" s="39" t="s">
        <v>1071</v>
      </c>
      <c r="C60" s="16"/>
      <c r="D60" s="17"/>
      <c r="E60" s="17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52"/>
      <c r="R60" s="52"/>
      <c r="S60" s="52"/>
      <c r="T60" s="54"/>
      <c r="U60" s="54"/>
      <c r="V60" s="54"/>
      <c r="W60" s="54"/>
      <c r="X60" s="54"/>
      <c r="Y60" s="54"/>
      <c r="Z60" s="41"/>
      <c r="AA60" s="41"/>
      <c r="AB60" s="41" t="s">
        <v>1234</v>
      </c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</row>
    <row r="61" spans="1:52" ht="20.100000000000001" customHeight="1" x14ac:dyDescent="0.25">
      <c r="A61" s="38">
        <v>60</v>
      </c>
      <c r="B61" s="39" t="s">
        <v>1277</v>
      </c>
      <c r="C61" s="16"/>
      <c r="D61" s="17"/>
      <c r="E61" s="17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52"/>
      <c r="R61" s="52"/>
      <c r="S61" s="52"/>
      <c r="T61" s="54"/>
      <c r="U61" s="54"/>
      <c r="V61" s="54"/>
      <c r="W61" s="54"/>
      <c r="X61" s="54"/>
      <c r="Y61" s="54"/>
      <c r="Z61" s="41"/>
      <c r="AA61" s="41"/>
      <c r="AB61" s="41" t="s">
        <v>1290</v>
      </c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</row>
    <row r="62" spans="1:52" ht="20.100000000000001" customHeight="1" x14ac:dyDescent="0.25">
      <c r="A62" s="38">
        <v>61</v>
      </c>
      <c r="B62" s="39" t="s">
        <v>1278</v>
      </c>
      <c r="C62" s="16"/>
      <c r="D62" s="17"/>
      <c r="E62" s="17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52"/>
      <c r="R62" s="52"/>
      <c r="S62" s="52"/>
      <c r="T62" s="54"/>
      <c r="U62" s="54"/>
      <c r="V62" s="54"/>
      <c r="W62" s="54"/>
      <c r="X62" s="54"/>
      <c r="Y62" s="54"/>
      <c r="Z62" s="41"/>
      <c r="AA62" s="41"/>
      <c r="AB62" s="41" t="s">
        <v>1291</v>
      </c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</row>
    <row r="63" spans="1:52" ht="20.100000000000001" customHeight="1" x14ac:dyDescent="0.25">
      <c r="A63" s="38">
        <v>62</v>
      </c>
      <c r="B63" s="39" t="s">
        <v>1072</v>
      </c>
      <c r="C63" s="16"/>
      <c r="D63" s="17"/>
      <c r="E63" s="17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52"/>
      <c r="R63" s="52"/>
      <c r="S63" s="52"/>
      <c r="T63" s="54"/>
      <c r="U63" s="54"/>
      <c r="V63" s="54"/>
      <c r="W63" s="54"/>
      <c r="X63" s="54"/>
      <c r="Y63" s="54"/>
      <c r="Z63" s="41"/>
      <c r="AA63" s="41"/>
      <c r="AB63" s="41" t="s">
        <v>1293</v>
      </c>
      <c r="AC63" s="41"/>
      <c r="AD63" s="41" t="s">
        <v>1293</v>
      </c>
      <c r="AE63" s="41"/>
      <c r="AF63" s="41"/>
      <c r="AG63" s="41" t="s">
        <v>1292</v>
      </c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</row>
    <row r="64" spans="1:52" ht="20.100000000000001" customHeight="1" x14ac:dyDescent="0.25">
      <c r="A64" s="38">
        <v>63</v>
      </c>
      <c r="B64" s="39" t="s">
        <v>1279</v>
      </c>
      <c r="C64" s="16"/>
      <c r="D64" s="17"/>
      <c r="E64" s="17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52"/>
      <c r="R64" s="52"/>
      <c r="S64" s="52"/>
      <c r="T64" s="54"/>
      <c r="U64" s="54"/>
      <c r="V64" s="54"/>
      <c r="W64" s="54"/>
      <c r="X64" s="54"/>
      <c r="Y64" s="54"/>
      <c r="Z64" s="41"/>
      <c r="AA64" s="41"/>
      <c r="AB64" s="41" t="s">
        <v>1235</v>
      </c>
      <c r="AC64" s="41"/>
      <c r="AD64" s="41" t="s">
        <v>1235</v>
      </c>
      <c r="AE64" s="41"/>
      <c r="AF64" s="41"/>
      <c r="AG64" s="41" t="s">
        <v>1235</v>
      </c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</row>
    <row r="65" spans="1:52" ht="20.100000000000001" customHeight="1" x14ac:dyDescent="0.25">
      <c r="A65" s="38">
        <v>64</v>
      </c>
      <c r="B65" s="39" t="s">
        <v>1280</v>
      </c>
      <c r="C65" s="16"/>
      <c r="D65" s="17"/>
      <c r="E65" s="17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52"/>
      <c r="R65" s="52"/>
      <c r="S65" s="52"/>
      <c r="T65" s="54"/>
      <c r="U65" s="54"/>
      <c r="V65" s="54"/>
      <c r="W65" s="54"/>
      <c r="X65" s="54"/>
      <c r="Y65" s="54"/>
      <c r="Z65" s="41"/>
      <c r="AA65" s="41"/>
      <c r="AB65" s="41" t="s">
        <v>1235</v>
      </c>
      <c r="AC65" s="41"/>
      <c r="AD65" s="41" t="s">
        <v>1235</v>
      </c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</row>
    <row r="66" spans="1:52" ht="20.100000000000001" customHeight="1" x14ac:dyDescent="0.25">
      <c r="A66" s="38">
        <v>65</v>
      </c>
      <c r="B66" s="39" t="s">
        <v>1281</v>
      </c>
      <c r="C66" s="16"/>
      <c r="D66" s="17"/>
      <c r="E66" s="17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52"/>
      <c r="R66" s="52"/>
      <c r="S66" s="52"/>
      <c r="T66" s="54"/>
      <c r="U66" s="54"/>
      <c r="V66" s="54"/>
      <c r="W66" s="54"/>
      <c r="X66" s="54"/>
      <c r="Y66" s="54"/>
      <c r="Z66" s="41"/>
      <c r="AA66" s="41"/>
      <c r="AB66" s="41" t="s">
        <v>1294</v>
      </c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</row>
    <row r="67" spans="1:52" ht="20.100000000000001" customHeight="1" x14ac:dyDescent="0.25">
      <c r="A67" s="38">
        <v>66</v>
      </c>
      <c r="B67" s="39" t="s">
        <v>1282</v>
      </c>
      <c r="C67" s="16"/>
      <c r="D67" s="17"/>
      <c r="E67" s="17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52"/>
      <c r="R67" s="52"/>
      <c r="S67" s="52"/>
      <c r="T67" s="54"/>
      <c r="U67" s="54"/>
      <c r="V67" s="54"/>
      <c r="W67" s="54"/>
      <c r="X67" s="54"/>
      <c r="Y67" s="54"/>
      <c r="Z67" s="41"/>
      <c r="AA67" s="41"/>
      <c r="AB67" s="41" t="s">
        <v>1295</v>
      </c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</row>
    <row r="68" spans="1:52" ht="20.100000000000001" customHeight="1" x14ac:dyDescent="0.25">
      <c r="A68" s="38">
        <v>68</v>
      </c>
      <c r="B68" s="39" t="s">
        <v>1296</v>
      </c>
      <c r="C68" s="16"/>
      <c r="D68" s="17"/>
      <c r="E68" s="17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52"/>
      <c r="R68" s="52"/>
      <c r="S68" s="52"/>
      <c r="T68" s="54"/>
      <c r="U68" s="54"/>
      <c r="V68" s="54"/>
      <c r="W68" s="54"/>
      <c r="X68" s="54"/>
      <c r="Y68" s="54"/>
      <c r="Z68" s="41"/>
      <c r="AA68" s="41"/>
      <c r="AB68" s="41" t="s">
        <v>1308</v>
      </c>
      <c r="AC68" s="41"/>
      <c r="AD68" s="41"/>
      <c r="AE68" s="41"/>
      <c r="AF68" s="41"/>
      <c r="AG68" s="41" t="s">
        <v>1309</v>
      </c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</row>
    <row r="69" spans="1:52" ht="20.100000000000001" customHeight="1" x14ac:dyDescent="0.25">
      <c r="A69" s="38">
        <v>69</v>
      </c>
      <c r="B69" s="39" t="s">
        <v>1297</v>
      </c>
      <c r="C69" s="16"/>
      <c r="D69" s="17"/>
      <c r="E69" s="17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52"/>
      <c r="R69" s="52"/>
      <c r="S69" s="52"/>
      <c r="T69" s="54"/>
      <c r="U69" s="54"/>
      <c r="V69" s="54"/>
      <c r="W69" s="54"/>
      <c r="X69" s="54"/>
      <c r="Y69" s="54"/>
      <c r="Z69" s="41"/>
      <c r="AA69" s="41"/>
      <c r="AB69" s="41" t="s">
        <v>1310</v>
      </c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</row>
    <row r="70" spans="1:52" ht="20.100000000000001" customHeight="1" x14ac:dyDescent="0.25">
      <c r="A70" s="38">
        <v>70</v>
      </c>
      <c r="B70" s="39" t="s">
        <v>1236</v>
      </c>
      <c r="C70" s="16"/>
      <c r="D70" s="17"/>
      <c r="E70" s="17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52"/>
      <c r="R70" s="52"/>
      <c r="S70" s="52"/>
      <c r="T70" s="54"/>
      <c r="U70" s="54"/>
      <c r="V70" s="54"/>
      <c r="W70" s="54"/>
      <c r="X70" s="54"/>
      <c r="Y70" s="54"/>
      <c r="Z70" s="41"/>
      <c r="AA70" s="41"/>
      <c r="AB70" s="41" t="s">
        <v>1244</v>
      </c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</row>
    <row r="71" spans="1:52" ht="20.100000000000001" customHeight="1" x14ac:dyDescent="0.25">
      <c r="A71" s="38">
        <v>71</v>
      </c>
      <c r="B71" s="39" t="s">
        <v>1298</v>
      </c>
      <c r="C71" s="16"/>
      <c r="D71" s="17"/>
      <c r="E71" s="17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52"/>
      <c r="R71" s="52"/>
      <c r="S71" s="52"/>
      <c r="T71" s="54"/>
      <c r="U71" s="54"/>
      <c r="V71" s="54"/>
      <c r="W71" s="54"/>
      <c r="X71" s="54"/>
      <c r="Y71" s="54"/>
      <c r="Z71" s="41"/>
      <c r="AA71" s="41"/>
      <c r="AB71" s="58" t="s">
        <v>1311</v>
      </c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</row>
    <row r="72" spans="1:52" ht="20.100000000000001" customHeight="1" x14ac:dyDescent="0.25">
      <c r="A72" s="38">
        <v>72</v>
      </c>
      <c r="B72" s="39" t="s">
        <v>1299</v>
      </c>
      <c r="C72" s="16"/>
      <c r="D72" s="17"/>
      <c r="E72" s="17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52"/>
      <c r="R72" s="52"/>
      <c r="S72" s="52"/>
      <c r="T72" s="54"/>
      <c r="U72" s="54"/>
      <c r="V72" s="54"/>
      <c r="W72" s="54"/>
      <c r="X72" s="54"/>
      <c r="Y72" s="54"/>
      <c r="Z72" s="41"/>
      <c r="AA72" s="41"/>
      <c r="AB72" s="58" t="s">
        <v>1311</v>
      </c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</row>
    <row r="73" spans="1:52" ht="20.100000000000001" customHeight="1" x14ac:dyDescent="0.25">
      <c r="A73" s="38">
        <v>73</v>
      </c>
      <c r="B73" s="39" t="s">
        <v>1300</v>
      </c>
      <c r="C73" s="16"/>
      <c r="D73" s="17"/>
      <c r="E73" s="17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52"/>
      <c r="R73" s="52"/>
      <c r="S73" s="52"/>
      <c r="T73" s="54"/>
      <c r="U73" s="54"/>
      <c r="V73" s="54"/>
      <c r="W73" s="54"/>
      <c r="X73" s="54"/>
      <c r="Y73" s="54"/>
      <c r="Z73" s="41"/>
      <c r="AA73" s="41"/>
      <c r="AB73" s="41" t="s">
        <v>1245</v>
      </c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</row>
    <row r="74" spans="1:52" ht="20.100000000000001" customHeight="1" x14ac:dyDescent="0.25">
      <c r="A74" s="38">
        <v>74</v>
      </c>
      <c r="B74" s="39" t="s">
        <v>1301</v>
      </c>
      <c r="C74" s="16"/>
      <c r="D74" s="17"/>
      <c r="E74" s="17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52"/>
      <c r="R74" s="52"/>
      <c r="S74" s="52"/>
      <c r="T74" s="54"/>
      <c r="U74" s="54"/>
      <c r="V74" s="54"/>
      <c r="W74" s="54"/>
      <c r="X74" s="54"/>
      <c r="Y74" s="54"/>
      <c r="Z74" s="41"/>
      <c r="AA74" s="41"/>
      <c r="AB74" s="41" t="s">
        <v>1246</v>
      </c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</row>
    <row r="75" spans="1:52" ht="20.100000000000001" customHeight="1" x14ac:dyDescent="0.25">
      <c r="A75" s="38">
        <v>75</v>
      </c>
      <c r="B75" s="39" t="s">
        <v>1302</v>
      </c>
      <c r="C75" s="16"/>
      <c r="D75" s="17"/>
      <c r="E75" s="17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52"/>
      <c r="R75" s="52"/>
      <c r="S75" s="52"/>
      <c r="T75" s="54"/>
      <c r="U75" s="54"/>
      <c r="V75" s="54"/>
      <c r="W75" s="54"/>
      <c r="X75" s="54"/>
      <c r="Y75" s="54"/>
      <c r="Z75" s="41"/>
      <c r="AA75" s="41"/>
      <c r="AB75" s="41" t="s">
        <v>1312</v>
      </c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</row>
    <row r="76" spans="1:52" ht="20.100000000000001" customHeight="1" x14ac:dyDescent="0.25">
      <c r="A76" s="38">
        <v>76</v>
      </c>
      <c r="B76" s="39" t="s">
        <v>1303</v>
      </c>
      <c r="C76" s="16"/>
      <c r="D76" s="17"/>
      <c r="E76" s="17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52"/>
      <c r="R76" s="52"/>
      <c r="S76" s="52"/>
      <c r="T76" s="54"/>
      <c r="U76" s="54"/>
      <c r="V76" s="54"/>
      <c r="W76" s="54"/>
      <c r="X76" s="54"/>
      <c r="Y76" s="54"/>
      <c r="Z76" s="41"/>
      <c r="AA76" s="41"/>
      <c r="AB76" s="41" t="s">
        <v>1313</v>
      </c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</row>
    <row r="77" spans="1:52" ht="20.100000000000001" customHeight="1" x14ac:dyDescent="0.25">
      <c r="A77" s="38">
        <v>77</v>
      </c>
      <c r="B77" s="39" t="s">
        <v>1304</v>
      </c>
      <c r="C77" s="16"/>
      <c r="D77" s="17"/>
      <c r="E77" s="17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52"/>
      <c r="R77" s="52"/>
      <c r="S77" s="52"/>
      <c r="T77" s="54"/>
      <c r="U77" s="54"/>
      <c r="V77" s="54"/>
      <c r="W77" s="54"/>
      <c r="X77" s="54"/>
      <c r="Y77" s="54"/>
      <c r="Z77" s="41"/>
      <c r="AA77" s="41"/>
      <c r="AB77" s="41" t="s">
        <v>1248</v>
      </c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</row>
    <row r="78" spans="1:52" ht="20.100000000000001" customHeight="1" x14ac:dyDescent="0.25">
      <c r="A78" s="38">
        <v>78</v>
      </c>
      <c r="B78" s="39" t="s">
        <v>1241</v>
      </c>
      <c r="C78" s="16"/>
      <c r="D78" s="17"/>
      <c r="E78" s="17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52"/>
      <c r="R78" s="52"/>
      <c r="S78" s="52"/>
      <c r="T78" s="54"/>
      <c r="U78" s="54"/>
      <c r="V78" s="54"/>
      <c r="W78" s="54"/>
      <c r="X78" s="54"/>
      <c r="Y78" s="54"/>
      <c r="Z78" s="41"/>
      <c r="AA78" s="41"/>
      <c r="AB78" s="41" t="s">
        <v>1249</v>
      </c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</row>
    <row r="79" spans="1:52" ht="20.100000000000001" customHeight="1" x14ac:dyDescent="0.25">
      <c r="A79" s="38">
        <v>79</v>
      </c>
      <c r="B79" s="39" t="s">
        <v>632</v>
      </c>
      <c r="C79" s="16"/>
      <c r="D79" s="17"/>
      <c r="E79" s="17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52"/>
      <c r="R79" s="52"/>
      <c r="S79" s="52"/>
      <c r="T79" s="54"/>
      <c r="U79" s="54"/>
      <c r="V79" s="54"/>
      <c r="W79" s="54"/>
      <c r="X79" s="54"/>
      <c r="Y79" s="54"/>
      <c r="Z79" s="41"/>
      <c r="AA79" s="41"/>
      <c r="AB79" s="41" t="s">
        <v>1250</v>
      </c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</row>
    <row r="80" spans="1:52" ht="20.100000000000001" customHeight="1" x14ac:dyDescent="0.25">
      <c r="A80" s="38">
        <v>80</v>
      </c>
      <c r="B80" s="39" t="s">
        <v>1305</v>
      </c>
      <c r="C80" s="16"/>
      <c r="D80" s="17"/>
      <c r="E80" s="17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52"/>
      <c r="R80" s="52"/>
      <c r="S80" s="52"/>
      <c r="T80" s="54"/>
      <c r="U80" s="54"/>
      <c r="V80" s="54"/>
      <c r="W80" s="54"/>
      <c r="X80" s="54"/>
      <c r="Y80" s="54"/>
      <c r="Z80" s="41"/>
      <c r="AA80" s="41"/>
      <c r="AB80" s="41" t="s">
        <v>1314</v>
      </c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</row>
    <row r="81" spans="1:52" ht="20.100000000000001" customHeight="1" x14ac:dyDescent="0.25">
      <c r="A81" s="38">
        <v>81</v>
      </c>
      <c r="B81" s="39" t="s">
        <v>1306</v>
      </c>
      <c r="C81" s="16"/>
      <c r="D81" s="17"/>
      <c r="E81" s="17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52"/>
      <c r="R81" s="52"/>
      <c r="S81" s="52"/>
      <c r="T81" s="54"/>
      <c r="U81" s="54"/>
      <c r="V81" s="54"/>
      <c r="W81" s="54"/>
      <c r="X81" s="54"/>
      <c r="Y81" s="54"/>
      <c r="Z81" s="41"/>
      <c r="AA81" s="41"/>
      <c r="AB81" s="41" t="s">
        <v>1252</v>
      </c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</row>
    <row r="82" spans="1:52" ht="20.100000000000001" customHeight="1" x14ac:dyDescent="0.25">
      <c r="A82" s="38">
        <v>82</v>
      </c>
      <c r="B82" s="39" t="s">
        <v>1307</v>
      </c>
      <c r="C82" s="16"/>
      <c r="D82" s="17"/>
      <c r="E82" s="17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52"/>
      <c r="R82" s="52"/>
      <c r="S82" s="52"/>
      <c r="T82" s="54"/>
      <c r="U82" s="54"/>
      <c r="V82" s="54"/>
      <c r="W82" s="54"/>
      <c r="X82" s="54"/>
      <c r="Y82" s="54"/>
      <c r="Z82" s="41"/>
      <c r="AA82" s="41"/>
      <c r="AB82" s="41"/>
      <c r="AC82" s="41"/>
      <c r="AD82" s="41" t="s">
        <v>1315</v>
      </c>
      <c r="AE82" s="41"/>
      <c r="AF82" s="41"/>
      <c r="AG82" s="41" t="s">
        <v>1315</v>
      </c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</row>
    <row r="83" spans="1:52" ht="20.100000000000001" customHeight="1" x14ac:dyDescent="0.25">
      <c r="A83" s="38">
        <v>83</v>
      </c>
      <c r="B83" s="39" t="s">
        <v>1316</v>
      </c>
      <c r="C83" s="16"/>
      <c r="D83" s="17"/>
      <c r="E83" s="17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52"/>
      <c r="R83" s="52"/>
      <c r="S83" s="52"/>
      <c r="T83" s="54"/>
      <c r="U83" s="54"/>
      <c r="V83" s="54"/>
      <c r="W83" s="54"/>
      <c r="X83" s="54"/>
      <c r="Y83" s="54"/>
      <c r="Z83" s="41"/>
      <c r="AA83" s="41"/>
      <c r="AB83" s="41"/>
      <c r="AC83" s="41"/>
      <c r="AD83" s="41" t="s">
        <v>1320</v>
      </c>
      <c r="AE83" s="41"/>
      <c r="AF83" s="41"/>
      <c r="AG83" s="41" t="s">
        <v>1320</v>
      </c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</row>
    <row r="84" spans="1:52" ht="20.100000000000001" customHeight="1" x14ac:dyDescent="0.25">
      <c r="A84" s="38">
        <v>84</v>
      </c>
      <c r="B84" s="39" t="s">
        <v>1317</v>
      </c>
      <c r="C84" s="16"/>
      <c r="D84" s="17"/>
      <c r="E84" s="17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52"/>
      <c r="R84" s="52"/>
      <c r="S84" s="52"/>
      <c r="T84" s="54"/>
      <c r="U84" s="54"/>
      <c r="V84" s="54"/>
      <c r="W84" s="54"/>
      <c r="X84" s="54"/>
      <c r="Y84" s="54"/>
      <c r="Z84" s="41"/>
      <c r="AA84" s="41"/>
      <c r="AB84" s="41"/>
      <c r="AC84" s="41"/>
      <c r="AD84" s="41" t="s">
        <v>1321</v>
      </c>
      <c r="AE84" s="41"/>
      <c r="AF84" s="41"/>
      <c r="AG84" s="41" t="s">
        <v>1322</v>
      </c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</row>
    <row r="85" spans="1:52" ht="20.100000000000001" customHeight="1" x14ac:dyDescent="0.25">
      <c r="A85" s="38">
        <v>85</v>
      </c>
      <c r="B85" s="39" t="s">
        <v>1318</v>
      </c>
      <c r="C85" s="16"/>
      <c r="D85" s="17"/>
      <c r="E85" s="17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52"/>
      <c r="R85" s="52"/>
      <c r="S85" s="52"/>
      <c r="T85" s="54"/>
      <c r="U85" s="54"/>
      <c r="V85" s="54"/>
      <c r="W85" s="54"/>
      <c r="X85" s="54"/>
      <c r="Y85" s="54"/>
      <c r="Z85" s="41"/>
      <c r="AA85" s="41"/>
      <c r="AB85" s="41"/>
      <c r="AC85" s="41"/>
      <c r="AD85" s="41" t="s">
        <v>1321</v>
      </c>
      <c r="AE85" s="41"/>
      <c r="AF85" s="41"/>
      <c r="AG85" s="41" t="s">
        <v>1322</v>
      </c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</row>
    <row r="86" spans="1:52" ht="20.100000000000001" customHeight="1" x14ac:dyDescent="0.25">
      <c r="A86" s="38">
        <v>86</v>
      </c>
      <c r="B86" s="39" t="s">
        <v>262</v>
      </c>
      <c r="C86" s="16"/>
      <c r="D86" s="17"/>
      <c r="E86" s="17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52"/>
      <c r="R86" s="52"/>
      <c r="S86" s="52"/>
      <c r="T86" s="54"/>
      <c r="U86" s="54"/>
      <c r="V86" s="54"/>
      <c r="W86" s="54"/>
      <c r="X86" s="54"/>
      <c r="Y86" s="54"/>
      <c r="Z86" s="41"/>
      <c r="AA86" s="41"/>
      <c r="AB86" s="41"/>
      <c r="AC86" s="41"/>
      <c r="AD86" s="41" t="s">
        <v>1321</v>
      </c>
      <c r="AE86" s="41"/>
      <c r="AF86" s="41"/>
      <c r="AG86" s="41" t="s">
        <v>1322</v>
      </c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</row>
    <row r="87" spans="1:52" ht="20.100000000000001" customHeight="1" x14ac:dyDescent="0.25">
      <c r="A87" s="38">
        <v>87</v>
      </c>
      <c r="B87" s="39" t="s">
        <v>1319</v>
      </c>
      <c r="C87" s="16"/>
      <c r="D87" s="17"/>
      <c r="E87" s="17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52"/>
      <c r="R87" s="52"/>
      <c r="S87" s="52"/>
      <c r="T87" s="54"/>
      <c r="U87" s="54"/>
      <c r="V87" s="54"/>
      <c r="W87" s="54"/>
      <c r="X87" s="54"/>
      <c r="Y87" s="54"/>
      <c r="Z87" s="41"/>
      <c r="AA87" s="41" t="s">
        <v>1323</v>
      </c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</row>
    <row r="88" spans="1:52" ht="20.100000000000001" customHeight="1" x14ac:dyDescent="0.25">
      <c r="A88" s="38">
        <v>88</v>
      </c>
      <c r="B88" s="39" t="s">
        <v>242</v>
      </c>
      <c r="C88" s="16"/>
      <c r="D88" s="17"/>
      <c r="E88" s="17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52"/>
      <c r="R88" s="52"/>
      <c r="S88" s="52"/>
      <c r="T88" s="54"/>
      <c r="U88" s="54"/>
      <c r="V88" s="54"/>
      <c r="W88" s="54"/>
      <c r="X88" s="54"/>
      <c r="Y88" s="54"/>
      <c r="Z88" s="41"/>
      <c r="AA88" s="41" t="s">
        <v>1324</v>
      </c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</row>
    <row r="89" spans="1:52" ht="20.100000000000001" customHeight="1" x14ac:dyDescent="0.25">
      <c r="A89" s="38">
        <v>89</v>
      </c>
      <c r="B89" s="39" t="s">
        <v>256</v>
      </c>
      <c r="C89" s="16"/>
      <c r="D89" s="17"/>
      <c r="E89" s="17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52"/>
      <c r="R89" s="52"/>
      <c r="S89" s="52"/>
      <c r="T89" s="54"/>
      <c r="U89" s="54"/>
      <c r="V89" s="54"/>
      <c r="W89" s="54"/>
      <c r="X89" s="54"/>
      <c r="Y89" s="54"/>
      <c r="Z89" s="41"/>
      <c r="AA89" s="41" t="s">
        <v>1325</v>
      </c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</row>
    <row r="90" spans="1:52" ht="20.100000000000001" customHeight="1" x14ac:dyDescent="0.25">
      <c r="A90" s="38">
        <v>90</v>
      </c>
      <c r="B90" s="39" t="s">
        <v>246</v>
      </c>
      <c r="C90" s="16"/>
      <c r="D90" s="17"/>
      <c r="E90" s="17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52"/>
      <c r="R90" s="52"/>
      <c r="S90" s="52"/>
      <c r="T90" s="54"/>
      <c r="U90" s="54"/>
      <c r="V90" s="54"/>
      <c r="W90" s="54"/>
      <c r="X90" s="54"/>
      <c r="Y90" s="54"/>
      <c r="Z90" s="41"/>
      <c r="AA90" s="41" t="s">
        <v>1325</v>
      </c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</row>
    <row r="91" spans="1:52" ht="20.100000000000001" customHeight="1" x14ac:dyDescent="0.25">
      <c r="A91" s="38">
        <v>91</v>
      </c>
      <c r="B91" s="39" t="s">
        <v>530</v>
      </c>
      <c r="C91" s="16"/>
      <c r="D91" s="17"/>
      <c r="E91" s="17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52"/>
      <c r="R91" s="52"/>
      <c r="S91" s="52"/>
      <c r="T91" s="54"/>
      <c r="U91" s="54"/>
      <c r="V91" s="54"/>
      <c r="W91" s="54"/>
      <c r="X91" s="54"/>
      <c r="Y91" s="54"/>
      <c r="Z91" s="41"/>
      <c r="AA91" s="41" t="s">
        <v>1325</v>
      </c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</row>
    <row r="92" spans="1:52" ht="20.100000000000001" customHeight="1" x14ac:dyDescent="0.25">
      <c r="A92" s="38">
        <v>92</v>
      </c>
      <c r="B92" s="39" t="s">
        <v>232</v>
      </c>
      <c r="C92" s="16"/>
      <c r="D92" s="17"/>
      <c r="E92" s="17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52"/>
      <c r="R92" s="52"/>
      <c r="S92" s="52"/>
      <c r="T92" s="54"/>
      <c r="U92" s="54"/>
      <c r="V92" s="54"/>
      <c r="W92" s="54"/>
      <c r="X92" s="54"/>
      <c r="Y92" s="54"/>
      <c r="Z92" s="41"/>
      <c r="AA92" s="41" t="s">
        <v>1325</v>
      </c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</row>
    <row r="93" spans="1:52" ht="20.100000000000001" customHeight="1" x14ac:dyDescent="0.25">
      <c r="A93" s="38">
        <v>93</v>
      </c>
      <c r="B93" s="39" t="s">
        <v>1326</v>
      </c>
      <c r="C93" s="16"/>
      <c r="D93" s="17"/>
      <c r="E93" s="17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52"/>
      <c r="R93" s="52"/>
      <c r="S93" s="52"/>
      <c r="T93" s="54"/>
      <c r="U93" s="54"/>
      <c r="V93" s="54"/>
      <c r="W93" s="54"/>
      <c r="X93" s="54"/>
      <c r="Y93" s="54"/>
      <c r="Z93" s="41"/>
      <c r="AA93" s="41"/>
      <c r="AB93" s="41"/>
      <c r="AC93" s="41"/>
      <c r="AD93" s="41"/>
      <c r="AE93" s="41"/>
      <c r="AF93" s="41"/>
      <c r="AG93" s="41"/>
      <c r="AH93" s="41" t="s">
        <v>1329</v>
      </c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</row>
    <row r="94" spans="1:52" ht="20.100000000000001" customHeight="1" x14ac:dyDescent="0.25">
      <c r="A94" s="38">
        <v>94</v>
      </c>
      <c r="B94" s="39" t="s">
        <v>1327</v>
      </c>
      <c r="C94" s="16"/>
      <c r="D94" s="17"/>
      <c r="E94" s="17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52"/>
      <c r="R94" s="52"/>
      <c r="S94" s="52"/>
      <c r="T94" s="54"/>
      <c r="U94" s="54"/>
      <c r="V94" s="54"/>
      <c r="W94" s="54"/>
      <c r="X94" s="54"/>
      <c r="Y94" s="54"/>
      <c r="Z94" s="41"/>
      <c r="AA94" s="41"/>
      <c r="AB94" s="41"/>
      <c r="AC94" s="41"/>
      <c r="AD94" s="41"/>
      <c r="AE94" s="41"/>
      <c r="AF94" s="41"/>
      <c r="AG94" s="41"/>
      <c r="AH94" s="41"/>
      <c r="AI94" s="41" t="s">
        <v>1330</v>
      </c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</row>
    <row r="95" spans="1:52" ht="20.100000000000001" customHeight="1" x14ac:dyDescent="0.25">
      <c r="A95" s="38">
        <v>95</v>
      </c>
      <c r="B95" s="39" t="s">
        <v>1328</v>
      </c>
      <c r="C95" s="16"/>
      <c r="D95" s="17"/>
      <c r="E95" s="17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52"/>
      <c r="R95" s="52"/>
      <c r="S95" s="52"/>
      <c r="T95" s="54"/>
      <c r="U95" s="54"/>
      <c r="V95" s="54"/>
      <c r="W95" s="54"/>
      <c r="X95" s="54"/>
      <c r="Y95" s="54"/>
      <c r="Z95" s="41"/>
      <c r="AA95" s="41"/>
      <c r="AB95" s="41"/>
      <c r="AC95" s="41"/>
      <c r="AD95" s="41"/>
      <c r="AE95" s="41"/>
      <c r="AF95" s="41"/>
      <c r="AG95" s="41"/>
      <c r="AH95" s="41"/>
      <c r="AI95" s="41" t="s">
        <v>1331</v>
      </c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</row>
    <row r="96" spans="1:52" ht="20.100000000000001" customHeight="1" x14ac:dyDescent="0.25">
      <c r="A96" s="38">
        <v>96</v>
      </c>
      <c r="B96" s="39" t="s">
        <v>1068</v>
      </c>
      <c r="C96" s="16"/>
      <c r="D96" s="17"/>
      <c r="E96" s="17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52"/>
      <c r="R96" s="52"/>
      <c r="S96" s="52"/>
      <c r="T96" s="54"/>
      <c r="U96" s="54"/>
      <c r="V96" s="54"/>
      <c r="W96" s="54"/>
      <c r="X96" s="54"/>
      <c r="Y96" s="54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 t="s">
        <v>1380</v>
      </c>
      <c r="AK96" s="41" t="s">
        <v>1380</v>
      </c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</row>
    <row r="97" spans="1:52" ht="20.100000000000001" customHeight="1" x14ac:dyDescent="0.25">
      <c r="A97" s="38">
        <v>97</v>
      </c>
      <c r="B97" s="39" t="s">
        <v>1332</v>
      </c>
      <c r="C97" s="16"/>
      <c r="D97" s="17"/>
      <c r="E97" s="17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52"/>
      <c r="R97" s="52"/>
      <c r="S97" s="52"/>
      <c r="T97" s="54"/>
      <c r="U97" s="54"/>
      <c r="V97" s="54"/>
      <c r="W97" s="54"/>
      <c r="X97" s="54"/>
      <c r="Y97" s="54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 t="s">
        <v>1381</v>
      </c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</row>
    <row r="98" spans="1:52" ht="20.100000000000001" customHeight="1" x14ac:dyDescent="0.25">
      <c r="A98" s="38">
        <v>98</v>
      </c>
      <c r="B98" s="39" t="s">
        <v>1333</v>
      </c>
      <c r="C98" s="16"/>
      <c r="D98" s="17"/>
      <c r="E98" s="17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52"/>
      <c r="R98" s="52"/>
      <c r="S98" s="52"/>
      <c r="T98" s="54"/>
      <c r="U98" s="54"/>
      <c r="V98" s="54"/>
      <c r="W98" s="54"/>
      <c r="X98" s="54"/>
      <c r="Y98" s="54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 t="s">
        <v>1383</v>
      </c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</row>
    <row r="99" spans="1:52" ht="20.100000000000001" customHeight="1" x14ac:dyDescent="0.25">
      <c r="A99" s="38">
        <v>99</v>
      </c>
      <c r="B99" s="39" t="s">
        <v>1334</v>
      </c>
      <c r="C99" s="16"/>
      <c r="D99" s="17"/>
      <c r="E99" s="17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52"/>
      <c r="R99" s="52"/>
      <c r="S99" s="52"/>
      <c r="T99" s="54"/>
      <c r="U99" s="54"/>
      <c r="V99" s="54"/>
      <c r="W99" s="54"/>
      <c r="X99" s="54"/>
      <c r="Y99" s="54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 t="s">
        <v>1384</v>
      </c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</row>
    <row r="100" spans="1:52" ht="20.100000000000001" customHeight="1" x14ac:dyDescent="0.25">
      <c r="A100" s="38">
        <v>100</v>
      </c>
      <c r="B100" s="39" t="s">
        <v>1335</v>
      </c>
      <c r="C100" s="16"/>
      <c r="D100" s="17"/>
      <c r="E100" s="17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52"/>
      <c r="R100" s="52"/>
      <c r="S100" s="52"/>
      <c r="T100" s="54"/>
      <c r="U100" s="54"/>
      <c r="V100" s="54"/>
      <c r="W100" s="54"/>
      <c r="X100" s="54"/>
      <c r="Y100" s="54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 t="s">
        <v>1385</v>
      </c>
      <c r="AK100" s="41" t="s">
        <v>1385</v>
      </c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</row>
    <row r="101" spans="1:52" ht="20.100000000000001" customHeight="1" x14ac:dyDescent="0.25">
      <c r="A101" s="38">
        <v>101</v>
      </c>
      <c r="B101" s="39" t="s">
        <v>1336</v>
      </c>
      <c r="C101" s="16"/>
      <c r="D101" s="17"/>
      <c r="E101" s="17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52"/>
      <c r="R101" s="52"/>
      <c r="S101" s="52"/>
      <c r="T101" s="54"/>
      <c r="U101" s="54"/>
      <c r="V101" s="54"/>
      <c r="W101" s="54"/>
      <c r="X101" s="54"/>
      <c r="Y101" s="54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 t="s">
        <v>1386</v>
      </c>
      <c r="AK101" s="41" t="s">
        <v>1387</v>
      </c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</row>
    <row r="102" spans="1:52" ht="20.100000000000001" customHeight="1" x14ac:dyDescent="0.25">
      <c r="A102" s="38">
        <v>102</v>
      </c>
      <c r="B102" s="39" t="s">
        <v>1337</v>
      </c>
      <c r="C102" s="16"/>
      <c r="D102" s="17"/>
      <c r="E102" s="17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52"/>
      <c r="R102" s="52"/>
      <c r="S102" s="52"/>
      <c r="T102" s="54"/>
      <c r="U102" s="54"/>
      <c r="V102" s="54"/>
      <c r="W102" s="54"/>
      <c r="X102" s="54"/>
      <c r="Y102" s="54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 t="s">
        <v>1388</v>
      </c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</row>
    <row r="103" spans="1:52" ht="20.100000000000001" customHeight="1" x14ac:dyDescent="0.25">
      <c r="A103" s="38">
        <v>103</v>
      </c>
      <c r="B103" s="39" t="s">
        <v>1338</v>
      </c>
      <c r="C103" s="16"/>
      <c r="D103" s="17"/>
      <c r="E103" s="17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52"/>
      <c r="R103" s="52"/>
      <c r="S103" s="52"/>
      <c r="T103" s="54"/>
      <c r="U103" s="54"/>
      <c r="V103" s="54"/>
      <c r="W103" s="54"/>
      <c r="X103" s="54"/>
      <c r="Y103" s="54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</row>
    <row r="104" spans="1:52" ht="20.100000000000001" customHeight="1" x14ac:dyDescent="0.25">
      <c r="A104" s="38">
        <v>104</v>
      </c>
      <c r="B104" s="39" t="s">
        <v>1339</v>
      </c>
      <c r="C104" s="16"/>
      <c r="D104" s="17"/>
      <c r="E104" s="17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52"/>
      <c r="R104" s="52"/>
      <c r="S104" s="52"/>
      <c r="T104" s="54"/>
      <c r="U104" s="54"/>
      <c r="V104" s="54"/>
      <c r="W104" s="54"/>
      <c r="X104" s="54"/>
      <c r="Y104" s="54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 t="s">
        <v>1389</v>
      </c>
      <c r="AK104" s="41" t="s">
        <v>1390</v>
      </c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</row>
    <row r="105" spans="1:52" ht="20.100000000000001" customHeight="1" x14ac:dyDescent="0.25">
      <c r="A105" s="38">
        <v>105</v>
      </c>
      <c r="B105" s="39" t="s">
        <v>1340</v>
      </c>
      <c r="C105" s="16"/>
      <c r="D105" s="17"/>
      <c r="E105" s="17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52"/>
      <c r="R105" s="52"/>
      <c r="S105" s="52"/>
      <c r="T105" s="54"/>
      <c r="U105" s="54"/>
      <c r="V105" s="54"/>
      <c r="W105" s="54"/>
      <c r="X105" s="54"/>
      <c r="Y105" s="54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 t="s">
        <v>1391</v>
      </c>
      <c r="AK105" s="41" t="s">
        <v>1286</v>
      </c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</row>
    <row r="106" spans="1:52" ht="20.100000000000001" customHeight="1" x14ac:dyDescent="0.25">
      <c r="A106" s="38">
        <v>106</v>
      </c>
      <c r="B106" s="39" t="s">
        <v>1341</v>
      </c>
      <c r="C106" s="16"/>
      <c r="D106" s="17"/>
      <c r="E106" s="17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52"/>
      <c r="R106" s="52"/>
      <c r="S106" s="52"/>
      <c r="T106" s="54"/>
      <c r="U106" s="54"/>
      <c r="V106" s="54"/>
      <c r="W106" s="54"/>
      <c r="X106" s="54"/>
      <c r="Y106" s="54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 t="s">
        <v>1392</v>
      </c>
      <c r="AK106" s="41" t="s">
        <v>1393</v>
      </c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</row>
    <row r="107" spans="1:52" ht="20.100000000000001" customHeight="1" x14ac:dyDescent="0.25">
      <c r="A107" s="38">
        <v>107</v>
      </c>
      <c r="B107" s="39" t="s">
        <v>1342</v>
      </c>
      <c r="C107" s="16"/>
      <c r="D107" s="17"/>
      <c r="E107" s="17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52"/>
      <c r="R107" s="52"/>
      <c r="S107" s="52"/>
      <c r="T107" s="54"/>
      <c r="U107" s="54"/>
      <c r="V107" s="54"/>
      <c r="W107" s="54"/>
      <c r="X107" s="54"/>
      <c r="Y107" s="54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</row>
    <row r="108" spans="1:52" ht="20.100000000000001" customHeight="1" x14ac:dyDescent="0.25">
      <c r="A108" s="38">
        <v>108</v>
      </c>
      <c r="B108" s="39" t="s">
        <v>1343</v>
      </c>
      <c r="C108" s="16"/>
      <c r="D108" s="17"/>
      <c r="E108" s="17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52"/>
      <c r="R108" s="52"/>
      <c r="S108" s="52"/>
      <c r="T108" s="54"/>
      <c r="U108" s="54"/>
      <c r="V108" s="54"/>
      <c r="W108" s="54"/>
      <c r="X108" s="54"/>
      <c r="Y108" s="54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 t="s">
        <v>1394</v>
      </c>
      <c r="AK108" s="41" t="s">
        <v>1395</v>
      </c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</row>
    <row r="109" spans="1:52" ht="20.100000000000001" customHeight="1" x14ac:dyDescent="0.25">
      <c r="A109" s="38">
        <v>109</v>
      </c>
      <c r="B109" s="39" t="s">
        <v>1344</v>
      </c>
      <c r="C109" s="16"/>
      <c r="D109" s="17"/>
      <c r="E109" s="17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52"/>
      <c r="R109" s="52"/>
      <c r="S109" s="52"/>
      <c r="T109" s="54"/>
      <c r="U109" s="54"/>
      <c r="V109" s="54"/>
      <c r="W109" s="54"/>
      <c r="X109" s="54"/>
      <c r="Y109" s="54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 t="s">
        <v>1396</v>
      </c>
      <c r="AK109" s="41" t="s">
        <v>1397</v>
      </c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</row>
    <row r="110" spans="1:52" ht="20.100000000000001" customHeight="1" x14ac:dyDescent="0.25">
      <c r="A110" s="38">
        <v>110</v>
      </c>
      <c r="B110" s="39" t="s">
        <v>1345</v>
      </c>
      <c r="C110" s="16"/>
      <c r="D110" s="17"/>
      <c r="E110" s="17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52"/>
      <c r="R110" s="52"/>
      <c r="S110" s="52"/>
      <c r="T110" s="54"/>
      <c r="U110" s="54"/>
      <c r="V110" s="54"/>
      <c r="W110" s="54"/>
      <c r="X110" s="54"/>
      <c r="Y110" s="54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 t="s">
        <v>1398</v>
      </c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</row>
    <row r="111" spans="1:52" ht="20.100000000000001" customHeight="1" x14ac:dyDescent="0.25">
      <c r="A111" s="38">
        <v>111</v>
      </c>
      <c r="B111" s="39" t="s">
        <v>1346</v>
      </c>
      <c r="C111" s="16"/>
      <c r="D111" s="17"/>
      <c r="E111" s="17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52"/>
      <c r="R111" s="52"/>
      <c r="S111" s="52"/>
      <c r="T111" s="54"/>
      <c r="U111" s="54"/>
      <c r="V111" s="54"/>
      <c r="W111" s="54"/>
      <c r="X111" s="54"/>
      <c r="Y111" s="54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 t="s">
        <v>1399</v>
      </c>
      <c r="AK111" s="41" t="s">
        <v>1400</v>
      </c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</row>
    <row r="112" spans="1:52" ht="20.100000000000001" customHeight="1" x14ac:dyDescent="0.25">
      <c r="A112" s="38">
        <v>112</v>
      </c>
      <c r="B112" s="39" t="s">
        <v>1347</v>
      </c>
      <c r="C112" s="16"/>
      <c r="D112" s="17"/>
      <c r="E112" s="17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52"/>
      <c r="R112" s="52"/>
      <c r="S112" s="52"/>
      <c r="T112" s="54"/>
      <c r="U112" s="54"/>
      <c r="V112" s="54"/>
      <c r="W112" s="54"/>
      <c r="X112" s="54"/>
      <c r="Y112" s="54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 t="s">
        <v>1401</v>
      </c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</row>
    <row r="113" spans="1:52" ht="20.100000000000001" customHeight="1" x14ac:dyDescent="0.25">
      <c r="A113" s="38">
        <v>113</v>
      </c>
      <c r="B113" s="39" t="s">
        <v>1348</v>
      </c>
      <c r="C113" s="16"/>
      <c r="D113" s="17"/>
      <c r="E113" s="17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52"/>
      <c r="R113" s="52"/>
      <c r="S113" s="52"/>
      <c r="T113" s="54"/>
      <c r="U113" s="54"/>
      <c r="V113" s="54"/>
      <c r="W113" s="54"/>
      <c r="X113" s="54"/>
      <c r="Y113" s="54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 t="s">
        <v>1402</v>
      </c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</row>
    <row r="114" spans="1:52" ht="20.100000000000001" customHeight="1" x14ac:dyDescent="0.25">
      <c r="A114" s="38">
        <v>114</v>
      </c>
      <c r="B114" s="39" t="s">
        <v>1349</v>
      </c>
      <c r="C114" s="16"/>
      <c r="D114" s="17"/>
      <c r="E114" s="17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52"/>
      <c r="R114" s="52"/>
      <c r="S114" s="52"/>
      <c r="T114" s="54"/>
      <c r="U114" s="54"/>
      <c r="V114" s="54"/>
      <c r="W114" s="54"/>
      <c r="X114" s="54"/>
      <c r="Y114" s="54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 t="s">
        <v>1403</v>
      </c>
      <c r="AK114" s="41" t="s">
        <v>1404</v>
      </c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</row>
    <row r="115" spans="1:52" ht="20.100000000000001" customHeight="1" x14ac:dyDescent="0.25">
      <c r="A115" s="38">
        <v>115</v>
      </c>
      <c r="B115" s="39" t="s">
        <v>1350</v>
      </c>
      <c r="C115" s="16"/>
      <c r="D115" s="17"/>
      <c r="E115" s="17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52"/>
      <c r="R115" s="52"/>
      <c r="S115" s="52"/>
      <c r="T115" s="54"/>
      <c r="U115" s="54"/>
      <c r="V115" s="54"/>
      <c r="W115" s="54"/>
      <c r="X115" s="54"/>
      <c r="Y115" s="54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 t="s">
        <v>1405</v>
      </c>
      <c r="AK115" s="41" t="s">
        <v>1406</v>
      </c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</row>
    <row r="116" spans="1:52" ht="20.100000000000001" customHeight="1" x14ac:dyDescent="0.25">
      <c r="A116" s="38">
        <v>116</v>
      </c>
      <c r="B116" s="39" t="s">
        <v>1351</v>
      </c>
      <c r="C116" s="16"/>
      <c r="D116" s="17"/>
      <c r="E116" s="1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52"/>
      <c r="R116" s="52"/>
      <c r="S116" s="52"/>
      <c r="T116" s="54"/>
      <c r="U116" s="54"/>
      <c r="V116" s="54"/>
      <c r="W116" s="54"/>
      <c r="X116" s="54"/>
      <c r="Y116" s="54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 t="s">
        <v>1407</v>
      </c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</row>
    <row r="117" spans="1:52" ht="20.100000000000001" customHeight="1" x14ac:dyDescent="0.25">
      <c r="A117" s="38">
        <v>117</v>
      </c>
      <c r="B117" s="39" t="s">
        <v>1352</v>
      </c>
      <c r="C117" s="16"/>
      <c r="D117" s="17"/>
      <c r="E117" s="17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52"/>
      <c r="R117" s="52"/>
      <c r="S117" s="52"/>
      <c r="T117" s="54"/>
      <c r="U117" s="54"/>
      <c r="V117" s="54"/>
      <c r="W117" s="54"/>
      <c r="X117" s="54"/>
      <c r="Y117" s="54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 t="s">
        <v>1408</v>
      </c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</row>
    <row r="118" spans="1:52" ht="20.100000000000001" customHeight="1" x14ac:dyDescent="0.25">
      <c r="A118" s="38">
        <v>118</v>
      </c>
      <c r="B118" s="39" t="s">
        <v>1353</v>
      </c>
      <c r="C118" s="16"/>
      <c r="D118" s="17"/>
      <c r="E118" s="17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52"/>
      <c r="R118" s="52"/>
      <c r="S118" s="52"/>
      <c r="T118" s="54"/>
      <c r="U118" s="54"/>
      <c r="V118" s="54"/>
      <c r="W118" s="54"/>
      <c r="X118" s="54"/>
      <c r="Y118" s="54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 t="s">
        <v>1409</v>
      </c>
      <c r="AK118" s="41" t="s">
        <v>1410</v>
      </c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</row>
    <row r="119" spans="1:52" ht="20.100000000000001" customHeight="1" x14ac:dyDescent="0.25">
      <c r="A119" s="38">
        <v>119</v>
      </c>
      <c r="B119" s="39" t="s">
        <v>1354</v>
      </c>
      <c r="C119" s="16"/>
      <c r="D119" s="17"/>
      <c r="E119" s="17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52"/>
      <c r="R119" s="52"/>
      <c r="S119" s="52"/>
      <c r="T119" s="54"/>
      <c r="U119" s="54"/>
      <c r="V119" s="54"/>
      <c r="W119" s="54"/>
      <c r="X119" s="54"/>
      <c r="Y119" s="54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 t="s">
        <v>1411</v>
      </c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</row>
    <row r="120" spans="1:52" ht="20.100000000000001" customHeight="1" x14ac:dyDescent="0.25">
      <c r="A120" s="38">
        <v>120</v>
      </c>
      <c r="B120" s="39" t="s">
        <v>1355</v>
      </c>
      <c r="C120" s="16"/>
      <c r="D120" s="17"/>
      <c r="E120" s="17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52"/>
      <c r="R120" s="52"/>
      <c r="S120" s="52"/>
      <c r="T120" s="54"/>
      <c r="U120" s="54"/>
      <c r="V120" s="54"/>
      <c r="W120" s="54"/>
      <c r="X120" s="54"/>
      <c r="Y120" s="54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 t="s">
        <v>1412</v>
      </c>
      <c r="AK120" s="41" t="s">
        <v>1413</v>
      </c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</row>
    <row r="121" spans="1:52" ht="20.100000000000001" customHeight="1" x14ac:dyDescent="0.25">
      <c r="A121" s="38">
        <v>121</v>
      </c>
      <c r="B121" s="39" t="s">
        <v>1356</v>
      </c>
      <c r="C121" s="16"/>
      <c r="D121" s="17"/>
      <c r="E121" s="17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52"/>
      <c r="R121" s="52"/>
      <c r="S121" s="52"/>
      <c r="T121" s="54"/>
      <c r="U121" s="54"/>
      <c r="V121" s="54"/>
      <c r="W121" s="54"/>
      <c r="X121" s="54"/>
      <c r="Y121" s="54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 t="s">
        <v>1414</v>
      </c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</row>
    <row r="122" spans="1:52" ht="20.100000000000001" customHeight="1" x14ac:dyDescent="0.25">
      <c r="A122" s="38">
        <v>122</v>
      </c>
      <c r="B122" s="59" t="s">
        <v>1357</v>
      </c>
      <c r="C122" s="16"/>
      <c r="D122" s="17"/>
      <c r="E122" s="17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52"/>
      <c r="R122" s="52"/>
      <c r="S122" s="52"/>
      <c r="T122" s="54"/>
      <c r="U122" s="54"/>
      <c r="V122" s="54"/>
      <c r="W122" s="54"/>
      <c r="X122" s="54"/>
      <c r="Y122" s="54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 t="s">
        <v>1415</v>
      </c>
      <c r="AK122" s="41" t="s">
        <v>1416</v>
      </c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</row>
    <row r="123" spans="1:52" ht="20.100000000000001" customHeight="1" x14ac:dyDescent="0.25">
      <c r="A123" s="38">
        <v>123</v>
      </c>
      <c r="B123" s="59" t="s">
        <v>1358</v>
      </c>
      <c r="C123" s="16"/>
      <c r="D123" s="17"/>
      <c r="E123" s="17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52"/>
      <c r="R123" s="52"/>
      <c r="S123" s="52"/>
      <c r="T123" s="54"/>
      <c r="U123" s="54"/>
      <c r="V123" s="54"/>
      <c r="W123" s="54"/>
      <c r="X123" s="54"/>
      <c r="Y123" s="54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 t="s">
        <v>1417</v>
      </c>
      <c r="AK123" s="41" t="s">
        <v>1418</v>
      </c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</row>
    <row r="124" spans="1:52" ht="20.100000000000001" customHeight="1" x14ac:dyDescent="0.25">
      <c r="A124" s="38">
        <v>124</v>
      </c>
      <c r="B124" s="39" t="s">
        <v>1359</v>
      </c>
      <c r="C124" s="16"/>
      <c r="D124" s="17"/>
      <c r="E124" s="17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52"/>
      <c r="R124" s="52"/>
      <c r="S124" s="52"/>
      <c r="T124" s="54"/>
      <c r="U124" s="54"/>
      <c r="V124" s="54"/>
      <c r="W124" s="54"/>
      <c r="X124" s="54"/>
      <c r="Y124" s="54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 t="s">
        <v>1419</v>
      </c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</row>
    <row r="125" spans="1:52" ht="20.100000000000001" customHeight="1" x14ac:dyDescent="0.25">
      <c r="A125" s="38">
        <v>125</v>
      </c>
      <c r="B125" s="59" t="s">
        <v>1360</v>
      </c>
      <c r="C125" s="16"/>
      <c r="D125" s="17"/>
      <c r="E125" s="17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52"/>
      <c r="R125" s="52"/>
      <c r="S125" s="52"/>
      <c r="T125" s="54"/>
      <c r="U125" s="54"/>
      <c r="V125" s="54"/>
      <c r="W125" s="54"/>
      <c r="X125" s="54"/>
      <c r="Y125" s="54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 t="s">
        <v>1420</v>
      </c>
      <c r="AK125" s="41" t="s">
        <v>1421</v>
      </c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</row>
    <row r="126" spans="1:52" ht="20.100000000000001" customHeight="1" x14ac:dyDescent="0.25">
      <c r="A126" s="38">
        <v>126</v>
      </c>
      <c r="B126" s="39" t="s">
        <v>1361</v>
      </c>
      <c r="C126" s="16"/>
      <c r="D126" s="17"/>
      <c r="E126" s="17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52"/>
      <c r="R126" s="52"/>
      <c r="S126" s="52"/>
      <c r="T126" s="54"/>
      <c r="U126" s="54"/>
      <c r="V126" s="54"/>
      <c r="W126" s="54"/>
      <c r="X126" s="54"/>
      <c r="Y126" s="54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 t="s">
        <v>1066</v>
      </c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</row>
    <row r="127" spans="1:52" ht="20.100000000000001" customHeight="1" x14ac:dyDescent="0.25">
      <c r="A127" s="38">
        <v>127</v>
      </c>
      <c r="B127" s="59" t="s">
        <v>1362</v>
      </c>
      <c r="C127" s="16"/>
      <c r="D127" s="17"/>
      <c r="E127" s="17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52"/>
      <c r="R127" s="52"/>
      <c r="S127" s="52"/>
      <c r="T127" s="54"/>
      <c r="U127" s="54"/>
      <c r="V127" s="54"/>
      <c r="W127" s="54"/>
      <c r="X127" s="54"/>
      <c r="Y127" s="54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 t="s">
        <v>1422</v>
      </c>
      <c r="AK127" s="41" t="s">
        <v>1423</v>
      </c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</row>
    <row r="128" spans="1:52" ht="20.100000000000001" customHeight="1" x14ac:dyDescent="0.25">
      <c r="A128" s="38">
        <v>128</v>
      </c>
      <c r="B128" s="59" t="s">
        <v>1363</v>
      </c>
      <c r="C128" s="16"/>
      <c r="D128" s="17"/>
      <c r="E128" s="1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52"/>
      <c r="R128" s="52"/>
      <c r="S128" s="52"/>
      <c r="T128" s="54"/>
      <c r="U128" s="54"/>
      <c r="V128" s="54"/>
      <c r="W128" s="54"/>
      <c r="X128" s="54"/>
      <c r="Y128" s="54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 t="s">
        <v>1424</v>
      </c>
      <c r="AK128" s="41" t="s">
        <v>1425</v>
      </c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</row>
    <row r="129" spans="1:52" ht="20.100000000000001" customHeight="1" x14ac:dyDescent="0.25">
      <c r="A129" s="38">
        <v>129</v>
      </c>
      <c r="B129" s="39" t="s">
        <v>1364</v>
      </c>
      <c r="C129" s="16"/>
      <c r="D129" s="17"/>
      <c r="E129" s="17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52"/>
      <c r="R129" s="52"/>
      <c r="S129" s="52"/>
      <c r="T129" s="54"/>
      <c r="U129" s="54"/>
      <c r="V129" s="54"/>
      <c r="W129" s="54"/>
      <c r="X129" s="54"/>
      <c r="Y129" s="54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 t="s">
        <v>1426</v>
      </c>
      <c r="AK129" s="41" t="s">
        <v>1427</v>
      </c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</row>
    <row r="130" spans="1:52" ht="20.100000000000001" customHeight="1" x14ac:dyDescent="0.25">
      <c r="A130" s="38">
        <v>130</v>
      </c>
      <c r="B130" s="39" t="s">
        <v>1365</v>
      </c>
      <c r="C130" s="16"/>
      <c r="D130" s="17"/>
      <c r="E130" s="17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52"/>
      <c r="R130" s="52"/>
      <c r="S130" s="52"/>
      <c r="T130" s="54"/>
      <c r="U130" s="54"/>
      <c r="V130" s="54"/>
      <c r="W130" s="54"/>
      <c r="X130" s="54"/>
      <c r="Y130" s="54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 t="s">
        <v>1428</v>
      </c>
      <c r="AK130" s="41" t="s">
        <v>1428</v>
      </c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</row>
    <row r="131" spans="1:52" ht="20.100000000000001" customHeight="1" x14ac:dyDescent="0.25">
      <c r="A131" s="38">
        <v>131</v>
      </c>
      <c r="B131" s="39" t="s">
        <v>1366</v>
      </c>
      <c r="C131" s="16"/>
      <c r="D131" s="17"/>
      <c r="E131" s="17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52"/>
      <c r="R131" s="52"/>
      <c r="S131" s="52"/>
      <c r="T131" s="54"/>
      <c r="U131" s="54"/>
      <c r="V131" s="54"/>
      <c r="W131" s="54"/>
      <c r="X131" s="54"/>
      <c r="Y131" s="54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 t="s">
        <v>1429</v>
      </c>
      <c r="AK131" s="41" t="s">
        <v>1430</v>
      </c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</row>
    <row r="132" spans="1:52" ht="20.100000000000001" customHeight="1" x14ac:dyDescent="0.25">
      <c r="A132" s="38">
        <v>132</v>
      </c>
      <c r="B132" s="39" t="s">
        <v>1367</v>
      </c>
      <c r="C132" s="16"/>
      <c r="D132" s="17"/>
      <c r="E132" s="17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52"/>
      <c r="R132" s="52"/>
      <c r="S132" s="52"/>
      <c r="T132" s="54"/>
      <c r="U132" s="54"/>
      <c r="V132" s="54"/>
      <c r="W132" s="54"/>
      <c r="X132" s="54"/>
      <c r="Y132" s="54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 t="s">
        <v>1431</v>
      </c>
      <c r="AK132" s="41" t="s">
        <v>1432</v>
      </c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</row>
    <row r="133" spans="1:52" ht="20.100000000000001" customHeight="1" x14ac:dyDescent="0.25">
      <c r="A133" s="38">
        <v>133</v>
      </c>
      <c r="B133" s="39" t="s">
        <v>1368</v>
      </c>
      <c r="C133" s="16"/>
      <c r="D133" s="17"/>
      <c r="E133" s="17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52"/>
      <c r="R133" s="52"/>
      <c r="S133" s="52"/>
      <c r="T133" s="54"/>
      <c r="U133" s="54"/>
      <c r="V133" s="54"/>
      <c r="W133" s="54"/>
      <c r="X133" s="54"/>
      <c r="Y133" s="54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 t="s">
        <v>1433</v>
      </c>
      <c r="AK133" s="41" t="s">
        <v>1434</v>
      </c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</row>
    <row r="134" spans="1:52" ht="20.100000000000001" customHeight="1" x14ac:dyDescent="0.25">
      <c r="A134" s="38">
        <v>134</v>
      </c>
      <c r="B134" s="39" t="s">
        <v>1369</v>
      </c>
      <c r="C134" s="16"/>
      <c r="D134" s="17"/>
      <c r="E134" s="17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52"/>
      <c r="R134" s="52"/>
      <c r="S134" s="52"/>
      <c r="T134" s="54"/>
      <c r="U134" s="54"/>
      <c r="V134" s="54"/>
      <c r="W134" s="54"/>
      <c r="X134" s="54"/>
      <c r="Y134" s="54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 t="s">
        <v>1435</v>
      </c>
      <c r="AK134" s="41" t="s">
        <v>1436</v>
      </c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</row>
    <row r="135" spans="1:52" ht="20.100000000000001" customHeight="1" x14ac:dyDescent="0.25">
      <c r="A135" s="38">
        <v>135</v>
      </c>
      <c r="B135" s="39" t="s">
        <v>1370</v>
      </c>
      <c r="C135" s="16"/>
      <c r="D135" s="17"/>
      <c r="E135" s="17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52"/>
      <c r="R135" s="52"/>
      <c r="S135" s="52"/>
      <c r="T135" s="54"/>
      <c r="U135" s="54"/>
      <c r="V135" s="54"/>
      <c r="W135" s="54"/>
      <c r="X135" s="54"/>
      <c r="Y135" s="54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 t="s">
        <v>1437</v>
      </c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</row>
    <row r="136" spans="1:52" ht="20.100000000000001" customHeight="1" x14ac:dyDescent="0.25">
      <c r="A136" s="38">
        <v>136</v>
      </c>
      <c r="B136" s="39" t="s">
        <v>1371</v>
      </c>
      <c r="C136" s="16"/>
      <c r="D136" s="17"/>
      <c r="E136" s="17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52"/>
      <c r="R136" s="52"/>
      <c r="S136" s="52"/>
      <c r="T136" s="54"/>
      <c r="U136" s="54"/>
      <c r="V136" s="54"/>
      <c r="W136" s="54"/>
      <c r="X136" s="54"/>
      <c r="Y136" s="54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 t="s">
        <v>1438</v>
      </c>
      <c r="AK136" s="41" t="s">
        <v>1439</v>
      </c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</row>
    <row r="137" spans="1:52" ht="20.100000000000001" customHeight="1" x14ac:dyDescent="0.25">
      <c r="A137" s="38">
        <v>137</v>
      </c>
      <c r="B137" s="39" t="s">
        <v>1372</v>
      </c>
      <c r="C137" s="16"/>
      <c r="D137" s="17"/>
      <c r="E137" s="17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52"/>
      <c r="R137" s="52"/>
      <c r="S137" s="52"/>
      <c r="T137" s="54"/>
      <c r="U137" s="54"/>
      <c r="V137" s="54"/>
      <c r="W137" s="54"/>
      <c r="X137" s="54"/>
      <c r="Y137" s="54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 t="s">
        <v>1440</v>
      </c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</row>
    <row r="138" spans="1:52" ht="20.100000000000001" customHeight="1" x14ac:dyDescent="0.25">
      <c r="A138" s="38">
        <v>138</v>
      </c>
      <c r="B138" s="39" t="s">
        <v>1373</v>
      </c>
      <c r="C138" s="16"/>
      <c r="D138" s="17"/>
      <c r="E138" s="17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52"/>
      <c r="R138" s="52"/>
      <c r="S138" s="52"/>
      <c r="T138" s="54"/>
      <c r="U138" s="54"/>
      <c r="V138" s="54"/>
      <c r="W138" s="54"/>
      <c r="X138" s="54"/>
      <c r="Y138" s="54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 t="s">
        <v>1441</v>
      </c>
      <c r="AK138" s="41" t="s">
        <v>1442</v>
      </c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</row>
    <row r="139" spans="1:52" ht="20.100000000000001" customHeight="1" x14ac:dyDescent="0.25">
      <c r="A139" s="38">
        <v>139</v>
      </c>
      <c r="B139" s="39" t="s">
        <v>1374</v>
      </c>
      <c r="C139" s="16"/>
      <c r="D139" s="17"/>
      <c r="E139" s="17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52"/>
      <c r="R139" s="52"/>
      <c r="S139" s="52"/>
      <c r="T139" s="54"/>
      <c r="U139" s="54"/>
      <c r="V139" s="54"/>
      <c r="W139" s="54"/>
      <c r="X139" s="54"/>
      <c r="Y139" s="54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 t="s">
        <v>1443</v>
      </c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</row>
    <row r="140" spans="1:52" ht="20.100000000000001" customHeight="1" x14ac:dyDescent="0.25">
      <c r="A140" s="38">
        <v>140</v>
      </c>
      <c r="B140" s="39" t="s">
        <v>1375</v>
      </c>
      <c r="C140" s="16"/>
      <c r="D140" s="17"/>
      <c r="E140" s="1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52"/>
      <c r="R140" s="52"/>
      <c r="S140" s="52"/>
      <c r="T140" s="54"/>
      <c r="U140" s="54"/>
      <c r="V140" s="54"/>
      <c r="W140" s="54"/>
      <c r="X140" s="54"/>
      <c r="Y140" s="54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 t="s">
        <v>1443</v>
      </c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</row>
    <row r="141" spans="1:52" ht="20.100000000000001" customHeight="1" x14ac:dyDescent="0.25">
      <c r="A141" s="38">
        <v>141</v>
      </c>
      <c r="B141" s="39" t="s">
        <v>1376</v>
      </c>
      <c r="C141" s="16"/>
      <c r="D141" s="17"/>
      <c r="E141" s="17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52"/>
      <c r="R141" s="52"/>
      <c r="S141" s="52"/>
      <c r="T141" s="54"/>
      <c r="U141" s="54"/>
      <c r="V141" s="54"/>
      <c r="W141" s="54"/>
      <c r="X141" s="54"/>
      <c r="Y141" s="54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>
        <v>575</v>
      </c>
      <c r="AK141" s="41">
        <v>576</v>
      </c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</row>
    <row r="142" spans="1:52" ht="20.100000000000001" customHeight="1" x14ac:dyDescent="0.25">
      <c r="A142" s="38">
        <v>142</v>
      </c>
      <c r="B142" s="39" t="s">
        <v>251</v>
      </c>
      <c r="C142" s="16"/>
      <c r="D142" s="17"/>
      <c r="E142" s="17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52"/>
      <c r="R142" s="52"/>
      <c r="S142" s="52"/>
      <c r="T142" s="54"/>
      <c r="U142" s="54"/>
      <c r="V142" s="54"/>
      <c r="W142" s="54"/>
      <c r="X142" s="54"/>
      <c r="Y142" s="54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>
        <v>575</v>
      </c>
      <c r="AK142" s="41">
        <v>576</v>
      </c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</row>
    <row r="143" spans="1:52" ht="20.100000000000001" customHeight="1" x14ac:dyDescent="0.25">
      <c r="A143" s="38">
        <v>143</v>
      </c>
      <c r="B143" s="39" t="s">
        <v>1377</v>
      </c>
      <c r="C143" s="16"/>
      <c r="D143" s="17"/>
      <c r="E143" s="17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52"/>
      <c r="R143" s="52"/>
      <c r="S143" s="52"/>
      <c r="T143" s="54"/>
      <c r="U143" s="54"/>
      <c r="V143" s="54"/>
      <c r="W143" s="54"/>
      <c r="X143" s="54"/>
      <c r="Y143" s="54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>
        <v>575</v>
      </c>
      <c r="AK143" s="41">
        <v>576</v>
      </c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</row>
    <row r="144" spans="1:52" ht="20.100000000000001" customHeight="1" x14ac:dyDescent="0.25">
      <c r="A144" s="38">
        <v>144</v>
      </c>
      <c r="B144" s="39" t="s">
        <v>1378</v>
      </c>
      <c r="C144" s="16"/>
      <c r="D144" s="17"/>
      <c r="E144" s="17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52"/>
      <c r="R144" s="52"/>
      <c r="S144" s="52"/>
      <c r="T144" s="54"/>
      <c r="U144" s="54"/>
      <c r="V144" s="54"/>
      <c r="W144" s="54"/>
      <c r="X144" s="54"/>
      <c r="Y144" s="54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>
        <v>575</v>
      </c>
      <c r="AK144" s="41">
        <v>576</v>
      </c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</row>
    <row r="145" spans="1:52" ht="20.100000000000001" customHeight="1" x14ac:dyDescent="0.25">
      <c r="A145" s="38">
        <v>145</v>
      </c>
      <c r="B145" s="39" t="s">
        <v>1379</v>
      </c>
      <c r="C145" s="16"/>
      <c r="D145" s="17"/>
      <c r="E145" s="17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52"/>
      <c r="R145" s="52"/>
      <c r="S145" s="52"/>
      <c r="T145" s="54"/>
      <c r="U145" s="54"/>
      <c r="V145" s="54"/>
      <c r="W145" s="54"/>
      <c r="X145" s="54"/>
      <c r="Y145" s="54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>
        <v>575</v>
      </c>
      <c r="AK145" s="41">
        <v>576</v>
      </c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</row>
    <row r="146" spans="1:52" ht="20.100000000000001" customHeight="1" x14ac:dyDescent="0.25">
      <c r="A146" s="38">
        <v>146</v>
      </c>
      <c r="B146" s="39" t="s">
        <v>1444</v>
      </c>
      <c r="C146" s="16"/>
      <c r="D146" s="17"/>
      <c r="E146" s="17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52"/>
      <c r="R146" s="52"/>
      <c r="S146" s="52"/>
      <c r="T146" s="54"/>
      <c r="U146" s="54"/>
      <c r="V146" s="54"/>
      <c r="W146" s="54"/>
      <c r="X146" s="54"/>
      <c r="Y146" s="54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 t="s">
        <v>1453</v>
      </c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</row>
    <row r="147" spans="1:52" ht="20.100000000000001" customHeight="1" x14ac:dyDescent="0.25">
      <c r="A147" s="38">
        <v>147</v>
      </c>
      <c r="B147" s="39" t="s">
        <v>1445</v>
      </c>
      <c r="C147" s="16"/>
      <c r="D147" s="17"/>
      <c r="E147" s="17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52"/>
      <c r="R147" s="52"/>
      <c r="S147" s="52"/>
      <c r="T147" s="54"/>
      <c r="U147" s="54"/>
      <c r="V147" s="54"/>
      <c r="W147" s="54"/>
      <c r="X147" s="54"/>
      <c r="Y147" s="54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 t="s">
        <v>1454</v>
      </c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</row>
    <row r="148" spans="1:52" ht="20.100000000000001" customHeight="1" x14ac:dyDescent="0.25">
      <c r="A148" s="38">
        <v>148</v>
      </c>
      <c r="B148" s="39" t="s">
        <v>1446</v>
      </c>
      <c r="C148" s="16"/>
      <c r="D148" s="17"/>
      <c r="E148" s="17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52"/>
      <c r="R148" s="52"/>
      <c r="S148" s="52"/>
      <c r="T148" s="54"/>
      <c r="U148" s="54"/>
      <c r="V148" s="54"/>
      <c r="W148" s="54"/>
      <c r="X148" s="54"/>
      <c r="Y148" s="54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 t="s">
        <v>1455</v>
      </c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</row>
    <row r="149" spans="1:52" ht="20.100000000000001" customHeight="1" x14ac:dyDescent="0.25">
      <c r="A149" s="38">
        <v>149</v>
      </c>
      <c r="B149" s="39" t="s">
        <v>1447</v>
      </c>
      <c r="C149" s="16"/>
      <c r="D149" s="17"/>
      <c r="E149" s="17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52"/>
      <c r="R149" s="52"/>
      <c r="S149" s="52"/>
      <c r="T149" s="54"/>
      <c r="U149" s="54"/>
      <c r="V149" s="54"/>
      <c r="W149" s="54"/>
      <c r="X149" s="54"/>
      <c r="Y149" s="54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 t="s">
        <v>1456</v>
      </c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</row>
    <row r="150" spans="1:52" ht="20.100000000000001" customHeight="1" x14ac:dyDescent="0.25">
      <c r="A150" s="38">
        <v>150</v>
      </c>
      <c r="B150" s="39" t="s">
        <v>1448</v>
      </c>
      <c r="C150" s="16"/>
      <c r="D150" s="17"/>
      <c r="E150" s="17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52"/>
      <c r="R150" s="52"/>
      <c r="S150" s="52"/>
      <c r="T150" s="54"/>
      <c r="U150" s="54"/>
      <c r="V150" s="54"/>
      <c r="W150" s="54"/>
      <c r="X150" s="54"/>
      <c r="Y150" s="54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 t="s">
        <v>1457</v>
      </c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</row>
    <row r="151" spans="1:52" ht="20.100000000000001" customHeight="1" x14ac:dyDescent="0.25">
      <c r="A151" s="38">
        <v>151</v>
      </c>
      <c r="B151" s="39" t="s">
        <v>1449</v>
      </c>
      <c r="C151" s="16"/>
      <c r="D151" s="17"/>
      <c r="E151" s="17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52"/>
      <c r="R151" s="52"/>
      <c r="S151" s="52"/>
      <c r="T151" s="54"/>
      <c r="U151" s="54"/>
      <c r="V151" s="54"/>
      <c r="W151" s="54"/>
      <c r="X151" s="54"/>
      <c r="Y151" s="54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 t="s">
        <v>1458</v>
      </c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</row>
    <row r="152" spans="1:52" ht="20.100000000000001" customHeight="1" x14ac:dyDescent="0.25">
      <c r="A152" s="38">
        <v>152</v>
      </c>
      <c r="B152" s="39" t="s">
        <v>1450</v>
      </c>
      <c r="C152" s="16"/>
      <c r="D152" s="17"/>
      <c r="E152" s="1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52"/>
      <c r="R152" s="52"/>
      <c r="S152" s="52"/>
      <c r="T152" s="54"/>
      <c r="U152" s="54"/>
      <c r="V152" s="54"/>
      <c r="W152" s="54"/>
      <c r="X152" s="54"/>
      <c r="Y152" s="54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 t="s">
        <v>1459</v>
      </c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</row>
    <row r="153" spans="1:52" ht="20.100000000000001" customHeight="1" x14ac:dyDescent="0.25">
      <c r="A153" s="38">
        <v>153</v>
      </c>
      <c r="B153" s="39" t="s">
        <v>1451</v>
      </c>
      <c r="C153" s="16"/>
      <c r="D153" s="17"/>
      <c r="E153" s="17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52"/>
      <c r="R153" s="52"/>
      <c r="S153" s="52"/>
      <c r="T153" s="54"/>
      <c r="U153" s="54"/>
      <c r="V153" s="54"/>
      <c r="W153" s="54"/>
      <c r="X153" s="54"/>
      <c r="Y153" s="54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 t="s">
        <v>1460</v>
      </c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</row>
    <row r="154" spans="1:52" ht="20.100000000000001" customHeight="1" x14ac:dyDescent="0.25">
      <c r="A154" s="38">
        <v>154</v>
      </c>
      <c r="B154" s="39" t="s">
        <v>1452</v>
      </c>
      <c r="C154" s="16"/>
      <c r="D154" s="17"/>
      <c r="E154" s="17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52"/>
      <c r="R154" s="52"/>
      <c r="S154" s="52"/>
      <c r="T154" s="54"/>
      <c r="U154" s="54"/>
      <c r="V154" s="54"/>
      <c r="W154" s="54"/>
      <c r="X154" s="54"/>
      <c r="Y154" s="54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 t="s">
        <v>1461</v>
      </c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</row>
    <row r="155" spans="1:52" ht="20.100000000000001" customHeight="1" x14ac:dyDescent="0.25">
      <c r="A155" s="38">
        <v>155</v>
      </c>
      <c r="B155" s="39" t="s">
        <v>1462</v>
      </c>
      <c r="C155" s="16"/>
      <c r="D155" s="17"/>
      <c r="E155" s="17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52"/>
      <c r="R155" s="52"/>
      <c r="S155" s="52"/>
      <c r="T155" s="54"/>
      <c r="U155" s="54"/>
      <c r="V155" s="54"/>
      <c r="W155" s="54"/>
      <c r="X155" s="54"/>
      <c r="Y155" s="54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 t="s">
        <v>1464</v>
      </c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</row>
    <row r="156" spans="1:52" ht="20.100000000000001" customHeight="1" x14ac:dyDescent="0.25">
      <c r="A156" s="38">
        <v>156</v>
      </c>
      <c r="B156" s="39" t="s">
        <v>1463</v>
      </c>
      <c r="C156" s="16"/>
      <c r="D156" s="17"/>
      <c r="E156" s="17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52"/>
      <c r="R156" s="52"/>
      <c r="S156" s="52"/>
      <c r="T156" s="54"/>
      <c r="U156" s="54"/>
      <c r="V156" s="54"/>
      <c r="W156" s="54"/>
      <c r="X156" s="54"/>
      <c r="Y156" s="54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 t="s">
        <v>1465</v>
      </c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</row>
    <row r="157" spans="1:52" ht="20.100000000000001" customHeight="1" x14ac:dyDescent="0.25">
      <c r="A157" s="38">
        <v>157</v>
      </c>
      <c r="B157" s="39" t="s">
        <v>1466</v>
      </c>
      <c r="C157" s="16"/>
      <c r="D157" s="17"/>
      <c r="E157" s="17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52"/>
      <c r="R157" s="52"/>
      <c r="S157" s="52"/>
      <c r="T157" s="54"/>
      <c r="U157" s="54"/>
      <c r="V157" s="54"/>
      <c r="W157" s="54"/>
      <c r="X157" s="54"/>
      <c r="Y157" s="54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 t="s">
        <v>1476</v>
      </c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</row>
    <row r="158" spans="1:52" ht="20.100000000000001" customHeight="1" x14ac:dyDescent="0.25">
      <c r="A158" s="38">
        <v>158</v>
      </c>
      <c r="B158" s="39" t="s">
        <v>1467</v>
      </c>
      <c r="C158" s="16"/>
      <c r="D158" s="17"/>
      <c r="E158" s="17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52"/>
      <c r="R158" s="52"/>
      <c r="S158" s="52"/>
      <c r="T158" s="54"/>
      <c r="U158" s="54"/>
      <c r="V158" s="54"/>
      <c r="W158" s="54"/>
      <c r="X158" s="54"/>
      <c r="Y158" s="54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 t="s">
        <v>1477</v>
      </c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</row>
    <row r="159" spans="1:52" ht="20.100000000000001" customHeight="1" x14ac:dyDescent="0.25">
      <c r="A159" s="38">
        <v>159</v>
      </c>
      <c r="B159" s="39" t="s">
        <v>1468</v>
      </c>
      <c r="C159" s="16"/>
      <c r="D159" s="17"/>
      <c r="E159" s="17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52"/>
      <c r="R159" s="52"/>
      <c r="S159" s="52"/>
      <c r="T159" s="54"/>
      <c r="U159" s="54"/>
      <c r="V159" s="54"/>
      <c r="W159" s="54"/>
      <c r="X159" s="54"/>
      <c r="Y159" s="54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 t="s">
        <v>1478</v>
      </c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</row>
    <row r="160" spans="1:52" ht="20.100000000000001" customHeight="1" x14ac:dyDescent="0.25">
      <c r="A160" s="38">
        <v>160</v>
      </c>
      <c r="B160" s="39" t="s">
        <v>1469</v>
      </c>
      <c r="C160" s="16"/>
      <c r="D160" s="17"/>
      <c r="E160" s="17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52"/>
      <c r="R160" s="52"/>
      <c r="S160" s="52"/>
      <c r="T160" s="54"/>
      <c r="U160" s="54"/>
      <c r="V160" s="54"/>
      <c r="W160" s="54"/>
      <c r="X160" s="54"/>
      <c r="Y160" s="54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 t="s">
        <v>1479</v>
      </c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</row>
    <row r="161" spans="1:52" ht="20.100000000000001" customHeight="1" x14ac:dyDescent="0.25">
      <c r="A161" s="38">
        <v>161</v>
      </c>
      <c r="B161" s="39" t="s">
        <v>1470</v>
      </c>
      <c r="C161" s="16"/>
      <c r="D161" s="17"/>
      <c r="E161" s="17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52"/>
      <c r="R161" s="52"/>
      <c r="S161" s="52"/>
      <c r="T161" s="54"/>
      <c r="U161" s="54"/>
      <c r="V161" s="54"/>
      <c r="W161" s="54"/>
      <c r="X161" s="54"/>
      <c r="Y161" s="54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 t="s">
        <v>1480</v>
      </c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</row>
    <row r="162" spans="1:52" ht="20.100000000000001" customHeight="1" x14ac:dyDescent="0.25">
      <c r="A162" s="38">
        <v>162</v>
      </c>
      <c r="B162" s="39" t="s">
        <v>1471</v>
      </c>
      <c r="C162" s="16"/>
      <c r="D162" s="17"/>
      <c r="E162" s="17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52"/>
      <c r="R162" s="52"/>
      <c r="S162" s="52"/>
      <c r="T162" s="54"/>
      <c r="U162" s="54"/>
      <c r="V162" s="54"/>
      <c r="W162" s="54"/>
      <c r="X162" s="54"/>
      <c r="Y162" s="54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 t="s">
        <v>1481</v>
      </c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</row>
    <row r="163" spans="1:52" ht="20.100000000000001" customHeight="1" x14ac:dyDescent="0.25">
      <c r="A163" s="38">
        <v>163</v>
      </c>
      <c r="B163" s="39" t="s">
        <v>1472</v>
      </c>
      <c r="C163" s="16"/>
      <c r="D163" s="17"/>
      <c r="E163" s="17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52"/>
      <c r="R163" s="52"/>
      <c r="S163" s="52"/>
      <c r="T163" s="54"/>
      <c r="U163" s="54"/>
      <c r="V163" s="54"/>
      <c r="W163" s="54"/>
      <c r="X163" s="54"/>
      <c r="Y163" s="54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 t="s">
        <v>1482</v>
      </c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</row>
    <row r="164" spans="1:52" ht="20.100000000000001" customHeight="1" x14ac:dyDescent="0.25">
      <c r="A164" s="38">
        <v>164</v>
      </c>
      <c r="B164" s="39" t="s">
        <v>1473</v>
      </c>
      <c r="C164" s="16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52"/>
      <c r="R164" s="52"/>
      <c r="S164" s="52"/>
      <c r="T164" s="54"/>
      <c r="U164" s="54"/>
      <c r="V164" s="54"/>
      <c r="W164" s="54"/>
      <c r="X164" s="54"/>
      <c r="Y164" s="54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 t="s">
        <v>1483</v>
      </c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</row>
    <row r="165" spans="1:52" ht="20.100000000000001" customHeight="1" x14ac:dyDescent="0.25">
      <c r="A165" s="38">
        <v>165</v>
      </c>
      <c r="B165" s="39" t="s">
        <v>1474</v>
      </c>
      <c r="C165" s="16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52"/>
      <c r="R165" s="52"/>
      <c r="S165" s="52"/>
      <c r="T165" s="54"/>
      <c r="U165" s="54"/>
      <c r="V165" s="54"/>
      <c r="W165" s="54"/>
      <c r="X165" s="54"/>
      <c r="Y165" s="54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 t="s">
        <v>1484</v>
      </c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</row>
    <row r="166" spans="1:52" ht="20.100000000000001" customHeight="1" x14ac:dyDescent="0.25">
      <c r="A166" s="38">
        <v>166</v>
      </c>
      <c r="B166" s="39" t="s">
        <v>1475</v>
      </c>
      <c r="C166" s="16"/>
      <c r="D166" s="17"/>
      <c r="E166" s="17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52"/>
      <c r="R166" s="52"/>
      <c r="S166" s="52"/>
      <c r="T166" s="54"/>
      <c r="U166" s="54"/>
      <c r="V166" s="54"/>
      <c r="W166" s="54"/>
      <c r="X166" s="54"/>
      <c r="Y166" s="54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 t="s">
        <v>1485</v>
      </c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</row>
    <row r="167" spans="1:52" ht="20.100000000000001" customHeight="1" x14ac:dyDescent="0.25">
      <c r="A167" s="38">
        <v>167</v>
      </c>
      <c r="B167" s="39" t="s">
        <v>1486</v>
      </c>
      <c r="C167" s="16"/>
      <c r="D167" s="17"/>
      <c r="E167" s="17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52"/>
      <c r="R167" s="52"/>
      <c r="S167" s="52"/>
      <c r="T167" s="54"/>
      <c r="U167" s="54"/>
      <c r="V167" s="54"/>
      <c r="W167" s="54"/>
      <c r="X167" s="54"/>
      <c r="Y167" s="54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 t="s">
        <v>1490</v>
      </c>
      <c r="AO167" s="41" t="s">
        <v>1578</v>
      </c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</row>
    <row r="168" spans="1:52" ht="20.100000000000001" customHeight="1" x14ac:dyDescent="0.25">
      <c r="A168" s="38">
        <v>168</v>
      </c>
      <c r="B168" s="39" t="s">
        <v>1487</v>
      </c>
      <c r="C168" s="16"/>
      <c r="D168" s="17"/>
      <c r="E168" s="17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52"/>
      <c r="R168" s="52"/>
      <c r="S168" s="52"/>
      <c r="T168" s="54"/>
      <c r="U168" s="54"/>
      <c r="V168" s="54"/>
      <c r="W168" s="54"/>
      <c r="X168" s="54"/>
      <c r="Y168" s="54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 t="s">
        <v>1491</v>
      </c>
      <c r="AO168" s="41" t="s">
        <v>1579</v>
      </c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</row>
    <row r="169" spans="1:52" ht="20.100000000000001" customHeight="1" x14ac:dyDescent="0.25">
      <c r="A169" s="38">
        <v>169</v>
      </c>
      <c r="B169" s="39" t="s">
        <v>1488</v>
      </c>
      <c r="C169" s="16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52"/>
      <c r="R169" s="52"/>
      <c r="S169" s="52"/>
      <c r="T169" s="54"/>
      <c r="U169" s="54"/>
      <c r="V169" s="54"/>
      <c r="W169" s="54"/>
      <c r="X169" s="54"/>
      <c r="Y169" s="54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 t="s">
        <v>1492</v>
      </c>
      <c r="AO169" s="41" t="s">
        <v>1580</v>
      </c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</row>
    <row r="170" spans="1:52" ht="20.100000000000001" customHeight="1" x14ac:dyDescent="0.25">
      <c r="A170" s="38">
        <v>170</v>
      </c>
      <c r="B170" s="45" t="s">
        <v>1489</v>
      </c>
      <c r="C170" s="16"/>
      <c r="D170" s="17"/>
      <c r="E170" s="17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52"/>
      <c r="R170" s="52"/>
      <c r="S170" s="52"/>
      <c r="T170" s="54"/>
      <c r="U170" s="54"/>
      <c r="V170" s="54"/>
      <c r="W170" s="54"/>
      <c r="X170" s="54"/>
      <c r="Y170" s="54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 t="s">
        <v>1493</v>
      </c>
      <c r="AO170" s="41" t="s">
        <v>1581</v>
      </c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</row>
    <row r="171" spans="1:52" ht="20.100000000000001" customHeight="1" x14ac:dyDescent="0.25">
      <c r="A171" s="38">
        <v>171</v>
      </c>
      <c r="B171" s="39" t="s">
        <v>1494</v>
      </c>
      <c r="C171" s="16"/>
      <c r="D171" s="17"/>
      <c r="E171" s="17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52"/>
      <c r="R171" s="52"/>
      <c r="S171" s="52"/>
      <c r="T171" s="54"/>
      <c r="U171" s="54"/>
      <c r="V171" s="54"/>
      <c r="W171" s="54"/>
      <c r="X171" s="54"/>
      <c r="Y171" s="54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 t="s">
        <v>1496</v>
      </c>
      <c r="AO171" s="41" t="s">
        <v>1582</v>
      </c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</row>
    <row r="172" spans="1:52" ht="20.100000000000001" customHeight="1" x14ac:dyDescent="0.25">
      <c r="A172" s="38">
        <v>172</v>
      </c>
      <c r="B172" s="45" t="s">
        <v>1495</v>
      </c>
      <c r="C172" s="16"/>
      <c r="D172" s="17"/>
      <c r="E172" s="17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52"/>
      <c r="R172" s="52"/>
      <c r="S172" s="52"/>
      <c r="T172" s="54"/>
      <c r="U172" s="54"/>
      <c r="V172" s="54"/>
      <c r="W172" s="54"/>
      <c r="X172" s="54"/>
      <c r="Y172" s="54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 t="s">
        <v>1497</v>
      </c>
      <c r="AO172" s="41" t="s">
        <v>1583</v>
      </c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</row>
    <row r="173" spans="1:52" ht="20.100000000000001" customHeight="1" x14ac:dyDescent="0.25">
      <c r="A173" s="38">
        <v>173</v>
      </c>
      <c r="B173" s="39" t="s">
        <v>1498</v>
      </c>
      <c r="C173" s="16"/>
      <c r="D173" s="17"/>
      <c r="E173" s="17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52"/>
      <c r="R173" s="52"/>
      <c r="S173" s="52"/>
      <c r="T173" s="54"/>
      <c r="U173" s="54"/>
      <c r="V173" s="54"/>
      <c r="W173" s="54"/>
      <c r="X173" s="54"/>
      <c r="Y173" s="54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 t="s">
        <v>1512</v>
      </c>
      <c r="AO173" s="41" t="s">
        <v>1584</v>
      </c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</row>
    <row r="174" spans="1:52" ht="20.100000000000001" customHeight="1" x14ac:dyDescent="0.25">
      <c r="A174" s="38">
        <v>174</v>
      </c>
      <c r="B174" s="39" t="s">
        <v>1499</v>
      </c>
      <c r="C174" s="16"/>
      <c r="D174" s="17"/>
      <c r="E174" s="17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52"/>
      <c r="R174" s="52"/>
      <c r="S174" s="52"/>
      <c r="T174" s="54"/>
      <c r="U174" s="54"/>
      <c r="V174" s="54"/>
      <c r="W174" s="54"/>
      <c r="X174" s="54"/>
      <c r="Y174" s="54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 t="s">
        <v>1513</v>
      </c>
      <c r="AO174" s="41" t="s">
        <v>1585</v>
      </c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</row>
    <row r="175" spans="1:52" ht="20.100000000000001" customHeight="1" x14ac:dyDescent="0.25">
      <c r="A175" s="38">
        <v>175</v>
      </c>
      <c r="B175" s="39" t="s">
        <v>1500</v>
      </c>
      <c r="C175" s="16"/>
      <c r="D175" s="17"/>
      <c r="E175" s="17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52"/>
      <c r="R175" s="52"/>
      <c r="S175" s="52"/>
      <c r="T175" s="54"/>
      <c r="U175" s="54"/>
      <c r="V175" s="54"/>
      <c r="W175" s="54"/>
      <c r="X175" s="54"/>
      <c r="Y175" s="54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 t="s">
        <v>1514</v>
      </c>
      <c r="AO175" s="41" t="s">
        <v>1586</v>
      </c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</row>
    <row r="176" spans="1:52" ht="20.100000000000001" customHeight="1" x14ac:dyDescent="0.25">
      <c r="A176" s="38">
        <v>176</v>
      </c>
      <c r="B176" s="39" t="s">
        <v>1501</v>
      </c>
      <c r="C176" s="16"/>
      <c r="D176" s="17"/>
      <c r="E176" s="1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52"/>
      <c r="R176" s="52"/>
      <c r="S176" s="52"/>
      <c r="T176" s="54"/>
      <c r="U176" s="54"/>
      <c r="V176" s="54"/>
      <c r="W176" s="54"/>
      <c r="X176" s="54"/>
      <c r="Y176" s="54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 t="s">
        <v>1515</v>
      </c>
      <c r="AO176" s="41" t="s">
        <v>1587</v>
      </c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</row>
    <row r="177" spans="1:52" ht="20.100000000000001" customHeight="1" x14ac:dyDescent="0.25">
      <c r="A177" s="38">
        <v>177</v>
      </c>
      <c r="B177" s="39" t="s">
        <v>1502</v>
      </c>
      <c r="C177" s="16"/>
      <c r="D177" s="17"/>
      <c r="E177" s="17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52"/>
      <c r="R177" s="52"/>
      <c r="S177" s="52"/>
      <c r="T177" s="54"/>
      <c r="U177" s="54"/>
      <c r="V177" s="54"/>
      <c r="W177" s="54"/>
      <c r="X177" s="54"/>
      <c r="Y177" s="54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 t="s">
        <v>1399</v>
      </c>
      <c r="AO177" s="41" t="s">
        <v>1588</v>
      </c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</row>
    <row r="178" spans="1:52" ht="20.100000000000001" customHeight="1" x14ac:dyDescent="0.25">
      <c r="A178" s="38">
        <v>178</v>
      </c>
      <c r="B178" s="39" t="s">
        <v>1503</v>
      </c>
      <c r="C178" s="16"/>
      <c r="D178" s="17"/>
      <c r="E178" s="17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52"/>
      <c r="R178" s="52"/>
      <c r="S178" s="52"/>
      <c r="T178" s="54"/>
      <c r="U178" s="54"/>
      <c r="V178" s="54"/>
      <c r="W178" s="54"/>
      <c r="X178" s="54"/>
      <c r="Y178" s="54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 t="s">
        <v>1516</v>
      </c>
      <c r="AO178" s="41" t="s">
        <v>1589</v>
      </c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</row>
    <row r="179" spans="1:52" ht="20.100000000000001" customHeight="1" x14ac:dyDescent="0.25">
      <c r="A179" s="38">
        <v>179</v>
      </c>
      <c r="B179" s="39" t="s">
        <v>1504</v>
      </c>
      <c r="C179" s="16"/>
      <c r="D179" s="17"/>
      <c r="E179" s="17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52"/>
      <c r="R179" s="52"/>
      <c r="S179" s="52"/>
      <c r="T179" s="54"/>
      <c r="U179" s="54"/>
      <c r="V179" s="54"/>
      <c r="W179" s="54"/>
      <c r="X179" s="54"/>
      <c r="Y179" s="54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 t="s">
        <v>1517</v>
      </c>
      <c r="AO179" s="41" t="s">
        <v>1590</v>
      </c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</row>
    <row r="180" spans="1:52" ht="20.100000000000001" customHeight="1" x14ac:dyDescent="0.25">
      <c r="A180" s="38">
        <v>180</v>
      </c>
      <c r="B180" s="39" t="s">
        <v>1505</v>
      </c>
      <c r="C180" s="16"/>
      <c r="D180" s="17"/>
      <c r="E180" s="17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52"/>
      <c r="R180" s="52"/>
      <c r="S180" s="52"/>
      <c r="T180" s="54"/>
      <c r="U180" s="54"/>
      <c r="V180" s="54"/>
      <c r="W180" s="54"/>
      <c r="X180" s="54"/>
      <c r="Y180" s="54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 t="s">
        <v>1518</v>
      </c>
      <c r="AO180" s="41" t="s">
        <v>1591</v>
      </c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</row>
    <row r="181" spans="1:52" ht="20.100000000000001" customHeight="1" x14ac:dyDescent="0.25">
      <c r="A181" s="38">
        <v>181</v>
      </c>
      <c r="B181" s="39" t="s">
        <v>1506</v>
      </c>
      <c r="C181" s="16"/>
      <c r="D181" s="17"/>
      <c r="E181" s="17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52"/>
      <c r="R181" s="52"/>
      <c r="S181" s="52"/>
      <c r="T181" s="54"/>
      <c r="U181" s="54"/>
      <c r="V181" s="54"/>
      <c r="W181" s="54"/>
      <c r="X181" s="54"/>
      <c r="Y181" s="54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 t="s">
        <v>1519</v>
      </c>
      <c r="AO181" s="41" t="s">
        <v>1592</v>
      </c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</row>
    <row r="182" spans="1:52" ht="20.100000000000001" customHeight="1" x14ac:dyDescent="0.25">
      <c r="A182" s="38">
        <v>182</v>
      </c>
      <c r="B182" s="39" t="s">
        <v>1526</v>
      </c>
      <c r="C182" s="16"/>
      <c r="D182" s="17"/>
      <c r="E182" s="17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52"/>
      <c r="R182" s="52"/>
      <c r="S182" s="52"/>
      <c r="T182" s="54"/>
      <c r="U182" s="54"/>
      <c r="V182" s="54"/>
      <c r="W182" s="54"/>
      <c r="X182" s="54"/>
      <c r="Y182" s="54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 t="s">
        <v>1520</v>
      </c>
      <c r="AO182" s="41" t="s">
        <v>1593</v>
      </c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</row>
    <row r="183" spans="1:52" ht="20.100000000000001" customHeight="1" x14ac:dyDescent="0.25">
      <c r="A183" s="38">
        <v>183</v>
      </c>
      <c r="B183" s="39" t="s">
        <v>1507</v>
      </c>
      <c r="C183" s="16"/>
      <c r="D183" s="17"/>
      <c r="E183" s="17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52"/>
      <c r="R183" s="52"/>
      <c r="S183" s="52"/>
      <c r="T183" s="54"/>
      <c r="U183" s="54"/>
      <c r="V183" s="54"/>
      <c r="W183" s="54"/>
      <c r="X183" s="54"/>
      <c r="Y183" s="54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 t="s">
        <v>1521</v>
      </c>
      <c r="AO183" s="41" t="s">
        <v>1594</v>
      </c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</row>
    <row r="184" spans="1:52" ht="20.100000000000001" customHeight="1" x14ac:dyDescent="0.25">
      <c r="A184" s="38">
        <v>184</v>
      </c>
      <c r="B184" s="39" t="s">
        <v>1508</v>
      </c>
      <c r="C184" s="16"/>
      <c r="D184" s="17"/>
      <c r="E184" s="17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52"/>
      <c r="R184" s="52"/>
      <c r="S184" s="52"/>
      <c r="T184" s="54"/>
      <c r="U184" s="54"/>
      <c r="V184" s="54"/>
      <c r="W184" s="54"/>
      <c r="X184" s="54"/>
      <c r="Y184" s="54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 t="s">
        <v>1522</v>
      </c>
      <c r="AO184" s="41" t="s">
        <v>1595</v>
      </c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</row>
    <row r="185" spans="1:52" ht="20.100000000000001" customHeight="1" x14ac:dyDescent="0.25">
      <c r="A185" s="38">
        <v>185</v>
      </c>
      <c r="B185" s="39" t="s">
        <v>1509</v>
      </c>
      <c r="C185" s="16"/>
      <c r="D185" s="17"/>
      <c r="E185" s="17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52"/>
      <c r="R185" s="52"/>
      <c r="S185" s="52"/>
      <c r="T185" s="54"/>
      <c r="U185" s="54"/>
      <c r="V185" s="54"/>
      <c r="W185" s="54"/>
      <c r="X185" s="54"/>
      <c r="Y185" s="54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 t="s">
        <v>1523</v>
      </c>
      <c r="AO185" s="41" t="s">
        <v>1596</v>
      </c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</row>
    <row r="186" spans="1:52" ht="20.100000000000001" customHeight="1" x14ac:dyDescent="0.25">
      <c r="A186" s="38">
        <v>186</v>
      </c>
      <c r="B186" s="39" t="s">
        <v>1510</v>
      </c>
      <c r="C186" s="16"/>
      <c r="D186" s="17"/>
      <c r="E186" s="17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52"/>
      <c r="R186" s="52"/>
      <c r="S186" s="52"/>
      <c r="T186" s="54"/>
      <c r="U186" s="54"/>
      <c r="V186" s="54"/>
      <c r="W186" s="54"/>
      <c r="X186" s="54"/>
      <c r="Y186" s="54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 t="s">
        <v>1524</v>
      </c>
      <c r="AO186" s="41" t="s">
        <v>1597</v>
      </c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</row>
    <row r="187" spans="1:52" ht="20.100000000000001" customHeight="1" x14ac:dyDescent="0.25">
      <c r="A187" s="38">
        <v>187</v>
      </c>
      <c r="B187" s="39" t="s">
        <v>1511</v>
      </c>
      <c r="C187" s="16"/>
      <c r="D187" s="17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52"/>
      <c r="R187" s="52"/>
      <c r="S187" s="52"/>
      <c r="T187" s="54"/>
      <c r="U187" s="54"/>
      <c r="V187" s="54"/>
      <c r="W187" s="54"/>
      <c r="X187" s="54"/>
      <c r="Y187" s="54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 t="s">
        <v>1525</v>
      </c>
      <c r="AO187" s="41">
        <v>207</v>
      </c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</row>
    <row r="188" spans="1:52" ht="20.100000000000001" customHeight="1" x14ac:dyDescent="0.25">
      <c r="A188" s="38">
        <v>188</v>
      </c>
      <c r="B188" s="39" t="s">
        <v>1527</v>
      </c>
      <c r="C188" s="16"/>
      <c r="D188" s="17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52"/>
      <c r="R188" s="52"/>
      <c r="S188" s="52"/>
      <c r="T188" s="54"/>
      <c r="U188" s="54"/>
      <c r="V188" s="54"/>
      <c r="W188" s="54"/>
      <c r="X188" s="54"/>
      <c r="Y188" s="54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 t="s">
        <v>1540</v>
      </c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</row>
    <row r="189" spans="1:52" ht="20.100000000000001" customHeight="1" x14ac:dyDescent="0.25">
      <c r="A189" s="38">
        <v>189</v>
      </c>
      <c r="B189" s="39" t="s">
        <v>1528</v>
      </c>
      <c r="C189" s="16"/>
      <c r="D189" s="17"/>
      <c r="E189" s="17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52"/>
      <c r="R189" s="52"/>
      <c r="S189" s="52"/>
      <c r="T189" s="54"/>
      <c r="U189" s="54"/>
      <c r="V189" s="54"/>
      <c r="W189" s="54"/>
      <c r="X189" s="54"/>
      <c r="Y189" s="54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 t="s">
        <v>1541</v>
      </c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</row>
    <row r="190" spans="1:52" ht="20.100000000000001" customHeight="1" x14ac:dyDescent="0.25">
      <c r="A190" s="38">
        <v>190</v>
      </c>
      <c r="B190" s="39" t="s">
        <v>1551</v>
      </c>
      <c r="C190" s="16"/>
      <c r="D190" s="17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52"/>
      <c r="R190" s="52"/>
      <c r="S190" s="52"/>
      <c r="T190" s="54"/>
      <c r="U190" s="54"/>
      <c r="V190" s="54"/>
      <c r="W190" s="54"/>
      <c r="X190" s="54"/>
      <c r="Y190" s="54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 t="s">
        <v>1542</v>
      </c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</row>
    <row r="191" spans="1:52" ht="20.100000000000001" customHeight="1" x14ac:dyDescent="0.25">
      <c r="A191" s="38">
        <v>191</v>
      </c>
      <c r="B191" s="39" t="s">
        <v>1529</v>
      </c>
      <c r="C191" s="16"/>
      <c r="D191" s="17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52"/>
      <c r="R191" s="52"/>
      <c r="S191" s="52"/>
      <c r="T191" s="54"/>
      <c r="U191" s="54"/>
      <c r="V191" s="54"/>
      <c r="W191" s="54"/>
      <c r="X191" s="54"/>
      <c r="Y191" s="54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 t="s">
        <v>1543</v>
      </c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</row>
    <row r="192" spans="1:52" ht="20.100000000000001" customHeight="1" x14ac:dyDescent="0.25">
      <c r="A192" s="38">
        <v>192</v>
      </c>
      <c r="B192" s="39" t="s">
        <v>1530</v>
      </c>
      <c r="C192" s="16"/>
      <c r="D192" s="17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52"/>
      <c r="R192" s="52"/>
      <c r="S192" s="52"/>
      <c r="T192" s="54"/>
      <c r="U192" s="54"/>
      <c r="V192" s="54"/>
      <c r="W192" s="54"/>
      <c r="X192" s="54"/>
      <c r="Y192" s="54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 t="s">
        <v>1544</v>
      </c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</row>
    <row r="193" spans="1:52" ht="20.100000000000001" customHeight="1" x14ac:dyDescent="0.25">
      <c r="A193" s="38">
        <v>193</v>
      </c>
      <c r="B193" s="39" t="s">
        <v>1531</v>
      </c>
      <c r="C193" s="16"/>
      <c r="D193" s="17"/>
      <c r="E193" s="17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52"/>
      <c r="R193" s="52"/>
      <c r="S193" s="52"/>
      <c r="T193" s="54"/>
      <c r="U193" s="54"/>
      <c r="V193" s="54"/>
      <c r="W193" s="54"/>
      <c r="X193" s="54"/>
      <c r="Y193" s="54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 t="s">
        <v>1545</v>
      </c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</row>
    <row r="194" spans="1:52" ht="20.100000000000001" customHeight="1" x14ac:dyDescent="0.25">
      <c r="A194" s="38">
        <v>194</v>
      </c>
      <c r="B194" s="39" t="s">
        <v>1532</v>
      </c>
      <c r="C194" s="16"/>
      <c r="D194" s="17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52"/>
      <c r="R194" s="52"/>
      <c r="S194" s="52"/>
      <c r="T194" s="54"/>
      <c r="U194" s="54"/>
      <c r="V194" s="54"/>
      <c r="W194" s="54"/>
      <c r="X194" s="54"/>
      <c r="Y194" s="54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 t="s">
        <v>1546</v>
      </c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</row>
    <row r="195" spans="1:52" ht="20.100000000000001" customHeight="1" x14ac:dyDescent="0.25">
      <c r="A195" s="38">
        <v>195</v>
      </c>
      <c r="B195" s="39" t="s">
        <v>1533</v>
      </c>
      <c r="C195" s="16"/>
      <c r="D195" s="17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52"/>
      <c r="R195" s="52"/>
      <c r="S195" s="52"/>
      <c r="T195" s="54"/>
      <c r="U195" s="54"/>
      <c r="V195" s="54"/>
      <c r="W195" s="54"/>
      <c r="X195" s="54"/>
      <c r="Y195" s="54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 t="s">
        <v>1547</v>
      </c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</row>
    <row r="196" spans="1:52" ht="20.100000000000001" customHeight="1" x14ac:dyDescent="0.25">
      <c r="A196" s="38">
        <v>196</v>
      </c>
      <c r="B196" s="39" t="s">
        <v>1534</v>
      </c>
      <c r="C196" s="16"/>
      <c r="D196" s="17"/>
      <c r="E196" s="17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52"/>
      <c r="R196" s="52"/>
      <c r="S196" s="52"/>
      <c r="T196" s="54"/>
      <c r="U196" s="54"/>
      <c r="V196" s="54"/>
      <c r="W196" s="54"/>
      <c r="X196" s="54"/>
      <c r="Y196" s="54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 t="s">
        <v>1548</v>
      </c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</row>
    <row r="197" spans="1:52" ht="20.100000000000001" customHeight="1" x14ac:dyDescent="0.25">
      <c r="A197" s="38">
        <v>197</v>
      </c>
      <c r="B197" s="39" t="s">
        <v>1535</v>
      </c>
      <c r="C197" s="16"/>
      <c r="D197" s="17"/>
      <c r="E197" s="17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52"/>
      <c r="R197" s="52"/>
      <c r="S197" s="52"/>
      <c r="T197" s="54"/>
      <c r="U197" s="54"/>
      <c r="V197" s="54"/>
      <c r="W197" s="54"/>
      <c r="X197" s="54"/>
      <c r="Y197" s="54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 t="s">
        <v>1539</v>
      </c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</row>
    <row r="198" spans="1:52" ht="20.100000000000001" customHeight="1" x14ac:dyDescent="0.25">
      <c r="A198" s="38">
        <v>198</v>
      </c>
      <c r="B198" s="39" t="s">
        <v>1536</v>
      </c>
      <c r="C198" s="16"/>
      <c r="D198" s="17"/>
      <c r="E198" s="17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52"/>
      <c r="R198" s="52"/>
      <c r="S198" s="52"/>
      <c r="T198" s="54"/>
      <c r="U198" s="54"/>
      <c r="V198" s="54"/>
      <c r="W198" s="54"/>
      <c r="X198" s="54"/>
      <c r="Y198" s="54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 t="s">
        <v>1549</v>
      </c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</row>
    <row r="199" spans="1:52" ht="20.100000000000001" customHeight="1" x14ac:dyDescent="0.25">
      <c r="A199" s="38">
        <v>199</v>
      </c>
      <c r="B199" s="39" t="s">
        <v>1537</v>
      </c>
      <c r="C199" s="16"/>
      <c r="D199" s="17"/>
      <c r="E199" s="17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52"/>
      <c r="R199" s="52"/>
      <c r="S199" s="52"/>
      <c r="T199" s="54"/>
      <c r="U199" s="54"/>
      <c r="V199" s="54"/>
      <c r="W199" s="54"/>
      <c r="X199" s="54"/>
      <c r="Y199" s="54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 t="s">
        <v>1550</v>
      </c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</row>
    <row r="200" spans="1:52" ht="20.100000000000001" customHeight="1" x14ac:dyDescent="0.25">
      <c r="A200" s="38">
        <v>200</v>
      </c>
      <c r="B200" s="39" t="s">
        <v>1538</v>
      </c>
      <c r="C200" s="16"/>
      <c r="D200" s="17"/>
      <c r="E200" s="1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52"/>
      <c r="R200" s="52"/>
      <c r="S200" s="52"/>
      <c r="T200" s="54"/>
      <c r="U200" s="54"/>
      <c r="V200" s="54"/>
      <c r="W200" s="54"/>
      <c r="X200" s="54"/>
      <c r="Y200" s="54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 t="s">
        <v>1552</v>
      </c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</row>
    <row r="201" spans="1:52" ht="20.100000000000001" customHeight="1" x14ac:dyDescent="0.25">
      <c r="A201" s="38">
        <v>201</v>
      </c>
      <c r="B201" s="2" t="s">
        <v>1553</v>
      </c>
      <c r="C201" s="16"/>
      <c r="D201" s="17"/>
      <c r="E201" s="17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52"/>
      <c r="R201" s="52"/>
      <c r="S201" s="52"/>
      <c r="T201" s="54"/>
      <c r="U201" s="54"/>
      <c r="V201" s="54"/>
      <c r="W201" s="54"/>
      <c r="X201" s="54"/>
      <c r="Y201" s="54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 t="s">
        <v>1565</v>
      </c>
      <c r="AS201" s="41"/>
      <c r="AT201" s="41"/>
      <c r="AU201" s="41"/>
      <c r="AV201" s="41"/>
      <c r="AW201" s="41"/>
      <c r="AX201" s="41"/>
      <c r="AY201" s="41"/>
      <c r="AZ201" s="41"/>
    </row>
    <row r="202" spans="1:52" ht="20.100000000000001" customHeight="1" x14ac:dyDescent="0.25">
      <c r="A202" s="38">
        <v>202</v>
      </c>
      <c r="B202" s="39" t="s">
        <v>1554</v>
      </c>
      <c r="C202" s="16"/>
      <c r="D202" s="17"/>
      <c r="E202" s="17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52"/>
      <c r="R202" s="52"/>
      <c r="S202" s="52"/>
      <c r="T202" s="54"/>
      <c r="U202" s="54"/>
      <c r="V202" s="54"/>
      <c r="W202" s="54"/>
      <c r="X202" s="54"/>
      <c r="Y202" s="54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 t="s">
        <v>1382</v>
      </c>
      <c r="AS202" s="41" t="s">
        <v>1566</v>
      </c>
      <c r="AT202" s="41"/>
      <c r="AU202" s="41"/>
      <c r="AV202" s="41"/>
      <c r="AW202" s="41"/>
      <c r="AX202" s="41"/>
      <c r="AY202" s="41"/>
      <c r="AZ202" s="41"/>
    </row>
    <row r="203" spans="1:52" ht="20.100000000000001" customHeight="1" x14ac:dyDescent="0.25">
      <c r="A203" s="38">
        <v>203</v>
      </c>
      <c r="B203" s="39" t="s">
        <v>1555</v>
      </c>
      <c r="C203" s="16"/>
      <c r="D203" s="17"/>
      <c r="E203" s="17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52"/>
      <c r="R203" s="52"/>
      <c r="S203" s="52"/>
      <c r="T203" s="54"/>
      <c r="U203" s="54"/>
      <c r="V203" s="54"/>
      <c r="W203" s="54"/>
      <c r="X203" s="54"/>
      <c r="Y203" s="54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 t="s">
        <v>1567</v>
      </c>
      <c r="AS203" s="41" t="s">
        <v>1568</v>
      </c>
      <c r="AT203" s="41"/>
      <c r="AU203" s="41"/>
      <c r="AV203" s="41"/>
      <c r="AW203" s="41"/>
      <c r="AX203" s="41"/>
      <c r="AY203" s="41"/>
      <c r="AZ203" s="41"/>
    </row>
    <row r="204" spans="1:52" ht="20.100000000000001" customHeight="1" x14ac:dyDescent="0.25">
      <c r="A204" s="38">
        <v>204</v>
      </c>
      <c r="B204" s="39" t="s">
        <v>1556</v>
      </c>
      <c r="C204" s="16"/>
      <c r="D204" s="17"/>
      <c r="E204" s="17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52"/>
      <c r="R204" s="52"/>
      <c r="S204" s="52"/>
      <c r="T204" s="54"/>
      <c r="U204" s="54"/>
      <c r="V204" s="54"/>
      <c r="W204" s="54"/>
      <c r="X204" s="54"/>
      <c r="Y204" s="54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 t="s">
        <v>1567</v>
      </c>
      <c r="AS204" s="41" t="s">
        <v>1568</v>
      </c>
      <c r="AT204" s="41"/>
      <c r="AU204" s="41"/>
      <c r="AV204" s="41"/>
      <c r="AW204" s="41"/>
      <c r="AX204" s="41"/>
      <c r="AY204" s="41"/>
      <c r="AZ204" s="41"/>
    </row>
    <row r="205" spans="1:52" ht="20.100000000000001" customHeight="1" x14ac:dyDescent="0.25">
      <c r="A205" s="38">
        <v>205</v>
      </c>
      <c r="B205" s="39" t="s">
        <v>1557</v>
      </c>
      <c r="C205" s="16"/>
      <c r="D205" s="17"/>
      <c r="E205" s="17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52"/>
      <c r="R205" s="52"/>
      <c r="S205" s="52"/>
      <c r="T205" s="54"/>
      <c r="U205" s="54"/>
      <c r="V205" s="54"/>
      <c r="W205" s="54"/>
      <c r="X205" s="54"/>
      <c r="Y205" s="54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 t="s">
        <v>1569</v>
      </c>
      <c r="AS205" s="41"/>
      <c r="AT205" s="41" t="s">
        <v>1570</v>
      </c>
      <c r="AU205" s="41"/>
      <c r="AV205" s="41"/>
      <c r="AW205" s="41"/>
      <c r="AX205" s="41"/>
      <c r="AY205" s="41"/>
      <c r="AZ205" s="41"/>
    </row>
    <row r="206" spans="1:52" ht="20.100000000000001" customHeight="1" x14ac:dyDescent="0.25">
      <c r="A206" s="38">
        <v>206</v>
      </c>
      <c r="B206" s="39" t="s">
        <v>1558</v>
      </c>
      <c r="C206" s="16"/>
      <c r="D206" s="17"/>
      <c r="E206" s="17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52"/>
      <c r="R206" s="52"/>
      <c r="S206" s="52"/>
      <c r="T206" s="54"/>
      <c r="U206" s="54"/>
      <c r="V206" s="54"/>
      <c r="W206" s="54"/>
      <c r="X206" s="54"/>
      <c r="Y206" s="54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 t="s">
        <v>1569</v>
      </c>
      <c r="AS206" s="41"/>
      <c r="AT206" s="41" t="s">
        <v>1570</v>
      </c>
      <c r="AU206" s="41"/>
      <c r="AV206" s="41"/>
      <c r="AW206" s="41"/>
      <c r="AX206" s="41"/>
      <c r="AY206" s="41"/>
      <c r="AZ206" s="41"/>
    </row>
    <row r="207" spans="1:52" ht="20.100000000000001" customHeight="1" x14ac:dyDescent="0.25">
      <c r="A207" s="38">
        <v>207</v>
      </c>
      <c r="B207" s="39" t="s">
        <v>1559</v>
      </c>
      <c r="C207" s="16"/>
      <c r="D207" s="17"/>
      <c r="E207" s="17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52"/>
      <c r="R207" s="52"/>
      <c r="S207" s="52"/>
      <c r="T207" s="54"/>
      <c r="U207" s="54"/>
      <c r="V207" s="54"/>
      <c r="W207" s="54"/>
      <c r="X207" s="54"/>
      <c r="Y207" s="54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 t="s">
        <v>1512</v>
      </c>
      <c r="AS207" s="41"/>
      <c r="AT207" s="41"/>
      <c r="AU207" s="41"/>
      <c r="AV207" s="41"/>
      <c r="AW207" s="41"/>
      <c r="AX207" s="41"/>
      <c r="AY207" s="41"/>
      <c r="AZ207" s="41"/>
    </row>
    <row r="208" spans="1:52" ht="20.100000000000001" customHeight="1" x14ac:dyDescent="0.25">
      <c r="A208" s="38">
        <v>208</v>
      </c>
      <c r="B208" s="39" t="s">
        <v>1560</v>
      </c>
      <c r="C208" s="16"/>
      <c r="D208" s="17"/>
      <c r="E208" s="17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52"/>
      <c r="R208" s="52"/>
      <c r="S208" s="52"/>
      <c r="T208" s="54"/>
      <c r="U208" s="54"/>
      <c r="V208" s="54"/>
      <c r="W208" s="54"/>
      <c r="X208" s="54"/>
      <c r="Y208" s="54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 t="s">
        <v>1571</v>
      </c>
      <c r="AS208" s="41"/>
      <c r="AT208" s="41"/>
      <c r="AU208" s="41"/>
      <c r="AV208" s="41"/>
      <c r="AW208" s="41"/>
      <c r="AX208" s="41"/>
      <c r="AY208" s="41"/>
      <c r="AZ208" s="41"/>
    </row>
    <row r="209" spans="1:52" ht="20.100000000000001" customHeight="1" x14ac:dyDescent="0.25">
      <c r="A209" s="38">
        <v>209</v>
      </c>
      <c r="B209" s="39" t="s">
        <v>1561</v>
      </c>
      <c r="C209" s="16"/>
      <c r="D209" s="17"/>
      <c r="E209" s="17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52"/>
      <c r="R209" s="52"/>
      <c r="S209" s="52"/>
      <c r="T209" s="54"/>
      <c r="U209" s="54"/>
      <c r="V209" s="54"/>
      <c r="W209" s="54"/>
      <c r="X209" s="54"/>
      <c r="Y209" s="54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 t="s">
        <v>1572</v>
      </c>
      <c r="AT209" s="41"/>
      <c r="AU209" s="41"/>
      <c r="AV209" s="41"/>
      <c r="AW209" s="41"/>
      <c r="AX209" s="41"/>
      <c r="AY209" s="41"/>
      <c r="AZ209" s="41"/>
    </row>
    <row r="210" spans="1:52" ht="20.100000000000001" customHeight="1" x14ac:dyDescent="0.25">
      <c r="A210" s="38">
        <v>210</v>
      </c>
      <c r="B210" s="39" t="s">
        <v>1562</v>
      </c>
      <c r="C210" s="16"/>
      <c r="D210" s="17"/>
      <c r="E210" s="17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52"/>
      <c r="R210" s="52"/>
      <c r="S210" s="52"/>
      <c r="T210" s="54"/>
      <c r="U210" s="54"/>
      <c r="V210" s="54"/>
      <c r="W210" s="54"/>
      <c r="X210" s="54"/>
      <c r="Y210" s="54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 t="s">
        <v>1573</v>
      </c>
      <c r="AS210" s="41" t="s">
        <v>1574</v>
      </c>
      <c r="AT210" s="41" t="s">
        <v>1575</v>
      </c>
      <c r="AU210" s="41"/>
      <c r="AV210" s="41"/>
      <c r="AW210" s="41"/>
      <c r="AX210" s="41"/>
      <c r="AY210" s="41"/>
      <c r="AZ210" s="41"/>
    </row>
    <row r="211" spans="1:52" ht="20.100000000000001" customHeight="1" x14ac:dyDescent="0.25">
      <c r="A211" s="38">
        <v>211</v>
      </c>
      <c r="B211" s="39" t="s">
        <v>1563</v>
      </c>
      <c r="C211" s="16"/>
      <c r="D211" s="17"/>
      <c r="E211" s="17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52"/>
      <c r="R211" s="52"/>
      <c r="S211" s="52"/>
      <c r="T211" s="54"/>
      <c r="U211" s="54"/>
      <c r="V211" s="54"/>
      <c r="W211" s="54"/>
      <c r="X211" s="54"/>
      <c r="Y211" s="54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 t="s">
        <v>1576</v>
      </c>
      <c r="AU211" s="41"/>
      <c r="AV211" s="41"/>
      <c r="AW211" s="41"/>
      <c r="AX211" s="41"/>
      <c r="AY211" s="41"/>
      <c r="AZ211" s="41"/>
    </row>
    <row r="212" spans="1:52" ht="20.100000000000001" customHeight="1" x14ac:dyDescent="0.25">
      <c r="A212" s="38">
        <v>212</v>
      </c>
      <c r="B212" s="39" t="s">
        <v>1564</v>
      </c>
      <c r="C212" s="16"/>
      <c r="D212" s="17"/>
      <c r="E212" s="1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52"/>
      <c r="R212" s="52"/>
      <c r="S212" s="52"/>
      <c r="T212" s="54"/>
      <c r="U212" s="54"/>
      <c r="V212" s="54"/>
      <c r="W212" s="54"/>
      <c r="X212" s="54"/>
      <c r="Y212" s="54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 t="s">
        <v>1577</v>
      </c>
      <c r="AS212" s="41"/>
      <c r="AT212" s="41"/>
      <c r="AU212" s="41"/>
      <c r="AV212" s="41"/>
      <c r="AW212" s="41"/>
      <c r="AX212" s="41"/>
      <c r="AY212" s="41"/>
      <c r="AZ212" s="41"/>
    </row>
    <row r="213" spans="1:52" ht="20.100000000000001" customHeight="1" x14ac:dyDescent="0.25">
      <c r="A213" s="38">
        <v>213</v>
      </c>
      <c r="B213" s="39" t="s">
        <v>604</v>
      </c>
      <c r="C213" s="16"/>
      <c r="D213" s="17"/>
      <c r="E213" s="17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52"/>
      <c r="R213" s="52"/>
      <c r="S213" s="52"/>
      <c r="T213" s="54"/>
      <c r="U213" s="54"/>
      <c r="V213" s="54"/>
      <c r="W213" s="54"/>
      <c r="X213" s="54"/>
      <c r="Y213" s="54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 t="s">
        <v>1622</v>
      </c>
      <c r="AV213" s="41" t="s">
        <v>1622</v>
      </c>
      <c r="AW213" s="41" t="s">
        <v>1622</v>
      </c>
      <c r="AX213" s="41"/>
      <c r="AY213" s="41"/>
      <c r="AZ213" s="41"/>
    </row>
    <row r="214" spans="1:52" ht="20.100000000000001" customHeight="1" x14ac:dyDescent="0.25">
      <c r="A214" s="38">
        <v>214</v>
      </c>
      <c r="B214" s="39" t="s">
        <v>1604</v>
      </c>
      <c r="C214" s="16"/>
      <c r="D214" s="17"/>
      <c r="E214" s="17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52"/>
      <c r="R214" s="52"/>
      <c r="S214" s="52"/>
      <c r="T214" s="54"/>
      <c r="U214" s="54"/>
      <c r="V214" s="54"/>
      <c r="W214" s="54"/>
      <c r="X214" s="54"/>
      <c r="Y214" s="54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 t="s">
        <v>1623</v>
      </c>
      <c r="AV214" s="41" t="s">
        <v>1623</v>
      </c>
      <c r="AW214" s="41" t="s">
        <v>1623</v>
      </c>
      <c r="AX214" s="41"/>
      <c r="AY214" s="41"/>
      <c r="AZ214" s="41"/>
    </row>
    <row r="215" spans="1:52" ht="20.100000000000001" customHeight="1" x14ac:dyDescent="0.25">
      <c r="A215" s="38">
        <v>215</v>
      </c>
      <c r="B215" s="39" t="s">
        <v>1605</v>
      </c>
      <c r="C215" s="16"/>
      <c r="D215" s="17"/>
      <c r="E215" s="17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52"/>
      <c r="R215" s="52"/>
      <c r="S215" s="52"/>
      <c r="T215" s="54"/>
      <c r="U215" s="54"/>
      <c r="V215" s="54"/>
      <c r="W215" s="54"/>
      <c r="X215" s="54"/>
      <c r="Y215" s="54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 t="s">
        <v>1624</v>
      </c>
      <c r="AV215" s="41" t="s">
        <v>1624</v>
      </c>
      <c r="AW215" s="41" t="s">
        <v>1624</v>
      </c>
      <c r="AX215" s="41"/>
      <c r="AY215" s="41"/>
      <c r="AZ215" s="41"/>
    </row>
    <row r="216" spans="1:52" ht="20.100000000000001" customHeight="1" x14ac:dyDescent="0.25">
      <c r="A216" s="38">
        <v>216</v>
      </c>
      <c r="B216" s="39" t="s">
        <v>1606</v>
      </c>
      <c r="C216" s="16"/>
      <c r="D216" s="17"/>
      <c r="E216" s="17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52"/>
      <c r="R216" s="52"/>
      <c r="S216" s="52"/>
      <c r="T216" s="54"/>
      <c r="U216" s="54"/>
      <c r="V216" s="54"/>
      <c r="W216" s="54"/>
      <c r="X216" s="54"/>
      <c r="Y216" s="54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 t="s">
        <v>1624</v>
      </c>
      <c r="AV216" s="41" t="s">
        <v>1624</v>
      </c>
      <c r="AW216" s="41" t="s">
        <v>1624</v>
      </c>
      <c r="AX216" s="41"/>
      <c r="AY216" s="41"/>
      <c r="AZ216" s="41"/>
    </row>
    <row r="217" spans="1:52" ht="20.100000000000001" customHeight="1" x14ac:dyDescent="0.25">
      <c r="A217" s="38">
        <v>217</v>
      </c>
      <c r="B217" s="39" t="s">
        <v>1607</v>
      </c>
      <c r="C217" s="16"/>
      <c r="D217" s="17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52"/>
      <c r="R217" s="52"/>
      <c r="S217" s="52"/>
      <c r="T217" s="54"/>
      <c r="U217" s="54"/>
      <c r="V217" s="54"/>
      <c r="W217" s="54"/>
      <c r="X217" s="54"/>
      <c r="Y217" s="54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 t="s">
        <v>1625</v>
      </c>
      <c r="AV217" s="41" t="s">
        <v>1625</v>
      </c>
      <c r="AW217" s="41" t="s">
        <v>1625</v>
      </c>
      <c r="AX217" s="41"/>
      <c r="AY217" s="41"/>
      <c r="AZ217" s="41"/>
    </row>
    <row r="218" spans="1:52" ht="20.100000000000001" customHeight="1" x14ac:dyDescent="0.25">
      <c r="A218" s="38">
        <v>218</v>
      </c>
      <c r="B218" s="39" t="s">
        <v>1608</v>
      </c>
      <c r="C218" s="16"/>
      <c r="D218" s="17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52"/>
      <c r="R218" s="52"/>
      <c r="S218" s="52"/>
      <c r="T218" s="54"/>
      <c r="U218" s="54"/>
      <c r="V218" s="54"/>
      <c r="W218" s="54"/>
      <c r="X218" s="54"/>
      <c r="Y218" s="54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 t="s">
        <v>1625</v>
      </c>
      <c r="AV218" s="41" t="s">
        <v>1625</v>
      </c>
      <c r="AW218" s="41" t="s">
        <v>1625</v>
      </c>
      <c r="AX218" s="41"/>
      <c r="AY218" s="41"/>
      <c r="AZ218" s="41"/>
    </row>
    <row r="219" spans="1:52" ht="20.100000000000001" customHeight="1" x14ac:dyDescent="0.25">
      <c r="A219" s="38">
        <v>219</v>
      </c>
      <c r="B219" s="39" t="s">
        <v>1609</v>
      </c>
      <c r="C219" s="16"/>
      <c r="D219" s="17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52"/>
      <c r="R219" s="52"/>
      <c r="S219" s="52"/>
      <c r="T219" s="54"/>
      <c r="U219" s="54"/>
      <c r="V219" s="54"/>
      <c r="W219" s="54"/>
      <c r="X219" s="54"/>
      <c r="Y219" s="54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 t="s">
        <v>1625</v>
      </c>
      <c r="AV219" s="41" t="s">
        <v>1625</v>
      </c>
      <c r="AW219" s="41" t="s">
        <v>1625</v>
      </c>
      <c r="AX219" s="41"/>
      <c r="AY219" s="41"/>
      <c r="AZ219" s="41"/>
    </row>
    <row r="220" spans="1:52" ht="20.100000000000001" customHeight="1" x14ac:dyDescent="0.25">
      <c r="A220" s="38">
        <v>220</v>
      </c>
      <c r="B220" s="39" t="s">
        <v>1610</v>
      </c>
      <c r="C220" s="16"/>
      <c r="D220" s="17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52"/>
      <c r="R220" s="52"/>
      <c r="S220" s="52"/>
      <c r="T220" s="54"/>
      <c r="U220" s="54"/>
      <c r="V220" s="54"/>
      <c r="W220" s="54"/>
      <c r="X220" s="54"/>
      <c r="Y220" s="54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 t="s">
        <v>1626</v>
      </c>
      <c r="AV220" s="41" t="s">
        <v>1626</v>
      </c>
      <c r="AW220" s="41" t="s">
        <v>1626</v>
      </c>
      <c r="AX220" s="41"/>
      <c r="AY220" s="41"/>
      <c r="AZ220" s="41"/>
    </row>
    <row r="221" spans="1:52" ht="20.100000000000001" customHeight="1" x14ac:dyDescent="0.25">
      <c r="A221" s="38">
        <v>221</v>
      </c>
      <c r="B221" s="39" t="s">
        <v>1610</v>
      </c>
      <c r="C221" s="16"/>
      <c r="D221" s="17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52"/>
      <c r="R221" s="52"/>
      <c r="S221" s="52"/>
      <c r="T221" s="54"/>
      <c r="U221" s="54"/>
      <c r="V221" s="54"/>
      <c r="W221" s="54"/>
      <c r="X221" s="54"/>
      <c r="Y221" s="54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 t="s">
        <v>1627</v>
      </c>
      <c r="AV221" s="41" t="s">
        <v>1627</v>
      </c>
      <c r="AW221" s="41" t="s">
        <v>1627</v>
      </c>
      <c r="AX221" s="41"/>
      <c r="AY221" s="41"/>
      <c r="AZ221" s="41"/>
    </row>
    <row r="222" spans="1:52" ht="20.100000000000001" customHeight="1" x14ac:dyDescent="0.25">
      <c r="A222" s="38">
        <v>222</v>
      </c>
      <c r="B222" s="39" t="s">
        <v>1611</v>
      </c>
      <c r="C222" s="16"/>
      <c r="D222" s="17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52"/>
      <c r="R222" s="52"/>
      <c r="S222" s="52"/>
      <c r="T222" s="54"/>
      <c r="U222" s="54"/>
      <c r="V222" s="54"/>
      <c r="W222" s="54"/>
      <c r="X222" s="54"/>
      <c r="Y222" s="54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 t="s">
        <v>1628</v>
      </c>
      <c r="AV222" s="41" t="s">
        <v>1628</v>
      </c>
      <c r="AW222" s="41" t="s">
        <v>1628</v>
      </c>
      <c r="AX222" s="41"/>
      <c r="AY222" s="41"/>
      <c r="AZ222" s="41"/>
    </row>
    <row r="223" spans="1:52" ht="20.100000000000001" customHeight="1" x14ac:dyDescent="0.25">
      <c r="A223" s="38">
        <v>223</v>
      </c>
      <c r="B223" s="39" t="s">
        <v>1611</v>
      </c>
      <c r="C223" s="16"/>
      <c r="D223" s="17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52"/>
      <c r="R223" s="52"/>
      <c r="S223" s="52"/>
      <c r="T223" s="54"/>
      <c r="U223" s="54"/>
      <c r="V223" s="54"/>
      <c r="W223" s="54"/>
      <c r="X223" s="54"/>
      <c r="Y223" s="54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 t="s">
        <v>1629</v>
      </c>
      <c r="AV223" s="41" t="s">
        <v>1629</v>
      </c>
      <c r="AW223" s="41" t="s">
        <v>1629</v>
      </c>
      <c r="AX223" s="41"/>
      <c r="AY223" s="41"/>
      <c r="AZ223" s="41"/>
    </row>
    <row r="224" spans="1:52" ht="20.100000000000001" customHeight="1" x14ac:dyDescent="0.25">
      <c r="A224" s="38">
        <v>224</v>
      </c>
      <c r="B224" s="39" t="s">
        <v>1612</v>
      </c>
      <c r="C224" s="16"/>
      <c r="D224" s="17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52"/>
      <c r="R224" s="52"/>
      <c r="S224" s="52"/>
      <c r="T224" s="54"/>
      <c r="U224" s="54"/>
      <c r="V224" s="54"/>
      <c r="W224" s="54"/>
      <c r="X224" s="54"/>
      <c r="Y224" s="54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 t="s">
        <v>1630</v>
      </c>
      <c r="AV224" s="41" t="s">
        <v>1630</v>
      </c>
      <c r="AW224" s="41" t="s">
        <v>1630</v>
      </c>
      <c r="AX224" s="41"/>
      <c r="AY224" s="41"/>
      <c r="AZ224" s="41"/>
    </row>
    <row r="225" spans="1:52" ht="20.100000000000001" customHeight="1" x14ac:dyDescent="0.25">
      <c r="A225" s="38">
        <v>225</v>
      </c>
      <c r="B225" s="39" t="s">
        <v>1613</v>
      </c>
      <c r="C225" s="16"/>
      <c r="D225" s="17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52"/>
      <c r="R225" s="52"/>
      <c r="S225" s="52"/>
      <c r="T225" s="54"/>
      <c r="U225" s="54"/>
      <c r="V225" s="54"/>
      <c r="W225" s="54"/>
      <c r="X225" s="54"/>
      <c r="Y225" s="54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 t="s">
        <v>1631</v>
      </c>
      <c r="AV225" s="41" t="s">
        <v>1631</v>
      </c>
      <c r="AW225" s="41" t="s">
        <v>1631</v>
      </c>
      <c r="AX225" s="41"/>
      <c r="AY225" s="41"/>
      <c r="AZ225" s="41"/>
    </row>
    <row r="226" spans="1:52" ht="20.100000000000001" customHeight="1" x14ac:dyDescent="0.25">
      <c r="A226" s="38">
        <v>226</v>
      </c>
      <c r="B226" s="39" t="s">
        <v>1614</v>
      </c>
      <c r="C226" s="16"/>
      <c r="D226" s="17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52"/>
      <c r="R226" s="52"/>
      <c r="S226" s="52"/>
      <c r="T226" s="54"/>
      <c r="U226" s="54"/>
      <c r="V226" s="54"/>
      <c r="W226" s="54"/>
      <c r="X226" s="54"/>
      <c r="Y226" s="54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 t="s">
        <v>1632</v>
      </c>
      <c r="AV226" s="41" t="s">
        <v>1632</v>
      </c>
      <c r="AW226" s="41" t="s">
        <v>1632</v>
      </c>
      <c r="AX226" s="41"/>
      <c r="AY226" s="41"/>
      <c r="AZ226" s="41"/>
    </row>
    <row r="227" spans="1:52" ht="20.100000000000001" customHeight="1" x14ac:dyDescent="0.25">
      <c r="A227" s="38">
        <v>227</v>
      </c>
      <c r="B227" s="39" t="s">
        <v>1615</v>
      </c>
      <c r="C227" s="16"/>
      <c r="D227" s="17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52"/>
      <c r="R227" s="52"/>
      <c r="S227" s="52"/>
      <c r="T227" s="54"/>
      <c r="U227" s="54"/>
      <c r="V227" s="54"/>
      <c r="W227" s="54"/>
      <c r="X227" s="54"/>
      <c r="Y227" s="54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 t="s">
        <v>1633</v>
      </c>
      <c r="AV227" s="41" t="s">
        <v>1633</v>
      </c>
      <c r="AW227" s="41" t="s">
        <v>1633</v>
      </c>
      <c r="AX227" s="41"/>
      <c r="AY227" s="41"/>
      <c r="AZ227" s="41"/>
    </row>
    <row r="228" spans="1:52" ht="20.100000000000001" customHeight="1" x14ac:dyDescent="0.25">
      <c r="A228" s="38">
        <v>228</v>
      </c>
      <c r="B228" s="39" t="s">
        <v>1616</v>
      </c>
      <c r="C228" s="16"/>
      <c r="D228" s="17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52"/>
      <c r="R228" s="52"/>
      <c r="S228" s="52"/>
      <c r="T228" s="54"/>
      <c r="U228" s="54"/>
      <c r="V228" s="54"/>
      <c r="W228" s="54"/>
      <c r="X228" s="54"/>
      <c r="Y228" s="54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 t="s">
        <v>1634</v>
      </c>
      <c r="AV228" s="41" t="s">
        <v>1634</v>
      </c>
      <c r="AW228" s="41" t="s">
        <v>1634</v>
      </c>
      <c r="AX228" s="41"/>
      <c r="AY228" s="41"/>
      <c r="AZ228" s="41"/>
    </row>
    <row r="229" spans="1:52" ht="20.100000000000001" customHeight="1" x14ac:dyDescent="0.25">
      <c r="A229" s="38">
        <v>229</v>
      </c>
      <c r="B229" s="39" t="s">
        <v>1617</v>
      </c>
      <c r="C229" s="16"/>
      <c r="D229" s="17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52"/>
      <c r="R229" s="52"/>
      <c r="S229" s="52"/>
      <c r="T229" s="54"/>
      <c r="U229" s="54"/>
      <c r="V229" s="54"/>
      <c r="W229" s="54"/>
      <c r="X229" s="54"/>
      <c r="Y229" s="54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 t="s">
        <v>1635</v>
      </c>
      <c r="AV229" s="41" t="s">
        <v>1635</v>
      </c>
      <c r="AW229" s="41" t="s">
        <v>1635</v>
      </c>
      <c r="AX229" s="41"/>
      <c r="AY229" s="41"/>
      <c r="AZ229" s="41"/>
    </row>
    <row r="230" spans="1:52" ht="20.100000000000001" customHeight="1" x14ac:dyDescent="0.25">
      <c r="A230" s="38">
        <v>230</v>
      </c>
      <c r="B230" s="39" t="s">
        <v>1618</v>
      </c>
      <c r="C230" s="16"/>
      <c r="D230" s="17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52"/>
      <c r="R230" s="52"/>
      <c r="S230" s="52"/>
      <c r="T230" s="54"/>
      <c r="U230" s="54"/>
      <c r="V230" s="54"/>
      <c r="W230" s="54"/>
      <c r="X230" s="54"/>
      <c r="Y230" s="54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 t="s">
        <v>1636</v>
      </c>
      <c r="AV230" s="41" t="s">
        <v>1636</v>
      </c>
      <c r="AW230" s="41" t="s">
        <v>1636</v>
      </c>
      <c r="AX230" s="41"/>
      <c r="AY230" s="41"/>
      <c r="AZ230" s="41"/>
    </row>
    <row r="231" spans="1:52" ht="20.100000000000001" customHeight="1" x14ac:dyDescent="0.25">
      <c r="A231" s="38">
        <v>231</v>
      </c>
      <c r="B231" s="39" t="s">
        <v>1619</v>
      </c>
      <c r="C231" s="16"/>
      <c r="D231" s="17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52"/>
      <c r="R231" s="52"/>
      <c r="S231" s="52"/>
      <c r="T231" s="54"/>
      <c r="U231" s="54"/>
      <c r="V231" s="54"/>
      <c r="W231" s="54"/>
      <c r="X231" s="54"/>
      <c r="Y231" s="54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 t="s">
        <v>1637</v>
      </c>
      <c r="AV231" s="41" t="s">
        <v>1637</v>
      </c>
      <c r="AW231" s="41" t="s">
        <v>1637</v>
      </c>
      <c r="AX231" s="41"/>
      <c r="AY231" s="41"/>
      <c r="AZ231" s="41"/>
    </row>
    <row r="232" spans="1:52" ht="20.100000000000001" customHeight="1" x14ac:dyDescent="0.25">
      <c r="A232" s="38">
        <v>232</v>
      </c>
      <c r="B232" s="39" t="s">
        <v>1620</v>
      </c>
      <c r="C232" s="16"/>
      <c r="D232" s="17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52"/>
      <c r="R232" s="52"/>
      <c r="S232" s="52"/>
      <c r="T232" s="54"/>
      <c r="U232" s="54"/>
      <c r="V232" s="54"/>
      <c r="W232" s="54"/>
      <c r="X232" s="54"/>
      <c r="Y232" s="54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 t="s">
        <v>1638</v>
      </c>
      <c r="AV232" s="41" t="s">
        <v>1638</v>
      </c>
      <c r="AW232" s="41" t="s">
        <v>1638</v>
      </c>
      <c r="AX232" s="41"/>
      <c r="AY232" s="41"/>
      <c r="AZ232" s="41"/>
    </row>
    <row r="233" spans="1:52" ht="20.100000000000001" customHeight="1" x14ac:dyDescent="0.25">
      <c r="A233" s="38">
        <v>233</v>
      </c>
      <c r="B233" s="39" t="s">
        <v>1621</v>
      </c>
      <c r="C233" s="16"/>
      <c r="D233" s="17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52"/>
      <c r="R233" s="52"/>
      <c r="S233" s="52"/>
      <c r="T233" s="54"/>
      <c r="U233" s="54"/>
      <c r="V233" s="54"/>
      <c r="W233" s="54"/>
      <c r="X233" s="54"/>
      <c r="Y233" s="54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 t="s">
        <v>1639</v>
      </c>
      <c r="AV233" s="41" t="s">
        <v>1639</v>
      </c>
      <c r="AW233" s="41" t="s">
        <v>1639</v>
      </c>
      <c r="AX233" s="41"/>
      <c r="AY233" s="41"/>
      <c r="AZ233" s="41"/>
    </row>
    <row r="234" spans="1:52" ht="20.100000000000001" customHeight="1" x14ac:dyDescent="0.25">
      <c r="A234" s="38">
        <v>234</v>
      </c>
      <c r="B234" s="39" t="s">
        <v>1646</v>
      </c>
      <c r="C234" s="16"/>
      <c r="D234" s="17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52"/>
      <c r="R234" s="52"/>
      <c r="S234" s="52"/>
      <c r="T234" s="54"/>
      <c r="U234" s="54"/>
      <c r="V234" s="54"/>
      <c r="W234" s="54"/>
      <c r="X234" s="54"/>
      <c r="Y234" s="54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>
        <v>0</v>
      </c>
      <c r="AY234" s="41"/>
      <c r="AZ234" s="41"/>
    </row>
    <row r="235" spans="1:52" ht="20.100000000000001" customHeight="1" x14ac:dyDescent="0.25">
      <c r="A235" s="38">
        <v>235</v>
      </c>
      <c r="B235" s="39" t="s">
        <v>1647</v>
      </c>
      <c r="C235" s="16"/>
      <c r="D235" s="17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52"/>
      <c r="R235" s="52"/>
      <c r="S235" s="52"/>
      <c r="T235" s="54"/>
      <c r="U235" s="54"/>
      <c r="V235" s="54"/>
      <c r="W235" s="54"/>
      <c r="X235" s="54"/>
      <c r="Y235" s="54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>
        <v>496</v>
      </c>
      <c r="AY235" s="41"/>
      <c r="AZ235" s="41"/>
    </row>
  </sheetData>
  <autoFilter ref="A1:AZ235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Z37"/>
  <sheetViews>
    <sheetView zoomScaleNormal="100" workbookViewId="0">
      <pane xSplit="2" ySplit="1" topLeftCell="AH11" activePane="bottomRight" state="frozen"/>
      <selection pane="topRight" activeCell="C1" sqref="C1"/>
      <selection pane="bottomLeft" activeCell="A2" sqref="A2"/>
      <selection pane="bottomRight" activeCell="B2" sqref="B2:B37"/>
    </sheetView>
  </sheetViews>
  <sheetFormatPr baseColWidth="10" defaultColWidth="10.85546875" defaultRowHeight="15.75" x14ac:dyDescent="0.25"/>
  <cols>
    <col min="1" max="1" width="6.85546875" style="2" bestFit="1" customWidth="1"/>
    <col min="2" max="2" width="30.5703125" style="2" customWidth="1"/>
    <col min="3" max="52" width="10.5703125" style="2" customWidth="1"/>
    <col min="53" max="16384" width="10.85546875" style="2"/>
  </cols>
  <sheetData>
    <row r="1" spans="1:52" ht="20.100000000000001" customHeight="1" x14ac:dyDescent="0.25">
      <c r="A1" s="1" t="s">
        <v>0</v>
      </c>
      <c r="B1" s="1" t="s">
        <v>1</v>
      </c>
      <c r="C1" s="50" t="s">
        <v>300</v>
      </c>
      <c r="D1" s="50" t="s">
        <v>302</v>
      </c>
      <c r="E1" s="50" t="s">
        <v>305</v>
      </c>
      <c r="F1" s="50" t="s">
        <v>308</v>
      </c>
      <c r="G1" s="50" t="s">
        <v>856</v>
      </c>
      <c r="H1" s="50" t="s">
        <v>314</v>
      </c>
      <c r="I1" s="50" t="s">
        <v>317</v>
      </c>
      <c r="J1" s="50" t="s">
        <v>319</v>
      </c>
      <c r="K1" s="50" t="s">
        <v>332</v>
      </c>
      <c r="L1" s="50" t="s">
        <v>335</v>
      </c>
      <c r="M1" s="50" t="s">
        <v>339</v>
      </c>
      <c r="N1" s="50" t="s">
        <v>324</v>
      </c>
      <c r="O1" s="50" t="s">
        <v>327</v>
      </c>
      <c r="P1" s="50" t="s">
        <v>329</v>
      </c>
      <c r="Q1" s="51" t="s">
        <v>341</v>
      </c>
      <c r="R1" s="51" t="s">
        <v>344</v>
      </c>
      <c r="S1" s="51" t="s">
        <v>347</v>
      </c>
      <c r="T1" s="53" t="s">
        <v>352</v>
      </c>
      <c r="U1" s="53" t="s">
        <v>350</v>
      </c>
      <c r="V1" s="53" t="s">
        <v>355</v>
      </c>
      <c r="W1" s="53" t="s">
        <v>358</v>
      </c>
      <c r="X1" s="53" t="s">
        <v>364</v>
      </c>
      <c r="Y1" s="53" t="s">
        <v>361</v>
      </c>
      <c r="Z1" s="1" t="s">
        <v>367</v>
      </c>
      <c r="AA1" s="1" t="s">
        <v>369</v>
      </c>
      <c r="AB1" s="1" t="s">
        <v>372</v>
      </c>
      <c r="AC1" s="1" t="s">
        <v>999</v>
      </c>
      <c r="AD1" s="1" t="s">
        <v>375</v>
      </c>
      <c r="AE1" s="1" t="s">
        <v>377</v>
      </c>
      <c r="AF1" s="1" t="s">
        <v>379</v>
      </c>
      <c r="AG1" s="1" t="s">
        <v>1000</v>
      </c>
      <c r="AH1" s="1" t="s">
        <v>642</v>
      </c>
      <c r="AI1" s="1" t="s">
        <v>1001</v>
      </c>
      <c r="AJ1" s="1" t="s">
        <v>394</v>
      </c>
      <c r="AK1" s="1" t="s">
        <v>398</v>
      </c>
      <c r="AL1" s="1" t="s">
        <v>655</v>
      </c>
      <c r="AM1" s="1" t="s">
        <v>1002</v>
      </c>
      <c r="AN1" s="1" t="s">
        <v>407</v>
      </c>
      <c r="AO1" s="1" t="s">
        <v>410</v>
      </c>
      <c r="AP1" s="1" t="s">
        <v>434</v>
      </c>
      <c r="AQ1" s="1" t="s">
        <v>436</v>
      </c>
      <c r="AR1" s="1" t="s">
        <v>439</v>
      </c>
      <c r="AS1" s="1" t="s">
        <v>441</v>
      </c>
      <c r="AT1" s="1" t="s">
        <v>444</v>
      </c>
      <c r="AU1" s="1" t="s">
        <v>415</v>
      </c>
      <c r="AV1" s="1" t="s">
        <v>418</v>
      </c>
      <c r="AW1" s="1" t="s">
        <v>423</v>
      </c>
      <c r="AX1" s="1" t="s">
        <v>425</v>
      </c>
      <c r="AY1" s="1" t="s">
        <v>428</v>
      </c>
      <c r="AZ1" s="1" t="s">
        <v>431</v>
      </c>
    </row>
    <row r="2" spans="1:52" ht="20.100000000000001" customHeight="1" x14ac:dyDescent="0.25">
      <c r="A2" s="38">
        <v>1</v>
      </c>
      <c r="B2" s="45" t="s">
        <v>1015</v>
      </c>
      <c r="C2" s="16"/>
      <c r="D2" s="17"/>
      <c r="E2" s="17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52"/>
      <c r="R2" s="52" t="s">
        <v>1005</v>
      </c>
      <c r="S2" s="52"/>
      <c r="T2" s="54"/>
      <c r="U2" s="54"/>
      <c r="V2" s="54"/>
      <c r="W2" s="54"/>
      <c r="X2" s="54" t="s">
        <v>1005</v>
      </c>
      <c r="Y2" s="54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</row>
    <row r="3" spans="1:52" ht="20.100000000000001" customHeight="1" x14ac:dyDescent="0.25">
      <c r="A3" s="38">
        <v>2</v>
      </c>
      <c r="B3" s="45" t="s">
        <v>609</v>
      </c>
      <c r="C3" s="18" t="s">
        <v>1005</v>
      </c>
      <c r="D3" s="17"/>
      <c r="E3" s="17"/>
      <c r="F3" s="18"/>
      <c r="G3" s="18"/>
      <c r="H3" s="18"/>
      <c r="I3" s="18" t="s">
        <v>1005</v>
      </c>
      <c r="J3" s="18"/>
      <c r="K3" s="18"/>
      <c r="L3" s="18"/>
      <c r="M3" s="18"/>
      <c r="N3" s="18"/>
      <c r="O3" s="18"/>
      <c r="P3" s="18"/>
      <c r="Q3" s="52"/>
      <c r="R3" s="52"/>
      <c r="S3" s="52"/>
      <c r="T3" s="54" t="s">
        <v>1005</v>
      </c>
      <c r="U3" s="54"/>
      <c r="V3" s="54"/>
      <c r="W3" s="54"/>
      <c r="X3" s="54"/>
      <c r="Y3" s="54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 t="s">
        <v>1005</v>
      </c>
      <c r="AQ3" s="41"/>
      <c r="AR3" s="41"/>
      <c r="AS3" s="41"/>
      <c r="AT3" s="41"/>
      <c r="AU3" s="41"/>
      <c r="AV3" s="41" t="s">
        <v>1005</v>
      </c>
      <c r="AW3" s="41"/>
      <c r="AX3" s="41"/>
      <c r="AY3" s="41"/>
      <c r="AZ3" s="41"/>
    </row>
    <row r="4" spans="1:52" ht="20.100000000000001" customHeight="1" x14ac:dyDescent="0.25">
      <c r="A4" s="38">
        <v>3</v>
      </c>
      <c r="B4" s="45" t="s">
        <v>1008</v>
      </c>
      <c r="C4" s="16"/>
      <c r="D4" s="17"/>
      <c r="E4" s="17"/>
      <c r="F4" s="18"/>
      <c r="G4" s="18"/>
      <c r="H4" s="18" t="s">
        <v>1005</v>
      </c>
      <c r="I4" s="18"/>
      <c r="J4" s="18"/>
      <c r="K4" s="18"/>
      <c r="L4" s="18"/>
      <c r="M4" s="18"/>
      <c r="N4" s="18"/>
      <c r="O4" s="18"/>
      <c r="P4" s="18"/>
      <c r="Q4" s="52"/>
      <c r="R4" s="52"/>
      <c r="S4" s="52"/>
      <c r="T4" s="54"/>
      <c r="U4" s="54"/>
      <c r="V4" s="54"/>
      <c r="W4" s="54"/>
      <c r="X4" s="54"/>
      <c r="Y4" s="54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 t="s">
        <v>1005</v>
      </c>
      <c r="AU4" s="41"/>
      <c r="AV4" s="41"/>
      <c r="AW4" s="41"/>
      <c r="AX4" s="41"/>
      <c r="AY4" s="41"/>
      <c r="AZ4" s="41"/>
    </row>
    <row r="5" spans="1:52" ht="20.100000000000001" customHeight="1" x14ac:dyDescent="0.25">
      <c r="A5" s="38">
        <v>4</v>
      </c>
      <c r="B5" s="45" t="s">
        <v>1014</v>
      </c>
      <c r="C5" s="16"/>
      <c r="D5" s="17" t="s">
        <v>1005</v>
      </c>
      <c r="E5" s="17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52"/>
      <c r="R5" s="52"/>
      <c r="S5" s="52"/>
      <c r="T5" s="54"/>
      <c r="U5" s="54"/>
      <c r="V5" s="54"/>
      <c r="W5" s="54"/>
      <c r="X5" s="54"/>
      <c r="Y5" s="54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</row>
    <row r="6" spans="1:52" ht="20.100000000000001" customHeight="1" x14ac:dyDescent="0.25">
      <c r="A6" s="38">
        <v>5</v>
      </c>
      <c r="B6" s="45" t="s">
        <v>1003</v>
      </c>
      <c r="C6" s="18" t="s">
        <v>1005</v>
      </c>
      <c r="D6" s="17"/>
      <c r="E6" s="17"/>
      <c r="F6" s="18"/>
      <c r="G6" s="18"/>
      <c r="H6" s="18"/>
      <c r="I6" s="18"/>
      <c r="J6" s="18"/>
      <c r="K6" s="18" t="s">
        <v>1005</v>
      </c>
      <c r="L6" s="18"/>
      <c r="M6" s="18"/>
      <c r="N6" s="18"/>
      <c r="O6" s="18"/>
      <c r="P6" s="18"/>
      <c r="Q6" s="52"/>
      <c r="R6" s="52"/>
      <c r="S6" s="52"/>
      <c r="T6" s="54"/>
      <c r="U6" s="54"/>
      <c r="V6" s="54"/>
      <c r="W6" s="54"/>
      <c r="X6" s="54"/>
      <c r="Y6" s="54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 t="s">
        <v>1005</v>
      </c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</row>
    <row r="7" spans="1:52" ht="20.100000000000001" customHeight="1" x14ac:dyDescent="0.25">
      <c r="A7" s="38">
        <v>6</v>
      </c>
      <c r="B7" s="45" t="s">
        <v>646</v>
      </c>
      <c r="C7" s="18"/>
      <c r="D7" s="17" t="s">
        <v>1005</v>
      </c>
      <c r="E7" s="17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52"/>
      <c r="R7" s="52"/>
      <c r="S7" s="52"/>
      <c r="T7" s="54"/>
      <c r="U7" s="54"/>
      <c r="V7" s="54"/>
      <c r="W7" s="54" t="s">
        <v>1005</v>
      </c>
      <c r="X7" s="54" t="s">
        <v>1005</v>
      </c>
      <c r="Y7" s="54"/>
      <c r="Z7" s="41"/>
      <c r="AA7" s="41"/>
      <c r="AB7" s="41"/>
      <c r="AC7" s="41"/>
      <c r="AD7" s="41"/>
      <c r="AE7" s="41"/>
      <c r="AF7" s="41"/>
      <c r="AG7" s="41"/>
      <c r="AH7" s="41" t="s">
        <v>1005</v>
      </c>
      <c r="AI7" s="41" t="s">
        <v>1005</v>
      </c>
      <c r="AJ7" s="41"/>
      <c r="AK7" s="41"/>
      <c r="AL7" s="41"/>
      <c r="AM7" s="41"/>
      <c r="AN7" s="41"/>
      <c r="AO7" s="41"/>
      <c r="AP7" s="41"/>
      <c r="AQ7" s="41" t="s">
        <v>1005</v>
      </c>
      <c r="AR7" s="41"/>
      <c r="AS7" s="41"/>
      <c r="AT7" s="41" t="s">
        <v>1005</v>
      </c>
      <c r="AU7" s="41"/>
      <c r="AV7" s="41" t="s">
        <v>1005</v>
      </c>
      <c r="AW7" s="41" t="s">
        <v>1005</v>
      </c>
      <c r="AX7" s="41" t="s">
        <v>1005</v>
      </c>
      <c r="AY7" s="41" t="s">
        <v>1005</v>
      </c>
      <c r="AZ7" s="41"/>
    </row>
    <row r="8" spans="1:52" ht="20.100000000000001" customHeight="1" x14ac:dyDescent="0.25">
      <c r="A8" s="38">
        <v>7</v>
      </c>
      <c r="B8" s="45" t="s">
        <v>1028</v>
      </c>
      <c r="C8" s="16"/>
      <c r="D8" s="17"/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52"/>
      <c r="R8" s="52"/>
      <c r="S8" s="52"/>
      <c r="T8" s="54"/>
      <c r="U8" s="54"/>
      <c r="V8" s="54"/>
      <c r="W8" s="54"/>
      <c r="X8" s="54"/>
      <c r="Y8" s="54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 t="s">
        <v>1005</v>
      </c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</row>
    <row r="9" spans="1:52" ht="20.100000000000001" customHeight="1" x14ac:dyDescent="0.25">
      <c r="A9" s="38">
        <v>8</v>
      </c>
      <c r="B9" s="45" t="s">
        <v>653</v>
      </c>
      <c r="C9" s="16"/>
      <c r="D9" s="17"/>
      <c r="E9" s="17"/>
      <c r="F9" s="18"/>
      <c r="G9" s="18"/>
      <c r="H9" s="18"/>
      <c r="I9" s="18"/>
      <c r="J9" s="18"/>
      <c r="K9" s="18"/>
      <c r="L9" s="18"/>
      <c r="M9" s="18"/>
      <c r="N9" s="18"/>
      <c r="O9" s="18" t="s">
        <v>1005</v>
      </c>
      <c r="P9" s="18" t="s">
        <v>1005</v>
      </c>
      <c r="Q9" s="52"/>
      <c r="R9" s="52"/>
      <c r="S9" s="52"/>
      <c r="T9" s="54"/>
      <c r="U9" s="54"/>
      <c r="V9" s="54"/>
      <c r="W9" s="54"/>
      <c r="X9" s="54" t="s">
        <v>1005</v>
      </c>
      <c r="Y9" s="54"/>
      <c r="Z9" s="41"/>
      <c r="AA9" s="41"/>
      <c r="AB9" s="41"/>
      <c r="AC9" s="41"/>
      <c r="AD9" s="41"/>
      <c r="AE9" s="41"/>
      <c r="AF9" s="41" t="s">
        <v>1005</v>
      </c>
      <c r="AG9" s="41" t="s">
        <v>1005</v>
      </c>
      <c r="AH9" s="41"/>
      <c r="AI9" s="41"/>
      <c r="AJ9" s="41"/>
      <c r="AK9" s="41" t="s">
        <v>1005</v>
      </c>
      <c r="AL9" s="41"/>
      <c r="AM9" s="41"/>
      <c r="AN9" s="41"/>
      <c r="AO9" s="41"/>
      <c r="AP9" s="41"/>
      <c r="AQ9" s="41" t="s">
        <v>1005</v>
      </c>
      <c r="AR9" s="41"/>
      <c r="AS9" s="41"/>
      <c r="AT9" s="41"/>
      <c r="AU9" s="41"/>
      <c r="AV9" s="41"/>
      <c r="AW9" s="41"/>
      <c r="AX9" s="41" t="s">
        <v>1005</v>
      </c>
      <c r="AY9" s="41"/>
      <c r="AZ9" s="41"/>
    </row>
    <row r="10" spans="1:52" ht="20.100000000000001" customHeight="1" x14ac:dyDescent="0.25">
      <c r="A10" s="38">
        <v>9</v>
      </c>
      <c r="B10" s="45" t="s">
        <v>1020</v>
      </c>
      <c r="C10" s="16"/>
      <c r="D10" s="17"/>
      <c r="E10" s="17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52"/>
      <c r="R10" s="52"/>
      <c r="S10" s="52"/>
      <c r="T10" s="54"/>
      <c r="U10" s="54"/>
      <c r="V10" s="54"/>
      <c r="W10" s="54" t="s">
        <v>1005</v>
      </c>
      <c r="X10" s="54"/>
      <c r="Y10" s="54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</row>
    <row r="11" spans="1:52" ht="20.100000000000001" customHeight="1" x14ac:dyDescent="0.25">
      <c r="A11" s="38">
        <v>10</v>
      </c>
      <c r="B11" s="45" t="s">
        <v>1018</v>
      </c>
      <c r="C11" s="16"/>
      <c r="D11" s="17"/>
      <c r="E11" s="17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52"/>
      <c r="R11" s="52"/>
      <c r="S11" s="52"/>
      <c r="T11" s="54"/>
      <c r="U11" s="54"/>
      <c r="V11" s="54"/>
      <c r="W11" s="54" t="s">
        <v>1005</v>
      </c>
      <c r="X11" s="54"/>
      <c r="Y11" s="54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 t="s">
        <v>1005</v>
      </c>
      <c r="AY11" s="41"/>
      <c r="AZ11" s="41"/>
    </row>
    <row r="12" spans="1:52" ht="20.100000000000001" customHeight="1" x14ac:dyDescent="0.25">
      <c r="A12" s="38">
        <v>11</v>
      </c>
      <c r="B12" s="45" t="s">
        <v>1022</v>
      </c>
      <c r="C12" s="16"/>
      <c r="D12" s="17"/>
      <c r="E12" s="1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52"/>
      <c r="R12" s="52"/>
      <c r="S12" s="52"/>
      <c r="T12" s="54"/>
      <c r="U12" s="54"/>
      <c r="V12" s="54"/>
      <c r="W12" s="54"/>
      <c r="X12" s="54"/>
      <c r="Y12" s="54"/>
      <c r="Z12" s="41"/>
      <c r="AA12" s="41"/>
      <c r="AB12" s="41" t="s">
        <v>1005</v>
      </c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</row>
    <row r="13" spans="1:52" ht="20.100000000000001" customHeight="1" x14ac:dyDescent="0.25">
      <c r="A13" s="38">
        <v>12</v>
      </c>
      <c r="B13" s="45" t="s">
        <v>1029</v>
      </c>
      <c r="C13" s="16"/>
      <c r="D13" s="17"/>
      <c r="E13" s="17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52"/>
      <c r="R13" s="52"/>
      <c r="S13" s="52"/>
      <c r="T13" s="54"/>
      <c r="U13" s="54"/>
      <c r="V13" s="54"/>
      <c r="W13" s="54"/>
      <c r="X13" s="54"/>
      <c r="Y13" s="54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 t="s">
        <v>1005</v>
      </c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</row>
    <row r="14" spans="1:52" ht="20.100000000000001" customHeight="1" x14ac:dyDescent="0.25">
      <c r="A14" s="38">
        <v>13</v>
      </c>
      <c r="B14" s="45" t="s">
        <v>1016</v>
      </c>
      <c r="C14" s="16"/>
      <c r="D14" s="17"/>
      <c r="E14" s="17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52"/>
      <c r="R14" s="52"/>
      <c r="S14" s="52" t="s">
        <v>1005</v>
      </c>
      <c r="T14" s="54"/>
      <c r="U14" s="54"/>
      <c r="V14" s="54"/>
      <c r="W14" s="54"/>
      <c r="X14" s="54"/>
      <c r="Y14" s="54"/>
      <c r="Z14" s="41" t="s">
        <v>1005</v>
      </c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</row>
    <row r="15" spans="1:52" ht="20.100000000000001" customHeight="1" x14ac:dyDescent="0.25">
      <c r="A15" s="38">
        <v>14</v>
      </c>
      <c r="B15" s="45" t="s">
        <v>1007</v>
      </c>
      <c r="C15" s="16"/>
      <c r="D15" s="17"/>
      <c r="E15" s="17" t="s">
        <v>1005</v>
      </c>
      <c r="F15" s="18"/>
      <c r="G15" s="18"/>
      <c r="H15" s="18"/>
      <c r="I15" s="18"/>
      <c r="J15" s="18"/>
      <c r="K15" s="18"/>
      <c r="L15" s="18"/>
      <c r="M15" s="18"/>
      <c r="N15" s="18" t="s">
        <v>1005</v>
      </c>
      <c r="O15" s="18"/>
      <c r="P15" s="18"/>
      <c r="Q15" s="52"/>
      <c r="R15" s="52"/>
      <c r="S15" s="52"/>
      <c r="T15" s="54"/>
      <c r="U15" s="54"/>
      <c r="V15" s="54"/>
      <c r="W15" s="54"/>
      <c r="X15" s="54"/>
      <c r="Y15" s="54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</row>
    <row r="16" spans="1:52" ht="20.100000000000001" customHeight="1" x14ac:dyDescent="0.25">
      <c r="A16" s="38">
        <v>15</v>
      </c>
      <c r="B16" s="45" t="s">
        <v>1009</v>
      </c>
      <c r="C16" s="16"/>
      <c r="D16" s="17"/>
      <c r="E16" s="17"/>
      <c r="F16" s="18"/>
      <c r="G16" s="18"/>
      <c r="H16" s="18" t="s">
        <v>1005</v>
      </c>
      <c r="I16" s="18"/>
      <c r="J16" s="18"/>
      <c r="K16" s="18" t="s">
        <v>1005</v>
      </c>
      <c r="L16" s="18"/>
      <c r="M16" s="18"/>
      <c r="N16" s="18"/>
      <c r="O16" s="18"/>
      <c r="P16" s="18"/>
      <c r="Q16" s="52"/>
      <c r="R16" s="52"/>
      <c r="S16" s="52"/>
      <c r="T16" s="54"/>
      <c r="U16" s="54"/>
      <c r="V16" s="54"/>
      <c r="W16" s="54" t="s">
        <v>1005</v>
      </c>
      <c r="X16" s="54"/>
      <c r="Y16" s="54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 t="s">
        <v>1005</v>
      </c>
      <c r="AY16" s="41"/>
      <c r="AZ16" s="41"/>
    </row>
    <row r="17" spans="1:52" ht="20.100000000000001" customHeight="1" x14ac:dyDescent="0.25">
      <c r="A17" s="38">
        <v>16</v>
      </c>
      <c r="B17" s="45" t="s">
        <v>1030</v>
      </c>
      <c r="C17" s="16"/>
      <c r="D17" s="17"/>
      <c r="E17" s="17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52"/>
      <c r="R17" s="52"/>
      <c r="S17" s="52"/>
      <c r="T17" s="54"/>
      <c r="U17" s="54"/>
      <c r="V17" s="54"/>
      <c r="W17" s="54"/>
      <c r="X17" s="54"/>
      <c r="Y17" s="54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 t="s">
        <v>1005</v>
      </c>
      <c r="AV17" s="41"/>
      <c r="AW17" s="41"/>
      <c r="AX17" s="41"/>
      <c r="AY17" s="41"/>
      <c r="AZ17" s="41"/>
    </row>
    <row r="18" spans="1:52" ht="20.100000000000001" customHeight="1" x14ac:dyDescent="0.25">
      <c r="A18" s="38">
        <v>17</v>
      </c>
      <c r="B18" s="45" t="s">
        <v>598</v>
      </c>
      <c r="C18" s="16"/>
      <c r="D18" s="17"/>
      <c r="E18" s="17"/>
      <c r="F18" s="18"/>
      <c r="G18" s="18"/>
      <c r="H18" s="18"/>
      <c r="I18" s="18"/>
      <c r="J18" s="18"/>
      <c r="K18" s="18"/>
      <c r="L18" s="18"/>
      <c r="M18" s="18" t="s">
        <v>1005</v>
      </c>
      <c r="N18" s="18"/>
      <c r="O18" s="18" t="s">
        <v>1005</v>
      </c>
      <c r="P18" s="18" t="s">
        <v>1005</v>
      </c>
      <c r="Q18" s="52"/>
      <c r="R18" s="52"/>
      <c r="S18" s="52"/>
      <c r="T18" s="54"/>
      <c r="U18" s="54"/>
      <c r="V18" s="54"/>
      <c r="W18" s="54" t="s">
        <v>1005</v>
      </c>
      <c r="X18" s="54"/>
      <c r="Y18" s="54"/>
      <c r="Z18" s="41"/>
      <c r="AA18" s="41"/>
      <c r="AB18" s="41"/>
      <c r="AC18" s="41"/>
      <c r="AD18" s="41"/>
      <c r="AE18" s="41"/>
      <c r="AF18" s="41"/>
      <c r="AG18" s="41"/>
      <c r="AH18" s="41" t="s">
        <v>1005</v>
      </c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</row>
    <row r="19" spans="1:52" ht="20.100000000000001" customHeight="1" x14ac:dyDescent="0.25">
      <c r="A19" s="38">
        <v>18</v>
      </c>
      <c r="B19" s="45" t="s">
        <v>1010</v>
      </c>
      <c r="C19" s="16"/>
      <c r="D19" s="17"/>
      <c r="E19" s="17"/>
      <c r="F19" s="18"/>
      <c r="G19" s="18"/>
      <c r="H19" s="18"/>
      <c r="I19" s="18"/>
      <c r="J19" s="18" t="s">
        <v>1005</v>
      </c>
      <c r="K19" s="18"/>
      <c r="L19" s="18"/>
      <c r="M19" s="18"/>
      <c r="N19" s="18"/>
      <c r="O19" s="18"/>
      <c r="P19" s="18"/>
      <c r="Q19" s="52"/>
      <c r="R19" s="52"/>
      <c r="S19" s="52"/>
      <c r="T19" s="54"/>
      <c r="U19" s="54"/>
      <c r="V19" s="54"/>
      <c r="W19" s="54"/>
      <c r="X19" s="54"/>
      <c r="Y19" s="54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</row>
    <row r="20" spans="1:52" ht="20.100000000000001" customHeight="1" x14ac:dyDescent="0.25">
      <c r="A20" s="38">
        <v>19</v>
      </c>
      <c r="B20" s="45" t="s">
        <v>1024</v>
      </c>
      <c r="C20" s="16"/>
      <c r="D20" s="17"/>
      <c r="E20" s="17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52"/>
      <c r="R20" s="52"/>
      <c r="S20" s="52"/>
      <c r="T20" s="54"/>
      <c r="U20" s="54"/>
      <c r="V20" s="54"/>
      <c r="W20" s="54"/>
      <c r="X20" s="54"/>
      <c r="Y20" s="54"/>
      <c r="Z20" s="41"/>
      <c r="AA20" s="41"/>
      <c r="AB20" s="41"/>
      <c r="AC20" s="41"/>
      <c r="AD20" s="41"/>
      <c r="AE20" s="41"/>
      <c r="AF20" s="41"/>
      <c r="AG20" s="41"/>
      <c r="AH20" s="41" t="s">
        <v>1005</v>
      </c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</row>
    <row r="21" spans="1:52" ht="20.100000000000001" customHeight="1" x14ac:dyDescent="0.25">
      <c r="A21" s="38">
        <v>20</v>
      </c>
      <c r="B21" s="45" t="s">
        <v>1023</v>
      </c>
      <c r="C21" s="16"/>
      <c r="D21" s="17"/>
      <c r="E21" s="17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52"/>
      <c r="R21" s="52"/>
      <c r="S21" s="52"/>
      <c r="T21" s="54"/>
      <c r="U21" s="54"/>
      <c r="V21" s="54"/>
      <c r="W21" s="54"/>
      <c r="X21" s="54"/>
      <c r="Y21" s="54"/>
      <c r="Z21" s="41"/>
      <c r="AA21" s="41"/>
      <c r="AB21" s="41"/>
      <c r="AC21" s="41"/>
      <c r="AD21" s="41" t="s">
        <v>1005</v>
      </c>
      <c r="AE21" s="41"/>
      <c r="AF21" s="41" t="s">
        <v>1005</v>
      </c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</row>
    <row r="22" spans="1:52" ht="20.100000000000001" customHeight="1" x14ac:dyDescent="0.25">
      <c r="A22" s="38">
        <v>21</v>
      </c>
      <c r="B22" s="45" t="s">
        <v>1027</v>
      </c>
      <c r="C22" s="16"/>
      <c r="D22" s="17"/>
      <c r="E22" s="17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52"/>
      <c r="R22" s="52" t="s">
        <v>1005</v>
      </c>
      <c r="S22" s="52"/>
      <c r="T22" s="54"/>
      <c r="U22" s="54"/>
      <c r="V22" s="54"/>
      <c r="W22" s="54"/>
      <c r="X22" s="54"/>
      <c r="Y22" s="54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 t="s">
        <v>1005</v>
      </c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</row>
    <row r="23" spans="1:52" ht="20.100000000000001" customHeight="1" x14ac:dyDescent="0.25">
      <c r="A23" s="38">
        <v>22</v>
      </c>
      <c r="B23" s="45" t="s">
        <v>687</v>
      </c>
      <c r="C23" s="16"/>
      <c r="D23" s="17"/>
      <c r="E23" s="17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52"/>
      <c r="R23" s="52"/>
      <c r="S23" s="52"/>
      <c r="T23" s="54"/>
      <c r="U23" s="54"/>
      <c r="V23" s="54"/>
      <c r="W23" s="54"/>
      <c r="X23" s="54"/>
      <c r="Y23" s="54"/>
      <c r="Z23" s="41"/>
      <c r="AA23" s="41"/>
      <c r="AB23" s="41"/>
      <c r="AC23" s="41"/>
      <c r="AD23" s="41" t="s">
        <v>1005</v>
      </c>
      <c r="AE23" s="41"/>
      <c r="AF23" s="41" t="s">
        <v>1005</v>
      </c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 t="s">
        <v>1005</v>
      </c>
      <c r="AT23" s="41"/>
      <c r="AU23" s="41"/>
      <c r="AV23" s="41"/>
      <c r="AW23" s="41"/>
      <c r="AX23" s="41"/>
      <c r="AY23" s="41"/>
      <c r="AZ23" s="41"/>
    </row>
    <row r="24" spans="1:52" ht="20.100000000000001" customHeight="1" x14ac:dyDescent="0.25">
      <c r="A24" s="38">
        <v>23</v>
      </c>
      <c r="B24" s="45" t="s">
        <v>612</v>
      </c>
      <c r="C24" s="18"/>
      <c r="D24" s="17" t="s">
        <v>1005</v>
      </c>
      <c r="E24" s="17"/>
      <c r="F24" s="18"/>
      <c r="G24" s="18"/>
      <c r="H24" s="18"/>
      <c r="I24" s="18"/>
      <c r="J24" s="18" t="s">
        <v>1005</v>
      </c>
      <c r="K24" s="18"/>
      <c r="L24" s="18"/>
      <c r="M24" s="18"/>
      <c r="N24" s="18"/>
      <c r="O24" s="18"/>
      <c r="P24" s="18"/>
      <c r="Q24" s="52" t="s">
        <v>1005</v>
      </c>
      <c r="R24" s="52"/>
      <c r="S24" s="52"/>
      <c r="T24" s="54"/>
      <c r="U24" s="54"/>
      <c r="V24" s="54" t="s">
        <v>1005</v>
      </c>
      <c r="W24" s="54"/>
      <c r="X24" s="54"/>
      <c r="Y24" s="54"/>
      <c r="Z24" s="41"/>
      <c r="AA24" s="41"/>
      <c r="AB24" s="41" t="s">
        <v>1005</v>
      </c>
      <c r="AC24" s="41"/>
      <c r="AD24" s="41"/>
      <c r="AE24" s="41"/>
      <c r="AF24" s="41"/>
      <c r="AG24" s="41"/>
      <c r="AH24" s="41"/>
      <c r="AI24" s="41"/>
      <c r="AJ24" s="41" t="s">
        <v>1005</v>
      </c>
      <c r="AK24" s="41"/>
      <c r="AL24" s="41" t="s">
        <v>1005</v>
      </c>
      <c r="AM24" s="41" t="s">
        <v>1005</v>
      </c>
      <c r="AN24" s="41"/>
      <c r="AO24" s="41"/>
      <c r="AP24" s="41"/>
      <c r="AQ24" s="41"/>
      <c r="AR24" s="41" t="s">
        <v>1005</v>
      </c>
      <c r="AS24" s="41"/>
      <c r="AT24" s="41"/>
      <c r="AU24" s="41"/>
      <c r="AV24" s="41"/>
      <c r="AW24" s="41"/>
      <c r="AX24" s="41"/>
      <c r="AY24" s="41"/>
      <c r="AZ24" s="41"/>
    </row>
    <row r="25" spans="1:52" ht="20.100000000000001" customHeight="1" x14ac:dyDescent="0.25">
      <c r="A25" s="38">
        <v>24</v>
      </c>
      <c r="B25" s="45" t="s">
        <v>1021</v>
      </c>
      <c r="C25" s="16"/>
      <c r="D25" s="17"/>
      <c r="E25" s="17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52"/>
      <c r="R25" s="52"/>
      <c r="S25" s="52"/>
      <c r="T25" s="54"/>
      <c r="U25" s="54"/>
      <c r="V25" s="54"/>
      <c r="W25" s="54"/>
      <c r="X25" s="54" t="s">
        <v>1005</v>
      </c>
      <c r="Y25" s="54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</row>
    <row r="26" spans="1:52" ht="20.100000000000001" customHeight="1" x14ac:dyDescent="0.25">
      <c r="A26" s="38">
        <v>25</v>
      </c>
      <c r="B26" s="45" t="s">
        <v>1011</v>
      </c>
      <c r="C26" s="16"/>
      <c r="D26" s="17"/>
      <c r="E26" s="17"/>
      <c r="F26" s="18"/>
      <c r="G26" s="18"/>
      <c r="H26" s="18"/>
      <c r="I26" s="18"/>
      <c r="J26" s="18"/>
      <c r="K26" s="18" t="s">
        <v>1005</v>
      </c>
      <c r="L26" s="18"/>
      <c r="M26" s="18"/>
      <c r="N26" s="18"/>
      <c r="O26" s="18"/>
      <c r="P26" s="18"/>
      <c r="Q26" s="52"/>
      <c r="R26" s="52"/>
      <c r="S26" s="52"/>
      <c r="T26" s="54"/>
      <c r="U26" s="54"/>
      <c r="V26" s="54"/>
      <c r="W26" s="54"/>
      <c r="X26" s="54"/>
      <c r="Y26" s="54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</row>
    <row r="27" spans="1:52" ht="20.100000000000001" customHeight="1" x14ac:dyDescent="0.25">
      <c r="A27" s="38">
        <v>26</v>
      </c>
      <c r="B27" s="45" t="s">
        <v>1012</v>
      </c>
      <c r="C27" s="16"/>
      <c r="D27" s="17"/>
      <c r="E27" s="17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52" t="s">
        <v>1005</v>
      </c>
      <c r="R27" s="52"/>
      <c r="S27" s="52"/>
      <c r="T27" s="54"/>
      <c r="U27" s="54"/>
      <c r="V27" s="54"/>
      <c r="W27" s="54"/>
      <c r="X27" s="54"/>
      <c r="Y27" s="54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</row>
    <row r="28" spans="1:52" ht="20.100000000000001" customHeight="1" x14ac:dyDescent="0.25">
      <c r="A28" s="38">
        <v>27</v>
      </c>
      <c r="B28" s="45" t="s">
        <v>1006</v>
      </c>
      <c r="C28" s="16"/>
      <c r="D28" s="17"/>
      <c r="E28" s="17" t="s">
        <v>1005</v>
      </c>
      <c r="F28" s="18"/>
      <c r="G28" s="18"/>
      <c r="H28" s="18"/>
      <c r="I28" s="18"/>
      <c r="J28" s="18"/>
      <c r="K28" s="18"/>
      <c r="L28" s="18"/>
      <c r="M28" s="18"/>
      <c r="N28" s="18" t="s">
        <v>1005</v>
      </c>
      <c r="O28" s="18"/>
      <c r="P28" s="18"/>
      <c r="Q28" s="52"/>
      <c r="R28" s="52"/>
      <c r="S28" s="52"/>
      <c r="T28" s="54"/>
      <c r="U28" s="54"/>
      <c r="V28" s="54"/>
      <c r="W28" s="54"/>
      <c r="X28" s="54"/>
      <c r="Y28" s="54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</row>
    <row r="29" spans="1:52" ht="20.100000000000001" customHeight="1" x14ac:dyDescent="0.25">
      <c r="A29" s="38">
        <v>28</v>
      </c>
      <c r="B29" s="45" t="s">
        <v>1017</v>
      </c>
      <c r="C29" s="16"/>
      <c r="D29" s="17"/>
      <c r="E29" s="17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52"/>
      <c r="R29" s="52"/>
      <c r="S29" s="52" t="s">
        <v>1005</v>
      </c>
      <c r="T29" s="54"/>
      <c r="U29" s="54"/>
      <c r="V29" s="54"/>
      <c r="W29" s="54"/>
      <c r="X29" s="54"/>
      <c r="Y29" s="54"/>
      <c r="Z29" s="41" t="s">
        <v>1005</v>
      </c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</row>
    <row r="30" spans="1:52" ht="20.100000000000001" customHeight="1" x14ac:dyDescent="0.25">
      <c r="A30" s="38">
        <v>29</v>
      </c>
      <c r="B30" s="45" t="s">
        <v>1019</v>
      </c>
      <c r="C30" s="16"/>
      <c r="D30" s="17"/>
      <c r="E30" s="17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52"/>
      <c r="R30" s="52"/>
      <c r="S30" s="52"/>
      <c r="T30" s="54"/>
      <c r="U30" s="54"/>
      <c r="V30" s="54"/>
      <c r="W30" s="54" t="s">
        <v>1005</v>
      </c>
      <c r="X30" s="54"/>
      <c r="Y30" s="54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</row>
    <row r="31" spans="1:52" ht="20.100000000000001" customHeight="1" x14ac:dyDescent="0.25">
      <c r="A31" s="38">
        <v>30</v>
      </c>
      <c r="B31" s="45" t="s">
        <v>1013</v>
      </c>
      <c r="C31" s="18"/>
      <c r="D31" s="17" t="s">
        <v>1005</v>
      </c>
      <c r="E31" s="17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52"/>
      <c r="R31" s="52"/>
      <c r="S31" s="52"/>
      <c r="T31" s="54"/>
      <c r="U31" s="54"/>
      <c r="V31" s="54"/>
      <c r="W31" s="54"/>
      <c r="X31" s="54"/>
      <c r="Y31" s="54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</row>
    <row r="32" spans="1:52" ht="20.100000000000001" customHeight="1" x14ac:dyDescent="0.25">
      <c r="A32" s="38">
        <v>31</v>
      </c>
      <c r="B32" s="45" t="s">
        <v>1004</v>
      </c>
      <c r="C32" s="18"/>
      <c r="D32" s="17" t="s">
        <v>1005</v>
      </c>
      <c r="E32" s="17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52"/>
      <c r="R32" s="52"/>
      <c r="S32" s="52"/>
      <c r="T32" s="54"/>
      <c r="U32" s="54"/>
      <c r="V32" s="54"/>
      <c r="W32" s="54"/>
      <c r="X32" s="54"/>
      <c r="Y32" s="54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</row>
    <row r="33" spans="1:52" ht="20.100000000000001" customHeight="1" x14ac:dyDescent="0.25">
      <c r="A33" s="38">
        <v>32</v>
      </c>
      <c r="B33" s="45" t="s">
        <v>622</v>
      </c>
      <c r="C33" s="16"/>
      <c r="D33" s="17"/>
      <c r="E33" s="17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52"/>
      <c r="R33" s="52"/>
      <c r="S33" s="52"/>
      <c r="T33" s="54"/>
      <c r="U33" s="54"/>
      <c r="V33" s="54"/>
      <c r="W33" s="54"/>
      <c r="X33" s="54"/>
      <c r="Y33" s="54" t="s">
        <v>1005</v>
      </c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</row>
    <row r="34" spans="1:52" ht="20.100000000000001" customHeight="1" x14ac:dyDescent="0.25">
      <c r="A34" s="38">
        <v>33</v>
      </c>
      <c r="B34" s="45" t="s">
        <v>1031</v>
      </c>
      <c r="C34" s="16"/>
      <c r="D34" s="17"/>
      <c r="E34" s="17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52"/>
      <c r="R34" s="52"/>
      <c r="S34" s="52"/>
      <c r="T34" s="54"/>
      <c r="U34" s="54"/>
      <c r="V34" s="54"/>
      <c r="W34" s="54"/>
      <c r="X34" s="54"/>
      <c r="Y34" s="54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 t="s">
        <v>1005</v>
      </c>
      <c r="AV34" s="41"/>
      <c r="AW34" s="41"/>
      <c r="AX34" s="41"/>
      <c r="AY34" s="41"/>
      <c r="AZ34" s="41"/>
    </row>
    <row r="35" spans="1:52" ht="20.100000000000001" customHeight="1" x14ac:dyDescent="0.25">
      <c r="A35" s="38">
        <v>34</v>
      </c>
      <c r="B35" s="45" t="s">
        <v>550</v>
      </c>
      <c r="C35" s="16"/>
      <c r="D35" s="17"/>
      <c r="E35" s="17"/>
      <c r="F35" s="18" t="s">
        <v>1005</v>
      </c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52"/>
      <c r="R35" s="52"/>
      <c r="S35" s="52"/>
      <c r="T35" s="54"/>
      <c r="U35" s="54"/>
      <c r="V35" s="54"/>
      <c r="W35" s="54"/>
      <c r="X35" s="54"/>
      <c r="Y35" s="54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</row>
    <row r="36" spans="1:52" ht="20.100000000000001" customHeight="1" x14ac:dyDescent="0.25">
      <c r="A36" s="38">
        <v>35</v>
      </c>
      <c r="B36" s="45" t="s">
        <v>1026</v>
      </c>
      <c r="C36" s="16"/>
      <c r="D36" s="17"/>
      <c r="E36" s="17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52"/>
      <c r="R36" s="52"/>
      <c r="S36" s="52"/>
      <c r="T36" s="54"/>
      <c r="U36" s="54"/>
      <c r="V36" s="54"/>
      <c r="W36" s="54"/>
      <c r="X36" s="54"/>
      <c r="Y36" s="54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 t="s">
        <v>1005</v>
      </c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</row>
    <row r="37" spans="1:52" ht="20.100000000000001" customHeight="1" x14ac:dyDescent="0.25">
      <c r="A37" s="38">
        <v>36</v>
      </c>
      <c r="B37" s="45" t="s">
        <v>1025</v>
      </c>
      <c r="C37" s="16"/>
      <c r="D37" s="17"/>
      <c r="E37" s="17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52"/>
      <c r="R37" s="52"/>
      <c r="S37" s="52"/>
      <c r="T37" s="54"/>
      <c r="U37" s="54"/>
      <c r="V37" s="54"/>
      <c r="W37" s="54"/>
      <c r="X37" s="54"/>
      <c r="Y37" s="54"/>
      <c r="Z37" s="41"/>
      <c r="AA37" s="41"/>
      <c r="AB37" s="41"/>
      <c r="AC37" s="41"/>
      <c r="AD37" s="41"/>
      <c r="AE37" s="41"/>
      <c r="AF37" s="41"/>
      <c r="AG37" s="41"/>
      <c r="AH37" s="41" t="s">
        <v>1005</v>
      </c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</row>
  </sheetData>
  <autoFilter ref="A1:AZ37">
    <sortState ref="A2:AZ236">
      <sortCondition ref="B1:B236"/>
    </sortState>
  </autoFilter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905"/>
  <sheetViews>
    <sheetView zoomScaleNormal="100" workbookViewId="0">
      <pane ySplit="2" topLeftCell="A135" activePane="bottomLeft" state="frozen"/>
      <selection activeCell="A2" sqref="A2"/>
      <selection pane="bottomLeft" activeCell="I416" sqref="I416"/>
    </sheetView>
  </sheetViews>
  <sheetFormatPr baseColWidth="10" defaultColWidth="10.85546875" defaultRowHeight="15.75" x14ac:dyDescent="0.25"/>
  <cols>
    <col min="1" max="1" width="6.85546875" style="2" bestFit="1" customWidth="1"/>
    <col min="2" max="2" width="15" style="64" bestFit="1" customWidth="1"/>
    <col min="3" max="3" width="17" style="64" bestFit="1" customWidth="1"/>
    <col min="4" max="8" width="15.5703125" style="2" hidden="1" customWidth="1"/>
    <col min="9" max="11" width="15.5703125" style="2" customWidth="1"/>
    <col min="12" max="12" width="16.85546875" style="2" bestFit="1" customWidth="1"/>
    <col min="13" max="13" width="15.5703125" style="2" customWidth="1"/>
    <col min="14" max="14" width="50.5703125" style="2" customWidth="1"/>
    <col min="15" max="16384" width="10.85546875" style="2"/>
  </cols>
  <sheetData>
    <row r="1" spans="1:14" ht="20.100000000000001" customHeight="1" x14ac:dyDescent="0.25">
      <c r="A1" s="1" t="s">
        <v>0</v>
      </c>
      <c r="B1" s="1" t="s">
        <v>2290</v>
      </c>
      <c r="C1" s="1" t="s">
        <v>2291</v>
      </c>
      <c r="D1" s="1" t="s">
        <v>2293</v>
      </c>
      <c r="E1" s="1" t="s">
        <v>3</v>
      </c>
      <c r="F1" s="1" t="s">
        <v>4</v>
      </c>
      <c r="G1" s="1" t="s">
        <v>2294</v>
      </c>
      <c r="H1" s="1" t="s">
        <v>5</v>
      </c>
      <c r="I1" s="1" t="s">
        <v>6</v>
      </c>
      <c r="J1" s="1" t="s">
        <v>2295</v>
      </c>
      <c r="K1" s="1" t="s">
        <v>2296</v>
      </c>
      <c r="L1" s="1" t="s">
        <v>2297</v>
      </c>
      <c r="M1" s="1" t="s">
        <v>692</v>
      </c>
      <c r="N1" s="1" t="s">
        <v>8</v>
      </c>
    </row>
    <row r="2" spans="1:14" ht="20.100000000000001" customHeight="1" x14ac:dyDescent="0.25">
      <c r="A2" s="1" t="s">
        <v>9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506</v>
      </c>
      <c r="H2" s="1" t="s">
        <v>507</v>
      </c>
      <c r="I2" s="1" t="s">
        <v>508</v>
      </c>
      <c r="J2" s="1" t="s">
        <v>509</v>
      </c>
      <c r="K2" s="1" t="s">
        <v>510</v>
      </c>
      <c r="L2" s="1" t="s">
        <v>511</v>
      </c>
      <c r="M2" s="62" t="s">
        <v>2298</v>
      </c>
      <c r="N2" s="1" t="s">
        <v>17</v>
      </c>
    </row>
    <row r="3" spans="1:14" ht="20.100000000000001" customHeight="1" x14ac:dyDescent="0.25">
      <c r="A3" s="38"/>
      <c r="B3" s="61" t="s">
        <v>2292</v>
      </c>
      <c r="C3" s="41" t="s">
        <v>2655</v>
      </c>
      <c r="D3" s="48"/>
      <c r="E3" s="19"/>
      <c r="F3" s="19"/>
      <c r="G3" s="19"/>
      <c r="H3" s="41"/>
      <c r="I3" s="41">
        <v>1</v>
      </c>
      <c r="J3" s="41" t="s">
        <v>2299</v>
      </c>
      <c r="K3" s="41" t="s">
        <v>2288</v>
      </c>
      <c r="L3" s="41" t="s">
        <v>2300</v>
      </c>
      <c r="M3" s="41" t="s">
        <v>407</v>
      </c>
      <c r="N3" s="48"/>
    </row>
    <row r="4" spans="1:14" ht="20.100000000000001" customHeight="1" x14ac:dyDescent="0.25">
      <c r="A4" s="38"/>
      <c r="B4" s="61" t="s">
        <v>2292</v>
      </c>
      <c r="C4" s="41" t="s">
        <v>2656</v>
      </c>
      <c r="D4" s="48"/>
      <c r="E4" s="19"/>
      <c r="F4" s="19"/>
      <c r="G4" s="19"/>
      <c r="H4" s="41"/>
      <c r="I4" s="41">
        <v>1</v>
      </c>
      <c r="J4" s="41" t="s">
        <v>2299</v>
      </c>
      <c r="K4" s="41" t="s">
        <v>2288</v>
      </c>
      <c r="L4" s="41" t="s">
        <v>2300</v>
      </c>
      <c r="M4" s="41" t="s">
        <v>407</v>
      </c>
      <c r="N4" s="48"/>
    </row>
    <row r="5" spans="1:14" ht="20.100000000000001" customHeight="1" x14ac:dyDescent="0.25">
      <c r="A5" s="38"/>
      <c r="B5" s="61" t="s">
        <v>2292</v>
      </c>
      <c r="C5" s="41" t="s">
        <v>2657</v>
      </c>
      <c r="D5" s="48"/>
      <c r="E5" s="19"/>
      <c r="F5" s="19"/>
      <c r="G5" s="19"/>
      <c r="H5" s="41"/>
      <c r="I5" s="41">
        <v>1</v>
      </c>
      <c r="J5" s="41" t="s">
        <v>2299</v>
      </c>
      <c r="K5" s="41" t="s">
        <v>2288</v>
      </c>
      <c r="L5" s="41" t="s">
        <v>2300</v>
      </c>
      <c r="M5" s="41" t="s">
        <v>407</v>
      </c>
      <c r="N5" s="48"/>
    </row>
    <row r="6" spans="1:14" ht="20.100000000000001" customHeight="1" x14ac:dyDescent="0.25">
      <c r="A6" s="38"/>
      <c r="B6" s="61" t="s">
        <v>2301</v>
      </c>
      <c r="C6" s="41" t="s">
        <v>2658</v>
      </c>
      <c r="D6" s="48"/>
      <c r="E6" s="19"/>
      <c r="F6" s="19"/>
      <c r="G6" s="19"/>
      <c r="H6" s="41"/>
      <c r="I6" s="41">
        <v>1</v>
      </c>
      <c r="J6" s="41" t="s">
        <v>2302</v>
      </c>
      <c r="K6" s="41" t="s">
        <v>2288</v>
      </c>
      <c r="L6" s="41" t="s">
        <v>2300</v>
      </c>
      <c r="M6" s="41" t="s">
        <v>407</v>
      </c>
      <c r="N6" s="48"/>
    </row>
    <row r="7" spans="1:14" ht="20.100000000000001" customHeight="1" x14ac:dyDescent="0.25">
      <c r="A7" s="38"/>
      <c r="B7" s="61" t="s">
        <v>2301</v>
      </c>
      <c r="C7" s="41" t="s">
        <v>2659</v>
      </c>
      <c r="D7" s="48"/>
      <c r="E7" s="19"/>
      <c r="F7" s="19"/>
      <c r="G7" s="19"/>
      <c r="H7" s="41"/>
      <c r="I7" s="41">
        <v>1</v>
      </c>
      <c r="J7" s="41" t="s">
        <v>2302</v>
      </c>
      <c r="K7" s="41" t="s">
        <v>2288</v>
      </c>
      <c r="L7" s="41" t="s">
        <v>2300</v>
      </c>
      <c r="M7" s="41" t="s">
        <v>407</v>
      </c>
      <c r="N7" s="48"/>
    </row>
    <row r="8" spans="1:14" ht="20.100000000000001" customHeight="1" x14ac:dyDescent="0.25">
      <c r="A8" s="38"/>
      <c r="B8" s="61" t="s">
        <v>2301</v>
      </c>
      <c r="C8" s="41" t="s">
        <v>2660</v>
      </c>
      <c r="D8" s="48"/>
      <c r="E8" s="19"/>
      <c r="F8" s="19"/>
      <c r="G8" s="19"/>
      <c r="H8" s="41"/>
      <c r="I8" s="41">
        <v>1</v>
      </c>
      <c r="J8" s="41" t="s">
        <v>2302</v>
      </c>
      <c r="K8" s="41" t="s">
        <v>2288</v>
      </c>
      <c r="L8" s="41" t="s">
        <v>2300</v>
      </c>
      <c r="M8" s="41" t="s">
        <v>407</v>
      </c>
      <c r="N8" s="48"/>
    </row>
    <row r="9" spans="1:14" ht="20.100000000000001" customHeight="1" x14ac:dyDescent="0.25">
      <c r="A9" s="38"/>
      <c r="B9" s="61" t="s">
        <v>2305</v>
      </c>
      <c r="C9" s="41" t="s">
        <v>2661</v>
      </c>
      <c r="D9" s="48"/>
      <c r="E9" s="19"/>
      <c r="F9" s="19"/>
      <c r="G9" s="19"/>
      <c r="H9" s="41"/>
      <c r="I9" s="41">
        <v>1</v>
      </c>
      <c r="J9" s="41" t="s">
        <v>2303</v>
      </c>
      <c r="K9" s="41" t="s">
        <v>2288</v>
      </c>
      <c r="L9" s="41" t="s">
        <v>2300</v>
      </c>
      <c r="M9" s="41" t="s">
        <v>407</v>
      </c>
      <c r="N9" s="48"/>
    </row>
    <row r="10" spans="1:14" ht="20.100000000000001" customHeight="1" x14ac:dyDescent="0.25">
      <c r="A10" s="38"/>
      <c r="B10" s="61" t="s">
        <v>2305</v>
      </c>
      <c r="C10" s="41" t="s">
        <v>2662</v>
      </c>
      <c r="D10" s="48"/>
      <c r="E10" s="19"/>
      <c r="F10" s="19"/>
      <c r="G10" s="19"/>
      <c r="H10" s="41"/>
      <c r="I10" s="41">
        <v>1</v>
      </c>
      <c r="J10" s="41" t="s">
        <v>2303</v>
      </c>
      <c r="K10" s="41" t="s">
        <v>2288</v>
      </c>
      <c r="L10" s="41" t="s">
        <v>2300</v>
      </c>
      <c r="M10" s="41" t="s">
        <v>407</v>
      </c>
      <c r="N10" s="48"/>
    </row>
    <row r="11" spans="1:14" ht="20.100000000000001" customHeight="1" x14ac:dyDescent="0.25">
      <c r="A11" s="38"/>
      <c r="B11" s="61" t="s">
        <v>2305</v>
      </c>
      <c r="C11" s="41" t="s">
        <v>2663</v>
      </c>
      <c r="D11" s="48"/>
      <c r="E11" s="19"/>
      <c r="F11" s="19"/>
      <c r="G11" s="19"/>
      <c r="H11" s="41"/>
      <c r="I11" s="41">
        <v>1</v>
      </c>
      <c r="J11" s="41" t="s">
        <v>2303</v>
      </c>
      <c r="K11" s="41" t="s">
        <v>2288</v>
      </c>
      <c r="L11" s="41" t="s">
        <v>2300</v>
      </c>
      <c r="M11" s="41" t="s">
        <v>407</v>
      </c>
      <c r="N11" s="48"/>
    </row>
    <row r="12" spans="1:14" ht="20.100000000000001" customHeight="1" x14ac:dyDescent="0.25">
      <c r="A12" s="38"/>
      <c r="B12" s="61" t="s">
        <v>2306</v>
      </c>
      <c r="C12" s="41" t="s">
        <v>2664</v>
      </c>
      <c r="D12" s="48"/>
      <c r="E12" s="19"/>
      <c r="F12" s="19"/>
      <c r="G12" s="19"/>
      <c r="H12" s="41"/>
      <c r="I12" s="41">
        <v>1</v>
      </c>
      <c r="J12" s="41" t="s">
        <v>2304</v>
      </c>
      <c r="K12" s="41" t="s">
        <v>2288</v>
      </c>
      <c r="L12" s="41" t="s">
        <v>2300</v>
      </c>
      <c r="M12" s="41" t="s">
        <v>407</v>
      </c>
      <c r="N12" s="48"/>
    </row>
    <row r="13" spans="1:14" ht="20.100000000000001" customHeight="1" x14ac:dyDescent="0.25">
      <c r="A13" s="38"/>
      <c r="B13" s="61" t="s">
        <v>2460</v>
      </c>
      <c r="C13" s="41" t="s">
        <v>2665</v>
      </c>
      <c r="D13" s="48"/>
      <c r="E13" s="19"/>
      <c r="F13" s="19"/>
      <c r="G13" s="19"/>
      <c r="H13" s="41"/>
      <c r="I13" s="41">
        <v>1</v>
      </c>
      <c r="J13" s="41" t="s">
        <v>2299</v>
      </c>
      <c r="K13" s="41" t="s">
        <v>208</v>
      </c>
      <c r="L13" s="41" t="s">
        <v>1022</v>
      </c>
      <c r="M13" s="41" t="s">
        <v>434</v>
      </c>
      <c r="N13" s="48"/>
    </row>
    <row r="14" spans="1:14" ht="20.100000000000001" customHeight="1" x14ac:dyDescent="0.25">
      <c r="A14" s="38"/>
      <c r="B14" s="61" t="s">
        <v>2460</v>
      </c>
      <c r="C14" s="41" t="s">
        <v>2666</v>
      </c>
      <c r="D14" s="48"/>
      <c r="E14" s="19"/>
      <c r="F14" s="19"/>
      <c r="G14" s="19"/>
      <c r="H14" s="41"/>
      <c r="I14" s="41">
        <v>1</v>
      </c>
      <c r="J14" s="41" t="s">
        <v>2299</v>
      </c>
      <c r="K14" s="41" t="s">
        <v>208</v>
      </c>
      <c r="L14" s="41" t="s">
        <v>1022</v>
      </c>
      <c r="M14" s="41" t="s">
        <v>434</v>
      </c>
      <c r="N14" s="48"/>
    </row>
    <row r="15" spans="1:14" ht="20.100000000000001" customHeight="1" x14ac:dyDescent="0.25">
      <c r="A15" s="38"/>
      <c r="B15" s="61" t="s">
        <v>2370</v>
      </c>
      <c r="C15" s="41" t="s">
        <v>2368</v>
      </c>
      <c r="D15" s="48"/>
      <c r="E15" s="19"/>
      <c r="F15" s="19"/>
      <c r="G15" s="19"/>
      <c r="H15" s="41"/>
      <c r="I15" s="41">
        <v>1</v>
      </c>
      <c r="J15" s="41" t="s">
        <v>2302</v>
      </c>
      <c r="K15" s="41" t="s">
        <v>208</v>
      </c>
      <c r="L15" s="41" t="s">
        <v>2367</v>
      </c>
      <c r="M15" s="41" t="s">
        <v>434</v>
      </c>
      <c r="N15" s="48"/>
    </row>
    <row r="16" spans="1:14" ht="20.100000000000001" customHeight="1" x14ac:dyDescent="0.25">
      <c r="A16" s="38"/>
      <c r="B16" s="61" t="s">
        <v>2370</v>
      </c>
      <c r="C16" s="41" t="s">
        <v>2369</v>
      </c>
      <c r="D16" s="48"/>
      <c r="E16" s="19"/>
      <c r="F16" s="19"/>
      <c r="G16" s="19"/>
      <c r="H16" s="41"/>
      <c r="I16" s="41">
        <v>1</v>
      </c>
      <c r="J16" s="41" t="s">
        <v>2302</v>
      </c>
      <c r="K16" s="41" t="s">
        <v>208</v>
      </c>
      <c r="L16" s="41" t="s">
        <v>2367</v>
      </c>
      <c r="M16" s="41" t="s">
        <v>434</v>
      </c>
      <c r="N16" s="48"/>
    </row>
    <row r="17" spans="1:14" ht="20.100000000000001" customHeight="1" x14ac:dyDescent="0.25">
      <c r="A17" s="38"/>
      <c r="B17" s="61" t="s">
        <v>2305</v>
      </c>
      <c r="C17" s="41" t="s">
        <v>2366</v>
      </c>
      <c r="D17" s="48"/>
      <c r="E17" s="19"/>
      <c r="F17" s="19"/>
      <c r="G17" s="19"/>
      <c r="H17" s="41"/>
      <c r="I17" s="41">
        <v>1</v>
      </c>
      <c r="J17" s="41" t="s">
        <v>2303</v>
      </c>
      <c r="K17" s="41" t="s">
        <v>208</v>
      </c>
      <c r="L17" s="41" t="s">
        <v>2300</v>
      </c>
      <c r="M17" s="41" t="s">
        <v>434</v>
      </c>
      <c r="N17" s="48"/>
    </row>
    <row r="18" spans="1:14" ht="20.100000000000001" customHeight="1" x14ac:dyDescent="0.25">
      <c r="A18" s="38"/>
      <c r="B18" s="61" t="s">
        <v>2305</v>
      </c>
      <c r="C18" s="41" t="s">
        <v>2372</v>
      </c>
      <c r="D18" s="48"/>
      <c r="E18" s="19"/>
      <c r="F18" s="19"/>
      <c r="G18" s="19"/>
      <c r="H18" s="41"/>
      <c r="I18" s="41">
        <v>1</v>
      </c>
      <c r="J18" s="41" t="s">
        <v>2303</v>
      </c>
      <c r="K18" s="41" t="s">
        <v>208</v>
      </c>
      <c r="L18" s="41" t="s">
        <v>2300</v>
      </c>
      <c r="M18" s="41" t="s">
        <v>434</v>
      </c>
      <c r="N18" s="48"/>
    </row>
    <row r="19" spans="1:14" ht="20.100000000000001" customHeight="1" x14ac:dyDescent="0.25">
      <c r="A19" s="38"/>
      <c r="B19" s="41" t="s">
        <v>2371</v>
      </c>
      <c r="C19" s="41" t="s">
        <v>2373</v>
      </c>
      <c r="D19" s="48"/>
      <c r="E19" s="19"/>
      <c r="F19" s="19"/>
      <c r="G19" s="19"/>
      <c r="H19" s="41"/>
      <c r="I19" s="41">
        <v>1</v>
      </c>
      <c r="J19" s="41" t="s">
        <v>2304</v>
      </c>
      <c r="K19" s="41" t="s">
        <v>208</v>
      </c>
      <c r="L19" s="41" t="s">
        <v>2374</v>
      </c>
      <c r="M19" s="41" t="s">
        <v>434</v>
      </c>
      <c r="N19" s="48"/>
    </row>
    <row r="20" spans="1:14" ht="20.100000000000001" customHeight="1" x14ac:dyDescent="0.25">
      <c r="A20" s="38"/>
      <c r="B20" s="61" t="s">
        <v>2460</v>
      </c>
      <c r="C20" s="41" t="s">
        <v>2461</v>
      </c>
      <c r="D20" s="48"/>
      <c r="E20" s="19"/>
      <c r="F20" s="19"/>
      <c r="G20" s="19"/>
      <c r="H20" s="41"/>
      <c r="I20" s="41">
        <v>1</v>
      </c>
      <c r="J20" s="41" t="s">
        <v>2299</v>
      </c>
      <c r="K20" s="41" t="s">
        <v>2458</v>
      </c>
      <c r="L20" s="41" t="s">
        <v>1022</v>
      </c>
      <c r="M20" s="41" t="s">
        <v>441</v>
      </c>
      <c r="N20" s="48"/>
    </row>
    <row r="21" spans="1:14" ht="20.100000000000001" customHeight="1" x14ac:dyDescent="0.25">
      <c r="A21" s="38"/>
      <c r="B21" s="61" t="s">
        <v>2460</v>
      </c>
      <c r="C21" s="41" t="s">
        <v>2462</v>
      </c>
      <c r="D21" s="48"/>
      <c r="E21" s="19"/>
      <c r="F21" s="19"/>
      <c r="G21" s="19"/>
      <c r="H21" s="41"/>
      <c r="I21" s="41">
        <v>1</v>
      </c>
      <c r="J21" s="41" t="s">
        <v>2299</v>
      </c>
      <c r="K21" s="41" t="s">
        <v>2458</v>
      </c>
      <c r="L21" s="41" t="s">
        <v>1022</v>
      </c>
      <c r="M21" s="41" t="s">
        <v>441</v>
      </c>
      <c r="N21" s="48"/>
    </row>
    <row r="22" spans="1:14" ht="20.100000000000001" customHeight="1" x14ac:dyDescent="0.25">
      <c r="A22" s="38"/>
      <c r="B22" s="61" t="s">
        <v>2460</v>
      </c>
      <c r="C22" s="41" t="s">
        <v>2463</v>
      </c>
      <c r="D22" s="48"/>
      <c r="E22" s="19"/>
      <c r="F22" s="19"/>
      <c r="G22" s="19"/>
      <c r="H22" s="41"/>
      <c r="I22" s="41">
        <v>1</v>
      </c>
      <c r="J22" s="41" t="s">
        <v>2299</v>
      </c>
      <c r="K22" s="41" t="s">
        <v>2458</v>
      </c>
      <c r="L22" s="41" t="s">
        <v>1022</v>
      </c>
      <c r="M22" s="41" t="s">
        <v>441</v>
      </c>
      <c r="N22" s="48"/>
    </row>
    <row r="23" spans="1:14" ht="20.100000000000001" customHeight="1" x14ac:dyDescent="0.25">
      <c r="A23" s="38"/>
      <c r="B23" s="61" t="s">
        <v>2460</v>
      </c>
      <c r="C23" s="41" t="s">
        <v>2464</v>
      </c>
      <c r="D23" s="48"/>
      <c r="E23" s="19"/>
      <c r="F23" s="19"/>
      <c r="G23" s="19"/>
      <c r="H23" s="41"/>
      <c r="I23" s="41">
        <v>1</v>
      </c>
      <c r="J23" s="41" t="s">
        <v>2299</v>
      </c>
      <c r="K23" s="41" t="s">
        <v>2458</v>
      </c>
      <c r="L23" s="41" t="s">
        <v>1022</v>
      </c>
      <c r="M23" s="41" t="s">
        <v>441</v>
      </c>
      <c r="N23" s="48"/>
    </row>
    <row r="24" spans="1:14" ht="20.100000000000001" customHeight="1" x14ac:dyDescent="0.25">
      <c r="A24" s="38"/>
      <c r="B24" s="61" t="s">
        <v>2465</v>
      </c>
      <c r="C24" s="41" t="s">
        <v>2466</v>
      </c>
      <c r="D24" s="48"/>
      <c r="E24" s="19"/>
      <c r="F24" s="19"/>
      <c r="G24" s="19"/>
      <c r="H24" s="41"/>
      <c r="I24" s="41">
        <v>1</v>
      </c>
      <c r="J24" s="41" t="s">
        <v>2302</v>
      </c>
      <c r="K24" s="41" t="s">
        <v>2458</v>
      </c>
      <c r="L24" s="41" t="s">
        <v>2367</v>
      </c>
      <c r="M24" s="41" t="s">
        <v>441</v>
      </c>
      <c r="N24" s="48"/>
    </row>
    <row r="25" spans="1:14" ht="20.100000000000001" customHeight="1" x14ac:dyDescent="0.25">
      <c r="A25" s="38"/>
      <c r="B25" s="61" t="s">
        <v>2465</v>
      </c>
      <c r="C25" s="41" t="s">
        <v>2691</v>
      </c>
      <c r="D25" s="48"/>
      <c r="E25" s="19"/>
      <c r="F25" s="19"/>
      <c r="G25" s="19"/>
      <c r="H25" s="41"/>
      <c r="I25" s="41">
        <v>1</v>
      </c>
      <c r="J25" s="41" t="s">
        <v>2302</v>
      </c>
      <c r="K25" s="41" t="s">
        <v>2458</v>
      </c>
      <c r="L25" s="41" t="s">
        <v>2367</v>
      </c>
      <c r="M25" s="41" t="s">
        <v>441</v>
      </c>
      <c r="N25" s="48"/>
    </row>
    <row r="26" spans="1:14" ht="20.100000000000001" customHeight="1" x14ac:dyDescent="0.25">
      <c r="A26" s="38"/>
      <c r="B26" s="61" t="s">
        <v>2465</v>
      </c>
      <c r="C26" s="41" t="s">
        <v>2692</v>
      </c>
      <c r="D26" s="48"/>
      <c r="E26" s="19"/>
      <c r="F26" s="19"/>
      <c r="G26" s="19"/>
      <c r="H26" s="41"/>
      <c r="I26" s="41">
        <v>1</v>
      </c>
      <c r="J26" s="41" t="s">
        <v>2302</v>
      </c>
      <c r="K26" s="41" t="s">
        <v>2458</v>
      </c>
      <c r="L26" s="41" t="s">
        <v>2367</v>
      </c>
      <c r="M26" s="41" t="s">
        <v>441</v>
      </c>
      <c r="N26" s="48"/>
    </row>
    <row r="27" spans="1:14" ht="20.100000000000001" customHeight="1" x14ac:dyDescent="0.25">
      <c r="A27" s="38"/>
      <c r="B27" s="61" t="s">
        <v>2465</v>
      </c>
      <c r="C27" s="41" t="s">
        <v>2693</v>
      </c>
      <c r="D27" s="48"/>
      <c r="E27" s="19"/>
      <c r="F27" s="19"/>
      <c r="G27" s="19"/>
      <c r="H27" s="41"/>
      <c r="I27" s="41">
        <v>1</v>
      </c>
      <c r="J27" s="41" t="s">
        <v>2302</v>
      </c>
      <c r="K27" s="41" t="s">
        <v>2458</v>
      </c>
      <c r="L27" s="41" t="s">
        <v>2367</v>
      </c>
      <c r="M27" s="41" t="s">
        <v>441</v>
      </c>
      <c r="N27" s="48"/>
    </row>
    <row r="28" spans="1:14" ht="20.100000000000001" customHeight="1" x14ac:dyDescent="0.25">
      <c r="A28" s="38"/>
      <c r="B28" s="61" t="s">
        <v>2471</v>
      </c>
      <c r="C28" s="41" t="s">
        <v>2468</v>
      </c>
      <c r="D28" s="48"/>
      <c r="E28" s="19"/>
      <c r="F28" s="19"/>
      <c r="G28" s="19"/>
      <c r="H28" s="41"/>
      <c r="I28" s="41">
        <v>1</v>
      </c>
      <c r="J28" s="41" t="s">
        <v>2303</v>
      </c>
      <c r="K28" s="41" t="s">
        <v>2458</v>
      </c>
      <c r="L28" s="41" t="s">
        <v>2470</v>
      </c>
      <c r="M28" s="41" t="s">
        <v>441</v>
      </c>
      <c r="N28" s="48"/>
    </row>
    <row r="29" spans="1:14" ht="20.100000000000001" customHeight="1" x14ac:dyDescent="0.25">
      <c r="A29" s="38"/>
      <c r="B29" s="61" t="s">
        <v>2471</v>
      </c>
      <c r="C29" s="41" t="s">
        <v>2467</v>
      </c>
      <c r="D29" s="48"/>
      <c r="E29" s="19"/>
      <c r="F29" s="19"/>
      <c r="G29" s="19"/>
      <c r="H29" s="41"/>
      <c r="I29" s="41">
        <v>1</v>
      </c>
      <c r="J29" s="41" t="s">
        <v>2303</v>
      </c>
      <c r="K29" s="41" t="s">
        <v>2458</v>
      </c>
      <c r="L29" s="41" t="s">
        <v>2470</v>
      </c>
      <c r="M29" s="41" t="s">
        <v>441</v>
      </c>
      <c r="N29" s="48"/>
    </row>
    <row r="30" spans="1:14" ht="20.100000000000001" customHeight="1" x14ac:dyDescent="0.25">
      <c r="A30" s="38"/>
      <c r="B30" s="61" t="s">
        <v>2469</v>
      </c>
      <c r="C30" s="41" t="s">
        <v>2472</v>
      </c>
      <c r="D30" s="48"/>
      <c r="E30" s="19"/>
      <c r="F30" s="19"/>
      <c r="G30" s="19"/>
      <c r="H30" s="41"/>
      <c r="I30" s="41">
        <v>1</v>
      </c>
      <c r="J30" s="41" t="s">
        <v>2304</v>
      </c>
      <c r="K30" s="41" t="s">
        <v>2458</v>
      </c>
      <c r="L30" s="41" t="s">
        <v>2473</v>
      </c>
      <c r="M30" s="41" t="s">
        <v>441</v>
      </c>
      <c r="N30" s="48"/>
    </row>
    <row r="31" spans="1:14" ht="20.100000000000001" customHeight="1" x14ac:dyDescent="0.25">
      <c r="A31" s="38"/>
      <c r="B31" s="61" t="s">
        <v>2460</v>
      </c>
      <c r="C31" s="41" t="s">
        <v>2667</v>
      </c>
      <c r="D31" s="48"/>
      <c r="E31" s="19"/>
      <c r="F31" s="19"/>
      <c r="G31" s="19"/>
      <c r="H31" s="41"/>
      <c r="I31" s="41">
        <v>1</v>
      </c>
      <c r="J31" s="41" t="s">
        <v>2299</v>
      </c>
      <c r="K31" s="41" t="s">
        <v>222</v>
      </c>
      <c r="L31" s="41" t="s">
        <v>1022</v>
      </c>
      <c r="M31" s="41" t="s">
        <v>418</v>
      </c>
      <c r="N31" s="48"/>
    </row>
    <row r="32" spans="1:14" ht="20.100000000000001" customHeight="1" x14ac:dyDescent="0.25">
      <c r="A32" s="38"/>
      <c r="B32" s="61" t="s">
        <v>2460</v>
      </c>
      <c r="C32" s="41" t="s">
        <v>2669</v>
      </c>
      <c r="D32" s="48"/>
      <c r="E32" s="19"/>
      <c r="F32" s="19"/>
      <c r="G32" s="19"/>
      <c r="H32" s="41"/>
      <c r="I32" s="41">
        <v>1</v>
      </c>
      <c r="J32" s="41" t="s">
        <v>2299</v>
      </c>
      <c r="K32" s="41" t="s">
        <v>222</v>
      </c>
      <c r="L32" s="41" t="s">
        <v>1022</v>
      </c>
      <c r="M32" s="41" t="s">
        <v>418</v>
      </c>
      <c r="N32" s="48"/>
    </row>
    <row r="33" spans="1:14" ht="20.100000000000001" customHeight="1" x14ac:dyDescent="0.25">
      <c r="A33" s="38"/>
      <c r="B33" s="61" t="s">
        <v>2460</v>
      </c>
      <c r="C33" s="41" t="s">
        <v>2668</v>
      </c>
      <c r="D33" s="48"/>
      <c r="E33" s="19"/>
      <c r="F33" s="19"/>
      <c r="G33" s="19"/>
      <c r="H33" s="41"/>
      <c r="I33" s="41">
        <v>1</v>
      </c>
      <c r="J33" s="41" t="s">
        <v>2299</v>
      </c>
      <c r="K33" s="41" t="s">
        <v>222</v>
      </c>
      <c r="L33" s="41" t="s">
        <v>1022</v>
      </c>
      <c r="M33" s="41" t="s">
        <v>418</v>
      </c>
      <c r="N33" s="48"/>
    </row>
    <row r="34" spans="1:14" ht="20.100000000000001" customHeight="1" x14ac:dyDescent="0.25">
      <c r="A34" s="38"/>
      <c r="B34" s="61" t="s">
        <v>2694</v>
      </c>
      <c r="C34" s="41" t="s">
        <v>2695</v>
      </c>
      <c r="D34" s="48"/>
      <c r="E34" s="19"/>
      <c r="F34" s="19"/>
      <c r="G34" s="19"/>
      <c r="H34" s="41"/>
      <c r="I34" s="41">
        <v>1</v>
      </c>
      <c r="J34" s="41" t="s">
        <v>2302</v>
      </c>
      <c r="K34" s="41" t="s">
        <v>222</v>
      </c>
      <c r="L34" s="41" t="s">
        <v>2367</v>
      </c>
      <c r="M34" s="41" t="s">
        <v>418</v>
      </c>
      <c r="N34" s="48"/>
    </row>
    <row r="35" spans="1:14" ht="20.100000000000001" customHeight="1" x14ac:dyDescent="0.25">
      <c r="A35" s="38"/>
      <c r="B35" s="61" t="s">
        <v>2694</v>
      </c>
      <c r="C35" s="41" t="s">
        <v>2696</v>
      </c>
      <c r="D35" s="48"/>
      <c r="E35" s="19"/>
      <c r="F35" s="19"/>
      <c r="G35" s="19"/>
      <c r="H35" s="41"/>
      <c r="I35" s="41">
        <v>1</v>
      </c>
      <c r="J35" s="41" t="s">
        <v>2302</v>
      </c>
      <c r="K35" s="41" t="s">
        <v>222</v>
      </c>
      <c r="L35" s="41" t="s">
        <v>2367</v>
      </c>
      <c r="M35" s="41" t="s">
        <v>418</v>
      </c>
      <c r="N35" s="48"/>
    </row>
    <row r="36" spans="1:14" ht="20.100000000000001" customHeight="1" x14ac:dyDescent="0.25">
      <c r="A36" s="38"/>
      <c r="B36" s="61" t="s">
        <v>2694</v>
      </c>
      <c r="C36" s="41" t="s">
        <v>2697</v>
      </c>
      <c r="D36" s="48"/>
      <c r="E36" s="19"/>
      <c r="F36" s="19"/>
      <c r="G36" s="19"/>
      <c r="H36" s="41"/>
      <c r="I36" s="41">
        <v>1</v>
      </c>
      <c r="J36" s="41" t="s">
        <v>2302</v>
      </c>
      <c r="K36" s="41" t="s">
        <v>222</v>
      </c>
      <c r="L36" s="41" t="s">
        <v>2367</v>
      </c>
      <c r="M36" s="41" t="s">
        <v>418</v>
      </c>
      <c r="N36" s="48"/>
    </row>
    <row r="37" spans="1:14" ht="20.100000000000001" customHeight="1" x14ac:dyDescent="0.25">
      <c r="A37" s="38"/>
      <c r="B37" s="61" t="s">
        <v>2305</v>
      </c>
      <c r="C37" s="41" t="s">
        <v>2698</v>
      </c>
      <c r="D37" s="48"/>
      <c r="E37" s="19"/>
      <c r="F37" s="19"/>
      <c r="G37" s="19"/>
      <c r="H37" s="41"/>
      <c r="I37" s="41">
        <v>1</v>
      </c>
      <c r="J37" s="41" t="s">
        <v>2303</v>
      </c>
      <c r="K37" s="41" t="s">
        <v>222</v>
      </c>
      <c r="L37" s="41" t="s">
        <v>2300</v>
      </c>
      <c r="M37" s="41" t="s">
        <v>418</v>
      </c>
      <c r="N37" s="48"/>
    </row>
    <row r="38" spans="1:14" ht="20.100000000000001" customHeight="1" x14ac:dyDescent="0.25">
      <c r="A38" s="38"/>
      <c r="B38" s="61" t="s">
        <v>2305</v>
      </c>
      <c r="C38" s="41" t="s">
        <v>2699</v>
      </c>
      <c r="D38" s="48"/>
      <c r="E38" s="19"/>
      <c r="F38" s="19"/>
      <c r="G38" s="19"/>
      <c r="H38" s="41"/>
      <c r="I38" s="41">
        <v>1</v>
      </c>
      <c r="J38" s="41" t="s">
        <v>2303</v>
      </c>
      <c r="K38" s="41" t="s">
        <v>222</v>
      </c>
      <c r="L38" s="41" t="s">
        <v>2300</v>
      </c>
      <c r="M38" s="41" t="s">
        <v>418</v>
      </c>
      <c r="N38" s="48"/>
    </row>
    <row r="39" spans="1:14" ht="20.100000000000001" customHeight="1" x14ac:dyDescent="0.25">
      <c r="A39" s="38"/>
      <c r="B39" s="61"/>
      <c r="C39" s="41" t="s">
        <v>2700</v>
      </c>
      <c r="D39" s="48"/>
      <c r="E39" s="19"/>
      <c r="F39" s="19"/>
      <c r="G39" s="19"/>
      <c r="H39" s="41"/>
      <c r="I39" s="41">
        <v>1</v>
      </c>
      <c r="J39" s="41" t="s">
        <v>2304</v>
      </c>
      <c r="K39" s="41" t="s">
        <v>222</v>
      </c>
      <c r="L39" s="41" t="s">
        <v>2702</v>
      </c>
      <c r="M39" s="41" t="s">
        <v>418</v>
      </c>
      <c r="N39" s="48"/>
    </row>
    <row r="40" spans="1:14" ht="20.100000000000001" customHeight="1" x14ac:dyDescent="0.25">
      <c r="A40" s="38"/>
      <c r="B40" s="61"/>
      <c r="C40" s="41" t="s">
        <v>2701</v>
      </c>
      <c r="D40" s="48"/>
      <c r="E40" s="19"/>
      <c r="F40" s="19"/>
      <c r="G40" s="19"/>
      <c r="H40" s="41"/>
      <c r="I40" s="41">
        <v>1</v>
      </c>
      <c r="J40" s="41" t="s">
        <v>2304</v>
      </c>
      <c r="K40" s="41" t="s">
        <v>222</v>
      </c>
      <c r="L40" s="41" t="s">
        <v>2702</v>
      </c>
      <c r="M40" s="41" t="s">
        <v>418</v>
      </c>
      <c r="N40" s="48"/>
    </row>
    <row r="41" spans="1:14" ht="20.100000000000001" customHeight="1" x14ac:dyDescent="0.25">
      <c r="A41" s="38"/>
      <c r="B41" s="61" t="s">
        <v>2460</v>
      </c>
      <c r="C41" s="41" t="s">
        <v>2670</v>
      </c>
      <c r="D41" s="48"/>
      <c r="E41" s="19"/>
      <c r="F41" s="19"/>
      <c r="G41" s="19"/>
      <c r="H41" s="41"/>
      <c r="I41" s="41">
        <v>1</v>
      </c>
      <c r="J41" s="41" t="s">
        <v>2299</v>
      </c>
      <c r="K41" s="41" t="s">
        <v>224</v>
      </c>
      <c r="L41" s="41" t="s">
        <v>1022</v>
      </c>
      <c r="M41" s="41" t="s">
        <v>418</v>
      </c>
      <c r="N41" s="48"/>
    </row>
    <row r="42" spans="1:14" ht="20.100000000000001" customHeight="1" x14ac:dyDescent="0.25">
      <c r="A42" s="38"/>
      <c r="B42" s="61" t="s">
        <v>2460</v>
      </c>
      <c r="C42" s="41" t="s">
        <v>2671</v>
      </c>
      <c r="D42" s="48"/>
      <c r="E42" s="19"/>
      <c r="F42" s="19"/>
      <c r="G42" s="19"/>
      <c r="H42" s="41"/>
      <c r="I42" s="41">
        <v>1</v>
      </c>
      <c r="J42" s="41" t="s">
        <v>2299</v>
      </c>
      <c r="K42" s="41" t="s">
        <v>224</v>
      </c>
      <c r="L42" s="41" t="s">
        <v>1022</v>
      </c>
      <c r="M42" s="41" t="s">
        <v>418</v>
      </c>
      <c r="N42" s="48"/>
    </row>
    <row r="43" spans="1:14" ht="20.100000000000001" customHeight="1" x14ac:dyDescent="0.25">
      <c r="A43" s="38"/>
      <c r="B43" s="61" t="s">
        <v>2460</v>
      </c>
      <c r="C43" s="41" t="s">
        <v>2672</v>
      </c>
      <c r="D43" s="48"/>
      <c r="E43" s="19"/>
      <c r="F43" s="19"/>
      <c r="G43" s="19"/>
      <c r="H43" s="41"/>
      <c r="I43" s="41">
        <v>1</v>
      </c>
      <c r="J43" s="41" t="s">
        <v>2299</v>
      </c>
      <c r="K43" s="41" t="s">
        <v>224</v>
      </c>
      <c r="L43" s="41" t="s">
        <v>1022</v>
      </c>
      <c r="M43" s="41" t="s">
        <v>418</v>
      </c>
      <c r="N43" s="48"/>
    </row>
    <row r="44" spans="1:14" ht="20.100000000000001" customHeight="1" x14ac:dyDescent="0.25">
      <c r="A44" s="38"/>
      <c r="B44" s="61" t="s">
        <v>2460</v>
      </c>
      <c r="C44" s="41" t="s">
        <v>2673</v>
      </c>
      <c r="D44" s="48"/>
      <c r="E44" s="19"/>
      <c r="F44" s="19"/>
      <c r="G44" s="19"/>
      <c r="H44" s="41"/>
      <c r="I44" s="41">
        <v>1</v>
      </c>
      <c r="J44" s="41" t="s">
        <v>2299</v>
      </c>
      <c r="K44" s="41" t="s">
        <v>224</v>
      </c>
      <c r="L44" s="41" t="s">
        <v>1022</v>
      </c>
      <c r="M44" s="41" t="s">
        <v>418</v>
      </c>
      <c r="N44" s="48"/>
    </row>
    <row r="45" spans="1:14" ht="20.100000000000001" customHeight="1" x14ac:dyDescent="0.25">
      <c r="A45" s="38"/>
      <c r="B45" s="61" t="s">
        <v>2707</v>
      </c>
      <c r="C45" s="41" t="s">
        <v>2703</v>
      </c>
      <c r="D45" s="48"/>
      <c r="E45" s="19"/>
      <c r="F45" s="19"/>
      <c r="G45" s="19"/>
      <c r="H45" s="41"/>
      <c r="I45" s="41">
        <v>1</v>
      </c>
      <c r="J45" s="41" t="s">
        <v>2302</v>
      </c>
      <c r="K45" s="41" t="s">
        <v>224</v>
      </c>
      <c r="L45" s="41" t="s">
        <v>2367</v>
      </c>
      <c r="M45" s="41" t="s">
        <v>418</v>
      </c>
      <c r="N45" s="48"/>
    </row>
    <row r="46" spans="1:14" ht="20.100000000000001" customHeight="1" x14ac:dyDescent="0.25">
      <c r="A46" s="38"/>
      <c r="B46" s="61" t="s">
        <v>2707</v>
      </c>
      <c r="C46" s="41" t="s">
        <v>2704</v>
      </c>
      <c r="D46" s="48"/>
      <c r="E46" s="19"/>
      <c r="F46" s="19"/>
      <c r="G46" s="19"/>
      <c r="H46" s="41"/>
      <c r="I46" s="41">
        <v>1</v>
      </c>
      <c r="J46" s="41" t="s">
        <v>2302</v>
      </c>
      <c r="K46" s="41" t="s">
        <v>224</v>
      </c>
      <c r="L46" s="41" t="s">
        <v>2367</v>
      </c>
      <c r="M46" s="41" t="s">
        <v>418</v>
      </c>
      <c r="N46" s="48"/>
    </row>
    <row r="47" spans="1:14" ht="20.100000000000001" customHeight="1" x14ac:dyDescent="0.25">
      <c r="A47" s="38"/>
      <c r="B47" s="61" t="s">
        <v>2707</v>
      </c>
      <c r="C47" s="41" t="s">
        <v>2705</v>
      </c>
      <c r="D47" s="48"/>
      <c r="E47" s="19"/>
      <c r="F47" s="19"/>
      <c r="G47" s="19"/>
      <c r="H47" s="41"/>
      <c r="I47" s="41">
        <v>1</v>
      </c>
      <c r="J47" s="41" t="s">
        <v>2302</v>
      </c>
      <c r="K47" s="41" t="s">
        <v>224</v>
      </c>
      <c r="L47" s="41" t="s">
        <v>2367</v>
      </c>
      <c r="M47" s="41" t="s">
        <v>418</v>
      </c>
      <c r="N47" s="48"/>
    </row>
    <row r="48" spans="1:14" ht="20.100000000000001" customHeight="1" x14ac:dyDescent="0.25">
      <c r="A48" s="38"/>
      <c r="B48" s="61" t="s">
        <v>2707</v>
      </c>
      <c r="C48" s="41" t="s">
        <v>2706</v>
      </c>
      <c r="D48" s="48"/>
      <c r="E48" s="19"/>
      <c r="F48" s="19"/>
      <c r="G48" s="19"/>
      <c r="H48" s="41"/>
      <c r="I48" s="41">
        <v>1</v>
      </c>
      <c r="J48" s="41" t="s">
        <v>2302</v>
      </c>
      <c r="K48" s="41" t="s">
        <v>224</v>
      </c>
      <c r="L48" s="41" t="s">
        <v>2367</v>
      </c>
      <c r="M48" s="41" t="s">
        <v>418</v>
      </c>
      <c r="N48" s="48"/>
    </row>
    <row r="49" spans="1:14" ht="20.100000000000001" customHeight="1" x14ac:dyDescent="0.25">
      <c r="A49" s="38"/>
      <c r="B49" s="61" t="s">
        <v>2305</v>
      </c>
      <c r="C49" s="41" t="s">
        <v>2698</v>
      </c>
      <c r="D49" s="48"/>
      <c r="E49" s="19"/>
      <c r="F49" s="19"/>
      <c r="G49" s="19"/>
      <c r="H49" s="41"/>
      <c r="I49" s="41">
        <v>1</v>
      </c>
      <c r="J49" s="41" t="s">
        <v>2303</v>
      </c>
      <c r="K49" s="41" t="s">
        <v>224</v>
      </c>
      <c r="L49" s="41" t="s">
        <v>2300</v>
      </c>
      <c r="M49" s="41" t="s">
        <v>418</v>
      </c>
      <c r="N49" s="48"/>
    </row>
    <row r="50" spans="1:14" ht="20.100000000000001" customHeight="1" x14ac:dyDescent="0.25">
      <c r="A50" s="38"/>
      <c r="B50" s="61" t="s">
        <v>2305</v>
      </c>
      <c r="C50" s="41" t="s">
        <v>2699</v>
      </c>
      <c r="D50" s="48"/>
      <c r="E50" s="19"/>
      <c r="F50" s="19"/>
      <c r="G50" s="19"/>
      <c r="H50" s="41"/>
      <c r="I50" s="41">
        <v>1</v>
      </c>
      <c r="J50" s="41" t="s">
        <v>2303</v>
      </c>
      <c r="K50" s="41" t="s">
        <v>224</v>
      </c>
      <c r="L50" s="41" t="s">
        <v>2300</v>
      </c>
      <c r="M50" s="41" t="s">
        <v>418</v>
      </c>
      <c r="N50" s="48"/>
    </row>
    <row r="51" spans="1:14" ht="20.100000000000001" customHeight="1" x14ac:dyDescent="0.25">
      <c r="A51" s="38"/>
      <c r="B51" s="61"/>
      <c r="C51" s="41" t="s">
        <v>2700</v>
      </c>
      <c r="D51" s="48"/>
      <c r="E51" s="19"/>
      <c r="F51" s="19"/>
      <c r="G51" s="19"/>
      <c r="H51" s="41"/>
      <c r="I51" s="41">
        <v>1</v>
      </c>
      <c r="J51" s="41" t="s">
        <v>2304</v>
      </c>
      <c r="K51" s="41" t="s">
        <v>224</v>
      </c>
      <c r="L51" s="41" t="s">
        <v>2708</v>
      </c>
      <c r="M51" s="41" t="s">
        <v>418</v>
      </c>
      <c r="N51" s="48"/>
    </row>
    <row r="52" spans="1:14" ht="20.100000000000001" customHeight="1" x14ac:dyDescent="0.25">
      <c r="A52" s="38"/>
      <c r="B52" s="61"/>
      <c r="C52" s="41" t="s">
        <v>2701</v>
      </c>
      <c r="D52" s="48"/>
      <c r="E52" s="19"/>
      <c r="F52" s="19"/>
      <c r="G52" s="19"/>
      <c r="H52" s="41"/>
      <c r="I52" s="41">
        <v>1</v>
      </c>
      <c r="J52" s="41" t="s">
        <v>2304</v>
      </c>
      <c r="K52" s="41" t="s">
        <v>224</v>
      </c>
      <c r="L52" s="41" t="s">
        <v>2709</v>
      </c>
      <c r="M52" s="41" t="s">
        <v>418</v>
      </c>
      <c r="N52" s="48"/>
    </row>
    <row r="53" spans="1:14" ht="20.100000000000001" customHeight="1" x14ac:dyDescent="0.25">
      <c r="A53" s="38"/>
      <c r="B53" s="61" t="s">
        <v>2460</v>
      </c>
      <c r="C53" s="41" t="s">
        <v>2674</v>
      </c>
      <c r="D53" s="48"/>
      <c r="E53" s="19"/>
      <c r="F53" s="19"/>
      <c r="G53" s="19"/>
      <c r="H53" s="41"/>
      <c r="I53" s="41">
        <v>1</v>
      </c>
      <c r="J53" s="41" t="s">
        <v>2299</v>
      </c>
      <c r="K53" s="41" t="s">
        <v>226</v>
      </c>
      <c r="L53" s="41" t="s">
        <v>1022</v>
      </c>
      <c r="M53" s="41" t="s">
        <v>418</v>
      </c>
      <c r="N53" s="48"/>
    </row>
    <row r="54" spans="1:14" ht="20.100000000000001" customHeight="1" x14ac:dyDescent="0.25">
      <c r="A54" s="38"/>
      <c r="B54" s="61" t="s">
        <v>2460</v>
      </c>
      <c r="C54" s="41" t="s">
        <v>2675</v>
      </c>
      <c r="D54" s="48"/>
      <c r="E54" s="19"/>
      <c r="F54" s="19"/>
      <c r="G54" s="19"/>
      <c r="H54" s="41"/>
      <c r="I54" s="41">
        <v>1</v>
      </c>
      <c r="J54" s="41" t="s">
        <v>2299</v>
      </c>
      <c r="K54" s="41" t="s">
        <v>226</v>
      </c>
      <c r="L54" s="41" t="s">
        <v>1022</v>
      </c>
      <c r="M54" s="41" t="s">
        <v>418</v>
      </c>
      <c r="N54" s="48"/>
    </row>
    <row r="55" spans="1:14" ht="20.100000000000001" customHeight="1" x14ac:dyDescent="0.25">
      <c r="A55" s="38"/>
      <c r="B55" s="61" t="s">
        <v>2460</v>
      </c>
      <c r="C55" s="41" t="s">
        <v>2676</v>
      </c>
      <c r="D55" s="48"/>
      <c r="E55" s="19"/>
      <c r="F55" s="19"/>
      <c r="G55" s="19"/>
      <c r="H55" s="41"/>
      <c r="I55" s="41">
        <v>1</v>
      </c>
      <c r="J55" s="41" t="s">
        <v>2299</v>
      </c>
      <c r="K55" s="41" t="s">
        <v>226</v>
      </c>
      <c r="L55" s="41" t="s">
        <v>1022</v>
      </c>
      <c r="M55" s="41" t="s">
        <v>418</v>
      </c>
      <c r="N55" s="48"/>
    </row>
    <row r="56" spans="1:14" ht="20.100000000000001" customHeight="1" x14ac:dyDescent="0.25">
      <c r="A56" s="38"/>
      <c r="B56" s="61" t="s">
        <v>2460</v>
      </c>
      <c r="C56" s="41" t="s">
        <v>2677</v>
      </c>
      <c r="D56" s="48"/>
      <c r="E56" s="19"/>
      <c r="F56" s="19"/>
      <c r="G56" s="19"/>
      <c r="H56" s="41"/>
      <c r="I56" s="41">
        <v>1</v>
      </c>
      <c r="J56" s="41" t="s">
        <v>2299</v>
      </c>
      <c r="K56" s="41" t="s">
        <v>226</v>
      </c>
      <c r="L56" s="41" t="s">
        <v>1022</v>
      </c>
      <c r="M56" s="41" t="s">
        <v>418</v>
      </c>
      <c r="N56" s="48"/>
    </row>
    <row r="57" spans="1:14" ht="20.100000000000001" customHeight="1" x14ac:dyDescent="0.25">
      <c r="A57" s="38"/>
      <c r="B57" s="61" t="s">
        <v>2711</v>
      </c>
      <c r="C57" s="41" t="s">
        <v>2710</v>
      </c>
      <c r="D57" s="48"/>
      <c r="E57" s="19"/>
      <c r="F57" s="19"/>
      <c r="G57" s="19"/>
      <c r="H57" s="41"/>
      <c r="I57" s="41">
        <v>1</v>
      </c>
      <c r="J57" s="41" t="s">
        <v>2302</v>
      </c>
      <c r="K57" s="41" t="s">
        <v>226</v>
      </c>
      <c r="L57" s="41" t="s">
        <v>2367</v>
      </c>
      <c r="M57" s="41" t="s">
        <v>418</v>
      </c>
      <c r="N57" s="48"/>
    </row>
    <row r="58" spans="1:14" ht="20.100000000000001" customHeight="1" x14ac:dyDescent="0.25">
      <c r="A58" s="38"/>
      <c r="B58" s="61" t="s">
        <v>2711</v>
      </c>
      <c r="C58" s="41" t="s">
        <v>2712</v>
      </c>
      <c r="D58" s="48"/>
      <c r="E58" s="19"/>
      <c r="F58" s="19"/>
      <c r="G58" s="19"/>
      <c r="H58" s="41"/>
      <c r="I58" s="41">
        <v>1</v>
      </c>
      <c r="J58" s="41" t="s">
        <v>2302</v>
      </c>
      <c r="K58" s="41" t="s">
        <v>226</v>
      </c>
      <c r="L58" s="41" t="s">
        <v>2367</v>
      </c>
      <c r="M58" s="41" t="s">
        <v>418</v>
      </c>
      <c r="N58" s="48"/>
    </row>
    <row r="59" spans="1:14" ht="20.100000000000001" customHeight="1" x14ac:dyDescent="0.25">
      <c r="A59" s="38"/>
      <c r="B59" s="61" t="s">
        <v>2711</v>
      </c>
      <c r="C59" s="41" t="s">
        <v>2713</v>
      </c>
      <c r="D59" s="48"/>
      <c r="E59" s="19"/>
      <c r="F59" s="19"/>
      <c r="G59" s="19"/>
      <c r="H59" s="41"/>
      <c r="I59" s="41">
        <v>1</v>
      </c>
      <c r="J59" s="41" t="s">
        <v>2302</v>
      </c>
      <c r="K59" s="41" t="s">
        <v>226</v>
      </c>
      <c r="L59" s="41" t="s">
        <v>2367</v>
      </c>
      <c r="M59" s="41" t="s">
        <v>418</v>
      </c>
      <c r="N59" s="48"/>
    </row>
    <row r="60" spans="1:14" ht="20.100000000000001" customHeight="1" x14ac:dyDescent="0.25">
      <c r="A60" s="38"/>
      <c r="B60" s="61" t="s">
        <v>2711</v>
      </c>
      <c r="C60" s="41" t="s">
        <v>2714</v>
      </c>
      <c r="D60" s="48"/>
      <c r="E60" s="19"/>
      <c r="F60" s="19"/>
      <c r="G60" s="19"/>
      <c r="H60" s="41"/>
      <c r="I60" s="41">
        <v>1</v>
      </c>
      <c r="J60" s="41" t="s">
        <v>2302</v>
      </c>
      <c r="K60" s="41" t="s">
        <v>226</v>
      </c>
      <c r="L60" s="41" t="s">
        <v>2367</v>
      </c>
      <c r="M60" s="41" t="s">
        <v>418</v>
      </c>
      <c r="N60" s="48"/>
    </row>
    <row r="61" spans="1:14" ht="20.100000000000001" customHeight="1" x14ac:dyDescent="0.25">
      <c r="A61" s="38"/>
      <c r="B61" s="61" t="s">
        <v>2471</v>
      </c>
      <c r="C61" s="41" t="s">
        <v>2730</v>
      </c>
      <c r="D61" s="48"/>
      <c r="E61" s="19"/>
      <c r="F61" s="19"/>
      <c r="G61" s="19"/>
      <c r="H61" s="41"/>
      <c r="I61" s="41">
        <v>1</v>
      </c>
      <c r="J61" s="41" t="s">
        <v>2303</v>
      </c>
      <c r="K61" s="41" t="s">
        <v>226</v>
      </c>
      <c r="L61" s="44" t="s">
        <v>2735</v>
      </c>
      <c r="M61" s="41" t="s">
        <v>418</v>
      </c>
      <c r="N61" s="48"/>
    </row>
    <row r="62" spans="1:14" ht="20.100000000000001" customHeight="1" x14ac:dyDescent="0.25">
      <c r="A62" s="38"/>
      <c r="B62" s="61" t="s">
        <v>2471</v>
      </c>
      <c r="C62" s="41" t="s">
        <v>2731</v>
      </c>
      <c r="D62" s="48"/>
      <c r="E62" s="19"/>
      <c r="F62" s="19"/>
      <c r="G62" s="19"/>
      <c r="H62" s="41"/>
      <c r="I62" s="41">
        <v>1</v>
      </c>
      <c r="J62" s="41" t="s">
        <v>2303</v>
      </c>
      <c r="K62" s="41" t="s">
        <v>226</v>
      </c>
      <c r="L62" s="44" t="s">
        <v>2735</v>
      </c>
      <c r="M62" s="41" t="s">
        <v>418</v>
      </c>
      <c r="N62" s="48"/>
    </row>
    <row r="63" spans="1:14" ht="20.100000000000001" customHeight="1" x14ac:dyDescent="0.25">
      <c r="A63" s="38"/>
      <c r="B63" s="61" t="s">
        <v>2471</v>
      </c>
      <c r="C63" s="41" t="s">
        <v>2732</v>
      </c>
      <c r="D63" s="48"/>
      <c r="E63" s="19"/>
      <c r="F63" s="19"/>
      <c r="G63" s="19"/>
      <c r="H63" s="41"/>
      <c r="I63" s="41">
        <v>1</v>
      </c>
      <c r="J63" s="41" t="s">
        <v>2303</v>
      </c>
      <c r="K63" s="41" t="s">
        <v>226</v>
      </c>
      <c r="L63" s="44" t="s">
        <v>2735</v>
      </c>
      <c r="M63" s="41" t="s">
        <v>418</v>
      </c>
      <c r="N63" s="48"/>
    </row>
    <row r="64" spans="1:14" ht="20.100000000000001" customHeight="1" x14ac:dyDescent="0.25">
      <c r="A64" s="38"/>
      <c r="B64" s="61"/>
      <c r="C64" s="41" t="s">
        <v>2733</v>
      </c>
      <c r="D64" s="48"/>
      <c r="E64" s="19"/>
      <c r="F64" s="19"/>
      <c r="G64" s="19"/>
      <c r="H64" s="41"/>
      <c r="I64" s="41">
        <v>1</v>
      </c>
      <c r="J64" s="41" t="s">
        <v>2304</v>
      </c>
      <c r="K64" s="41" t="s">
        <v>226</v>
      </c>
      <c r="L64" s="41" t="s">
        <v>2736</v>
      </c>
      <c r="M64" s="41" t="s">
        <v>418</v>
      </c>
      <c r="N64" s="48"/>
    </row>
    <row r="65" spans="1:14" ht="20.100000000000001" customHeight="1" x14ac:dyDescent="0.25">
      <c r="A65" s="38"/>
      <c r="B65" s="61"/>
      <c r="C65" s="41" t="s">
        <v>2734</v>
      </c>
      <c r="D65" s="48"/>
      <c r="E65" s="19"/>
      <c r="F65" s="19"/>
      <c r="G65" s="19"/>
      <c r="H65" s="41"/>
      <c r="I65" s="41">
        <v>1</v>
      </c>
      <c r="J65" s="41" t="s">
        <v>2304</v>
      </c>
      <c r="K65" s="41" t="s">
        <v>226</v>
      </c>
      <c r="L65" s="41" t="s">
        <v>2709</v>
      </c>
      <c r="M65" s="41" t="s">
        <v>418</v>
      </c>
      <c r="N65" s="48"/>
    </row>
    <row r="66" spans="1:14" ht="20.100000000000001" customHeight="1" x14ac:dyDescent="0.25">
      <c r="A66" s="38"/>
      <c r="B66" s="61" t="s">
        <v>2460</v>
      </c>
      <c r="C66" s="41" t="s">
        <v>2678</v>
      </c>
      <c r="D66" s="48"/>
      <c r="E66" s="19"/>
      <c r="F66" s="19"/>
      <c r="G66" s="19"/>
      <c r="H66" s="41"/>
      <c r="I66" s="41">
        <v>1</v>
      </c>
      <c r="J66" s="41" t="s">
        <v>2299</v>
      </c>
      <c r="K66" s="41" t="s">
        <v>228</v>
      </c>
      <c r="L66" s="41" t="s">
        <v>1022</v>
      </c>
      <c r="M66" s="41" t="s">
        <v>418</v>
      </c>
      <c r="N66" s="48"/>
    </row>
    <row r="67" spans="1:14" ht="20.100000000000001" customHeight="1" x14ac:dyDescent="0.25">
      <c r="A67" s="38"/>
      <c r="B67" s="61" t="s">
        <v>2460</v>
      </c>
      <c r="C67" s="41" t="s">
        <v>2679</v>
      </c>
      <c r="D67" s="48"/>
      <c r="E67" s="19"/>
      <c r="F67" s="19"/>
      <c r="G67" s="19"/>
      <c r="H67" s="41"/>
      <c r="I67" s="41">
        <v>1</v>
      </c>
      <c r="J67" s="41" t="s">
        <v>2299</v>
      </c>
      <c r="K67" s="41" t="s">
        <v>228</v>
      </c>
      <c r="L67" s="41" t="s">
        <v>1022</v>
      </c>
      <c r="M67" s="41" t="s">
        <v>418</v>
      </c>
      <c r="N67" s="48"/>
    </row>
    <row r="68" spans="1:14" ht="20.100000000000001" customHeight="1" x14ac:dyDescent="0.25">
      <c r="A68" s="38"/>
      <c r="B68" s="61" t="s">
        <v>2460</v>
      </c>
      <c r="C68" s="41" t="s">
        <v>2680</v>
      </c>
      <c r="D68" s="48"/>
      <c r="E68" s="19"/>
      <c r="F68" s="19"/>
      <c r="G68" s="19"/>
      <c r="H68" s="41"/>
      <c r="I68" s="41">
        <v>1</v>
      </c>
      <c r="J68" s="41" t="s">
        <v>2299</v>
      </c>
      <c r="K68" s="41" t="s">
        <v>228</v>
      </c>
      <c r="L68" s="41" t="s">
        <v>1022</v>
      </c>
      <c r="M68" s="41" t="s">
        <v>418</v>
      </c>
      <c r="N68" s="48"/>
    </row>
    <row r="69" spans="1:14" ht="20.100000000000001" customHeight="1" x14ac:dyDescent="0.25">
      <c r="A69" s="38"/>
      <c r="B69" s="61" t="s">
        <v>2460</v>
      </c>
      <c r="C69" s="41" t="s">
        <v>2681</v>
      </c>
      <c r="D69" s="48"/>
      <c r="E69" s="19"/>
      <c r="F69" s="19"/>
      <c r="G69" s="19"/>
      <c r="H69" s="41"/>
      <c r="I69" s="41">
        <v>1</v>
      </c>
      <c r="J69" s="41" t="s">
        <v>2299</v>
      </c>
      <c r="K69" s="41" t="s">
        <v>228</v>
      </c>
      <c r="L69" s="41" t="s">
        <v>1022</v>
      </c>
      <c r="M69" s="41" t="s">
        <v>418</v>
      </c>
      <c r="N69" s="48"/>
    </row>
    <row r="70" spans="1:14" ht="20.100000000000001" customHeight="1" x14ac:dyDescent="0.25">
      <c r="A70" s="38"/>
      <c r="B70" s="61" t="s">
        <v>2694</v>
      </c>
      <c r="C70" s="41" t="s">
        <v>2715</v>
      </c>
      <c r="D70" s="48"/>
      <c r="E70" s="19"/>
      <c r="F70" s="19"/>
      <c r="G70" s="19"/>
      <c r="H70" s="41"/>
      <c r="I70" s="41">
        <v>1</v>
      </c>
      <c r="J70" s="41" t="s">
        <v>2302</v>
      </c>
      <c r="K70" s="41" t="s">
        <v>228</v>
      </c>
      <c r="L70" s="41" t="s">
        <v>2367</v>
      </c>
      <c r="M70" s="41" t="s">
        <v>418</v>
      </c>
      <c r="N70" s="48"/>
    </row>
    <row r="71" spans="1:14" ht="20.100000000000001" customHeight="1" x14ac:dyDescent="0.25">
      <c r="A71" s="38"/>
      <c r="B71" s="61" t="s">
        <v>2694</v>
      </c>
      <c r="C71" s="41" t="s">
        <v>2716</v>
      </c>
      <c r="D71" s="48"/>
      <c r="E71" s="19"/>
      <c r="F71" s="19"/>
      <c r="G71" s="19"/>
      <c r="H71" s="41"/>
      <c r="I71" s="41">
        <v>1</v>
      </c>
      <c r="J71" s="41" t="s">
        <v>2302</v>
      </c>
      <c r="K71" s="41" t="s">
        <v>228</v>
      </c>
      <c r="L71" s="41" t="s">
        <v>2367</v>
      </c>
      <c r="M71" s="41" t="s">
        <v>418</v>
      </c>
      <c r="N71" s="48"/>
    </row>
    <row r="72" spans="1:14" ht="20.100000000000001" customHeight="1" x14ac:dyDescent="0.25">
      <c r="A72" s="38"/>
      <c r="B72" s="61" t="s">
        <v>2694</v>
      </c>
      <c r="C72" s="41" t="s">
        <v>2717</v>
      </c>
      <c r="D72" s="48"/>
      <c r="E72" s="19"/>
      <c r="F72" s="19"/>
      <c r="G72" s="19"/>
      <c r="H72" s="41"/>
      <c r="I72" s="41">
        <v>1</v>
      </c>
      <c r="J72" s="41" t="s">
        <v>2302</v>
      </c>
      <c r="K72" s="41" t="s">
        <v>228</v>
      </c>
      <c r="L72" s="41" t="s">
        <v>2367</v>
      </c>
      <c r="M72" s="41" t="s">
        <v>418</v>
      </c>
      <c r="N72" s="48"/>
    </row>
    <row r="73" spans="1:14" ht="20.100000000000001" customHeight="1" x14ac:dyDescent="0.25">
      <c r="A73" s="38"/>
      <c r="B73" s="61" t="s">
        <v>2694</v>
      </c>
      <c r="C73" s="41" t="s">
        <v>2718</v>
      </c>
      <c r="D73" s="48"/>
      <c r="E73" s="19"/>
      <c r="F73" s="19"/>
      <c r="G73" s="19"/>
      <c r="H73" s="41"/>
      <c r="I73" s="41">
        <v>1</v>
      </c>
      <c r="J73" s="41" t="s">
        <v>2302</v>
      </c>
      <c r="K73" s="41" t="s">
        <v>228</v>
      </c>
      <c r="L73" s="41" t="s">
        <v>2367</v>
      </c>
      <c r="M73" s="41" t="s">
        <v>418</v>
      </c>
      <c r="N73" s="48"/>
    </row>
    <row r="74" spans="1:14" ht="20.100000000000001" customHeight="1" x14ac:dyDescent="0.25">
      <c r="A74" s="38"/>
      <c r="B74" s="61" t="s">
        <v>2471</v>
      </c>
      <c r="C74" s="41" t="s">
        <v>2737</v>
      </c>
      <c r="D74" s="48"/>
      <c r="E74" s="19"/>
      <c r="F74" s="19"/>
      <c r="G74" s="19"/>
      <c r="H74" s="41"/>
      <c r="I74" s="41">
        <v>1</v>
      </c>
      <c r="J74" s="41" t="s">
        <v>2303</v>
      </c>
      <c r="K74" s="41" t="s">
        <v>228</v>
      </c>
      <c r="L74" s="44" t="s">
        <v>2735</v>
      </c>
      <c r="M74" s="41" t="s">
        <v>418</v>
      </c>
      <c r="N74" s="48"/>
    </row>
    <row r="75" spans="1:14" ht="20.100000000000001" customHeight="1" x14ac:dyDescent="0.25">
      <c r="A75" s="38"/>
      <c r="B75" s="61" t="s">
        <v>2471</v>
      </c>
      <c r="C75" s="41" t="s">
        <v>2738</v>
      </c>
      <c r="D75" s="48"/>
      <c r="E75" s="19"/>
      <c r="F75" s="19"/>
      <c r="G75" s="19"/>
      <c r="H75" s="41"/>
      <c r="I75" s="41">
        <v>1</v>
      </c>
      <c r="J75" s="41" t="s">
        <v>2303</v>
      </c>
      <c r="K75" s="41" t="s">
        <v>228</v>
      </c>
      <c r="L75" s="44" t="s">
        <v>2735</v>
      </c>
      <c r="M75" s="41" t="s">
        <v>418</v>
      </c>
      <c r="N75" s="48"/>
    </row>
    <row r="76" spans="1:14" ht="20.100000000000001" customHeight="1" x14ac:dyDescent="0.25">
      <c r="A76" s="38"/>
      <c r="B76" s="61"/>
      <c r="C76" s="41" t="s">
        <v>2739</v>
      </c>
      <c r="D76" s="48"/>
      <c r="E76" s="19"/>
      <c r="F76" s="19"/>
      <c r="G76" s="19"/>
      <c r="H76" s="41"/>
      <c r="I76" s="41">
        <v>1</v>
      </c>
      <c r="J76" s="41" t="s">
        <v>2304</v>
      </c>
      <c r="K76" s="41" t="s">
        <v>228</v>
      </c>
      <c r="L76" s="41" t="s">
        <v>2736</v>
      </c>
      <c r="M76" s="41" t="s">
        <v>418</v>
      </c>
      <c r="N76" s="48"/>
    </row>
    <row r="77" spans="1:14" ht="20.100000000000001" customHeight="1" x14ac:dyDescent="0.25">
      <c r="A77" s="38"/>
      <c r="B77" s="61"/>
      <c r="C77" s="41" t="s">
        <v>2740</v>
      </c>
      <c r="D77" s="48"/>
      <c r="E77" s="19"/>
      <c r="F77" s="19"/>
      <c r="G77" s="19"/>
      <c r="H77" s="41"/>
      <c r="I77" s="41">
        <v>1</v>
      </c>
      <c r="J77" s="41" t="s">
        <v>2304</v>
      </c>
      <c r="K77" s="41" t="s">
        <v>228</v>
      </c>
      <c r="L77" s="41" t="s">
        <v>2709</v>
      </c>
      <c r="M77" s="41" t="s">
        <v>418</v>
      </c>
      <c r="N77" s="48"/>
    </row>
    <row r="78" spans="1:14" ht="20.100000000000001" customHeight="1" x14ac:dyDescent="0.25">
      <c r="A78" s="38"/>
      <c r="B78" s="61" t="s">
        <v>2460</v>
      </c>
      <c r="C78" s="41" t="s">
        <v>2682</v>
      </c>
      <c r="D78" s="48"/>
      <c r="E78" s="19"/>
      <c r="F78" s="19"/>
      <c r="G78" s="19"/>
      <c r="H78" s="41"/>
      <c r="I78" s="41">
        <v>1</v>
      </c>
      <c r="J78" s="41" t="s">
        <v>2299</v>
      </c>
      <c r="K78" s="41" t="s">
        <v>230</v>
      </c>
      <c r="L78" s="41" t="s">
        <v>1022</v>
      </c>
      <c r="M78" s="41" t="s">
        <v>418</v>
      </c>
      <c r="N78" s="48"/>
    </row>
    <row r="79" spans="1:14" ht="20.100000000000001" customHeight="1" x14ac:dyDescent="0.25">
      <c r="A79" s="38"/>
      <c r="B79" s="61" t="s">
        <v>2460</v>
      </c>
      <c r="C79" s="41" t="s">
        <v>2683</v>
      </c>
      <c r="D79" s="48"/>
      <c r="E79" s="19"/>
      <c r="F79" s="19"/>
      <c r="G79" s="19"/>
      <c r="H79" s="41"/>
      <c r="I79" s="41">
        <v>1</v>
      </c>
      <c r="J79" s="41" t="s">
        <v>2299</v>
      </c>
      <c r="K79" s="41" t="s">
        <v>230</v>
      </c>
      <c r="L79" s="41" t="s">
        <v>1022</v>
      </c>
      <c r="M79" s="41" t="s">
        <v>418</v>
      </c>
      <c r="N79" s="48"/>
    </row>
    <row r="80" spans="1:14" ht="20.100000000000001" customHeight="1" x14ac:dyDescent="0.25">
      <c r="A80" s="38"/>
      <c r="B80" s="61" t="s">
        <v>2460</v>
      </c>
      <c r="C80" s="41" t="s">
        <v>2684</v>
      </c>
      <c r="D80" s="48"/>
      <c r="E80" s="19"/>
      <c r="F80" s="19"/>
      <c r="G80" s="19"/>
      <c r="H80" s="41"/>
      <c r="I80" s="41">
        <v>1</v>
      </c>
      <c r="J80" s="41" t="s">
        <v>2299</v>
      </c>
      <c r="K80" s="41" t="s">
        <v>230</v>
      </c>
      <c r="L80" s="41" t="s">
        <v>1022</v>
      </c>
      <c r="M80" s="41" t="s">
        <v>418</v>
      </c>
      <c r="N80" s="48"/>
    </row>
    <row r="81" spans="1:14" ht="20.100000000000001" customHeight="1" x14ac:dyDescent="0.25">
      <c r="A81" s="38"/>
      <c r="B81" s="61" t="s">
        <v>2460</v>
      </c>
      <c r="C81" s="41" t="s">
        <v>2685</v>
      </c>
      <c r="D81" s="48"/>
      <c r="E81" s="19"/>
      <c r="F81" s="19"/>
      <c r="G81" s="19"/>
      <c r="H81" s="41"/>
      <c r="I81" s="41">
        <v>1</v>
      </c>
      <c r="J81" s="41" t="s">
        <v>2299</v>
      </c>
      <c r="K81" s="41" t="s">
        <v>230</v>
      </c>
      <c r="L81" s="41" t="s">
        <v>1022</v>
      </c>
      <c r="M81" s="41" t="s">
        <v>418</v>
      </c>
      <c r="N81" s="48"/>
    </row>
    <row r="82" spans="1:14" ht="20.100000000000001" customHeight="1" x14ac:dyDescent="0.25">
      <c r="A82" s="38"/>
      <c r="B82" s="61" t="s">
        <v>2719</v>
      </c>
      <c r="C82" s="41" t="s">
        <v>2720</v>
      </c>
      <c r="D82" s="48"/>
      <c r="E82" s="19"/>
      <c r="F82" s="19"/>
      <c r="G82" s="19"/>
      <c r="H82" s="41"/>
      <c r="I82" s="41">
        <v>1</v>
      </c>
      <c r="J82" s="41" t="s">
        <v>2302</v>
      </c>
      <c r="K82" s="41" t="s">
        <v>230</v>
      </c>
      <c r="L82" s="41" t="s">
        <v>2367</v>
      </c>
      <c r="M82" s="41" t="s">
        <v>418</v>
      </c>
      <c r="N82" s="48"/>
    </row>
    <row r="83" spans="1:14" ht="20.100000000000001" customHeight="1" x14ac:dyDescent="0.25">
      <c r="A83" s="38"/>
      <c r="B83" s="61" t="s">
        <v>2719</v>
      </c>
      <c r="C83" s="41" t="s">
        <v>2721</v>
      </c>
      <c r="D83" s="48"/>
      <c r="E83" s="19"/>
      <c r="F83" s="19"/>
      <c r="G83" s="19"/>
      <c r="H83" s="41"/>
      <c r="I83" s="41">
        <v>1</v>
      </c>
      <c r="J83" s="41" t="s">
        <v>2302</v>
      </c>
      <c r="K83" s="41" t="s">
        <v>230</v>
      </c>
      <c r="L83" s="41" t="s">
        <v>2367</v>
      </c>
      <c r="M83" s="41" t="s">
        <v>418</v>
      </c>
      <c r="N83" s="48"/>
    </row>
    <row r="84" spans="1:14" ht="20.100000000000001" customHeight="1" x14ac:dyDescent="0.25">
      <c r="A84" s="38"/>
      <c r="B84" s="61" t="s">
        <v>2719</v>
      </c>
      <c r="C84" s="41" t="s">
        <v>2722</v>
      </c>
      <c r="D84" s="48"/>
      <c r="E84" s="19"/>
      <c r="F84" s="19"/>
      <c r="G84" s="19"/>
      <c r="H84" s="41"/>
      <c r="I84" s="41">
        <v>1</v>
      </c>
      <c r="J84" s="41" t="s">
        <v>2302</v>
      </c>
      <c r="K84" s="41" t="s">
        <v>230</v>
      </c>
      <c r="L84" s="41" t="s">
        <v>2367</v>
      </c>
      <c r="M84" s="41" t="s">
        <v>418</v>
      </c>
      <c r="N84" s="48"/>
    </row>
    <row r="85" spans="1:14" ht="20.100000000000001" customHeight="1" x14ac:dyDescent="0.25">
      <c r="A85" s="38"/>
      <c r="B85" s="61" t="s">
        <v>2719</v>
      </c>
      <c r="C85" s="41" t="s">
        <v>2723</v>
      </c>
      <c r="D85" s="48"/>
      <c r="E85" s="19"/>
      <c r="F85" s="19"/>
      <c r="G85" s="19"/>
      <c r="H85" s="41"/>
      <c r="I85" s="41">
        <v>1</v>
      </c>
      <c r="J85" s="41" t="s">
        <v>2302</v>
      </c>
      <c r="K85" s="41" t="s">
        <v>230</v>
      </c>
      <c r="L85" s="41" t="s">
        <v>2367</v>
      </c>
      <c r="M85" s="41" t="s">
        <v>418</v>
      </c>
      <c r="N85" s="48"/>
    </row>
    <row r="86" spans="1:14" ht="20.100000000000001" customHeight="1" x14ac:dyDescent="0.25">
      <c r="A86" s="38"/>
      <c r="B86" s="61" t="s">
        <v>2471</v>
      </c>
      <c r="C86" s="41" t="s">
        <v>2741</v>
      </c>
      <c r="D86" s="48"/>
      <c r="E86" s="19"/>
      <c r="F86" s="19"/>
      <c r="G86" s="19"/>
      <c r="H86" s="41"/>
      <c r="I86" s="41">
        <v>1</v>
      </c>
      <c r="J86" s="41" t="s">
        <v>2303</v>
      </c>
      <c r="K86" s="41" t="s">
        <v>230</v>
      </c>
      <c r="L86" s="44" t="s">
        <v>2735</v>
      </c>
      <c r="M86" s="41" t="s">
        <v>418</v>
      </c>
      <c r="N86" s="48"/>
    </row>
    <row r="87" spans="1:14" ht="20.100000000000001" customHeight="1" x14ac:dyDescent="0.25">
      <c r="A87" s="38"/>
      <c r="B87" s="61"/>
      <c r="C87" s="41" t="s">
        <v>2742</v>
      </c>
      <c r="D87" s="48"/>
      <c r="E87" s="19"/>
      <c r="F87" s="19"/>
      <c r="G87" s="19"/>
      <c r="H87" s="41"/>
      <c r="I87" s="41">
        <v>1</v>
      </c>
      <c r="J87" s="41" t="s">
        <v>2304</v>
      </c>
      <c r="K87" s="41" t="s">
        <v>230</v>
      </c>
      <c r="L87" s="41" t="s">
        <v>2736</v>
      </c>
      <c r="M87" s="41" t="s">
        <v>418</v>
      </c>
      <c r="N87" s="48"/>
    </row>
    <row r="88" spans="1:14" ht="20.100000000000001" customHeight="1" x14ac:dyDescent="0.25">
      <c r="A88" s="38"/>
      <c r="B88" s="61"/>
      <c r="C88" s="41" t="s">
        <v>2743</v>
      </c>
      <c r="D88" s="48"/>
      <c r="E88" s="19"/>
      <c r="F88" s="19"/>
      <c r="G88" s="19"/>
      <c r="H88" s="41"/>
      <c r="I88" s="41">
        <v>1</v>
      </c>
      <c r="J88" s="41" t="s">
        <v>2304</v>
      </c>
      <c r="K88" s="41" t="s">
        <v>230</v>
      </c>
      <c r="L88" s="41" t="s">
        <v>2709</v>
      </c>
      <c r="M88" s="41" t="s">
        <v>418</v>
      </c>
      <c r="N88" s="48"/>
    </row>
    <row r="89" spans="1:14" ht="20.100000000000001" customHeight="1" x14ac:dyDescent="0.25">
      <c r="A89" s="38"/>
      <c r="B89" s="61" t="s">
        <v>2460</v>
      </c>
      <c r="C89" s="41" t="s">
        <v>2687</v>
      </c>
      <c r="D89" s="48"/>
      <c r="E89" s="19"/>
      <c r="F89" s="19"/>
      <c r="G89" s="19"/>
      <c r="H89" s="41"/>
      <c r="I89" s="41">
        <v>1</v>
      </c>
      <c r="J89" s="41" t="s">
        <v>2299</v>
      </c>
      <c r="K89" s="41" t="s">
        <v>2686</v>
      </c>
      <c r="L89" s="41" t="s">
        <v>1022</v>
      </c>
      <c r="M89" s="41" t="s">
        <v>423</v>
      </c>
      <c r="N89" s="48"/>
    </row>
    <row r="90" spans="1:14" ht="20.100000000000001" customHeight="1" x14ac:dyDescent="0.25">
      <c r="A90" s="38"/>
      <c r="B90" s="61" t="s">
        <v>2460</v>
      </c>
      <c r="C90" s="41" t="s">
        <v>2688</v>
      </c>
      <c r="D90" s="48"/>
      <c r="E90" s="19"/>
      <c r="F90" s="19"/>
      <c r="G90" s="19"/>
      <c r="H90" s="41"/>
      <c r="I90" s="41">
        <v>1</v>
      </c>
      <c r="J90" s="41" t="s">
        <v>2299</v>
      </c>
      <c r="K90" s="41" t="s">
        <v>2686</v>
      </c>
      <c r="L90" s="41" t="s">
        <v>1022</v>
      </c>
      <c r="M90" s="41" t="s">
        <v>423</v>
      </c>
      <c r="N90" s="48"/>
    </row>
    <row r="91" spans="1:14" ht="20.100000000000001" customHeight="1" x14ac:dyDescent="0.25">
      <c r="A91" s="38"/>
      <c r="B91" s="61" t="s">
        <v>2460</v>
      </c>
      <c r="C91" s="41" t="s">
        <v>2689</v>
      </c>
      <c r="D91" s="48"/>
      <c r="E91" s="19"/>
      <c r="F91" s="19"/>
      <c r="G91" s="19"/>
      <c r="H91" s="41"/>
      <c r="I91" s="41">
        <v>1</v>
      </c>
      <c r="J91" s="41" t="s">
        <v>2299</v>
      </c>
      <c r="K91" s="41" t="s">
        <v>2686</v>
      </c>
      <c r="L91" s="41" t="s">
        <v>1022</v>
      </c>
      <c r="M91" s="41" t="s">
        <v>423</v>
      </c>
      <c r="N91" s="48"/>
    </row>
    <row r="92" spans="1:14" ht="20.100000000000001" customHeight="1" x14ac:dyDescent="0.25">
      <c r="A92" s="38"/>
      <c r="B92" s="61" t="s">
        <v>2460</v>
      </c>
      <c r="C92" s="41" t="s">
        <v>2690</v>
      </c>
      <c r="D92" s="48"/>
      <c r="E92" s="19"/>
      <c r="F92" s="19"/>
      <c r="G92" s="19"/>
      <c r="H92" s="41"/>
      <c r="I92" s="41">
        <v>1</v>
      </c>
      <c r="J92" s="41" t="s">
        <v>2299</v>
      </c>
      <c r="K92" s="41" t="s">
        <v>2686</v>
      </c>
      <c r="L92" s="41" t="s">
        <v>1022</v>
      </c>
      <c r="M92" s="41" t="s">
        <v>423</v>
      </c>
      <c r="N92" s="48"/>
    </row>
    <row r="93" spans="1:14" ht="20.100000000000001" customHeight="1" x14ac:dyDescent="0.25">
      <c r="A93" s="38"/>
      <c r="B93" s="61" t="s">
        <v>2719</v>
      </c>
      <c r="C93" s="41" t="s">
        <v>2724</v>
      </c>
      <c r="D93" s="48"/>
      <c r="E93" s="19"/>
      <c r="F93" s="19"/>
      <c r="G93" s="19"/>
      <c r="H93" s="41"/>
      <c r="I93" s="41">
        <v>1</v>
      </c>
      <c r="J93" s="41" t="s">
        <v>2302</v>
      </c>
      <c r="K93" s="41" t="s">
        <v>2686</v>
      </c>
      <c r="L93" s="41" t="s">
        <v>2367</v>
      </c>
      <c r="M93" s="41" t="s">
        <v>423</v>
      </c>
      <c r="N93" s="48"/>
    </row>
    <row r="94" spans="1:14" ht="20.100000000000001" customHeight="1" x14ac:dyDescent="0.25">
      <c r="A94" s="38"/>
      <c r="B94" s="61" t="s">
        <v>2719</v>
      </c>
      <c r="C94" s="41" t="s">
        <v>2725</v>
      </c>
      <c r="D94" s="48"/>
      <c r="E94" s="19"/>
      <c r="F94" s="19"/>
      <c r="G94" s="19"/>
      <c r="H94" s="41"/>
      <c r="I94" s="41">
        <v>1</v>
      </c>
      <c r="J94" s="41" t="s">
        <v>2302</v>
      </c>
      <c r="K94" s="41" t="s">
        <v>2686</v>
      </c>
      <c r="L94" s="41" t="s">
        <v>2367</v>
      </c>
      <c r="M94" s="41" t="s">
        <v>423</v>
      </c>
      <c r="N94" s="48"/>
    </row>
    <row r="95" spans="1:14" ht="20.100000000000001" customHeight="1" x14ac:dyDescent="0.25">
      <c r="A95" s="38"/>
      <c r="B95" s="61" t="s">
        <v>2719</v>
      </c>
      <c r="C95" s="41" t="s">
        <v>2726</v>
      </c>
      <c r="D95" s="48"/>
      <c r="E95" s="19"/>
      <c r="F95" s="19"/>
      <c r="G95" s="19"/>
      <c r="H95" s="41"/>
      <c r="I95" s="41">
        <v>1</v>
      </c>
      <c r="J95" s="41" t="s">
        <v>2302</v>
      </c>
      <c r="K95" s="41" t="s">
        <v>2686</v>
      </c>
      <c r="L95" s="41" t="s">
        <v>2367</v>
      </c>
      <c r="M95" s="41" t="s">
        <v>423</v>
      </c>
      <c r="N95" s="48"/>
    </row>
    <row r="96" spans="1:14" ht="20.100000000000001" customHeight="1" x14ac:dyDescent="0.25">
      <c r="A96" s="38"/>
      <c r="B96" s="61" t="s">
        <v>2719</v>
      </c>
      <c r="C96" s="41" t="s">
        <v>2727</v>
      </c>
      <c r="D96" s="48"/>
      <c r="E96" s="19"/>
      <c r="F96" s="19"/>
      <c r="G96" s="19"/>
      <c r="H96" s="41"/>
      <c r="I96" s="41">
        <v>1</v>
      </c>
      <c r="J96" s="41" t="s">
        <v>2302</v>
      </c>
      <c r="K96" s="41" t="s">
        <v>2686</v>
      </c>
      <c r="L96" s="41" t="s">
        <v>2367</v>
      </c>
      <c r="M96" s="41" t="s">
        <v>423</v>
      </c>
      <c r="N96" s="48"/>
    </row>
    <row r="97" spans="1:14" ht="20.100000000000001" customHeight="1" x14ac:dyDescent="0.25">
      <c r="A97" s="38"/>
      <c r="B97" s="61" t="s">
        <v>2305</v>
      </c>
      <c r="C97" s="41" t="s">
        <v>2729</v>
      </c>
      <c r="D97" s="48"/>
      <c r="E97" s="19"/>
      <c r="F97" s="19"/>
      <c r="G97" s="19"/>
      <c r="H97" s="41"/>
      <c r="I97" s="41">
        <v>1</v>
      </c>
      <c r="J97" s="41" t="s">
        <v>2303</v>
      </c>
      <c r="K97" s="41" t="s">
        <v>2686</v>
      </c>
      <c r="L97" s="41" t="s">
        <v>2300</v>
      </c>
      <c r="M97" s="41" t="s">
        <v>423</v>
      </c>
      <c r="N97" s="48"/>
    </row>
    <row r="98" spans="1:14" ht="20.100000000000001" customHeight="1" x14ac:dyDescent="0.25">
      <c r="A98" s="38"/>
      <c r="B98" s="61" t="s">
        <v>2787</v>
      </c>
      <c r="C98" s="41" t="s">
        <v>2789</v>
      </c>
      <c r="D98" s="48"/>
      <c r="E98" s="19"/>
      <c r="F98" s="19"/>
      <c r="G98" s="19"/>
      <c r="H98" s="41"/>
      <c r="I98" s="41">
        <v>1</v>
      </c>
      <c r="J98" s="41" t="s">
        <v>2299</v>
      </c>
      <c r="K98" s="41" t="s">
        <v>2728</v>
      </c>
      <c r="L98" s="41" t="s">
        <v>2786</v>
      </c>
      <c r="M98" s="41" t="s">
        <v>425</v>
      </c>
      <c r="N98" s="48"/>
    </row>
    <row r="99" spans="1:14" ht="20.100000000000001" customHeight="1" x14ac:dyDescent="0.25">
      <c r="A99" s="38"/>
      <c r="B99" s="61" t="s">
        <v>2787</v>
      </c>
      <c r="C99" s="41" t="s">
        <v>2790</v>
      </c>
      <c r="D99" s="48"/>
      <c r="E99" s="19"/>
      <c r="F99" s="19"/>
      <c r="G99" s="19"/>
      <c r="H99" s="41"/>
      <c r="I99" s="41">
        <v>1</v>
      </c>
      <c r="J99" s="41" t="s">
        <v>2299</v>
      </c>
      <c r="K99" s="41" t="s">
        <v>2728</v>
      </c>
      <c r="L99" s="41" t="s">
        <v>2786</v>
      </c>
      <c r="M99" s="41" t="s">
        <v>425</v>
      </c>
      <c r="N99" s="48"/>
    </row>
    <row r="100" spans="1:14" ht="20.100000000000001" customHeight="1" x14ac:dyDescent="0.25">
      <c r="A100" s="38"/>
      <c r="B100" s="61" t="s">
        <v>2787</v>
      </c>
      <c r="C100" s="41" t="s">
        <v>2791</v>
      </c>
      <c r="D100" s="48"/>
      <c r="E100" s="19"/>
      <c r="F100" s="19"/>
      <c r="G100" s="19"/>
      <c r="H100" s="41"/>
      <c r="I100" s="41">
        <v>1</v>
      </c>
      <c r="J100" s="41" t="s">
        <v>2299</v>
      </c>
      <c r="K100" s="41" t="s">
        <v>2728</v>
      </c>
      <c r="L100" s="41" t="s">
        <v>2786</v>
      </c>
      <c r="M100" s="41" t="s">
        <v>425</v>
      </c>
      <c r="N100" s="48"/>
    </row>
    <row r="101" spans="1:14" ht="20.100000000000001" customHeight="1" x14ac:dyDescent="0.25">
      <c r="A101" s="38"/>
      <c r="B101" s="61" t="s">
        <v>2793</v>
      </c>
      <c r="C101" s="41" t="s">
        <v>2794</v>
      </c>
      <c r="D101" s="48"/>
      <c r="E101" s="19"/>
      <c r="F101" s="19"/>
      <c r="G101" s="19"/>
      <c r="H101" s="41"/>
      <c r="I101" s="41">
        <v>1</v>
      </c>
      <c r="J101" s="41" t="s">
        <v>2302</v>
      </c>
      <c r="K101" s="41" t="s">
        <v>2728</v>
      </c>
      <c r="L101" s="41" t="s">
        <v>2786</v>
      </c>
      <c r="M101" s="41" t="s">
        <v>425</v>
      </c>
      <c r="N101" s="48"/>
    </row>
    <row r="102" spans="1:14" ht="20.100000000000001" customHeight="1" x14ac:dyDescent="0.25">
      <c r="A102" s="38"/>
      <c r="B102" s="61" t="s">
        <v>2793</v>
      </c>
      <c r="C102" s="41" t="s">
        <v>2795</v>
      </c>
      <c r="D102" s="48"/>
      <c r="E102" s="19"/>
      <c r="F102" s="19"/>
      <c r="G102" s="19"/>
      <c r="H102" s="41"/>
      <c r="I102" s="41">
        <v>1</v>
      </c>
      <c r="J102" s="41" t="s">
        <v>2302</v>
      </c>
      <c r="K102" s="41" t="s">
        <v>2728</v>
      </c>
      <c r="L102" s="41" t="s">
        <v>2786</v>
      </c>
      <c r="M102" s="41" t="s">
        <v>425</v>
      </c>
      <c r="N102" s="48"/>
    </row>
    <row r="103" spans="1:14" ht="20.100000000000001" customHeight="1" x14ac:dyDescent="0.25">
      <c r="A103" s="38"/>
      <c r="B103" s="61" t="s">
        <v>2793</v>
      </c>
      <c r="C103" s="41" t="s">
        <v>2792</v>
      </c>
      <c r="D103" s="48"/>
      <c r="E103" s="19"/>
      <c r="F103" s="19"/>
      <c r="G103" s="19"/>
      <c r="H103" s="41"/>
      <c r="I103" s="41">
        <v>1</v>
      </c>
      <c r="J103" s="41" t="s">
        <v>2302</v>
      </c>
      <c r="K103" s="41" t="s">
        <v>2728</v>
      </c>
      <c r="L103" s="41" t="s">
        <v>2786</v>
      </c>
      <c r="M103" s="41" t="s">
        <v>425</v>
      </c>
      <c r="N103" s="48"/>
    </row>
    <row r="104" spans="1:14" ht="20.100000000000001" customHeight="1" x14ac:dyDescent="0.25">
      <c r="A104" s="38"/>
      <c r="B104" s="61" t="s">
        <v>2793</v>
      </c>
      <c r="C104" s="41" t="s">
        <v>2796</v>
      </c>
      <c r="D104" s="48"/>
      <c r="E104" s="19"/>
      <c r="F104" s="19"/>
      <c r="G104" s="19"/>
      <c r="H104" s="41"/>
      <c r="I104" s="41">
        <v>1</v>
      </c>
      <c r="J104" s="41" t="s">
        <v>2302</v>
      </c>
      <c r="K104" s="41" t="s">
        <v>2728</v>
      </c>
      <c r="L104" s="41" t="s">
        <v>2786</v>
      </c>
      <c r="M104" s="41" t="s">
        <v>425</v>
      </c>
      <c r="N104" s="48"/>
    </row>
    <row r="105" spans="1:14" ht="20.100000000000001" customHeight="1" x14ac:dyDescent="0.25">
      <c r="A105" s="38"/>
      <c r="B105" s="61" t="s">
        <v>2305</v>
      </c>
      <c r="C105" s="41" t="s">
        <v>2788</v>
      </c>
      <c r="D105" s="48"/>
      <c r="E105" s="19"/>
      <c r="F105" s="19"/>
      <c r="G105" s="19"/>
      <c r="H105" s="41"/>
      <c r="I105" s="41">
        <v>1</v>
      </c>
      <c r="J105" s="41" t="s">
        <v>2303</v>
      </c>
      <c r="K105" s="41" t="s">
        <v>2728</v>
      </c>
      <c r="L105" s="41" t="s">
        <v>2300</v>
      </c>
      <c r="M105" s="41" t="s">
        <v>425</v>
      </c>
      <c r="N105" s="48"/>
    </row>
    <row r="106" spans="1:14" ht="20.100000000000001" customHeight="1" x14ac:dyDescent="0.25">
      <c r="A106" s="38"/>
      <c r="B106" s="61" t="s">
        <v>2830</v>
      </c>
      <c r="C106" s="41" t="s">
        <v>2828</v>
      </c>
      <c r="D106" s="48"/>
      <c r="E106" s="19"/>
      <c r="F106" s="19"/>
      <c r="G106" s="19"/>
      <c r="H106" s="41"/>
      <c r="I106" s="41">
        <v>0</v>
      </c>
      <c r="J106" s="41" t="s">
        <v>2299</v>
      </c>
      <c r="K106" s="41" t="s">
        <v>170</v>
      </c>
      <c r="L106" s="41" t="s">
        <v>2829</v>
      </c>
      <c r="M106" s="41" t="s">
        <v>367</v>
      </c>
      <c r="N106" s="48"/>
    </row>
    <row r="107" spans="1:14" ht="20.100000000000001" customHeight="1" x14ac:dyDescent="0.25">
      <c r="A107" s="38"/>
      <c r="B107" s="61" t="s">
        <v>2830</v>
      </c>
      <c r="C107" s="41" t="s">
        <v>2831</v>
      </c>
      <c r="D107" s="48"/>
      <c r="E107" s="19"/>
      <c r="F107" s="19"/>
      <c r="G107" s="19"/>
      <c r="H107" s="41"/>
      <c r="I107" s="41">
        <v>0</v>
      </c>
      <c r="J107" s="41" t="s">
        <v>2299</v>
      </c>
      <c r="K107" s="41" t="s">
        <v>170</v>
      </c>
      <c r="L107" s="41" t="s">
        <v>2829</v>
      </c>
      <c r="M107" s="41" t="s">
        <v>367</v>
      </c>
      <c r="N107" s="48"/>
    </row>
    <row r="108" spans="1:14" ht="20.100000000000001" customHeight="1" x14ac:dyDescent="0.25">
      <c r="A108" s="38"/>
      <c r="B108" s="61" t="s">
        <v>2830</v>
      </c>
      <c r="C108" s="41" t="s">
        <v>2832</v>
      </c>
      <c r="D108" s="48"/>
      <c r="E108" s="19"/>
      <c r="F108" s="19"/>
      <c r="G108" s="19"/>
      <c r="H108" s="41"/>
      <c r="I108" s="41">
        <v>0</v>
      </c>
      <c r="J108" s="41" t="s">
        <v>2299</v>
      </c>
      <c r="K108" s="41" t="s">
        <v>170</v>
      </c>
      <c r="L108" s="41" t="s">
        <v>2829</v>
      </c>
      <c r="M108" s="41" t="s">
        <v>367</v>
      </c>
      <c r="N108" s="48"/>
    </row>
    <row r="109" spans="1:14" ht="20.100000000000001" customHeight="1" x14ac:dyDescent="0.25">
      <c r="A109" s="38"/>
      <c r="B109" s="61" t="s">
        <v>2834</v>
      </c>
      <c r="C109" s="41" t="s">
        <v>2835</v>
      </c>
      <c r="D109" s="48"/>
      <c r="E109" s="19"/>
      <c r="F109" s="19"/>
      <c r="G109" s="19"/>
      <c r="H109" s="41"/>
      <c r="I109" s="41">
        <v>0</v>
      </c>
      <c r="J109" s="41" t="s">
        <v>2302</v>
      </c>
      <c r="K109" s="41" t="s">
        <v>170</v>
      </c>
      <c r="L109" s="41" t="s">
        <v>2833</v>
      </c>
      <c r="M109" s="41" t="s">
        <v>367</v>
      </c>
      <c r="N109" s="48"/>
    </row>
    <row r="110" spans="1:14" ht="20.100000000000001" customHeight="1" x14ac:dyDescent="0.25">
      <c r="A110" s="38"/>
      <c r="B110" s="61" t="s">
        <v>2834</v>
      </c>
      <c r="C110" s="41" t="s">
        <v>2836</v>
      </c>
      <c r="D110" s="48"/>
      <c r="E110" s="19"/>
      <c r="F110" s="19"/>
      <c r="G110" s="19"/>
      <c r="H110" s="41"/>
      <c r="I110" s="41">
        <v>0</v>
      </c>
      <c r="J110" s="41" t="s">
        <v>2302</v>
      </c>
      <c r="K110" s="41" t="s">
        <v>170</v>
      </c>
      <c r="L110" s="41" t="s">
        <v>2833</v>
      </c>
      <c r="M110" s="41" t="s">
        <v>367</v>
      </c>
      <c r="N110" s="48"/>
    </row>
    <row r="111" spans="1:14" ht="20.100000000000001" customHeight="1" x14ac:dyDescent="0.25">
      <c r="A111" s="38"/>
      <c r="B111" s="61" t="s">
        <v>2834</v>
      </c>
      <c r="C111" s="41" t="s">
        <v>2837</v>
      </c>
      <c r="D111" s="48"/>
      <c r="E111" s="19"/>
      <c r="F111" s="19"/>
      <c r="G111" s="19"/>
      <c r="H111" s="41"/>
      <c r="I111" s="41">
        <v>0</v>
      </c>
      <c r="J111" s="41" t="s">
        <v>2302</v>
      </c>
      <c r="K111" s="41" t="s">
        <v>170</v>
      </c>
      <c r="L111" s="41" t="s">
        <v>2833</v>
      </c>
      <c r="M111" s="41" t="s">
        <v>367</v>
      </c>
      <c r="N111" s="48"/>
    </row>
    <row r="112" spans="1:14" ht="20.100000000000001" customHeight="1" x14ac:dyDescent="0.25">
      <c r="A112" s="38"/>
      <c r="B112" s="61"/>
      <c r="C112" s="41" t="s">
        <v>2839</v>
      </c>
      <c r="D112" s="48"/>
      <c r="E112" s="19"/>
      <c r="F112" s="19"/>
      <c r="G112" s="19"/>
      <c r="H112" s="41"/>
      <c r="I112" s="41">
        <v>0</v>
      </c>
      <c r="J112" s="41" t="s">
        <v>2304</v>
      </c>
      <c r="K112" s="41" t="s">
        <v>170</v>
      </c>
      <c r="L112" s="41" t="s">
        <v>2838</v>
      </c>
      <c r="M112" s="41" t="s">
        <v>367</v>
      </c>
      <c r="N112" s="48"/>
    </row>
    <row r="113" spans="1:14" ht="20.100000000000001" customHeight="1" x14ac:dyDescent="0.25">
      <c r="A113" s="38"/>
      <c r="B113" s="61"/>
      <c r="C113" s="41" t="s">
        <v>2853</v>
      </c>
      <c r="D113" s="48"/>
      <c r="E113" s="19"/>
      <c r="F113" s="19"/>
      <c r="G113" s="19"/>
      <c r="H113" s="41"/>
      <c r="I113" s="41">
        <v>0</v>
      </c>
      <c r="J113" s="41" t="s">
        <v>2304</v>
      </c>
      <c r="K113" s="41" t="s">
        <v>170</v>
      </c>
      <c r="L113" s="41" t="s">
        <v>2838</v>
      </c>
      <c r="M113" s="41" t="s">
        <v>367</v>
      </c>
      <c r="N113" s="48"/>
    </row>
    <row r="114" spans="1:14" ht="20.100000000000001" customHeight="1" x14ac:dyDescent="0.25">
      <c r="A114" s="38"/>
      <c r="B114" s="61" t="s">
        <v>2855</v>
      </c>
      <c r="C114" s="41" t="s">
        <v>2847</v>
      </c>
      <c r="D114" s="48"/>
      <c r="E114" s="19"/>
      <c r="F114" s="19"/>
      <c r="G114" s="19"/>
      <c r="H114" s="41"/>
      <c r="I114" s="41">
        <v>0</v>
      </c>
      <c r="J114" s="41" t="s">
        <v>2299</v>
      </c>
      <c r="K114" s="41" t="s">
        <v>172</v>
      </c>
      <c r="L114" s="41" t="s">
        <v>2854</v>
      </c>
      <c r="M114" s="41" t="s">
        <v>367</v>
      </c>
      <c r="N114" s="48"/>
    </row>
    <row r="115" spans="1:14" ht="20.100000000000001" customHeight="1" x14ac:dyDescent="0.25">
      <c r="A115" s="38"/>
      <c r="B115" s="61" t="s">
        <v>2855</v>
      </c>
      <c r="C115" s="41" t="s">
        <v>2848</v>
      </c>
      <c r="D115" s="48"/>
      <c r="E115" s="19"/>
      <c r="F115" s="19"/>
      <c r="G115" s="19"/>
      <c r="H115" s="41"/>
      <c r="I115" s="41">
        <v>0</v>
      </c>
      <c r="J115" s="41" t="s">
        <v>2299</v>
      </c>
      <c r="K115" s="41" t="s">
        <v>172</v>
      </c>
      <c r="L115" s="41" t="s">
        <v>2854</v>
      </c>
      <c r="M115" s="41" t="s">
        <v>367</v>
      </c>
      <c r="N115" s="48"/>
    </row>
    <row r="116" spans="1:14" ht="20.100000000000001" customHeight="1" x14ac:dyDescent="0.25">
      <c r="A116" s="38"/>
      <c r="B116" s="61" t="s">
        <v>2834</v>
      </c>
      <c r="C116" s="41" t="s">
        <v>2849</v>
      </c>
      <c r="D116" s="48"/>
      <c r="E116" s="19"/>
      <c r="F116" s="19"/>
      <c r="G116" s="19"/>
      <c r="H116" s="41"/>
      <c r="I116" s="41">
        <v>0</v>
      </c>
      <c r="J116" s="41" t="s">
        <v>2302</v>
      </c>
      <c r="K116" s="41" t="s">
        <v>172</v>
      </c>
      <c r="L116" s="41" t="s">
        <v>2833</v>
      </c>
      <c r="M116" s="41" t="s">
        <v>367</v>
      </c>
      <c r="N116" s="48"/>
    </row>
    <row r="117" spans="1:14" ht="20.100000000000001" customHeight="1" x14ac:dyDescent="0.25">
      <c r="A117" s="38"/>
      <c r="B117" s="61" t="s">
        <v>2834</v>
      </c>
      <c r="C117" s="41" t="s">
        <v>2850</v>
      </c>
      <c r="D117" s="48"/>
      <c r="E117" s="19"/>
      <c r="F117" s="19"/>
      <c r="G117" s="19"/>
      <c r="H117" s="41"/>
      <c r="I117" s="41">
        <v>0</v>
      </c>
      <c r="J117" s="41" t="s">
        <v>2302</v>
      </c>
      <c r="K117" s="41" t="s">
        <v>172</v>
      </c>
      <c r="L117" s="41" t="s">
        <v>2833</v>
      </c>
      <c r="M117" s="41" t="s">
        <v>367</v>
      </c>
      <c r="N117" s="48"/>
    </row>
    <row r="118" spans="1:14" ht="20.100000000000001" customHeight="1" x14ac:dyDescent="0.25">
      <c r="A118" s="38"/>
      <c r="B118" s="61"/>
      <c r="C118" s="41" t="s">
        <v>2851</v>
      </c>
      <c r="D118" s="48"/>
      <c r="E118" s="19"/>
      <c r="F118" s="19"/>
      <c r="G118" s="19"/>
      <c r="H118" s="41"/>
      <c r="I118" s="41">
        <v>0</v>
      </c>
      <c r="J118" s="41" t="s">
        <v>2304</v>
      </c>
      <c r="K118" s="41" t="s">
        <v>172</v>
      </c>
      <c r="L118" s="41" t="s">
        <v>2846</v>
      </c>
      <c r="M118" s="41" t="s">
        <v>367</v>
      </c>
      <c r="N118" s="48"/>
    </row>
    <row r="119" spans="1:14" ht="20.100000000000001" customHeight="1" x14ac:dyDescent="0.25">
      <c r="A119" s="38"/>
      <c r="B119" s="61"/>
      <c r="C119" s="41" t="s">
        <v>2852</v>
      </c>
      <c r="D119" s="48"/>
      <c r="E119" s="19"/>
      <c r="F119" s="19"/>
      <c r="G119" s="19"/>
      <c r="H119" s="41"/>
      <c r="I119" s="41">
        <v>0</v>
      </c>
      <c r="J119" s="41" t="s">
        <v>2304</v>
      </c>
      <c r="K119" s="41" t="s">
        <v>172</v>
      </c>
      <c r="L119" s="41" t="s">
        <v>2846</v>
      </c>
      <c r="M119" s="41" t="s">
        <v>367</v>
      </c>
      <c r="N119" s="48"/>
    </row>
    <row r="120" spans="1:14" ht="20.100000000000001" customHeight="1" x14ac:dyDescent="0.25">
      <c r="A120" s="38"/>
      <c r="B120" s="61" t="s">
        <v>2830</v>
      </c>
      <c r="C120" s="41" t="s">
        <v>2840</v>
      </c>
      <c r="D120" s="48"/>
      <c r="E120" s="19"/>
      <c r="F120" s="19"/>
      <c r="G120" s="19"/>
      <c r="H120" s="41"/>
      <c r="I120" s="41">
        <v>0</v>
      </c>
      <c r="J120" s="41" t="s">
        <v>2299</v>
      </c>
      <c r="K120" s="41" t="s">
        <v>174</v>
      </c>
      <c r="L120" s="41" t="s">
        <v>2829</v>
      </c>
      <c r="M120" s="41" t="s">
        <v>367</v>
      </c>
      <c r="N120" s="48"/>
    </row>
    <row r="121" spans="1:14" ht="20.100000000000001" customHeight="1" x14ac:dyDescent="0.25">
      <c r="A121" s="38"/>
      <c r="B121" s="61" t="s">
        <v>2830</v>
      </c>
      <c r="C121" s="41" t="s">
        <v>2844</v>
      </c>
      <c r="D121" s="48"/>
      <c r="E121" s="19"/>
      <c r="F121" s="19"/>
      <c r="G121" s="19"/>
      <c r="H121" s="41"/>
      <c r="I121" s="41">
        <v>0</v>
      </c>
      <c r="J121" s="41" t="s">
        <v>2299</v>
      </c>
      <c r="K121" s="41" t="s">
        <v>174</v>
      </c>
      <c r="L121" s="41" t="s">
        <v>2829</v>
      </c>
      <c r="M121" s="41" t="s">
        <v>367</v>
      </c>
      <c r="N121" s="48"/>
    </row>
    <row r="122" spans="1:14" ht="20.100000000000001" customHeight="1" x14ac:dyDescent="0.25">
      <c r="A122" s="38"/>
      <c r="B122" s="61" t="s">
        <v>2830</v>
      </c>
      <c r="C122" s="41" t="s">
        <v>2845</v>
      </c>
      <c r="D122" s="48"/>
      <c r="E122" s="19"/>
      <c r="F122" s="19"/>
      <c r="G122" s="19"/>
      <c r="H122" s="41"/>
      <c r="I122" s="41">
        <v>0</v>
      </c>
      <c r="J122" s="41" t="s">
        <v>2299</v>
      </c>
      <c r="K122" s="41" t="s">
        <v>174</v>
      </c>
      <c r="L122" s="41" t="s">
        <v>2829</v>
      </c>
      <c r="M122" s="41" t="s">
        <v>367</v>
      </c>
      <c r="N122" s="48"/>
    </row>
    <row r="123" spans="1:14" ht="20.100000000000001" customHeight="1" x14ac:dyDescent="0.25">
      <c r="A123" s="38"/>
      <c r="B123" s="61" t="s">
        <v>2834</v>
      </c>
      <c r="C123" s="41" t="s">
        <v>2841</v>
      </c>
      <c r="D123" s="48"/>
      <c r="E123" s="19"/>
      <c r="F123" s="19"/>
      <c r="G123" s="19"/>
      <c r="H123" s="41"/>
      <c r="I123" s="41">
        <v>0</v>
      </c>
      <c r="J123" s="41" t="s">
        <v>2302</v>
      </c>
      <c r="K123" s="41" t="s">
        <v>174</v>
      </c>
      <c r="L123" s="41" t="s">
        <v>2833</v>
      </c>
      <c r="M123" s="41" t="s">
        <v>367</v>
      </c>
      <c r="N123" s="48"/>
    </row>
    <row r="124" spans="1:14" ht="20.100000000000001" customHeight="1" x14ac:dyDescent="0.25">
      <c r="A124" s="38"/>
      <c r="B124" s="61" t="s">
        <v>2834</v>
      </c>
      <c r="C124" s="41" t="s">
        <v>2842</v>
      </c>
      <c r="D124" s="48"/>
      <c r="E124" s="19"/>
      <c r="F124" s="19"/>
      <c r="G124" s="19"/>
      <c r="H124" s="41"/>
      <c r="I124" s="41">
        <v>0</v>
      </c>
      <c r="J124" s="41" t="s">
        <v>2302</v>
      </c>
      <c r="K124" s="41" t="s">
        <v>174</v>
      </c>
      <c r="L124" s="41" t="s">
        <v>2833</v>
      </c>
      <c r="M124" s="41" t="s">
        <v>367</v>
      </c>
      <c r="N124" s="48"/>
    </row>
    <row r="125" spans="1:14" ht="20.100000000000001" customHeight="1" x14ac:dyDescent="0.25">
      <c r="A125" s="38"/>
      <c r="B125" s="61" t="s">
        <v>2834</v>
      </c>
      <c r="C125" s="41" t="s">
        <v>2843</v>
      </c>
      <c r="D125" s="48"/>
      <c r="E125" s="19"/>
      <c r="F125" s="19"/>
      <c r="G125" s="19"/>
      <c r="H125" s="41"/>
      <c r="I125" s="41">
        <v>0</v>
      </c>
      <c r="J125" s="41" t="s">
        <v>2302</v>
      </c>
      <c r="K125" s="41" t="s">
        <v>174</v>
      </c>
      <c r="L125" s="41" t="s">
        <v>2833</v>
      </c>
      <c r="M125" s="41" t="s">
        <v>367</v>
      </c>
      <c r="N125" s="48"/>
    </row>
    <row r="126" spans="1:14" ht="20.100000000000001" customHeight="1" x14ac:dyDescent="0.25">
      <c r="A126" s="38"/>
      <c r="B126" s="61"/>
      <c r="C126" s="41" t="s">
        <v>2839</v>
      </c>
      <c r="D126" s="48"/>
      <c r="E126" s="19"/>
      <c r="F126" s="19"/>
      <c r="G126" s="19"/>
      <c r="H126" s="41"/>
      <c r="I126" s="41">
        <v>0</v>
      </c>
      <c r="J126" s="41" t="s">
        <v>2304</v>
      </c>
      <c r="K126" s="41" t="s">
        <v>174</v>
      </c>
      <c r="L126" s="41" t="s">
        <v>2838</v>
      </c>
      <c r="M126" s="41" t="s">
        <v>367</v>
      </c>
      <c r="N126" s="48"/>
    </row>
    <row r="127" spans="1:14" ht="20.100000000000001" customHeight="1" x14ac:dyDescent="0.25">
      <c r="A127" s="38"/>
      <c r="B127" s="61" t="s">
        <v>2855</v>
      </c>
      <c r="C127" s="41" t="s">
        <v>2856</v>
      </c>
      <c r="D127" s="48"/>
      <c r="E127" s="19"/>
      <c r="F127" s="19"/>
      <c r="G127" s="19"/>
      <c r="H127" s="41"/>
      <c r="I127" s="41">
        <v>0</v>
      </c>
      <c r="J127" s="41" t="s">
        <v>2299</v>
      </c>
      <c r="K127" s="41" t="s">
        <v>176</v>
      </c>
      <c r="L127" s="41" t="s">
        <v>2854</v>
      </c>
      <c r="M127" s="41" t="s">
        <v>367</v>
      </c>
      <c r="N127" s="48"/>
    </row>
    <row r="128" spans="1:14" ht="20.100000000000001" customHeight="1" x14ac:dyDescent="0.25">
      <c r="A128" s="38"/>
      <c r="B128" s="61" t="s">
        <v>2834</v>
      </c>
      <c r="C128" s="41" t="s">
        <v>2857</v>
      </c>
      <c r="D128" s="48"/>
      <c r="E128" s="19"/>
      <c r="F128" s="19"/>
      <c r="G128" s="19"/>
      <c r="H128" s="41"/>
      <c r="I128" s="41">
        <v>0</v>
      </c>
      <c r="J128" s="41" t="s">
        <v>2302</v>
      </c>
      <c r="K128" s="41" t="s">
        <v>176</v>
      </c>
      <c r="L128" s="41" t="s">
        <v>2833</v>
      </c>
      <c r="M128" s="41" t="s">
        <v>367</v>
      </c>
      <c r="N128" s="48"/>
    </row>
    <row r="129" spans="1:14" ht="20.100000000000001" customHeight="1" x14ac:dyDescent="0.25">
      <c r="A129" s="38"/>
      <c r="B129" s="61"/>
      <c r="C129" s="41" t="s">
        <v>2858</v>
      </c>
      <c r="D129" s="48"/>
      <c r="E129" s="19"/>
      <c r="F129" s="19"/>
      <c r="G129" s="19"/>
      <c r="H129" s="41"/>
      <c r="I129" s="41">
        <v>0</v>
      </c>
      <c r="J129" s="41" t="s">
        <v>2304</v>
      </c>
      <c r="K129" s="41" t="s">
        <v>176</v>
      </c>
      <c r="L129" s="41" t="s">
        <v>2846</v>
      </c>
      <c r="M129" s="41" t="s">
        <v>367</v>
      </c>
      <c r="N129" s="48"/>
    </row>
    <row r="130" spans="1:14" ht="20.100000000000001" customHeight="1" x14ac:dyDescent="0.25">
      <c r="A130" s="38"/>
      <c r="B130" s="61" t="s">
        <v>2921</v>
      </c>
      <c r="C130" s="41" t="s">
        <v>2920</v>
      </c>
      <c r="D130" s="48"/>
      <c r="E130" s="19"/>
      <c r="F130" s="19"/>
      <c r="G130" s="19"/>
      <c r="H130" s="41"/>
      <c r="I130" s="41">
        <v>1</v>
      </c>
      <c r="J130" s="41" t="s">
        <v>2299</v>
      </c>
      <c r="K130" s="41" t="s">
        <v>178</v>
      </c>
      <c r="L130" s="41" t="s">
        <v>1022</v>
      </c>
      <c r="M130" s="41" t="s">
        <v>372</v>
      </c>
      <c r="N130" s="48"/>
    </row>
    <row r="131" spans="1:14" ht="20.100000000000001" customHeight="1" x14ac:dyDescent="0.25">
      <c r="A131" s="38"/>
      <c r="B131" s="61" t="s">
        <v>2921</v>
      </c>
      <c r="C131" s="41" t="s">
        <v>2922</v>
      </c>
      <c r="D131" s="48"/>
      <c r="E131" s="19"/>
      <c r="F131" s="19"/>
      <c r="G131" s="19"/>
      <c r="H131" s="41"/>
      <c r="I131" s="41">
        <v>1</v>
      </c>
      <c r="J131" s="41" t="s">
        <v>2299</v>
      </c>
      <c r="K131" s="41" t="s">
        <v>178</v>
      </c>
      <c r="L131" s="41" t="s">
        <v>1022</v>
      </c>
      <c r="M131" s="41" t="s">
        <v>372</v>
      </c>
      <c r="N131" s="48"/>
    </row>
    <row r="132" spans="1:14" ht="20.100000000000001" customHeight="1" x14ac:dyDescent="0.25">
      <c r="A132" s="38"/>
      <c r="B132" s="61" t="s">
        <v>2921</v>
      </c>
      <c r="C132" s="41" t="s">
        <v>2923</v>
      </c>
      <c r="D132" s="48"/>
      <c r="E132" s="19"/>
      <c r="F132" s="19"/>
      <c r="G132" s="19"/>
      <c r="H132" s="41"/>
      <c r="I132" s="41">
        <v>1</v>
      </c>
      <c r="J132" s="41" t="s">
        <v>2299</v>
      </c>
      <c r="K132" s="41" t="s">
        <v>178</v>
      </c>
      <c r="L132" s="41" t="s">
        <v>1022</v>
      </c>
      <c r="M132" s="41" t="s">
        <v>372</v>
      </c>
      <c r="N132" s="48"/>
    </row>
    <row r="133" spans="1:14" ht="20.100000000000001" customHeight="1" x14ac:dyDescent="0.25">
      <c r="A133" s="38"/>
      <c r="B133" s="61" t="s">
        <v>2921</v>
      </c>
      <c r="C133" s="41" t="s">
        <v>2924</v>
      </c>
      <c r="D133" s="48"/>
      <c r="E133" s="19"/>
      <c r="F133" s="19"/>
      <c r="G133" s="19"/>
      <c r="H133" s="41"/>
      <c r="I133" s="41">
        <v>1</v>
      </c>
      <c r="J133" s="41" t="s">
        <v>2299</v>
      </c>
      <c r="K133" s="41" t="s">
        <v>178</v>
      </c>
      <c r="L133" s="41" t="s">
        <v>1022</v>
      </c>
      <c r="M133" s="41" t="s">
        <v>372</v>
      </c>
      <c r="N133" s="48"/>
    </row>
    <row r="134" spans="1:14" ht="20.100000000000001" customHeight="1" x14ac:dyDescent="0.25">
      <c r="A134" s="38"/>
      <c r="B134" s="63" t="s">
        <v>2926</v>
      </c>
      <c r="C134" s="41" t="s">
        <v>2927</v>
      </c>
      <c r="D134" s="48"/>
      <c r="E134" s="19"/>
      <c r="F134" s="19"/>
      <c r="G134" s="19"/>
      <c r="H134" s="41"/>
      <c r="I134" s="41">
        <v>1</v>
      </c>
      <c r="J134" s="41" t="s">
        <v>2302</v>
      </c>
      <c r="K134" s="41" t="s">
        <v>178</v>
      </c>
      <c r="L134" s="41" t="s">
        <v>2925</v>
      </c>
      <c r="M134" s="41" t="s">
        <v>372</v>
      </c>
      <c r="N134" s="48"/>
    </row>
    <row r="135" spans="1:14" ht="20.100000000000001" customHeight="1" x14ac:dyDescent="0.25">
      <c r="A135" s="38"/>
      <c r="B135" s="63" t="s">
        <v>2926</v>
      </c>
      <c r="C135" s="41" t="s">
        <v>2928</v>
      </c>
      <c r="D135" s="48"/>
      <c r="E135" s="19"/>
      <c r="F135" s="19"/>
      <c r="G135" s="19"/>
      <c r="H135" s="41"/>
      <c r="I135" s="41">
        <v>1</v>
      </c>
      <c r="J135" s="41" t="s">
        <v>2302</v>
      </c>
      <c r="K135" s="41" t="s">
        <v>178</v>
      </c>
      <c r="L135" s="41" t="s">
        <v>2925</v>
      </c>
      <c r="M135" s="41" t="s">
        <v>372</v>
      </c>
      <c r="N135" s="48"/>
    </row>
    <row r="136" spans="1:14" ht="20.100000000000001" customHeight="1" x14ac:dyDescent="0.25">
      <c r="A136" s="38"/>
      <c r="B136" s="63" t="s">
        <v>2926</v>
      </c>
      <c r="C136" s="41" t="s">
        <v>2929</v>
      </c>
      <c r="D136" s="48"/>
      <c r="E136" s="19"/>
      <c r="F136" s="19"/>
      <c r="G136" s="19"/>
      <c r="H136" s="41"/>
      <c r="I136" s="41">
        <v>1</v>
      </c>
      <c r="J136" s="41" t="s">
        <v>2302</v>
      </c>
      <c r="K136" s="41" t="s">
        <v>178</v>
      </c>
      <c r="L136" s="41" t="s">
        <v>2925</v>
      </c>
      <c r="M136" s="41" t="s">
        <v>372</v>
      </c>
      <c r="N136" s="48"/>
    </row>
    <row r="137" spans="1:14" ht="20.100000000000001" customHeight="1" x14ac:dyDescent="0.25">
      <c r="A137" s="38"/>
      <c r="B137" s="63" t="s">
        <v>2926</v>
      </c>
      <c r="C137" s="41" t="s">
        <v>2930</v>
      </c>
      <c r="D137" s="48"/>
      <c r="E137" s="19"/>
      <c r="F137" s="19"/>
      <c r="G137" s="19"/>
      <c r="H137" s="41"/>
      <c r="I137" s="41">
        <v>1</v>
      </c>
      <c r="J137" s="41" t="s">
        <v>2302</v>
      </c>
      <c r="K137" s="41" t="s">
        <v>178</v>
      </c>
      <c r="L137" s="41" t="s">
        <v>2925</v>
      </c>
      <c r="M137" s="41" t="s">
        <v>372</v>
      </c>
      <c r="N137" s="48"/>
    </row>
    <row r="138" spans="1:14" ht="20.100000000000001" customHeight="1" x14ac:dyDescent="0.25">
      <c r="A138" s="38"/>
      <c r="B138" s="63" t="s">
        <v>2931</v>
      </c>
      <c r="C138" s="41" t="s">
        <v>2932</v>
      </c>
      <c r="D138" s="48"/>
      <c r="E138" s="19"/>
      <c r="F138" s="19"/>
      <c r="G138" s="19"/>
      <c r="H138" s="41"/>
      <c r="I138" s="41">
        <v>1</v>
      </c>
      <c r="J138" s="41" t="s">
        <v>2303</v>
      </c>
      <c r="K138" s="41" t="s">
        <v>178</v>
      </c>
      <c r="L138" s="41" t="s">
        <v>2300</v>
      </c>
      <c r="M138" s="41" t="s">
        <v>372</v>
      </c>
      <c r="N138" s="48"/>
    </row>
    <row r="139" spans="1:14" ht="20.100000000000001" customHeight="1" x14ac:dyDescent="0.25">
      <c r="A139" s="38"/>
      <c r="B139" s="63" t="s">
        <v>2931</v>
      </c>
      <c r="C139" s="41" t="s">
        <v>2933</v>
      </c>
      <c r="D139" s="48"/>
      <c r="E139" s="19"/>
      <c r="F139" s="19"/>
      <c r="G139" s="19"/>
      <c r="H139" s="41"/>
      <c r="I139" s="41">
        <v>1</v>
      </c>
      <c r="J139" s="41" t="s">
        <v>2303</v>
      </c>
      <c r="K139" s="41" t="s">
        <v>178</v>
      </c>
      <c r="L139" s="41" t="s">
        <v>2300</v>
      </c>
      <c r="M139" s="41" t="s">
        <v>372</v>
      </c>
      <c r="N139" s="48"/>
    </row>
    <row r="140" spans="1:14" ht="20.100000000000001" customHeight="1" x14ac:dyDescent="0.25">
      <c r="A140" s="38"/>
      <c r="B140" s="61" t="s">
        <v>2921</v>
      </c>
      <c r="C140" s="41" t="s">
        <v>2934</v>
      </c>
      <c r="D140" s="48"/>
      <c r="E140" s="19"/>
      <c r="F140" s="19"/>
      <c r="G140" s="19"/>
      <c r="H140" s="41"/>
      <c r="I140" s="41">
        <v>1</v>
      </c>
      <c r="J140" s="41" t="s">
        <v>2299</v>
      </c>
      <c r="K140" s="41" t="s">
        <v>184</v>
      </c>
      <c r="L140" s="41" t="s">
        <v>1022</v>
      </c>
      <c r="M140" s="41" t="s">
        <v>372</v>
      </c>
      <c r="N140" s="48"/>
    </row>
    <row r="141" spans="1:14" ht="20.100000000000001" customHeight="1" x14ac:dyDescent="0.25">
      <c r="A141" s="38"/>
      <c r="B141" s="61" t="s">
        <v>2921</v>
      </c>
      <c r="C141" s="41" t="s">
        <v>2935</v>
      </c>
      <c r="D141" s="48"/>
      <c r="E141" s="19"/>
      <c r="F141" s="19"/>
      <c r="G141" s="19"/>
      <c r="H141" s="41"/>
      <c r="I141" s="41">
        <v>1</v>
      </c>
      <c r="J141" s="41" t="s">
        <v>2299</v>
      </c>
      <c r="K141" s="41" t="s">
        <v>184</v>
      </c>
      <c r="L141" s="41" t="s">
        <v>1022</v>
      </c>
      <c r="M141" s="41" t="s">
        <v>372</v>
      </c>
      <c r="N141" s="48"/>
    </row>
    <row r="142" spans="1:14" ht="20.100000000000001" customHeight="1" x14ac:dyDescent="0.25">
      <c r="A142" s="38"/>
      <c r="B142" s="61" t="s">
        <v>2921</v>
      </c>
      <c r="C142" s="41" t="s">
        <v>2936</v>
      </c>
      <c r="D142" s="48"/>
      <c r="E142" s="19"/>
      <c r="F142" s="19"/>
      <c r="G142" s="19"/>
      <c r="H142" s="41"/>
      <c r="I142" s="41">
        <v>1</v>
      </c>
      <c r="J142" s="41" t="s">
        <v>2299</v>
      </c>
      <c r="K142" s="41" t="s">
        <v>184</v>
      </c>
      <c r="L142" s="41" t="s">
        <v>1022</v>
      </c>
      <c r="M142" s="41" t="s">
        <v>372</v>
      </c>
      <c r="N142" s="48"/>
    </row>
    <row r="143" spans="1:14" ht="20.100000000000001" customHeight="1" x14ac:dyDescent="0.25">
      <c r="A143" s="38"/>
      <c r="B143" s="61" t="s">
        <v>2921</v>
      </c>
      <c r="C143" s="41" t="s">
        <v>2937</v>
      </c>
      <c r="D143" s="48"/>
      <c r="E143" s="19"/>
      <c r="F143" s="19"/>
      <c r="G143" s="19"/>
      <c r="H143" s="41"/>
      <c r="I143" s="41">
        <v>1</v>
      </c>
      <c r="J143" s="41" t="s">
        <v>2299</v>
      </c>
      <c r="K143" s="41" t="s">
        <v>184</v>
      </c>
      <c r="L143" s="41" t="s">
        <v>1022</v>
      </c>
      <c r="M143" s="41" t="s">
        <v>372</v>
      </c>
      <c r="N143" s="48"/>
    </row>
    <row r="144" spans="1:14" ht="20.100000000000001" customHeight="1" x14ac:dyDescent="0.25">
      <c r="A144" s="38"/>
      <c r="B144" s="63" t="s">
        <v>2926</v>
      </c>
      <c r="C144" s="41" t="s">
        <v>2938</v>
      </c>
      <c r="D144" s="48"/>
      <c r="E144" s="19"/>
      <c r="F144" s="19"/>
      <c r="G144" s="19"/>
      <c r="H144" s="41"/>
      <c r="I144" s="41">
        <v>1</v>
      </c>
      <c r="J144" s="41" t="s">
        <v>2302</v>
      </c>
      <c r="K144" s="41" t="s">
        <v>184</v>
      </c>
      <c r="L144" s="41" t="s">
        <v>2925</v>
      </c>
      <c r="M144" s="41" t="s">
        <v>372</v>
      </c>
      <c r="N144" s="48"/>
    </row>
    <row r="145" spans="1:14" ht="20.100000000000001" customHeight="1" x14ac:dyDescent="0.25">
      <c r="A145" s="38"/>
      <c r="B145" s="63" t="s">
        <v>2926</v>
      </c>
      <c r="C145" s="41" t="s">
        <v>2939</v>
      </c>
      <c r="D145" s="48"/>
      <c r="E145" s="19"/>
      <c r="F145" s="19"/>
      <c r="G145" s="19"/>
      <c r="H145" s="41"/>
      <c r="I145" s="41">
        <v>1</v>
      </c>
      <c r="J145" s="41" t="s">
        <v>2302</v>
      </c>
      <c r="K145" s="41" t="s">
        <v>184</v>
      </c>
      <c r="L145" s="41" t="s">
        <v>2925</v>
      </c>
      <c r="M145" s="41" t="s">
        <v>372</v>
      </c>
      <c r="N145" s="48"/>
    </row>
    <row r="146" spans="1:14" ht="20.100000000000001" customHeight="1" x14ac:dyDescent="0.25">
      <c r="A146" s="38"/>
      <c r="B146" s="63" t="s">
        <v>2926</v>
      </c>
      <c r="C146" s="41" t="s">
        <v>2940</v>
      </c>
      <c r="D146" s="48"/>
      <c r="E146" s="19"/>
      <c r="F146" s="19"/>
      <c r="G146" s="19"/>
      <c r="H146" s="41"/>
      <c r="I146" s="41">
        <v>1</v>
      </c>
      <c r="J146" s="41" t="s">
        <v>2302</v>
      </c>
      <c r="K146" s="41" t="s">
        <v>184</v>
      </c>
      <c r="L146" s="41" t="s">
        <v>2925</v>
      </c>
      <c r="M146" s="41" t="s">
        <v>372</v>
      </c>
      <c r="N146" s="48"/>
    </row>
    <row r="147" spans="1:14" ht="20.100000000000001" customHeight="1" x14ac:dyDescent="0.25">
      <c r="A147" s="38"/>
      <c r="B147" s="63" t="s">
        <v>2926</v>
      </c>
      <c r="C147" s="41" t="s">
        <v>2941</v>
      </c>
      <c r="D147" s="48"/>
      <c r="E147" s="19"/>
      <c r="F147" s="19"/>
      <c r="G147" s="19"/>
      <c r="H147" s="41"/>
      <c r="I147" s="41">
        <v>1</v>
      </c>
      <c r="J147" s="41" t="s">
        <v>2302</v>
      </c>
      <c r="K147" s="41" t="s">
        <v>184</v>
      </c>
      <c r="L147" s="41" t="s">
        <v>2925</v>
      </c>
      <c r="M147" s="41" t="s">
        <v>372</v>
      </c>
      <c r="N147" s="48"/>
    </row>
    <row r="148" spans="1:14" ht="20.100000000000001" customHeight="1" x14ac:dyDescent="0.25">
      <c r="A148" s="38"/>
      <c r="B148" s="63" t="s">
        <v>2931</v>
      </c>
      <c r="C148" s="41" t="s">
        <v>2942</v>
      </c>
      <c r="D148" s="48"/>
      <c r="E148" s="19"/>
      <c r="F148" s="19"/>
      <c r="G148" s="19"/>
      <c r="H148" s="41"/>
      <c r="I148" s="41">
        <v>1</v>
      </c>
      <c r="J148" s="41" t="s">
        <v>2303</v>
      </c>
      <c r="K148" s="41" t="s">
        <v>184</v>
      </c>
      <c r="L148" s="41" t="s">
        <v>2300</v>
      </c>
      <c r="M148" s="41" t="s">
        <v>372</v>
      </c>
      <c r="N148" s="48"/>
    </row>
    <row r="149" spans="1:14" ht="20.100000000000001" customHeight="1" x14ac:dyDescent="0.25">
      <c r="A149" s="38"/>
      <c r="B149" s="63" t="s">
        <v>2931</v>
      </c>
      <c r="C149" s="41" t="s">
        <v>2943</v>
      </c>
      <c r="D149" s="48"/>
      <c r="E149" s="19"/>
      <c r="F149" s="19"/>
      <c r="G149" s="19"/>
      <c r="H149" s="41"/>
      <c r="I149" s="41">
        <v>1</v>
      </c>
      <c r="J149" s="41" t="s">
        <v>2303</v>
      </c>
      <c r="K149" s="41" t="s">
        <v>184</v>
      </c>
      <c r="L149" s="41" t="s">
        <v>2300</v>
      </c>
      <c r="M149" s="41" t="s">
        <v>372</v>
      </c>
      <c r="N149" s="48"/>
    </row>
    <row r="150" spans="1:14" ht="20.100000000000001" customHeight="1" x14ac:dyDescent="0.25">
      <c r="A150" s="38"/>
      <c r="B150" s="61" t="s">
        <v>2921</v>
      </c>
      <c r="C150" s="41" t="s">
        <v>2944</v>
      </c>
      <c r="D150" s="48"/>
      <c r="E150" s="19"/>
      <c r="F150" s="19"/>
      <c r="G150" s="19"/>
      <c r="H150" s="41"/>
      <c r="I150" s="41">
        <v>1</v>
      </c>
      <c r="J150" s="41" t="s">
        <v>2299</v>
      </c>
      <c r="K150" s="41" t="s">
        <v>190</v>
      </c>
      <c r="L150" s="41" t="s">
        <v>1022</v>
      </c>
      <c r="M150" s="41" t="s">
        <v>372</v>
      </c>
      <c r="N150" s="48"/>
    </row>
    <row r="151" spans="1:14" ht="20.100000000000001" customHeight="1" x14ac:dyDescent="0.25">
      <c r="A151" s="38"/>
      <c r="B151" s="61" t="s">
        <v>2921</v>
      </c>
      <c r="C151" s="41" t="s">
        <v>2945</v>
      </c>
      <c r="D151" s="48"/>
      <c r="E151" s="19"/>
      <c r="F151" s="19"/>
      <c r="G151" s="19"/>
      <c r="H151" s="41"/>
      <c r="I151" s="41">
        <v>1</v>
      </c>
      <c r="J151" s="41" t="s">
        <v>2299</v>
      </c>
      <c r="K151" s="41" t="s">
        <v>190</v>
      </c>
      <c r="L151" s="41" t="s">
        <v>1022</v>
      </c>
      <c r="M151" s="41" t="s">
        <v>372</v>
      </c>
      <c r="N151" s="48"/>
    </row>
    <row r="152" spans="1:14" ht="20.100000000000001" customHeight="1" x14ac:dyDescent="0.25">
      <c r="A152" s="38"/>
      <c r="B152" s="61" t="s">
        <v>2921</v>
      </c>
      <c r="C152" s="41" t="s">
        <v>2946</v>
      </c>
      <c r="D152" s="48"/>
      <c r="E152" s="19"/>
      <c r="F152" s="19"/>
      <c r="G152" s="19"/>
      <c r="H152" s="41"/>
      <c r="I152" s="41">
        <v>1</v>
      </c>
      <c r="J152" s="41" t="s">
        <v>2299</v>
      </c>
      <c r="K152" s="41" t="s">
        <v>190</v>
      </c>
      <c r="L152" s="41" t="s">
        <v>1022</v>
      </c>
      <c r="M152" s="41" t="s">
        <v>372</v>
      </c>
      <c r="N152" s="48"/>
    </row>
    <row r="153" spans="1:14" ht="20.100000000000001" customHeight="1" x14ac:dyDescent="0.25">
      <c r="A153" s="38"/>
      <c r="B153" s="61" t="s">
        <v>2921</v>
      </c>
      <c r="C153" s="41" t="s">
        <v>2947</v>
      </c>
      <c r="D153" s="48"/>
      <c r="E153" s="19"/>
      <c r="F153" s="19"/>
      <c r="G153" s="19"/>
      <c r="H153" s="41"/>
      <c r="I153" s="41">
        <v>1</v>
      </c>
      <c r="J153" s="41" t="s">
        <v>2299</v>
      </c>
      <c r="K153" s="41" t="s">
        <v>190</v>
      </c>
      <c r="L153" s="41" t="s">
        <v>1022</v>
      </c>
      <c r="M153" s="41" t="s">
        <v>372</v>
      </c>
      <c r="N153" s="48"/>
    </row>
    <row r="154" spans="1:14" ht="20.100000000000001" customHeight="1" x14ac:dyDescent="0.25">
      <c r="A154" s="38"/>
      <c r="B154" s="63" t="s">
        <v>2926</v>
      </c>
      <c r="C154" s="41" t="s">
        <v>2948</v>
      </c>
      <c r="D154" s="48"/>
      <c r="E154" s="19"/>
      <c r="F154" s="19"/>
      <c r="G154" s="19"/>
      <c r="H154" s="41"/>
      <c r="I154" s="41">
        <v>1</v>
      </c>
      <c r="J154" s="41" t="s">
        <v>2302</v>
      </c>
      <c r="K154" s="41" t="s">
        <v>190</v>
      </c>
      <c r="L154" s="41" t="s">
        <v>2925</v>
      </c>
      <c r="M154" s="41" t="s">
        <v>372</v>
      </c>
      <c r="N154" s="48"/>
    </row>
    <row r="155" spans="1:14" ht="20.100000000000001" customHeight="1" x14ac:dyDescent="0.25">
      <c r="A155" s="38"/>
      <c r="B155" s="63" t="s">
        <v>2926</v>
      </c>
      <c r="C155" s="41" t="s">
        <v>2949</v>
      </c>
      <c r="D155" s="48"/>
      <c r="E155" s="19"/>
      <c r="F155" s="19"/>
      <c r="G155" s="19"/>
      <c r="H155" s="41"/>
      <c r="I155" s="41">
        <v>1</v>
      </c>
      <c r="J155" s="41" t="s">
        <v>2302</v>
      </c>
      <c r="K155" s="41" t="s">
        <v>190</v>
      </c>
      <c r="L155" s="41" t="s">
        <v>2925</v>
      </c>
      <c r="M155" s="41" t="s">
        <v>372</v>
      </c>
      <c r="N155" s="48"/>
    </row>
    <row r="156" spans="1:14" ht="20.100000000000001" customHeight="1" x14ac:dyDescent="0.25">
      <c r="A156" s="38"/>
      <c r="B156" s="63" t="s">
        <v>2926</v>
      </c>
      <c r="C156" s="41" t="s">
        <v>2950</v>
      </c>
      <c r="D156" s="48"/>
      <c r="E156" s="19"/>
      <c r="F156" s="19"/>
      <c r="G156" s="19"/>
      <c r="H156" s="41"/>
      <c r="I156" s="41">
        <v>1</v>
      </c>
      <c r="J156" s="41" t="s">
        <v>2302</v>
      </c>
      <c r="K156" s="41" t="s">
        <v>190</v>
      </c>
      <c r="L156" s="41" t="s">
        <v>2925</v>
      </c>
      <c r="M156" s="41" t="s">
        <v>372</v>
      </c>
      <c r="N156" s="48"/>
    </row>
    <row r="157" spans="1:14" ht="20.100000000000001" customHeight="1" x14ac:dyDescent="0.25">
      <c r="A157" s="38"/>
      <c r="B157" s="63" t="s">
        <v>2926</v>
      </c>
      <c r="C157" s="41" t="s">
        <v>2951</v>
      </c>
      <c r="D157" s="48"/>
      <c r="E157" s="19"/>
      <c r="F157" s="19"/>
      <c r="G157" s="19"/>
      <c r="H157" s="41"/>
      <c r="I157" s="41">
        <v>1</v>
      </c>
      <c r="J157" s="41" t="s">
        <v>2302</v>
      </c>
      <c r="K157" s="41" t="s">
        <v>190</v>
      </c>
      <c r="L157" s="41" t="s">
        <v>2925</v>
      </c>
      <c r="M157" s="41" t="s">
        <v>372</v>
      </c>
      <c r="N157" s="48"/>
    </row>
    <row r="158" spans="1:14" ht="20.100000000000001" customHeight="1" x14ac:dyDescent="0.25">
      <c r="A158" s="38"/>
      <c r="B158" s="63" t="s">
        <v>2931</v>
      </c>
      <c r="C158" s="41" t="s">
        <v>2952</v>
      </c>
      <c r="D158" s="48"/>
      <c r="E158" s="19"/>
      <c r="F158" s="19"/>
      <c r="G158" s="19"/>
      <c r="H158" s="41"/>
      <c r="I158" s="41">
        <v>1</v>
      </c>
      <c r="J158" s="41" t="s">
        <v>2303</v>
      </c>
      <c r="K158" s="41" t="s">
        <v>190</v>
      </c>
      <c r="L158" s="41" t="s">
        <v>2300</v>
      </c>
      <c r="M158" s="41" t="s">
        <v>372</v>
      </c>
      <c r="N158" s="48"/>
    </row>
    <row r="159" spans="1:14" ht="20.100000000000001" customHeight="1" x14ac:dyDescent="0.25">
      <c r="A159" s="38"/>
      <c r="B159" s="63" t="s">
        <v>2931</v>
      </c>
      <c r="C159" s="41" t="s">
        <v>2953</v>
      </c>
      <c r="D159" s="48"/>
      <c r="E159" s="19"/>
      <c r="F159" s="19"/>
      <c r="G159" s="19"/>
      <c r="H159" s="41"/>
      <c r="I159" s="41">
        <v>1</v>
      </c>
      <c r="J159" s="41" t="s">
        <v>2303</v>
      </c>
      <c r="K159" s="41" t="s">
        <v>190</v>
      </c>
      <c r="L159" s="41" t="s">
        <v>2300</v>
      </c>
      <c r="M159" s="41" t="s">
        <v>372</v>
      </c>
      <c r="N159" s="48"/>
    </row>
    <row r="160" spans="1:14" ht="20.100000000000001" customHeight="1" x14ac:dyDescent="0.25">
      <c r="A160" s="38"/>
      <c r="B160" s="61" t="s">
        <v>2921</v>
      </c>
      <c r="C160" s="41" t="s">
        <v>2954</v>
      </c>
      <c r="D160" s="48"/>
      <c r="E160" s="19"/>
      <c r="F160" s="19"/>
      <c r="G160" s="19"/>
      <c r="H160" s="41"/>
      <c r="I160" s="41">
        <v>1</v>
      </c>
      <c r="J160" s="41" t="s">
        <v>2299</v>
      </c>
      <c r="K160" s="41" t="s">
        <v>196</v>
      </c>
      <c r="L160" s="41" t="s">
        <v>1022</v>
      </c>
      <c r="M160" s="41" t="s">
        <v>372</v>
      </c>
      <c r="N160" s="48"/>
    </row>
    <row r="161" spans="1:14" ht="20.100000000000001" customHeight="1" x14ac:dyDescent="0.25">
      <c r="A161" s="38"/>
      <c r="B161" s="61" t="s">
        <v>2921</v>
      </c>
      <c r="C161" s="41" t="s">
        <v>2955</v>
      </c>
      <c r="D161" s="48"/>
      <c r="E161" s="19"/>
      <c r="F161" s="19"/>
      <c r="G161" s="19"/>
      <c r="H161" s="41"/>
      <c r="I161" s="41">
        <v>1</v>
      </c>
      <c r="J161" s="41" t="s">
        <v>2299</v>
      </c>
      <c r="K161" s="41" t="s">
        <v>196</v>
      </c>
      <c r="L161" s="41" t="s">
        <v>1022</v>
      </c>
      <c r="M161" s="41" t="s">
        <v>372</v>
      </c>
      <c r="N161" s="48"/>
    </row>
    <row r="162" spans="1:14" ht="20.100000000000001" customHeight="1" x14ac:dyDescent="0.25">
      <c r="A162" s="38"/>
      <c r="B162" s="61" t="s">
        <v>2921</v>
      </c>
      <c r="C162" s="41" t="s">
        <v>2956</v>
      </c>
      <c r="D162" s="48"/>
      <c r="E162" s="19"/>
      <c r="F162" s="19"/>
      <c r="G162" s="19"/>
      <c r="H162" s="41"/>
      <c r="I162" s="41">
        <v>1</v>
      </c>
      <c r="J162" s="41" t="s">
        <v>2299</v>
      </c>
      <c r="K162" s="41" t="s">
        <v>196</v>
      </c>
      <c r="L162" s="41" t="s">
        <v>1022</v>
      </c>
      <c r="M162" s="41" t="s">
        <v>372</v>
      </c>
      <c r="N162" s="48"/>
    </row>
    <row r="163" spans="1:14" ht="20.100000000000001" customHeight="1" x14ac:dyDescent="0.25">
      <c r="A163" s="38"/>
      <c r="B163" s="61" t="s">
        <v>2921</v>
      </c>
      <c r="C163" s="41" t="s">
        <v>2957</v>
      </c>
      <c r="D163" s="48"/>
      <c r="E163" s="19"/>
      <c r="F163" s="19"/>
      <c r="G163" s="19"/>
      <c r="H163" s="41"/>
      <c r="I163" s="41">
        <v>1</v>
      </c>
      <c r="J163" s="41" t="s">
        <v>2299</v>
      </c>
      <c r="K163" s="41" t="s">
        <v>196</v>
      </c>
      <c r="L163" s="41" t="s">
        <v>1022</v>
      </c>
      <c r="M163" s="41" t="s">
        <v>372</v>
      </c>
      <c r="N163" s="48"/>
    </row>
    <row r="164" spans="1:14" ht="20.100000000000001" customHeight="1" x14ac:dyDescent="0.25">
      <c r="A164" s="38"/>
      <c r="B164" s="63" t="s">
        <v>2926</v>
      </c>
      <c r="C164" s="41" t="s">
        <v>2958</v>
      </c>
      <c r="D164" s="48"/>
      <c r="E164" s="19"/>
      <c r="F164" s="19"/>
      <c r="G164" s="19"/>
      <c r="H164" s="41"/>
      <c r="I164" s="41">
        <v>1</v>
      </c>
      <c r="J164" s="41" t="s">
        <v>2302</v>
      </c>
      <c r="K164" s="41" t="s">
        <v>196</v>
      </c>
      <c r="L164" s="41" t="s">
        <v>2925</v>
      </c>
      <c r="M164" s="41" t="s">
        <v>372</v>
      </c>
      <c r="N164" s="48"/>
    </row>
    <row r="165" spans="1:14" ht="20.100000000000001" customHeight="1" x14ac:dyDescent="0.25">
      <c r="A165" s="38"/>
      <c r="B165" s="63" t="s">
        <v>2926</v>
      </c>
      <c r="C165" s="41" t="s">
        <v>2959</v>
      </c>
      <c r="D165" s="48"/>
      <c r="E165" s="19"/>
      <c r="F165" s="19"/>
      <c r="G165" s="19"/>
      <c r="H165" s="41"/>
      <c r="I165" s="41">
        <v>1</v>
      </c>
      <c r="J165" s="41" t="s">
        <v>2302</v>
      </c>
      <c r="K165" s="41" t="s">
        <v>196</v>
      </c>
      <c r="L165" s="41" t="s">
        <v>2925</v>
      </c>
      <c r="M165" s="41" t="s">
        <v>372</v>
      </c>
      <c r="N165" s="48"/>
    </row>
    <row r="166" spans="1:14" ht="20.100000000000001" customHeight="1" x14ac:dyDescent="0.25">
      <c r="A166" s="38"/>
      <c r="B166" s="63" t="s">
        <v>2926</v>
      </c>
      <c r="C166" s="41" t="s">
        <v>2960</v>
      </c>
      <c r="D166" s="48"/>
      <c r="E166" s="19"/>
      <c r="F166" s="19"/>
      <c r="G166" s="19"/>
      <c r="H166" s="41"/>
      <c r="I166" s="41">
        <v>1</v>
      </c>
      <c r="J166" s="41" t="s">
        <v>2302</v>
      </c>
      <c r="K166" s="41" t="s">
        <v>196</v>
      </c>
      <c r="L166" s="41" t="s">
        <v>2925</v>
      </c>
      <c r="M166" s="41" t="s">
        <v>372</v>
      </c>
      <c r="N166" s="48"/>
    </row>
    <row r="167" spans="1:14" ht="20.100000000000001" customHeight="1" x14ac:dyDescent="0.25">
      <c r="A167" s="38"/>
      <c r="B167" s="63" t="s">
        <v>2926</v>
      </c>
      <c r="C167" s="41" t="s">
        <v>2961</v>
      </c>
      <c r="D167" s="48"/>
      <c r="E167" s="19"/>
      <c r="F167" s="19"/>
      <c r="G167" s="19"/>
      <c r="H167" s="41"/>
      <c r="I167" s="41">
        <v>1</v>
      </c>
      <c r="J167" s="41" t="s">
        <v>2302</v>
      </c>
      <c r="K167" s="41" t="s">
        <v>196</v>
      </c>
      <c r="L167" s="41" t="s">
        <v>2925</v>
      </c>
      <c r="M167" s="41" t="s">
        <v>372</v>
      </c>
      <c r="N167" s="48"/>
    </row>
    <row r="168" spans="1:14" ht="20.100000000000001" customHeight="1" x14ac:dyDescent="0.25">
      <c r="A168" s="38"/>
      <c r="B168" s="63" t="s">
        <v>2931</v>
      </c>
      <c r="C168" s="41" t="s">
        <v>2962</v>
      </c>
      <c r="D168" s="48"/>
      <c r="E168" s="19"/>
      <c r="F168" s="19"/>
      <c r="G168" s="19"/>
      <c r="H168" s="41"/>
      <c r="I168" s="41">
        <v>1</v>
      </c>
      <c r="J168" s="41" t="s">
        <v>2303</v>
      </c>
      <c r="K168" s="41" t="s">
        <v>196</v>
      </c>
      <c r="L168" s="41" t="s">
        <v>2300</v>
      </c>
      <c r="M168" s="41" t="s">
        <v>372</v>
      </c>
      <c r="N168" s="48"/>
    </row>
    <row r="169" spans="1:14" ht="20.100000000000001" customHeight="1" x14ac:dyDescent="0.25">
      <c r="A169" s="38"/>
      <c r="B169" s="63" t="s">
        <v>2931</v>
      </c>
      <c r="C169" s="41" t="s">
        <v>2963</v>
      </c>
      <c r="D169" s="48"/>
      <c r="E169" s="19"/>
      <c r="F169" s="19"/>
      <c r="G169" s="19"/>
      <c r="H169" s="41"/>
      <c r="I169" s="41">
        <v>1</v>
      </c>
      <c r="J169" s="41" t="s">
        <v>2303</v>
      </c>
      <c r="K169" s="41" t="s">
        <v>196</v>
      </c>
      <c r="L169" s="41" t="s">
        <v>2300</v>
      </c>
      <c r="M169" s="41" t="s">
        <v>372</v>
      </c>
      <c r="N169" s="48"/>
    </row>
    <row r="170" spans="1:14" ht="20.100000000000001" customHeight="1" x14ac:dyDescent="0.25">
      <c r="A170" s="38"/>
      <c r="B170" s="61" t="s">
        <v>2921</v>
      </c>
      <c r="C170" s="41" t="s">
        <v>2964</v>
      </c>
      <c r="D170" s="48"/>
      <c r="E170" s="19"/>
      <c r="F170" s="19"/>
      <c r="G170" s="19"/>
      <c r="H170" s="41"/>
      <c r="I170" s="41">
        <v>1</v>
      </c>
      <c r="J170" s="41" t="s">
        <v>2299</v>
      </c>
      <c r="K170" s="41" t="s">
        <v>202</v>
      </c>
      <c r="L170" s="41" t="s">
        <v>1022</v>
      </c>
      <c r="M170" s="41" t="s">
        <v>372</v>
      </c>
      <c r="N170" s="48"/>
    </row>
    <row r="171" spans="1:14" ht="20.100000000000001" customHeight="1" x14ac:dyDescent="0.25">
      <c r="A171" s="38"/>
      <c r="B171" s="61" t="s">
        <v>2921</v>
      </c>
      <c r="C171" s="41" t="s">
        <v>2965</v>
      </c>
      <c r="D171" s="48"/>
      <c r="E171" s="19"/>
      <c r="F171" s="19"/>
      <c r="G171" s="19"/>
      <c r="H171" s="41"/>
      <c r="I171" s="41">
        <v>1</v>
      </c>
      <c r="J171" s="41" t="s">
        <v>2299</v>
      </c>
      <c r="K171" s="41" t="s">
        <v>202</v>
      </c>
      <c r="L171" s="41" t="s">
        <v>1022</v>
      </c>
      <c r="M171" s="41" t="s">
        <v>372</v>
      </c>
      <c r="N171" s="48"/>
    </row>
    <row r="172" spans="1:14" ht="20.100000000000001" customHeight="1" x14ac:dyDescent="0.25">
      <c r="A172" s="38"/>
      <c r="B172" s="61" t="s">
        <v>2921</v>
      </c>
      <c r="C172" s="41" t="s">
        <v>2966</v>
      </c>
      <c r="D172" s="48"/>
      <c r="E172" s="19"/>
      <c r="F172" s="19"/>
      <c r="G172" s="19"/>
      <c r="H172" s="41"/>
      <c r="I172" s="41">
        <v>1</v>
      </c>
      <c r="J172" s="41" t="s">
        <v>2299</v>
      </c>
      <c r="K172" s="41" t="s">
        <v>202</v>
      </c>
      <c r="L172" s="41" t="s">
        <v>1022</v>
      </c>
      <c r="M172" s="41" t="s">
        <v>372</v>
      </c>
      <c r="N172" s="48"/>
    </row>
    <row r="173" spans="1:14" ht="20.100000000000001" customHeight="1" x14ac:dyDescent="0.25">
      <c r="A173" s="38"/>
      <c r="B173" s="61" t="s">
        <v>2921</v>
      </c>
      <c r="C173" s="41" t="s">
        <v>2967</v>
      </c>
      <c r="D173" s="48"/>
      <c r="E173" s="19"/>
      <c r="F173" s="19"/>
      <c r="G173" s="19"/>
      <c r="H173" s="41"/>
      <c r="I173" s="41">
        <v>1</v>
      </c>
      <c r="J173" s="41" t="s">
        <v>2299</v>
      </c>
      <c r="K173" s="41" t="s">
        <v>202</v>
      </c>
      <c r="L173" s="41" t="s">
        <v>1022</v>
      </c>
      <c r="M173" s="41" t="s">
        <v>372</v>
      </c>
      <c r="N173" s="48"/>
    </row>
    <row r="174" spans="1:14" ht="20.100000000000001" customHeight="1" x14ac:dyDescent="0.25">
      <c r="A174" s="38"/>
      <c r="B174" s="63" t="s">
        <v>2926</v>
      </c>
      <c r="C174" s="41" t="s">
        <v>2968</v>
      </c>
      <c r="D174" s="48"/>
      <c r="E174" s="19"/>
      <c r="F174" s="19"/>
      <c r="G174" s="19"/>
      <c r="H174" s="41"/>
      <c r="I174" s="41">
        <v>1</v>
      </c>
      <c r="J174" s="41" t="s">
        <v>2302</v>
      </c>
      <c r="K174" s="41" t="s">
        <v>202</v>
      </c>
      <c r="L174" s="41" t="s">
        <v>2925</v>
      </c>
      <c r="M174" s="41" t="s">
        <v>372</v>
      </c>
      <c r="N174" s="48"/>
    </row>
    <row r="175" spans="1:14" ht="20.100000000000001" customHeight="1" x14ac:dyDescent="0.25">
      <c r="A175" s="38"/>
      <c r="B175" s="63" t="s">
        <v>2926</v>
      </c>
      <c r="C175" s="41" t="s">
        <v>2969</v>
      </c>
      <c r="D175" s="48"/>
      <c r="E175" s="19"/>
      <c r="F175" s="19"/>
      <c r="G175" s="19"/>
      <c r="H175" s="41"/>
      <c r="I175" s="41">
        <v>1</v>
      </c>
      <c r="J175" s="41" t="s">
        <v>2302</v>
      </c>
      <c r="K175" s="41" t="s">
        <v>202</v>
      </c>
      <c r="L175" s="41" t="s">
        <v>2925</v>
      </c>
      <c r="M175" s="41" t="s">
        <v>372</v>
      </c>
      <c r="N175" s="48"/>
    </row>
    <row r="176" spans="1:14" ht="20.100000000000001" customHeight="1" x14ac:dyDescent="0.25">
      <c r="A176" s="38"/>
      <c r="B176" s="63" t="s">
        <v>2926</v>
      </c>
      <c r="C176" s="41" t="s">
        <v>2970</v>
      </c>
      <c r="D176" s="48"/>
      <c r="E176" s="19"/>
      <c r="F176" s="19"/>
      <c r="G176" s="19"/>
      <c r="H176" s="41"/>
      <c r="I176" s="41">
        <v>1</v>
      </c>
      <c r="J176" s="41" t="s">
        <v>2302</v>
      </c>
      <c r="K176" s="41" t="s">
        <v>202</v>
      </c>
      <c r="L176" s="41" t="s">
        <v>2925</v>
      </c>
      <c r="M176" s="41" t="s">
        <v>372</v>
      </c>
      <c r="N176" s="48"/>
    </row>
    <row r="177" spans="1:14" ht="20.100000000000001" customHeight="1" x14ac:dyDescent="0.25">
      <c r="A177" s="38"/>
      <c r="B177" s="63" t="s">
        <v>2926</v>
      </c>
      <c r="C177" s="41" t="s">
        <v>2971</v>
      </c>
      <c r="D177" s="48"/>
      <c r="E177" s="19"/>
      <c r="F177" s="19"/>
      <c r="G177" s="19"/>
      <c r="H177" s="41"/>
      <c r="I177" s="41">
        <v>1</v>
      </c>
      <c r="J177" s="41" t="s">
        <v>2302</v>
      </c>
      <c r="K177" s="41" t="s">
        <v>202</v>
      </c>
      <c r="L177" s="41" t="s">
        <v>2925</v>
      </c>
      <c r="M177" s="41" t="s">
        <v>372</v>
      </c>
      <c r="N177" s="48"/>
    </row>
    <row r="178" spans="1:14" ht="20.100000000000001" customHeight="1" x14ac:dyDescent="0.25">
      <c r="A178" s="38"/>
      <c r="B178" s="63" t="s">
        <v>2931</v>
      </c>
      <c r="C178" s="41" t="s">
        <v>2972</v>
      </c>
      <c r="D178" s="48"/>
      <c r="E178" s="19"/>
      <c r="F178" s="19"/>
      <c r="G178" s="19"/>
      <c r="H178" s="41"/>
      <c r="I178" s="41">
        <v>1</v>
      </c>
      <c r="J178" s="41" t="s">
        <v>2303</v>
      </c>
      <c r="K178" s="41" t="s">
        <v>202</v>
      </c>
      <c r="L178" s="41" t="s">
        <v>2300</v>
      </c>
      <c r="M178" s="41" t="s">
        <v>372</v>
      </c>
      <c r="N178" s="48"/>
    </row>
    <row r="179" spans="1:14" ht="20.100000000000001" customHeight="1" x14ac:dyDescent="0.25">
      <c r="A179" s="38"/>
      <c r="B179" s="63" t="s">
        <v>2931</v>
      </c>
      <c r="C179" s="41" t="s">
        <v>2973</v>
      </c>
      <c r="D179" s="48"/>
      <c r="E179" s="19"/>
      <c r="F179" s="19"/>
      <c r="G179" s="19"/>
      <c r="H179" s="41"/>
      <c r="I179" s="41">
        <v>1</v>
      </c>
      <c r="J179" s="41" t="s">
        <v>2303</v>
      </c>
      <c r="K179" s="41" t="s">
        <v>202</v>
      </c>
      <c r="L179" s="41" t="s">
        <v>2300</v>
      </c>
      <c r="M179" s="41" t="s">
        <v>372</v>
      </c>
      <c r="N179" s="48"/>
    </row>
    <row r="180" spans="1:14" ht="20.100000000000001" customHeight="1" x14ac:dyDescent="0.25">
      <c r="A180" s="38"/>
      <c r="B180" s="61" t="s">
        <v>2921</v>
      </c>
      <c r="C180" s="41" t="s">
        <v>3013</v>
      </c>
      <c r="D180" s="48"/>
      <c r="E180" s="19"/>
      <c r="F180" s="19"/>
      <c r="G180" s="19"/>
      <c r="H180" s="41"/>
      <c r="I180" s="41">
        <v>1</v>
      </c>
      <c r="J180" s="41" t="s">
        <v>2299</v>
      </c>
      <c r="K180" s="41" t="s">
        <v>3012</v>
      </c>
      <c r="L180" s="41" t="s">
        <v>1022</v>
      </c>
      <c r="M180" s="41" t="s">
        <v>394</v>
      </c>
      <c r="N180" s="48"/>
    </row>
    <row r="181" spans="1:14" ht="20.100000000000001" customHeight="1" x14ac:dyDescent="0.25">
      <c r="A181" s="38"/>
      <c r="B181" s="61" t="s">
        <v>2921</v>
      </c>
      <c r="C181" s="41" t="s">
        <v>3014</v>
      </c>
      <c r="D181" s="48"/>
      <c r="E181" s="19"/>
      <c r="F181" s="19"/>
      <c r="G181" s="19"/>
      <c r="H181" s="41"/>
      <c r="I181" s="41">
        <v>1</v>
      </c>
      <c r="J181" s="41" t="s">
        <v>2299</v>
      </c>
      <c r="K181" s="41" t="s">
        <v>3012</v>
      </c>
      <c r="L181" s="41" t="s">
        <v>1022</v>
      </c>
      <c r="M181" s="41" t="s">
        <v>394</v>
      </c>
      <c r="N181" s="48"/>
    </row>
    <row r="182" spans="1:14" ht="20.100000000000001" customHeight="1" x14ac:dyDescent="0.25">
      <c r="A182" s="38"/>
      <c r="B182" s="61" t="s">
        <v>2921</v>
      </c>
      <c r="C182" s="41" t="s">
        <v>3015</v>
      </c>
      <c r="D182" s="48"/>
      <c r="E182" s="19"/>
      <c r="F182" s="19"/>
      <c r="G182" s="19"/>
      <c r="H182" s="41"/>
      <c r="I182" s="41">
        <v>1</v>
      </c>
      <c r="J182" s="41" t="s">
        <v>2299</v>
      </c>
      <c r="K182" s="41" t="s">
        <v>3012</v>
      </c>
      <c r="L182" s="41" t="s">
        <v>1022</v>
      </c>
      <c r="M182" s="41" t="s">
        <v>394</v>
      </c>
      <c r="N182" s="48"/>
    </row>
    <row r="183" spans="1:14" ht="20.100000000000001" customHeight="1" x14ac:dyDescent="0.25">
      <c r="A183" s="38"/>
      <c r="B183" s="61" t="s">
        <v>2921</v>
      </c>
      <c r="C183" s="41" t="s">
        <v>3016</v>
      </c>
      <c r="D183" s="48"/>
      <c r="E183" s="19"/>
      <c r="F183" s="19"/>
      <c r="G183" s="19"/>
      <c r="H183" s="41"/>
      <c r="I183" s="41">
        <v>1</v>
      </c>
      <c r="J183" s="41" t="s">
        <v>2299</v>
      </c>
      <c r="K183" s="41" t="s">
        <v>3012</v>
      </c>
      <c r="L183" s="41" t="s">
        <v>1022</v>
      </c>
      <c r="M183" s="41" t="s">
        <v>394</v>
      </c>
      <c r="N183" s="48"/>
    </row>
    <row r="184" spans="1:14" ht="20.100000000000001" customHeight="1" x14ac:dyDescent="0.25">
      <c r="A184" s="38"/>
      <c r="B184" s="63" t="s">
        <v>3027</v>
      </c>
      <c r="C184" s="41" t="s">
        <v>3017</v>
      </c>
      <c r="D184" s="48"/>
      <c r="E184" s="19"/>
      <c r="F184" s="19"/>
      <c r="G184" s="19"/>
      <c r="H184" s="41"/>
      <c r="I184" s="41">
        <v>1</v>
      </c>
      <c r="J184" s="41" t="s">
        <v>2302</v>
      </c>
      <c r="K184" s="41" t="s">
        <v>3012</v>
      </c>
      <c r="L184" s="41" t="s">
        <v>3026</v>
      </c>
      <c r="M184" s="41" t="s">
        <v>394</v>
      </c>
      <c r="N184" s="48"/>
    </row>
    <row r="185" spans="1:14" ht="20.100000000000001" customHeight="1" x14ac:dyDescent="0.25">
      <c r="A185" s="38"/>
      <c r="B185" s="63" t="s">
        <v>3027</v>
      </c>
      <c r="C185" s="41" t="s">
        <v>3018</v>
      </c>
      <c r="D185" s="48"/>
      <c r="E185" s="19"/>
      <c r="F185" s="19"/>
      <c r="G185" s="19"/>
      <c r="H185" s="41"/>
      <c r="I185" s="41">
        <v>1</v>
      </c>
      <c r="J185" s="41" t="s">
        <v>2302</v>
      </c>
      <c r="K185" s="41" t="s">
        <v>3012</v>
      </c>
      <c r="L185" s="41" t="s">
        <v>3026</v>
      </c>
      <c r="M185" s="41" t="s">
        <v>394</v>
      </c>
      <c r="N185" s="48"/>
    </row>
    <row r="186" spans="1:14" ht="20.100000000000001" customHeight="1" x14ac:dyDescent="0.25">
      <c r="A186" s="38"/>
      <c r="B186" s="63" t="s">
        <v>3027</v>
      </c>
      <c r="C186" s="41" t="s">
        <v>3019</v>
      </c>
      <c r="D186" s="48"/>
      <c r="E186" s="19"/>
      <c r="F186" s="19"/>
      <c r="G186" s="19"/>
      <c r="H186" s="41"/>
      <c r="I186" s="41">
        <v>1</v>
      </c>
      <c r="J186" s="41" t="s">
        <v>2302</v>
      </c>
      <c r="K186" s="41" t="s">
        <v>3012</v>
      </c>
      <c r="L186" s="41" t="s">
        <v>3026</v>
      </c>
      <c r="M186" s="41" t="s">
        <v>394</v>
      </c>
      <c r="N186" s="48"/>
    </row>
    <row r="187" spans="1:14" ht="20.100000000000001" customHeight="1" x14ac:dyDescent="0.25">
      <c r="A187" s="38"/>
      <c r="B187" s="63" t="s">
        <v>3027</v>
      </c>
      <c r="C187" s="41" t="s">
        <v>3020</v>
      </c>
      <c r="D187" s="48"/>
      <c r="E187" s="19"/>
      <c r="F187" s="19"/>
      <c r="G187" s="19"/>
      <c r="H187" s="41"/>
      <c r="I187" s="41">
        <v>1</v>
      </c>
      <c r="J187" s="41" t="s">
        <v>2302</v>
      </c>
      <c r="K187" s="41" t="s">
        <v>3012</v>
      </c>
      <c r="L187" s="41" t="s">
        <v>3026</v>
      </c>
      <c r="M187" s="41" t="s">
        <v>394</v>
      </c>
      <c r="N187" s="48"/>
    </row>
    <row r="188" spans="1:14" ht="20.100000000000001" customHeight="1" x14ac:dyDescent="0.25">
      <c r="A188" s="38"/>
      <c r="B188" s="63" t="s">
        <v>3025</v>
      </c>
      <c r="C188" s="41" t="s">
        <v>3021</v>
      </c>
      <c r="D188" s="48"/>
      <c r="E188" s="19"/>
      <c r="F188" s="19"/>
      <c r="G188" s="19"/>
      <c r="H188" s="41"/>
      <c r="I188" s="41">
        <v>1</v>
      </c>
      <c r="J188" s="41" t="s">
        <v>2303</v>
      </c>
      <c r="K188" s="41" t="s">
        <v>3012</v>
      </c>
      <c r="L188" s="41" t="s">
        <v>3024</v>
      </c>
      <c r="M188" s="41" t="s">
        <v>394</v>
      </c>
      <c r="N188" s="48"/>
    </row>
    <row r="189" spans="1:14" ht="20.100000000000001" customHeight="1" x14ac:dyDescent="0.25">
      <c r="A189" s="38"/>
      <c r="B189" s="63" t="s">
        <v>3025</v>
      </c>
      <c r="C189" s="41" t="s">
        <v>3022</v>
      </c>
      <c r="D189" s="48"/>
      <c r="E189" s="19"/>
      <c r="F189" s="19"/>
      <c r="G189" s="19"/>
      <c r="H189" s="41"/>
      <c r="I189" s="41">
        <v>1</v>
      </c>
      <c r="J189" s="41" t="s">
        <v>2303</v>
      </c>
      <c r="K189" s="41" t="s">
        <v>3012</v>
      </c>
      <c r="L189" s="41" t="s">
        <v>3024</v>
      </c>
      <c r="M189" s="41" t="s">
        <v>394</v>
      </c>
      <c r="N189" s="48"/>
    </row>
    <row r="190" spans="1:14" ht="20.100000000000001" customHeight="1" x14ac:dyDescent="0.25">
      <c r="A190" s="38"/>
      <c r="B190" s="63" t="s">
        <v>3025</v>
      </c>
      <c r="C190" s="41" t="s">
        <v>3023</v>
      </c>
      <c r="D190" s="48"/>
      <c r="E190" s="19"/>
      <c r="F190" s="19"/>
      <c r="G190" s="19"/>
      <c r="H190" s="41"/>
      <c r="I190" s="41">
        <v>1</v>
      </c>
      <c r="J190" s="41" t="s">
        <v>2303</v>
      </c>
      <c r="K190" s="41" t="s">
        <v>3012</v>
      </c>
      <c r="L190" s="41" t="s">
        <v>3024</v>
      </c>
      <c r="M190" s="41" t="s">
        <v>394</v>
      </c>
      <c r="N190" s="48"/>
    </row>
    <row r="191" spans="1:14" ht="20.100000000000001" customHeight="1" x14ac:dyDescent="0.25">
      <c r="A191" s="38"/>
      <c r="B191" s="61" t="s">
        <v>2921</v>
      </c>
      <c r="C191" s="41" t="s">
        <v>3029</v>
      </c>
      <c r="D191" s="48"/>
      <c r="E191" s="19"/>
      <c r="F191" s="19"/>
      <c r="G191" s="19"/>
      <c r="H191" s="41"/>
      <c r="I191" s="41">
        <v>1</v>
      </c>
      <c r="J191" s="41" t="s">
        <v>2299</v>
      </c>
      <c r="K191" s="41" t="s">
        <v>3028</v>
      </c>
      <c r="L191" s="41" t="s">
        <v>1022</v>
      </c>
      <c r="M191" s="41" t="s">
        <v>394</v>
      </c>
      <c r="N191" s="48"/>
    </row>
    <row r="192" spans="1:14" ht="20.100000000000001" customHeight="1" x14ac:dyDescent="0.25">
      <c r="A192" s="38"/>
      <c r="B192" s="61" t="s">
        <v>2921</v>
      </c>
      <c r="C192" s="41" t="s">
        <v>3030</v>
      </c>
      <c r="D192" s="48"/>
      <c r="E192" s="19"/>
      <c r="F192" s="19"/>
      <c r="G192" s="19"/>
      <c r="H192" s="41"/>
      <c r="I192" s="41">
        <v>1</v>
      </c>
      <c r="J192" s="41" t="s">
        <v>2299</v>
      </c>
      <c r="K192" s="41" t="s">
        <v>3028</v>
      </c>
      <c r="L192" s="41" t="s">
        <v>1022</v>
      </c>
      <c r="M192" s="41" t="s">
        <v>394</v>
      </c>
      <c r="N192" s="48"/>
    </row>
    <row r="193" spans="1:14" ht="20.100000000000001" customHeight="1" x14ac:dyDescent="0.25">
      <c r="A193" s="38"/>
      <c r="B193" s="61" t="s">
        <v>2921</v>
      </c>
      <c r="C193" s="41" t="s">
        <v>3031</v>
      </c>
      <c r="D193" s="48"/>
      <c r="E193" s="19"/>
      <c r="F193" s="19"/>
      <c r="G193" s="19"/>
      <c r="H193" s="41"/>
      <c r="I193" s="41">
        <v>1</v>
      </c>
      <c r="J193" s="41" t="s">
        <v>2299</v>
      </c>
      <c r="K193" s="41" t="s">
        <v>3028</v>
      </c>
      <c r="L193" s="41" t="s">
        <v>1022</v>
      </c>
      <c r="M193" s="41" t="s">
        <v>394</v>
      </c>
      <c r="N193" s="48"/>
    </row>
    <row r="194" spans="1:14" ht="20.100000000000001" customHeight="1" x14ac:dyDescent="0.25">
      <c r="A194" s="38"/>
      <c r="B194" s="61" t="s">
        <v>2921</v>
      </c>
      <c r="C194" s="41" t="s">
        <v>3032</v>
      </c>
      <c r="D194" s="48"/>
      <c r="E194" s="19"/>
      <c r="F194" s="19"/>
      <c r="G194" s="19"/>
      <c r="H194" s="41"/>
      <c r="I194" s="41">
        <v>1</v>
      </c>
      <c r="J194" s="41" t="s">
        <v>2299</v>
      </c>
      <c r="K194" s="41" t="s">
        <v>3028</v>
      </c>
      <c r="L194" s="41" t="s">
        <v>1022</v>
      </c>
      <c r="M194" s="41" t="s">
        <v>394</v>
      </c>
      <c r="N194" s="48"/>
    </row>
    <row r="195" spans="1:14" ht="20.100000000000001" customHeight="1" x14ac:dyDescent="0.25">
      <c r="A195" s="38"/>
      <c r="B195" s="63" t="s">
        <v>3027</v>
      </c>
      <c r="C195" s="41" t="s">
        <v>3033</v>
      </c>
      <c r="D195" s="48"/>
      <c r="E195" s="19"/>
      <c r="F195" s="19"/>
      <c r="G195" s="19"/>
      <c r="H195" s="41"/>
      <c r="I195" s="41">
        <v>1</v>
      </c>
      <c r="J195" s="41" t="s">
        <v>2302</v>
      </c>
      <c r="K195" s="41" t="s">
        <v>3028</v>
      </c>
      <c r="L195" s="41" t="s">
        <v>3026</v>
      </c>
      <c r="M195" s="41" t="s">
        <v>394</v>
      </c>
      <c r="N195" s="48"/>
    </row>
    <row r="196" spans="1:14" ht="20.100000000000001" customHeight="1" x14ac:dyDescent="0.25">
      <c r="A196" s="38"/>
      <c r="B196" s="63" t="s">
        <v>3027</v>
      </c>
      <c r="C196" s="41" t="s">
        <v>3034</v>
      </c>
      <c r="D196" s="48"/>
      <c r="E196" s="19"/>
      <c r="F196" s="19"/>
      <c r="G196" s="19"/>
      <c r="H196" s="41"/>
      <c r="I196" s="41">
        <v>1</v>
      </c>
      <c r="J196" s="41" t="s">
        <v>2302</v>
      </c>
      <c r="K196" s="41" t="s">
        <v>3028</v>
      </c>
      <c r="L196" s="41" t="s">
        <v>3026</v>
      </c>
      <c r="M196" s="41" t="s">
        <v>394</v>
      </c>
      <c r="N196" s="48"/>
    </row>
    <row r="197" spans="1:14" ht="20.100000000000001" customHeight="1" x14ac:dyDescent="0.25">
      <c r="A197" s="38"/>
      <c r="B197" s="63" t="s">
        <v>3027</v>
      </c>
      <c r="C197" s="41" t="s">
        <v>3035</v>
      </c>
      <c r="D197" s="48"/>
      <c r="E197" s="19"/>
      <c r="F197" s="19"/>
      <c r="G197" s="19"/>
      <c r="H197" s="41"/>
      <c r="I197" s="41">
        <v>1</v>
      </c>
      <c r="J197" s="41" t="s">
        <v>2302</v>
      </c>
      <c r="K197" s="41" t="s">
        <v>3028</v>
      </c>
      <c r="L197" s="41" t="s">
        <v>3026</v>
      </c>
      <c r="M197" s="41" t="s">
        <v>394</v>
      </c>
      <c r="N197" s="48"/>
    </row>
    <row r="198" spans="1:14" ht="20.100000000000001" customHeight="1" x14ac:dyDescent="0.25">
      <c r="A198" s="38"/>
      <c r="B198" s="63" t="s">
        <v>3027</v>
      </c>
      <c r="C198" s="41" t="s">
        <v>3036</v>
      </c>
      <c r="D198" s="48"/>
      <c r="E198" s="19"/>
      <c r="F198" s="19"/>
      <c r="G198" s="19"/>
      <c r="H198" s="41"/>
      <c r="I198" s="41">
        <v>1</v>
      </c>
      <c r="J198" s="41" t="s">
        <v>2302</v>
      </c>
      <c r="K198" s="41" t="s">
        <v>3028</v>
      </c>
      <c r="L198" s="41" t="s">
        <v>3026</v>
      </c>
      <c r="M198" s="41" t="s">
        <v>394</v>
      </c>
      <c r="N198" s="48"/>
    </row>
    <row r="199" spans="1:14" ht="20.100000000000001" customHeight="1" x14ac:dyDescent="0.25">
      <c r="A199" s="38"/>
      <c r="B199" s="63" t="s">
        <v>3025</v>
      </c>
      <c r="C199" s="41" t="s">
        <v>3037</v>
      </c>
      <c r="D199" s="48"/>
      <c r="E199" s="19"/>
      <c r="F199" s="19"/>
      <c r="G199" s="19"/>
      <c r="H199" s="41"/>
      <c r="I199" s="41">
        <v>1</v>
      </c>
      <c r="J199" s="41" t="s">
        <v>2303</v>
      </c>
      <c r="K199" s="41" t="s">
        <v>3028</v>
      </c>
      <c r="L199" s="41" t="s">
        <v>3024</v>
      </c>
      <c r="M199" s="41" t="s">
        <v>394</v>
      </c>
      <c r="N199" s="48"/>
    </row>
    <row r="200" spans="1:14" ht="20.100000000000001" customHeight="1" x14ac:dyDescent="0.25">
      <c r="A200" s="38"/>
      <c r="B200" s="63" t="s">
        <v>3025</v>
      </c>
      <c r="C200" s="41" t="s">
        <v>3038</v>
      </c>
      <c r="D200" s="48"/>
      <c r="E200" s="19"/>
      <c r="F200" s="19"/>
      <c r="G200" s="19"/>
      <c r="H200" s="41"/>
      <c r="I200" s="41">
        <v>1</v>
      </c>
      <c r="J200" s="41" t="s">
        <v>2303</v>
      </c>
      <c r="K200" s="41" t="s">
        <v>3028</v>
      </c>
      <c r="L200" s="41" t="s">
        <v>3024</v>
      </c>
      <c r="M200" s="41" t="s">
        <v>394</v>
      </c>
      <c r="N200" s="48"/>
    </row>
    <row r="201" spans="1:14" ht="20.100000000000001" customHeight="1" x14ac:dyDescent="0.25">
      <c r="A201" s="38"/>
      <c r="B201" s="63" t="s">
        <v>3025</v>
      </c>
      <c r="C201" s="41" t="s">
        <v>3039</v>
      </c>
      <c r="D201" s="48"/>
      <c r="E201" s="19"/>
      <c r="F201" s="19"/>
      <c r="G201" s="19"/>
      <c r="H201" s="41"/>
      <c r="I201" s="41">
        <v>1</v>
      </c>
      <c r="J201" s="41" t="s">
        <v>2303</v>
      </c>
      <c r="K201" s="41" t="s">
        <v>3028</v>
      </c>
      <c r="L201" s="41" t="s">
        <v>3024</v>
      </c>
      <c r="M201" s="41" t="s">
        <v>394</v>
      </c>
      <c r="N201" s="48"/>
    </row>
    <row r="202" spans="1:14" ht="20.100000000000001" customHeight="1" x14ac:dyDescent="0.25">
      <c r="A202" s="38"/>
      <c r="B202" s="61" t="s">
        <v>2921</v>
      </c>
      <c r="C202" s="41" t="s">
        <v>3041</v>
      </c>
      <c r="D202" s="48"/>
      <c r="E202" s="19"/>
      <c r="F202" s="19"/>
      <c r="G202" s="19"/>
      <c r="H202" s="41"/>
      <c r="I202" s="41">
        <v>1</v>
      </c>
      <c r="J202" s="41" t="s">
        <v>2299</v>
      </c>
      <c r="K202" s="41" t="s">
        <v>3040</v>
      </c>
      <c r="L202" s="41" t="s">
        <v>1022</v>
      </c>
      <c r="M202" s="41" t="s">
        <v>394</v>
      </c>
      <c r="N202" s="48"/>
    </row>
    <row r="203" spans="1:14" ht="20.100000000000001" customHeight="1" x14ac:dyDescent="0.25">
      <c r="A203" s="38"/>
      <c r="B203" s="61" t="s">
        <v>2921</v>
      </c>
      <c r="C203" s="41" t="s">
        <v>3042</v>
      </c>
      <c r="D203" s="48"/>
      <c r="E203" s="19"/>
      <c r="F203" s="19"/>
      <c r="G203" s="19"/>
      <c r="H203" s="41"/>
      <c r="I203" s="41">
        <v>1</v>
      </c>
      <c r="J203" s="41" t="s">
        <v>2299</v>
      </c>
      <c r="K203" s="41" t="s">
        <v>3040</v>
      </c>
      <c r="L203" s="41" t="s">
        <v>1022</v>
      </c>
      <c r="M203" s="41" t="s">
        <v>394</v>
      </c>
      <c r="N203" s="48"/>
    </row>
    <row r="204" spans="1:14" ht="20.100000000000001" customHeight="1" x14ac:dyDescent="0.25">
      <c r="A204" s="38"/>
      <c r="B204" s="61" t="s">
        <v>2921</v>
      </c>
      <c r="C204" s="41" t="s">
        <v>3043</v>
      </c>
      <c r="D204" s="48"/>
      <c r="E204" s="19"/>
      <c r="F204" s="19"/>
      <c r="G204" s="19"/>
      <c r="H204" s="41"/>
      <c r="I204" s="41">
        <v>1</v>
      </c>
      <c r="J204" s="41" t="s">
        <v>2299</v>
      </c>
      <c r="K204" s="41" t="s">
        <v>3040</v>
      </c>
      <c r="L204" s="41" t="s">
        <v>1022</v>
      </c>
      <c r="M204" s="41" t="s">
        <v>394</v>
      </c>
      <c r="N204" s="48"/>
    </row>
    <row r="205" spans="1:14" ht="20.100000000000001" customHeight="1" x14ac:dyDescent="0.25">
      <c r="A205" s="38"/>
      <c r="B205" s="61" t="s">
        <v>2921</v>
      </c>
      <c r="C205" s="41" t="s">
        <v>3044</v>
      </c>
      <c r="D205" s="48"/>
      <c r="E205" s="19"/>
      <c r="F205" s="19"/>
      <c r="G205" s="19"/>
      <c r="H205" s="41"/>
      <c r="I205" s="41">
        <v>1</v>
      </c>
      <c r="J205" s="41" t="s">
        <v>2299</v>
      </c>
      <c r="K205" s="41" t="s">
        <v>3040</v>
      </c>
      <c r="L205" s="41" t="s">
        <v>1022</v>
      </c>
      <c r="M205" s="41" t="s">
        <v>394</v>
      </c>
      <c r="N205" s="48"/>
    </row>
    <row r="206" spans="1:14" ht="20.100000000000001" customHeight="1" x14ac:dyDescent="0.25">
      <c r="A206" s="38"/>
      <c r="B206" s="63" t="s">
        <v>3027</v>
      </c>
      <c r="C206" s="41" t="s">
        <v>3045</v>
      </c>
      <c r="D206" s="48"/>
      <c r="E206" s="19"/>
      <c r="F206" s="19"/>
      <c r="G206" s="19"/>
      <c r="H206" s="41"/>
      <c r="I206" s="41">
        <v>1</v>
      </c>
      <c r="J206" s="41" t="s">
        <v>2302</v>
      </c>
      <c r="K206" s="41" t="s">
        <v>3040</v>
      </c>
      <c r="L206" s="41" t="s">
        <v>3026</v>
      </c>
      <c r="M206" s="41" t="s">
        <v>394</v>
      </c>
      <c r="N206" s="48"/>
    </row>
    <row r="207" spans="1:14" ht="20.100000000000001" customHeight="1" x14ac:dyDescent="0.25">
      <c r="A207" s="38"/>
      <c r="B207" s="63" t="s">
        <v>3027</v>
      </c>
      <c r="C207" s="41" t="s">
        <v>3046</v>
      </c>
      <c r="D207" s="48"/>
      <c r="E207" s="19"/>
      <c r="F207" s="19"/>
      <c r="G207" s="19"/>
      <c r="H207" s="41"/>
      <c r="I207" s="41">
        <v>1</v>
      </c>
      <c r="J207" s="41" t="s">
        <v>2302</v>
      </c>
      <c r="K207" s="41" t="s">
        <v>3040</v>
      </c>
      <c r="L207" s="41" t="s">
        <v>3026</v>
      </c>
      <c r="M207" s="41" t="s">
        <v>394</v>
      </c>
      <c r="N207" s="48"/>
    </row>
    <row r="208" spans="1:14" ht="20.100000000000001" customHeight="1" x14ac:dyDescent="0.25">
      <c r="A208" s="38"/>
      <c r="B208" s="63" t="s">
        <v>3027</v>
      </c>
      <c r="C208" s="41" t="s">
        <v>3047</v>
      </c>
      <c r="D208" s="48"/>
      <c r="E208" s="19"/>
      <c r="F208" s="19"/>
      <c r="G208" s="19"/>
      <c r="H208" s="41"/>
      <c r="I208" s="41">
        <v>1</v>
      </c>
      <c r="J208" s="41" t="s">
        <v>2302</v>
      </c>
      <c r="K208" s="41" t="s">
        <v>3040</v>
      </c>
      <c r="L208" s="41" t="s">
        <v>3026</v>
      </c>
      <c r="M208" s="41" t="s">
        <v>394</v>
      </c>
      <c r="N208" s="48"/>
    </row>
    <row r="209" spans="1:14" ht="20.100000000000001" customHeight="1" x14ac:dyDescent="0.25">
      <c r="A209" s="38"/>
      <c r="B209" s="63" t="s">
        <v>3027</v>
      </c>
      <c r="C209" s="41" t="s">
        <v>3048</v>
      </c>
      <c r="D209" s="48"/>
      <c r="E209" s="19"/>
      <c r="F209" s="19"/>
      <c r="G209" s="19"/>
      <c r="H209" s="41"/>
      <c r="I209" s="41">
        <v>1</v>
      </c>
      <c r="J209" s="41" t="s">
        <v>2302</v>
      </c>
      <c r="K209" s="41" t="s">
        <v>3040</v>
      </c>
      <c r="L209" s="41" t="s">
        <v>3026</v>
      </c>
      <c r="M209" s="41" t="s">
        <v>394</v>
      </c>
      <c r="N209" s="48"/>
    </row>
    <row r="210" spans="1:14" ht="20.100000000000001" customHeight="1" x14ac:dyDescent="0.25">
      <c r="A210" s="38"/>
      <c r="B210" s="63" t="s">
        <v>3025</v>
      </c>
      <c r="C210" s="41" t="s">
        <v>3049</v>
      </c>
      <c r="D210" s="48"/>
      <c r="E210" s="19"/>
      <c r="F210" s="19"/>
      <c r="G210" s="19"/>
      <c r="H210" s="41"/>
      <c r="I210" s="41">
        <v>1</v>
      </c>
      <c r="J210" s="41" t="s">
        <v>2303</v>
      </c>
      <c r="K210" s="41" t="s">
        <v>3040</v>
      </c>
      <c r="L210" s="41" t="s">
        <v>3024</v>
      </c>
      <c r="M210" s="41" t="s">
        <v>394</v>
      </c>
      <c r="N210" s="48"/>
    </row>
    <row r="211" spans="1:14" ht="20.100000000000001" customHeight="1" x14ac:dyDescent="0.25">
      <c r="A211" s="38"/>
      <c r="B211" s="63" t="s">
        <v>3025</v>
      </c>
      <c r="C211" s="41" t="s">
        <v>3050</v>
      </c>
      <c r="D211" s="48"/>
      <c r="E211" s="19"/>
      <c r="F211" s="19"/>
      <c r="G211" s="19"/>
      <c r="H211" s="41"/>
      <c r="I211" s="41">
        <v>1</v>
      </c>
      <c r="J211" s="41" t="s">
        <v>2303</v>
      </c>
      <c r="K211" s="41" t="s">
        <v>3040</v>
      </c>
      <c r="L211" s="41" t="s">
        <v>3024</v>
      </c>
      <c r="M211" s="41" t="s">
        <v>394</v>
      </c>
      <c r="N211" s="48"/>
    </row>
    <row r="212" spans="1:14" ht="20.100000000000001" customHeight="1" x14ac:dyDescent="0.25">
      <c r="A212" s="38"/>
      <c r="B212" s="63" t="s">
        <v>3025</v>
      </c>
      <c r="C212" s="41" t="s">
        <v>3051</v>
      </c>
      <c r="D212" s="48"/>
      <c r="E212" s="19"/>
      <c r="F212" s="19"/>
      <c r="G212" s="19"/>
      <c r="H212" s="41"/>
      <c r="I212" s="41">
        <v>1</v>
      </c>
      <c r="J212" s="41" t="s">
        <v>2303</v>
      </c>
      <c r="K212" s="41" t="s">
        <v>3040</v>
      </c>
      <c r="L212" s="41" t="s">
        <v>3024</v>
      </c>
      <c r="M212" s="41" t="s">
        <v>394</v>
      </c>
      <c r="N212" s="48"/>
    </row>
    <row r="213" spans="1:14" ht="20.100000000000001" customHeight="1" x14ac:dyDescent="0.25">
      <c r="A213" s="38"/>
      <c r="B213" s="61" t="s">
        <v>2921</v>
      </c>
      <c r="C213" s="41" t="s">
        <v>3052</v>
      </c>
      <c r="D213" s="48"/>
      <c r="E213" s="19"/>
      <c r="F213" s="19"/>
      <c r="G213" s="19"/>
      <c r="H213" s="41"/>
      <c r="I213" s="41">
        <v>1</v>
      </c>
      <c r="J213" s="41" t="s">
        <v>2299</v>
      </c>
      <c r="K213" s="41" t="s">
        <v>3063</v>
      </c>
      <c r="L213" s="41" t="s">
        <v>1022</v>
      </c>
      <c r="M213" s="41" t="s">
        <v>394</v>
      </c>
      <c r="N213" s="48"/>
    </row>
    <row r="214" spans="1:14" ht="20.100000000000001" customHeight="1" x14ac:dyDescent="0.25">
      <c r="A214" s="38"/>
      <c r="B214" s="61" t="s">
        <v>2921</v>
      </c>
      <c r="C214" s="41" t="s">
        <v>3053</v>
      </c>
      <c r="D214" s="48"/>
      <c r="E214" s="19"/>
      <c r="F214" s="19"/>
      <c r="G214" s="19"/>
      <c r="H214" s="41"/>
      <c r="I214" s="41">
        <v>1</v>
      </c>
      <c r="J214" s="41" t="s">
        <v>2299</v>
      </c>
      <c r="K214" s="41" t="s">
        <v>3063</v>
      </c>
      <c r="L214" s="41" t="s">
        <v>1022</v>
      </c>
      <c r="M214" s="41" t="s">
        <v>394</v>
      </c>
      <c r="N214" s="48"/>
    </row>
    <row r="215" spans="1:14" ht="20.100000000000001" customHeight="1" x14ac:dyDescent="0.25">
      <c r="A215" s="38"/>
      <c r="B215" s="61" t="s">
        <v>2921</v>
      </c>
      <c r="C215" s="41" t="s">
        <v>3054</v>
      </c>
      <c r="D215" s="48"/>
      <c r="E215" s="19"/>
      <c r="F215" s="19"/>
      <c r="G215" s="19"/>
      <c r="H215" s="41"/>
      <c r="I215" s="41">
        <v>1</v>
      </c>
      <c r="J215" s="41" t="s">
        <v>2299</v>
      </c>
      <c r="K215" s="41" t="s">
        <v>3063</v>
      </c>
      <c r="L215" s="41" t="s">
        <v>1022</v>
      </c>
      <c r="M215" s="41" t="s">
        <v>394</v>
      </c>
      <c r="N215" s="48"/>
    </row>
    <row r="216" spans="1:14" ht="20.100000000000001" customHeight="1" x14ac:dyDescent="0.25">
      <c r="A216" s="38"/>
      <c r="B216" s="61" t="s">
        <v>2921</v>
      </c>
      <c r="C216" s="41" t="s">
        <v>3055</v>
      </c>
      <c r="D216" s="48"/>
      <c r="E216" s="19"/>
      <c r="F216" s="19"/>
      <c r="G216" s="19"/>
      <c r="H216" s="41"/>
      <c r="I216" s="41">
        <v>1</v>
      </c>
      <c r="J216" s="41" t="s">
        <v>2299</v>
      </c>
      <c r="K216" s="41" t="s">
        <v>3063</v>
      </c>
      <c r="L216" s="41" t="s">
        <v>1022</v>
      </c>
      <c r="M216" s="41" t="s">
        <v>394</v>
      </c>
      <c r="N216" s="48"/>
    </row>
    <row r="217" spans="1:14" ht="20.100000000000001" customHeight="1" x14ac:dyDescent="0.25">
      <c r="A217" s="38"/>
      <c r="B217" s="63" t="s">
        <v>3027</v>
      </c>
      <c r="C217" s="41" t="s">
        <v>3056</v>
      </c>
      <c r="D217" s="48"/>
      <c r="E217" s="19"/>
      <c r="F217" s="19"/>
      <c r="G217" s="19"/>
      <c r="H217" s="41"/>
      <c r="I217" s="41">
        <v>1</v>
      </c>
      <c r="J217" s="41" t="s">
        <v>2302</v>
      </c>
      <c r="K217" s="41" t="s">
        <v>3063</v>
      </c>
      <c r="L217" s="41" t="s">
        <v>3026</v>
      </c>
      <c r="M217" s="41" t="s">
        <v>394</v>
      </c>
      <c r="N217" s="48"/>
    </row>
    <row r="218" spans="1:14" ht="20.100000000000001" customHeight="1" x14ac:dyDescent="0.25">
      <c r="A218" s="38"/>
      <c r="B218" s="63" t="s">
        <v>3027</v>
      </c>
      <c r="C218" s="41" t="s">
        <v>3057</v>
      </c>
      <c r="D218" s="48"/>
      <c r="E218" s="19"/>
      <c r="F218" s="19"/>
      <c r="G218" s="19"/>
      <c r="H218" s="41"/>
      <c r="I218" s="41">
        <v>1</v>
      </c>
      <c r="J218" s="41" t="s">
        <v>2302</v>
      </c>
      <c r="K218" s="41" t="s">
        <v>3063</v>
      </c>
      <c r="L218" s="41" t="s">
        <v>3026</v>
      </c>
      <c r="M218" s="41" t="s">
        <v>394</v>
      </c>
      <c r="N218" s="48"/>
    </row>
    <row r="219" spans="1:14" ht="20.100000000000001" customHeight="1" x14ac:dyDescent="0.25">
      <c r="A219" s="38"/>
      <c r="B219" s="63" t="s">
        <v>3027</v>
      </c>
      <c r="C219" s="41" t="s">
        <v>3058</v>
      </c>
      <c r="D219" s="48"/>
      <c r="E219" s="19"/>
      <c r="F219" s="19"/>
      <c r="G219" s="19"/>
      <c r="H219" s="41"/>
      <c r="I219" s="41">
        <v>1</v>
      </c>
      <c r="J219" s="41" t="s">
        <v>2302</v>
      </c>
      <c r="K219" s="41" t="s">
        <v>3063</v>
      </c>
      <c r="L219" s="41" t="s">
        <v>3026</v>
      </c>
      <c r="M219" s="41" t="s">
        <v>394</v>
      </c>
      <c r="N219" s="48"/>
    </row>
    <row r="220" spans="1:14" ht="20.100000000000001" customHeight="1" x14ac:dyDescent="0.25">
      <c r="A220" s="38"/>
      <c r="B220" s="63" t="s">
        <v>3027</v>
      </c>
      <c r="C220" s="41" t="s">
        <v>3059</v>
      </c>
      <c r="D220" s="48"/>
      <c r="E220" s="19"/>
      <c r="F220" s="19"/>
      <c r="G220" s="19"/>
      <c r="H220" s="41"/>
      <c r="I220" s="41">
        <v>1</v>
      </c>
      <c r="J220" s="41" t="s">
        <v>2302</v>
      </c>
      <c r="K220" s="41" t="s">
        <v>3063</v>
      </c>
      <c r="L220" s="41" t="s">
        <v>3026</v>
      </c>
      <c r="M220" s="41" t="s">
        <v>394</v>
      </c>
      <c r="N220" s="48"/>
    </row>
    <row r="221" spans="1:14" ht="20.100000000000001" customHeight="1" x14ac:dyDescent="0.25">
      <c r="A221" s="38"/>
      <c r="B221" s="63" t="s">
        <v>3025</v>
      </c>
      <c r="C221" s="41" t="s">
        <v>3060</v>
      </c>
      <c r="D221" s="48"/>
      <c r="E221" s="19"/>
      <c r="F221" s="19"/>
      <c r="G221" s="19"/>
      <c r="H221" s="41"/>
      <c r="I221" s="41">
        <v>1</v>
      </c>
      <c r="J221" s="41" t="s">
        <v>2303</v>
      </c>
      <c r="K221" s="41" t="s">
        <v>3063</v>
      </c>
      <c r="L221" s="41" t="s">
        <v>3024</v>
      </c>
      <c r="M221" s="41" t="s">
        <v>394</v>
      </c>
      <c r="N221" s="48"/>
    </row>
    <row r="222" spans="1:14" ht="20.100000000000001" customHeight="1" x14ac:dyDescent="0.25">
      <c r="A222" s="38"/>
      <c r="B222" s="63" t="s">
        <v>3025</v>
      </c>
      <c r="C222" s="41" t="s">
        <v>3061</v>
      </c>
      <c r="D222" s="48"/>
      <c r="E222" s="19"/>
      <c r="F222" s="19"/>
      <c r="G222" s="19"/>
      <c r="H222" s="41"/>
      <c r="I222" s="41">
        <v>1</v>
      </c>
      <c r="J222" s="41" t="s">
        <v>2303</v>
      </c>
      <c r="K222" s="41" t="s">
        <v>3063</v>
      </c>
      <c r="L222" s="41" t="s">
        <v>3024</v>
      </c>
      <c r="M222" s="41" t="s">
        <v>394</v>
      </c>
      <c r="N222" s="48"/>
    </row>
    <row r="223" spans="1:14" ht="20.100000000000001" customHeight="1" x14ac:dyDescent="0.25">
      <c r="A223" s="38"/>
      <c r="B223" s="63" t="s">
        <v>3025</v>
      </c>
      <c r="C223" s="41" t="s">
        <v>3062</v>
      </c>
      <c r="D223" s="48"/>
      <c r="E223" s="19"/>
      <c r="F223" s="19"/>
      <c r="G223" s="19"/>
      <c r="H223" s="41"/>
      <c r="I223" s="41">
        <v>1</v>
      </c>
      <c r="J223" s="41" t="s">
        <v>2303</v>
      </c>
      <c r="K223" s="41" t="s">
        <v>3063</v>
      </c>
      <c r="L223" s="41" t="s">
        <v>3024</v>
      </c>
      <c r="M223" s="41" t="s">
        <v>394</v>
      </c>
      <c r="N223" s="48"/>
    </row>
    <row r="224" spans="1:14" ht="20.100000000000001" customHeight="1" x14ac:dyDescent="0.25">
      <c r="A224" s="38"/>
      <c r="B224" s="61" t="s">
        <v>2921</v>
      </c>
      <c r="C224" s="41" t="s">
        <v>3065</v>
      </c>
      <c r="D224" s="48"/>
      <c r="E224" s="19"/>
      <c r="F224" s="19"/>
      <c r="G224" s="19"/>
      <c r="H224" s="41"/>
      <c r="I224" s="41">
        <v>1</v>
      </c>
      <c r="J224" s="41" t="s">
        <v>2299</v>
      </c>
      <c r="K224" s="41" t="s">
        <v>3064</v>
      </c>
      <c r="L224" s="41" t="s">
        <v>1022</v>
      </c>
      <c r="M224" s="41" t="s">
        <v>394</v>
      </c>
      <c r="N224" s="48"/>
    </row>
    <row r="225" spans="1:14" ht="20.100000000000001" customHeight="1" x14ac:dyDescent="0.25">
      <c r="A225" s="38"/>
      <c r="B225" s="61" t="s">
        <v>2921</v>
      </c>
      <c r="C225" s="41" t="s">
        <v>3066</v>
      </c>
      <c r="D225" s="48"/>
      <c r="E225" s="19"/>
      <c r="F225" s="19"/>
      <c r="G225" s="19"/>
      <c r="H225" s="41"/>
      <c r="I225" s="41">
        <v>1</v>
      </c>
      <c r="J225" s="41" t="s">
        <v>2299</v>
      </c>
      <c r="K225" s="41" t="s">
        <v>3064</v>
      </c>
      <c r="L225" s="41" t="s">
        <v>1022</v>
      </c>
      <c r="M225" s="41" t="s">
        <v>394</v>
      </c>
      <c r="N225" s="48"/>
    </row>
    <row r="226" spans="1:14" ht="20.100000000000001" customHeight="1" x14ac:dyDescent="0.25">
      <c r="A226" s="38"/>
      <c r="B226" s="61" t="s">
        <v>2921</v>
      </c>
      <c r="C226" s="41" t="s">
        <v>3067</v>
      </c>
      <c r="D226" s="48"/>
      <c r="E226" s="19"/>
      <c r="F226" s="19"/>
      <c r="G226" s="19"/>
      <c r="H226" s="41"/>
      <c r="I226" s="41">
        <v>1</v>
      </c>
      <c r="J226" s="41" t="s">
        <v>2299</v>
      </c>
      <c r="K226" s="41" t="s">
        <v>3064</v>
      </c>
      <c r="L226" s="41" t="s">
        <v>1022</v>
      </c>
      <c r="M226" s="41" t="s">
        <v>394</v>
      </c>
      <c r="N226" s="48"/>
    </row>
    <row r="227" spans="1:14" ht="20.100000000000001" customHeight="1" x14ac:dyDescent="0.25">
      <c r="A227" s="38"/>
      <c r="B227" s="61" t="s">
        <v>2921</v>
      </c>
      <c r="C227" s="41" t="s">
        <v>3068</v>
      </c>
      <c r="D227" s="48"/>
      <c r="E227" s="19"/>
      <c r="F227" s="19"/>
      <c r="G227" s="19"/>
      <c r="H227" s="41"/>
      <c r="I227" s="41">
        <v>1</v>
      </c>
      <c r="J227" s="41" t="s">
        <v>2299</v>
      </c>
      <c r="K227" s="41" t="s">
        <v>3064</v>
      </c>
      <c r="L227" s="41" t="s">
        <v>1022</v>
      </c>
      <c r="M227" s="41" t="s">
        <v>394</v>
      </c>
      <c r="N227" s="48"/>
    </row>
    <row r="228" spans="1:14" ht="20.100000000000001" customHeight="1" x14ac:dyDescent="0.25">
      <c r="A228" s="38"/>
      <c r="B228" s="63" t="s">
        <v>3027</v>
      </c>
      <c r="C228" s="41" t="s">
        <v>3069</v>
      </c>
      <c r="D228" s="48"/>
      <c r="E228" s="19"/>
      <c r="F228" s="19"/>
      <c r="G228" s="19"/>
      <c r="H228" s="41"/>
      <c r="I228" s="41">
        <v>1</v>
      </c>
      <c r="J228" s="41" t="s">
        <v>2302</v>
      </c>
      <c r="K228" s="41" t="s">
        <v>3064</v>
      </c>
      <c r="L228" s="41" t="s">
        <v>3026</v>
      </c>
      <c r="M228" s="41" t="s">
        <v>394</v>
      </c>
      <c r="N228" s="48"/>
    </row>
    <row r="229" spans="1:14" ht="20.100000000000001" customHeight="1" x14ac:dyDescent="0.25">
      <c r="A229" s="38"/>
      <c r="B229" s="63" t="s">
        <v>3027</v>
      </c>
      <c r="C229" s="41" t="s">
        <v>3070</v>
      </c>
      <c r="D229" s="48"/>
      <c r="E229" s="19"/>
      <c r="F229" s="19"/>
      <c r="G229" s="19"/>
      <c r="H229" s="41"/>
      <c r="I229" s="41">
        <v>1</v>
      </c>
      <c r="J229" s="41" t="s">
        <v>2302</v>
      </c>
      <c r="K229" s="41" t="s">
        <v>3064</v>
      </c>
      <c r="L229" s="41" t="s">
        <v>3026</v>
      </c>
      <c r="M229" s="41" t="s">
        <v>394</v>
      </c>
      <c r="N229" s="48"/>
    </row>
    <row r="230" spans="1:14" ht="20.100000000000001" customHeight="1" x14ac:dyDescent="0.25">
      <c r="A230" s="38"/>
      <c r="B230" s="63" t="s">
        <v>3027</v>
      </c>
      <c r="C230" s="41" t="s">
        <v>3071</v>
      </c>
      <c r="D230" s="48"/>
      <c r="E230" s="19"/>
      <c r="F230" s="19"/>
      <c r="G230" s="19"/>
      <c r="H230" s="41"/>
      <c r="I230" s="41">
        <v>1</v>
      </c>
      <c r="J230" s="41" t="s">
        <v>2302</v>
      </c>
      <c r="K230" s="41" t="s">
        <v>3064</v>
      </c>
      <c r="L230" s="41" t="s">
        <v>3026</v>
      </c>
      <c r="M230" s="41" t="s">
        <v>394</v>
      </c>
      <c r="N230" s="48"/>
    </row>
    <row r="231" spans="1:14" ht="20.100000000000001" customHeight="1" x14ac:dyDescent="0.25">
      <c r="A231" s="38"/>
      <c r="B231" s="63" t="s">
        <v>3027</v>
      </c>
      <c r="C231" s="41" t="s">
        <v>3072</v>
      </c>
      <c r="D231" s="48"/>
      <c r="E231" s="19"/>
      <c r="F231" s="19"/>
      <c r="G231" s="19"/>
      <c r="H231" s="41"/>
      <c r="I231" s="41">
        <v>1</v>
      </c>
      <c r="J231" s="41" t="s">
        <v>2302</v>
      </c>
      <c r="K231" s="41" t="s">
        <v>3064</v>
      </c>
      <c r="L231" s="41" t="s">
        <v>3026</v>
      </c>
      <c r="M231" s="41" t="s">
        <v>394</v>
      </c>
      <c r="N231" s="48"/>
    </row>
    <row r="232" spans="1:14" ht="20.100000000000001" customHeight="1" x14ac:dyDescent="0.25">
      <c r="A232" s="38"/>
      <c r="B232" s="63" t="s">
        <v>3025</v>
      </c>
      <c r="C232" s="41" t="s">
        <v>3073</v>
      </c>
      <c r="D232" s="48"/>
      <c r="E232" s="19"/>
      <c r="F232" s="19"/>
      <c r="G232" s="19"/>
      <c r="H232" s="41"/>
      <c r="I232" s="41">
        <v>1</v>
      </c>
      <c r="J232" s="41" t="s">
        <v>2303</v>
      </c>
      <c r="K232" s="41" t="s">
        <v>3064</v>
      </c>
      <c r="L232" s="41" t="s">
        <v>3024</v>
      </c>
      <c r="M232" s="41" t="s">
        <v>394</v>
      </c>
      <c r="N232" s="48"/>
    </row>
    <row r="233" spans="1:14" ht="20.100000000000001" customHeight="1" x14ac:dyDescent="0.25">
      <c r="A233" s="38"/>
      <c r="B233" s="63" t="s">
        <v>3025</v>
      </c>
      <c r="C233" s="41" t="s">
        <v>3074</v>
      </c>
      <c r="D233" s="48"/>
      <c r="E233" s="19"/>
      <c r="F233" s="19"/>
      <c r="G233" s="19"/>
      <c r="H233" s="41"/>
      <c r="I233" s="41">
        <v>1</v>
      </c>
      <c r="J233" s="41" t="s">
        <v>2303</v>
      </c>
      <c r="K233" s="41" t="s">
        <v>3064</v>
      </c>
      <c r="L233" s="41" t="s">
        <v>3024</v>
      </c>
      <c r="M233" s="41" t="s">
        <v>394</v>
      </c>
      <c r="N233" s="48"/>
    </row>
    <row r="234" spans="1:14" ht="20.100000000000001" customHeight="1" x14ac:dyDescent="0.25">
      <c r="A234" s="38"/>
      <c r="B234" s="63" t="s">
        <v>3025</v>
      </c>
      <c r="C234" s="41" t="s">
        <v>3075</v>
      </c>
      <c r="D234" s="48"/>
      <c r="E234" s="19"/>
      <c r="F234" s="19"/>
      <c r="G234" s="19"/>
      <c r="H234" s="41"/>
      <c r="I234" s="41">
        <v>1</v>
      </c>
      <c r="J234" s="41" t="s">
        <v>2303</v>
      </c>
      <c r="K234" s="41" t="s">
        <v>3064</v>
      </c>
      <c r="L234" s="41" t="s">
        <v>3024</v>
      </c>
      <c r="M234" s="41" t="s">
        <v>394</v>
      </c>
      <c r="N234" s="48"/>
    </row>
    <row r="235" spans="1:14" ht="20.100000000000001" customHeight="1" x14ac:dyDescent="0.25">
      <c r="A235" s="38"/>
      <c r="B235" s="63" t="s">
        <v>3087</v>
      </c>
      <c r="C235" s="41" t="s">
        <v>3162</v>
      </c>
      <c r="D235" s="48"/>
      <c r="E235" s="19"/>
      <c r="F235" s="19"/>
      <c r="G235" s="19"/>
      <c r="H235" s="41"/>
      <c r="I235" s="41">
        <v>1</v>
      </c>
      <c r="J235" s="41" t="s">
        <v>3091</v>
      </c>
      <c r="K235" s="41" t="s">
        <v>87</v>
      </c>
      <c r="L235" s="41" t="s">
        <v>3086</v>
      </c>
      <c r="M235" s="41" t="s">
        <v>529</v>
      </c>
      <c r="N235" s="48"/>
    </row>
    <row r="236" spans="1:14" ht="20.100000000000001" customHeight="1" x14ac:dyDescent="0.25">
      <c r="A236" s="38"/>
      <c r="B236" s="63" t="s">
        <v>3087</v>
      </c>
      <c r="C236" s="41" t="s">
        <v>3163</v>
      </c>
      <c r="D236" s="48"/>
      <c r="E236" s="19"/>
      <c r="F236" s="19"/>
      <c r="G236" s="19"/>
      <c r="H236" s="41"/>
      <c r="I236" s="41">
        <v>1</v>
      </c>
      <c r="J236" s="41" t="s">
        <v>3091</v>
      </c>
      <c r="K236" s="41" t="s">
        <v>87</v>
      </c>
      <c r="L236" s="41" t="s">
        <v>3086</v>
      </c>
      <c r="M236" s="41" t="s">
        <v>529</v>
      </c>
      <c r="N236" s="48"/>
    </row>
    <row r="237" spans="1:14" ht="20.100000000000001" customHeight="1" x14ac:dyDescent="0.25">
      <c r="A237" s="38"/>
      <c r="B237" s="63" t="s">
        <v>3087</v>
      </c>
      <c r="C237" s="41" t="s">
        <v>3164</v>
      </c>
      <c r="D237" s="48"/>
      <c r="E237" s="19"/>
      <c r="F237" s="19"/>
      <c r="G237" s="19"/>
      <c r="H237" s="41"/>
      <c r="I237" s="41">
        <v>1</v>
      </c>
      <c r="J237" s="41" t="s">
        <v>3091</v>
      </c>
      <c r="K237" s="41" t="s">
        <v>87</v>
      </c>
      <c r="L237" s="41" t="s">
        <v>3086</v>
      </c>
      <c r="M237" s="41" t="s">
        <v>529</v>
      </c>
      <c r="N237" s="48"/>
    </row>
    <row r="238" spans="1:14" ht="20.100000000000001" customHeight="1" x14ac:dyDescent="0.25">
      <c r="A238" s="38"/>
      <c r="B238" s="63" t="s">
        <v>3087</v>
      </c>
      <c r="C238" s="41" t="s">
        <v>3165</v>
      </c>
      <c r="D238" s="48"/>
      <c r="E238" s="19"/>
      <c r="F238" s="19"/>
      <c r="G238" s="19"/>
      <c r="H238" s="41"/>
      <c r="I238" s="41">
        <v>1</v>
      </c>
      <c r="J238" s="41" t="s">
        <v>3091</v>
      </c>
      <c r="K238" s="41" t="s">
        <v>87</v>
      </c>
      <c r="L238" s="41" t="s">
        <v>3086</v>
      </c>
      <c r="M238" s="41" t="s">
        <v>529</v>
      </c>
      <c r="N238" s="48"/>
    </row>
    <row r="239" spans="1:14" ht="20.100000000000001" customHeight="1" x14ac:dyDescent="0.25">
      <c r="A239" s="38"/>
      <c r="B239" s="63" t="s">
        <v>3087</v>
      </c>
      <c r="C239" s="41" t="s">
        <v>3166</v>
      </c>
      <c r="D239" s="48"/>
      <c r="E239" s="19"/>
      <c r="F239" s="19"/>
      <c r="G239" s="19"/>
      <c r="H239" s="41"/>
      <c r="I239" s="41">
        <v>1</v>
      </c>
      <c r="J239" s="41" t="s">
        <v>3091</v>
      </c>
      <c r="K239" s="41" t="s">
        <v>87</v>
      </c>
      <c r="L239" s="41" t="s">
        <v>3086</v>
      </c>
      <c r="M239" s="41" t="s">
        <v>529</v>
      </c>
      <c r="N239" s="48"/>
    </row>
    <row r="240" spans="1:14" ht="20.100000000000001" customHeight="1" x14ac:dyDescent="0.25">
      <c r="A240" s="38"/>
      <c r="B240" s="63" t="s">
        <v>3087</v>
      </c>
      <c r="C240" s="41" t="s">
        <v>3167</v>
      </c>
      <c r="D240" s="48"/>
      <c r="E240" s="19"/>
      <c r="F240" s="19"/>
      <c r="G240" s="19"/>
      <c r="H240" s="41"/>
      <c r="I240" s="41">
        <v>1</v>
      </c>
      <c r="J240" s="41" t="s">
        <v>3091</v>
      </c>
      <c r="K240" s="41" t="s">
        <v>87</v>
      </c>
      <c r="L240" s="41" t="s">
        <v>3086</v>
      </c>
      <c r="M240" s="41" t="s">
        <v>529</v>
      </c>
      <c r="N240" s="48"/>
    </row>
    <row r="241" spans="1:14" ht="20.100000000000001" customHeight="1" x14ac:dyDescent="0.25">
      <c r="A241" s="38"/>
      <c r="B241" s="63" t="s">
        <v>3089</v>
      </c>
      <c r="C241" s="41" t="s">
        <v>3168</v>
      </c>
      <c r="D241" s="48"/>
      <c r="E241" s="19"/>
      <c r="F241" s="19"/>
      <c r="G241" s="19"/>
      <c r="H241" s="41"/>
      <c r="I241" s="41">
        <v>1</v>
      </c>
      <c r="J241" s="41" t="s">
        <v>3092</v>
      </c>
      <c r="K241" s="41" t="s">
        <v>87</v>
      </c>
      <c r="L241" s="41" t="s">
        <v>3088</v>
      </c>
      <c r="M241" s="41" t="s">
        <v>529</v>
      </c>
      <c r="N241" s="48"/>
    </row>
    <row r="242" spans="1:14" ht="20.100000000000001" customHeight="1" x14ac:dyDescent="0.25">
      <c r="A242" s="38"/>
      <c r="B242" s="63" t="s">
        <v>3089</v>
      </c>
      <c r="C242" s="41" t="s">
        <v>3169</v>
      </c>
      <c r="D242" s="48"/>
      <c r="E242" s="19"/>
      <c r="F242" s="19"/>
      <c r="G242" s="19"/>
      <c r="H242" s="41"/>
      <c r="I242" s="41">
        <v>1</v>
      </c>
      <c r="J242" s="41" t="s">
        <v>3092</v>
      </c>
      <c r="K242" s="41" t="s">
        <v>87</v>
      </c>
      <c r="L242" s="41" t="s">
        <v>3088</v>
      </c>
      <c r="M242" s="41" t="s">
        <v>529</v>
      </c>
      <c r="N242" s="48"/>
    </row>
    <row r="243" spans="1:14" ht="20.100000000000001" customHeight="1" x14ac:dyDescent="0.25">
      <c r="A243" s="38"/>
      <c r="B243" s="63" t="s">
        <v>3089</v>
      </c>
      <c r="C243" s="41" t="s">
        <v>3170</v>
      </c>
      <c r="D243" s="48"/>
      <c r="E243" s="19"/>
      <c r="F243" s="19"/>
      <c r="G243" s="19"/>
      <c r="H243" s="41"/>
      <c r="I243" s="41">
        <v>1</v>
      </c>
      <c r="J243" s="41" t="s">
        <v>3092</v>
      </c>
      <c r="K243" s="41" t="s">
        <v>87</v>
      </c>
      <c r="L243" s="41" t="s">
        <v>3088</v>
      </c>
      <c r="M243" s="41" t="s">
        <v>529</v>
      </c>
      <c r="N243" s="48"/>
    </row>
    <row r="244" spans="1:14" ht="20.100000000000001" customHeight="1" x14ac:dyDescent="0.25">
      <c r="A244" s="38"/>
      <c r="B244" s="63" t="s">
        <v>3089</v>
      </c>
      <c r="C244" s="41" t="s">
        <v>3171</v>
      </c>
      <c r="D244" s="48"/>
      <c r="E244" s="19"/>
      <c r="F244" s="19"/>
      <c r="G244" s="19"/>
      <c r="H244" s="41"/>
      <c r="I244" s="41">
        <v>1</v>
      </c>
      <c r="J244" s="41" t="s">
        <v>3092</v>
      </c>
      <c r="K244" s="41" t="s">
        <v>87</v>
      </c>
      <c r="L244" s="41" t="s">
        <v>3088</v>
      </c>
      <c r="M244" s="41" t="s">
        <v>529</v>
      </c>
      <c r="N244" s="48"/>
    </row>
    <row r="245" spans="1:14" ht="20.100000000000001" customHeight="1" x14ac:dyDescent="0.25">
      <c r="A245" s="38"/>
      <c r="B245" s="63" t="s">
        <v>3089</v>
      </c>
      <c r="C245" s="41" t="s">
        <v>3172</v>
      </c>
      <c r="D245" s="48"/>
      <c r="E245" s="19"/>
      <c r="F245" s="19"/>
      <c r="G245" s="19"/>
      <c r="H245" s="41"/>
      <c r="I245" s="41">
        <v>1</v>
      </c>
      <c r="J245" s="41" t="s">
        <v>3092</v>
      </c>
      <c r="K245" s="41" t="s">
        <v>87</v>
      </c>
      <c r="L245" s="41" t="s">
        <v>3088</v>
      </c>
      <c r="M245" s="41" t="s">
        <v>529</v>
      </c>
      <c r="N245" s="48"/>
    </row>
    <row r="246" spans="1:14" ht="20.100000000000001" customHeight="1" x14ac:dyDescent="0.25">
      <c r="A246" s="38"/>
      <c r="B246" s="63" t="s">
        <v>3089</v>
      </c>
      <c r="C246" s="41" t="s">
        <v>3173</v>
      </c>
      <c r="D246" s="48"/>
      <c r="E246" s="19"/>
      <c r="F246" s="19"/>
      <c r="G246" s="19"/>
      <c r="H246" s="41"/>
      <c r="I246" s="41">
        <v>1</v>
      </c>
      <c r="J246" s="41" t="s">
        <v>3092</v>
      </c>
      <c r="K246" s="41" t="s">
        <v>87</v>
      </c>
      <c r="L246" s="41" t="s">
        <v>3088</v>
      </c>
      <c r="M246" s="41" t="s">
        <v>529</v>
      </c>
      <c r="N246" s="48"/>
    </row>
    <row r="247" spans="1:14" ht="20.100000000000001" customHeight="1" x14ac:dyDescent="0.25">
      <c r="A247" s="38"/>
      <c r="B247" s="63"/>
      <c r="C247" s="41" t="s">
        <v>3174</v>
      </c>
      <c r="D247" s="48"/>
      <c r="E247" s="19"/>
      <c r="F247" s="19"/>
      <c r="G247" s="19"/>
      <c r="H247" s="41"/>
      <c r="I247" s="41">
        <v>1</v>
      </c>
      <c r="J247" s="41" t="s">
        <v>3093</v>
      </c>
      <c r="K247" s="41" t="s">
        <v>87</v>
      </c>
      <c r="L247" s="41" t="s">
        <v>1015</v>
      </c>
      <c r="M247" s="41" t="s">
        <v>529</v>
      </c>
      <c r="N247" s="48"/>
    </row>
    <row r="248" spans="1:14" ht="20.100000000000001" customHeight="1" x14ac:dyDescent="0.25">
      <c r="A248" s="38"/>
      <c r="B248" s="63"/>
      <c r="C248" s="41" t="s">
        <v>3175</v>
      </c>
      <c r="D248" s="48"/>
      <c r="E248" s="19"/>
      <c r="F248" s="19"/>
      <c r="G248" s="19"/>
      <c r="H248" s="41"/>
      <c r="I248" s="41">
        <v>1</v>
      </c>
      <c r="J248" s="41" t="s">
        <v>3093</v>
      </c>
      <c r="K248" s="41" t="s">
        <v>87</v>
      </c>
      <c r="L248" s="41" t="s">
        <v>1015</v>
      </c>
      <c r="M248" s="41" t="s">
        <v>529</v>
      </c>
      <c r="N248" s="48"/>
    </row>
    <row r="249" spans="1:14" ht="20.100000000000001" customHeight="1" x14ac:dyDescent="0.25">
      <c r="A249" s="38"/>
      <c r="B249" s="63"/>
      <c r="C249" s="41" t="s">
        <v>3176</v>
      </c>
      <c r="D249" s="48"/>
      <c r="E249" s="19"/>
      <c r="F249" s="19"/>
      <c r="G249" s="19"/>
      <c r="H249" s="41"/>
      <c r="I249" s="41">
        <v>1</v>
      </c>
      <c r="J249" s="41" t="s">
        <v>3093</v>
      </c>
      <c r="K249" s="41" t="s">
        <v>87</v>
      </c>
      <c r="L249" s="41" t="s">
        <v>1015</v>
      </c>
      <c r="M249" s="41" t="s">
        <v>529</v>
      </c>
      <c r="N249" s="48"/>
    </row>
    <row r="250" spans="1:14" ht="20.100000000000001" customHeight="1" x14ac:dyDescent="0.25">
      <c r="A250" s="38"/>
      <c r="B250" s="63"/>
      <c r="C250" s="41" t="s">
        <v>3177</v>
      </c>
      <c r="D250" s="48"/>
      <c r="E250" s="19"/>
      <c r="F250" s="19"/>
      <c r="G250" s="19"/>
      <c r="H250" s="41"/>
      <c r="I250" s="41">
        <v>1</v>
      </c>
      <c r="J250" s="41" t="s">
        <v>3093</v>
      </c>
      <c r="K250" s="41" t="s">
        <v>87</v>
      </c>
      <c r="L250" s="41" t="s">
        <v>1015</v>
      </c>
      <c r="M250" s="41" t="s">
        <v>529</v>
      </c>
      <c r="N250" s="48"/>
    </row>
    <row r="251" spans="1:14" ht="20.100000000000001" customHeight="1" x14ac:dyDescent="0.25">
      <c r="A251" s="38"/>
      <c r="B251" s="63"/>
      <c r="C251" s="41" t="s">
        <v>3178</v>
      </c>
      <c r="D251" s="48"/>
      <c r="E251" s="19"/>
      <c r="F251" s="19"/>
      <c r="G251" s="19"/>
      <c r="H251" s="41"/>
      <c r="I251" s="41">
        <v>1</v>
      </c>
      <c r="J251" s="41" t="s">
        <v>3093</v>
      </c>
      <c r="K251" s="41" t="s">
        <v>87</v>
      </c>
      <c r="L251" s="41" t="s">
        <v>1015</v>
      </c>
      <c r="M251" s="41" t="s">
        <v>529</v>
      </c>
      <c r="N251" s="48"/>
    </row>
    <row r="252" spans="1:14" ht="20.100000000000001" customHeight="1" x14ac:dyDescent="0.25">
      <c r="A252" s="38"/>
      <c r="B252" s="63"/>
      <c r="C252" s="41" t="s">
        <v>3179</v>
      </c>
      <c r="D252" s="48"/>
      <c r="E252" s="19"/>
      <c r="F252" s="19"/>
      <c r="G252" s="19"/>
      <c r="H252" s="41"/>
      <c r="I252" s="41">
        <v>1</v>
      </c>
      <c r="J252" s="41" t="s">
        <v>3093</v>
      </c>
      <c r="K252" s="41" t="s">
        <v>87</v>
      </c>
      <c r="L252" s="41" t="s">
        <v>1015</v>
      </c>
      <c r="M252" s="41" t="s">
        <v>529</v>
      </c>
      <c r="N252" s="48"/>
    </row>
    <row r="253" spans="1:14" ht="20.100000000000001" customHeight="1" x14ac:dyDescent="0.25">
      <c r="A253" s="38"/>
      <c r="B253" s="63" t="s">
        <v>3090</v>
      </c>
      <c r="C253" s="41" t="s">
        <v>3180</v>
      </c>
      <c r="D253" s="48"/>
      <c r="E253" s="19"/>
      <c r="F253" s="19"/>
      <c r="G253" s="19"/>
      <c r="H253" s="41"/>
      <c r="I253" s="41">
        <v>1</v>
      </c>
      <c r="J253" s="41" t="s">
        <v>3094</v>
      </c>
      <c r="K253" s="41" t="s">
        <v>87</v>
      </c>
      <c r="L253" s="41" t="s">
        <v>3088</v>
      </c>
      <c r="M253" s="41" t="s">
        <v>529</v>
      </c>
      <c r="N253" s="48"/>
    </row>
    <row r="254" spans="1:14" ht="20.100000000000001" customHeight="1" x14ac:dyDescent="0.25">
      <c r="A254" s="38"/>
      <c r="B254" s="63" t="s">
        <v>3090</v>
      </c>
      <c r="C254" s="41" t="s">
        <v>3181</v>
      </c>
      <c r="D254" s="48"/>
      <c r="E254" s="19"/>
      <c r="F254" s="19"/>
      <c r="G254" s="19"/>
      <c r="H254" s="41"/>
      <c r="I254" s="41">
        <v>1</v>
      </c>
      <c r="J254" s="41" t="s">
        <v>3094</v>
      </c>
      <c r="K254" s="41" t="s">
        <v>87</v>
      </c>
      <c r="L254" s="41" t="s">
        <v>3088</v>
      </c>
      <c r="M254" s="41" t="s">
        <v>529</v>
      </c>
      <c r="N254" s="48"/>
    </row>
    <row r="255" spans="1:14" ht="20.100000000000001" customHeight="1" x14ac:dyDescent="0.25">
      <c r="A255" s="38"/>
      <c r="B255" s="63" t="s">
        <v>3090</v>
      </c>
      <c r="C255" s="41" t="s">
        <v>3182</v>
      </c>
      <c r="D255" s="48"/>
      <c r="E255" s="19"/>
      <c r="F255" s="19"/>
      <c r="G255" s="19"/>
      <c r="H255" s="41"/>
      <c r="I255" s="41">
        <v>1</v>
      </c>
      <c r="J255" s="41" t="s">
        <v>3094</v>
      </c>
      <c r="K255" s="41" t="s">
        <v>87</v>
      </c>
      <c r="L255" s="41" t="s">
        <v>3088</v>
      </c>
      <c r="M255" s="41" t="s">
        <v>529</v>
      </c>
      <c r="N255" s="48"/>
    </row>
    <row r="256" spans="1:14" ht="20.100000000000001" customHeight="1" x14ac:dyDescent="0.25">
      <c r="A256" s="38"/>
      <c r="B256" s="63" t="s">
        <v>3090</v>
      </c>
      <c r="C256" s="41" t="s">
        <v>3183</v>
      </c>
      <c r="D256" s="48"/>
      <c r="E256" s="19"/>
      <c r="F256" s="19"/>
      <c r="G256" s="19"/>
      <c r="H256" s="41"/>
      <c r="I256" s="41">
        <v>1</v>
      </c>
      <c r="J256" s="41" t="s">
        <v>3094</v>
      </c>
      <c r="K256" s="41" t="s">
        <v>87</v>
      </c>
      <c r="L256" s="41" t="s">
        <v>3088</v>
      </c>
      <c r="M256" s="41" t="s">
        <v>529</v>
      </c>
      <c r="N256" s="48"/>
    </row>
    <row r="257" spans="1:14" ht="20.100000000000001" customHeight="1" x14ac:dyDescent="0.25">
      <c r="A257" s="38"/>
      <c r="B257" s="63" t="s">
        <v>3090</v>
      </c>
      <c r="C257" s="41" t="s">
        <v>3184</v>
      </c>
      <c r="D257" s="48"/>
      <c r="E257" s="19"/>
      <c r="F257" s="19"/>
      <c r="G257" s="19"/>
      <c r="H257" s="41"/>
      <c r="I257" s="41">
        <v>1</v>
      </c>
      <c r="J257" s="41" t="s">
        <v>3094</v>
      </c>
      <c r="K257" s="41" t="s">
        <v>87</v>
      </c>
      <c r="L257" s="41" t="s">
        <v>3088</v>
      </c>
      <c r="M257" s="41" t="s">
        <v>529</v>
      </c>
      <c r="N257" s="48"/>
    </row>
    <row r="258" spans="1:14" ht="20.100000000000001" customHeight="1" x14ac:dyDescent="0.25">
      <c r="A258" s="38"/>
      <c r="B258" s="63" t="s">
        <v>3090</v>
      </c>
      <c r="C258" s="41" t="s">
        <v>3185</v>
      </c>
      <c r="D258" s="48"/>
      <c r="E258" s="19"/>
      <c r="F258" s="19"/>
      <c r="G258" s="19"/>
      <c r="H258" s="41"/>
      <c r="I258" s="41">
        <v>1</v>
      </c>
      <c r="J258" s="41" t="s">
        <v>3094</v>
      </c>
      <c r="K258" s="41" t="s">
        <v>87</v>
      </c>
      <c r="L258" s="41" t="s">
        <v>3088</v>
      </c>
      <c r="M258" s="41" t="s">
        <v>529</v>
      </c>
      <c r="N258" s="48"/>
    </row>
    <row r="259" spans="1:14" ht="20.100000000000001" customHeight="1" x14ac:dyDescent="0.25">
      <c r="A259" s="38"/>
      <c r="B259" s="63" t="s">
        <v>3087</v>
      </c>
      <c r="C259" s="41" t="s">
        <v>3186</v>
      </c>
      <c r="D259" s="48"/>
      <c r="E259" s="19"/>
      <c r="F259" s="19"/>
      <c r="G259" s="19"/>
      <c r="H259" s="41"/>
      <c r="I259" s="41">
        <v>1</v>
      </c>
      <c r="J259" s="41" t="s">
        <v>3091</v>
      </c>
      <c r="K259" s="41" t="s">
        <v>88</v>
      </c>
      <c r="L259" s="41" t="s">
        <v>3086</v>
      </c>
      <c r="M259" s="41" t="s">
        <v>529</v>
      </c>
      <c r="N259" s="48"/>
    </row>
    <row r="260" spans="1:14" ht="20.100000000000001" customHeight="1" x14ac:dyDescent="0.25">
      <c r="A260" s="38"/>
      <c r="B260" s="63" t="s">
        <v>3087</v>
      </c>
      <c r="C260" s="41" t="s">
        <v>3187</v>
      </c>
      <c r="D260" s="48"/>
      <c r="E260" s="19"/>
      <c r="F260" s="19"/>
      <c r="G260" s="19"/>
      <c r="H260" s="41"/>
      <c r="I260" s="41">
        <v>1</v>
      </c>
      <c r="J260" s="41" t="s">
        <v>3091</v>
      </c>
      <c r="K260" s="41" t="s">
        <v>88</v>
      </c>
      <c r="L260" s="41" t="s">
        <v>3086</v>
      </c>
      <c r="M260" s="41" t="s">
        <v>529</v>
      </c>
      <c r="N260" s="48"/>
    </row>
    <row r="261" spans="1:14" ht="20.100000000000001" customHeight="1" x14ac:dyDescent="0.25">
      <c r="A261" s="38"/>
      <c r="B261" s="63" t="s">
        <v>3087</v>
      </c>
      <c r="C261" s="41" t="s">
        <v>3188</v>
      </c>
      <c r="D261" s="48"/>
      <c r="E261" s="19"/>
      <c r="F261" s="19"/>
      <c r="G261" s="19"/>
      <c r="H261" s="41"/>
      <c r="I261" s="41">
        <v>1</v>
      </c>
      <c r="J261" s="41" t="s">
        <v>3091</v>
      </c>
      <c r="K261" s="41" t="s">
        <v>88</v>
      </c>
      <c r="L261" s="41" t="s">
        <v>3086</v>
      </c>
      <c r="M261" s="41" t="s">
        <v>529</v>
      </c>
      <c r="N261" s="48"/>
    </row>
    <row r="262" spans="1:14" ht="20.100000000000001" customHeight="1" x14ac:dyDescent="0.25">
      <c r="A262" s="38"/>
      <c r="B262" s="63" t="s">
        <v>3087</v>
      </c>
      <c r="C262" s="41" t="s">
        <v>3189</v>
      </c>
      <c r="D262" s="48"/>
      <c r="E262" s="19"/>
      <c r="F262" s="19"/>
      <c r="G262" s="19"/>
      <c r="H262" s="41"/>
      <c r="I262" s="41">
        <v>1</v>
      </c>
      <c r="J262" s="41" t="s">
        <v>3091</v>
      </c>
      <c r="K262" s="41" t="s">
        <v>88</v>
      </c>
      <c r="L262" s="41" t="s">
        <v>3086</v>
      </c>
      <c r="M262" s="41" t="s">
        <v>529</v>
      </c>
      <c r="N262" s="48"/>
    </row>
    <row r="263" spans="1:14" ht="20.100000000000001" customHeight="1" x14ac:dyDescent="0.25">
      <c r="A263" s="38"/>
      <c r="B263" s="63" t="s">
        <v>3089</v>
      </c>
      <c r="C263" s="41" t="s">
        <v>3190</v>
      </c>
      <c r="D263" s="48"/>
      <c r="E263" s="19"/>
      <c r="F263" s="19"/>
      <c r="G263" s="19"/>
      <c r="H263" s="41"/>
      <c r="I263" s="41">
        <v>1</v>
      </c>
      <c r="J263" s="41" t="s">
        <v>3092</v>
      </c>
      <c r="K263" s="41" t="s">
        <v>88</v>
      </c>
      <c r="L263" s="41" t="s">
        <v>3088</v>
      </c>
      <c r="M263" s="41" t="s">
        <v>529</v>
      </c>
      <c r="N263" s="48"/>
    </row>
    <row r="264" spans="1:14" ht="20.100000000000001" customHeight="1" x14ac:dyDescent="0.25">
      <c r="A264" s="38"/>
      <c r="B264" s="63" t="s">
        <v>3089</v>
      </c>
      <c r="C264" s="41" t="s">
        <v>3191</v>
      </c>
      <c r="D264" s="48"/>
      <c r="E264" s="19"/>
      <c r="F264" s="19"/>
      <c r="G264" s="19"/>
      <c r="H264" s="41"/>
      <c r="I264" s="41">
        <v>1</v>
      </c>
      <c r="J264" s="41" t="s">
        <v>3092</v>
      </c>
      <c r="K264" s="41" t="s">
        <v>88</v>
      </c>
      <c r="L264" s="41" t="s">
        <v>3088</v>
      </c>
      <c r="M264" s="41" t="s">
        <v>529</v>
      </c>
      <c r="N264" s="48"/>
    </row>
    <row r="265" spans="1:14" ht="20.100000000000001" customHeight="1" x14ac:dyDescent="0.25">
      <c r="A265" s="38"/>
      <c r="B265" s="63" t="s">
        <v>3089</v>
      </c>
      <c r="C265" s="41" t="s">
        <v>3192</v>
      </c>
      <c r="D265" s="48"/>
      <c r="E265" s="19"/>
      <c r="F265" s="19"/>
      <c r="G265" s="19"/>
      <c r="H265" s="41"/>
      <c r="I265" s="41">
        <v>1</v>
      </c>
      <c r="J265" s="41" t="s">
        <v>3092</v>
      </c>
      <c r="K265" s="41" t="s">
        <v>88</v>
      </c>
      <c r="L265" s="41" t="s">
        <v>3088</v>
      </c>
      <c r="M265" s="41" t="s">
        <v>529</v>
      </c>
      <c r="N265" s="48"/>
    </row>
    <row r="266" spans="1:14" ht="20.100000000000001" customHeight="1" x14ac:dyDescent="0.25">
      <c r="A266" s="38"/>
      <c r="B266" s="63" t="s">
        <v>3089</v>
      </c>
      <c r="C266" s="41" t="s">
        <v>3193</v>
      </c>
      <c r="D266" s="48"/>
      <c r="E266" s="19"/>
      <c r="F266" s="19"/>
      <c r="G266" s="19"/>
      <c r="H266" s="41"/>
      <c r="I266" s="41">
        <v>1</v>
      </c>
      <c r="J266" s="41" t="s">
        <v>3092</v>
      </c>
      <c r="K266" s="41" t="s">
        <v>88</v>
      </c>
      <c r="L266" s="41" t="s">
        <v>3088</v>
      </c>
      <c r="M266" s="41" t="s">
        <v>529</v>
      </c>
      <c r="N266" s="48"/>
    </row>
    <row r="267" spans="1:14" ht="20.100000000000001" customHeight="1" x14ac:dyDescent="0.25">
      <c r="A267" s="38"/>
      <c r="B267" s="63" t="s">
        <v>3087</v>
      </c>
      <c r="C267" s="41" t="s">
        <v>3194</v>
      </c>
      <c r="D267" s="48"/>
      <c r="E267" s="19"/>
      <c r="F267" s="19"/>
      <c r="G267" s="19"/>
      <c r="H267" s="41"/>
      <c r="I267" s="41">
        <v>1</v>
      </c>
      <c r="J267" s="41" t="s">
        <v>3091</v>
      </c>
      <c r="K267" s="41" t="s">
        <v>89</v>
      </c>
      <c r="L267" s="41" t="s">
        <v>3086</v>
      </c>
      <c r="M267" s="41" t="s">
        <v>529</v>
      </c>
      <c r="N267" s="48"/>
    </row>
    <row r="268" spans="1:14" ht="20.100000000000001" customHeight="1" x14ac:dyDescent="0.25">
      <c r="A268" s="38"/>
      <c r="B268" s="63" t="s">
        <v>3087</v>
      </c>
      <c r="C268" s="41" t="s">
        <v>3195</v>
      </c>
      <c r="D268" s="48"/>
      <c r="E268" s="19"/>
      <c r="F268" s="19"/>
      <c r="G268" s="19"/>
      <c r="H268" s="41"/>
      <c r="I268" s="41">
        <v>1</v>
      </c>
      <c r="J268" s="41" t="s">
        <v>3091</v>
      </c>
      <c r="K268" s="41" t="s">
        <v>89</v>
      </c>
      <c r="L268" s="41" t="s">
        <v>3086</v>
      </c>
      <c r="M268" s="41" t="s">
        <v>529</v>
      </c>
      <c r="N268" s="48"/>
    </row>
    <row r="269" spans="1:14" ht="20.100000000000001" customHeight="1" x14ac:dyDescent="0.25">
      <c r="A269" s="38"/>
      <c r="B269" s="63" t="s">
        <v>3087</v>
      </c>
      <c r="C269" s="41" t="s">
        <v>3196</v>
      </c>
      <c r="D269" s="48"/>
      <c r="E269" s="19"/>
      <c r="F269" s="19"/>
      <c r="G269" s="19"/>
      <c r="H269" s="41"/>
      <c r="I269" s="41">
        <v>1</v>
      </c>
      <c r="J269" s="41" t="s">
        <v>3091</v>
      </c>
      <c r="K269" s="41" t="s">
        <v>89</v>
      </c>
      <c r="L269" s="41" t="s">
        <v>3086</v>
      </c>
      <c r="M269" s="41" t="s">
        <v>529</v>
      </c>
      <c r="N269" s="48"/>
    </row>
    <row r="270" spans="1:14" ht="20.100000000000001" customHeight="1" x14ac:dyDescent="0.25">
      <c r="A270" s="38"/>
      <c r="B270" s="63" t="s">
        <v>3087</v>
      </c>
      <c r="C270" s="41" t="s">
        <v>3197</v>
      </c>
      <c r="D270" s="48"/>
      <c r="E270" s="19"/>
      <c r="F270" s="19"/>
      <c r="G270" s="19"/>
      <c r="H270" s="41"/>
      <c r="I270" s="41">
        <v>1</v>
      </c>
      <c r="J270" s="41" t="s">
        <v>3091</v>
      </c>
      <c r="K270" s="41" t="s">
        <v>89</v>
      </c>
      <c r="L270" s="41" t="s">
        <v>3086</v>
      </c>
      <c r="M270" s="41" t="s">
        <v>529</v>
      </c>
      <c r="N270" s="48"/>
    </row>
    <row r="271" spans="1:14" ht="20.100000000000001" customHeight="1" x14ac:dyDescent="0.25">
      <c r="A271" s="38"/>
      <c r="B271" s="63" t="s">
        <v>3087</v>
      </c>
      <c r="C271" s="41" t="s">
        <v>3198</v>
      </c>
      <c r="D271" s="48"/>
      <c r="E271" s="19"/>
      <c r="F271" s="19"/>
      <c r="G271" s="19"/>
      <c r="H271" s="41"/>
      <c r="I271" s="41">
        <v>1</v>
      </c>
      <c r="J271" s="41" t="s">
        <v>3091</v>
      </c>
      <c r="K271" s="41" t="s">
        <v>89</v>
      </c>
      <c r="L271" s="41" t="s">
        <v>3086</v>
      </c>
      <c r="M271" s="41" t="s">
        <v>529</v>
      </c>
      <c r="N271" s="48"/>
    </row>
    <row r="272" spans="1:14" ht="20.100000000000001" customHeight="1" x14ac:dyDescent="0.25">
      <c r="A272" s="38"/>
      <c r="B272" s="63" t="s">
        <v>3087</v>
      </c>
      <c r="C272" s="41" t="s">
        <v>3199</v>
      </c>
      <c r="D272" s="48"/>
      <c r="E272" s="19"/>
      <c r="F272" s="19"/>
      <c r="G272" s="19"/>
      <c r="H272" s="41"/>
      <c r="I272" s="41">
        <v>1</v>
      </c>
      <c r="J272" s="41" t="s">
        <v>3091</v>
      </c>
      <c r="K272" s="41" t="s">
        <v>89</v>
      </c>
      <c r="L272" s="41" t="s">
        <v>3086</v>
      </c>
      <c r="M272" s="41" t="s">
        <v>529</v>
      </c>
      <c r="N272" s="48"/>
    </row>
    <row r="273" spans="1:14" ht="20.100000000000001" customHeight="1" x14ac:dyDescent="0.25">
      <c r="A273" s="38"/>
      <c r="B273" s="63" t="s">
        <v>3089</v>
      </c>
      <c r="C273" s="41" t="s">
        <v>3200</v>
      </c>
      <c r="D273" s="48"/>
      <c r="E273" s="19"/>
      <c r="F273" s="19"/>
      <c r="G273" s="19"/>
      <c r="H273" s="41"/>
      <c r="I273" s="41">
        <v>1</v>
      </c>
      <c r="J273" s="41" t="s">
        <v>3092</v>
      </c>
      <c r="K273" s="41" t="s">
        <v>89</v>
      </c>
      <c r="L273" s="41" t="s">
        <v>3088</v>
      </c>
      <c r="M273" s="41" t="s">
        <v>529</v>
      </c>
      <c r="N273" s="48"/>
    </row>
    <row r="274" spans="1:14" ht="20.100000000000001" customHeight="1" x14ac:dyDescent="0.25">
      <c r="A274" s="38"/>
      <c r="B274" s="63" t="s">
        <v>3089</v>
      </c>
      <c r="C274" s="41" t="s">
        <v>3201</v>
      </c>
      <c r="D274" s="48"/>
      <c r="E274" s="19"/>
      <c r="F274" s="19"/>
      <c r="G274" s="19"/>
      <c r="H274" s="41"/>
      <c r="I274" s="41">
        <v>1</v>
      </c>
      <c r="J274" s="41" t="s">
        <v>3092</v>
      </c>
      <c r="K274" s="41" t="s">
        <v>89</v>
      </c>
      <c r="L274" s="41" t="s">
        <v>3088</v>
      </c>
      <c r="M274" s="41" t="s">
        <v>529</v>
      </c>
      <c r="N274" s="48"/>
    </row>
    <row r="275" spans="1:14" ht="20.100000000000001" customHeight="1" x14ac:dyDescent="0.25">
      <c r="A275" s="38"/>
      <c r="B275" s="63" t="s">
        <v>3089</v>
      </c>
      <c r="C275" s="41" t="s">
        <v>3202</v>
      </c>
      <c r="D275" s="48"/>
      <c r="E275" s="19"/>
      <c r="F275" s="19"/>
      <c r="G275" s="19"/>
      <c r="H275" s="41"/>
      <c r="I275" s="41">
        <v>1</v>
      </c>
      <c r="J275" s="41" t="s">
        <v>3092</v>
      </c>
      <c r="K275" s="41" t="s">
        <v>89</v>
      </c>
      <c r="L275" s="41" t="s">
        <v>3088</v>
      </c>
      <c r="M275" s="41" t="s">
        <v>529</v>
      </c>
      <c r="N275" s="48"/>
    </row>
    <row r="276" spans="1:14" ht="20.100000000000001" customHeight="1" x14ac:dyDescent="0.25">
      <c r="A276" s="38"/>
      <c r="B276" s="63" t="s">
        <v>3089</v>
      </c>
      <c r="C276" s="41" t="s">
        <v>3203</v>
      </c>
      <c r="D276" s="48"/>
      <c r="E276" s="19"/>
      <c r="F276" s="19"/>
      <c r="G276" s="19"/>
      <c r="H276" s="41"/>
      <c r="I276" s="41">
        <v>1</v>
      </c>
      <c r="J276" s="41" t="s">
        <v>3092</v>
      </c>
      <c r="K276" s="41" t="s">
        <v>89</v>
      </c>
      <c r="L276" s="41" t="s">
        <v>3088</v>
      </c>
      <c r="M276" s="41" t="s">
        <v>529</v>
      </c>
      <c r="N276" s="48"/>
    </row>
    <row r="277" spans="1:14" ht="20.100000000000001" customHeight="1" x14ac:dyDescent="0.25">
      <c r="A277" s="38"/>
      <c r="B277" s="63" t="s">
        <v>3089</v>
      </c>
      <c r="C277" s="41" t="s">
        <v>3204</v>
      </c>
      <c r="D277" s="48"/>
      <c r="E277" s="19"/>
      <c r="F277" s="19"/>
      <c r="G277" s="19"/>
      <c r="H277" s="41"/>
      <c r="I277" s="41">
        <v>1</v>
      </c>
      <c r="J277" s="41" t="s">
        <v>3092</v>
      </c>
      <c r="K277" s="41" t="s">
        <v>89</v>
      </c>
      <c r="L277" s="41" t="s">
        <v>3088</v>
      </c>
      <c r="M277" s="41" t="s">
        <v>529</v>
      </c>
      <c r="N277" s="48"/>
    </row>
    <row r="278" spans="1:14" ht="20.100000000000001" customHeight="1" x14ac:dyDescent="0.25">
      <c r="A278" s="38"/>
      <c r="B278" s="63" t="s">
        <v>3089</v>
      </c>
      <c r="C278" s="41" t="s">
        <v>3205</v>
      </c>
      <c r="D278" s="48"/>
      <c r="E278" s="19"/>
      <c r="F278" s="19"/>
      <c r="G278" s="19"/>
      <c r="H278" s="41"/>
      <c r="I278" s="41">
        <v>1</v>
      </c>
      <c r="J278" s="41" t="s">
        <v>3092</v>
      </c>
      <c r="K278" s="41" t="s">
        <v>89</v>
      </c>
      <c r="L278" s="41" t="s">
        <v>3088</v>
      </c>
      <c r="M278" s="41" t="s">
        <v>529</v>
      </c>
      <c r="N278" s="48"/>
    </row>
    <row r="279" spans="1:14" ht="20.100000000000001" customHeight="1" x14ac:dyDescent="0.25">
      <c r="A279" s="38"/>
      <c r="B279" s="63" t="s">
        <v>3087</v>
      </c>
      <c r="C279" s="41" t="s">
        <v>3206</v>
      </c>
      <c r="D279" s="48"/>
      <c r="E279" s="19"/>
      <c r="F279" s="19"/>
      <c r="G279" s="19"/>
      <c r="H279" s="41"/>
      <c r="I279" s="41">
        <v>1</v>
      </c>
      <c r="J279" s="41" t="s">
        <v>3091</v>
      </c>
      <c r="K279" s="41" t="s">
        <v>90</v>
      </c>
      <c r="L279" s="41" t="s">
        <v>3086</v>
      </c>
      <c r="M279" s="41" t="s">
        <v>529</v>
      </c>
      <c r="N279" s="48"/>
    </row>
    <row r="280" spans="1:14" ht="20.100000000000001" customHeight="1" x14ac:dyDescent="0.25">
      <c r="A280" s="38"/>
      <c r="B280" s="63" t="s">
        <v>3087</v>
      </c>
      <c r="C280" s="41" t="s">
        <v>3207</v>
      </c>
      <c r="D280" s="48"/>
      <c r="E280" s="19"/>
      <c r="F280" s="19"/>
      <c r="G280" s="19"/>
      <c r="H280" s="41"/>
      <c r="I280" s="41">
        <v>1</v>
      </c>
      <c r="J280" s="41" t="s">
        <v>3091</v>
      </c>
      <c r="K280" s="41" t="s">
        <v>90</v>
      </c>
      <c r="L280" s="41" t="s">
        <v>3086</v>
      </c>
      <c r="M280" s="41" t="s">
        <v>529</v>
      </c>
      <c r="N280" s="48"/>
    </row>
    <row r="281" spans="1:14" ht="20.100000000000001" customHeight="1" x14ac:dyDescent="0.25">
      <c r="A281" s="38"/>
      <c r="B281" s="63" t="s">
        <v>3087</v>
      </c>
      <c r="C281" s="41" t="s">
        <v>3208</v>
      </c>
      <c r="D281" s="48"/>
      <c r="E281" s="19"/>
      <c r="F281" s="19"/>
      <c r="G281" s="19"/>
      <c r="H281" s="41"/>
      <c r="I281" s="41">
        <v>1</v>
      </c>
      <c r="J281" s="41" t="s">
        <v>3091</v>
      </c>
      <c r="K281" s="41" t="s">
        <v>90</v>
      </c>
      <c r="L281" s="41" t="s">
        <v>3086</v>
      </c>
      <c r="M281" s="41" t="s">
        <v>529</v>
      </c>
      <c r="N281" s="48"/>
    </row>
    <row r="282" spans="1:14" ht="20.100000000000001" customHeight="1" x14ac:dyDescent="0.25">
      <c r="A282" s="38"/>
      <c r="B282" s="63" t="s">
        <v>3087</v>
      </c>
      <c r="C282" s="41" t="s">
        <v>3209</v>
      </c>
      <c r="D282" s="48"/>
      <c r="E282" s="19"/>
      <c r="F282" s="19"/>
      <c r="G282" s="19"/>
      <c r="H282" s="41"/>
      <c r="I282" s="41">
        <v>1</v>
      </c>
      <c r="J282" s="41" t="s">
        <v>3091</v>
      </c>
      <c r="K282" s="41" t="s">
        <v>90</v>
      </c>
      <c r="L282" s="41" t="s">
        <v>3086</v>
      </c>
      <c r="M282" s="41" t="s">
        <v>529</v>
      </c>
      <c r="N282" s="48"/>
    </row>
    <row r="283" spans="1:14" ht="20.100000000000001" customHeight="1" x14ac:dyDescent="0.25">
      <c r="A283" s="38"/>
      <c r="B283" s="63" t="s">
        <v>3089</v>
      </c>
      <c r="C283" s="41" t="s">
        <v>3210</v>
      </c>
      <c r="D283" s="48"/>
      <c r="E283" s="19"/>
      <c r="F283" s="19"/>
      <c r="G283" s="19"/>
      <c r="H283" s="41"/>
      <c r="I283" s="41">
        <v>1</v>
      </c>
      <c r="J283" s="41" t="s">
        <v>3092</v>
      </c>
      <c r="K283" s="41" t="s">
        <v>90</v>
      </c>
      <c r="L283" s="41" t="s">
        <v>3088</v>
      </c>
      <c r="M283" s="41" t="s">
        <v>529</v>
      </c>
      <c r="N283" s="48"/>
    </row>
    <row r="284" spans="1:14" ht="20.100000000000001" customHeight="1" x14ac:dyDescent="0.25">
      <c r="A284" s="38"/>
      <c r="B284" s="63" t="s">
        <v>3089</v>
      </c>
      <c r="C284" s="41" t="s">
        <v>3211</v>
      </c>
      <c r="D284" s="48"/>
      <c r="E284" s="19"/>
      <c r="F284" s="19"/>
      <c r="G284" s="19"/>
      <c r="H284" s="41"/>
      <c r="I284" s="41">
        <v>1</v>
      </c>
      <c r="J284" s="41" t="s">
        <v>3092</v>
      </c>
      <c r="K284" s="41" t="s">
        <v>90</v>
      </c>
      <c r="L284" s="41" t="s">
        <v>3088</v>
      </c>
      <c r="M284" s="41" t="s">
        <v>529</v>
      </c>
      <c r="N284" s="48"/>
    </row>
    <row r="285" spans="1:14" ht="20.100000000000001" customHeight="1" x14ac:dyDescent="0.25">
      <c r="A285" s="38"/>
      <c r="B285" s="63" t="s">
        <v>3089</v>
      </c>
      <c r="C285" s="41" t="s">
        <v>3212</v>
      </c>
      <c r="D285" s="48"/>
      <c r="E285" s="19"/>
      <c r="F285" s="19"/>
      <c r="G285" s="19"/>
      <c r="H285" s="41"/>
      <c r="I285" s="41">
        <v>1</v>
      </c>
      <c r="J285" s="41" t="s">
        <v>3092</v>
      </c>
      <c r="K285" s="41" t="s">
        <v>90</v>
      </c>
      <c r="L285" s="41" t="s">
        <v>3088</v>
      </c>
      <c r="M285" s="41" t="s">
        <v>529</v>
      </c>
      <c r="N285" s="48"/>
    </row>
    <row r="286" spans="1:14" ht="20.100000000000001" customHeight="1" x14ac:dyDescent="0.25">
      <c r="A286" s="38"/>
      <c r="B286" s="63" t="s">
        <v>3089</v>
      </c>
      <c r="C286" s="41" t="s">
        <v>3213</v>
      </c>
      <c r="D286" s="48"/>
      <c r="E286" s="19"/>
      <c r="F286" s="19"/>
      <c r="G286" s="19"/>
      <c r="H286" s="41"/>
      <c r="I286" s="41">
        <v>1</v>
      </c>
      <c r="J286" s="41" t="s">
        <v>3092</v>
      </c>
      <c r="K286" s="41" t="s">
        <v>90</v>
      </c>
      <c r="L286" s="41" t="s">
        <v>3088</v>
      </c>
      <c r="M286" s="41" t="s">
        <v>529</v>
      </c>
      <c r="N286" s="48"/>
    </row>
    <row r="287" spans="1:14" ht="20.100000000000001" customHeight="1" x14ac:dyDescent="0.25">
      <c r="A287" s="38"/>
      <c r="B287" s="63"/>
      <c r="C287" s="41" t="s">
        <v>3214</v>
      </c>
      <c r="D287" s="48"/>
      <c r="E287" s="19"/>
      <c r="F287" s="19"/>
      <c r="G287" s="19"/>
      <c r="H287" s="41"/>
      <c r="I287" s="41">
        <v>1</v>
      </c>
      <c r="J287" s="41" t="s">
        <v>2304</v>
      </c>
      <c r="K287" s="41" t="s">
        <v>90</v>
      </c>
      <c r="L287" s="41"/>
      <c r="M287" s="41" t="s">
        <v>529</v>
      </c>
      <c r="N287" s="48"/>
    </row>
    <row r="288" spans="1:14" ht="20.100000000000001" customHeight="1" x14ac:dyDescent="0.25">
      <c r="A288" s="38"/>
      <c r="B288" s="63" t="s">
        <v>3087</v>
      </c>
      <c r="C288" s="41" t="s">
        <v>3215</v>
      </c>
      <c r="D288" s="48"/>
      <c r="E288" s="19"/>
      <c r="F288" s="19"/>
      <c r="G288" s="19"/>
      <c r="H288" s="41"/>
      <c r="I288" s="41">
        <v>1</v>
      </c>
      <c r="J288" s="41" t="s">
        <v>3091</v>
      </c>
      <c r="K288" s="41" t="s">
        <v>91</v>
      </c>
      <c r="L288" s="41" t="s">
        <v>3086</v>
      </c>
      <c r="M288" s="41" t="s">
        <v>529</v>
      </c>
      <c r="N288" s="48"/>
    </row>
    <row r="289" spans="1:14" ht="20.100000000000001" customHeight="1" x14ac:dyDescent="0.25">
      <c r="A289" s="38"/>
      <c r="B289" s="63" t="s">
        <v>3087</v>
      </c>
      <c r="C289" s="41" t="s">
        <v>3216</v>
      </c>
      <c r="D289" s="48"/>
      <c r="E289" s="19"/>
      <c r="F289" s="19"/>
      <c r="G289" s="19"/>
      <c r="H289" s="41"/>
      <c r="I289" s="41">
        <v>1</v>
      </c>
      <c r="J289" s="41" t="s">
        <v>3091</v>
      </c>
      <c r="K289" s="41" t="s">
        <v>91</v>
      </c>
      <c r="L289" s="41" t="s">
        <v>3086</v>
      </c>
      <c r="M289" s="41" t="s">
        <v>529</v>
      </c>
      <c r="N289" s="48"/>
    </row>
    <row r="290" spans="1:14" ht="20.100000000000001" customHeight="1" x14ac:dyDescent="0.25">
      <c r="A290" s="38"/>
      <c r="B290" s="63" t="s">
        <v>3087</v>
      </c>
      <c r="C290" s="41" t="s">
        <v>3217</v>
      </c>
      <c r="D290" s="48"/>
      <c r="E290" s="19"/>
      <c r="F290" s="19"/>
      <c r="G290" s="19"/>
      <c r="H290" s="41"/>
      <c r="I290" s="41">
        <v>1</v>
      </c>
      <c r="J290" s="41" t="s">
        <v>3091</v>
      </c>
      <c r="K290" s="41" t="s">
        <v>91</v>
      </c>
      <c r="L290" s="41" t="s">
        <v>3086</v>
      </c>
      <c r="M290" s="41" t="s">
        <v>529</v>
      </c>
      <c r="N290" s="48"/>
    </row>
    <row r="291" spans="1:14" ht="20.100000000000001" customHeight="1" x14ac:dyDescent="0.25">
      <c r="A291" s="38"/>
      <c r="B291" s="63" t="s">
        <v>3087</v>
      </c>
      <c r="C291" s="41" t="s">
        <v>3218</v>
      </c>
      <c r="D291" s="48"/>
      <c r="E291" s="19"/>
      <c r="F291" s="19"/>
      <c r="G291" s="19"/>
      <c r="H291" s="41"/>
      <c r="I291" s="41">
        <v>1</v>
      </c>
      <c r="J291" s="41" t="s">
        <v>3091</v>
      </c>
      <c r="K291" s="41" t="s">
        <v>91</v>
      </c>
      <c r="L291" s="41" t="s">
        <v>3086</v>
      </c>
      <c r="M291" s="41" t="s">
        <v>529</v>
      </c>
      <c r="N291" s="48"/>
    </row>
    <row r="292" spans="1:14" ht="20.100000000000001" customHeight="1" x14ac:dyDescent="0.25">
      <c r="A292" s="38"/>
      <c r="B292" s="63" t="s">
        <v>3087</v>
      </c>
      <c r="C292" s="41" t="s">
        <v>3219</v>
      </c>
      <c r="D292" s="48"/>
      <c r="E292" s="19"/>
      <c r="F292" s="19"/>
      <c r="G292" s="19"/>
      <c r="H292" s="41"/>
      <c r="I292" s="41">
        <v>1</v>
      </c>
      <c r="J292" s="41" t="s">
        <v>3091</v>
      </c>
      <c r="K292" s="41" t="s">
        <v>91</v>
      </c>
      <c r="L292" s="41" t="s">
        <v>3086</v>
      </c>
      <c r="M292" s="41" t="s">
        <v>529</v>
      </c>
      <c r="N292" s="48"/>
    </row>
    <row r="293" spans="1:14" ht="20.100000000000001" customHeight="1" x14ac:dyDescent="0.25">
      <c r="A293" s="38"/>
      <c r="B293" s="63" t="s">
        <v>3087</v>
      </c>
      <c r="C293" s="41" t="s">
        <v>3220</v>
      </c>
      <c r="D293" s="48"/>
      <c r="E293" s="19"/>
      <c r="F293" s="19"/>
      <c r="G293" s="19"/>
      <c r="H293" s="41"/>
      <c r="I293" s="41">
        <v>1</v>
      </c>
      <c r="J293" s="41" t="s">
        <v>3091</v>
      </c>
      <c r="K293" s="41" t="s">
        <v>91</v>
      </c>
      <c r="L293" s="41" t="s">
        <v>3086</v>
      </c>
      <c r="M293" s="41" t="s">
        <v>529</v>
      </c>
      <c r="N293" s="48"/>
    </row>
    <row r="294" spans="1:14" ht="20.100000000000001" customHeight="1" x14ac:dyDescent="0.25">
      <c r="A294" s="38"/>
      <c r="B294" s="63" t="s">
        <v>3089</v>
      </c>
      <c r="C294" s="41" t="s">
        <v>3221</v>
      </c>
      <c r="D294" s="48"/>
      <c r="E294" s="19"/>
      <c r="F294" s="19"/>
      <c r="G294" s="19"/>
      <c r="H294" s="41"/>
      <c r="I294" s="41">
        <v>1</v>
      </c>
      <c r="J294" s="41" t="s">
        <v>3092</v>
      </c>
      <c r="K294" s="41" t="s">
        <v>91</v>
      </c>
      <c r="L294" s="41" t="s">
        <v>3088</v>
      </c>
      <c r="M294" s="41" t="s">
        <v>529</v>
      </c>
      <c r="N294" s="48"/>
    </row>
    <row r="295" spans="1:14" ht="20.100000000000001" customHeight="1" x14ac:dyDescent="0.25">
      <c r="A295" s="38"/>
      <c r="B295" s="63" t="s">
        <v>3089</v>
      </c>
      <c r="C295" s="41" t="s">
        <v>3222</v>
      </c>
      <c r="D295" s="48"/>
      <c r="E295" s="19"/>
      <c r="F295" s="19"/>
      <c r="G295" s="19"/>
      <c r="H295" s="41"/>
      <c r="I295" s="41">
        <v>1</v>
      </c>
      <c r="J295" s="41" t="s">
        <v>3092</v>
      </c>
      <c r="K295" s="41" t="s">
        <v>91</v>
      </c>
      <c r="L295" s="41" t="s">
        <v>3088</v>
      </c>
      <c r="M295" s="41" t="s">
        <v>529</v>
      </c>
      <c r="N295" s="48"/>
    </row>
    <row r="296" spans="1:14" ht="20.100000000000001" customHeight="1" x14ac:dyDescent="0.25">
      <c r="A296" s="38"/>
      <c r="B296" s="63" t="s">
        <v>3089</v>
      </c>
      <c r="C296" s="41" t="s">
        <v>3223</v>
      </c>
      <c r="D296" s="48"/>
      <c r="E296" s="19"/>
      <c r="F296" s="19"/>
      <c r="G296" s="19"/>
      <c r="H296" s="41"/>
      <c r="I296" s="41">
        <v>1</v>
      </c>
      <c r="J296" s="41" t="s">
        <v>3092</v>
      </c>
      <c r="K296" s="41" t="s">
        <v>91</v>
      </c>
      <c r="L296" s="41" t="s">
        <v>3088</v>
      </c>
      <c r="M296" s="41" t="s">
        <v>529</v>
      </c>
      <c r="N296" s="48"/>
    </row>
    <row r="297" spans="1:14" ht="20.100000000000001" customHeight="1" x14ac:dyDescent="0.25">
      <c r="A297" s="38"/>
      <c r="B297" s="63" t="s">
        <v>3089</v>
      </c>
      <c r="C297" s="41" t="s">
        <v>3224</v>
      </c>
      <c r="D297" s="48"/>
      <c r="E297" s="19"/>
      <c r="F297" s="19"/>
      <c r="G297" s="19"/>
      <c r="H297" s="41"/>
      <c r="I297" s="41">
        <v>1</v>
      </c>
      <c r="J297" s="41" t="s">
        <v>3092</v>
      </c>
      <c r="K297" s="41" t="s">
        <v>91</v>
      </c>
      <c r="L297" s="41" t="s">
        <v>3088</v>
      </c>
      <c r="M297" s="41" t="s">
        <v>529</v>
      </c>
      <c r="N297" s="48"/>
    </row>
    <row r="298" spans="1:14" ht="20.100000000000001" customHeight="1" x14ac:dyDescent="0.25">
      <c r="A298" s="38"/>
      <c r="B298" s="63" t="s">
        <v>3089</v>
      </c>
      <c r="C298" s="41" t="s">
        <v>3225</v>
      </c>
      <c r="D298" s="48"/>
      <c r="E298" s="19"/>
      <c r="F298" s="19"/>
      <c r="G298" s="19"/>
      <c r="H298" s="41"/>
      <c r="I298" s="41">
        <v>1</v>
      </c>
      <c r="J298" s="41" t="s">
        <v>3092</v>
      </c>
      <c r="K298" s="41" t="s">
        <v>91</v>
      </c>
      <c r="L298" s="41" t="s">
        <v>3088</v>
      </c>
      <c r="M298" s="41" t="s">
        <v>529</v>
      </c>
      <c r="N298" s="48"/>
    </row>
    <row r="299" spans="1:14" ht="20.100000000000001" customHeight="1" x14ac:dyDescent="0.25">
      <c r="A299" s="38"/>
      <c r="B299" s="63" t="s">
        <v>3089</v>
      </c>
      <c r="C299" s="41" t="s">
        <v>3226</v>
      </c>
      <c r="D299" s="48"/>
      <c r="E299" s="19"/>
      <c r="F299" s="19"/>
      <c r="G299" s="19"/>
      <c r="H299" s="41"/>
      <c r="I299" s="41">
        <v>1</v>
      </c>
      <c r="J299" s="41" t="s">
        <v>3092</v>
      </c>
      <c r="K299" s="41" t="s">
        <v>91</v>
      </c>
      <c r="L299" s="41" t="s">
        <v>3088</v>
      </c>
      <c r="M299" s="41" t="s">
        <v>529</v>
      </c>
      <c r="N299" s="48"/>
    </row>
    <row r="300" spans="1:14" ht="20.100000000000001" customHeight="1" x14ac:dyDescent="0.25">
      <c r="A300" s="38"/>
      <c r="B300" s="63"/>
      <c r="C300" s="41" t="s">
        <v>3227</v>
      </c>
      <c r="D300" s="48"/>
      <c r="E300" s="19"/>
      <c r="F300" s="19"/>
      <c r="G300" s="19"/>
      <c r="H300" s="41"/>
      <c r="I300" s="41">
        <v>1</v>
      </c>
      <c r="J300" s="41" t="s">
        <v>2304</v>
      </c>
      <c r="K300" s="41" t="s">
        <v>91</v>
      </c>
      <c r="L300" s="41"/>
      <c r="M300" s="41" t="s">
        <v>529</v>
      </c>
      <c r="N300" s="48"/>
    </row>
    <row r="301" spans="1:14" ht="20.100000000000001" customHeight="1" x14ac:dyDescent="0.25">
      <c r="A301" s="38"/>
      <c r="B301" s="63" t="s">
        <v>3087</v>
      </c>
      <c r="C301" s="41" t="s">
        <v>3228</v>
      </c>
      <c r="D301" s="48"/>
      <c r="E301" s="19"/>
      <c r="F301" s="19"/>
      <c r="G301" s="19"/>
      <c r="H301" s="41"/>
      <c r="I301" s="41">
        <v>1</v>
      </c>
      <c r="J301" s="41" t="s">
        <v>3091</v>
      </c>
      <c r="K301" s="41" t="s">
        <v>92</v>
      </c>
      <c r="L301" s="41" t="s">
        <v>3086</v>
      </c>
      <c r="M301" s="41" t="s">
        <v>529</v>
      </c>
      <c r="N301" s="48"/>
    </row>
    <row r="302" spans="1:14" ht="20.100000000000001" customHeight="1" x14ac:dyDescent="0.25">
      <c r="A302" s="38"/>
      <c r="B302" s="63" t="s">
        <v>3087</v>
      </c>
      <c r="C302" s="41" t="s">
        <v>3229</v>
      </c>
      <c r="D302" s="48"/>
      <c r="E302" s="19"/>
      <c r="F302" s="19"/>
      <c r="G302" s="19"/>
      <c r="H302" s="41"/>
      <c r="I302" s="41">
        <v>1</v>
      </c>
      <c r="J302" s="41" t="s">
        <v>3091</v>
      </c>
      <c r="K302" s="41" t="s">
        <v>92</v>
      </c>
      <c r="L302" s="41" t="s">
        <v>3086</v>
      </c>
      <c r="M302" s="41" t="s">
        <v>529</v>
      </c>
      <c r="N302" s="48"/>
    </row>
    <row r="303" spans="1:14" ht="20.100000000000001" customHeight="1" x14ac:dyDescent="0.25">
      <c r="A303" s="38"/>
      <c r="B303" s="63" t="s">
        <v>3087</v>
      </c>
      <c r="C303" s="41" t="s">
        <v>3230</v>
      </c>
      <c r="D303" s="48"/>
      <c r="E303" s="19"/>
      <c r="F303" s="19"/>
      <c r="G303" s="19"/>
      <c r="H303" s="41"/>
      <c r="I303" s="41">
        <v>1</v>
      </c>
      <c r="J303" s="41" t="s">
        <v>3091</v>
      </c>
      <c r="K303" s="41" t="s">
        <v>92</v>
      </c>
      <c r="L303" s="41" t="s">
        <v>3086</v>
      </c>
      <c r="M303" s="41" t="s">
        <v>529</v>
      </c>
      <c r="N303" s="48"/>
    </row>
    <row r="304" spans="1:14" ht="20.100000000000001" customHeight="1" x14ac:dyDescent="0.25">
      <c r="A304" s="38"/>
      <c r="B304" s="63" t="s">
        <v>3087</v>
      </c>
      <c r="C304" s="41" t="s">
        <v>3231</v>
      </c>
      <c r="D304" s="48"/>
      <c r="E304" s="19"/>
      <c r="F304" s="19"/>
      <c r="G304" s="19"/>
      <c r="H304" s="41"/>
      <c r="I304" s="41">
        <v>1</v>
      </c>
      <c r="J304" s="41" t="s">
        <v>3091</v>
      </c>
      <c r="K304" s="41" t="s">
        <v>92</v>
      </c>
      <c r="L304" s="41" t="s">
        <v>3086</v>
      </c>
      <c r="M304" s="41" t="s">
        <v>529</v>
      </c>
      <c r="N304" s="48"/>
    </row>
    <row r="305" spans="1:14" ht="20.100000000000001" customHeight="1" x14ac:dyDescent="0.25">
      <c r="A305" s="38"/>
      <c r="B305" s="63" t="s">
        <v>3089</v>
      </c>
      <c r="C305" s="41" t="s">
        <v>3232</v>
      </c>
      <c r="D305" s="48"/>
      <c r="E305" s="19"/>
      <c r="F305" s="19"/>
      <c r="G305" s="19"/>
      <c r="H305" s="41"/>
      <c r="I305" s="41">
        <v>1</v>
      </c>
      <c r="J305" s="41" t="s">
        <v>3092</v>
      </c>
      <c r="K305" s="41" t="s">
        <v>92</v>
      </c>
      <c r="L305" s="41" t="s">
        <v>3088</v>
      </c>
      <c r="M305" s="41" t="s">
        <v>529</v>
      </c>
      <c r="N305" s="48"/>
    </row>
    <row r="306" spans="1:14" ht="20.100000000000001" customHeight="1" x14ac:dyDescent="0.25">
      <c r="A306" s="38"/>
      <c r="B306" s="63" t="s">
        <v>3089</v>
      </c>
      <c r="C306" s="41" t="s">
        <v>3233</v>
      </c>
      <c r="D306" s="48"/>
      <c r="E306" s="19"/>
      <c r="F306" s="19"/>
      <c r="G306" s="19"/>
      <c r="H306" s="41"/>
      <c r="I306" s="41">
        <v>1</v>
      </c>
      <c r="J306" s="41" t="s">
        <v>3092</v>
      </c>
      <c r="K306" s="41" t="s">
        <v>92</v>
      </c>
      <c r="L306" s="41" t="s">
        <v>3088</v>
      </c>
      <c r="M306" s="41" t="s">
        <v>529</v>
      </c>
      <c r="N306" s="48"/>
    </row>
    <row r="307" spans="1:14" ht="20.100000000000001" customHeight="1" x14ac:dyDescent="0.25">
      <c r="A307" s="38"/>
      <c r="B307" s="63" t="s">
        <v>3089</v>
      </c>
      <c r="C307" s="41" t="s">
        <v>3234</v>
      </c>
      <c r="D307" s="48"/>
      <c r="E307" s="19"/>
      <c r="F307" s="19"/>
      <c r="G307" s="19"/>
      <c r="H307" s="41"/>
      <c r="I307" s="41">
        <v>1</v>
      </c>
      <c r="J307" s="41" t="s">
        <v>3092</v>
      </c>
      <c r="K307" s="41" t="s">
        <v>92</v>
      </c>
      <c r="L307" s="41" t="s">
        <v>3088</v>
      </c>
      <c r="M307" s="41" t="s">
        <v>529</v>
      </c>
      <c r="N307" s="48"/>
    </row>
    <row r="308" spans="1:14" ht="20.100000000000001" customHeight="1" x14ac:dyDescent="0.25">
      <c r="A308" s="38"/>
      <c r="B308" s="63" t="s">
        <v>3089</v>
      </c>
      <c r="C308" s="41" t="s">
        <v>3235</v>
      </c>
      <c r="D308" s="48"/>
      <c r="E308" s="19"/>
      <c r="F308" s="19"/>
      <c r="G308" s="19"/>
      <c r="H308" s="41"/>
      <c r="I308" s="41">
        <v>1</v>
      </c>
      <c r="J308" s="41" t="s">
        <v>3092</v>
      </c>
      <c r="K308" s="41" t="s">
        <v>92</v>
      </c>
      <c r="L308" s="41" t="s">
        <v>3088</v>
      </c>
      <c r="M308" s="41" t="s">
        <v>529</v>
      </c>
      <c r="N308" s="48"/>
    </row>
    <row r="309" spans="1:14" ht="20.100000000000001" customHeight="1" x14ac:dyDescent="0.25">
      <c r="A309" s="38"/>
      <c r="B309" s="63"/>
      <c r="C309" s="41" t="s">
        <v>3236</v>
      </c>
      <c r="D309" s="48"/>
      <c r="E309" s="19"/>
      <c r="F309" s="19"/>
      <c r="G309" s="19"/>
      <c r="H309" s="41"/>
      <c r="I309" s="41">
        <v>1</v>
      </c>
      <c r="J309" s="41" t="s">
        <v>2303</v>
      </c>
      <c r="K309" s="41" t="s">
        <v>92</v>
      </c>
      <c r="L309" s="41" t="s">
        <v>3095</v>
      </c>
      <c r="M309" s="41" t="s">
        <v>529</v>
      </c>
      <c r="N309" s="48"/>
    </row>
    <row r="310" spans="1:14" ht="20.100000000000001" customHeight="1" x14ac:dyDescent="0.25">
      <c r="A310" s="38"/>
      <c r="B310" s="63"/>
      <c r="C310" s="41" t="s">
        <v>3237</v>
      </c>
      <c r="D310" s="48"/>
      <c r="E310" s="19"/>
      <c r="F310" s="19"/>
      <c r="G310" s="19"/>
      <c r="H310" s="41"/>
      <c r="I310" s="41">
        <v>1</v>
      </c>
      <c r="J310" s="41" t="s">
        <v>2303</v>
      </c>
      <c r="K310" s="41" t="s">
        <v>92</v>
      </c>
      <c r="L310" s="41" t="s">
        <v>3095</v>
      </c>
      <c r="M310" s="41" t="s">
        <v>529</v>
      </c>
      <c r="N310" s="48"/>
    </row>
    <row r="311" spans="1:14" ht="20.100000000000001" customHeight="1" x14ac:dyDescent="0.25">
      <c r="A311" s="38"/>
      <c r="B311" s="63"/>
      <c r="C311" s="41" t="s">
        <v>3238</v>
      </c>
      <c r="D311" s="48"/>
      <c r="E311" s="19"/>
      <c r="F311" s="19"/>
      <c r="G311" s="19"/>
      <c r="H311" s="41"/>
      <c r="I311" s="41">
        <v>1</v>
      </c>
      <c r="J311" s="41" t="s">
        <v>2304</v>
      </c>
      <c r="K311" s="41" t="s">
        <v>92</v>
      </c>
      <c r="L311" s="41"/>
      <c r="M311" s="41" t="s">
        <v>529</v>
      </c>
      <c r="N311" s="48"/>
    </row>
    <row r="312" spans="1:14" ht="20.100000000000001" customHeight="1" x14ac:dyDescent="0.25">
      <c r="A312" s="38"/>
      <c r="B312" s="63" t="s">
        <v>3160</v>
      </c>
      <c r="C312" s="41" t="s">
        <v>3111</v>
      </c>
      <c r="D312" s="48"/>
      <c r="E312" s="19"/>
      <c r="F312" s="19"/>
      <c r="G312" s="19"/>
      <c r="H312" s="41"/>
      <c r="I312" s="41">
        <v>0</v>
      </c>
      <c r="J312" s="41" t="s">
        <v>3091</v>
      </c>
      <c r="K312" s="41" t="s">
        <v>3076</v>
      </c>
      <c r="L312" s="41" t="s">
        <v>2829</v>
      </c>
      <c r="M312" s="41" t="s">
        <v>300</v>
      </c>
      <c r="N312" s="48"/>
    </row>
    <row r="313" spans="1:14" ht="20.100000000000001" customHeight="1" x14ac:dyDescent="0.25">
      <c r="A313" s="38"/>
      <c r="B313" s="63" t="s">
        <v>3160</v>
      </c>
      <c r="C313" s="41" t="s">
        <v>3112</v>
      </c>
      <c r="D313" s="48"/>
      <c r="E313" s="19"/>
      <c r="F313" s="19"/>
      <c r="G313" s="19"/>
      <c r="H313" s="41"/>
      <c r="I313" s="41">
        <v>0</v>
      </c>
      <c r="J313" s="41" t="s">
        <v>3091</v>
      </c>
      <c r="K313" s="41" t="s">
        <v>3076</v>
      </c>
      <c r="L313" s="41" t="s">
        <v>2829</v>
      </c>
      <c r="M313" s="41" t="s">
        <v>300</v>
      </c>
      <c r="N313" s="48"/>
    </row>
    <row r="314" spans="1:14" ht="20.100000000000001" customHeight="1" x14ac:dyDescent="0.25">
      <c r="A314" s="38"/>
      <c r="B314" s="63" t="s">
        <v>3160</v>
      </c>
      <c r="C314" s="41" t="s">
        <v>3113</v>
      </c>
      <c r="D314" s="48"/>
      <c r="E314" s="19"/>
      <c r="F314" s="19"/>
      <c r="G314" s="19"/>
      <c r="H314" s="41"/>
      <c r="I314" s="41">
        <v>0</v>
      </c>
      <c r="J314" s="41" t="s">
        <v>3091</v>
      </c>
      <c r="K314" s="41" t="s">
        <v>3076</v>
      </c>
      <c r="L314" s="41" t="s">
        <v>2829</v>
      </c>
      <c r="M314" s="41" t="s">
        <v>300</v>
      </c>
      <c r="N314" s="48"/>
    </row>
    <row r="315" spans="1:14" ht="20.100000000000001" customHeight="1" x14ac:dyDescent="0.25">
      <c r="A315" s="38"/>
      <c r="B315" s="63" t="s">
        <v>3160</v>
      </c>
      <c r="C315" s="41" t="s">
        <v>3114</v>
      </c>
      <c r="D315" s="48"/>
      <c r="E315" s="19"/>
      <c r="F315" s="19"/>
      <c r="G315" s="19"/>
      <c r="H315" s="41"/>
      <c r="I315" s="41">
        <v>0</v>
      </c>
      <c r="J315" s="41" t="s">
        <v>3091</v>
      </c>
      <c r="K315" s="41" t="s">
        <v>3076</v>
      </c>
      <c r="L315" s="41" t="s">
        <v>2829</v>
      </c>
      <c r="M315" s="41" t="s">
        <v>300</v>
      </c>
      <c r="N315" s="48"/>
    </row>
    <row r="316" spans="1:14" ht="20.100000000000001" customHeight="1" x14ac:dyDescent="0.25">
      <c r="A316" s="38"/>
      <c r="B316" s="63" t="s">
        <v>3240</v>
      </c>
      <c r="C316" s="41" t="s">
        <v>3115</v>
      </c>
      <c r="D316" s="48"/>
      <c r="E316" s="19"/>
      <c r="F316" s="19"/>
      <c r="G316" s="19"/>
      <c r="H316" s="41"/>
      <c r="I316" s="41">
        <v>0</v>
      </c>
      <c r="J316" s="41" t="s">
        <v>3092</v>
      </c>
      <c r="K316" s="41" t="s">
        <v>3076</v>
      </c>
      <c r="L316" s="41" t="s">
        <v>3239</v>
      </c>
      <c r="M316" s="41" t="s">
        <v>300</v>
      </c>
      <c r="N316" s="48"/>
    </row>
    <row r="317" spans="1:14" ht="20.100000000000001" customHeight="1" x14ac:dyDescent="0.25">
      <c r="A317" s="38"/>
      <c r="B317" s="63" t="s">
        <v>3240</v>
      </c>
      <c r="C317" s="41" t="s">
        <v>3116</v>
      </c>
      <c r="D317" s="48"/>
      <c r="E317" s="19"/>
      <c r="F317" s="19"/>
      <c r="G317" s="19"/>
      <c r="H317" s="41"/>
      <c r="I317" s="41">
        <v>0</v>
      </c>
      <c r="J317" s="41" t="s">
        <v>3092</v>
      </c>
      <c r="K317" s="41" t="s">
        <v>3076</v>
      </c>
      <c r="L317" s="41" t="s">
        <v>3239</v>
      </c>
      <c r="M317" s="41" t="s">
        <v>300</v>
      </c>
      <c r="N317" s="48"/>
    </row>
    <row r="318" spans="1:14" ht="20.100000000000001" customHeight="1" x14ac:dyDescent="0.25">
      <c r="A318" s="38"/>
      <c r="B318" s="63" t="s">
        <v>3240</v>
      </c>
      <c r="C318" s="41" t="s">
        <v>3117</v>
      </c>
      <c r="D318" s="48"/>
      <c r="E318" s="19"/>
      <c r="F318" s="19"/>
      <c r="G318" s="19"/>
      <c r="H318" s="41"/>
      <c r="I318" s="41">
        <v>0</v>
      </c>
      <c r="J318" s="41" t="s">
        <v>3092</v>
      </c>
      <c r="K318" s="41" t="s">
        <v>3076</v>
      </c>
      <c r="L318" s="41" t="s">
        <v>3239</v>
      </c>
      <c r="M318" s="41" t="s">
        <v>300</v>
      </c>
      <c r="N318" s="48"/>
    </row>
    <row r="319" spans="1:14" ht="20.100000000000001" customHeight="1" x14ac:dyDescent="0.25">
      <c r="A319" s="38"/>
      <c r="B319" s="63" t="s">
        <v>3240</v>
      </c>
      <c r="C319" s="41" t="s">
        <v>3118</v>
      </c>
      <c r="D319" s="48"/>
      <c r="E319" s="19"/>
      <c r="F319" s="19"/>
      <c r="G319" s="19"/>
      <c r="H319" s="41"/>
      <c r="I319" s="41">
        <v>0</v>
      </c>
      <c r="J319" s="41" t="s">
        <v>3092</v>
      </c>
      <c r="K319" s="41" t="s">
        <v>3076</v>
      </c>
      <c r="L319" s="41" t="s">
        <v>3239</v>
      </c>
      <c r="M319" s="41" t="s">
        <v>300</v>
      </c>
      <c r="N319" s="48"/>
    </row>
    <row r="320" spans="1:14" ht="20.100000000000001" customHeight="1" x14ac:dyDescent="0.25">
      <c r="A320" s="38"/>
      <c r="B320" s="63"/>
      <c r="C320" s="41" t="s">
        <v>3242</v>
      </c>
      <c r="D320" s="48"/>
      <c r="E320" s="19"/>
      <c r="F320" s="19"/>
      <c r="G320" s="19"/>
      <c r="H320" s="41"/>
      <c r="I320" s="41">
        <v>0</v>
      </c>
      <c r="J320" s="41" t="s">
        <v>3093</v>
      </c>
      <c r="K320" s="41" t="s">
        <v>3076</v>
      </c>
      <c r="L320" s="41" t="s">
        <v>3241</v>
      </c>
      <c r="M320" s="41" t="s">
        <v>300</v>
      </c>
      <c r="N320" s="48"/>
    </row>
    <row r="321" spans="1:14" ht="20.100000000000001" customHeight="1" x14ac:dyDescent="0.25">
      <c r="A321" s="38"/>
      <c r="B321" s="63"/>
      <c r="C321" s="41" t="s">
        <v>3243</v>
      </c>
      <c r="D321" s="48"/>
      <c r="E321" s="19"/>
      <c r="F321" s="19"/>
      <c r="G321" s="19"/>
      <c r="H321" s="41"/>
      <c r="I321" s="41">
        <v>0</v>
      </c>
      <c r="J321" s="41" t="s">
        <v>3093</v>
      </c>
      <c r="K321" s="41" t="s">
        <v>3076</v>
      </c>
      <c r="L321" s="41" t="s">
        <v>3241</v>
      </c>
      <c r="M321" s="41" t="s">
        <v>300</v>
      </c>
      <c r="N321" s="48"/>
    </row>
    <row r="322" spans="1:14" ht="20.100000000000001" customHeight="1" x14ac:dyDescent="0.25">
      <c r="A322" s="38"/>
      <c r="B322" s="63"/>
      <c r="C322" s="41" t="s">
        <v>3244</v>
      </c>
      <c r="D322" s="48"/>
      <c r="E322" s="19"/>
      <c r="F322" s="19"/>
      <c r="G322" s="19"/>
      <c r="H322" s="41"/>
      <c r="I322" s="41">
        <v>0</v>
      </c>
      <c r="J322" s="41" t="s">
        <v>3093</v>
      </c>
      <c r="K322" s="41" t="s">
        <v>3076</v>
      </c>
      <c r="L322" s="41" t="s">
        <v>3241</v>
      </c>
      <c r="M322" s="41" t="s">
        <v>300</v>
      </c>
      <c r="N322" s="48"/>
    </row>
    <row r="323" spans="1:14" ht="20.100000000000001" customHeight="1" x14ac:dyDescent="0.25">
      <c r="A323" s="38"/>
      <c r="B323" s="63"/>
      <c r="C323" s="41" t="s">
        <v>3245</v>
      </c>
      <c r="D323" s="48"/>
      <c r="E323" s="19"/>
      <c r="F323" s="19"/>
      <c r="G323" s="19"/>
      <c r="H323" s="41"/>
      <c r="I323" s="41">
        <v>0</v>
      </c>
      <c r="J323" s="41" t="s">
        <v>3093</v>
      </c>
      <c r="K323" s="41" t="s">
        <v>3076</v>
      </c>
      <c r="L323" s="41" t="s">
        <v>3241</v>
      </c>
      <c r="M323" s="41" t="s">
        <v>300</v>
      </c>
      <c r="N323" s="48"/>
    </row>
    <row r="324" spans="1:14" ht="20.100000000000001" customHeight="1" x14ac:dyDescent="0.25">
      <c r="A324" s="38"/>
      <c r="B324" s="63"/>
      <c r="C324" s="41" t="s">
        <v>3247</v>
      </c>
      <c r="D324" s="48"/>
      <c r="E324" s="19"/>
      <c r="F324" s="19"/>
      <c r="G324" s="19"/>
      <c r="H324" s="41"/>
      <c r="I324" s="41">
        <v>0</v>
      </c>
      <c r="J324" s="41" t="s">
        <v>3094</v>
      </c>
      <c r="K324" s="41" t="s">
        <v>3076</v>
      </c>
      <c r="L324" s="41" t="s">
        <v>3246</v>
      </c>
      <c r="M324" s="41" t="s">
        <v>300</v>
      </c>
      <c r="N324" s="48"/>
    </row>
    <row r="325" spans="1:14" ht="20.100000000000001" customHeight="1" x14ac:dyDescent="0.25">
      <c r="A325" s="38"/>
      <c r="B325" s="63"/>
      <c r="C325" s="41" t="s">
        <v>3248</v>
      </c>
      <c r="D325" s="48"/>
      <c r="E325" s="19"/>
      <c r="F325" s="19"/>
      <c r="G325" s="19"/>
      <c r="H325" s="41"/>
      <c r="I325" s="41">
        <v>0</v>
      </c>
      <c r="J325" s="41" t="s">
        <v>3094</v>
      </c>
      <c r="K325" s="41" t="s">
        <v>3076</v>
      </c>
      <c r="L325" s="41" t="s">
        <v>3246</v>
      </c>
      <c r="M325" s="41" t="s">
        <v>300</v>
      </c>
      <c r="N325" s="48"/>
    </row>
    <row r="326" spans="1:14" ht="20.100000000000001" customHeight="1" x14ac:dyDescent="0.25">
      <c r="A326" s="38"/>
      <c r="B326" s="63"/>
      <c r="C326" s="41" t="s">
        <v>3249</v>
      </c>
      <c r="D326" s="48"/>
      <c r="E326" s="19"/>
      <c r="F326" s="19"/>
      <c r="G326" s="19"/>
      <c r="H326" s="41"/>
      <c r="I326" s="41">
        <v>0</v>
      </c>
      <c r="J326" s="41" t="s">
        <v>3094</v>
      </c>
      <c r="K326" s="41" t="s">
        <v>3076</v>
      </c>
      <c r="L326" s="41" t="s">
        <v>3246</v>
      </c>
      <c r="M326" s="41" t="s">
        <v>300</v>
      </c>
      <c r="N326" s="48"/>
    </row>
    <row r="327" spans="1:14" ht="20.100000000000001" customHeight="1" x14ac:dyDescent="0.25">
      <c r="A327" s="38"/>
      <c r="B327" s="63"/>
      <c r="C327" s="41" t="s">
        <v>3250</v>
      </c>
      <c r="D327" s="48"/>
      <c r="E327" s="19"/>
      <c r="F327" s="19"/>
      <c r="G327" s="19"/>
      <c r="H327" s="41"/>
      <c r="I327" s="41">
        <v>0</v>
      </c>
      <c r="J327" s="41" t="s">
        <v>3094</v>
      </c>
      <c r="K327" s="41" t="s">
        <v>3076</v>
      </c>
      <c r="L327" s="41" t="s">
        <v>3246</v>
      </c>
      <c r="M327" s="41" t="s">
        <v>300</v>
      </c>
      <c r="N327" s="48"/>
    </row>
    <row r="328" spans="1:14" ht="20.100000000000001" customHeight="1" x14ac:dyDescent="0.25">
      <c r="A328" s="38"/>
      <c r="B328" s="63" t="s">
        <v>3160</v>
      </c>
      <c r="C328" s="41" t="s">
        <v>3119</v>
      </c>
      <c r="D328" s="48"/>
      <c r="E328" s="19"/>
      <c r="F328" s="19"/>
      <c r="G328" s="19"/>
      <c r="H328" s="41"/>
      <c r="I328" s="41">
        <v>0</v>
      </c>
      <c r="J328" s="41" t="s">
        <v>3091</v>
      </c>
      <c r="K328" s="41" t="s">
        <v>3078</v>
      </c>
      <c r="L328" s="41" t="s">
        <v>2829</v>
      </c>
      <c r="M328" s="41" t="s">
        <v>300</v>
      </c>
      <c r="N328" s="48"/>
    </row>
    <row r="329" spans="1:14" ht="20.100000000000001" customHeight="1" x14ac:dyDescent="0.25">
      <c r="A329" s="38"/>
      <c r="B329" s="63" t="s">
        <v>3160</v>
      </c>
      <c r="C329" s="41" t="s">
        <v>3120</v>
      </c>
      <c r="D329" s="48"/>
      <c r="E329" s="19"/>
      <c r="F329" s="19"/>
      <c r="G329" s="19"/>
      <c r="H329" s="41"/>
      <c r="I329" s="41">
        <v>0</v>
      </c>
      <c r="J329" s="41" t="s">
        <v>3091</v>
      </c>
      <c r="K329" s="41" t="s">
        <v>3078</v>
      </c>
      <c r="L329" s="41" t="s">
        <v>2829</v>
      </c>
      <c r="M329" s="41" t="s">
        <v>300</v>
      </c>
      <c r="N329" s="48"/>
    </row>
    <row r="330" spans="1:14" ht="20.100000000000001" customHeight="1" x14ac:dyDescent="0.25">
      <c r="A330" s="38"/>
      <c r="B330" s="63" t="s">
        <v>3160</v>
      </c>
      <c r="C330" s="41" t="s">
        <v>3121</v>
      </c>
      <c r="D330" s="48"/>
      <c r="E330" s="19"/>
      <c r="F330" s="19"/>
      <c r="G330" s="19"/>
      <c r="H330" s="41"/>
      <c r="I330" s="41">
        <v>0</v>
      </c>
      <c r="J330" s="41" t="s">
        <v>3091</v>
      </c>
      <c r="K330" s="41" t="s">
        <v>3078</v>
      </c>
      <c r="L330" s="41" t="s">
        <v>2829</v>
      </c>
      <c r="M330" s="41" t="s">
        <v>300</v>
      </c>
      <c r="N330" s="48"/>
    </row>
    <row r="331" spans="1:14" ht="20.100000000000001" customHeight="1" x14ac:dyDescent="0.25">
      <c r="A331" s="38"/>
      <c r="B331" s="63" t="s">
        <v>3160</v>
      </c>
      <c r="C331" s="41" t="s">
        <v>3122</v>
      </c>
      <c r="D331" s="48"/>
      <c r="E331" s="19"/>
      <c r="F331" s="19"/>
      <c r="G331" s="19"/>
      <c r="H331" s="41"/>
      <c r="I331" s="41">
        <v>0</v>
      </c>
      <c r="J331" s="41" t="s">
        <v>3091</v>
      </c>
      <c r="K331" s="41" t="s">
        <v>3078</v>
      </c>
      <c r="L331" s="41" t="s">
        <v>2829</v>
      </c>
      <c r="M331" s="41" t="s">
        <v>300</v>
      </c>
      <c r="N331" s="48"/>
    </row>
    <row r="332" spans="1:14" ht="20.100000000000001" customHeight="1" x14ac:dyDescent="0.25">
      <c r="A332" s="38"/>
      <c r="B332" s="63" t="s">
        <v>3240</v>
      </c>
      <c r="C332" s="41" t="s">
        <v>3123</v>
      </c>
      <c r="D332" s="48"/>
      <c r="E332" s="19"/>
      <c r="F332" s="19"/>
      <c r="G332" s="19"/>
      <c r="H332" s="41"/>
      <c r="I332" s="41">
        <v>0</v>
      </c>
      <c r="J332" s="41" t="s">
        <v>3092</v>
      </c>
      <c r="K332" s="41" t="s">
        <v>3078</v>
      </c>
      <c r="L332" s="41" t="s">
        <v>3239</v>
      </c>
      <c r="M332" s="41" t="s">
        <v>300</v>
      </c>
      <c r="N332" s="48"/>
    </row>
    <row r="333" spans="1:14" ht="20.100000000000001" customHeight="1" x14ac:dyDescent="0.25">
      <c r="A333" s="38"/>
      <c r="B333" s="63" t="s">
        <v>3240</v>
      </c>
      <c r="C333" s="41" t="s">
        <v>3124</v>
      </c>
      <c r="D333" s="48"/>
      <c r="E333" s="19"/>
      <c r="F333" s="19"/>
      <c r="G333" s="19"/>
      <c r="H333" s="41"/>
      <c r="I333" s="41">
        <v>0</v>
      </c>
      <c r="J333" s="41" t="s">
        <v>3092</v>
      </c>
      <c r="K333" s="41" t="s">
        <v>3078</v>
      </c>
      <c r="L333" s="41" t="s">
        <v>3239</v>
      </c>
      <c r="M333" s="41" t="s">
        <v>300</v>
      </c>
      <c r="N333" s="48"/>
    </row>
    <row r="334" spans="1:14" ht="20.100000000000001" customHeight="1" x14ac:dyDescent="0.25">
      <c r="A334" s="38"/>
      <c r="B334" s="63" t="s">
        <v>3240</v>
      </c>
      <c r="C334" s="41" t="s">
        <v>3125</v>
      </c>
      <c r="D334" s="48"/>
      <c r="E334" s="19"/>
      <c r="F334" s="19"/>
      <c r="G334" s="19"/>
      <c r="H334" s="41"/>
      <c r="I334" s="41">
        <v>0</v>
      </c>
      <c r="J334" s="41" t="s">
        <v>3092</v>
      </c>
      <c r="K334" s="41" t="s">
        <v>3078</v>
      </c>
      <c r="L334" s="41" t="s">
        <v>3239</v>
      </c>
      <c r="M334" s="41" t="s">
        <v>300</v>
      </c>
      <c r="N334" s="48"/>
    </row>
    <row r="335" spans="1:14" ht="20.100000000000001" customHeight="1" x14ac:dyDescent="0.25">
      <c r="A335" s="38"/>
      <c r="B335" s="63" t="s">
        <v>3240</v>
      </c>
      <c r="C335" s="41" t="s">
        <v>3126</v>
      </c>
      <c r="D335" s="48"/>
      <c r="E335" s="19"/>
      <c r="F335" s="19"/>
      <c r="G335" s="19"/>
      <c r="H335" s="41"/>
      <c r="I335" s="41">
        <v>0</v>
      </c>
      <c r="J335" s="41" t="s">
        <v>3092</v>
      </c>
      <c r="K335" s="41" t="s">
        <v>3078</v>
      </c>
      <c r="L335" s="41" t="s">
        <v>3239</v>
      </c>
      <c r="M335" s="41" t="s">
        <v>300</v>
      </c>
      <c r="N335" s="48"/>
    </row>
    <row r="336" spans="1:14" ht="20.100000000000001" customHeight="1" x14ac:dyDescent="0.25">
      <c r="A336" s="38"/>
      <c r="B336" s="63">
        <v>1500</v>
      </c>
      <c r="C336" s="41" t="s">
        <v>3251</v>
      </c>
      <c r="D336" s="48"/>
      <c r="E336" s="19"/>
      <c r="F336" s="19"/>
      <c r="G336" s="19"/>
      <c r="H336" s="41"/>
      <c r="I336" s="41">
        <v>0</v>
      </c>
      <c r="J336" s="41" t="s">
        <v>2303</v>
      </c>
      <c r="K336" s="41" t="s">
        <v>3078</v>
      </c>
      <c r="L336" s="41" t="s">
        <v>3024</v>
      </c>
      <c r="M336" s="41" t="s">
        <v>300</v>
      </c>
      <c r="N336" s="48"/>
    </row>
    <row r="337" spans="1:14" ht="20.100000000000001" customHeight="1" x14ac:dyDescent="0.25">
      <c r="A337" s="38"/>
      <c r="B337" s="63">
        <v>1500</v>
      </c>
      <c r="C337" s="41" t="s">
        <v>3252</v>
      </c>
      <c r="D337" s="48"/>
      <c r="E337" s="19"/>
      <c r="F337" s="19"/>
      <c r="G337" s="19"/>
      <c r="H337" s="41"/>
      <c r="I337" s="41">
        <v>0</v>
      </c>
      <c r="J337" s="41" t="s">
        <v>2303</v>
      </c>
      <c r="K337" s="41" t="s">
        <v>3078</v>
      </c>
      <c r="L337" s="41" t="s">
        <v>3024</v>
      </c>
      <c r="M337" s="41" t="s">
        <v>300</v>
      </c>
      <c r="N337" s="48"/>
    </row>
    <row r="338" spans="1:14" ht="20.100000000000001" customHeight="1" x14ac:dyDescent="0.25">
      <c r="A338" s="38"/>
      <c r="B338" s="63" t="s">
        <v>3160</v>
      </c>
      <c r="C338" s="41" t="s">
        <v>3127</v>
      </c>
      <c r="D338" s="48"/>
      <c r="E338" s="19"/>
      <c r="F338" s="19"/>
      <c r="G338" s="19"/>
      <c r="H338" s="41"/>
      <c r="I338" s="41">
        <v>0</v>
      </c>
      <c r="J338" s="41" t="s">
        <v>3091</v>
      </c>
      <c r="K338" s="41" t="s">
        <v>3080</v>
      </c>
      <c r="L338" s="41" t="s">
        <v>2829</v>
      </c>
      <c r="M338" s="41" t="s">
        <v>300</v>
      </c>
      <c r="N338" s="48"/>
    </row>
    <row r="339" spans="1:14" ht="20.100000000000001" customHeight="1" x14ac:dyDescent="0.25">
      <c r="A339" s="38"/>
      <c r="B339" s="63" t="s">
        <v>3160</v>
      </c>
      <c r="C339" s="41" t="s">
        <v>3128</v>
      </c>
      <c r="D339" s="48"/>
      <c r="E339" s="19"/>
      <c r="F339" s="19"/>
      <c r="G339" s="19"/>
      <c r="H339" s="41"/>
      <c r="I339" s="41">
        <v>0</v>
      </c>
      <c r="J339" s="41" t="s">
        <v>3091</v>
      </c>
      <c r="K339" s="41" t="s">
        <v>3080</v>
      </c>
      <c r="L339" s="41" t="s">
        <v>2829</v>
      </c>
      <c r="M339" s="41" t="s">
        <v>300</v>
      </c>
      <c r="N339" s="48"/>
    </row>
    <row r="340" spans="1:14" ht="20.100000000000001" customHeight="1" x14ac:dyDescent="0.25">
      <c r="A340" s="38"/>
      <c r="B340" s="63" t="s">
        <v>3160</v>
      </c>
      <c r="C340" s="41" t="s">
        <v>3129</v>
      </c>
      <c r="D340" s="48"/>
      <c r="E340" s="19"/>
      <c r="F340" s="19"/>
      <c r="G340" s="19"/>
      <c r="H340" s="41"/>
      <c r="I340" s="41">
        <v>0</v>
      </c>
      <c r="J340" s="41" t="s">
        <v>3091</v>
      </c>
      <c r="K340" s="41" t="s">
        <v>3080</v>
      </c>
      <c r="L340" s="41" t="s">
        <v>2829</v>
      </c>
      <c r="M340" s="41" t="s">
        <v>300</v>
      </c>
      <c r="N340" s="48"/>
    </row>
    <row r="341" spans="1:14" ht="20.100000000000001" customHeight="1" x14ac:dyDescent="0.25">
      <c r="A341" s="38"/>
      <c r="B341" s="63" t="s">
        <v>3160</v>
      </c>
      <c r="C341" s="41" t="s">
        <v>3130</v>
      </c>
      <c r="D341" s="48"/>
      <c r="E341" s="19"/>
      <c r="F341" s="19"/>
      <c r="G341" s="19"/>
      <c r="H341" s="41"/>
      <c r="I341" s="41">
        <v>0</v>
      </c>
      <c r="J341" s="41" t="s">
        <v>3091</v>
      </c>
      <c r="K341" s="41" t="s">
        <v>3080</v>
      </c>
      <c r="L341" s="41" t="s">
        <v>2829</v>
      </c>
      <c r="M341" s="41" t="s">
        <v>300</v>
      </c>
      <c r="N341" s="48"/>
    </row>
    <row r="342" spans="1:14" ht="20.100000000000001" customHeight="1" x14ac:dyDescent="0.25">
      <c r="A342" s="38"/>
      <c r="B342" s="63" t="s">
        <v>3240</v>
      </c>
      <c r="C342" s="41" t="s">
        <v>3131</v>
      </c>
      <c r="D342" s="48"/>
      <c r="E342" s="19"/>
      <c r="F342" s="19"/>
      <c r="G342" s="19"/>
      <c r="H342" s="41"/>
      <c r="I342" s="41">
        <v>0</v>
      </c>
      <c r="J342" s="41" t="s">
        <v>3092</v>
      </c>
      <c r="K342" s="41" t="s">
        <v>3080</v>
      </c>
      <c r="L342" s="41" t="s">
        <v>3239</v>
      </c>
      <c r="M342" s="41" t="s">
        <v>300</v>
      </c>
      <c r="N342" s="48"/>
    </row>
    <row r="343" spans="1:14" ht="20.100000000000001" customHeight="1" x14ac:dyDescent="0.25">
      <c r="A343" s="38"/>
      <c r="B343" s="63" t="s">
        <v>3240</v>
      </c>
      <c r="C343" s="41" t="s">
        <v>3132</v>
      </c>
      <c r="D343" s="48"/>
      <c r="E343" s="19"/>
      <c r="F343" s="19"/>
      <c r="G343" s="19"/>
      <c r="H343" s="41"/>
      <c r="I343" s="41">
        <v>0</v>
      </c>
      <c r="J343" s="41" t="s">
        <v>3092</v>
      </c>
      <c r="K343" s="41" t="s">
        <v>3080</v>
      </c>
      <c r="L343" s="41" t="s">
        <v>3239</v>
      </c>
      <c r="M343" s="41" t="s">
        <v>300</v>
      </c>
      <c r="N343" s="48"/>
    </row>
    <row r="344" spans="1:14" ht="20.100000000000001" customHeight="1" x14ac:dyDescent="0.25">
      <c r="A344" s="38"/>
      <c r="B344" s="63" t="s">
        <v>3240</v>
      </c>
      <c r="C344" s="41" t="s">
        <v>3133</v>
      </c>
      <c r="D344" s="48"/>
      <c r="E344" s="19"/>
      <c r="F344" s="19"/>
      <c r="G344" s="19"/>
      <c r="H344" s="41"/>
      <c r="I344" s="41">
        <v>0</v>
      </c>
      <c r="J344" s="41" t="s">
        <v>3092</v>
      </c>
      <c r="K344" s="41" t="s">
        <v>3080</v>
      </c>
      <c r="L344" s="41" t="s">
        <v>3239</v>
      </c>
      <c r="M344" s="41" t="s">
        <v>300</v>
      </c>
      <c r="N344" s="48"/>
    </row>
    <row r="345" spans="1:14" ht="20.100000000000001" customHeight="1" x14ac:dyDescent="0.25">
      <c r="A345" s="38"/>
      <c r="B345" s="63" t="s">
        <v>3240</v>
      </c>
      <c r="C345" s="41" t="s">
        <v>3134</v>
      </c>
      <c r="D345" s="48"/>
      <c r="E345" s="19"/>
      <c r="F345" s="19"/>
      <c r="G345" s="19"/>
      <c r="H345" s="41"/>
      <c r="I345" s="41">
        <v>0</v>
      </c>
      <c r="J345" s="41" t="s">
        <v>3092</v>
      </c>
      <c r="K345" s="41" t="s">
        <v>3080</v>
      </c>
      <c r="L345" s="41" t="s">
        <v>3239</v>
      </c>
      <c r="M345" s="41" t="s">
        <v>300</v>
      </c>
      <c r="N345" s="48"/>
    </row>
    <row r="346" spans="1:14" ht="20.100000000000001" customHeight="1" x14ac:dyDescent="0.25">
      <c r="A346" s="38"/>
      <c r="B346" s="63">
        <v>1500</v>
      </c>
      <c r="C346" s="41" t="s">
        <v>3253</v>
      </c>
      <c r="D346" s="48"/>
      <c r="E346" s="19"/>
      <c r="F346" s="19"/>
      <c r="G346" s="19"/>
      <c r="H346" s="41"/>
      <c r="I346" s="41">
        <v>0</v>
      </c>
      <c r="J346" s="41" t="s">
        <v>2303</v>
      </c>
      <c r="K346" s="41" t="s">
        <v>3080</v>
      </c>
      <c r="L346" s="41" t="s">
        <v>3024</v>
      </c>
      <c r="M346" s="41" t="s">
        <v>300</v>
      </c>
      <c r="N346" s="48"/>
    </row>
    <row r="347" spans="1:14" ht="20.100000000000001" customHeight="1" x14ac:dyDescent="0.25">
      <c r="A347" s="38"/>
      <c r="B347" s="63">
        <v>1500</v>
      </c>
      <c r="C347" s="41" t="s">
        <v>3253</v>
      </c>
      <c r="D347" s="48"/>
      <c r="E347" s="19"/>
      <c r="F347" s="19"/>
      <c r="G347" s="19"/>
      <c r="H347" s="41"/>
      <c r="I347" s="41">
        <v>0</v>
      </c>
      <c r="J347" s="41" t="s">
        <v>2303</v>
      </c>
      <c r="K347" s="41" t="s">
        <v>3080</v>
      </c>
      <c r="L347" s="41" t="s">
        <v>3024</v>
      </c>
      <c r="M347" s="41" t="s">
        <v>300</v>
      </c>
      <c r="N347" s="48"/>
    </row>
    <row r="348" spans="1:14" ht="20.100000000000001" customHeight="1" x14ac:dyDescent="0.25">
      <c r="A348" s="38"/>
      <c r="B348" s="63">
        <v>1500</v>
      </c>
      <c r="C348" s="41" t="s">
        <v>3253</v>
      </c>
      <c r="D348" s="48"/>
      <c r="E348" s="19"/>
      <c r="F348" s="19"/>
      <c r="G348" s="19"/>
      <c r="H348" s="41"/>
      <c r="I348" s="41">
        <v>0</v>
      </c>
      <c r="J348" s="41" t="s">
        <v>2303</v>
      </c>
      <c r="K348" s="41" t="s">
        <v>3080</v>
      </c>
      <c r="L348" s="41" t="s">
        <v>3024</v>
      </c>
      <c r="M348" s="41" t="s">
        <v>300</v>
      </c>
      <c r="N348" s="48"/>
    </row>
    <row r="349" spans="1:14" ht="20.100000000000001" customHeight="1" x14ac:dyDescent="0.25">
      <c r="A349" s="38"/>
      <c r="B349" s="63" t="s">
        <v>3160</v>
      </c>
      <c r="C349" s="41" t="s">
        <v>3135</v>
      </c>
      <c r="D349" s="48"/>
      <c r="E349" s="19"/>
      <c r="F349" s="19"/>
      <c r="G349" s="19"/>
      <c r="H349" s="41"/>
      <c r="I349" s="41">
        <v>0</v>
      </c>
      <c r="J349" s="41" t="s">
        <v>3091</v>
      </c>
      <c r="K349" s="41" t="s">
        <v>3081</v>
      </c>
      <c r="L349" s="41" t="s">
        <v>2829</v>
      </c>
      <c r="M349" s="41" t="s">
        <v>300</v>
      </c>
      <c r="N349" s="48"/>
    </row>
    <row r="350" spans="1:14" ht="20.100000000000001" customHeight="1" x14ac:dyDescent="0.25">
      <c r="A350" s="38"/>
      <c r="B350" s="63" t="s">
        <v>3160</v>
      </c>
      <c r="C350" s="41" t="s">
        <v>3136</v>
      </c>
      <c r="D350" s="48"/>
      <c r="E350" s="19"/>
      <c r="F350" s="19"/>
      <c r="G350" s="19"/>
      <c r="H350" s="41"/>
      <c r="I350" s="41">
        <v>0</v>
      </c>
      <c r="J350" s="41" t="s">
        <v>3091</v>
      </c>
      <c r="K350" s="41" t="s">
        <v>3081</v>
      </c>
      <c r="L350" s="41" t="s">
        <v>2829</v>
      </c>
      <c r="M350" s="41" t="s">
        <v>300</v>
      </c>
      <c r="N350" s="48"/>
    </row>
    <row r="351" spans="1:14" ht="20.100000000000001" customHeight="1" x14ac:dyDescent="0.25">
      <c r="A351" s="38"/>
      <c r="B351" s="63" t="s">
        <v>3160</v>
      </c>
      <c r="C351" s="41" t="s">
        <v>3137</v>
      </c>
      <c r="D351" s="48"/>
      <c r="E351" s="19"/>
      <c r="F351" s="19"/>
      <c r="G351" s="19"/>
      <c r="H351" s="41"/>
      <c r="I351" s="41">
        <v>0</v>
      </c>
      <c r="J351" s="41" t="s">
        <v>3091</v>
      </c>
      <c r="K351" s="41" t="s">
        <v>3081</v>
      </c>
      <c r="L351" s="41" t="s">
        <v>2829</v>
      </c>
      <c r="M351" s="41" t="s">
        <v>300</v>
      </c>
      <c r="N351" s="48"/>
    </row>
    <row r="352" spans="1:14" ht="20.100000000000001" customHeight="1" x14ac:dyDescent="0.25">
      <c r="A352" s="38"/>
      <c r="B352" s="63" t="s">
        <v>3160</v>
      </c>
      <c r="C352" s="41" t="s">
        <v>3138</v>
      </c>
      <c r="D352" s="48"/>
      <c r="E352" s="19"/>
      <c r="F352" s="19"/>
      <c r="G352" s="19"/>
      <c r="H352" s="41"/>
      <c r="I352" s="41">
        <v>0</v>
      </c>
      <c r="J352" s="41" t="s">
        <v>3091</v>
      </c>
      <c r="K352" s="41" t="s">
        <v>3081</v>
      </c>
      <c r="L352" s="41" t="s">
        <v>2829</v>
      </c>
      <c r="M352" s="41" t="s">
        <v>300</v>
      </c>
      <c r="N352" s="48"/>
    </row>
    <row r="353" spans="1:14" ht="20.100000000000001" customHeight="1" x14ac:dyDescent="0.25">
      <c r="A353" s="38"/>
      <c r="B353" s="63" t="s">
        <v>3240</v>
      </c>
      <c r="C353" s="41" t="s">
        <v>3139</v>
      </c>
      <c r="D353" s="48"/>
      <c r="E353" s="19"/>
      <c r="F353" s="19"/>
      <c r="G353" s="19"/>
      <c r="H353" s="41"/>
      <c r="I353" s="41">
        <v>0</v>
      </c>
      <c r="J353" s="41" t="s">
        <v>3092</v>
      </c>
      <c r="K353" s="41" t="s">
        <v>3081</v>
      </c>
      <c r="L353" s="41" t="s">
        <v>3239</v>
      </c>
      <c r="M353" s="41" t="s">
        <v>300</v>
      </c>
      <c r="N353" s="48"/>
    </row>
    <row r="354" spans="1:14" ht="20.100000000000001" customHeight="1" x14ac:dyDescent="0.25">
      <c r="A354" s="38"/>
      <c r="B354" s="63" t="s">
        <v>3240</v>
      </c>
      <c r="C354" s="41" t="s">
        <v>3140</v>
      </c>
      <c r="D354" s="48"/>
      <c r="E354" s="19"/>
      <c r="F354" s="19"/>
      <c r="G354" s="19"/>
      <c r="H354" s="41"/>
      <c r="I354" s="41">
        <v>0</v>
      </c>
      <c r="J354" s="41" t="s">
        <v>3092</v>
      </c>
      <c r="K354" s="41" t="s">
        <v>3081</v>
      </c>
      <c r="L354" s="41" t="s">
        <v>3239</v>
      </c>
      <c r="M354" s="41" t="s">
        <v>300</v>
      </c>
      <c r="N354" s="48"/>
    </row>
    <row r="355" spans="1:14" ht="20.100000000000001" customHeight="1" x14ac:dyDescent="0.25">
      <c r="A355" s="38"/>
      <c r="B355" s="63" t="s">
        <v>3240</v>
      </c>
      <c r="C355" s="41" t="s">
        <v>3141</v>
      </c>
      <c r="D355" s="48"/>
      <c r="E355" s="19"/>
      <c r="F355" s="19"/>
      <c r="G355" s="19"/>
      <c r="H355" s="41"/>
      <c r="I355" s="41">
        <v>0</v>
      </c>
      <c r="J355" s="41" t="s">
        <v>3092</v>
      </c>
      <c r="K355" s="41" t="s">
        <v>3081</v>
      </c>
      <c r="L355" s="41" t="s">
        <v>3239</v>
      </c>
      <c r="M355" s="41" t="s">
        <v>300</v>
      </c>
      <c r="N355" s="48"/>
    </row>
    <row r="356" spans="1:14" ht="20.100000000000001" customHeight="1" x14ac:dyDescent="0.25">
      <c r="A356" s="38"/>
      <c r="B356" s="63" t="s">
        <v>3240</v>
      </c>
      <c r="C356" s="41" t="s">
        <v>3142</v>
      </c>
      <c r="D356" s="48"/>
      <c r="E356" s="19"/>
      <c r="F356" s="19"/>
      <c r="G356" s="19"/>
      <c r="H356" s="41"/>
      <c r="I356" s="41">
        <v>0</v>
      </c>
      <c r="J356" s="41" t="s">
        <v>3092</v>
      </c>
      <c r="K356" s="41" t="s">
        <v>3081</v>
      </c>
      <c r="L356" s="41" t="s">
        <v>3239</v>
      </c>
      <c r="M356" s="41" t="s">
        <v>300</v>
      </c>
      <c r="N356" s="48"/>
    </row>
    <row r="357" spans="1:14" ht="20.100000000000001" customHeight="1" x14ac:dyDescent="0.25">
      <c r="A357" s="38"/>
      <c r="B357" s="63">
        <v>1500</v>
      </c>
      <c r="C357" s="41" t="s">
        <v>3254</v>
      </c>
      <c r="D357" s="48"/>
      <c r="E357" s="19"/>
      <c r="F357" s="19"/>
      <c r="G357" s="19"/>
      <c r="H357" s="41"/>
      <c r="I357" s="41">
        <v>0</v>
      </c>
      <c r="J357" s="41" t="s">
        <v>2303</v>
      </c>
      <c r="K357" s="41" t="s">
        <v>3081</v>
      </c>
      <c r="L357" s="41" t="s">
        <v>3024</v>
      </c>
      <c r="M357" s="41" t="s">
        <v>300</v>
      </c>
      <c r="N357" s="48"/>
    </row>
    <row r="358" spans="1:14" ht="20.100000000000001" customHeight="1" x14ac:dyDescent="0.25">
      <c r="A358" s="38"/>
      <c r="B358" s="63">
        <v>1500</v>
      </c>
      <c r="C358" s="41" t="s">
        <v>3254</v>
      </c>
      <c r="D358" s="48"/>
      <c r="E358" s="19"/>
      <c r="F358" s="19"/>
      <c r="G358" s="19"/>
      <c r="H358" s="41"/>
      <c r="I358" s="41">
        <v>0</v>
      </c>
      <c r="J358" s="41" t="s">
        <v>2303</v>
      </c>
      <c r="K358" s="41" t="s">
        <v>3081</v>
      </c>
      <c r="L358" s="41" t="s">
        <v>3024</v>
      </c>
      <c r="M358" s="41" t="s">
        <v>300</v>
      </c>
      <c r="N358" s="48"/>
    </row>
    <row r="359" spans="1:14" ht="20.100000000000001" customHeight="1" x14ac:dyDescent="0.25">
      <c r="A359" s="38"/>
      <c r="B359" s="63" t="s">
        <v>3160</v>
      </c>
      <c r="C359" s="41" t="s">
        <v>3143</v>
      </c>
      <c r="D359" s="48"/>
      <c r="E359" s="19"/>
      <c r="F359" s="19"/>
      <c r="G359" s="19"/>
      <c r="H359" s="41"/>
      <c r="I359" s="41">
        <v>0</v>
      </c>
      <c r="J359" s="41" t="s">
        <v>3091</v>
      </c>
      <c r="K359" s="41" t="s">
        <v>3082</v>
      </c>
      <c r="L359" s="41" t="s">
        <v>2829</v>
      </c>
      <c r="M359" s="41" t="s">
        <v>300</v>
      </c>
      <c r="N359" s="48"/>
    </row>
    <row r="360" spans="1:14" ht="20.100000000000001" customHeight="1" x14ac:dyDescent="0.25">
      <c r="A360" s="38"/>
      <c r="B360" s="63" t="s">
        <v>3160</v>
      </c>
      <c r="C360" s="41" t="s">
        <v>3144</v>
      </c>
      <c r="D360" s="48"/>
      <c r="E360" s="19"/>
      <c r="F360" s="19"/>
      <c r="G360" s="19"/>
      <c r="H360" s="41"/>
      <c r="I360" s="41">
        <v>0</v>
      </c>
      <c r="J360" s="41" t="s">
        <v>3091</v>
      </c>
      <c r="K360" s="41" t="s">
        <v>3082</v>
      </c>
      <c r="L360" s="41" t="s">
        <v>2829</v>
      </c>
      <c r="M360" s="41" t="s">
        <v>300</v>
      </c>
      <c r="N360" s="48"/>
    </row>
    <row r="361" spans="1:14" ht="20.100000000000001" customHeight="1" x14ac:dyDescent="0.25">
      <c r="A361" s="38"/>
      <c r="B361" s="63" t="s">
        <v>3160</v>
      </c>
      <c r="C361" s="41" t="s">
        <v>3145</v>
      </c>
      <c r="D361" s="48"/>
      <c r="E361" s="19"/>
      <c r="F361" s="19"/>
      <c r="G361" s="19"/>
      <c r="H361" s="41"/>
      <c r="I361" s="41">
        <v>0</v>
      </c>
      <c r="J361" s="41" t="s">
        <v>3091</v>
      </c>
      <c r="K361" s="41" t="s">
        <v>3082</v>
      </c>
      <c r="L361" s="41" t="s">
        <v>2829</v>
      </c>
      <c r="M361" s="41" t="s">
        <v>300</v>
      </c>
      <c r="N361" s="48"/>
    </row>
    <row r="362" spans="1:14" ht="20.100000000000001" customHeight="1" x14ac:dyDescent="0.25">
      <c r="A362" s="38"/>
      <c r="B362" s="63" t="s">
        <v>3160</v>
      </c>
      <c r="C362" s="41" t="s">
        <v>3146</v>
      </c>
      <c r="D362" s="48"/>
      <c r="E362" s="19"/>
      <c r="F362" s="19"/>
      <c r="G362" s="19"/>
      <c r="H362" s="41"/>
      <c r="I362" s="41">
        <v>0</v>
      </c>
      <c r="J362" s="41" t="s">
        <v>3091</v>
      </c>
      <c r="K362" s="41" t="s">
        <v>3082</v>
      </c>
      <c r="L362" s="41" t="s">
        <v>2829</v>
      </c>
      <c r="M362" s="41" t="s">
        <v>300</v>
      </c>
      <c r="N362" s="48"/>
    </row>
    <row r="363" spans="1:14" ht="20.100000000000001" customHeight="1" x14ac:dyDescent="0.25">
      <c r="A363" s="38"/>
      <c r="B363" s="63" t="s">
        <v>3240</v>
      </c>
      <c r="C363" s="41" t="s">
        <v>3147</v>
      </c>
      <c r="D363" s="48"/>
      <c r="E363" s="19"/>
      <c r="F363" s="19"/>
      <c r="G363" s="19"/>
      <c r="H363" s="41"/>
      <c r="I363" s="41">
        <v>0</v>
      </c>
      <c r="J363" s="41" t="s">
        <v>3092</v>
      </c>
      <c r="K363" s="41" t="s">
        <v>3082</v>
      </c>
      <c r="L363" s="41" t="s">
        <v>3239</v>
      </c>
      <c r="M363" s="41" t="s">
        <v>300</v>
      </c>
      <c r="N363" s="48"/>
    </row>
    <row r="364" spans="1:14" ht="20.100000000000001" customHeight="1" x14ac:dyDescent="0.25">
      <c r="A364" s="38"/>
      <c r="B364" s="63" t="s">
        <v>3240</v>
      </c>
      <c r="C364" s="41" t="s">
        <v>3148</v>
      </c>
      <c r="D364" s="48"/>
      <c r="E364" s="19"/>
      <c r="F364" s="19"/>
      <c r="G364" s="19"/>
      <c r="H364" s="41"/>
      <c r="I364" s="41">
        <v>0</v>
      </c>
      <c r="J364" s="41" t="s">
        <v>3092</v>
      </c>
      <c r="K364" s="41" t="s">
        <v>3082</v>
      </c>
      <c r="L364" s="41" t="s">
        <v>3239</v>
      </c>
      <c r="M364" s="41" t="s">
        <v>300</v>
      </c>
      <c r="N364" s="48"/>
    </row>
    <row r="365" spans="1:14" ht="20.100000000000001" customHeight="1" x14ac:dyDescent="0.25">
      <c r="A365" s="38"/>
      <c r="B365" s="63" t="s">
        <v>3240</v>
      </c>
      <c r="C365" s="41" t="s">
        <v>3149</v>
      </c>
      <c r="D365" s="48"/>
      <c r="E365" s="19"/>
      <c r="F365" s="19"/>
      <c r="G365" s="19"/>
      <c r="H365" s="41"/>
      <c r="I365" s="41">
        <v>0</v>
      </c>
      <c r="J365" s="41" t="s">
        <v>3092</v>
      </c>
      <c r="K365" s="41" t="s">
        <v>3082</v>
      </c>
      <c r="L365" s="41" t="s">
        <v>3239</v>
      </c>
      <c r="M365" s="41" t="s">
        <v>300</v>
      </c>
      <c r="N365" s="48"/>
    </row>
    <row r="366" spans="1:14" ht="20.100000000000001" customHeight="1" x14ac:dyDescent="0.25">
      <c r="A366" s="38"/>
      <c r="B366" s="63" t="s">
        <v>3240</v>
      </c>
      <c r="C366" s="41" t="s">
        <v>3150</v>
      </c>
      <c r="D366" s="48"/>
      <c r="E366" s="19"/>
      <c r="F366" s="19"/>
      <c r="G366" s="19"/>
      <c r="H366" s="41"/>
      <c r="I366" s="41">
        <v>0</v>
      </c>
      <c r="J366" s="41" t="s">
        <v>3092</v>
      </c>
      <c r="K366" s="41" t="s">
        <v>3082</v>
      </c>
      <c r="L366" s="41" t="s">
        <v>3239</v>
      </c>
      <c r="M366" s="41" t="s">
        <v>300</v>
      </c>
      <c r="N366" s="48"/>
    </row>
    <row r="367" spans="1:14" ht="20.100000000000001" customHeight="1" x14ac:dyDescent="0.25">
      <c r="A367" s="38"/>
      <c r="B367" s="63">
        <v>1500</v>
      </c>
      <c r="C367" s="41" t="s">
        <v>3255</v>
      </c>
      <c r="D367" s="48"/>
      <c r="E367" s="19"/>
      <c r="F367" s="19"/>
      <c r="G367" s="19"/>
      <c r="H367" s="41"/>
      <c r="I367" s="41">
        <v>0</v>
      </c>
      <c r="J367" s="41" t="s">
        <v>2303</v>
      </c>
      <c r="K367" s="41" t="s">
        <v>3082</v>
      </c>
      <c r="L367" s="41" t="s">
        <v>3024</v>
      </c>
      <c r="M367" s="41" t="s">
        <v>300</v>
      </c>
      <c r="N367" s="48"/>
    </row>
    <row r="368" spans="1:14" ht="20.100000000000001" customHeight="1" x14ac:dyDescent="0.25">
      <c r="A368" s="38"/>
      <c r="B368" s="63">
        <v>1500</v>
      </c>
      <c r="C368" s="41" t="s">
        <v>3255</v>
      </c>
      <c r="D368" s="48"/>
      <c r="E368" s="19"/>
      <c r="F368" s="19"/>
      <c r="G368" s="19"/>
      <c r="H368" s="41"/>
      <c r="I368" s="41">
        <v>0</v>
      </c>
      <c r="J368" s="41" t="s">
        <v>2303</v>
      </c>
      <c r="K368" s="41" t="s">
        <v>3082</v>
      </c>
      <c r="L368" s="41" t="s">
        <v>3024</v>
      </c>
      <c r="M368" s="41" t="s">
        <v>300</v>
      </c>
      <c r="N368" s="48"/>
    </row>
    <row r="369" spans="1:14" ht="20.100000000000001" customHeight="1" x14ac:dyDescent="0.25">
      <c r="A369" s="38"/>
      <c r="B369" s="63" t="s">
        <v>3161</v>
      </c>
      <c r="C369" s="41" t="s">
        <v>3151</v>
      </c>
      <c r="D369" s="48"/>
      <c r="E369" s="19"/>
      <c r="F369" s="19"/>
      <c r="G369" s="19"/>
      <c r="H369" s="41"/>
      <c r="I369" s="41">
        <v>0</v>
      </c>
      <c r="J369" s="41" t="s">
        <v>3091</v>
      </c>
      <c r="K369" s="41" t="s">
        <v>3083</v>
      </c>
      <c r="L369" s="41" t="s">
        <v>2854</v>
      </c>
      <c r="M369" s="41" t="s">
        <v>300</v>
      </c>
      <c r="N369" s="48"/>
    </row>
    <row r="370" spans="1:14" ht="20.100000000000001" customHeight="1" x14ac:dyDescent="0.25">
      <c r="A370" s="38"/>
      <c r="B370" s="63" t="s">
        <v>3161</v>
      </c>
      <c r="C370" s="41" t="s">
        <v>3152</v>
      </c>
      <c r="D370" s="48"/>
      <c r="E370" s="19"/>
      <c r="F370" s="19"/>
      <c r="G370" s="19"/>
      <c r="H370" s="41"/>
      <c r="I370" s="41">
        <v>0</v>
      </c>
      <c r="J370" s="41" t="s">
        <v>3091</v>
      </c>
      <c r="K370" s="41" t="s">
        <v>3083</v>
      </c>
      <c r="L370" s="41" t="s">
        <v>2854</v>
      </c>
      <c r="M370" s="41" t="s">
        <v>300</v>
      </c>
      <c r="N370" s="48"/>
    </row>
    <row r="371" spans="1:14" ht="20.100000000000001" customHeight="1" x14ac:dyDescent="0.25">
      <c r="A371" s="38"/>
      <c r="B371" s="63" t="s">
        <v>3161</v>
      </c>
      <c r="C371" s="41" t="s">
        <v>3153</v>
      </c>
      <c r="D371" s="48"/>
      <c r="E371" s="19"/>
      <c r="F371" s="19"/>
      <c r="G371" s="19"/>
      <c r="H371" s="41"/>
      <c r="I371" s="41">
        <v>0</v>
      </c>
      <c r="J371" s="41" t="s">
        <v>3091</v>
      </c>
      <c r="K371" s="41" t="s">
        <v>3083</v>
      </c>
      <c r="L371" s="41" t="s">
        <v>2854</v>
      </c>
      <c r="M371" s="41" t="s">
        <v>300</v>
      </c>
      <c r="N371" s="48"/>
    </row>
    <row r="372" spans="1:14" ht="20.100000000000001" customHeight="1" x14ac:dyDescent="0.25">
      <c r="A372" s="38"/>
      <c r="B372" s="63" t="s">
        <v>3161</v>
      </c>
      <c r="C372" s="41" t="s">
        <v>3154</v>
      </c>
      <c r="D372" s="48"/>
      <c r="E372" s="19"/>
      <c r="F372" s="19"/>
      <c r="G372" s="19"/>
      <c r="H372" s="41"/>
      <c r="I372" s="41">
        <v>0</v>
      </c>
      <c r="J372" s="41" t="s">
        <v>3091</v>
      </c>
      <c r="K372" s="41" t="s">
        <v>3083</v>
      </c>
      <c r="L372" s="41" t="s">
        <v>2854</v>
      </c>
      <c r="M372" s="41" t="s">
        <v>300</v>
      </c>
      <c r="N372" s="48"/>
    </row>
    <row r="373" spans="1:14" ht="20.100000000000001" customHeight="1" x14ac:dyDescent="0.25">
      <c r="A373" s="38"/>
      <c r="B373" s="63" t="s">
        <v>3240</v>
      </c>
      <c r="C373" s="41" t="s">
        <v>3155</v>
      </c>
      <c r="D373" s="48"/>
      <c r="E373" s="19"/>
      <c r="F373" s="19"/>
      <c r="G373" s="19"/>
      <c r="H373" s="41"/>
      <c r="I373" s="41">
        <v>0</v>
      </c>
      <c r="J373" s="41" t="s">
        <v>3092</v>
      </c>
      <c r="K373" s="41" t="s">
        <v>3083</v>
      </c>
      <c r="L373" s="41" t="s">
        <v>3239</v>
      </c>
      <c r="M373" s="41" t="s">
        <v>300</v>
      </c>
      <c r="N373" s="48"/>
    </row>
    <row r="374" spans="1:14" ht="20.100000000000001" customHeight="1" x14ac:dyDescent="0.25">
      <c r="A374" s="38"/>
      <c r="B374" s="63" t="s">
        <v>3240</v>
      </c>
      <c r="C374" s="41" t="s">
        <v>3156</v>
      </c>
      <c r="D374" s="48"/>
      <c r="E374" s="19"/>
      <c r="F374" s="19"/>
      <c r="G374" s="19"/>
      <c r="H374" s="41"/>
      <c r="I374" s="41">
        <v>0</v>
      </c>
      <c r="J374" s="41" t="s">
        <v>3092</v>
      </c>
      <c r="K374" s="41" t="s">
        <v>3083</v>
      </c>
      <c r="L374" s="41" t="s">
        <v>3239</v>
      </c>
      <c r="M374" s="41" t="s">
        <v>300</v>
      </c>
      <c r="N374" s="48"/>
    </row>
    <row r="375" spans="1:14" ht="20.100000000000001" customHeight="1" x14ac:dyDescent="0.25">
      <c r="A375" s="38"/>
      <c r="B375" s="63" t="s">
        <v>3240</v>
      </c>
      <c r="C375" s="41" t="s">
        <v>3157</v>
      </c>
      <c r="D375" s="48"/>
      <c r="E375" s="19"/>
      <c r="F375" s="19"/>
      <c r="G375" s="19"/>
      <c r="H375" s="41"/>
      <c r="I375" s="41">
        <v>0</v>
      </c>
      <c r="J375" s="41" t="s">
        <v>3092</v>
      </c>
      <c r="K375" s="41" t="s">
        <v>3083</v>
      </c>
      <c r="L375" s="41" t="s">
        <v>3239</v>
      </c>
      <c r="M375" s="41" t="s">
        <v>300</v>
      </c>
      <c r="N375" s="48"/>
    </row>
    <row r="376" spans="1:14" ht="20.100000000000001" customHeight="1" x14ac:dyDescent="0.25">
      <c r="A376" s="38"/>
      <c r="B376" s="63" t="s">
        <v>3240</v>
      </c>
      <c r="C376" s="41" t="s">
        <v>3158</v>
      </c>
      <c r="D376" s="48"/>
      <c r="E376" s="19"/>
      <c r="F376" s="19"/>
      <c r="G376" s="19"/>
      <c r="H376" s="41"/>
      <c r="I376" s="41">
        <v>0</v>
      </c>
      <c r="J376" s="41" t="s">
        <v>3092</v>
      </c>
      <c r="K376" s="41" t="s">
        <v>3083</v>
      </c>
      <c r="L376" s="41" t="s">
        <v>3239</v>
      </c>
      <c r="M376" s="41" t="s">
        <v>300</v>
      </c>
      <c r="N376" s="48"/>
    </row>
    <row r="377" spans="1:14" ht="20.100000000000001" customHeight="1" x14ac:dyDescent="0.25">
      <c r="A377" s="38"/>
      <c r="B377" s="63">
        <v>1500</v>
      </c>
      <c r="C377" s="41" t="s">
        <v>3159</v>
      </c>
      <c r="D377" s="48"/>
      <c r="E377" s="19"/>
      <c r="F377" s="19"/>
      <c r="G377" s="19"/>
      <c r="H377" s="41"/>
      <c r="I377" s="41">
        <v>0</v>
      </c>
      <c r="J377" s="41" t="s">
        <v>2303</v>
      </c>
      <c r="K377" s="41" t="s">
        <v>3083</v>
      </c>
      <c r="L377" s="41" t="s">
        <v>3024</v>
      </c>
      <c r="M377" s="41" t="s">
        <v>300</v>
      </c>
      <c r="N377" s="48"/>
    </row>
    <row r="378" spans="1:14" ht="20.100000000000001" customHeight="1" x14ac:dyDescent="0.25">
      <c r="A378" s="38"/>
      <c r="B378" s="63">
        <v>1500</v>
      </c>
      <c r="C378" s="41" t="s">
        <v>3159</v>
      </c>
      <c r="D378" s="48"/>
      <c r="E378" s="19"/>
      <c r="F378" s="19"/>
      <c r="G378" s="19"/>
      <c r="H378" s="41"/>
      <c r="I378" s="41">
        <v>0</v>
      </c>
      <c r="J378" s="41" t="s">
        <v>2303</v>
      </c>
      <c r="K378" s="41" t="s">
        <v>3083</v>
      </c>
      <c r="L378" s="41" t="s">
        <v>3024</v>
      </c>
      <c r="M378" s="41" t="s">
        <v>300</v>
      </c>
      <c r="N378" s="48"/>
    </row>
    <row r="379" spans="1:14" ht="20.100000000000001" customHeight="1" x14ac:dyDescent="0.25">
      <c r="A379" s="38"/>
      <c r="B379" s="63" t="s">
        <v>3263</v>
      </c>
      <c r="C379" s="41" t="s">
        <v>3260</v>
      </c>
      <c r="D379" s="48"/>
      <c r="E379" s="19"/>
      <c r="F379" s="19"/>
      <c r="G379" s="19"/>
      <c r="H379" s="41"/>
      <c r="I379" s="41">
        <v>1</v>
      </c>
      <c r="J379" s="41" t="s">
        <v>3091</v>
      </c>
      <c r="K379" s="41" t="s">
        <v>93</v>
      </c>
      <c r="L379" s="41" t="s">
        <v>1022</v>
      </c>
      <c r="M379" s="41" t="s">
        <v>305</v>
      </c>
      <c r="N379" s="48"/>
    </row>
    <row r="380" spans="1:14" ht="20.100000000000001" customHeight="1" x14ac:dyDescent="0.25">
      <c r="A380" s="38"/>
      <c r="B380" s="63" t="s">
        <v>3263</v>
      </c>
      <c r="C380" s="41" t="s">
        <v>3261</v>
      </c>
      <c r="D380" s="48"/>
      <c r="E380" s="19"/>
      <c r="F380" s="19"/>
      <c r="G380" s="19"/>
      <c r="H380" s="41"/>
      <c r="I380" s="41">
        <v>1</v>
      </c>
      <c r="J380" s="41" t="s">
        <v>3091</v>
      </c>
      <c r="K380" s="41" t="s">
        <v>93</v>
      </c>
      <c r="L380" s="41" t="s">
        <v>1022</v>
      </c>
      <c r="M380" s="41" t="s">
        <v>305</v>
      </c>
      <c r="N380" s="48"/>
    </row>
    <row r="381" spans="1:14" ht="20.100000000000001" customHeight="1" x14ac:dyDescent="0.25">
      <c r="A381" s="38"/>
      <c r="B381" s="63" t="s">
        <v>3264</v>
      </c>
      <c r="C381" s="41" t="s">
        <v>3262</v>
      </c>
      <c r="D381" s="48"/>
      <c r="E381" s="19"/>
      <c r="F381" s="19"/>
      <c r="G381" s="19"/>
      <c r="H381" s="41"/>
      <c r="I381" s="41">
        <v>1</v>
      </c>
      <c r="J381" s="41" t="s">
        <v>3091</v>
      </c>
      <c r="K381" s="41" t="s">
        <v>93</v>
      </c>
      <c r="L381" s="41" t="s">
        <v>2367</v>
      </c>
      <c r="M381" s="41" t="s">
        <v>305</v>
      </c>
      <c r="N381" s="48"/>
    </row>
    <row r="382" spans="1:14" ht="20.100000000000001" customHeight="1" x14ac:dyDescent="0.25">
      <c r="A382" s="38"/>
      <c r="B382" s="63" t="s">
        <v>3269</v>
      </c>
      <c r="C382" s="41" t="s">
        <v>3266</v>
      </c>
      <c r="D382" s="48"/>
      <c r="E382" s="19"/>
      <c r="F382" s="19"/>
      <c r="G382" s="19"/>
      <c r="H382" s="41"/>
      <c r="I382" s="41">
        <v>1</v>
      </c>
      <c r="J382" s="41" t="s">
        <v>3092</v>
      </c>
      <c r="K382" s="41" t="s">
        <v>93</v>
      </c>
      <c r="L382" s="41" t="s">
        <v>3265</v>
      </c>
      <c r="M382" s="41" t="s">
        <v>305</v>
      </c>
      <c r="N382" s="48"/>
    </row>
    <row r="383" spans="1:14" ht="20.100000000000001" customHeight="1" x14ac:dyDescent="0.25">
      <c r="A383" s="38"/>
      <c r="B383" s="63" t="s">
        <v>3269</v>
      </c>
      <c r="C383" s="41" t="s">
        <v>3267</v>
      </c>
      <c r="D383" s="48"/>
      <c r="E383" s="19"/>
      <c r="F383" s="19"/>
      <c r="G383" s="19"/>
      <c r="H383" s="41"/>
      <c r="I383" s="41">
        <v>1</v>
      </c>
      <c r="J383" s="41" t="s">
        <v>3092</v>
      </c>
      <c r="K383" s="41" t="s">
        <v>93</v>
      </c>
      <c r="L383" s="41" t="s">
        <v>3265</v>
      </c>
      <c r="M383" s="41" t="s">
        <v>305</v>
      </c>
      <c r="N383" s="48"/>
    </row>
    <row r="384" spans="1:14" ht="20.100000000000001" customHeight="1" x14ac:dyDescent="0.25">
      <c r="A384" s="38"/>
      <c r="B384" s="63" t="s">
        <v>3269</v>
      </c>
      <c r="C384" s="41" t="s">
        <v>3268</v>
      </c>
      <c r="D384" s="48"/>
      <c r="E384" s="19"/>
      <c r="F384" s="19"/>
      <c r="G384" s="19"/>
      <c r="H384" s="41"/>
      <c r="I384" s="41">
        <v>1</v>
      </c>
      <c r="J384" s="41" t="s">
        <v>3092</v>
      </c>
      <c r="K384" s="41" t="s">
        <v>93</v>
      </c>
      <c r="L384" s="41" t="s">
        <v>2367</v>
      </c>
      <c r="M384" s="41" t="s">
        <v>305</v>
      </c>
      <c r="N384" s="48"/>
    </row>
    <row r="385" spans="1:14" ht="20.100000000000001" customHeight="1" x14ac:dyDescent="0.25">
      <c r="A385" s="38"/>
      <c r="B385" s="63" t="s">
        <v>3276</v>
      </c>
      <c r="C385" s="41" t="s">
        <v>3280</v>
      </c>
      <c r="D385" s="48"/>
      <c r="E385" s="19"/>
      <c r="F385" s="19"/>
      <c r="G385" s="19"/>
      <c r="H385" s="41"/>
      <c r="I385" s="41">
        <v>1</v>
      </c>
      <c r="J385" s="41" t="s">
        <v>3093</v>
      </c>
      <c r="K385" s="41" t="s">
        <v>93</v>
      </c>
      <c r="L385" s="41" t="s">
        <v>3270</v>
      </c>
      <c r="M385" s="41" t="s">
        <v>305</v>
      </c>
      <c r="N385" s="48"/>
    </row>
    <row r="386" spans="1:14" ht="20.100000000000001" customHeight="1" x14ac:dyDescent="0.25">
      <c r="A386" s="38"/>
      <c r="B386" s="63" t="s">
        <v>3276</v>
      </c>
      <c r="C386" s="41" t="s">
        <v>3281</v>
      </c>
      <c r="D386" s="48"/>
      <c r="E386" s="19"/>
      <c r="F386" s="19"/>
      <c r="G386" s="19"/>
      <c r="H386" s="41"/>
      <c r="I386" s="41">
        <v>1</v>
      </c>
      <c r="J386" s="41" t="s">
        <v>3093</v>
      </c>
      <c r="K386" s="41" t="s">
        <v>93</v>
      </c>
      <c r="L386" s="41" t="s">
        <v>3270</v>
      </c>
      <c r="M386" s="41" t="s">
        <v>305</v>
      </c>
      <c r="N386" s="48"/>
    </row>
    <row r="387" spans="1:14" ht="20.100000000000001" customHeight="1" x14ac:dyDescent="0.25">
      <c r="A387" s="38"/>
      <c r="B387" s="63" t="s">
        <v>3276</v>
      </c>
      <c r="C387" s="41" t="s">
        <v>3282</v>
      </c>
      <c r="D387" s="48"/>
      <c r="E387" s="19"/>
      <c r="F387" s="19"/>
      <c r="G387" s="19"/>
      <c r="H387" s="41"/>
      <c r="I387" s="41">
        <v>1</v>
      </c>
      <c r="J387" s="41" t="s">
        <v>3093</v>
      </c>
      <c r="K387" s="41" t="s">
        <v>93</v>
      </c>
      <c r="L387" s="41" t="s">
        <v>3270</v>
      </c>
      <c r="M387" s="41" t="s">
        <v>305</v>
      </c>
      <c r="N387" s="48"/>
    </row>
    <row r="388" spans="1:14" ht="20.100000000000001" customHeight="1" x14ac:dyDescent="0.25">
      <c r="A388" s="38"/>
      <c r="B388" s="63" t="s">
        <v>3277</v>
      </c>
      <c r="C388" s="41" t="s">
        <v>3283</v>
      </c>
      <c r="D388" s="48"/>
      <c r="E388" s="19"/>
      <c r="F388" s="19"/>
      <c r="G388" s="19"/>
      <c r="H388" s="41"/>
      <c r="I388" s="41">
        <v>1</v>
      </c>
      <c r="J388" s="41" t="s">
        <v>3093</v>
      </c>
      <c r="K388" s="41" t="s">
        <v>93</v>
      </c>
      <c r="L388" s="41" t="s">
        <v>1015</v>
      </c>
      <c r="M388" s="41" t="s">
        <v>305</v>
      </c>
      <c r="N388" s="48"/>
    </row>
    <row r="389" spans="1:14" ht="20.100000000000001" customHeight="1" x14ac:dyDescent="0.25">
      <c r="A389" s="38"/>
      <c r="B389" s="63" t="s">
        <v>3277</v>
      </c>
      <c r="C389" s="41" t="s">
        <v>3284</v>
      </c>
      <c r="D389" s="48"/>
      <c r="E389" s="19"/>
      <c r="F389" s="19"/>
      <c r="G389" s="19"/>
      <c r="H389" s="41"/>
      <c r="I389" s="41">
        <v>1</v>
      </c>
      <c r="J389" s="41" t="s">
        <v>3093</v>
      </c>
      <c r="K389" s="41" t="s">
        <v>93</v>
      </c>
      <c r="L389" s="41" t="s">
        <v>1015</v>
      </c>
      <c r="M389" s="41" t="s">
        <v>305</v>
      </c>
      <c r="N389" s="48"/>
    </row>
    <row r="390" spans="1:14" ht="20.100000000000001" customHeight="1" x14ac:dyDescent="0.25">
      <c r="A390" s="38"/>
      <c r="B390" s="63" t="s">
        <v>3285</v>
      </c>
      <c r="C390" s="41" t="s">
        <v>3271</v>
      </c>
      <c r="D390" s="48"/>
      <c r="E390" s="19"/>
      <c r="F390" s="19"/>
      <c r="G390" s="19"/>
      <c r="H390" s="41"/>
      <c r="I390" s="41">
        <v>1</v>
      </c>
      <c r="J390" s="41" t="s">
        <v>3094</v>
      </c>
      <c r="K390" s="41" t="s">
        <v>93</v>
      </c>
      <c r="L390" s="41" t="s">
        <v>3278</v>
      </c>
      <c r="M390" s="41" t="s">
        <v>305</v>
      </c>
      <c r="N390" s="48"/>
    </row>
    <row r="391" spans="1:14" ht="20.100000000000001" customHeight="1" x14ac:dyDescent="0.25">
      <c r="A391" s="38"/>
      <c r="B391" s="63" t="s">
        <v>3285</v>
      </c>
      <c r="C391" s="41" t="s">
        <v>3272</v>
      </c>
      <c r="D391" s="48"/>
      <c r="E391" s="19"/>
      <c r="F391" s="19"/>
      <c r="G391" s="19"/>
      <c r="H391" s="41"/>
      <c r="I391" s="41">
        <v>1</v>
      </c>
      <c r="J391" s="41" t="s">
        <v>3094</v>
      </c>
      <c r="K391" s="41" t="s">
        <v>93</v>
      </c>
      <c r="L391" s="41" t="s">
        <v>3278</v>
      </c>
      <c r="M391" s="41" t="s">
        <v>305</v>
      </c>
      <c r="N391" s="48"/>
    </row>
    <row r="392" spans="1:14" ht="20.100000000000001" customHeight="1" x14ac:dyDescent="0.25">
      <c r="A392" s="38"/>
      <c r="B392" s="63" t="s">
        <v>3285</v>
      </c>
      <c r="C392" s="41" t="s">
        <v>3273</v>
      </c>
      <c r="D392" s="48"/>
      <c r="E392" s="19"/>
      <c r="F392" s="19"/>
      <c r="G392" s="19"/>
      <c r="H392" s="41"/>
      <c r="I392" s="41">
        <v>1</v>
      </c>
      <c r="J392" s="41" t="s">
        <v>3094</v>
      </c>
      <c r="K392" s="41" t="s">
        <v>93</v>
      </c>
      <c r="L392" s="41" t="s">
        <v>3278</v>
      </c>
      <c r="M392" s="41" t="s">
        <v>305</v>
      </c>
      <c r="N392" s="48"/>
    </row>
    <row r="393" spans="1:14" ht="20.100000000000001" customHeight="1" x14ac:dyDescent="0.25">
      <c r="A393" s="38"/>
      <c r="B393" s="63" t="s">
        <v>3286</v>
      </c>
      <c r="C393" s="41" t="s">
        <v>3274</v>
      </c>
      <c r="D393" s="48"/>
      <c r="E393" s="19"/>
      <c r="F393" s="19"/>
      <c r="G393" s="19"/>
      <c r="H393" s="41"/>
      <c r="I393" s="41">
        <v>1</v>
      </c>
      <c r="J393" s="41" t="s">
        <v>3094</v>
      </c>
      <c r="K393" s="41" t="s">
        <v>93</v>
      </c>
      <c r="L393" s="41" t="s">
        <v>3279</v>
      </c>
      <c r="M393" s="41" t="s">
        <v>305</v>
      </c>
      <c r="N393" s="48"/>
    </row>
    <row r="394" spans="1:14" ht="20.100000000000001" customHeight="1" x14ac:dyDescent="0.25">
      <c r="A394" s="38"/>
      <c r="B394" s="63" t="s">
        <v>3286</v>
      </c>
      <c r="C394" s="41" t="s">
        <v>3275</v>
      </c>
      <c r="D394" s="48"/>
      <c r="E394" s="19"/>
      <c r="F394" s="19"/>
      <c r="G394" s="19"/>
      <c r="H394" s="41"/>
      <c r="I394" s="41">
        <v>1</v>
      </c>
      <c r="J394" s="41" t="s">
        <v>3094</v>
      </c>
      <c r="K394" s="41" t="s">
        <v>93</v>
      </c>
      <c r="L394" s="41" t="s">
        <v>3279</v>
      </c>
      <c r="M394" s="41" t="s">
        <v>305</v>
      </c>
      <c r="N394" s="48"/>
    </row>
    <row r="395" spans="1:14" ht="20.100000000000001" customHeight="1" x14ac:dyDescent="0.25">
      <c r="A395" s="38"/>
      <c r="B395" s="63"/>
      <c r="C395" s="41" t="s">
        <v>3288</v>
      </c>
      <c r="D395" s="48"/>
      <c r="E395" s="19"/>
      <c r="F395" s="19"/>
      <c r="G395" s="19"/>
      <c r="H395" s="41"/>
      <c r="I395" s="41">
        <v>1</v>
      </c>
      <c r="J395" s="41" t="s">
        <v>2303</v>
      </c>
      <c r="K395" s="41" t="s">
        <v>93</v>
      </c>
      <c r="L395" s="41" t="s">
        <v>3287</v>
      </c>
      <c r="M395" s="41" t="s">
        <v>305</v>
      </c>
      <c r="N395" s="48"/>
    </row>
    <row r="396" spans="1:14" ht="20.100000000000001" customHeight="1" x14ac:dyDescent="0.25">
      <c r="A396" s="38"/>
      <c r="B396" s="63"/>
      <c r="C396" s="41" t="s">
        <v>3289</v>
      </c>
      <c r="D396" s="48"/>
      <c r="E396" s="19"/>
      <c r="F396" s="19"/>
      <c r="G396" s="19"/>
      <c r="H396" s="41"/>
      <c r="I396" s="41">
        <v>1</v>
      </c>
      <c r="J396" s="41" t="s">
        <v>2303</v>
      </c>
      <c r="K396" s="41" t="s">
        <v>93</v>
      </c>
      <c r="L396" s="41" t="s">
        <v>3287</v>
      </c>
      <c r="M396" s="41" t="s">
        <v>305</v>
      </c>
      <c r="N396" s="48"/>
    </row>
    <row r="397" spans="1:14" ht="20.100000000000001" customHeight="1" x14ac:dyDescent="0.25">
      <c r="A397" s="38"/>
      <c r="B397" s="63"/>
      <c r="C397" s="41" t="s">
        <v>3290</v>
      </c>
      <c r="D397" s="48"/>
      <c r="E397" s="19"/>
      <c r="F397" s="19"/>
      <c r="G397" s="19"/>
      <c r="H397" s="41"/>
      <c r="I397" s="41">
        <v>1</v>
      </c>
      <c r="J397" s="41" t="s">
        <v>2303</v>
      </c>
      <c r="K397" s="41" t="s">
        <v>93</v>
      </c>
      <c r="L397" s="41" t="s">
        <v>3287</v>
      </c>
      <c r="M397" s="41" t="s">
        <v>305</v>
      </c>
      <c r="N397" s="48"/>
    </row>
    <row r="398" spans="1:14" ht="20.100000000000001" customHeight="1" x14ac:dyDescent="0.25">
      <c r="A398" s="38"/>
      <c r="B398" s="63"/>
      <c r="C398" s="41" t="s">
        <v>3291</v>
      </c>
      <c r="D398" s="48"/>
      <c r="E398" s="19"/>
      <c r="F398" s="19"/>
      <c r="G398" s="19"/>
      <c r="H398" s="41"/>
      <c r="I398" s="41">
        <v>1</v>
      </c>
      <c r="J398" s="41" t="s">
        <v>2304</v>
      </c>
      <c r="K398" s="41" t="s">
        <v>93</v>
      </c>
      <c r="L398" s="41"/>
      <c r="M398" s="41" t="s">
        <v>305</v>
      </c>
      <c r="N398" s="48"/>
    </row>
    <row r="399" spans="1:14" ht="20.100000000000001" customHeight="1" x14ac:dyDescent="0.25">
      <c r="A399" s="38"/>
      <c r="B399" s="63" t="s">
        <v>3341</v>
      </c>
      <c r="C399" s="41" t="s">
        <v>3343</v>
      </c>
      <c r="D399" s="48"/>
      <c r="E399" s="19"/>
      <c r="F399" s="19"/>
      <c r="G399" s="19"/>
      <c r="H399" s="41"/>
      <c r="I399" s="41">
        <v>1</v>
      </c>
      <c r="J399" s="41" t="s">
        <v>3091</v>
      </c>
      <c r="K399" s="41" t="s">
        <v>3342</v>
      </c>
      <c r="L399" s="41" t="s">
        <v>1015</v>
      </c>
      <c r="M399" s="41" t="s">
        <v>308</v>
      </c>
      <c r="N399" s="48"/>
    </row>
    <row r="400" spans="1:14" ht="20.100000000000001" customHeight="1" x14ac:dyDescent="0.25">
      <c r="A400" s="38"/>
      <c r="B400" s="63" t="s">
        <v>3341</v>
      </c>
      <c r="C400" s="41" t="s">
        <v>3344</v>
      </c>
      <c r="D400" s="48"/>
      <c r="E400" s="19"/>
      <c r="F400" s="19"/>
      <c r="G400" s="19"/>
      <c r="H400" s="41"/>
      <c r="I400" s="41">
        <v>1</v>
      </c>
      <c r="J400" s="41" t="s">
        <v>3091</v>
      </c>
      <c r="K400" s="41" t="s">
        <v>3342</v>
      </c>
      <c r="L400" s="41" t="s">
        <v>1015</v>
      </c>
      <c r="M400" s="41" t="s">
        <v>308</v>
      </c>
      <c r="N400" s="48"/>
    </row>
    <row r="401" spans="1:14" ht="20.100000000000001" customHeight="1" x14ac:dyDescent="0.25">
      <c r="A401" s="38"/>
      <c r="B401" s="63" t="s">
        <v>3341</v>
      </c>
      <c r="C401" s="41" t="s">
        <v>3345</v>
      </c>
      <c r="D401" s="48"/>
      <c r="E401" s="19"/>
      <c r="F401" s="19"/>
      <c r="G401" s="19"/>
      <c r="H401" s="41"/>
      <c r="I401" s="41">
        <v>1</v>
      </c>
      <c r="J401" s="41" t="s">
        <v>3091</v>
      </c>
      <c r="K401" s="41" t="s">
        <v>3342</v>
      </c>
      <c r="L401" s="41" t="s">
        <v>1015</v>
      </c>
      <c r="M401" s="41" t="s">
        <v>308</v>
      </c>
      <c r="N401" s="48"/>
    </row>
    <row r="402" spans="1:14" ht="20.100000000000001" customHeight="1" x14ac:dyDescent="0.25">
      <c r="A402" s="38"/>
      <c r="B402" s="63" t="s">
        <v>3341</v>
      </c>
      <c r="C402" s="41" t="s">
        <v>3346</v>
      </c>
      <c r="D402" s="48"/>
      <c r="E402" s="19"/>
      <c r="F402" s="19"/>
      <c r="G402" s="19"/>
      <c r="H402" s="41"/>
      <c r="I402" s="41">
        <v>1</v>
      </c>
      <c r="J402" s="41" t="s">
        <v>3091</v>
      </c>
      <c r="K402" s="41" t="s">
        <v>3342</v>
      </c>
      <c r="L402" s="41" t="s">
        <v>1015</v>
      </c>
      <c r="M402" s="41" t="s">
        <v>308</v>
      </c>
      <c r="N402" s="48"/>
    </row>
    <row r="403" spans="1:14" ht="20.100000000000001" customHeight="1" x14ac:dyDescent="0.25">
      <c r="A403" s="38"/>
      <c r="B403" s="63" t="s">
        <v>3341</v>
      </c>
      <c r="C403" s="41" t="s">
        <v>3347</v>
      </c>
      <c r="D403" s="48"/>
      <c r="E403" s="19"/>
      <c r="F403" s="19"/>
      <c r="G403" s="19"/>
      <c r="H403" s="41"/>
      <c r="I403" s="41">
        <v>1</v>
      </c>
      <c r="J403" s="41" t="s">
        <v>3091</v>
      </c>
      <c r="K403" s="41" t="s">
        <v>3342</v>
      </c>
      <c r="L403" s="41" t="s">
        <v>1015</v>
      </c>
      <c r="M403" s="41" t="s">
        <v>308</v>
      </c>
      <c r="N403" s="48"/>
    </row>
    <row r="404" spans="1:14" ht="20.100000000000001" customHeight="1" x14ac:dyDescent="0.25">
      <c r="A404" s="38"/>
      <c r="B404" s="63" t="s">
        <v>3348</v>
      </c>
      <c r="C404" s="41" t="s">
        <v>3350</v>
      </c>
      <c r="D404" s="48"/>
      <c r="E404" s="19"/>
      <c r="F404" s="19"/>
      <c r="G404" s="19"/>
      <c r="H404" s="41"/>
      <c r="I404" s="41">
        <v>1</v>
      </c>
      <c r="J404" s="41" t="s">
        <v>3092</v>
      </c>
      <c r="K404" s="41" t="s">
        <v>3342</v>
      </c>
      <c r="L404" s="41" t="s">
        <v>3349</v>
      </c>
      <c r="M404" s="41" t="s">
        <v>308</v>
      </c>
      <c r="N404" s="48"/>
    </row>
    <row r="405" spans="1:14" ht="20.100000000000001" customHeight="1" x14ac:dyDescent="0.25">
      <c r="A405" s="38"/>
      <c r="B405" s="63" t="s">
        <v>3348</v>
      </c>
      <c r="C405" s="41" t="s">
        <v>3351</v>
      </c>
      <c r="D405" s="48"/>
      <c r="E405" s="19"/>
      <c r="F405" s="19"/>
      <c r="G405" s="19"/>
      <c r="H405" s="41"/>
      <c r="I405" s="41">
        <v>1</v>
      </c>
      <c r="J405" s="41" t="s">
        <v>3092</v>
      </c>
      <c r="K405" s="41" t="s">
        <v>3342</v>
      </c>
      <c r="L405" s="41" t="s">
        <v>3349</v>
      </c>
      <c r="M405" s="41" t="s">
        <v>308</v>
      </c>
      <c r="N405" s="48"/>
    </row>
    <row r="406" spans="1:14" ht="20.100000000000001" customHeight="1" x14ac:dyDescent="0.25">
      <c r="A406" s="38"/>
      <c r="B406" s="63" t="s">
        <v>3348</v>
      </c>
      <c r="C406" s="41" t="s">
        <v>3352</v>
      </c>
      <c r="D406" s="48"/>
      <c r="E406" s="19"/>
      <c r="F406" s="19"/>
      <c r="G406" s="19"/>
      <c r="H406" s="41"/>
      <c r="I406" s="41">
        <v>1</v>
      </c>
      <c r="J406" s="41" t="s">
        <v>3092</v>
      </c>
      <c r="K406" s="41" t="s">
        <v>3342</v>
      </c>
      <c r="L406" s="41" t="s">
        <v>3349</v>
      </c>
      <c r="M406" s="41" t="s">
        <v>308</v>
      </c>
      <c r="N406" s="48"/>
    </row>
    <row r="407" spans="1:14" ht="20.100000000000001" customHeight="1" x14ac:dyDescent="0.25">
      <c r="A407" s="38"/>
      <c r="B407" s="63" t="s">
        <v>3348</v>
      </c>
      <c r="C407" s="41" t="s">
        <v>3353</v>
      </c>
      <c r="D407" s="48"/>
      <c r="E407" s="19"/>
      <c r="F407" s="19"/>
      <c r="G407" s="19"/>
      <c r="H407" s="41"/>
      <c r="I407" s="41">
        <v>1</v>
      </c>
      <c r="J407" s="41" t="s">
        <v>3092</v>
      </c>
      <c r="K407" s="41" t="s">
        <v>3342</v>
      </c>
      <c r="L407" s="41" t="s">
        <v>3349</v>
      </c>
      <c r="M407" s="41" t="s">
        <v>308</v>
      </c>
      <c r="N407" s="48"/>
    </row>
    <row r="408" spans="1:14" ht="20.100000000000001" customHeight="1" x14ac:dyDescent="0.25">
      <c r="A408" s="38"/>
      <c r="B408" s="63" t="s">
        <v>3348</v>
      </c>
      <c r="C408" s="41" t="s">
        <v>3354</v>
      </c>
      <c r="D408" s="48"/>
      <c r="E408" s="19"/>
      <c r="F408" s="19"/>
      <c r="G408" s="19"/>
      <c r="H408" s="41"/>
      <c r="I408" s="41">
        <v>1</v>
      </c>
      <c r="J408" s="41" t="s">
        <v>3092</v>
      </c>
      <c r="K408" s="41" t="s">
        <v>3342</v>
      </c>
      <c r="L408" s="41" t="s">
        <v>3349</v>
      </c>
      <c r="M408" s="41" t="s">
        <v>308</v>
      </c>
      <c r="N408" s="48"/>
    </row>
    <row r="409" spans="1:14" ht="20.100000000000001" customHeight="1" x14ac:dyDescent="0.25">
      <c r="A409" s="38"/>
      <c r="B409" s="63" t="s">
        <v>3355</v>
      </c>
      <c r="C409" s="41" t="s">
        <v>3356</v>
      </c>
      <c r="D409" s="48"/>
      <c r="E409" s="19"/>
      <c r="F409" s="19"/>
      <c r="G409" s="19"/>
      <c r="H409" s="41"/>
      <c r="I409" s="41">
        <v>1</v>
      </c>
      <c r="J409" s="41" t="s">
        <v>3093</v>
      </c>
      <c r="K409" s="41" t="s">
        <v>3342</v>
      </c>
      <c r="L409" s="41" t="s">
        <v>1015</v>
      </c>
      <c r="M409" s="41" t="s">
        <v>308</v>
      </c>
      <c r="N409" s="48"/>
    </row>
    <row r="410" spans="1:14" ht="20.100000000000001" customHeight="1" x14ac:dyDescent="0.25">
      <c r="A410" s="38"/>
      <c r="B410" s="63" t="s">
        <v>3355</v>
      </c>
      <c r="C410" s="41" t="s">
        <v>3357</v>
      </c>
      <c r="D410" s="48"/>
      <c r="E410" s="19"/>
      <c r="F410" s="19"/>
      <c r="G410" s="19"/>
      <c r="H410" s="41"/>
      <c r="I410" s="41">
        <v>1</v>
      </c>
      <c r="J410" s="41" t="s">
        <v>3093</v>
      </c>
      <c r="K410" s="41" t="s">
        <v>3342</v>
      </c>
      <c r="L410" s="41" t="s">
        <v>1015</v>
      </c>
      <c r="M410" s="41" t="s">
        <v>308</v>
      </c>
      <c r="N410" s="48"/>
    </row>
    <row r="411" spans="1:14" ht="20.100000000000001" customHeight="1" x14ac:dyDescent="0.25">
      <c r="A411" s="38"/>
      <c r="B411" s="63" t="s">
        <v>3355</v>
      </c>
      <c r="C411" s="41" t="s">
        <v>3358</v>
      </c>
      <c r="D411" s="48"/>
      <c r="E411" s="19"/>
      <c r="F411" s="19"/>
      <c r="G411" s="19"/>
      <c r="H411" s="41"/>
      <c r="I411" s="41">
        <v>1</v>
      </c>
      <c r="J411" s="41" t="s">
        <v>3093</v>
      </c>
      <c r="K411" s="41" t="s">
        <v>3342</v>
      </c>
      <c r="L411" s="41" t="s">
        <v>1015</v>
      </c>
      <c r="M411" s="41" t="s">
        <v>308</v>
      </c>
      <c r="N411" s="48"/>
    </row>
    <row r="412" spans="1:14" ht="20.100000000000001" customHeight="1" x14ac:dyDescent="0.25">
      <c r="A412" s="38"/>
      <c r="B412" s="63" t="s">
        <v>3355</v>
      </c>
      <c r="C412" s="41" t="s">
        <v>3359</v>
      </c>
      <c r="D412" s="48"/>
      <c r="E412" s="19"/>
      <c r="F412" s="19"/>
      <c r="G412" s="19"/>
      <c r="H412" s="41"/>
      <c r="I412" s="41">
        <v>1</v>
      </c>
      <c r="J412" s="41" t="s">
        <v>3093</v>
      </c>
      <c r="K412" s="41" t="s">
        <v>3342</v>
      </c>
      <c r="L412" s="41" t="s">
        <v>1015</v>
      </c>
      <c r="M412" s="41" t="s">
        <v>308</v>
      </c>
      <c r="N412" s="48"/>
    </row>
    <row r="413" spans="1:14" ht="20.100000000000001" customHeight="1" x14ac:dyDescent="0.25">
      <c r="A413" s="38"/>
      <c r="B413" s="63" t="s">
        <v>3348</v>
      </c>
      <c r="C413" s="41" t="s">
        <v>3360</v>
      </c>
      <c r="D413" s="48"/>
      <c r="E413" s="19"/>
      <c r="F413" s="19"/>
      <c r="G413" s="19"/>
      <c r="H413" s="41"/>
      <c r="I413" s="41">
        <v>1</v>
      </c>
      <c r="J413" s="41" t="s">
        <v>3092</v>
      </c>
      <c r="K413" s="41" t="s">
        <v>3342</v>
      </c>
      <c r="L413" s="41" t="s">
        <v>3349</v>
      </c>
      <c r="M413" s="41" t="s">
        <v>308</v>
      </c>
      <c r="N413" s="48"/>
    </row>
    <row r="414" spans="1:14" ht="20.100000000000001" customHeight="1" x14ac:dyDescent="0.25">
      <c r="A414" s="38"/>
      <c r="B414" s="63"/>
      <c r="C414" s="41"/>
      <c r="D414" s="48"/>
      <c r="E414" s="19"/>
      <c r="F414" s="19"/>
      <c r="G414" s="19"/>
      <c r="H414" s="41"/>
      <c r="I414" s="41"/>
      <c r="J414" s="41"/>
      <c r="K414" s="41"/>
      <c r="L414" s="41"/>
      <c r="M414" s="41"/>
      <c r="N414" s="48"/>
    </row>
    <row r="415" spans="1:14" ht="20.100000000000001" customHeight="1" x14ac:dyDescent="0.25">
      <c r="A415" s="38"/>
      <c r="B415" s="63"/>
      <c r="C415" s="41"/>
      <c r="D415" s="48"/>
      <c r="E415" s="19"/>
      <c r="F415" s="19"/>
      <c r="G415" s="19"/>
      <c r="H415" s="41"/>
      <c r="I415" s="41"/>
      <c r="J415" s="41"/>
      <c r="K415" s="41"/>
      <c r="L415" s="41"/>
      <c r="M415" s="41"/>
      <c r="N415" s="48"/>
    </row>
    <row r="416" spans="1:14" ht="20.100000000000001" customHeight="1" x14ac:dyDescent="0.25">
      <c r="A416" s="38"/>
      <c r="B416" s="63"/>
      <c r="C416" s="41"/>
      <c r="D416" s="48"/>
      <c r="E416" s="19"/>
      <c r="F416" s="19"/>
      <c r="G416" s="19"/>
      <c r="H416" s="41"/>
      <c r="I416" s="41"/>
      <c r="J416" s="41"/>
      <c r="K416" s="41"/>
      <c r="L416" s="41"/>
      <c r="M416" s="41"/>
      <c r="N416" s="48"/>
    </row>
    <row r="417" spans="1:14" ht="20.100000000000001" customHeight="1" x14ac:dyDescent="0.25">
      <c r="A417" s="38"/>
      <c r="B417" s="63"/>
      <c r="C417" s="41"/>
      <c r="D417" s="48"/>
      <c r="E417" s="19"/>
      <c r="F417" s="19"/>
      <c r="G417" s="19"/>
      <c r="H417" s="41"/>
      <c r="I417" s="41"/>
      <c r="J417" s="41"/>
      <c r="K417" s="41"/>
      <c r="L417" s="41"/>
      <c r="M417" s="41"/>
      <c r="N417" s="48"/>
    </row>
    <row r="418" spans="1:14" ht="20.100000000000001" customHeight="1" x14ac:dyDescent="0.25">
      <c r="A418" s="38"/>
      <c r="B418" s="63"/>
      <c r="C418" s="41"/>
      <c r="D418" s="48"/>
      <c r="E418" s="19"/>
      <c r="F418" s="19"/>
      <c r="G418" s="19"/>
      <c r="H418" s="41"/>
      <c r="I418" s="41"/>
      <c r="J418" s="41"/>
      <c r="K418" s="41"/>
      <c r="L418" s="41"/>
      <c r="M418" s="41"/>
      <c r="N418" s="48"/>
    </row>
    <row r="419" spans="1:14" ht="20.100000000000001" customHeight="1" x14ac:dyDescent="0.25">
      <c r="A419" s="38"/>
      <c r="B419" s="63"/>
      <c r="C419" s="41"/>
      <c r="D419" s="48"/>
      <c r="E419" s="19"/>
      <c r="F419" s="19"/>
      <c r="G419" s="19"/>
      <c r="H419" s="41"/>
      <c r="I419" s="41"/>
      <c r="J419" s="41"/>
      <c r="K419" s="41"/>
      <c r="L419" s="41"/>
      <c r="M419" s="41"/>
      <c r="N419" s="48"/>
    </row>
    <row r="420" spans="1:14" ht="20.100000000000001" customHeight="1" x14ac:dyDescent="0.25">
      <c r="A420" s="38"/>
      <c r="B420" s="63"/>
      <c r="C420" s="41"/>
      <c r="D420" s="48"/>
      <c r="E420" s="19"/>
      <c r="F420" s="19"/>
      <c r="G420" s="19"/>
      <c r="H420" s="41"/>
      <c r="I420" s="41"/>
      <c r="J420" s="41"/>
      <c r="K420" s="41"/>
      <c r="L420" s="41"/>
      <c r="M420" s="41"/>
      <c r="N420" s="48"/>
    </row>
    <row r="421" spans="1:14" ht="20.100000000000001" customHeight="1" x14ac:dyDescent="0.25">
      <c r="A421" s="38"/>
      <c r="B421" s="63"/>
      <c r="C421" s="41"/>
      <c r="D421" s="48"/>
      <c r="E421" s="19"/>
      <c r="F421" s="19"/>
      <c r="G421" s="19"/>
      <c r="H421" s="41"/>
      <c r="I421" s="41"/>
      <c r="J421" s="41"/>
      <c r="K421" s="41"/>
      <c r="L421" s="41"/>
      <c r="M421" s="41"/>
      <c r="N421" s="48"/>
    </row>
    <row r="422" spans="1:14" ht="20.100000000000001" customHeight="1" x14ac:dyDescent="0.25">
      <c r="A422" s="38"/>
      <c r="B422" s="63"/>
      <c r="C422" s="41"/>
      <c r="D422" s="48"/>
      <c r="E422" s="19"/>
      <c r="F422" s="19"/>
      <c r="G422" s="19"/>
      <c r="H422" s="41"/>
      <c r="I422" s="41"/>
      <c r="J422" s="41"/>
      <c r="K422" s="41"/>
      <c r="L422" s="41"/>
      <c r="M422" s="41"/>
      <c r="N422" s="48"/>
    </row>
    <row r="423" spans="1:14" ht="20.100000000000001" customHeight="1" x14ac:dyDescent="0.25">
      <c r="A423" s="38"/>
      <c r="B423" s="63"/>
      <c r="C423" s="41"/>
      <c r="D423" s="48"/>
      <c r="E423" s="19"/>
      <c r="F423" s="19"/>
      <c r="G423" s="19"/>
      <c r="H423" s="41"/>
      <c r="I423" s="41"/>
      <c r="J423" s="41"/>
      <c r="K423" s="41"/>
      <c r="L423" s="41"/>
      <c r="M423" s="41"/>
      <c r="N423" s="48"/>
    </row>
    <row r="424" spans="1:14" ht="20.100000000000001" customHeight="1" x14ac:dyDescent="0.25">
      <c r="A424" s="38"/>
      <c r="B424" s="63"/>
      <c r="C424" s="41"/>
      <c r="D424" s="48"/>
      <c r="E424" s="19"/>
      <c r="F424" s="19"/>
      <c r="G424" s="19"/>
      <c r="H424" s="41"/>
      <c r="I424" s="41"/>
      <c r="J424" s="41"/>
      <c r="K424" s="41"/>
      <c r="L424" s="41"/>
      <c r="M424" s="41"/>
      <c r="N424" s="48"/>
    </row>
    <row r="425" spans="1:14" ht="20.100000000000001" customHeight="1" x14ac:dyDescent="0.25">
      <c r="A425" s="38"/>
      <c r="B425" s="63"/>
      <c r="C425" s="41"/>
      <c r="D425" s="48"/>
      <c r="E425" s="19"/>
      <c r="F425" s="19"/>
      <c r="G425" s="19"/>
      <c r="H425" s="41"/>
      <c r="I425" s="41"/>
      <c r="J425" s="41"/>
      <c r="K425" s="41"/>
      <c r="L425" s="41"/>
      <c r="M425" s="41"/>
      <c r="N425" s="48"/>
    </row>
    <row r="426" spans="1:14" ht="20.100000000000001" customHeight="1" x14ac:dyDescent="0.25">
      <c r="A426" s="38"/>
      <c r="B426" s="63"/>
      <c r="C426" s="41"/>
      <c r="D426" s="48"/>
      <c r="E426" s="19"/>
      <c r="F426" s="19"/>
      <c r="G426" s="19"/>
      <c r="H426" s="41"/>
      <c r="I426" s="41"/>
      <c r="J426" s="41"/>
      <c r="K426" s="41"/>
      <c r="L426" s="41"/>
      <c r="M426" s="41"/>
      <c r="N426" s="48"/>
    </row>
    <row r="427" spans="1:14" ht="20.100000000000001" customHeight="1" x14ac:dyDescent="0.25">
      <c r="A427" s="38"/>
      <c r="B427" s="63"/>
      <c r="C427" s="41"/>
      <c r="D427" s="48"/>
      <c r="E427" s="19"/>
      <c r="F427" s="19"/>
      <c r="G427" s="19"/>
      <c r="H427" s="41"/>
      <c r="I427" s="41"/>
      <c r="J427" s="41"/>
      <c r="K427" s="41"/>
      <c r="L427" s="41"/>
      <c r="M427" s="41"/>
      <c r="N427" s="48"/>
    </row>
    <row r="428" spans="1:14" ht="20.100000000000001" customHeight="1" x14ac:dyDescent="0.25">
      <c r="A428" s="38"/>
      <c r="B428" s="63"/>
      <c r="C428" s="41"/>
      <c r="D428" s="48"/>
      <c r="E428" s="19"/>
      <c r="F428" s="19"/>
      <c r="G428" s="19"/>
      <c r="H428" s="41"/>
      <c r="I428" s="41"/>
      <c r="J428" s="41"/>
      <c r="K428" s="41"/>
      <c r="L428" s="41"/>
      <c r="M428" s="41"/>
      <c r="N428" s="48"/>
    </row>
    <row r="429" spans="1:14" ht="20.100000000000001" customHeight="1" x14ac:dyDescent="0.25">
      <c r="A429" s="38"/>
      <c r="B429" s="63"/>
      <c r="C429" s="41"/>
      <c r="D429" s="48"/>
      <c r="E429" s="19"/>
      <c r="F429" s="19"/>
      <c r="G429" s="19"/>
      <c r="H429" s="41"/>
      <c r="I429" s="41"/>
      <c r="J429" s="41"/>
      <c r="K429" s="41"/>
      <c r="L429" s="41"/>
      <c r="M429" s="41"/>
      <c r="N429" s="48"/>
    </row>
    <row r="430" spans="1:14" ht="20.100000000000001" customHeight="1" x14ac:dyDescent="0.25">
      <c r="A430" s="38"/>
      <c r="B430" s="63"/>
      <c r="C430" s="41"/>
      <c r="D430" s="48"/>
      <c r="E430" s="19"/>
      <c r="F430" s="19"/>
      <c r="G430" s="19"/>
      <c r="H430" s="41"/>
      <c r="I430" s="41"/>
      <c r="J430" s="41"/>
      <c r="K430" s="41"/>
      <c r="L430" s="41"/>
      <c r="M430" s="41"/>
      <c r="N430" s="48"/>
    </row>
    <row r="431" spans="1:14" ht="20.100000000000001" customHeight="1" x14ac:dyDescent="0.25">
      <c r="A431" s="38"/>
      <c r="B431" s="63"/>
      <c r="C431" s="41"/>
      <c r="D431" s="48"/>
      <c r="E431" s="19"/>
      <c r="F431" s="19"/>
      <c r="G431" s="19"/>
      <c r="H431" s="41"/>
      <c r="I431" s="41"/>
      <c r="J431" s="41"/>
      <c r="K431" s="41"/>
      <c r="L431" s="41"/>
      <c r="M431" s="41"/>
      <c r="N431" s="48"/>
    </row>
    <row r="432" spans="1:14" ht="20.100000000000001" customHeight="1" x14ac:dyDescent="0.25">
      <c r="A432" s="38"/>
      <c r="B432" s="63"/>
      <c r="C432" s="41"/>
      <c r="D432" s="48"/>
      <c r="E432" s="19"/>
      <c r="F432" s="19"/>
      <c r="G432" s="19"/>
      <c r="H432" s="41"/>
      <c r="I432" s="41"/>
      <c r="J432" s="41"/>
      <c r="K432" s="41"/>
      <c r="L432" s="41"/>
      <c r="M432" s="41"/>
      <c r="N432" s="48"/>
    </row>
    <row r="433" spans="1:14" ht="20.100000000000001" customHeight="1" x14ac:dyDescent="0.25">
      <c r="A433" s="38"/>
      <c r="B433" s="63"/>
      <c r="C433" s="41"/>
      <c r="D433" s="48"/>
      <c r="E433" s="19"/>
      <c r="F433" s="19"/>
      <c r="G433" s="19"/>
      <c r="H433" s="41"/>
      <c r="I433" s="41"/>
      <c r="J433" s="41"/>
      <c r="K433" s="41"/>
      <c r="L433" s="41"/>
      <c r="M433" s="41"/>
      <c r="N433" s="48"/>
    </row>
    <row r="434" spans="1:14" ht="20.100000000000001" customHeight="1" x14ac:dyDescent="0.25">
      <c r="A434" s="38"/>
      <c r="B434" s="63"/>
      <c r="C434" s="41"/>
      <c r="D434" s="48"/>
      <c r="E434" s="19"/>
      <c r="F434" s="19"/>
      <c r="G434" s="19"/>
      <c r="H434" s="41"/>
      <c r="I434" s="41"/>
      <c r="J434" s="41"/>
      <c r="K434" s="41"/>
      <c r="L434" s="41"/>
      <c r="M434" s="41"/>
      <c r="N434" s="48"/>
    </row>
    <row r="435" spans="1:14" ht="20.100000000000001" customHeight="1" x14ac:dyDescent="0.25">
      <c r="A435" s="38"/>
      <c r="B435" s="63"/>
      <c r="C435" s="41"/>
      <c r="D435" s="48"/>
      <c r="E435" s="19"/>
      <c r="F435" s="19"/>
      <c r="G435" s="19"/>
      <c r="H435" s="41"/>
      <c r="I435" s="41"/>
      <c r="J435" s="41"/>
      <c r="K435" s="41"/>
      <c r="L435" s="41"/>
      <c r="M435" s="41"/>
      <c r="N435" s="48"/>
    </row>
    <row r="436" spans="1:14" ht="20.100000000000001" customHeight="1" x14ac:dyDescent="0.25">
      <c r="A436" s="38"/>
      <c r="B436" s="63"/>
      <c r="C436" s="41"/>
      <c r="D436" s="48"/>
      <c r="E436" s="19"/>
      <c r="F436" s="19"/>
      <c r="G436" s="19"/>
      <c r="H436" s="41"/>
      <c r="I436" s="41"/>
      <c r="J436" s="41"/>
      <c r="K436" s="41"/>
      <c r="L436" s="41"/>
      <c r="M436" s="41"/>
      <c r="N436" s="48"/>
    </row>
    <row r="437" spans="1:14" ht="20.100000000000001" customHeight="1" x14ac:dyDescent="0.25">
      <c r="A437" s="38"/>
      <c r="B437" s="63"/>
      <c r="C437" s="41"/>
      <c r="D437" s="48"/>
      <c r="E437" s="19"/>
      <c r="F437" s="19"/>
      <c r="G437" s="19"/>
      <c r="H437" s="41"/>
      <c r="I437" s="41"/>
      <c r="J437" s="41"/>
      <c r="K437" s="41"/>
      <c r="L437" s="41"/>
      <c r="M437" s="41"/>
      <c r="N437" s="48"/>
    </row>
    <row r="438" spans="1:14" ht="20.100000000000001" customHeight="1" x14ac:dyDescent="0.25">
      <c r="A438" s="38"/>
      <c r="B438" s="63"/>
      <c r="C438" s="41"/>
      <c r="D438" s="48"/>
      <c r="E438" s="19"/>
      <c r="F438" s="19"/>
      <c r="G438" s="19"/>
      <c r="H438" s="41"/>
      <c r="I438" s="41"/>
      <c r="J438" s="41"/>
      <c r="K438" s="41"/>
      <c r="L438" s="41"/>
      <c r="M438" s="41"/>
      <c r="N438" s="48"/>
    </row>
    <row r="439" spans="1:14" ht="20.100000000000001" customHeight="1" x14ac:dyDescent="0.25">
      <c r="A439" s="38"/>
      <c r="B439" s="63"/>
      <c r="C439" s="41"/>
      <c r="D439" s="48"/>
      <c r="E439" s="19"/>
      <c r="F439" s="19"/>
      <c r="G439" s="19"/>
      <c r="H439" s="41"/>
      <c r="I439" s="41"/>
      <c r="J439" s="41"/>
      <c r="K439" s="41"/>
      <c r="L439" s="41"/>
      <c r="M439" s="41"/>
      <c r="N439" s="48"/>
    </row>
    <row r="440" spans="1:14" ht="20.100000000000001" customHeight="1" x14ac:dyDescent="0.25">
      <c r="A440" s="38"/>
      <c r="B440" s="63"/>
      <c r="C440" s="41"/>
      <c r="D440" s="48"/>
      <c r="E440" s="19"/>
      <c r="F440" s="19"/>
      <c r="G440" s="19"/>
      <c r="H440" s="41"/>
      <c r="I440" s="41"/>
      <c r="J440" s="41"/>
      <c r="K440" s="41"/>
      <c r="L440" s="41"/>
      <c r="M440" s="41"/>
      <c r="N440" s="48"/>
    </row>
    <row r="441" spans="1:14" ht="20.100000000000001" customHeight="1" x14ac:dyDescent="0.25">
      <c r="A441" s="38"/>
      <c r="B441" s="63"/>
      <c r="C441" s="41"/>
      <c r="D441" s="48"/>
      <c r="E441" s="19"/>
      <c r="F441" s="19"/>
      <c r="G441" s="19"/>
      <c r="H441" s="41"/>
      <c r="I441" s="41"/>
      <c r="J441" s="41"/>
      <c r="K441" s="41"/>
      <c r="L441" s="41"/>
      <c r="M441" s="41"/>
      <c r="N441" s="48"/>
    </row>
    <row r="442" spans="1:14" ht="20.100000000000001" customHeight="1" x14ac:dyDescent="0.25">
      <c r="A442" s="38"/>
      <c r="B442" s="63"/>
      <c r="C442" s="41"/>
      <c r="D442" s="48"/>
      <c r="E442" s="19"/>
      <c r="F442" s="19"/>
      <c r="G442" s="19"/>
      <c r="H442" s="41"/>
      <c r="I442" s="41"/>
      <c r="J442" s="41"/>
      <c r="K442" s="41"/>
      <c r="L442" s="41"/>
      <c r="M442" s="41"/>
      <c r="N442" s="48"/>
    </row>
    <row r="443" spans="1:14" ht="20.100000000000001" customHeight="1" x14ac:dyDescent="0.25">
      <c r="A443" s="38"/>
      <c r="B443" s="63"/>
      <c r="C443" s="41"/>
      <c r="D443" s="48"/>
      <c r="E443" s="19"/>
      <c r="F443" s="19"/>
      <c r="G443" s="19"/>
      <c r="H443" s="41"/>
      <c r="I443" s="41"/>
      <c r="J443" s="41"/>
      <c r="K443" s="41"/>
      <c r="L443" s="41"/>
      <c r="M443" s="41"/>
      <c r="N443" s="48"/>
    </row>
    <row r="444" spans="1:14" ht="20.100000000000001" customHeight="1" x14ac:dyDescent="0.25">
      <c r="A444" s="38"/>
      <c r="B444" s="63"/>
      <c r="C444" s="41"/>
      <c r="D444" s="48"/>
      <c r="E444" s="19"/>
      <c r="F444" s="19"/>
      <c r="G444" s="19"/>
      <c r="H444" s="41"/>
      <c r="I444" s="41"/>
      <c r="J444" s="41"/>
      <c r="K444" s="41"/>
      <c r="L444" s="41"/>
      <c r="M444" s="41"/>
      <c r="N444" s="48"/>
    </row>
    <row r="445" spans="1:14" ht="20.100000000000001" customHeight="1" x14ac:dyDescent="0.25">
      <c r="A445" s="38"/>
      <c r="B445" s="63"/>
      <c r="C445" s="41"/>
      <c r="D445" s="48"/>
      <c r="E445" s="19"/>
      <c r="F445" s="19"/>
      <c r="G445" s="19"/>
      <c r="H445" s="41"/>
      <c r="I445" s="41"/>
      <c r="J445" s="41"/>
      <c r="K445" s="41"/>
      <c r="L445" s="41"/>
      <c r="M445" s="41"/>
      <c r="N445" s="48"/>
    </row>
    <row r="446" spans="1:14" ht="20.100000000000001" customHeight="1" x14ac:dyDescent="0.25">
      <c r="A446" s="38"/>
      <c r="B446" s="63"/>
      <c r="C446" s="41"/>
      <c r="D446" s="48"/>
      <c r="E446" s="19"/>
      <c r="F446" s="19"/>
      <c r="G446" s="19"/>
      <c r="H446" s="41"/>
      <c r="I446" s="41"/>
      <c r="J446" s="41"/>
      <c r="K446" s="41"/>
      <c r="L446" s="41"/>
      <c r="M446" s="41"/>
      <c r="N446" s="48"/>
    </row>
    <row r="447" spans="1:14" ht="20.100000000000001" customHeight="1" x14ac:dyDescent="0.25">
      <c r="A447" s="38"/>
      <c r="B447" s="63"/>
      <c r="C447" s="41"/>
      <c r="D447" s="48"/>
      <c r="E447" s="19"/>
      <c r="F447" s="19"/>
      <c r="G447" s="19"/>
      <c r="H447" s="41"/>
      <c r="I447" s="41"/>
      <c r="J447" s="41"/>
      <c r="K447" s="41"/>
      <c r="L447" s="41"/>
      <c r="M447" s="41"/>
      <c r="N447" s="48"/>
    </row>
    <row r="448" spans="1:14" ht="20.100000000000001" customHeight="1" x14ac:dyDescent="0.25">
      <c r="A448" s="38"/>
      <c r="B448" s="63"/>
      <c r="C448" s="41"/>
      <c r="D448" s="48"/>
      <c r="E448" s="19"/>
      <c r="F448" s="19"/>
      <c r="G448" s="19"/>
      <c r="H448" s="41"/>
      <c r="I448" s="41"/>
      <c r="J448" s="41"/>
      <c r="K448" s="41"/>
      <c r="L448" s="41"/>
      <c r="M448" s="41"/>
      <c r="N448" s="48"/>
    </row>
    <row r="449" spans="1:14" ht="20.100000000000001" customHeight="1" x14ac:dyDescent="0.25">
      <c r="A449" s="38"/>
      <c r="B449" s="63"/>
      <c r="C449" s="41"/>
      <c r="D449" s="48"/>
      <c r="E449" s="19"/>
      <c r="F449" s="19"/>
      <c r="G449" s="19"/>
      <c r="H449" s="41"/>
      <c r="I449" s="41"/>
      <c r="J449" s="41"/>
      <c r="K449" s="41"/>
      <c r="L449" s="41"/>
      <c r="M449" s="41"/>
      <c r="N449" s="48"/>
    </row>
    <row r="450" spans="1:14" ht="20.100000000000001" customHeight="1" x14ac:dyDescent="0.25">
      <c r="A450" s="38"/>
      <c r="B450" s="63"/>
      <c r="C450" s="41"/>
      <c r="D450" s="48"/>
      <c r="E450" s="19"/>
      <c r="F450" s="19"/>
      <c r="G450" s="19"/>
      <c r="H450" s="41"/>
      <c r="I450" s="41"/>
      <c r="J450" s="41"/>
      <c r="K450" s="41"/>
      <c r="L450" s="41"/>
      <c r="M450" s="41"/>
      <c r="N450" s="48"/>
    </row>
    <row r="451" spans="1:14" ht="20.100000000000001" customHeight="1" x14ac:dyDescent="0.25">
      <c r="A451" s="38"/>
      <c r="B451" s="63"/>
      <c r="C451" s="41"/>
      <c r="D451" s="48"/>
      <c r="E451" s="19"/>
      <c r="F451" s="19"/>
      <c r="G451" s="19"/>
      <c r="H451" s="41"/>
      <c r="I451" s="41"/>
      <c r="J451" s="41"/>
      <c r="K451" s="41"/>
      <c r="L451" s="41"/>
      <c r="M451" s="41"/>
      <c r="N451" s="48"/>
    </row>
    <row r="452" spans="1:14" ht="20.100000000000001" customHeight="1" x14ac:dyDescent="0.25">
      <c r="A452" s="38"/>
      <c r="B452" s="63"/>
      <c r="C452" s="41"/>
      <c r="D452" s="48"/>
      <c r="E452" s="19"/>
      <c r="F452" s="19"/>
      <c r="G452" s="19"/>
      <c r="H452" s="41"/>
      <c r="I452" s="41"/>
      <c r="J452" s="41"/>
      <c r="K452" s="41"/>
      <c r="L452" s="41"/>
      <c r="M452" s="41"/>
      <c r="N452" s="48"/>
    </row>
    <row r="453" spans="1:14" ht="20.100000000000001" customHeight="1" x14ac:dyDescent="0.25">
      <c r="A453" s="38"/>
      <c r="B453" s="63"/>
      <c r="C453" s="41"/>
      <c r="D453" s="48"/>
      <c r="E453" s="19"/>
      <c r="F453" s="19"/>
      <c r="G453" s="19"/>
      <c r="H453" s="41"/>
      <c r="I453" s="41"/>
      <c r="J453" s="41"/>
      <c r="K453" s="41"/>
      <c r="L453" s="41"/>
      <c r="M453" s="41"/>
      <c r="N453" s="48"/>
    </row>
    <row r="454" spans="1:14" ht="20.100000000000001" customHeight="1" x14ac:dyDescent="0.25">
      <c r="A454" s="38"/>
      <c r="B454" s="63"/>
      <c r="C454" s="41"/>
      <c r="D454" s="48"/>
      <c r="E454" s="19"/>
      <c r="F454" s="19"/>
      <c r="G454" s="19"/>
      <c r="H454" s="41"/>
      <c r="I454" s="41"/>
      <c r="J454" s="41"/>
      <c r="K454" s="41"/>
      <c r="L454" s="41"/>
      <c r="M454" s="41"/>
      <c r="N454" s="48"/>
    </row>
    <row r="455" spans="1:14" ht="20.100000000000001" customHeight="1" x14ac:dyDescent="0.25">
      <c r="A455" s="38"/>
      <c r="B455" s="63"/>
      <c r="C455" s="41"/>
      <c r="D455" s="48"/>
      <c r="E455" s="19"/>
      <c r="F455" s="19"/>
      <c r="G455" s="19"/>
      <c r="H455" s="41"/>
      <c r="I455" s="41"/>
      <c r="J455" s="41"/>
      <c r="K455" s="41"/>
      <c r="L455" s="41"/>
      <c r="M455" s="41"/>
      <c r="N455" s="48"/>
    </row>
    <row r="456" spans="1:14" ht="20.100000000000001" customHeight="1" x14ac:dyDescent="0.25">
      <c r="A456" s="38"/>
      <c r="B456" s="63"/>
      <c r="C456" s="41"/>
      <c r="D456" s="48"/>
      <c r="E456" s="19"/>
      <c r="F456" s="19"/>
      <c r="G456" s="19"/>
      <c r="H456" s="41"/>
      <c r="I456" s="41"/>
      <c r="J456" s="41"/>
      <c r="K456" s="41"/>
      <c r="L456" s="41"/>
      <c r="M456" s="41"/>
      <c r="N456" s="48"/>
    </row>
    <row r="457" spans="1:14" ht="20.100000000000001" customHeight="1" x14ac:dyDescent="0.25">
      <c r="A457" s="38"/>
      <c r="B457" s="63"/>
      <c r="C457" s="41"/>
      <c r="D457" s="48"/>
      <c r="E457" s="19"/>
      <c r="F457" s="19"/>
      <c r="G457" s="19"/>
      <c r="H457" s="41"/>
      <c r="I457" s="41"/>
      <c r="J457" s="41"/>
      <c r="K457" s="41"/>
      <c r="L457" s="41"/>
      <c r="M457" s="41"/>
      <c r="N457" s="48"/>
    </row>
    <row r="458" spans="1:14" ht="20.100000000000001" customHeight="1" x14ac:dyDescent="0.25">
      <c r="A458" s="38"/>
      <c r="B458" s="63"/>
      <c r="C458" s="41"/>
      <c r="D458" s="48"/>
      <c r="E458" s="19"/>
      <c r="F458" s="19"/>
      <c r="G458" s="19"/>
      <c r="H458" s="41"/>
      <c r="I458" s="41"/>
      <c r="J458" s="41"/>
      <c r="K458" s="41"/>
      <c r="L458" s="41"/>
      <c r="M458" s="41"/>
      <c r="N458" s="48"/>
    </row>
    <row r="459" spans="1:14" ht="20.100000000000001" customHeight="1" x14ac:dyDescent="0.25">
      <c r="A459" s="38"/>
      <c r="B459" s="63"/>
      <c r="C459" s="41"/>
      <c r="D459" s="48"/>
      <c r="E459" s="19"/>
      <c r="F459" s="19"/>
      <c r="G459" s="19"/>
      <c r="H459" s="41"/>
      <c r="I459" s="41"/>
      <c r="J459" s="41"/>
      <c r="K459" s="41"/>
      <c r="L459" s="41"/>
      <c r="M459" s="41"/>
      <c r="N459" s="48"/>
    </row>
    <row r="460" spans="1:14" ht="20.100000000000001" customHeight="1" x14ac:dyDescent="0.25">
      <c r="A460" s="38"/>
      <c r="B460" s="63"/>
      <c r="C460" s="41"/>
      <c r="D460" s="48"/>
      <c r="E460" s="19"/>
      <c r="F460" s="19"/>
      <c r="G460" s="19"/>
      <c r="H460" s="41"/>
      <c r="I460" s="41"/>
      <c r="J460" s="41"/>
      <c r="K460" s="41"/>
      <c r="L460" s="41"/>
      <c r="M460" s="41"/>
      <c r="N460" s="48"/>
    </row>
    <row r="461" spans="1:14" ht="20.100000000000001" customHeight="1" x14ac:dyDescent="0.25">
      <c r="A461" s="38"/>
      <c r="B461" s="63"/>
      <c r="C461" s="41"/>
      <c r="D461" s="48"/>
      <c r="E461" s="19"/>
      <c r="F461" s="19"/>
      <c r="G461" s="19"/>
      <c r="H461" s="41"/>
      <c r="I461" s="41"/>
      <c r="J461" s="41"/>
      <c r="K461" s="41"/>
      <c r="L461" s="41"/>
      <c r="M461" s="41"/>
      <c r="N461" s="48"/>
    </row>
    <row r="462" spans="1:14" ht="20.100000000000001" customHeight="1" x14ac:dyDescent="0.25">
      <c r="A462" s="38"/>
      <c r="B462" s="63"/>
      <c r="C462" s="41"/>
      <c r="D462" s="48"/>
      <c r="E462" s="19"/>
      <c r="F462" s="19"/>
      <c r="G462" s="19"/>
      <c r="H462" s="41"/>
      <c r="I462" s="41"/>
      <c r="J462" s="41"/>
      <c r="K462" s="41"/>
      <c r="L462" s="41"/>
      <c r="M462" s="41"/>
      <c r="N462" s="48"/>
    </row>
    <row r="463" spans="1:14" ht="20.100000000000001" customHeight="1" x14ac:dyDescent="0.25">
      <c r="A463" s="38"/>
      <c r="B463" s="63"/>
      <c r="C463" s="41"/>
      <c r="D463" s="48"/>
      <c r="E463" s="19"/>
      <c r="F463" s="19"/>
      <c r="G463" s="19"/>
      <c r="H463" s="41"/>
      <c r="I463" s="41"/>
      <c r="J463" s="41"/>
      <c r="K463" s="41"/>
      <c r="L463" s="41"/>
      <c r="M463" s="41"/>
      <c r="N463" s="48"/>
    </row>
    <row r="464" spans="1:14" ht="20.100000000000001" customHeight="1" x14ac:dyDescent="0.25">
      <c r="A464" s="38"/>
      <c r="B464" s="63"/>
      <c r="C464" s="41"/>
      <c r="D464" s="48"/>
      <c r="E464" s="19"/>
      <c r="F464" s="19"/>
      <c r="G464" s="19"/>
      <c r="H464" s="41"/>
      <c r="I464" s="41"/>
      <c r="J464" s="41"/>
      <c r="K464" s="41"/>
      <c r="L464" s="41"/>
      <c r="M464" s="41"/>
      <c r="N464" s="48"/>
    </row>
    <row r="465" spans="1:14" ht="20.100000000000001" customHeight="1" x14ac:dyDescent="0.25">
      <c r="A465" s="38"/>
      <c r="B465" s="63"/>
      <c r="C465" s="41"/>
      <c r="D465" s="48"/>
      <c r="E465" s="19"/>
      <c r="F465" s="19"/>
      <c r="G465" s="19"/>
      <c r="H465" s="41"/>
      <c r="I465" s="41"/>
      <c r="J465" s="41"/>
      <c r="K465" s="41"/>
      <c r="L465" s="41"/>
      <c r="M465" s="41"/>
      <c r="N465" s="48"/>
    </row>
    <row r="466" spans="1:14" ht="20.100000000000001" customHeight="1" x14ac:dyDescent="0.25">
      <c r="A466" s="38"/>
      <c r="B466" s="63"/>
      <c r="C466" s="41"/>
      <c r="D466" s="48"/>
      <c r="E466" s="19"/>
      <c r="F466" s="19"/>
      <c r="G466" s="19"/>
      <c r="H466" s="41"/>
      <c r="I466" s="41"/>
      <c r="J466" s="41"/>
      <c r="K466" s="41"/>
      <c r="L466" s="41"/>
      <c r="M466" s="41"/>
      <c r="N466" s="48"/>
    </row>
    <row r="467" spans="1:14" ht="20.100000000000001" customHeight="1" x14ac:dyDescent="0.25">
      <c r="A467" s="38"/>
      <c r="B467" s="63"/>
      <c r="C467" s="41"/>
      <c r="D467" s="48"/>
      <c r="E467" s="19"/>
      <c r="F467" s="19"/>
      <c r="G467" s="19"/>
      <c r="H467" s="41"/>
      <c r="I467" s="41"/>
      <c r="J467" s="41"/>
      <c r="K467" s="41"/>
      <c r="L467" s="41"/>
      <c r="M467" s="41"/>
      <c r="N467" s="48"/>
    </row>
    <row r="468" spans="1:14" ht="20.100000000000001" customHeight="1" x14ac:dyDescent="0.25">
      <c r="A468" s="38"/>
      <c r="B468" s="63"/>
      <c r="C468" s="41"/>
      <c r="D468" s="48"/>
      <c r="E468" s="19"/>
      <c r="F468" s="19"/>
      <c r="G468" s="19"/>
      <c r="H468" s="41"/>
      <c r="I468" s="41"/>
      <c r="J468" s="41"/>
      <c r="K468" s="41"/>
      <c r="L468" s="41"/>
      <c r="M468" s="41"/>
      <c r="N468" s="48"/>
    </row>
    <row r="469" spans="1:14" ht="20.100000000000001" customHeight="1" x14ac:dyDescent="0.25">
      <c r="A469" s="38"/>
      <c r="B469" s="63"/>
      <c r="C469" s="41"/>
      <c r="D469" s="48"/>
      <c r="E469" s="19"/>
      <c r="F469" s="19"/>
      <c r="G469" s="19"/>
      <c r="H469" s="41"/>
      <c r="I469" s="41"/>
      <c r="J469" s="41"/>
      <c r="K469" s="41"/>
      <c r="L469" s="41"/>
      <c r="M469" s="41"/>
      <c r="N469" s="48"/>
    </row>
    <row r="470" spans="1:14" ht="20.100000000000001" customHeight="1" x14ac:dyDescent="0.25">
      <c r="A470" s="38"/>
      <c r="B470" s="63"/>
      <c r="C470" s="41"/>
      <c r="D470" s="48"/>
      <c r="E470" s="19"/>
      <c r="F470" s="19"/>
      <c r="G470" s="19"/>
      <c r="H470" s="41"/>
      <c r="I470" s="41"/>
      <c r="J470" s="41"/>
      <c r="K470" s="41"/>
      <c r="L470" s="41"/>
      <c r="M470" s="41"/>
      <c r="N470" s="48"/>
    </row>
    <row r="471" spans="1:14" ht="20.100000000000001" customHeight="1" x14ac:dyDescent="0.25">
      <c r="A471" s="38"/>
      <c r="B471" s="63"/>
      <c r="C471" s="41"/>
      <c r="D471" s="48"/>
      <c r="E471" s="19"/>
      <c r="F471" s="19"/>
      <c r="G471" s="19"/>
      <c r="H471" s="41"/>
      <c r="I471" s="41"/>
      <c r="J471" s="41"/>
      <c r="K471" s="41"/>
      <c r="L471" s="41"/>
      <c r="M471" s="41"/>
      <c r="N471" s="48"/>
    </row>
    <row r="472" spans="1:14" ht="20.100000000000001" customHeight="1" x14ac:dyDescent="0.25">
      <c r="A472" s="38"/>
      <c r="B472" s="63"/>
      <c r="C472" s="41"/>
      <c r="D472" s="48"/>
      <c r="E472" s="19"/>
      <c r="F472" s="19"/>
      <c r="G472" s="19"/>
      <c r="H472" s="41"/>
      <c r="I472" s="41"/>
      <c r="J472" s="41"/>
      <c r="K472" s="41"/>
      <c r="L472" s="41"/>
      <c r="M472" s="41"/>
      <c r="N472" s="48"/>
    </row>
    <row r="473" spans="1:14" ht="20.100000000000001" customHeight="1" x14ac:dyDescent="0.25">
      <c r="A473" s="38"/>
      <c r="B473" s="63"/>
      <c r="C473" s="41"/>
      <c r="D473" s="48"/>
      <c r="E473" s="19"/>
      <c r="F473" s="19"/>
      <c r="G473" s="19"/>
      <c r="H473" s="41"/>
      <c r="I473" s="41"/>
      <c r="J473" s="41"/>
      <c r="K473" s="41"/>
      <c r="L473" s="41"/>
      <c r="M473" s="41"/>
      <c r="N473" s="48"/>
    </row>
    <row r="474" spans="1:14" ht="20.100000000000001" customHeight="1" x14ac:dyDescent="0.25">
      <c r="A474" s="38"/>
      <c r="B474" s="63"/>
      <c r="C474" s="41"/>
      <c r="D474" s="48"/>
      <c r="E474" s="19"/>
      <c r="F474" s="19"/>
      <c r="G474" s="19"/>
      <c r="H474" s="41"/>
      <c r="I474" s="41"/>
      <c r="J474" s="41"/>
      <c r="K474" s="41"/>
      <c r="L474" s="41"/>
      <c r="M474" s="41"/>
      <c r="N474" s="48"/>
    </row>
    <row r="475" spans="1:14" ht="20.100000000000001" customHeight="1" x14ac:dyDescent="0.25">
      <c r="A475" s="38"/>
      <c r="B475" s="63"/>
      <c r="C475" s="41"/>
      <c r="D475" s="48"/>
      <c r="E475" s="19"/>
      <c r="F475" s="19"/>
      <c r="G475" s="19"/>
      <c r="H475" s="41"/>
      <c r="I475" s="41"/>
      <c r="J475" s="41"/>
      <c r="K475" s="41"/>
      <c r="L475" s="41"/>
      <c r="M475" s="41"/>
      <c r="N475" s="48"/>
    </row>
    <row r="476" spans="1:14" ht="20.100000000000001" customHeight="1" x14ac:dyDescent="0.25">
      <c r="A476" s="38"/>
      <c r="B476" s="63"/>
      <c r="C476" s="41"/>
      <c r="D476" s="48"/>
      <c r="E476" s="19"/>
      <c r="F476" s="19"/>
      <c r="G476" s="19"/>
      <c r="H476" s="41"/>
      <c r="I476" s="41"/>
      <c r="J476" s="41"/>
      <c r="K476" s="41"/>
      <c r="L476" s="41"/>
      <c r="M476" s="41"/>
      <c r="N476" s="48"/>
    </row>
    <row r="477" spans="1:14" ht="20.100000000000001" customHeight="1" x14ac:dyDescent="0.25">
      <c r="A477" s="38"/>
      <c r="B477" s="63"/>
      <c r="C477" s="41"/>
      <c r="D477" s="48"/>
      <c r="E477" s="19"/>
      <c r="F477" s="19"/>
      <c r="G477" s="19"/>
      <c r="H477" s="41"/>
      <c r="I477" s="41"/>
      <c r="J477" s="41"/>
      <c r="K477" s="41"/>
      <c r="L477" s="41"/>
      <c r="M477" s="41"/>
      <c r="N477" s="48"/>
    </row>
    <row r="478" spans="1:14" ht="20.100000000000001" customHeight="1" x14ac:dyDescent="0.25">
      <c r="A478" s="38"/>
      <c r="B478" s="63"/>
      <c r="C478" s="41"/>
      <c r="D478" s="48"/>
      <c r="E478" s="19"/>
      <c r="F478" s="19"/>
      <c r="G478" s="19"/>
      <c r="H478" s="41"/>
      <c r="I478" s="41"/>
      <c r="J478" s="41"/>
      <c r="K478" s="41"/>
      <c r="L478" s="41"/>
      <c r="M478" s="41"/>
      <c r="N478" s="48"/>
    </row>
    <row r="479" spans="1:14" ht="20.100000000000001" customHeight="1" x14ac:dyDescent="0.25">
      <c r="A479" s="38"/>
      <c r="B479" s="63"/>
      <c r="C479" s="41"/>
      <c r="D479" s="48"/>
      <c r="E479" s="19"/>
      <c r="F479" s="19"/>
      <c r="G479" s="19"/>
      <c r="H479" s="41"/>
      <c r="I479" s="41"/>
      <c r="J479" s="41"/>
      <c r="K479" s="41"/>
      <c r="L479" s="41"/>
      <c r="M479" s="41"/>
      <c r="N479" s="48"/>
    </row>
    <row r="480" spans="1:14" ht="20.100000000000001" customHeight="1" x14ac:dyDescent="0.25">
      <c r="A480" s="38"/>
      <c r="B480" s="63"/>
      <c r="C480" s="41"/>
      <c r="D480" s="48"/>
      <c r="E480" s="19"/>
      <c r="F480" s="19"/>
      <c r="G480" s="19"/>
      <c r="H480" s="41"/>
      <c r="I480" s="41"/>
      <c r="J480" s="41"/>
      <c r="K480" s="41"/>
      <c r="L480" s="41"/>
      <c r="M480" s="41"/>
      <c r="N480" s="48"/>
    </row>
    <row r="481" spans="1:14" ht="20.100000000000001" customHeight="1" x14ac:dyDescent="0.25">
      <c r="A481" s="38"/>
      <c r="B481" s="63"/>
      <c r="C481" s="41"/>
      <c r="D481" s="48"/>
      <c r="E481" s="19"/>
      <c r="F481" s="19"/>
      <c r="G481" s="19"/>
      <c r="H481" s="41"/>
      <c r="I481" s="41"/>
      <c r="J481" s="41"/>
      <c r="K481" s="41"/>
      <c r="L481" s="41"/>
      <c r="M481" s="41"/>
      <c r="N481" s="48"/>
    </row>
    <row r="482" spans="1:14" ht="20.100000000000001" customHeight="1" x14ac:dyDescent="0.25">
      <c r="A482" s="38"/>
      <c r="B482" s="63"/>
      <c r="C482" s="41"/>
      <c r="D482" s="48"/>
      <c r="E482" s="19"/>
      <c r="F482" s="19"/>
      <c r="G482" s="19"/>
      <c r="H482" s="41"/>
      <c r="I482" s="41"/>
      <c r="J482" s="41"/>
      <c r="K482" s="41"/>
      <c r="L482" s="41"/>
      <c r="M482" s="41"/>
      <c r="N482" s="48"/>
    </row>
    <row r="483" spans="1:14" ht="20.100000000000001" customHeight="1" x14ac:dyDescent="0.25">
      <c r="A483" s="38"/>
      <c r="B483" s="63"/>
      <c r="C483" s="41"/>
      <c r="D483" s="48"/>
      <c r="E483" s="19"/>
      <c r="F483" s="19"/>
      <c r="G483" s="19"/>
      <c r="H483" s="41"/>
      <c r="I483" s="41"/>
      <c r="J483" s="41"/>
      <c r="K483" s="41"/>
      <c r="L483" s="41"/>
      <c r="M483" s="41"/>
      <c r="N483" s="48"/>
    </row>
    <row r="484" spans="1:14" ht="20.100000000000001" customHeight="1" x14ac:dyDescent="0.25">
      <c r="A484" s="38"/>
      <c r="B484" s="63"/>
      <c r="C484" s="41"/>
      <c r="D484" s="48"/>
      <c r="E484" s="19"/>
      <c r="F484" s="19"/>
      <c r="G484" s="19"/>
      <c r="H484" s="41"/>
      <c r="I484" s="41"/>
      <c r="J484" s="41"/>
      <c r="K484" s="41"/>
      <c r="L484" s="41"/>
      <c r="M484" s="41"/>
      <c r="N484" s="48"/>
    </row>
    <row r="485" spans="1:14" ht="20.100000000000001" customHeight="1" x14ac:dyDescent="0.25">
      <c r="A485" s="38"/>
      <c r="B485" s="63"/>
      <c r="C485" s="41"/>
      <c r="D485" s="48"/>
      <c r="E485" s="19"/>
      <c r="F485" s="19"/>
      <c r="G485" s="19"/>
      <c r="H485" s="41"/>
      <c r="I485" s="41"/>
      <c r="J485" s="41"/>
      <c r="K485" s="41"/>
      <c r="L485" s="41"/>
      <c r="M485" s="41"/>
      <c r="N485" s="48"/>
    </row>
    <row r="486" spans="1:14" ht="20.100000000000001" customHeight="1" x14ac:dyDescent="0.25">
      <c r="A486" s="38"/>
      <c r="B486" s="63"/>
      <c r="C486" s="41"/>
      <c r="D486" s="48"/>
      <c r="E486" s="19"/>
      <c r="F486" s="19"/>
      <c r="G486" s="19"/>
      <c r="H486" s="41"/>
      <c r="I486" s="41"/>
      <c r="J486" s="41"/>
      <c r="K486" s="41"/>
      <c r="L486" s="41"/>
      <c r="M486" s="41"/>
      <c r="N486" s="48"/>
    </row>
    <row r="487" spans="1:14" ht="20.100000000000001" customHeight="1" x14ac:dyDescent="0.25">
      <c r="A487" s="38"/>
      <c r="B487" s="63"/>
      <c r="C487" s="41"/>
      <c r="D487" s="48"/>
      <c r="E487" s="19"/>
      <c r="F487" s="19"/>
      <c r="G487" s="19"/>
      <c r="H487" s="41"/>
      <c r="I487" s="41"/>
      <c r="J487" s="41"/>
      <c r="K487" s="41"/>
      <c r="L487" s="41"/>
      <c r="M487" s="41"/>
      <c r="N487" s="48"/>
    </row>
    <row r="488" spans="1:14" ht="20.100000000000001" customHeight="1" x14ac:dyDescent="0.25">
      <c r="A488" s="38"/>
      <c r="B488" s="63"/>
      <c r="C488" s="41"/>
      <c r="D488" s="48"/>
      <c r="E488" s="19"/>
      <c r="F488" s="19"/>
      <c r="G488" s="19"/>
      <c r="H488" s="41"/>
      <c r="I488" s="41"/>
      <c r="J488" s="41"/>
      <c r="K488" s="41"/>
      <c r="L488" s="41"/>
      <c r="M488" s="41"/>
      <c r="N488" s="48"/>
    </row>
    <row r="489" spans="1:14" ht="20.100000000000001" customHeight="1" x14ac:dyDescent="0.25">
      <c r="A489" s="38"/>
      <c r="B489" s="63"/>
      <c r="C489" s="41"/>
      <c r="D489" s="48"/>
      <c r="E489" s="19"/>
      <c r="F489" s="19"/>
      <c r="G489" s="19"/>
      <c r="H489" s="41"/>
      <c r="I489" s="41"/>
      <c r="J489" s="41"/>
      <c r="K489" s="41"/>
      <c r="L489" s="41"/>
      <c r="M489" s="41"/>
      <c r="N489" s="48"/>
    </row>
    <row r="490" spans="1:14" ht="20.100000000000001" customHeight="1" x14ac:dyDescent="0.25">
      <c r="A490" s="38"/>
      <c r="B490" s="63"/>
      <c r="C490" s="41"/>
      <c r="D490" s="48"/>
      <c r="E490" s="19"/>
      <c r="F490" s="19"/>
      <c r="G490" s="19"/>
      <c r="H490" s="41"/>
      <c r="I490" s="41"/>
      <c r="J490" s="41"/>
      <c r="K490" s="41"/>
      <c r="L490" s="41"/>
      <c r="M490" s="41"/>
      <c r="N490" s="48"/>
    </row>
    <row r="491" spans="1:14" ht="20.100000000000001" customHeight="1" x14ac:dyDescent="0.25">
      <c r="A491" s="38"/>
      <c r="B491" s="63"/>
      <c r="C491" s="41"/>
      <c r="D491" s="48"/>
      <c r="E491" s="19"/>
      <c r="F491" s="19"/>
      <c r="G491" s="19"/>
      <c r="H491" s="41"/>
      <c r="I491" s="41"/>
      <c r="J491" s="41"/>
      <c r="K491" s="41"/>
      <c r="L491" s="41"/>
      <c r="M491" s="41"/>
      <c r="N491" s="48"/>
    </row>
    <row r="492" spans="1:14" ht="20.100000000000001" customHeight="1" x14ac:dyDescent="0.25">
      <c r="A492" s="38"/>
      <c r="B492" s="63"/>
      <c r="C492" s="41"/>
      <c r="D492" s="48"/>
      <c r="E492" s="19"/>
      <c r="F492" s="19"/>
      <c r="G492" s="19"/>
      <c r="H492" s="41"/>
      <c r="I492" s="41"/>
      <c r="J492" s="41"/>
      <c r="K492" s="41"/>
      <c r="L492" s="41"/>
      <c r="M492" s="41"/>
      <c r="N492" s="48"/>
    </row>
    <row r="493" spans="1:14" ht="20.100000000000001" customHeight="1" x14ac:dyDescent="0.25">
      <c r="A493" s="38"/>
      <c r="B493" s="63"/>
      <c r="C493" s="41"/>
      <c r="D493" s="48"/>
      <c r="E493" s="19"/>
      <c r="F493" s="19"/>
      <c r="G493" s="19"/>
      <c r="H493" s="41"/>
      <c r="I493" s="41"/>
      <c r="J493" s="41"/>
      <c r="K493" s="41"/>
      <c r="L493" s="41"/>
      <c r="M493" s="41"/>
      <c r="N493" s="48"/>
    </row>
    <row r="494" spans="1:14" ht="20.100000000000001" customHeight="1" x14ac:dyDescent="0.25">
      <c r="A494" s="38"/>
      <c r="B494" s="63"/>
      <c r="C494" s="41"/>
      <c r="D494" s="48"/>
      <c r="E494" s="19"/>
      <c r="F494" s="19"/>
      <c r="G494" s="19"/>
      <c r="H494" s="41"/>
      <c r="I494" s="41"/>
      <c r="J494" s="41"/>
      <c r="K494" s="41"/>
      <c r="L494" s="41"/>
      <c r="M494" s="41"/>
      <c r="N494" s="48"/>
    </row>
    <row r="495" spans="1:14" ht="20.100000000000001" customHeight="1" x14ac:dyDescent="0.25">
      <c r="A495" s="38"/>
      <c r="B495" s="63"/>
      <c r="C495" s="41"/>
      <c r="D495" s="48"/>
      <c r="E495" s="19"/>
      <c r="F495" s="19"/>
      <c r="G495" s="19"/>
      <c r="H495" s="41"/>
      <c r="I495" s="41"/>
      <c r="J495" s="41"/>
      <c r="K495" s="41"/>
      <c r="L495" s="41"/>
      <c r="M495" s="41"/>
      <c r="N495" s="48"/>
    </row>
    <row r="496" spans="1:14" ht="20.100000000000001" customHeight="1" x14ac:dyDescent="0.25">
      <c r="A496" s="38"/>
      <c r="B496" s="63"/>
      <c r="C496" s="41"/>
      <c r="D496" s="48"/>
      <c r="E496" s="19"/>
      <c r="F496" s="19"/>
      <c r="G496" s="19"/>
      <c r="H496" s="41"/>
      <c r="I496" s="41"/>
      <c r="J496" s="41"/>
      <c r="K496" s="41"/>
      <c r="L496" s="41"/>
      <c r="M496" s="41"/>
      <c r="N496" s="48"/>
    </row>
    <row r="497" spans="1:14" ht="20.100000000000001" customHeight="1" x14ac:dyDescent="0.25">
      <c r="A497" s="38"/>
      <c r="B497" s="63"/>
      <c r="C497" s="41"/>
      <c r="D497" s="48"/>
      <c r="E497" s="19"/>
      <c r="F497" s="19"/>
      <c r="G497" s="19"/>
      <c r="H497" s="41"/>
      <c r="I497" s="41"/>
      <c r="J497" s="41"/>
      <c r="K497" s="41"/>
      <c r="L497" s="41"/>
      <c r="M497" s="41"/>
      <c r="N497" s="48"/>
    </row>
    <row r="498" spans="1:14" ht="20.100000000000001" customHeight="1" x14ac:dyDescent="0.25">
      <c r="A498" s="38"/>
      <c r="B498" s="63"/>
      <c r="C498" s="41"/>
      <c r="D498" s="48"/>
      <c r="E498" s="19"/>
      <c r="F498" s="19"/>
      <c r="G498" s="19"/>
      <c r="H498" s="41"/>
      <c r="I498" s="41"/>
      <c r="J498" s="41"/>
      <c r="K498" s="41"/>
      <c r="L498" s="41"/>
      <c r="M498" s="41"/>
      <c r="N498" s="48"/>
    </row>
    <row r="499" spans="1:14" ht="20.100000000000001" customHeight="1" x14ac:dyDescent="0.25">
      <c r="A499" s="38"/>
      <c r="B499" s="63"/>
      <c r="C499" s="41"/>
      <c r="D499" s="48"/>
      <c r="E499" s="19"/>
      <c r="F499" s="19"/>
      <c r="G499" s="19"/>
      <c r="H499" s="41"/>
      <c r="I499" s="41"/>
      <c r="J499" s="41"/>
      <c r="K499" s="41"/>
      <c r="L499" s="41"/>
      <c r="M499" s="41"/>
      <c r="N499" s="48"/>
    </row>
    <row r="500" spans="1:14" ht="20.100000000000001" customHeight="1" x14ac:dyDescent="0.25">
      <c r="A500" s="38"/>
      <c r="B500" s="63"/>
      <c r="C500" s="41"/>
      <c r="D500" s="48"/>
      <c r="E500" s="19"/>
      <c r="F500" s="19"/>
      <c r="G500" s="19"/>
      <c r="H500" s="41"/>
      <c r="I500" s="41"/>
      <c r="J500" s="41"/>
      <c r="K500" s="41"/>
      <c r="L500" s="41"/>
      <c r="M500" s="41"/>
      <c r="N500" s="48"/>
    </row>
    <row r="501" spans="1:14" ht="20.100000000000001" customHeight="1" x14ac:dyDescent="0.25">
      <c r="A501" s="38"/>
      <c r="B501" s="63"/>
      <c r="C501" s="41"/>
      <c r="D501" s="48"/>
      <c r="E501" s="19"/>
      <c r="F501" s="19"/>
      <c r="G501" s="19"/>
      <c r="H501" s="41"/>
      <c r="I501" s="41"/>
      <c r="J501" s="41"/>
      <c r="K501" s="41"/>
      <c r="L501" s="41"/>
      <c r="M501" s="41"/>
      <c r="N501" s="48"/>
    </row>
    <row r="502" spans="1:14" ht="20.100000000000001" customHeight="1" x14ac:dyDescent="0.25">
      <c r="A502" s="38"/>
      <c r="B502" s="63"/>
      <c r="C502" s="41"/>
      <c r="D502" s="48"/>
      <c r="E502" s="19"/>
      <c r="F502" s="19"/>
      <c r="G502" s="19"/>
      <c r="H502" s="41"/>
      <c r="I502" s="41"/>
      <c r="J502" s="41"/>
      <c r="K502" s="41"/>
      <c r="L502" s="41"/>
      <c r="M502" s="41"/>
      <c r="N502" s="48"/>
    </row>
    <row r="503" spans="1:14" ht="20.100000000000001" customHeight="1" x14ac:dyDescent="0.25">
      <c r="A503" s="38"/>
      <c r="B503" s="63"/>
      <c r="C503" s="41"/>
      <c r="D503" s="48"/>
      <c r="E503" s="19"/>
      <c r="F503" s="19"/>
      <c r="G503" s="19"/>
      <c r="H503" s="41"/>
      <c r="I503" s="41"/>
      <c r="J503" s="41"/>
      <c r="K503" s="41"/>
      <c r="L503" s="41"/>
      <c r="M503" s="41"/>
      <c r="N503" s="48"/>
    </row>
    <row r="504" spans="1:14" ht="20.100000000000001" customHeight="1" x14ac:dyDescent="0.25">
      <c r="A504" s="38"/>
      <c r="B504" s="63"/>
      <c r="C504" s="41"/>
      <c r="D504" s="48"/>
      <c r="E504" s="19"/>
      <c r="F504" s="19"/>
      <c r="G504" s="19"/>
      <c r="H504" s="41"/>
      <c r="I504" s="41"/>
      <c r="J504" s="41"/>
      <c r="K504" s="41"/>
      <c r="L504" s="41"/>
      <c r="M504" s="41"/>
      <c r="N504" s="48"/>
    </row>
    <row r="505" spans="1:14" ht="20.100000000000001" customHeight="1" x14ac:dyDescent="0.25">
      <c r="A505" s="38"/>
      <c r="B505" s="63"/>
      <c r="C505" s="41"/>
      <c r="D505" s="48"/>
      <c r="E505" s="19"/>
      <c r="F505" s="19"/>
      <c r="G505" s="19"/>
      <c r="H505" s="41"/>
      <c r="I505" s="41"/>
      <c r="J505" s="41"/>
      <c r="K505" s="41"/>
      <c r="L505" s="41"/>
      <c r="M505" s="41"/>
      <c r="N505" s="48"/>
    </row>
    <row r="506" spans="1:14" ht="20.100000000000001" customHeight="1" x14ac:dyDescent="0.25">
      <c r="A506" s="38"/>
      <c r="B506" s="63"/>
      <c r="C506" s="41"/>
      <c r="D506" s="48"/>
      <c r="E506" s="19"/>
      <c r="F506" s="19"/>
      <c r="G506" s="19"/>
      <c r="H506" s="41"/>
      <c r="I506" s="41"/>
      <c r="J506" s="41"/>
      <c r="K506" s="41"/>
      <c r="L506" s="41"/>
      <c r="M506" s="41"/>
      <c r="N506" s="48"/>
    </row>
    <row r="507" spans="1:14" ht="20.100000000000001" customHeight="1" x14ac:dyDescent="0.25">
      <c r="A507" s="38"/>
      <c r="B507" s="63"/>
      <c r="C507" s="41"/>
      <c r="D507" s="48"/>
      <c r="E507" s="19"/>
      <c r="F507" s="19"/>
      <c r="G507" s="19"/>
      <c r="H507" s="41"/>
      <c r="I507" s="41"/>
      <c r="J507" s="41"/>
      <c r="K507" s="41"/>
      <c r="L507" s="41"/>
      <c r="M507" s="41"/>
      <c r="N507" s="48"/>
    </row>
    <row r="508" spans="1:14" ht="20.100000000000001" customHeight="1" x14ac:dyDescent="0.25">
      <c r="A508" s="38"/>
      <c r="B508" s="63"/>
      <c r="C508" s="41"/>
      <c r="D508" s="48"/>
      <c r="E508" s="19"/>
      <c r="F508" s="19"/>
      <c r="G508" s="19"/>
      <c r="H508" s="41"/>
      <c r="I508" s="41"/>
      <c r="J508" s="41"/>
      <c r="K508" s="41"/>
      <c r="L508" s="41"/>
      <c r="M508" s="41"/>
      <c r="N508" s="48"/>
    </row>
    <row r="509" spans="1:14" ht="20.100000000000001" customHeight="1" x14ac:dyDescent="0.25">
      <c r="A509" s="38"/>
      <c r="B509" s="63"/>
      <c r="C509" s="41"/>
      <c r="D509" s="48"/>
      <c r="E509" s="19"/>
      <c r="F509" s="19"/>
      <c r="G509" s="19"/>
      <c r="H509" s="41"/>
      <c r="I509" s="41"/>
      <c r="J509" s="41"/>
      <c r="K509" s="41"/>
      <c r="L509" s="41"/>
      <c r="M509" s="41"/>
      <c r="N509" s="48"/>
    </row>
    <row r="510" spans="1:14" ht="20.100000000000001" customHeight="1" x14ac:dyDescent="0.25">
      <c r="A510" s="38"/>
      <c r="B510" s="63"/>
      <c r="C510" s="41"/>
      <c r="D510" s="48"/>
      <c r="E510" s="19"/>
      <c r="F510" s="19"/>
      <c r="G510" s="19"/>
      <c r="H510" s="41"/>
      <c r="I510" s="41"/>
      <c r="J510" s="41"/>
      <c r="K510" s="41"/>
      <c r="L510" s="41"/>
      <c r="M510" s="41"/>
      <c r="N510" s="48"/>
    </row>
    <row r="511" spans="1:14" ht="20.100000000000001" customHeight="1" x14ac:dyDescent="0.25">
      <c r="A511" s="38"/>
      <c r="B511" s="63"/>
      <c r="C511" s="41"/>
      <c r="D511" s="48"/>
      <c r="E511" s="19"/>
      <c r="F511" s="19"/>
      <c r="G511" s="19"/>
      <c r="H511" s="41"/>
      <c r="I511" s="41"/>
      <c r="J511" s="41"/>
      <c r="K511" s="41"/>
      <c r="L511" s="41"/>
      <c r="M511" s="41"/>
      <c r="N511" s="48"/>
    </row>
    <row r="512" spans="1:14" ht="20.100000000000001" customHeight="1" x14ac:dyDescent="0.25">
      <c r="A512" s="38"/>
      <c r="B512" s="63"/>
      <c r="C512" s="41"/>
      <c r="D512" s="48"/>
      <c r="E512" s="19"/>
      <c r="F512" s="19"/>
      <c r="G512" s="19"/>
      <c r="H512" s="41"/>
      <c r="I512" s="41"/>
      <c r="J512" s="41"/>
      <c r="K512" s="41"/>
      <c r="L512" s="41"/>
      <c r="M512" s="41"/>
      <c r="N512" s="48"/>
    </row>
    <row r="513" spans="1:14" ht="20.100000000000001" customHeight="1" x14ac:dyDescent="0.25">
      <c r="A513" s="38"/>
      <c r="B513" s="63"/>
      <c r="C513" s="41"/>
      <c r="D513" s="48"/>
      <c r="E513" s="19"/>
      <c r="F513" s="19"/>
      <c r="G513" s="19"/>
      <c r="H513" s="41"/>
      <c r="I513" s="41"/>
      <c r="J513" s="41"/>
      <c r="K513" s="41"/>
      <c r="L513" s="41"/>
      <c r="M513" s="41"/>
      <c r="N513" s="48"/>
    </row>
    <row r="514" spans="1:14" ht="20.100000000000001" customHeight="1" x14ac:dyDescent="0.25">
      <c r="A514" s="38"/>
      <c r="B514" s="63"/>
      <c r="C514" s="41"/>
      <c r="D514" s="48"/>
      <c r="E514" s="19"/>
      <c r="F514" s="19"/>
      <c r="G514" s="19"/>
      <c r="H514" s="41"/>
      <c r="I514" s="41"/>
      <c r="J514" s="41"/>
      <c r="K514" s="41"/>
      <c r="L514" s="41"/>
      <c r="M514" s="41"/>
      <c r="N514" s="48"/>
    </row>
    <row r="515" spans="1:14" ht="20.100000000000001" customHeight="1" x14ac:dyDescent="0.25">
      <c r="A515" s="38"/>
      <c r="B515" s="63"/>
      <c r="C515" s="41"/>
      <c r="D515" s="48"/>
      <c r="E515" s="19"/>
      <c r="F515" s="19"/>
      <c r="G515" s="19"/>
      <c r="H515" s="41"/>
      <c r="I515" s="41"/>
      <c r="J515" s="41"/>
      <c r="K515" s="41"/>
      <c r="L515" s="41"/>
      <c r="M515" s="41"/>
      <c r="N515" s="48"/>
    </row>
    <row r="516" spans="1:14" ht="20.100000000000001" customHeight="1" x14ac:dyDescent="0.25">
      <c r="A516" s="38"/>
      <c r="B516" s="63"/>
      <c r="C516" s="41"/>
      <c r="D516" s="48"/>
      <c r="E516" s="19"/>
      <c r="F516" s="19"/>
      <c r="G516" s="19"/>
      <c r="H516" s="41"/>
      <c r="I516" s="41"/>
      <c r="J516" s="41"/>
      <c r="K516" s="41"/>
      <c r="L516" s="41"/>
      <c r="M516" s="41"/>
      <c r="N516" s="48"/>
    </row>
    <row r="517" spans="1:14" ht="20.100000000000001" customHeight="1" x14ac:dyDescent="0.25">
      <c r="A517" s="38"/>
      <c r="B517" s="63"/>
      <c r="C517" s="41"/>
      <c r="D517" s="48"/>
      <c r="E517" s="19"/>
      <c r="F517" s="19"/>
      <c r="G517" s="19"/>
      <c r="H517" s="41"/>
      <c r="I517" s="41"/>
      <c r="J517" s="41"/>
      <c r="K517" s="41"/>
      <c r="L517" s="41"/>
      <c r="M517" s="41"/>
      <c r="N517" s="48"/>
    </row>
    <row r="518" spans="1:14" ht="20.100000000000001" customHeight="1" x14ac:dyDescent="0.25">
      <c r="A518" s="38"/>
      <c r="B518" s="63"/>
      <c r="C518" s="41"/>
      <c r="D518" s="48"/>
      <c r="E518" s="19"/>
      <c r="F518" s="19"/>
      <c r="G518" s="19"/>
      <c r="H518" s="41"/>
      <c r="I518" s="41"/>
      <c r="J518" s="41"/>
      <c r="K518" s="41"/>
      <c r="L518" s="41"/>
      <c r="M518" s="41"/>
      <c r="N518" s="48"/>
    </row>
    <row r="519" spans="1:14" ht="20.100000000000001" customHeight="1" x14ac:dyDescent="0.25">
      <c r="A519" s="38"/>
      <c r="B519" s="63"/>
      <c r="C519" s="41"/>
      <c r="D519" s="48"/>
      <c r="E519" s="19"/>
      <c r="F519" s="19"/>
      <c r="G519" s="19"/>
      <c r="H519" s="41"/>
      <c r="I519" s="41"/>
      <c r="J519" s="41"/>
      <c r="K519" s="41"/>
      <c r="L519" s="41"/>
      <c r="M519" s="41"/>
      <c r="N519" s="48"/>
    </row>
    <row r="520" spans="1:14" ht="20.100000000000001" customHeight="1" x14ac:dyDescent="0.25">
      <c r="A520" s="38"/>
      <c r="B520" s="63"/>
      <c r="C520" s="41"/>
      <c r="D520" s="48"/>
      <c r="E520" s="19"/>
      <c r="F520" s="19"/>
      <c r="G520" s="19"/>
      <c r="H520" s="41"/>
      <c r="I520" s="41"/>
      <c r="J520" s="41"/>
      <c r="K520" s="41"/>
      <c r="L520" s="41"/>
      <c r="M520" s="41"/>
      <c r="N520" s="48"/>
    </row>
    <row r="521" spans="1:14" ht="20.100000000000001" customHeight="1" x14ac:dyDescent="0.25">
      <c r="A521" s="38"/>
      <c r="B521" s="63"/>
      <c r="C521" s="41"/>
      <c r="D521" s="48"/>
      <c r="E521" s="19"/>
      <c r="F521" s="19"/>
      <c r="G521" s="19"/>
      <c r="H521" s="41"/>
      <c r="I521" s="41"/>
      <c r="J521" s="41"/>
      <c r="K521" s="41"/>
      <c r="L521" s="41"/>
      <c r="M521" s="41"/>
      <c r="N521" s="48"/>
    </row>
    <row r="522" spans="1:14" ht="20.100000000000001" customHeight="1" x14ac:dyDescent="0.25">
      <c r="A522" s="38"/>
      <c r="B522" s="63"/>
      <c r="C522" s="41"/>
      <c r="D522" s="48"/>
      <c r="E522" s="19"/>
      <c r="F522" s="19"/>
      <c r="G522" s="19"/>
      <c r="H522" s="41"/>
      <c r="I522" s="41"/>
      <c r="J522" s="41"/>
      <c r="K522" s="41"/>
      <c r="L522" s="41"/>
      <c r="M522" s="41"/>
      <c r="N522" s="48"/>
    </row>
    <row r="523" spans="1:14" ht="20.100000000000001" customHeight="1" x14ac:dyDescent="0.25">
      <c r="A523" s="38"/>
      <c r="B523" s="63"/>
      <c r="C523" s="41"/>
      <c r="D523" s="48"/>
      <c r="E523" s="19"/>
      <c r="F523" s="19"/>
      <c r="G523" s="19"/>
      <c r="H523" s="41"/>
      <c r="I523" s="41"/>
      <c r="J523" s="41"/>
      <c r="K523" s="41"/>
      <c r="L523" s="41"/>
      <c r="M523" s="41"/>
      <c r="N523" s="48"/>
    </row>
    <row r="524" spans="1:14" ht="20.100000000000001" customHeight="1" x14ac:dyDescent="0.25">
      <c r="A524" s="38"/>
      <c r="B524" s="63"/>
      <c r="C524" s="41"/>
      <c r="D524" s="48"/>
      <c r="E524" s="19"/>
      <c r="F524" s="19"/>
      <c r="G524" s="19"/>
      <c r="H524" s="41"/>
      <c r="I524" s="41"/>
      <c r="J524" s="41"/>
      <c r="K524" s="41"/>
      <c r="L524" s="41"/>
      <c r="M524" s="41"/>
      <c r="N524" s="48"/>
    </row>
    <row r="525" spans="1:14" ht="20.100000000000001" customHeight="1" x14ac:dyDescent="0.25">
      <c r="A525" s="38"/>
      <c r="B525" s="63"/>
      <c r="C525" s="41"/>
      <c r="D525" s="48"/>
      <c r="E525" s="19"/>
      <c r="F525" s="19"/>
      <c r="G525" s="19"/>
      <c r="H525" s="41"/>
      <c r="I525" s="41"/>
      <c r="J525" s="41"/>
      <c r="K525" s="41"/>
      <c r="L525" s="41"/>
      <c r="M525" s="41"/>
      <c r="N525" s="48"/>
    </row>
    <row r="526" spans="1:14" ht="20.100000000000001" customHeight="1" x14ac:dyDescent="0.25">
      <c r="A526" s="38"/>
      <c r="B526" s="63"/>
      <c r="C526" s="41"/>
      <c r="D526" s="48"/>
      <c r="E526" s="19"/>
      <c r="F526" s="19"/>
      <c r="G526" s="19"/>
      <c r="H526" s="41"/>
      <c r="I526" s="41"/>
      <c r="J526" s="41"/>
      <c r="K526" s="41"/>
      <c r="L526" s="41"/>
      <c r="M526" s="41"/>
      <c r="N526" s="48"/>
    </row>
    <row r="527" spans="1:14" ht="20.100000000000001" customHeight="1" x14ac:dyDescent="0.25">
      <c r="A527" s="38"/>
      <c r="B527" s="63"/>
      <c r="C527" s="41"/>
      <c r="D527" s="48"/>
      <c r="E527" s="19"/>
      <c r="F527" s="19"/>
      <c r="G527" s="19"/>
      <c r="H527" s="41"/>
      <c r="I527" s="41"/>
      <c r="J527" s="41"/>
      <c r="K527" s="41"/>
      <c r="L527" s="41"/>
      <c r="M527" s="41"/>
      <c r="N527" s="48"/>
    </row>
    <row r="528" spans="1:14" ht="20.100000000000001" customHeight="1" x14ac:dyDescent="0.25">
      <c r="A528" s="38"/>
      <c r="B528" s="63"/>
      <c r="C528" s="41"/>
      <c r="D528" s="48"/>
      <c r="E528" s="19"/>
      <c r="F528" s="19"/>
      <c r="G528" s="19"/>
      <c r="H528" s="41"/>
      <c r="I528" s="41"/>
      <c r="J528" s="41"/>
      <c r="K528" s="41"/>
      <c r="L528" s="41"/>
      <c r="M528" s="41"/>
      <c r="N528" s="48"/>
    </row>
    <row r="529" spans="1:14" ht="20.100000000000001" customHeight="1" x14ac:dyDescent="0.25">
      <c r="A529" s="38"/>
      <c r="B529" s="63"/>
      <c r="C529" s="41"/>
      <c r="D529" s="48"/>
      <c r="E529" s="19"/>
      <c r="F529" s="19"/>
      <c r="G529" s="19"/>
      <c r="H529" s="41"/>
      <c r="I529" s="41"/>
      <c r="J529" s="41"/>
      <c r="K529" s="41"/>
      <c r="L529" s="41"/>
      <c r="M529" s="41"/>
      <c r="N529" s="48"/>
    </row>
    <row r="530" spans="1:14" ht="20.100000000000001" customHeight="1" x14ac:dyDescent="0.25">
      <c r="A530" s="38"/>
      <c r="B530" s="63"/>
      <c r="C530" s="41"/>
      <c r="D530" s="48"/>
      <c r="E530" s="19"/>
      <c r="F530" s="19"/>
      <c r="G530" s="19"/>
      <c r="H530" s="41"/>
      <c r="I530" s="41"/>
      <c r="J530" s="41"/>
      <c r="K530" s="41"/>
      <c r="L530" s="41"/>
      <c r="M530" s="41"/>
      <c r="N530" s="48"/>
    </row>
    <row r="531" spans="1:14" ht="20.100000000000001" customHeight="1" x14ac:dyDescent="0.25">
      <c r="A531" s="38"/>
      <c r="B531" s="63"/>
      <c r="C531" s="41"/>
      <c r="D531" s="48"/>
      <c r="E531" s="19"/>
      <c r="F531" s="19"/>
      <c r="G531" s="19"/>
      <c r="H531" s="41"/>
      <c r="I531" s="41"/>
      <c r="J531" s="41"/>
      <c r="K531" s="41"/>
      <c r="L531" s="41"/>
      <c r="M531" s="41"/>
      <c r="N531" s="48"/>
    </row>
    <row r="532" spans="1:14" ht="20.100000000000001" customHeight="1" x14ac:dyDescent="0.25">
      <c r="A532" s="38"/>
      <c r="B532" s="63"/>
      <c r="C532" s="41"/>
      <c r="D532" s="48"/>
      <c r="E532" s="19"/>
      <c r="F532" s="19"/>
      <c r="G532" s="19"/>
      <c r="H532" s="41"/>
      <c r="I532" s="41"/>
      <c r="J532" s="41"/>
      <c r="K532" s="41"/>
      <c r="L532" s="41"/>
      <c r="M532" s="41"/>
      <c r="N532" s="48"/>
    </row>
    <row r="533" spans="1:14" ht="20.100000000000001" customHeight="1" x14ac:dyDescent="0.25">
      <c r="A533" s="38"/>
      <c r="B533" s="63"/>
      <c r="C533" s="41"/>
      <c r="D533" s="48"/>
      <c r="E533" s="19"/>
      <c r="F533" s="19"/>
      <c r="G533" s="19"/>
      <c r="H533" s="41"/>
      <c r="I533" s="41"/>
      <c r="J533" s="41"/>
      <c r="K533" s="41"/>
      <c r="L533" s="41"/>
      <c r="M533" s="41"/>
      <c r="N533" s="48"/>
    </row>
    <row r="534" spans="1:14" ht="20.100000000000001" customHeight="1" x14ac:dyDescent="0.25">
      <c r="A534" s="38"/>
      <c r="B534" s="63"/>
      <c r="C534" s="41"/>
      <c r="D534" s="48"/>
      <c r="E534" s="19"/>
      <c r="F534" s="19"/>
      <c r="G534" s="19"/>
      <c r="H534" s="41"/>
      <c r="I534" s="41"/>
      <c r="J534" s="41"/>
      <c r="K534" s="41"/>
      <c r="L534" s="41"/>
      <c r="M534" s="41"/>
      <c r="N534" s="48"/>
    </row>
    <row r="535" spans="1:14" ht="20.100000000000001" customHeight="1" x14ac:dyDescent="0.25">
      <c r="A535" s="38"/>
      <c r="B535" s="63"/>
      <c r="C535" s="41"/>
      <c r="D535" s="48"/>
      <c r="E535" s="19"/>
      <c r="F535" s="19"/>
      <c r="G535" s="19"/>
      <c r="H535" s="41"/>
      <c r="I535" s="41"/>
      <c r="J535" s="41"/>
      <c r="K535" s="41"/>
      <c r="L535" s="41"/>
      <c r="M535" s="41"/>
      <c r="N535" s="48"/>
    </row>
    <row r="536" spans="1:14" ht="20.100000000000001" customHeight="1" x14ac:dyDescent="0.25">
      <c r="A536" s="38"/>
      <c r="B536" s="63"/>
      <c r="C536" s="41"/>
      <c r="D536" s="48"/>
      <c r="E536" s="19"/>
      <c r="F536" s="19"/>
      <c r="G536" s="19"/>
      <c r="H536" s="41"/>
      <c r="I536" s="41"/>
      <c r="J536" s="41"/>
      <c r="K536" s="41"/>
      <c r="L536" s="41"/>
      <c r="M536" s="41"/>
      <c r="N536" s="48"/>
    </row>
    <row r="537" spans="1:14" ht="20.100000000000001" customHeight="1" x14ac:dyDescent="0.25">
      <c r="A537" s="38"/>
      <c r="B537" s="63"/>
      <c r="C537" s="41"/>
      <c r="D537" s="48"/>
      <c r="E537" s="19"/>
      <c r="F537" s="19"/>
      <c r="G537" s="19"/>
      <c r="H537" s="41"/>
      <c r="I537" s="41"/>
      <c r="J537" s="41"/>
      <c r="K537" s="41"/>
      <c r="L537" s="41"/>
      <c r="M537" s="41"/>
      <c r="N537" s="48"/>
    </row>
    <row r="538" spans="1:14" ht="20.100000000000001" customHeight="1" x14ac:dyDescent="0.25">
      <c r="A538" s="38"/>
      <c r="B538" s="63"/>
      <c r="C538" s="41"/>
      <c r="D538" s="48"/>
      <c r="E538" s="19"/>
      <c r="F538" s="19"/>
      <c r="G538" s="19"/>
      <c r="H538" s="41"/>
      <c r="I538" s="41"/>
      <c r="J538" s="41"/>
      <c r="K538" s="41"/>
      <c r="L538" s="41"/>
      <c r="M538" s="41"/>
      <c r="N538" s="48"/>
    </row>
    <row r="539" spans="1:14" ht="20.100000000000001" customHeight="1" x14ac:dyDescent="0.25">
      <c r="A539" s="38"/>
      <c r="B539" s="63"/>
      <c r="C539" s="41"/>
      <c r="D539" s="48"/>
      <c r="E539" s="19"/>
      <c r="F539" s="19"/>
      <c r="G539" s="19"/>
      <c r="H539" s="41"/>
      <c r="I539" s="41"/>
      <c r="J539" s="41"/>
      <c r="K539" s="41"/>
      <c r="L539" s="41"/>
      <c r="M539" s="41"/>
      <c r="N539" s="48"/>
    </row>
    <row r="540" spans="1:14" ht="20.100000000000001" customHeight="1" x14ac:dyDescent="0.25">
      <c r="A540" s="38"/>
      <c r="B540" s="63"/>
      <c r="C540" s="41"/>
      <c r="D540" s="48"/>
      <c r="E540" s="19"/>
      <c r="F540" s="19"/>
      <c r="G540" s="19"/>
      <c r="H540" s="41"/>
      <c r="I540" s="41"/>
      <c r="J540" s="41"/>
      <c r="K540" s="41"/>
      <c r="L540" s="41"/>
      <c r="M540" s="41"/>
      <c r="N540" s="48"/>
    </row>
    <row r="541" spans="1:14" ht="20.100000000000001" customHeight="1" x14ac:dyDescent="0.25">
      <c r="A541" s="38"/>
      <c r="B541" s="63"/>
      <c r="C541" s="41"/>
      <c r="D541" s="48"/>
      <c r="E541" s="19"/>
      <c r="F541" s="19"/>
      <c r="G541" s="19"/>
      <c r="H541" s="41"/>
      <c r="I541" s="41"/>
      <c r="J541" s="41"/>
      <c r="K541" s="41"/>
      <c r="L541" s="41"/>
      <c r="M541" s="41"/>
      <c r="N541" s="48"/>
    </row>
    <row r="542" spans="1:14" ht="20.100000000000001" customHeight="1" x14ac:dyDescent="0.25">
      <c r="A542" s="38"/>
      <c r="B542" s="63"/>
      <c r="C542" s="41"/>
      <c r="D542" s="48"/>
      <c r="E542" s="19"/>
      <c r="F542" s="19"/>
      <c r="G542" s="19"/>
      <c r="H542" s="41"/>
      <c r="I542" s="41"/>
      <c r="J542" s="41"/>
      <c r="K542" s="41"/>
      <c r="L542" s="41"/>
      <c r="M542" s="41"/>
      <c r="N542" s="48"/>
    </row>
    <row r="543" spans="1:14" ht="20.100000000000001" customHeight="1" x14ac:dyDescent="0.25">
      <c r="A543" s="38"/>
      <c r="B543" s="63"/>
      <c r="C543" s="41"/>
      <c r="D543" s="48"/>
      <c r="E543" s="19"/>
      <c r="F543" s="19"/>
      <c r="G543" s="19"/>
      <c r="H543" s="41"/>
      <c r="I543" s="41"/>
      <c r="J543" s="41"/>
      <c r="K543" s="41"/>
      <c r="L543" s="41"/>
      <c r="M543" s="41"/>
      <c r="N543" s="48"/>
    </row>
    <row r="544" spans="1:14" ht="20.100000000000001" customHeight="1" x14ac:dyDescent="0.25">
      <c r="A544" s="38"/>
      <c r="B544" s="63"/>
      <c r="C544" s="41"/>
      <c r="D544" s="48"/>
      <c r="E544" s="19"/>
      <c r="F544" s="19"/>
      <c r="G544" s="19"/>
      <c r="H544" s="41"/>
      <c r="I544" s="41"/>
      <c r="J544" s="41"/>
      <c r="K544" s="41"/>
      <c r="L544" s="41"/>
      <c r="M544" s="41"/>
      <c r="N544" s="48"/>
    </row>
    <row r="545" spans="1:14" ht="20.100000000000001" customHeight="1" x14ac:dyDescent="0.25">
      <c r="A545" s="38"/>
      <c r="B545" s="63"/>
      <c r="C545" s="41"/>
      <c r="D545" s="48"/>
      <c r="E545" s="19"/>
      <c r="F545" s="19"/>
      <c r="G545" s="19"/>
      <c r="H545" s="41"/>
      <c r="I545" s="41"/>
      <c r="J545" s="41"/>
      <c r="K545" s="41"/>
      <c r="L545" s="41"/>
      <c r="M545" s="41"/>
      <c r="N545" s="48"/>
    </row>
    <row r="546" spans="1:14" ht="20.100000000000001" customHeight="1" x14ac:dyDescent="0.25">
      <c r="A546" s="38"/>
      <c r="B546" s="63"/>
      <c r="C546" s="41"/>
      <c r="D546" s="48"/>
      <c r="E546" s="19"/>
      <c r="F546" s="19"/>
      <c r="G546" s="19"/>
      <c r="H546" s="41"/>
      <c r="I546" s="41"/>
      <c r="J546" s="41"/>
      <c r="K546" s="41"/>
      <c r="L546" s="41"/>
      <c r="M546" s="41"/>
      <c r="N546" s="48"/>
    </row>
    <row r="547" spans="1:14" ht="20.100000000000001" customHeight="1" x14ac:dyDescent="0.25">
      <c r="A547" s="38"/>
      <c r="B547" s="63"/>
      <c r="C547" s="41"/>
      <c r="D547" s="48"/>
      <c r="E547" s="19"/>
      <c r="F547" s="19"/>
      <c r="G547" s="19"/>
      <c r="H547" s="41"/>
      <c r="I547" s="41"/>
      <c r="J547" s="41"/>
      <c r="K547" s="41"/>
      <c r="L547" s="41"/>
      <c r="M547" s="41"/>
      <c r="N547" s="48"/>
    </row>
    <row r="548" spans="1:14" ht="20.100000000000001" customHeight="1" x14ac:dyDescent="0.25">
      <c r="A548" s="38"/>
      <c r="B548" s="63"/>
      <c r="C548" s="41"/>
      <c r="D548" s="48"/>
      <c r="E548" s="19"/>
      <c r="F548" s="19"/>
      <c r="G548" s="19"/>
      <c r="H548" s="41"/>
      <c r="I548" s="41"/>
      <c r="J548" s="41"/>
      <c r="K548" s="41"/>
      <c r="L548" s="41"/>
      <c r="M548" s="41"/>
      <c r="N548" s="48"/>
    </row>
    <row r="549" spans="1:14" ht="20.100000000000001" customHeight="1" x14ac:dyDescent="0.25">
      <c r="A549" s="38"/>
      <c r="B549" s="63"/>
      <c r="C549" s="41"/>
      <c r="D549" s="48"/>
      <c r="E549" s="19"/>
      <c r="F549" s="19"/>
      <c r="G549" s="19"/>
      <c r="H549" s="41"/>
      <c r="I549" s="41"/>
      <c r="J549" s="41"/>
      <c r="K549" s="41"/>
      <c r="L549" s="41"/>
      <c r="M549" s="41"/>
      <c r="N549" s="48"/>
    </row>
    <row r="550" spans="1:14" ht="20.100000000000001" customHeight="1" x14ac:dyDescent="0.25">
      <c r="A550" s="38"/>
      <c r="B550" s="63"/>
      <c r="C550" s="41"/>
      <c r="D550" s="48"/>
      <c r="E550" s="19"/>
      <c r="F550" s="19"/>
      <c r="G550" s="19"/>
      <c r="H550" s="41"/>
      <c r="I550" s="41"/>
      <c r="J550" s="41"/>
      <c r="K550" s="41"/>
      <c r="L550" s="41"/>
      <c r="M550" s="41"/>
      <c r="N550" s="48"/>
    </row>
    <row r="551" spans="1:14" ht="20.100000000000001" customHeight="1" x14ac:dyDescent="0.25">
      <c r="A551" s="38"/>
      <c r="B551" s="63"/>
      <c r="C551" s="41"/>
      <c r="D551" s="48"/>
      <c r="E551" s="19"/>
      <c r="F551" s="19"/>
      <c r="G551" s="19"/>
      <c r="H551" s="41"/>
      <c r="I551" s="41"/>
      <c r="J551" s="41"/>
      <c r="K551" s="41"/>
      <c r="L551" s="41"/>
      <c r="M551" s="41"/>
      <c r="N551" s="48"/>
    </row>
    <row r="552" spans="1:14" ht="20.100000000000001" customHeight="1" x14ac:dyDescent="0.25">
      <c r="A552" s="38"/>
      <c r="B552" s="63"/>
      <c r="C552" s="41"/>
      <c r="D552" s="48"/>
      <c r="E552" s="19"/>
      <c r="F552" s="19"/>
      <c r="G552" s="19"/>
      <c r="H552" s="41"/>
      <c r="I552" s="41"/>
      <c r="J552" s="41"/>
      <c r="K552" s="41"/>
      <c r="L552" s="41"/>
      <c r="M552" s="41"/>
      <c r="N552" s="48"/>
    </row>
    <row r="553" spans="1:14" ht="20.100000000000001" customHeight="1" x14ac:dyDescent="0.25">
      <c r="A553" s="38"/>
      <c r="B553" s="63"/>
      <c r="C553" s="41"/>
      <c r="D553" s="48"/>
      <c r="E553" s="19"/>
      <c r="F553" s="19"/>
      <c r="G553" s="19"/>
      <c r="H553" s="41"/>
      <c r="I553" s="41"/>
      <c r="J553" s="41"/>
      <c r="K553" s="41"/>
      <c r="L553" s="41"/>
      <c r="M553" s="41"/>
      <c r="N553" s="48"/>
    </row>
    <row r="554" spans="1:14" ht="20.100000000000001" customHeight="1" x14ac:dyDescent="0.25">
      <c r="A554" s="38"/>
      <c r="B554" s="63"/>
      <c r="C554" s="41"/>
      <c r="D554" s="48"/>
      <c r="E554" s="19"/>
      <c r="F554" s="19"/>
      <c r="G554" s="19"/>
      <c r="H554" s="41"/>
      <c r="I554" s="41"/>
      <c r="J554" s="41"/>
      <c r="K554" s="41"/>
      <c r="L554" s="41"/>
      <c r="M554" s="41"/>
      <c r="N554" s="48"/>
    </row>
    <row r="555" spans="1:14" ht="20.100000000000001" customHeight="1" x14ac:dyDescent="0.25">
      <c r="A555" s="38"/>
      <c r="B555" s="63"/>
      <c r="C555" s="41"/>
      <c r="D555" s="48"/>
      <c r="E555" s="19"/>
      <c r="F555" s="19"/>
      <c r="G555" s="19"/>
      <c r="H555" s="41"/>
      <c r="I555" s="41"/>
      <c r="J555" s="41"/>
      <c r="K555" s="41"/>
      <c r="L555" s="41"/>
      <c r="M555" s="41"/>
      <c r="N555" s="48"/>
    </row>
    <row r="556" spans="1:14" ht="20.100000000000001" customHeight="1" x14ac:dyDescent="0.25">
      <c r="A556" s="38"/>
      <c r="B556" s="63"/>
      <c r="C556" s="41"/>
      <c r="D556" s="48"/>
      <c r="E556" s="19"/>
      <c r="F556" s="19"/>
      <c r="G556" s="19"/>
      <c r="H556" s="41"/>
      <c r="I556" s="41"/>
      <c r="J556" s="41"/>
      <c r="K556" s="41"/>
      <c r="L556" s="41"/>
      <c r="M556" s="41"/>
      <c r="N556" s="48"/>
    </row>
    <row r="557" spans="1:14" ht="20.100000000000001" customHeight="1" x14ac:dyDescent="0.25">
      <c r="A557" s="38"/>
      <c r="B557" s="63"/>
      <c r="C557" s="41"/>
      <c r="D557" s="48"/>
      <c r="E557" s="19"/>
      <c r="F557" s="19"/>
      <c r="G557" s="19"/>
      <c r="H557" s="41"/>
      <c r="I557" s="41"/>
      <c r="J557" s="41"/>
      <c r="K557" s="41"/>
      <c r="L557" s="41"/>
      <c r="M557" s="41"/>
      <c r="N557" s="48"/>
    </row>
    <row r="558" spans="1:14" ht="20.100000000000001" customHeight="1" x14ac:dyDescent="0.25">
      <c r="A558" s="38"/>
      <c r="B558" s="63"/>
      <c r="C558" s="41"/>
      <c r="D558" s="48"/>
      <c r="E558" s="19"/>
      <c r="F558" s="19"/>
      <c r="G558" s="19"/>
      <c r="H558" s="41"/>
      <c r="I558" s="41"/>
      <c r="J558" s="41"/>
      <c r="K558" s="41"/>
      <c r="L558" s="41"/>
      <c r="M558" s="41"/>
      <c r="N558" s="48"/>
    </row>
    <row r="559" spans="1:14" ht="20.100000000000001" customHeight="1" x14ac:dyDescent="0.25">
      <c r="A559" s="38"/>
      <c r="B559" s="63"/>
      <c r="C559" s="41"/>
      <c r="D559" s="48"/>
      <c r="E559" s="19"/>
      <c r="F559" s="19"/>
      <c r="G559" s="19"/>
      <c r="H559" s="41"/>
      <c r="I559" s="41"/>
      <c r="J559" s="41"/>
      <c r="K559" s="41"/>
      <c r="L559" s="41"/>
      <c r="M559" s="41"/>
      <c r="N559" s="48"/>
    </row>
    <row r="560" spans="1:14" ht="20.100000000000001" customHeight="1" x14ac:dyDescent="0.25">
      <c r="A560" s="38"/>
      <c r="B560" s="63"/>
      <c r="C560" s="41"/>
      <c r="D560" s="48"/>
      <c r="E560" s="19"/>
      <c r="F560" s="19"/>
      <c r="G560" s="19"/>
      <c r="H560" s="41"/>
      <c r="I560" s="41"/>
      <c r="J560" s="41"/>
      <c r="K560" s="41"/>
      <c r="L560" s="41"/>
      <c r="M560" s="41"/>
      <c r="N560" s="48"/>
    </row>
    <row r="561" spans="1:14" ht="20.100000000000001" customHeight="1" x14ac:dyDescent="0.25">
      <c r="A561" s="38"/>
      <c r="B561" s="63"/>
      <c r="C561" s="41"/>
      <c r="D561" s="48"/>
      <c r="E561" s="19"/>
      <c r="F561" s="19"/>
      <c r="G561" s="19"/>
      <c r="H561" s="41"/>
      <c r="I561" s="41"/>
      <c r="J561" s="41"/>
      <c r="K561" s="41"/>
      <c r="L561" s="41"/>
      <c r="M561" s="41"/>
      <c r="N561" s="48"/>
    </row>
    <row r="562" spans="1:14" ht="20.100000000000001" customHeight="1" x14ac:dyDescent="0.25">
      <c r="A562" s="38"/>
      <c r="B562" s="63"/>
      <c r="C562" s="41"/>
      <c r="D562" s="48"/>
      <c r="E562" s="19"/>
      <c r="F562" s="19"/>
      <c r="G562" s="19"/>
      <c r="H562" s="41"/>
      <c r="I562" s="41"/>
      <c r="J562" s="41"/>
      <c r="K562" s="41"/>
      <c r="L562" s="41"/>
      <c r="M562" s="41"/>
      <c r="N562" s="48"/>
    </row>
    <row r="563" spans="1:14" ht="20.100000000000001" customHeight="1" x14ac:dyDescent="0.25">
      <c r="A563" s="38"/>
      <c r="B563" s="63"/>
      <c r="C563" s="41"/>
      <c r="D563" s="48"/>
      <c r="E563" s="19"/>
      <c r="F563" s="19"/>
      <c r="G563" s="19"/>
      <c r="H563" s="41"/>
      <c r="I563" s="41"/>
      <c r="J563" s="41"/>
      <c r="K563" s="41"/>
      <c r="L563" s="41"/>
      <c r="M563" s="41"/>
      <c r="N563" s="48"/>
    </row>
    <row r="564" spans="1:14" ht="20.100000000000001" customHeight="1" x14ac:dyDescent="0.25">
      <c r="A564" s="38"/>
      <c r="B564" s="63"/>
      <c r="C564" s="41"/>
      <c r="D564" s="48"/>
      <c r="E564" s="19"/>
      <c r="F564" s="19"/>
      <c r="G564" s="19"/>
      <c r="H564" s="41"/>
      <c r="I564" s="41"/>
      <c r="J564" s="41"/>
      <c r="K564" s="41"/>
      <c r="L564" s="41"/>
      <c r="M564" s="41"/>
      <c r="N564" s="48"/>
    </row>
    <row r="565" spans="1:14" ht="20.100000000000001" customHeight="1" x14ac:dyDescent="0.25">
      <c r="A565" s="38"/>
      <c r="B565" s="63"/>
      <c r="C565" s="41"/>
      <c r="D565" s="48"/>
      <c r="E565" s="19"/>
      <c r="F565" s="19"/>
      <c r="G565" s="19"/>
      <c r="H565" s="41"/>
      <c r="I565" s="41"/>
      <c r="J565" s="41"/>
      <c r="K565" s="41"/>
      <c r="L565" s="41"/>
      <c r="M565" s="41"/>
      <c r="N565" s="48"/>
    </row>
    <row r="566" spans="1:14" ht="20.100000000000001" customHeight="1" x14ac:dyDescent="0.25">
      <c r="A566" s="38"/>
      <c r="B566" s="63"/>
      <c r="C566" s="41"/>
      <c r="D566" s="48"/>
      <c r="E566" s="19"/>
      <c r="F566" s="19"/>
      <c r="G566" s="19"/>
      <c r="H566" s="41"/>
      <c r="I566" s="41"/>
      <c r="J566" s="41"/>
      <c r="K566" s="41"/>
      <c r="L566" s="41"/>
      <c r="M566" s="41"/>
      <c r="N566" s="48"/>
    </row>
    <row r="567" spans="1:14" ht="20.100000000000001" customHeight="1" x14ac:dyDescent="0.25">
      <c r="A567" s="38"/>
      <c r="B567" s="63"/>
      <c r="C567" s="41"/>
      <c r="D567" s="48"/>
      <c r="E567" s="19"/>
      <c r="F567" s="19"/>
      <c r="G567" s="19"/>
      <c r="H567" s="41"/>
      <c r="I567" s="41"/>
      <c r="J567" s="41"/>
      <c r="K567" s="41"/>
      <c r="L567" s="41"/>
      <c r="M567" s="41"/>
      <c r="N567" s="48"/>
    </row>
    <row r="568" spans="1:14" ht="20.100000000000001" customHeight="1" x14ac:dyDescent="0.25">
      <c r="A568" s="38"/>
      <c r="B568" s="63"/>
      <c r="C568" s="41"/>
      <c r="D568" s="48"/>
      <c r="E568" s="19"/>
      <c r="F568" s="19"/>
      <c r="G568" s="19"/>
      <c r="H568" s="41"/>
      <c r="I568" s="41"/>
      <c r="J568" s="41"/>
      <c r="K568" s="41"/>
      <c r="L568" s="41"/>
      <c r="M568" s="41"/>
      <c r="N568" s="48"/>
    </row>
    <row r="569" spans="1:14" ht="20.100000000000001" customHeight="1" x14ac:dyDescent="0.25">
      <c r="A569" s="38"/>
      <c r="B569" s="63"/>
      <c r="C569" s="41"/>
      <c r="D569" s="48"/>
      <c r="E569" s="19"/>
      <c r="F569" s="19"/>
      <c r="G569" s="19"/>
      <c r="H569" s="41"/>
      <c r="I569" s="41"/>
      <c r="J569" s="41"/>
      <c r="K569" s="41"/>
      <c r="L569" s="41"/>
      <c r="M569" s="41"/>
      <c r="N569" s="48"/>
    </row>
    <row r="570" spans="1:14" ht="20.100000000000001" customHeight="1" x14ac:dyDescent="0.25">
      <c r="A570" s="38"/>
      <c r="B570" s="63"/>
      <c r="C570" s="41"/>
      <c r="D570" s="48"/>
      <c r="E570" s="19"/>
      <c r="F570" s="19"/>
      <c r="G570" s="19"/>
      <c r="H570" s="41"/>
      <c r="I570" s="41"/>
      <c r="J570" s="41"/>
      <c r="K570" s="41"/>
      <c r="L570" s="41"/>
      <c r="M570" s="41"/>
      <c r="N570" s="48"/>
    </row>
    <row r="571" spans="1:14" ht="20.100000000000001" customHeight="1" x14ac:dyDescent="0.25">
      <c r="A571" s="38"/>
      <c r="B571" s="63"/>
      <c r="C571" s="41"/>
      <c r="D571" s="48"/>
      <c r="E571" s="19"/>
      <c r="F571" s="19"/>
      <c r="G571" s="19"/>
      <c r="H571" s="41"/>
      <c r="I571" s="41"/>
      <c r="J571" s="41"/>
      <c r="K571" s="41"/>
      <c r="L571" s="41"/>
      <c r="M571" s="41"/>
      <c r="N571" s="48"/>
    </row>
    <row r="572" spans="1:14" ht="20.100000000000001" customHeight="1" x14ac:dyDescent="0.25">
      <c r="A572" s="38"/>
      <c r="B572" s="63"/>
      <c r="C572" s="41"/>
      <c r="D572" s="48"/>
      <c r="E572" s="19"/>
      <c r="F572" s="19"/>
      <c r="G572" s="19"/>
      <c r="H572" s="41"/>
      <c r="I572" s="41"/>
      <c r="J572" s="41"/>
      <c r="K572" s="41"/>
      <c r="L572" s="41"/>
      <c r="M572" s="41"/>
      <c r="N572" s="48"/>
    </row>
    <row r="573" spans="1:14" ht="20.100000000000001" customHeight="1" x14ac:dyDescent="0.25">
      <c r="A573" s="38"/>
      <c r="B573" s="63"/>
      <c r="C573" s="41"/>
      <c r="D573" s="48"/>
      <c r="E573" s="19"/>
      <c r="F573" s="19"/>
      <c r="G573" s="19"/>
      <c r="H573" s="41"/>
      <c r="I573" s="41"/>
      <c r="J573" s="41"/>
      <c r="K573" s="41"/>
      <c r="L573" s="41"/>
      <c r="M573" s="41"/>
      <c r="N573" s="48"/>
    </row>
    <row r="574" spans="1:14" ht="20.100000000000001" customHeight="1" x14ac:dyDescent="0.25">
      <c r="A574" s="38"/>
      <c r="B574" s="63"/>
      <c r="C574" s="41"/>
      <c r="D574" s="48"/>
      <c r="E574" s="19"/>
      <c r="F574" s="19"/>
      <c r="G574" s="19"/>
      <c r="H574" s="19"/>
      <c r="I574" s="41"/>
      <c r="J574" s="41"/>
      <c r="K574" s="41"/>
      <c r="L574" s="41"/>
      <c r="M574" s="41"/>
      <c r="N574" s="48"/>
    </row>
    <row r="575" spans="1:14" ht="20.100000000000001" customHeight="1" x14ac:dyDescent="0.25">
      <c r="A575" s="38"/>
      <c r="B575" s="63"/>
      <c r="C575" s="41"/>
      <c r="D575" s="48"/>
      <c r="E575" s="19"/>
      <c r="F575" s="19"/>
      <c r="G575" s="19"/>
      <c r="H575" s="19"/>
      <c r="I575" s="41"/>
      <c r="J575" s="41"/>
      <c r="K575" s="41"/>
      <c r="L575" s="41"/>
      <c r="M575" s="41"/>
      <c r="N575" s="48"/>
    </row>
    <row r="576" spans="1:14" ht="20.100000000000001" customHeight="1" x14ac:dyDescent="0.25">
      <c r="A576" s="38"/>
      <c r="B576" s="63"/>
      <c r="C576" s="41"/>
      <c r="D576" s="48"/>
      <c r="E576" s="19"/>
      <c r="F576" s="19"/>
      <c r="G576" s="19"/>
      <c r="H576" s="19"/>
      <c r="I576" s="41"/>
      <c r="J576" s="41"/>
      <c r="K576" s="41"/>
      <c r="L576" s="41"/>
      <c r="M576" s="41"/>
      <c r="N576" s="48"/>
    </row>
    <row r="577" spans="1:14" ht="20.100000000000001" customHeight="1" x14ac:dyDescent="0.25">
      <c r="A577" s="38"/>
      <c r="B577" s="63"/>
      <c r="C577" s="41"/>
      <c r="D577" s="48"/>
      <c r="E577" s="19"/>
      <c r="F577" s="19"/>
      <c r="G577" s="19"/>
      <c r="H577" s="19"/>
      <c r="I577" s="41"/>
      <c r="J577" s="41"/>
      <c r="K577" s="41"/>
      <c r="L577" s="41"/>
      <c r="M577" s="41"/>
      <c r="N577" s="48"/>
    </row>
    <row r="578" spans="1:14" ht="20.100000000000001" customHeight="1" x14ac:dyDescent="0.25">
      <c r="A578" s="38"/>
      <c r="B578" s="63"/>
      <c r="C578" s="41"/>
      <c r="D578" s="48"/>
      <c r="E578" s="19"/>
      <c r="F578" s="19"/>
      <c r="G578" s="19"/>
      <c r="H578" s="19"/>
      <c r="I578" s="41"/>
      <c r="J578" s="41"/>
      <c r="K578" s="41"/>
      <c r="L578" s="41"/>
      <c r="M578" s="41"/>
      <c r="N578" s="48"/>
    </row>
    <row r="579" spans="1:14" ht="20.100000000000001" customHeight="1" x14ac:dyDescent="0.25">
      <c r="A579" s="38"/>
      <c r="B579" s="63"/>
      <c r="C579" s="41"/>
      <c r="D579" s="48"/>
      <c r="E579" s="19"/>
      <c r="F579" s="19"/>
      <c r="G579" s="19"/>
      <c r="H579" s="19"/>
      <c r="I579" s="41"/>
      <c r="J579" s="41"/>
      <c r="K579" s="41"/>
      <c r="L579" s="41"/>
      <c r="M579" s="41"/>
      <c r="N579" s="48"/>
    </row>
    <row r="580" spans="1:14" ht="20.100000000000001" customHeight="1" x14ac:dyDescent="0.25">
      <c r="A580" s="38"/>
      <c r="B580" s="63"/>
      <c r="C580" s="41"/>
      <c r="D580" s="48"/>
      <c r="E580" s="19"/>
      <c r="F580" s="19"/>
      <c r="G580" s="19"/>
      <c r="H580" s="19"/>
      <c r="I580" s="41"/>
      <c r="J580" s="41"/>
      <c r="K580" s="41"/>
      <c r="L580" s="41"/>
      <c r="M580" s="41"/>
      <c r="N580" s="48"/>
    </row>
    <row r="581" spans="1:14" ht="20.100000000000001" customHeight="1" x14ac:dyDescent="0.25">
      <c r="A581" s="38"/>
      <c r="B581" s="63"/>
      <c r="C581" s="41"/>
      <c r="D581" s="48"/>
      <c r="E581" s="19"/>
      <c r="F581" s="19"/>
      <c r="G581" s="19"/>
      <c r="H581" s="19"/>
      <c r="I581" s="41"/>
      <c r="J581" s="41"/>
      <c r="K581" s="41"/>
      <c r="L581" s="41"/>
      <c r="M581" s="41"/>
      <c r="N581" s="48"/>
    </row>
    <row r="582" spans="1:14" ht="20.100000000000001" customHeight="1" x14ac:dyDescent="0.25">
      <c r="A582" s="38"/>
      <c r="B582" s="63"/>
      <c r="C582" s="41"/>
      <c r="D582" s="48"/>
      <c r="E582" s="19"/>
      <c r="F582" s="19"/>
      <c r="G582" s="19"/>
      <c r="H582" s="19"/>
      <c r="I582" s="41"/>
      <c r="J582" s="41"/>
      <c r="K582" s="41"/>
      <c r="L582" s="41"/>
      <c r="M582" s="41"/>
      <c r="N582" s="48"/>
    </row>
    <row r="583" spans="1:14" ht="20.100000000000001" customHeight="1" x14ac:dyDescent="0.25">
      <c r="A583" s="38"/>
      <c r="B583" s="63"/>
      <c r="C583" s="41"/>
      <c r="D583" s="48"/>
      <c r="E583" s="19"/>
      <c r="F583" s="19"/>
      <c r="G583" s="19"/>
      <c r="H583" s="19"/>
      <c r="I583" s="41"/>
      <c r="J583" s="41"/>
      <c r="K583" s="41"/>
      <c r="L583" s="41"/>
      <c r="M583" s="41"/>
      <c r="N583" s="48"/>
    </row>
    <row r="584" spans="1:14" ht="20.100000000000001" customHeight="1" x14ac:dyDescent="0.25">
      <c r="A584" s="38"/>
      <c r="B584" s="63"/>
      <c r="C584" s="41"/>
      <c r="D584" s="48"/>
      <c r="E584" s="19"/>
      <c r="F584" s="19"/>
      <c r="G584" s="19"/>
      <c r="H584" s="19"/>
      <c r="I584" s="41"/>
      <c r="J584" s="41"/>
      <c r="K584" s="41"/>
      <c r="L584" s="41"/>
      <c r="M584" s="41"/>
      <c r="N584" s="48"/>
    </row>
    <row r="585" spans="1:14" ht="20.100000000000001" customHeight="1" x14ac:dyDescent="0.25">
      <c r="A585" s="38"/>
      <c r="B585" s="63"/>
      <c r="C585" s="41"/>
      <c r="D585" s="48"/>
      <c r="E585" s="12"/>
      <c r="F585" s="13"/>
      <c r="G585" s="13"/>
      <c r="H585" s="41"/>
      <c r="I585" s="41"/>
      <c r="J585" s="41"/>
      <c r="K585" s="41"/>
      <c r="L585" s="41"/>
      <c r="M585" s="41"/>
      <c r="N585" s="48"/>
    </row>
    <row r="586" spans="1:14" ht="20.100000000000001" customHeight="1" x14ac:dyDescent="0.25">
      <c r="A586" s="38"/>
      <c r="B586" s="63"/>
      <c r="C586" s="41"/>
      <c r="D586" s="48"/>
      <c r="E586" s="12"/>
      <c r="F586" s="13"/>
      <c r="G586" s="13"/>
      <c r="H586" s="41"/>
      <c r="I586" s="41"/>
      <c r="J586" s="41"/>
      <c r="K586" s="41"/>
      <c r="L586" s="41"/>
      <c r="M586" s="41"/>
      <c r="N586" s="48"/>
    </row>
    <row r="587" spans="1:14" ht="20.100000000000001" customHeight="1" x14ac:dyDescent="0.25">
      <c r="A587" s="38"/>
      <c r="B587" s="63"/>
      <c r="C587" s="41"/>
      <c r="D587" s="48"/>
      <c r="E587" s="12"/>
      <c r="F587" s="13"/>
      <c r="G587" s="13"/>
      <c r="H587" s="41"/>
      <c r="I587" s="41"/>
      <c r="J587" s="41"/>
      <c r="K587" s="41"/>
      <c r="L587" s="41"/>
      <c r="M587" s="41"/>
      <c r="N587" s="48"/>
    </row>
    <row r="588" spans="1:14" ht="20.100000000000001" customHeight="1" x14ac:dyDescent="0.25">
      <c r="A588" s="38"/>
      <c r="B588" s="63"/>
      <c r="C588" s="41"/>
      <c r="D588" s="48"/>
      <c r="E588" s="12"/>
      <c r="F588" s="13"/>
      <c r="G588" s="13"/>
      <c r="H588" s="41"/>
      <c r="I588" s="41"/>
      <c r="J588" s="41"/>
      <c r="K588" s="41"/>
      <c r="L588" s="41"/>
      <c r="M588" s="41"/>
      <c r="N588" s="48"/>
    </row>
    <row r="589" spans="1:14" ht="20.100000000000001" customHeight="1" x14ac:dyDescent="0.25">
      <c r="A589" s="38"/>
      <c r="B589" s="63"/>
      <c r="C589" s="41"/>
      <c r="D589" s="48"/>
      <c r="E589" s="12"/>
      <c r="F589" s="13"/>
      <c r="G589" s="13"/>
      <c r="H589" s="41"/>
      <c r="I589" s="41"/>
      <c r="J589" s="41"/>
      <c r="K589" s="41"/>
      <c r="L589" s="41"/>
      <c r="M589" s="41"/>
      <c r="N589" s="48"/>
    </row>
    <row r="590" spans="1:14" ht="20.100000000000001" customHeight="1" x14ac:dyDescent="0.25">
      <c r="A590" s="38"/>
      <c r="B590" s="63"/>
      <c r="C590" s="41"/>
      <c r="D590" s="48"/>
      <c r="E590" s="12"/>
      <c r="F590" s="13"/>
      <c r="G590" s="13"/>
      <c r="H590" s="41"/>
      <c r="I590" s="41"/>
      <c r="J590" s="41"/>
      <c r="K590" s="41"/>
      <c r="L590" s="41"/>
      <c r="M590" s="41"/>
      <c r="N590" s="48"/>
    </row>
    <row r="591" spans="1:14" ht="20.100000000000001" customHeight="1" x14ac:dyDescent="0.25">
      <c r="A591" s="38"/>
      <c r="B591" s="63"/>
      <c r="C591" s="41"/>
      <c r="D591" s="48"/>
      <c r="E591" s="12"/>
      <c r="F591" s="13"/>
      <c r="G591" s="13"/>
      <c r="H591" s="41"/>
      <c r="I591" s="41"/>
      <c r="J591" s="41"/>
      <c r="K591" s="41"/>
      <c r="L591" s="41"/>
      <c r="M591" s="41"/>
      <c r="N591" s="48"/>
    </row>
    <row r="592" spans="1:14" ht="20.100000000000001" customHeight="1" x14ac:dyDescent="0.25">
      <c r="A592" s="38"/>
      <c r="B592" s="63"/>
      <c r="C592" s="41"/>
      <c r="D592" s="48"/>
      <c r="E592" s="12"/>
      <c r="F592" s="13"/>
      <c r="G592" s="13"/>
      <c r="H592" s="41"/>
      <c r="I592" s="41"/>
      <c r="J592" s="41"/>
      <c r="K592" s="41"/>
      <c r="L592" s="41"/>
      <c r="M592" s="41"/>
      <c r="N592" s="48"/>
    </row>
    <row r="593" spans="1:14" ht="20.100000000000001" customHeight="1" x14ac:dyDescent="0.25">
      <c r="A593" s="38"/>
      <c r="B593" s="63"/>
      <c r="C593" s="41"/>
      <c r="D593" s="48"/>
      <c r="E593" s="12"/>
      <c r="F593" s="13"/>
      <c r="G593" s="13"/>
      <c r="H593" s="41"/>
      <c r="I593" s="41"/>
      <c r="J593" s="41"/>
      <c r="K593" s="41"/>
      <c r="L593" s="41"/>
      <c r="M593" s="41"/>
      <c r="N593" s="48"/>
    </row>
    <row r="594" spans="1:14" ht="20.100000000000001" customHeight="1" x14ac:dyDescent="0.25">
      <c r="A594" s="38"/>
      <c r="B594" s="63"/>
      <c r="C594" s="41"/>
      <c r="D594" s="48"/>
      <c r="E594" s="19"/>
      <c r="F594" s="19"/>
      <c r="G594" s="19"/>
      <c r="H594" s="41"/>
      <c r="I594" s="41"/>
      <c r="J594" s="41"/>
      <c r="K594" s="41"/>
      <c r="L594" s="41"/>
      <c r="M594" s="41"/>
      <c r="N594" s="48"/>
    </row>
    <row r="595" spans="1:14" ht="20.100000000000001" customHeight="1" x14ac:dyDescent="0.25">
      <c r="A595" s="38"/>
      <c r="B595" s="63"/>
      <c r="C595" s="41"/>
      <c r="D595" s="48"/>
      <c r="E595" s="19"/>
      <c r="F595" s="19"/>
      <c r="G595" s="19"/>
      <c r="H595" s="41"/>
      <c r="I595" s="41"/>
      <c r="J595" s="41"/>
      <c r="K595" s="41"/>
      <c r="L595" s="41"/>
      <c r="M595" s="41"/>
      <c r="N595" s="48"/>
    </row>
    <row r="596" spans="1:14" ht="20.100000000000001" customHeight="1" x14ac:dyDescent="0.25">
      <c r="A596" s="38"/>
      <c r="B596" s="63"/>
      <c r="C596" s="41"/>
      <c r="D596" s="48"/>
      <c r="E596" s="19"/>
      <c r="F596" s="19"/>
      <c r="G596" s="19"/>
      <c r="H596" s="41"/>
      <c r="I596" s="41"/>
      <c r="J596" s="41"/>
      <c r="K596" s="41"/>
      <c r="L596" s="41"/>
      <c r="M596" s="41"/>
      <c r="N596" s="48"/>
    </row>
    <row r="597" spans="1:14" ht="20.100000000000001" customHeight="1" x14ac:dyDescent="0.25">
      <c r="A597" s="38"/>
      <c r="B597" s="63"/>
      <c r="C597" s="41"/>
      <c r="D597" s="48"/>
      <c r="E597" s="19"/>
      <c r="F597" s="19"/>
      <c r="G597" s="19"/>
      <c r="H597" s="41"/>
      <c r="I597" s="41"/>
      <c r="J597" s="41"/>
      <c r="K597" s="41"/>
      <c r="L597" s="41"/>
      <c r="M597" s="41"/>
      <c r="N597" s="48"/>
    </row>
    <row r="598" spans="1:14" ht="20.100000000000001" customHeight="1" x14ac:dyDescent="0.25">
      <c r="A598" s="38"/>
      <c r="B598" s="63"/>
      <c r="C598" s="41"/>
      <c r="D598" s="48"/>
      <c r="E598" s="19"/>
      <c r="F598" s="19"/>
      <c r="G598" s="19"/>
      <c r="H598" s="41"/>
      <c r="I598" s="41"/>
      <c r="J598" s="41"/>
      <c r="K598" s="41"/>
      <c r="L598" s="41"/>
      <c r="M598" s="41"/>
      <c r="N598" s="48"/>
    </row>
    <row r="599" spans="1:14" ht="20.100000000000001" customHeight="1" x14ac:dyDescent="0.25">
      <c r="A599" s="38"/>
      <c r="B599" s="63"/>
      <c r="C599" s="41"/>
      <c r="D599" s="48"/>
      <c r="E599" s="19"/>
      <c r="F599" s="19"/>
      <c r="G599" s="19"/>
      <c r="H599" s="41"/>
      <c r="I599" s="41"/>
      <c r="J599" s="41"/>
      <c r="K599" s="41"/>
      <c r="L599" s="41"/>
      <c r="M599" s="41"/>
      <c r="N599" s="48"/>
    </row>
    <row r="600" spans="1:14" ht="20.100000000000001" customHeight="1" x14ac:dyDescent="0.25">
      <c r="A600" s="38"/>
      <c r="B600" s="63"/>
      <c r="C600" s="41"/>
      <c r="D600" s="48"/>
      <c r="E600" s="19"/>
      <c r="F600" s="19"/>
      <c r="G600" s="19"/>
      <c r="H600" s="41"/>
      <c r="I600" s="41"/>
      <c r="J600" s="41"/>
      <c r="K600" s="41"/>
      <c r="L600" s="41"/>
      <c r="M600" s="41"/>
      <c r="N600" s="48"/>
    </row>
    <row r="601" spans="1:14" ht="20.100000000000001" customHeight="1" x14ac:dyDescent="0.25">
      <c r="A601" s="38"/>
      <c r="B601" s="63"/>
      <c r="C601" s="41"/>
      <c r="D601" s="48"/>
      <c r="E601" s="19"/>
      <c r="F601" s="19"/>
      <c r="G601" s="19"/>
      <c r="H601" s="41"/>
      <c r="I601" s="41"/>
      <c r="J601" s="41"/>
      <c r="K601" s="41"/>
      <c r="L601" s="41"/>
      <c r="M601" s="41"/>
      <c r="N601" s="48"/>
    </row>
    <row r="602" spans="1:14" ht="20.100000000000001" customHeight="1" x14ac:dyDescent="0.25">
      <c r="A602" s="38"/>
      <c r="B602" s="63"/>
      <c r="C602" s="41"/>
      <c r="D602" s="48"/>
      <c r="E602" s="19"/>
      <c r="F602" s="19"/>
      <c r="G602" s="19"/>
      <c r="H602" s="41"/>
      <c r="I602" s="41"/>
      <c r="J602" s="41"/>
      <c r="K602" s="41"/>
      <c r="L602" s="41"/>
      <c r="M602" s="41"/>
      <c r="N602" s="48"/>
    </row>
    <row r="603" spans="1:14" ht="20.100000000000001" customHeight="1" x14ac:dyDescent="0.25">
      <c r="A603" s="38"/>
      <c r="B603" s="63"/>
      <c r="C603" s="41"/>
      <c r="D603" s="48"/>
      <c r="E603" s="19"/>
      <c r="F603" s="19"/>
      <c r="G603" s="19"/>
      <c r="H603" s="41"/>
      <c r="I603" s="41"/>
      <c r="J603" s="41"/>
      <c r="K603" s="41"/>
      <c r="L603" s="41"/>
      <c r="M603" s="41"/>
      <c r="N603" s="48"/>
    </row>
    <row r="604" spans="1:14" ht="20.100000000000001" customHeight="1" x14ac:dyDescent="0.25">
      <c r="A604" s="38"/>
      <c r="B604" s="63"/>
      <c r="C604" s="41"/>
      <c r="D604" s="48"/>
      <c r="E604" s="19"/>
      <c r="F604" s="19"/>
      <c r="G604" s="19"/>
      <c r="H604" s="41"/>
      <c r="I604" s="41"/>
      <c r="J604" s="41"/>
      <c r="K604" s="41"/>
      <c r="L604" s="41"/>
      <c r="M604" s="41"/>
      <c r="N604" s="48"/>
    </row>
    <row r="605" spans="1:14" ht="20.100000000000001" customHeight="1" x14ac:dyDescent="0.25">
      <c r="A605" s="38"/>
      <c r="B605" s="63"/>
      <c r="C605" s="41"/>
      <c r="D605" s="48"/>
      <c r="E605" s="19"/>
      <c r="F605" s="19"/>
      <c r="G605" s="19"/>
      <c r="H605" s="41"/>
      <c r="I605" s="41"/>
      <c r="J605" s="41"/>
      <c r="K605" s="41"/>
      <c r="L605" s="41"/>
      <c r="M605" s="41"/>
      <c r="N605" s="48"/>
    </row>
    <row r="606" spans="1:14" ht="20.100000000000001" customHeight="1" x14ac:dyDescent="0.25">
      <c r="A606" s="38"/>
      <c r="B606" s="63"/>
      <c r="C606" s="41"/>
      <c r="D606" s="48"/>
      <c r="E606" s="19"/>
      <c r="F606" s="19"/>
      <c r="G606" s="19"/>
      <c r="H606" s="41"/>
      <c r="I606" s="41"/>
      <c r="J606" s="41"/>
      <c r="K606" s="41"/>
      <c r="L606" s="41"/>
      <c r="M606" s="41"/>
      <c r="N606" s="48"/>
    </row>
    <row r="607" spans="1:14" ht="20.100000000000001" customHeight="1" x14ac:dyDescent="0.25">
      <c r="A607" s="38"/>
      <c r="B607" s="63"/>
      <c r="C607" s="41"/>
      <c r="D607" s="48"/>
      <c r="E607" s="19"/>
      <c r="F607" s="19"/>
      <c r="G607" s="19"/>
      <c r="H607" s="41"/>
      <c r="I607" s="41"/>
      <c r="J607" s="41"/>
      <c r="K607" s="41"/>
      <c r="L607" s="41"/>
      <c r="M607" s="41"/>
      <c r="N607" s="48"/>
    </row>
    <row r="608" spans="1:14" ht="20.100000000000001" customHeight="1" x14ac:dyDescent="0.25">
      <c r="A608" s="38"/>
      <c r="B608" s="63"/>
      <c r="C608" s="41"/>
      <c r="D608" s="48"/>
      <c r="E608" s="19"/>
      <c r="F608" s="19"/>
      <c r="G608" s="19"/>
      <c r="H608" s="41"/>
      <c r="I608" s="41"/>
      <c r="J608" s="41"/>
      <c r="K608" s="41"/>
      <c r="L608" s="41"/>
      <c r="M608" s="41"/>
      <c r="N608" s="48"/>
    </row>
    <row r="609" spans="1:14" ht="20.100000000000001" customHeight="1" x14ac:dyDescent="0.25">
      <c r="A609" s="38"/>
      <c r="B609" s="63"/>
      <c r="C609" s="41"/>
      <c r="D609" s="48"/>
      <c r="E609" s="19"/>
      <c r="F609" s="19"/>
      <c r="G609" s="19"/>
      <c r="H609" s="41"/>
      <c r="I609" s="41"/>
      <c r="J609" s="41"/>
      <c r="K609" s="41"/>
      <c r="L609" s="41"/>
      <c r="M609" s="41"/>
      <c r="N609" s="48"/>
    </row>
    <row r="610" spans="1:14" ht="20.100000000000001" customHeight="1" x14ac:dyDescent="0.25">
      <c r="A610" s="38"/>
      <c r="B610" s="63"/>
      <c r="C610" s="41"/>
      <c r="D610" s="48"/>
      <c r="E610" s="19"/>
      <c r="F610" s="19"/>
      <c r="G610" s="19"/>
      <c r="H610" s="41"/>
      <c r="I610" s="41"/>
      <c r="J610" s="41"/>
      <c r="K610" s="41"/>
      <c r="L610" s="41"/>
      <c r="M610" s="41"/>
      <c r="N610" s="48"/>
    </row>
    <row r="611" spans="1:14" ht="20.100000000000001" customHeight="1" x14ac:dyDescent="0.25">
      <c r="A611" s="38"/>
      <c r="B611" s="63"/>
      <c r="C611" s="41"/>
      <c r="D611" s="48"/>
      <c r="E611" s="19"/>
      <c r="F611" s="19"/>
      <c r="G611" s="19"/>
      <c r="H611" s="41"/>
      <c r="I611" s="41"/>
      <c r="J611" s="41"/>
      <c r="K611" s="41"/>
      <c r="L611" s="41"/>
      <c r="M611" s="41"/>
      <c r="N611" s="48"/>
    </row>
    <row r="612" spans="1:14" ht="20.100000000000001" customHeight="1" x14ac:dyDescent="0.25">
      <c r="A612" s="38"/>
      <c r="B612" s="63"/>
      <c r="C612" s="41"/>
      <c r="D612" s="48"/>
      <c r="E612" s="19"/>
      <c r="F612" s="19"/>
      <c r="G612" s="19"/>
      <c r="H612" s="41"/>
      <c r="I612" s="41"/>
      <c r="J612" s="41"/>
      <c r="K612" s="41"/>
      <c r="L612" s="41"/>
      <c r="M612" s="41"/>
      <c r="N612" s="48"/>
    </row>
    <row r="613" spans="1:14" ht="20.100000000000001" customHeight="1" x14ac:dyDescent="0.25">
      <c r="A613" s="38"/>
      <c r="B613" s="63"/>
      <c r="C613" s="41"/>
      <c r="D613" s="48"/>
      <c r="E613" s="19"/>
      <c r="F613" s="19"/>
      <c r="G613" s="19"/>
      <c r="H613" s="41"/>
      <c r="I613" s="41"/>
      <c r="J613" s="41"/>
      <c r="K613" s="41"/>
      <c r="L613" s="41"/>
      <c r="M613" s="41"/>
      <c r="N613" s="48"/>
    </row>
    <row r="614" spans="1:14" ht="20.100000000000001" customHeight="1" x14ac:dyDescent="0.25">
      <c r="A614" s="38"/>
      <c r="B614" s="63"/>
      <c r="C614" s="41"/>
      <c r="D614" s="48"/>
      <c r="E614" s="19"/>
      <c r="F614" s="41"/>
      <c r="G614" s="41"/>
      <c r="H614" s="41"/>
      <c r="I614" s="41"/>
      <c r="J614" s="41"/>
      <c r="K614" s="41"/>
      <c r="L614" s="41"/>
      <c r="M614" s="41"/>
      <c r="N614" s="48"/>
    </row>
    <row r="615" spans="1:14" ht="20.100000000000001" customHeight="1" x14ac:dyDescent="0.25">
      <c r="A615" s="38"/>
      <c r="B615" s="63"/>
      <c r="C615" s="41"/>
      <c r="D615" s="48"/>
      <c r="E615" s="19"/>
      <c r="F615" s="41"/>
      <c r="G615" s="41"/>
      <c r="H615" s="41"/>
      <c r="I615" s="41"/>
      <c r="J615" s="41"/>
      <c r="K615" s="41"/>
      <c r="L615" s="41"/>
      <c r="M615" s="41"/>
      <c r="N615" s="48"/>
    </row>
    <row r="616" spans="1:14" ht="20.100000000000001" customHeight="1" x14ac:dyDescent="0.25">
      <c r="A616" s="38"/>
      <c r="B616" s="63"/>
      <c r="C616" s="41"/>
      <c r="D616" s="48"/>
      <c r="E616" s="19"/>
      <c r="F616" s="41"/>
      <c r="G616" s="41"/>
      <c r="H616" s="41"/>
      <c r="I616" s="41"/>
      <c r="J616" s="41"/>
      <c r="K616" s="41"/>
      <c r="L616" s="41"/>
      <c r="M616" s="41"/>
      <c r="N616" s="48"/>
    </row>
    <row r="617" spans="1:14" ht="20.100000000000001" customHeight="1" x14ac:dyDescent="0.25">
      <c r="A617" s="38"/>
      <c r="B617" s="63"/>
      <c r="C617" s="41"/>
      <c r="D617" s="48"/>
      <c r="E617" s="19"/>
      <c r="F617" s="41"/>
      <c r="G617" s="41"/>
      <c r="H617" s="41"/>
      <c r="I617" s="41"/>
      <c r="J617" s="41"/>
      <c r="K617" s="41"/>
      <c r="L617" s="41"/>
      <c r="M617" s="41"/>
      <c r="N617" s="48"/>
    </row>
    <row r="618" spans="1:14" ht="20.100000000000001" customHeight="1" x14ac:dyDescent="0.25">
      <c r="A618" s="38"/>
      <c r="B618" s="63"/>
      <c r="C618" s="41"/>
      <c r="D618" s="48"/>
      <c r="E618" s="19"/>
      <c r="F618" s="41"/>
      <c r="G618" s="41"/>
      <c r="H618" s="41"/>
      <c r="I618" s="41"/>
      <c r="J618" s="41"/>
      <c r="K618" s="41"/>
      <c r="L618" s="41"/>
      <c r="M618" s="41"/>
      <c r="N618" s="48"/>
    </row>
    <row r="619" spans="1:14" ht="20.100000000000001" customHeight="1" x14ac:dyDescent="0.25">
      <c r="A619" s="38"/>
      <c r="B619" s="63"/>
      <c r="C619" s="41"/>
      <c r="D619" s="48"/>
      <c r="E619" s="19"/>
      <c r="F619" s="41"/>
      <c r="G619" s="41"/>
      <c r="H619" s="41"/>
      <c r="I619" s="41"/>
      <c r="J619" s="41"/>
      <c r="K619" s="41"/>
      <c r="L619" s="41"/>
      <c r="M619" s="41"/>
      <c r="N619" s="48"/>
    </row>
    <row r="620" spans="1:14" ht="20.100000000000001" customHeight="1" x14ac:dyDescent="0.25">
      <c r="A620" s="38"/>
      <c r="B620" s="63"/>
      <c r="C620" s="41"/>
      <c r="D620" s="48"/>
      <c r="E620" s="19"/>
      <c r="F620" s="41"/>
      <c r="G620" s="41"/>
      <c r="H620" s="41"/>
      <c r="I620" s="41"/>
      <c r="J620" s="41"/>
      <c r="K620" s="41"/>
      <c r="L620" s="41"/>
      <c r="M620" s="41"/>
      <c r="N620" s="48"/>
    </row>
    <row r="621" spans="1:14" ht="20.100000000000001" customHeight="1" x14ac:dyDescent="0.25">
      <c r="A621" s="38"/>
      <c r="B621" s="63"/>
      <c r="C621" s="41"/>
      <c r="D621" s="48"/>
      <c r="E621" s="19"/>
      <c r="F621" s="41"/>
      <c r="G621" s="41"/>
      <c r="H621" s="41"/>
      <c r="I621" s="41"/>
      <c r="J621" s="41"/>
      <c r="K621" s="41"/>
      <c r="L621" s="41"/>
      <c r="M621" s="41"/>
      <c r="N621" s="48"/>
    </row>
    <row r="622" spans="1:14" ht="20.100000000000001" customHeight="1" x14ac:dyDescent="0.25">
      <c r="A622" s="38"/>
      <c r="B622" s="63"/>
      <c r="C622" s="41"/>
      <c r="D622" s="48"/>
      <c r="E622" s="19"/>
      <c r="F622" s="41"/>
      <c r="G622" s="41"/>
      <c r="H622" s="41"/>
      <c r="I622" s="41"/>
      <c r="J622" s="41"/>
      <c r="K622" s="41"/>
      <c r="L622" s="41"/>
      <c r="M622" s="41"/>
      <c r="N622" s="48"/>
    </row>
    <row r="623" spans="1:14" ht="20.100000000000001" customHeight="1" x14ac:dyDescent="0.25">
      <c r="A623" s="38"/>
      <c r="B623" s="63"/>
      <c r="C623" s="41"/>
      <c r="D623" s="48"/>
      <c r="E623" s="19"/>
      <c r="F623" s="41"/>
      <c r="G623" s="41"/>
      <c r="H623" s="41"/>
      <c r="I623" s="41"/>
      <c r="J623" s="41"/>
      <c r="K623" s="41"/>
      <c r="L623" s="41"/>
      <c r="M623" s="41"/>
      <c r="N623" s="48"/>
    </row>
    <row r="624" spans="1:14" ht="20.100000000000001" customHeight="1" x14ac:dyDescent="0.25">
      <c r="A624" s="38"/>
      <c r="B624" s="63"/>
      <c r="C624" s="41"/>
      <c r="D624" s="48"/>
      <c r="E624" s="19"/>
      <c r="F624" s="41"/>
      <c r="G624" s="41"/>
      <c r="H624" s="41"/>
      <c r="I624" s="41"/>
      <c r="J624" s="41"/>
      <c r="K624" s="41"/>
      <c r="L624" s="41"/>
      <c r="M624" s="41"/>
      <c r="N624" s="48"/>
    </row>
    <row r="625" spans="1:14" ht="20.100000000000001" customHeight="1" x14ac:dyDescent="0.25">
      <c r="A625" s="38"/>
      <c r="B625" s="63"/>
      <c r="C625" s="41"/>
      <c r="D625" s="48"/>
      <c r="E625" s="19"/>
      <c r="F625" s="41"/>
      <c r="G625" s="41"/>
      <c r="H625" s="41"/>
      <c r="I625" s="41"/>
      <c r="J625" s="41"/>
      <c r="K625" s="41"/>
      <c r="L625" s="41"/>
      <c r="M625" s="41"/>
      <c r="N625" s="48"/>
    </row>
    <row r="626" spans="1:14" ht="20.100000000000001" customHeight="1" x14ac:dyDescent="0.25">
      <c r="A626" s="38"/>
      <c r="B626" s="63"/>
      <c r="C626" s="41"/>
      <c r="D626" s="48"/>
      <c r="E626" s="19"/>
      <c r="F626" s="41"/>
      <c r="G626" s="41"/>
      <c r="H626" s="41"/>
      <c r="I626" s="41"/>
      <c r="J626" s="41"/>
      <c r="K626" s="41"/>
      <c r="L626" s="41"/>
      <c r="M626" s="41"/>
      <c r="N626" s="48"/>
    </row>
    <row r="627" spans="1:14" ht="20.100000000000001" customHeight="1" x14ac:dyDescent="0.25">
      <c r="A627" s="38"/>
      <c r="B627" s="63"/>
      <c r="C627" s="41"/>
      <c r="D627" s="48"/>
      <c r="E627" s="19"/>
      <c r="F627" s="41"/>
      <c r="G627" s="41"/>
      <c r="H627" s="41"/>
      <c r="I627" s="41"/>
      <c r="J627" s="41"/>
      <c r="K627" s="41"/>
      <c r="L627" s="41"/>
      <c r="M627" s="41"/>
      <c r="N627" s="48"/>
    </row>
    <row r="628" spans="1:14" ht="20.100000000000001" customHeight="1" x14ac:dyDescent="0.25">
      <c r="A628" s="38"/>
      <c r="B628" s="63"/>
      <c r="C628" s="41"/>
      <c r="D628" s="48"/>
      <c r="E628" s="19"/>
      <c r="F628" s="41"/>
      <c r="G628" s="41"/>
      <c r="H628" s="41"/>
      <c r="I628" s="41"/>
      <c r="J628" s="41"/>
      <c r="K628" s="41"/>
      <c r="L628" s="41"/>
      <c r="M628" s="41"/>
      <c r="N628" s="48"/>
    </row>
    <row r="629" spans="1:14" ht="20.100000000000001" customHeight="1" x14ac:dyDescent="0.25">
      <c r="A629" s="38"/>
      <c r="B629" s="63"/>
      <c r="C629" s="41"/>
      <c r="D629" s="48"/>
      <c r="E629" s="19"/>
      <c r="F629" s="41"/>
      <c r="G629" s="41"/>
      <c r="H629" s="41"/>
      <c r="I629" s="41"/>
      <c r="J629" s="41"/>
      <c r="K629" s="41"/>
      <c r="L629" s="41"/>
      <c r="M629" s="41"/>
      <c r="N629" s="48"/>
    </row>
    <row r="630" spans="1:14" ht="20.100000000000001" customHeight="1" x14ac:dyDescent="0.25">
      <c r="A630" s="38"/>
      <c r="B630" s="63"/>
      <c r="C630" s="41"/>
      <c r="D630" s="48"/>
      <c r="E630" s="19"/>
      <c r="F630" s="41"/>
      <c r="G630" s="41"/>
      <c r="H630" s="41"/>
      <c r="I630" s="41"/>
      <c r="J630" s="41"/>
      <c r="K630" s="41"/>
      <c r="L630" s="41"/>
      <c r="M630" s="41"/>
      <c r="N630" s="48"/>
    </row>
    <row r="631" spans="1:14" ht="20.100000000000001" customHeight="1" x14ac:dyDescent="0.25">
      <c r="A631" s="38"/>
      <c r="B631" s="63"/>
      <c r="C631" s="41"/>
      <c r="D631" s="48"/>
      <c r="E631" s="19"/>
      <c r="F631" s="41"/>
      <c r="G631" s="41"/>
      <c r="H631" s="41"/>
      <c r="I631" s="41"/>
      <c r="J631" s="41"/>
      <c r="K631" s="41"/>
      <c r="L631" s="41"/>
      <c r="M631" s="41"/>
      <c r="N631" s="48"/>
    </row>
    <row r="632" spans="1:14" ht="20.100000000000001" customHeight="1" x14ac:dyDescent="0.25">
      <c r="A632" s="38"/>
      <c r="B632" s="63"/>
      <c r="C632" s="41"/>
      <c r="D632" s="48"/>
      <c r="E632" s="19"/>
      <c r="F632" s="41"/>
      <c r="G632" s="41"/>
      <c r="H632" s="41"/>
      <c r="I632" s="41"/>
      <c r="J632" s="41"/>
      <c r="K632" s="41"/>
      <c r="L632" s="41"/>
      <c r="M632" s="41"/>
      <c r="N632" s="48"/>
    </row>
    <row r="633" spans="1:14" ht="20.100000000000001" customHeight="1" x14ac:dyDescent="0.25">
      <c r="A633" s="38"/>
      <c r="B633" s="63"/>
      <c r="C633" s="41"/>
      <c r="D633" s="48"/>
      <c r="E633" s="19"/>
      <c r="F633" s="41"/>
      <c r="G633" s="41"/>
      <c r="H633" s="41"/>
      <c r="I633" s="41"/>
      <c r="J633" s="41"/>
      <c r="K633" s="41"/>
      <c r="L633" s="41"/>
      <c r="M633" s="41"/>
      <c r="N633" s="48"/>
    </row>
    <row r="634" spans="1:14" ht="20.100000000000001" customHeight="1" x14ac:dyDescent="0.25">
      <c r="A634" s="38"/>
      <c r="B634" s="63"/>
      <c r="C634" s="41"/>
      <c r="D634" s="48"/>
      <c r="E634" s="19"/>
      <c r="F634" s="19"/>
      <c r="G634" s="19"/>
      <c r="H634" s="41"/>
      <c r="I634" s="41"/>
      <c r="J634" s="41"/>
      <c r="K634" s="41"/>
      <c r="L634" s="41"/>
      <c r="M634" s="41"/>
      <c r="N634" s="48"/>
    </row>
    <row r="635" spans="1:14" ht="20.100000000000001" customHeight="1" x14ac:dyDescent="0.25">
      <c r="A635" s="38"/>
      <c r="B635" s="63"/>
      <c r="C635" s="41"/>
      <c r="D635" s="48"/>
      <c r="E635" s="19"/>
      <c r="F635" s="19"/>
      <c r="G635" s="19"/>
      <c r="H635" s="41"/>
      <c r="I635" s="41"/>
      <c r="J635" s="41"/>
      <c r="K635" s="41"/>
      <c r="L635" s="41"/>
      <c r="M635" s="41"/>
      <c r="N635" s="48"/>
    </row>
    <row r="636" spans="1:14" ht="20.100000000000001" customHeight="1" x14ac:dyDescent="0.25">
      <c r="A636" s="38"/>
      <c r="B636" s="63"/>
      <c r="C636" s="41"/>
      <c r="D636" s="48"/>
      <c r="E636" s="19"/>
      <c r="F636" s="19"/>
      <c r="G636" s="19"/>
      <c r="H636" s="41"/>
      <c r="I636" s="41"/>
      <c r="J636" s="41"/>
      <c r="K636" s="41"/>
      <c r="L636" s="41"/>
      <c r="M636" s="41"/>
      <c r="N636" s="48"/>
    </row>
    <row r="637" spans="1:14" ht="20.100000000000001" customHeight="1" x14ac:dyDescent="0.25">
      <c r="A637" s="38"/>
      <c r="B637" s="63"/>
      <c r="C637" s="41"/>
      <c r="D637" s="48"/>
      <c r="E637" s="19"/>
      <c r="F637" s="19"/>
      <c r="G637" s="19"/>
      <c r="H637" s="41"/>
      <c r="I637" s="41"/>
      <c r="J637" s="41"/>
      <c r="K637" s="41"/>
      <c r="L637" s="41"/>
      <c r="M637" s="41"/>
      <c r="N637" s="48"/>
    </row>
    <row r="638" spans="1:14" ht="20.100000000000001" customHeight="1" x14ac:dyDescent="0.25">
      <c r="A638" s="38"/>
      <c r="B638" s="63"/>
      <c r="C638" s="41"/>
      <c r="D638" s="48"/>
      <c r="E638" s="19"/>
      <c r="F638" s="19"/>
      <c r="G638" s="19"/>
      <c r="H638" s="41"/>
      <c r="I638" s="41"/>
      <c r="J638" s="41"/>
      <c r="K638" s="41"/>
      <c r="L638" s="41"/>
      <c r="M638" s="41"/>
      <c r="N638" s="48"/>
    </row>
    <row r="639" spans="1:14" ht="20.100000000000001" customHeight="1" x14ac:dyDescent="0.25">
      <c r="A639" s="38"/>
      <c r="B639" s="63"/>
      <c r="C639" s="41"/>
      <c r="D639" s="48"/>
      <c r="E639" s="19"/>
      <c r="F639" s="19"/>
      <c r="G639" s="19"/>
      <c r="H639" s="41"/>
      <c r="I639" s="41"/>
      <c r="J639" s="41"/>
      <c r="K639" s="41"/>
      <c r="L639" s="41"/>
      <c r="M639" s="41"/>
      <c r="N639" s="48"/>
    </row>
    <row r="640" spans="1:14" ht="20.100000000000001" customHeight="1" x14ac:dyDescent="0.25">
      <c r="A640" s="38"/>
      <c r="B640" s="63"/>
      <c r="C640" s="41"/>
      <c r="D640" s="48"/>
      <c r="E640" s="19"/>
      <c r="F640" s="19"/>
      <c r="G640" s="19"/>
      <c r="H640" s="41"/>
      <c r="I640" s="41"/>
      <c r="J640" s="41"/>
      <c r="K640" s="41"/>
      <c r="L640" s="41"/>
      <c r="M640" s="41"/>
      <c r="N640" s="48"/>
    </row>
    <row r="641" spans="1:14" ht="20.100000000000001" customHeight="1" x14ac:dyDescent="0.25">
      <c r="A641" s="38"/>
      <c r="B641" s="63"/>
      <c r="C641" s="41"/>
      <c r="D641" s="48"/>
      <c r="E641" s="19"/>
      <c r="F641" s="19"/>
      <c r="G641" s="19"/>
      <c r="H641" s="41"/>
      <c r="I641" s="41"/>
      <c r="J641" s="41"/>
      <c r="K641" s="41"/>
      <c r="L641" s="41"/>
      <c r="M641" s="41"/>
      <c r="N641" s="48"/>
    </row>
    <row r="642" spans="1:14" ht="20.100000000000001" customHeight="1" x14ac:dyDescent="0.25">
      <c r="A642" s="38"/>
      <c r="B642" s="63"/>
      <c r="C642" s="41"/>
      <c r="D642" s="48"/>
      <c r="E642" s="19"/>
      <c r="F642" s="19"/>
      <c r="G642" s="19"/>
      <c r="H642" s="41"/>
      <c r="I642" s="41"/>
      <c r="J642" s="41"/>
      <c r="K642" s="41"/>
      <c r="L642" s="41"/>
      <c r="M642" s="41"/>
      <c r="N642" s="48"/>
    </row>
    <row r="643" spans="1:14" ht="20.100000000000001" customHeight="1" x14ac:dyDescent="0.25">
      <c r="A643" s="38"/>
      <c r="B643" s="63"/>
      <c r="C643" s="41"/>
      <c r="D643" s="48"/>
      <c r="E643" s="19"/>
      <c r="F643" s="19"/>
      <c r="G643" s="19"/>
      <c r="H643" s="41"/>
      <c r="I643" s="41"/>
      <c r="J643" s="41"/>
      <c r="K643" s="41"/>
      <c r="L643" s="41"/>
      <c r="M643" s="41"/>
      <c r="N643" s="48"/>
    </row>
    <row r="644" spans="1:14" ht="20.100000000000001" customHeight="1" x14ac:dyDescent="0.25">
      <c r="A644" s="38"/>
      <c r="B644" s="63"/>
      <c r="C644" s="41"/>
      <c r="D644" s="48"/>
      <c r="E644" s="19"/>
      <c r="F644" s="19"/>
      <c r="G644" s="19"/>
      <c r="H644" s="41"/>
      <c r="I644" s="41"/>
      <c r="J644" s="41"/>
      <c r="K644" s="41"/>
      <c r="L644" s="41"/>
      <c r="M644" s="41"/>
      <c r="N644" s="48"/>
    </row>
    <row r="645" spans="1:14" ht="20.100000000000001" customHeight="1" x14ac:dyDescent="0.25">
      <c r="A645" s="38"/>
      <c r="B645" s="63"/>
      <c r="C645" s="41"/>
      <c r="D645" s="48"/>
      <c r="E645" s="19"/>
      <c r="F645" s="19"/>
      <c r="G645" s="19"/>
      <c r="H645" s="41"/>
      <c r="I645" s="41"/>
      <c r="J645" s="41"/>
      <c r="K645" s="41"/>
      <c r="L645" s="41"/>
      <c r="M645" s="41"/>
      <c r="N645" s="48"/>
    </row>
    <row r="646" spans="1:14" ht="20.100000000000001" customHeight="1" x14ac:dyDescent="0.25">
      <c r="A646" s="38"/>
      <c r="B646" s="63"/>
      <c r="C646" s="41"/>
      <c r="D646" s="48"/>
      <c r="E646" s="19"/>
      <c r="F646" s="19"/>
      <c r="G646" s="19"/>
      <c r="H646" s="41"/>
      <c r="I646" s="41"/>
      <c r="J646" s="41"/>
      <c r="K646" s="41"/>
      <c r="L646" s="41"/>
      <c r="M646" s="41"/>
      <c r="N646" s="48"/>
    </row>
    <row r="647" spans="1:14" ht="20.100000000000001" customHeight="1" x14ac:dyDescent="0.25">
      <c r="A647" s="38"/>
      <c r="B647" s="63"/>
      <c r="C647" s="41"/>
      <c r="D647" s="48"/>
      <c r="E647" s="19"/>
      <c r="F647" s="19"/>
      <c r="G647" s="19"/>
      <c r="H647" s="41"/>
      <c r="I647" s="41"/>
      <c r="J647" s="41"/>
      <c r="K647" s="41"/>
      <c r="L647" s="41"/>
      <c r="M647" s="41"/>
      <c r="N647" s="48"/>
    </row>
    <row r="648" spans="1:14" ht="20.100000000000001" customHeight="1" x14ac:dyDescent="0.25">
      <c r="A648" s="38"/>
      <c r="B648" s="63"/>
      <c r="C648" s="41"/>
      <c r="D648" s="48"/>
      <c r="E648" s="19"/>
      <c r="F648" s="19"/>
      <c r="G648" s="19"/>
      <c r="H648" s="41"/>
      <c r="I648" s="41"/>
      <c r="J648" s="41"/>
      <c r="K648" s="41"/>
      <c r="L648" s="41"/>
      <c r="M648" s="41"/>
      <c r="N648" s="48"/>
    </row>
    <row r="649" spans="1:14" ht="20.100000000000001" customHeight="1" x14ac:dyDescent="0.25">
      <c r="A649" s="38"/>
      <c r="B649" s="63"/>
      <c r="C649" s="41"/>
      <c r="D649" s="48"/>
      <c r="E649" s="19"/>
      <c r="F649" s="19"/>
      <c r="G649" s="19"/>
      <c r="H649" s="41"/>
      <c r="I649" s="41"/>
      <c r="J649" s="41"/>
      <c r="K649" s="41"/>
      <c r="L649" s="41"/>
      <c r="M649" s="41"/>
      <c r="N649" s="48"/>
    </row>
    <row r="650" spans="1:14" ht="20.100000000000001" customHeight="1" x14ac:dyDescent="0.25">
      <c r="A650" s="38"/>
      <c r="B650" s="63"/>
      <c r="C650" s="41"/>
      <c r="D650" s="48"/>
      <c r="E650" s="19"/>
      <c r="F650" s="19"/>
      <c r="G650" s="19"/>
      <c r="H650" s="41"/>
      <c r="I650" s="41"/>
      <c r="J650" s="41"/>
      <c r="K650" s="41"/>
      <c r="L650" s="41"/>
      <c r="M650" s="41"/>
      <c r="N650" s="48"/>
    </row>
    <row r="651" spans="1:14" ht="20.100000000000001" customHeight="1" x14ac:dyDescent="0.25">
      <c r="A651" s="38"/>
      <c r="B651" s="63"/>
      <c r="C651" s="41"/>
      <c r="D651" s="48"/>
      <c r="E651" s="19"/>
      <c r="F651" s="19"/>
      <c r="G651" s="19"/>
      <c r="H651" s="41"/>
      <c r="I651" s="41"/>
      <c r="J651" s="41"/>
      <c r="K651" s="41"/>
      <c r="L651" s="41"/>
      <c r="M651" s="41"/>
      <c r="N651" s="48"/>
    </row>
    <row r="652" spans="1:14" ht="20.100000000000001" customHeight="1" x14ac:dyDescent="0.25">
      <c r="A652" s="38"/>
      <c r="B652" s="63"/>
      <c r="C652" s="41"/>
      <c r="D652" s="48"/>
      <c r="E652" s="19"/>
      <c r="F652" s="19"/>
      <c r="G652" s="19"/>
      <c r="H652" s="41"/>
      <c r="I652" s="41"/>
      <c r="J652" s="41"/>
      <c r="K652" s="41"/>
      <c r="L652" s="41"/>
      <c r="M652" s="41"/>
      <c r="N652" s="48"/>
    </row>
    <row r="653" spans="1:14" ht="20.100000000000001" customHeight="1" x14ac:dyDescent="0.25">
      <c r="A653" s="38"/>
      <c r="B653" s="63"/>
      <c r="C653" s="41"/>
      <c r="D653" s="48"/>
      <c r="E653" s="19"/>
      <c r="F653" s="19"/>
      <c r="G653" s="19"/>
      <c r="H653" s="41"/>
      <c r="I653" s="41"/>
      <c r="J653" s="41"/>
      <c r="K653" s="41"/>
      <c r="L653" s="41"/>
      <c r="M653" s="41"/>
      <c r="N653" s="48"/>
    </row>
    <row r="654" spans="1:14" ht="20.100000000000001" customHeight="1" x14ac:dyDescent="0.25">
      <c r="A654" s="38"/>
      <c r="B654" s="63"/>
      <c r="C654" s="41"/>
      <c r="D654" s="48"/>
      <c r="E654" s="19"/>
      <c r="F654" s="19"/>
      <c r="G654" s="19"/>
      <c r="H654" s="41"/>
      <c r="I654" s="41"/>
      <c r="J654" s="41"/>
      <c r="K654" s="41"/>
      <c r="L654" s="41"/>
      <c r="M654" s="41"/>
      <c r="N654" s="48"/>
    </row>
    <row r="655" spans="1:14" ht="20.100000000000001" customHeight="1" x14ac:dyDescent="0.25">
      <c r="A655" s="38"/>
      <c r="B655" s="63"/>
      <c r="C655" s="41"/>
      <c r="D655" s="48"/>
      <c r="E655" s="19"/>
      <c r="F655" s="19"/>
      <c r="G655" s="19"/>
      <c r="H655" s="41"/>
      <c r="I655" s="41"/>
      <c r="J655" s="41"/>
      <c r="K655" s="41"/>
      <c r="L655" s="41"/>
      <c r="M655" s="41"/>
      <c r="N655" s="48"/>
    </row>
    <row r="656" spans="1:14" ht="20.100000000000001" customHeight="1" x14ac:dyDescent="0.25">
      <c r="A656" s="38"/>
      <c r="B656" s="63"/>
      <c r="C656" s="41"/>
      <c r="D656" s="48"/>
      <c r="E656" s="19"/>
      <c r="F656" s="19"/>
      <c r="G656" s="19"/>
      <c r="H656" s="41"/>
      <c r="I656" s="41"/>
      <c r="J656" s="41"/>
      <c r="K656" s="41"/>
      <c r="L656" s="41"/>
      <c r="M656" s="41"/>
      <c r="N656" s="48"/>
    </row>
    <row r="657" spans="1:14" ht="20.100000000000001" customHeight="1" x14ac:dyDescent="0.25">
      <c r="A657" s="38"/>
      <c r="B657" s="63"/>
      <c r="C657" s="41"/>
      <c r="D657" s="48"/>
      <c r="E657" s="19"/>
      <c r="F657" s="19"/>
      <c r="G657" s="19"/>
      <c r="H657" s="41"/>
      <c r="I657" s="41"/>
      <c r="J657" s="41"/>
      <c r="K657" s="41"/>
      <c r="L657" s="41"/>
      <c r="M657" s="41"/>
      <c r="N657" s="48"/>
    </row>
    <row r="658" spans="1:14" ht="20.100000000000001" customHeight="1" x14ac:dyDescent="0.25">
      <c r="A658" s="38"/>
      <c r="B658" s="63"/>
      <c r="C658" s="41"/>
      <c r="D658" s="48"/>
      <c r="E658" s="19"/>
      <c r="F658" s="19"/>
      <c r="G658" s="19"/>
      <c r="H658" s="41"/>
      <c r="I658" s="41"/>
      <c r="J658" s="41"/>
      <c r="K658" s="41"/>
      <c r="L658" s="41"/>
      <c r="M658" s="41"/>
      <c r="N658" s="48"/>
    </row>
    <row r="659" spans="1:14" ht="20.100000000000001" customHeight="1" x14ac:dyDescent="0.25">
      <c r="A659" s="38"/>
      <c r="B659" s="63"/>
      <c r="C659" s="41"/>
      <c r="D659" s="48"/>
      <c r="E659" s="19"/>
      <c r="F659" s="19"/>
      <c r="G659" s="19"/>
      <c r="H659" s="41"/>
      <c r="I659" s="41"/>
      <c r="J659" s="41"/>
      <c r="K659" s="41"/>
      <c r="L659" s="41"/>
      <c r="M659" s="41"/>
      <c r="N659" s="48"/>
    </row>
    <row r="660" spans="1:14" ht="20.100000000000001" customHeight="1" x14ac:dyDescent="0.25">
      <c r="A660" s="38"/>
      <c r="B660" s="63"/>
      <c r="C660" s="41"/>
      <c r="D660" s="48"/>
      <c r="E660" s="19"/>
      <c r="F660" s="19"/>
      <c r="G660" s="19"/>
      <c r="H660" s="41"/>
      <c r="I660" s="41"/>
      <c r="J660" s="41"/>
      <c r="K660" s="41"/>
      <c r="L660" s="41"/>
      <c r="M660" s="41"/>
      <c r="N660" s="48"/>
    </row>
    <row r="661" spans="1:14" ht="20.100000000000001" customHeight="1" x14ac:dyDescent="0.25">
      <c r="A661" s="38"/>
      <c r="B661" s="63"/>
      <c r="C661" s="41"/>
      <c r="D661" s="48"/>
      <c r="E661" s="19"/>
      <c r="F661" s="19"/>
      <c r="G661" s="19"/>
      <c r="H661" s="41"/>
      <c r="I661" s="41"/>
      <c r="J661" s="41"/>
      <c r="K661" s="41"/>
      <c r="L661" s="41"/>
      <c r="M661" s="41"/>
      <c r="N661" s="48"/>
    </row>
    <row r="662" spans="1:14" ht="20.100000000000001" customHeight="1" x14ac:dyDescent="0.25">
      <c r="A662" s="38"/>
      <c r="B662" s="63"/>
      <c r="C662" s="41"/>
      <c r="D662" s="48"/>
      <c r="E662" s="19"/>
      <c r="F662" s="19"/>
      <c r="G662" s="19"/>
      <c r="H662" s="41"/>
      <c r="I662" s="41"/>
      <c r="J662" s="41"/>
      <c r="K662" s="41"/>
      <c r="L662" s="41"/>
      <c r="M662" s="41"/>
      <c r="N662" s="48"/>
    </row>
    <row r="663" spans="1:14" ht="20.100000000000001" customHeight="1" x14ac:dyDescent="0.25">
      <c r="A663" s="38"/>
      <c r="B663" s="63"/>
      <c r="C663" s="41"/>
      <c r="D663" s="48"/>
      <c r="E663" s="19"/>
      <c r="F663" s="19"/>
      <c r="G663" s="19"/>
      <c r="H663" s="41"/>
      <c r="I663" s="41"/>
      <c r="J663" s="41"/>
      <c r="K663" s="41"/>
      <c r="L663" s="41"/>
      <c r="M663" s="41"/>
      <c r="N663" s="48"/>
    </row>
    <row r="664" spans="1:14" ht="20.100000000000001" customHeight="1" x14ac:dyDescent="0.25">
      <c r="A664" s="38"/>
      <c r="B664" s="63"/>
      <c r="C664" s="41"/>
      <c r="D664" s="48"/>
      <c r="E664" s="19"/>
      <c r="F664" s="19"/>
      <c r="G664" s="19"/>
      <c r="H664" s="41"/>
      <c r="I664" s="41"/>
      <c r="J664" s="41"/>
      <c r="K664" s="41"/>
      <c r="L664" s="41"/>
      <c r="M664" s="41"/>
      <c r="N664" s="48"/>
    </row>
    <row r="665" spans="1:14" ht="20.100000000000001" customHeight="1" x14ac:dyDescent="0.25">
      <c r="A665" s="38"/>
      <c r="B665" s="63"/>
      <c r="C665" s="41"/>
      <c r="D665" s="48"/>
      <c r="E665" s="19"/>
      <c r="F665" s="19"/>
      <c r="G665" s="19"/>
      <c r="H665" s="41"/>
      <c r="I665" s="41"/>
      <c r="J665" s="41"/>
      <c r="K665" s="41"/>
      <c r="L665" s="41"/>
      <c r="M665" s="41"/>
      <c r="N665" s="48"/>
    </row>
    <row r="666" spans="1:14" ht="20.100000000000001" customHeight="1" x14ac:dyDescent="0.25">
      <c r="A666" s="38"/>
      <c r="B666" s="63"/>
      <c r="C666" s="41"/>
      <c r="D666" s="48"/>
      <c r="E666" s="19"/>
      <c r="F666" s="19"/>
      <c r="G666" s="19"/>
      <c r="H666" s="41"/>
      <c r="I666" s="41"/>
      <c r="J666" s="41"/>
      <c r="K666" s="41"/>
      <c r="L666" s="41"/>
      <c r="M666" s="41"/>
      <c r="N666" s="48"/>
    </row>
    <row r="667" spans="1:14" ht="20.100000000000001" customHeight="1" x14ac:dyDescent="0.25">
      <c r="A667" s="38"/>
      <c r="B667" s="63"/>
      <c r="C667" s="41"/>
      <c r="D667" s="48"/>
      <c r="E667" s="19"/>
      <c r="F667" s="19"/>
      <c r="G667" s="19"/>
      <c r="H667" s="41"/>
      <c r="I667" s="41"/>
      <c r="J667" s="41"/>
      <c r="K667" s="41"/>
      <c r="L667" s="41"/>
      <c r="M667" s="41"/>
      <c r="N667" s="48"/>
    </row>
    <row r="668" spans="1:14" ht="20.100000000000001" customHeight="1" x14ac:dyDescent="0.25">
      <c r="A668" s="38"/>
      <c r="B668" s="63"/>
      <c r="C668" s="41"/>
      <c r="D668" s="48"/>
      <c r="E668" s="19"/>
      <c r="F668" s="19"/>
      <c r="G668" s="19"/>
      <c r="H668" s="41"/>
      <c r="I668" s="41"/>
      <c r="J668" s="41"/>
      <c r="K668" s="41"/>
      <c r="L668" s="41"/>
      <c r="M668" s="41"/>
      <c r="N668" s="48"/>
    </row>
    <row r="669" spans="1:14" ht="20.100000000000001" customHeight="1" x14ac:dyDescent="0.25">
      <c r="A669" s="38"/>
      <c r="B669" s="63"/>
      <c r="C669" s="41"/>
      <c r="D669" s="48"/>
      <c r="E669" s="19"/>
      <c r="F669" s="19"/>
      <c r="G669" s="19"/>
      <c r="H669" s="41"/>
      <c r="I669" s="41"/>
      <c r="J669" s="41"/>
      <c r="K669" s="41"/>
      <c r="L669" s="41"/>
      <c r="M669" s="41"/>
      <c r="N669" s="48"/>
    </row>
    <row r="670" spans="1:14" ht="20.100000000000001" customHeight="1" x14ac:dyDescent="0.25">
      <c r="A670" s="38"/>
      <c r="B670" s="63"/>
      <c r="C670" s="41"/>
      <c r="D670" s="48"/>
      <c r="E670" s="19"/>
      <c r="F670" s="19"/>
      <c r="G670" s="19"/>
      <c r="H670" s="41"/>
      <c r="I670" s="41"/>
      <c r="J670" s="41"/>
      <c r="K670" s="41"/>
      <c r="L670" s="41"/>
      <c r="M670" s="41"/>
      <c r="N670" s="48"/>
    </row>
    <row r="671" spans="1:14" ht="20.100000000000001" customHeight="1" x14ac:dyDescent="0.25">
      <c r="A671" s="38"/>
      <c r="B671" s="63"/>
      <c r="C671" s="41"/>
      <c r="D671" s="48"/>
      <c r="E671" s="19"/>
      <c r="F671" s="19"/>
      <c r="G671" s="19"/>
      <c r="H671" s="41"/>
      <c r="I671" s="41"/>
      <c r="J671" s="41"/>
      <c r="K671" s="41"/>
      <c r="L671" s="41"/>
      <c r="M671" s="41"/>
      <c r="N671" s="48"/>
    </row>
    <row r="672" spans="1:14" ht="20.100000000000001" customHeight="1" x14ac:dyDescent="0.25">
      <c r="A672" s="38"/>
      <c r="B672" s="63"/>
      <c r="C672" s="41"/>
      <c r="D672" s="48"/>
      <c r="E672" s="19"/>
      <c r="F672" s="19"/>
      <c r="G672" s="19"/>
      <c r="H672" s="41"/>
      <c r="I672" s="41"/>
      <c r="J672" s="41"/>
      <c r="K672" s="41"/>
      <c r="L672" s="41"/>
      <c r="M672" s="41"/>
      <c r="N672" s="48"/>
    </row>
    <row r="673" spans="1:14" ht="20.100000000000001" customHeight="1" x14ac:dyDescent="0.25">
      <c r="A673" s="38"/>
      <c r="B673" s="63"/>
      <c r="C673" s="41"/>
      <c r="D673" s="48"/>
      <c r="E673" s="19"/>
      <c r="F673" s="19"/>
      <c r="G673" s="19"/>
      <c r="H673" s="41"/>
      <c r="I673" s="41"/>
      <c r="J673" s="41"/>
      <c r="K673" s="41"/>
      <c r="L673" s="41"/>
      <c r="M673" s="41"/>
      <c r="N673" s="48"/>
    </row>
    <row r="674" spans="1:14" ht="20.100000000000001" customHeight="1" x14ac:dyDescent="0.25">
      <c r="A674" s="38"/>
      <c r="B674" s="63"/>
      <c r="C674" s="41"/>
      <c r="D674" s="48"/>
      <c r="E674" s="19"/>
      <c r="F674" s="19"/>
      <c r="G674" s="19"/>
      <c r="H674" s="41"/>
      <c r="I674" s="41"/>
      <c r="J674" s="41"/>
      <c r="K674" s="41"/>
      <c r="L674" s="41"/>
      <c r="M674" s="41"/>
      <c r="N674" s="48"/>
    </row>
    <row r="675" spans="1:14" ht="20.100000000000001" customHeight="1" x14ac:dyDescent="0.25">
      <c r="A675" s="38"/>
      <c r="B675" s="63"/>
      <c r="C675" s="41"/>
      <c r="D675" s="48"/>
      <c r="E675" s="19"/>
      <c r="F675" s="19"/>
      <c r="G675" s="19"/>
      <c r="H675" s="41"/>
      <c r="I675" s="41"/>
      <c r="J675" s="41"/>
      <c r="K675" s="41"/>
      <c r="L675" s="41"/>
      <c r="M675" s="41"/>
      <c r="N675" s="48"/>
    </row>
    <row r="676" spans="1:14" ht="20.100000000000001" customHeight="1" x14ac:dyDescent="0.25">
      <c r="A676" s="38"/>
      <c r="B676" s="63"/>
      <c r="C676" s="41"/>
      <c r="D676" s="48"/>
      <c r="E676" s="19"/>
      <c r="F676" s="19"/>
      <c r="G676" s="19"/>
      <c r="H676" s="41"/>
      <c r="I676" s="41"/>
      <c r="J676" s="41"/>
      <c r="K676" s="41"/>
      <c r="L676" s="41"/>
      <c r="M676" s="41"/>
      <c r="N676" s="48"/>
    </row>
    <row r="677" spans="1:14" ht="20.100000000000001" customHeight="1" x14ac:dyDescent="0.25">
      <c r="A677" s="38"/>
      <c r="B677" s="63"/>
      <c r="C677" s="41"/>
      <c r="D677" s="48"/>
      <c r="E677" s="19"/>
      <c r="F677" s="19"/>
      <c r="G677" s="19"/>
      <c r="H677" s="41"/>
      <c r="I677" s="41"/>
      <c r="J677" s="41"/>
      <c r="K677" s="41"/>
      <c r="L677" s="41"/>
      <c r="M677" s="41"/>
      <c r="N677" s="48"/>
    </row>
    <row r="678" spans="1:14" ht="20.100000000000001" customHeight="1" x14ac:dyDescent="0.25">
      <c r="A678" s="38"/>
      <c r="B678" s="63"/>
      <c r="C678" s="41"/>
      <c r="D678" s="48"/>
      <c r="E678" s="19"/>
      <c r="F678" s="19"/>
      <c r="G678" s="19"/>
      <c r="H678" s="41"/>
      <c r="I678" s="41"/>
      <c r="J678" s="41"/>
      <c r="K678" s="41"/>
      <c r="L678" s="41"/>
      <c r="M678" s="41"/>
      <c r="N678" s="48"/>
    </row>
    <row r="679" spans="1:14" ht="20.100000000000001" customHeight="1" x14ac:dyDescent="0.25">
      <c r="A679" s="38"/>
      <c r="B679" s="63"/>
      <c r="C679" s="41"/>
      <c r="D679" s="48"/>
      <c r="E679" s="19"/>
      <c r="F679" s="19"/>
      <c r="G679" s="19"/>
      <c r="H679" s="41"/>
      <c r="I679" s="41"/>
      <c r="J679" s="41"/>
      <c r="K679" s="41"/>
      <c r="L679" s="41"/>
      <c r="M679" s="41"/>
      <c r="N679" s="48"/>
    </row>
    <row r="680" spans="1:14" ht="20.100000000000001" customHeight="1" x14ac:dyDescent="0.25">
      <c r="A680" s="38"/>
      <c r="B680" s="63"/>
      <c r="C680" s="41"/>
      <c r="D680" s="48"/>
      <c r="E680" s="19"/>
      <c r="F680" s="19"/>
      <c r="G680" s="19"/>
      <c r="H680" s="41"/>
      <c r="I680" s="41"/>
      <c r="J680" s="41"/>
      <c r="K680" s="41"/>
      <c r="L680" s="41"/>
      <c r="M680" s="41"/>
      <c r="N680" s="48"/>
    </row>
    <row r="681" spans="1:14" ht="20.100000000000001" customHeight="1" x14ac:dyDescent="0.25">
      <c r="A681" s="38"/>
      <c r="B681" s="63"/>
      <c r="C681" s="41"/>
      <c r="D681" s="48"/>
      <c r="E681" s="19"/>
      <c r="F681" s="19"/>
      <c r="G681" s="19"/>
      <c r="H681" s="41"/>
      <c r="I681" s="41"/>
      <c r="J681" s="41"/>
      <c r="K681" s="41"/>
      <c r="L681" s="41"/>
      <c r="M681" s="41"/>
      <c r="N681" s="48"/>
    </row>
    <row r="682" spans="1:14" ht="20.100000000000001" customHeight="1" x14ac:dyDescent="0.25">
      <c r="A682" s="38"/>
      <c r="B682" s="63"/>
      <c r="C682" s="41"/>
      <c r="D682" s="48"/>
      <c r="E682" s="19"/>
      <c r="F682" s="19"/>
      <c r="G682" s="19"/>
      <c r="H682" s="41"/>
      <c r="I682" s="41"/>
      <c r="J682" s="41"/>
      <c r="K682" s="41"/>
      <c r="L682" s="41"/>
      <c r="M682" s="41"/>
      <c r="N682" s="48"/>
    </row>
    <row r="683" spans="1:14" ht="20.100000000000001" customHeight="1" x14ac:dyDescent="0.25">
      <c r="A683" s="38"/>
      <c r="B683" s="63"/>
      <c r="C683" s="41"/>
      <c r="D683" s="48"/>
      <c r="E683" s="19"/>
      <c r="F683" s="19"/>
      <c r="G683" s="19"/>
      <c r="H683" s="41"/>
      <c r="I683" s="41"/>
      <c r="J683" s="41"/>
      <c r="K683" s="41"/>
      <c r="L683" s="41"/>
      <c r="M683" s="41"/>
      <c r="N683" s="48"/>
    </row>
    <row r="684" spans="1:14" ht="20.100000000000001" customHeight="1" x14ac:dyDescent="0.25">
      <c r="A684" s="38"/>
      <c r="B684" s="63"/>
      <c r="C684" s="41"/>
      <c r="D684" s="48"/>
      <c r="E684" s="19"/>
      <c r="F684" s="19"/>
      <c r="G684" s="19"/>
      <c r="H684" s="41"/>
      <c r="I684" s="41"/>
      <c r="J684" s="41"/>
      <c r="K684" s="41"/>
      <c r="L684" s="41"/>
      <c r="M684" s="41"/>
      <c r="N684" s="48"/>
    </row>
    <row r="685" spans="1:14" ht="20.100000000000001" customHeight="1" x14ac:dyDescent="0.25">
      <c r="A685" s="38"/>
      <c r="B685" s="63"/>
      <c r="C685" s="41"/>
      <c r="D685" s="48"/>
      <c r="E685" s="19"/>
      <c r="F685" s="19"/>
      <c r="G685" s="19"/>
      <c r="H685" s="41"/>
      <c r="I685" s="41"/>
      <c r="J685" s="41"/>
      <c r="K685" s="41"/>
      <c r="L685" s="41"/>
      <c r="M685" s="41"/>
      <c r="N685" s="48"/>
    </row>
    <row r="686" spans="1:14" ht="20.100000000000001" customHeight="1" x14ac:dyDescent="0.25">
      <c r="A686" s="38"/>
      <c r="B686" s="63"/>
      <c r="C686" s="41"/>
      <c r="D686" s="48"/>
      <c r="E686" s="19"/>
      <c r="F686" s="19"/>
      <c r="G686" s="19"/>
      <c r="H686" s="41"/>
      <c r="I686" s="41"/>
      <c r="J686" s="41"/>
      <c r="K686" s="41"/>
      <c r="L686" s="41"/>
      <c r="M686" s="41"/>
      <c r="N686" s="48"/>
    </row>
    <row r="687" spans="1:14" ht="20.100000000000001" customHeight="1" x14ac:dyDescent="0.25">
      <c r="A687" s="38"/>
      <c r="B687" s="63"/>
      <c r="C687" s="41"/>
      <c r="D687" s="48"/>
      <c r="E687" s="19"/>
      <c r="F687" s="19"/>
      <c r="G687" s="19"/>
      <c r="H687" s="41"/>
      <c r="I687" s="41"/>
      <c r="J687" s="41"/>
      <c r="K687" s="41"/>
      <c r="L687" s="41"/>
      <c r="M687" s="41"/>
      <c r="N687" s="48"/>
    </row>
    <row r="688" spans="1:14" ht="20.100000000000001" customHeight="1" x14ac:dyDescent="0.25">
      <c r="A688" s="38"/>
      <c r="B688" s="63"/>
      <c r="C688" s="41"/>
      <c r="D688" s="48"/>
      <c r="E688" s="19"/>
      <c r="F688" s="19"/>
      <c r="G688" s="19"/>
      <c r="H688" s="41"/>
      <c r="I688" s="41"/>
      <c r="J688" s="41"/>
      <c r="K688" s="41"/>
      <c r="L688" s="41"/>
      <c r="M688" s="41"/>
      <c r="N688" s="48"/>
    </row>
    <row r="689" spans="1:14" ht="20.100000000000001" customHeight="1" x14ac:dyDescent="0.25">
      <c r="A689" s="38"/>
      <c r="B689" s="63"/>
      <c r="C689" s="41"/>
      <c r="D689" s="48"/>
      <c r="E689" s="19"/>
      <c r="F689" s="19"/>
      <c r="G689" s="19"/>
      <c r="H689" s="41"/>
      <c r="I689" s="41"/>
      <c r="J689" s="41"/>
      <c r="K689" s="41"/>
      <c r="L689" s="41"/>
      <c r="M689" s="41"/>
      <c r="N689" s="48"/>
    </row>
    <row r="690" spans="1:14" ht="20.100000000000001" customHeight="1" x14ac:dyDescent="0.25">
      <c r="A690" s="38"/>
      <c r="B690" s="63"/>
      <c r="C690" s="41"/>
      <c r="D690" s="48"/>
      <c r="E690" s="19"/>
      <c r="F690" s="19"/>
      <c r="G690" s="19"/>
      <c r="H690" s="41"/>
      <c r="I690" s="41"/>
      <c r="J690" s="41"/>
      <c r="K690" s="41"/>
      <c r="L690" s="41"/>
      <c r="M690" s="41"/>
      <c r="N690" s="48"/>
    </row>
    <row r="691" spans="1:14" ht="20.100000000000001" customHeight="1" x14ac:dyDescent="0.25">
      <c r="A691" s="38"/>
      <c r="B691" s="63"/>
      <c r="C691" s="41"/>
      <c r="D691" s="48"/>
      <c r="E691" s="19"/>
      <c r="F691" s="19"/>
      <c r="G691" s="19"/>
      <c r="H691" s="41"/>
      <c r="I691" s="41"/>
      <c r="J691" s="41"/>
      <c r="K691" s="41"/>
      <c r="L691" s="41"/>
      <c r="M691" s="41"/>
      <c r="N691" s="48"/>
    </row>
    <row r="692" spans="1:14" ht="20.100000000000001" customHeight="1" x14ac:dyDescent="0.25">
      <c r="A692" s="38"/>
      <c r="B692" s="63"/>
      <c r="C692" s="41"/>
      <c r="D692" s="48"/>
      <c r="E692" s="19"/>
      <c r="F692" s="19"/>
      <c r="G692" s="19"/>
      <c r="H692" s="41"/>
      <c r="I692" s="41"/>
      <c r="J692" s="41"/>
      <c r="K692" s="41"/>
      <c r="L692" s="41"/>
      <c r="M692" s="41"/>
      <c r="N692" s="48"/>
    </row>
    <row r="693" spans="1:14" ht="20.100000000000001" customHeight="1" x14ac:dyDescent="0.25">
      <c r="A693" s="38"/>
      <c r="B693" s="63"/>
      <c r="C693" s="41"/>
      <c r="D693" s="48"/>
      <c r="E693" s="19"/>
      <c r="F693" s="19"/>
      <c r="G693" s="19"/>
      <c r="H693" s="41"/>
      <c r="I693" s="41"/>
      <c r="J693" s="41"/>
      <c r="K693" s="41"/>
      <c r="L693" s="41"/>
      <c r="M693" s="41"/>
      <c r="N693" s="48"/>
    </row>
    <row r="694" spans="1:14" ht="20.100000000000001" customHeight="1" x14ac:dyDescent="0.25">
      <c r="A694" s="38"/>
      <c r="B694" s="63"/>
      <c r="C694" s="41"/>
      <c r="D694" s="48"/>
      <c r="E694" s="19"/>
      <c r="F694" s="19"/>
      <c r="G694" s="19"/>
      <c r="H694" s="41"/>
      <c r="I694" s="41"/>
      <c r="J694" s="41"/>
      <c r="K694" s="41"/>
      <c r="L694" s="41"/>
      <c r="M694" s="41"/>
      <c r="N694" s="48"/>
    </row>
    <row r="695" spans="1:14" ht="20.100000000000001" customHeight="1" x14ac:dyDescent="0.25">
      <c r="A695" s="38"/>
      <c r="B695" s="63"/>
      <c r="C695" s="41"/>
      <c r="D695" s="48"/>
      <c r="E695" s="19"/>
      <c r="F695" s="19"/>
      <c r="G695" s="19"/>
      <c r="H695" s="41"/>
      <c r="I695" s="41"/>
      <c r="J695" s="41"/>
      <c r="K695" s="41"/>
      <c r="L695" s="41"/>
      <c r="M695" s="41"/>
      <c r="N695" s="48"/>
    </row>
    <row r="696" spans="1:14" ht="20.100000000000001" customHeight="1" x14ac:dyDescent="0.25">
      <c r="A696" s="38"/>
      <c r="B696" s="63"/>
      <c r="C696" s="41"/>
      <c r="D696" s="48"/>
      <c r="E696" s="19"/>
      <c r="F696" s="19"/>
      <c r="G696" s="19"/>
      <c r="H696" s="41"/>
      <c r="I696" s="41"/>
      <c r="J696" s="41"/>
      <c r="K696" s="41"/>
      <c r="L696" s="41"/>
      <c r="M696" s="41"/>
      <c r="N696" s="48"/>
    </row>
    <row r="697" spans="1:14" ht="20.100000000000001" customHeight="1" x14ac:dyDescent="0.25">
      <c r="A697" s="38"/>
      <c r="B697" s="63"/>
      <c r="C697" s="41"/>
      <c r="D697" s="48"/>
      <c r="E697" s="19"/>
      <c r="F697" s="19"/>
      <c r="G697" s="19"/>
      <c r="H697" s="41"/>
      <c r="I697" s="41"/>
      <c r="J697" s="41"/>
      <c r="K697" s="41"/>
      <c r="L697" s="41"/>
      <c r="M697" s="41"/>
      <c r="N697" s="48"/>
    </row>
    <row r="698" spans="1:14" ht="20.100000000000001" customHeight="1" x14ac:dyDescent="0.25">
      <c r="A698" s="38"/>
      <c r="B698" s="63"/>
      <c r="C698" s="41"/>
      <c r="D698" s="48"/>
      <c r="E698" s="19"/>
      <c r="F698" s="19"/>
      <c r="G698" s="19"/>
      <c r="H698" s="41"/>
      <c r="I698" s="41"/>
      <c r="J698" s="41"/>
      <c r="K698" s="41"/>
      <c r="L698" s="41"/>
      <c r="M698" s="41"/>
      <c r="N698" s="48"/>
    </row>
    <row r="699" spans="1:14" ht="20.100000000000001" customHeight="1" x14ac:dyDescent="0.25">
      <c r="A699" s="38"/>
      <c r="B699" s="63"/>
      <c r="C699" s="41"/>
      <c r="D699" s="48"/>
      <c r="E699" s="19"/>
      <c r="F699" s="19"/>
      <c r="G699" s="19"/>
      <c r="H699" s="41"/>
      <c r="I699" s="41"/>
      <c r="J699" s="41"/>
      <c r="K699" s="41"/>
      <c r="L699" s="41"/>
      <c r="M699" s="41"/>
      <c r="N699" s="48"/>
    </row>
    <row r="700" spans="1:14" ht="20.100000000000001" customHeight="1" x14ac:dyDescent="0.25">
      <c r="A700" s="38"/>
      <c r="B700" s="63"/>
      <c r="C700" s="41"/>
      <c r="D700" s="48"/>
      <c r="E700" s="19"/>
      <c r="F700" s="19"/>
      <c r="G700" s="19"/>
      <c r="H700" s="41"/>
      <c r="I700" s="41"/>
      <c r="J700" s="41"/>
      <c r="K700" s="41"/>
      <c r="L700" s="41"/>
      <c r="M700" s="41"/>
      <c r="N700" s="48"/>
    </row>
    <row r="701" spans="1:14" ht="20.100000000000001" customHeight="1" x14ac:dyDescent="0.25">
      <c r="A701" s="38"/>
      <c r="B701" s="63"/>
      <c r="C701" s="41"/>
      <c r="D701" s="48"/>
      <c r="E701" s="19"/>
      <c r="F701" s="19"/>
      <c r="G701" s="19"/>
      <c r="H701" s="41"/>
      <c r="I701" s="41"/>
      <c r="J701" s="41"/>
      <c r="K701" s="41"/>
      <c r="L701" s="41"/>
      <c r="M701" s="41"/>
      <c r="N701" s="48"/>
    </row>
    <row r="702" spans="1:14" ht="20.100000000000001" customHeight="1" x14ac:dyDescent="0.25">
      <c r="A702" s="38"/>
      <c r="B702" s="63"/>
      <c r="C702" s="41"/>
      <c r="D702" s="48"/>
      <c r="E702" s="19"/>
      <c r="F702" s="19"/>
      <c r="G702" s="19"/>
      <c r="H702" s="41"/>
      <c r="I702" s="41"/>
      <c r="J702" s="41"/>
      <c r="K702" s="41"/>
      <c r="L702" s="41"/>
      <c r="M702" s="41"/>
      <c r="N702" s="48"/>
    </row>
    <row r="703" spans="1:14" ht="20.100000000000001" customHeight="1" x14ac:dyDescent="0.25">
      <c r="A703" s="38"/>
      <c r="B703" s="63"/>
      <c r="C703" s="41"/>
      <c r="D703" s="48"/>
      <c r="E703" s="19"/>
      <c r="F703" s="19"/>
      <c r="G703" s="19"/>
      <c r="H703" s="41"/>
      <c r="I703" s="41"/>
      <c r="J703" s="41"/>
      <c r="K703" s="41"/>
      <c r="L703" s="41"/>
      <c r="M703" s="41"/>
      <c r="N703" s="48"/>
    </row>
    <row r="704" spans="1:14" ht="20.100000000000001" customHeight="1" x14ac:dyDescent="0.25">
      <c r="A704" s="38"/>
      <c r="B704" s="63"/>
      <c r="C704" s="41"/>
      <c r="D704" s="48"/>
      <c r="E704" s="19"/>
      <c r="F704" s="19"/>
      <c r="G704" s="19"/>
      <c r="H704" s="41"/>
      <c r="I704" s="41"/>
      <c r="J704" s="41"/>
      <c r="K704" s="41"/>
      <c r="L704" s="41"/>
      <c r="M704" s="41"/>
      <c r="N704" s="48"/>
    </row>
    <row r="705" spans="1:14" ht="20.100000000000001" customHeight="1" x14ac:dyDescent="0.25">
      <c r="A705" s="38"/>
      <c r="B705" s="63"/>
      <c r="C705" s="41"/>
      <c r="D705" s="48"/>
      <c r="E705" s="19"/>
      <c r="F705" s="19"/>
      <c r="G705" s="19"/>
      <c r="H705" s="41"/>
      <c r="I705" s="41"/>
      <c r="J705" s="41"/>
      <c r="K705" s="41"/>
      <c r="L705" s="41"/>
      <c r="M705" s="41"/>
      <c r="N705" s="48"/>
    </row>
    <row r="706" spans="1:14" ht="20.100000000000001" customHeight="1" x14ac:dyDescent="0.25">
      <c r="A706" s="38"/>
      <c r="B706" s="63"/>
      <c r="C706" s="41"/>
      <c r="D706" s="48"/>
      <c r="E706" s="19"/>
      <c r="F706" s="19"/>
      <c r="G706" s="19"/>
      <c r="H706" s="41"/>
      <c r="I706" s="41"/>
      <c r="J706" s="41"/>
      <c r="K706" s="41"/>
      <c r="L706" s="41"/>
      <c r="M706" s="41"/>
      <c r="N706" s="48"/>
    </row>
    <row r="707" spans="1:14" ht="20.100000000000001" customHeight="1" x14ac:dyDescent="0.25">
      <c r="A707" s="38"/>
      <c r="B707" s="63"/>
      <c r="C707" s="41"/>
      <c r="D707" s="48"/>
      <c r="E707" s="19"/>
      <c r="F707" s="19"/>
      <c r="G707" s="19"/>
      <c r="H707" s="41"/>
      <c r="I707" s="41"/>
      <c r="J707" s="41"/>
      <c r="K707" s="41"/>
      <c r="L707" s="41"/>
      <c r="M707" s="41"/>
      <c r="N707" s="48"/>
    </row>
    <row r="708" spans="1:14" ht="20.100000000000001" customHeight="1" x14ac:dyDescent="0.25">
      <c r="A708" s="38"/>
      <c r="B708" s="63"/>
      <c r="C708" s="41"/>
      <c r="D708" s="48"/>
      <c r="E708" s="19"/>
      <c r="F708" s="19"/>
      <c r="G708" s="19"/>
      <c r="H708" s="41"/>
      <c r="I708" s="41"/>
      <c r="J708" s="41"/>
      <c r="K708" s="41"/>
      <c r="L708" s="41"/>
      <c r="M708" s="41"/>
      <c r="N708" s="48"/>
    </row>
    <row r="709" spans="1:14" ht="20.100000000000001" customHeight="1" x14ac:dyDescent="0.25">
      <c r="A709" s="38"/>
      <c r="B709" s="63"/>
      <c r="C709" s="41"/>
      <c r="D709" s="48"/>
      <c r="E709" s="19"/>
      <c r="F709" s="19"/>
      <c r="G709" s="19"/>
      <c r="H709" s="41"/>
      <c r="I709" s="41"/>
      <c r="J709" s="41"/>
      <c r="K709" s="41"/>
      <c r="L709" s="41"/>
      <c r="M709" s="41"/>
      <c r="N709" s="48"/>
    </row>
    <row r="710" spans="1:14" ht="20.100000000000001" customHeight="1" x14ac:dyDescent="0.25">
      <c r="A710" s="38"/>
      <c r="B710" s="63"/>
      <c r="C710" s="41"/>
      <c r="D710" s="48"/>
      <c r="E710" s="19"/>
      <c r="F710" s="19"/>
      <c r="G710" s="19"/>
      <c r="H710" s="41"/>
      <c r="I710" s="41"/>
      <c r="J710" s="41"/>
      <c r="K710" s="41"/>
      <c r="L710" s="41"/>
      <c r="M710" s="41"/>
      <c r="N710" s="48"/>
    </row>
    <row r="711" spans="1:14" ht="20.100000000000001" customHeight="1" x14ac:dyDescent="0.25">
      <c r="A711" s="38"/>
      <c r="B711" s="63"/>
      <c r="C711" s="41"/>
      <c r="D711" s="48"/>
      <c r="E711" s="19"/>
      <c r="F711" s="19"/>
      <c r="G711" s="19"/>
      <c r="H711" s="41"/>
      <c r="I711" s="41"/>
      <c r="J711" s="41"/>
      <c r="K711" s="41"/>
      <c r="L711" s="41"/>
      <c r="M711" s="41"/>
      <c r="N711" s="48"/>
    </row>
    <row r="712" spans="1:14" ht="20.100000000000001" customHeight="1" x14ac:dyDescent="0.25">
      <c r="A712" s="38"/>
      <c r="B712" s="63"/>
      <c r="C712" s="41"/>
      <c r="D712" s="48"/>
      <c r="E712" s="19"/>
      <c r="F712" s="19"/>
      <c r="G712" s="19"/>
      <c r="H712" s="41"/>
      <c r="I712" s="41"/>
      <c r="J712" s="41"/>
      <c r="K712" s="41"/>
      <c r="L712" s="41"/>
      <c r="M712" s="41"/>
      <c r="N712" s="48"/>
    </row>
    <row r="713" spans="1:14" ht="20.100000000000001" customHeight="1" x14ac:dyDescent="0.25">
      <c r="A713" s="38"/>
      <c r="B713" s="63"/>
      <c r="C713" s="41"/>
      <c r="D713" s="48"/>
      <c r="E713" s="19"/>
      <c r="F713" s="19"/>
      <c r="G713" s="19"/>
      <c r="H713" s="41"/>
      <c r="I713" s="41"/>
      <c r="J713" s="41"/>
      <c r="K713" s="41"/>
      <c r="L713" s="41"/>
      <c r="M713" s="41"/>
      <c r="N713" s="48"/>
    </row>
    <row r="714" spans="1:14" ht="20.100000000000001" customHeight="1" x14ac:dyDescent="0.25">
      <c r="A714" s="38"/>
      <c r="B714" s="63"/>
      <c r="C714" s="41"/>
      <c r="D714" s="48"/>
      <c r="E714" s="19"/>
      <c r="F714" s="19"/>
      <c r="G714" s="19"/>
      <c r="H714" s="41"/>
      <c r="I714" s="41"/>
      <c r="J714" s="41"/>
      <c r="K714" s="41"/>
      <c r="L714" s="41"/>
      <c r="M714" s="41"/>
      <c r="N714" s="48"/>
    </row>
    <row r="715" spans="1:14" ht="20.100000000000001" customHeight="1" x14ac:dyDescent="0.25">
      <c r="A715" s="38"/>
      <c r="B715" s="63"/>
      <c r="C715" s="41"/>
      <c r="D715" s="48"/>
      <c r="E715" s="19"/>
      <c r="F715" s="19"/>
      <c r="G715" s="19"/>
      <c r="H715" s="41"/>
      <c r="I715" s="41"/>
      <c r="J715" s="41"/>
      <c r="K715" s="41"/>
      <c r="L715" s="41"/>
      <c r="M715" s="41"/>
      <c r="N715" s="48"/>
    </row>
    <row r="716" spans="1:14" ht="20.100000000000001" customHeight="1" x14ac:dyDescent="0.25">
      <c r="A716" s="38"/>
      <c r="B716" s="63"/>
      <c r="C716" s="41"/>
      <c r="D716" s="48"/>
      <c r="E716" s="19"/>
      <c r="F716" s="19"/>
      <c r="G716" s="19"/>
      <c r="H716" s="41"/>
      <c r="I716" s="41"/>
      <c r="J716" s="41"/>
      <c r="K716" s="41"/>
      <c r="L716" s="41"/>
      <c r="M716" s="41"/>
      <c r="N716" s="48"/>
    </row>
    <row r="717" spans="1:14" ht="20.100000000000001" customHeight="1" x14ac:dyDescent="0.25">
      <c r="A717" s="38"/>
      <c r="B717" s="63"/>
      <c r="C717" s="41"/>
      <c r="D717" s="48"/>
      <c r="E717" s="19"/>
      <c r="F717" s="19"/>
      <c r="G717" s="19"/>
      <c r="H717" s="41"/>
      <c r="I717" s="41"/>
      <c r="J717" s="41"/>
      <c r="K717" s="41"/>
      <c r="L717" s="41"/>
      <c r="M717" s="41"/>
      <c r="N717" s="48"/>
    </row>
    <row r="718" spans="1:14" ht="20.100000000000001" customHeight="1" x14ac:dyDescent="0.25">
      <c r="A718" s="38"/>
      <c r="B718" s="63"/>
      <c r="C718" s="41"/>
      <c r="D718" s="48"/>
      <c r="E718" s="19"/>
      <c r="F718" s="19"/>
      <c r="G718" s="19"/>
      <c r="H718" s="41"/>
      <c r="I718" s="41"/>
      <c r="J718" s="41"/>
      <c r="K718" s="41"/>
      <c r="L718" s="41"/>
      <c r="M718" s="41"/>
      <c r="N718" s="48"/>
    </row>
    <row r="719" spans="1:14" ht="20.100000000000001" customHeight="1" x14ac:dyDescent="0.25">
      <c r="A719" s="38"/>
      <c r="B719" s="63"/>
      <c r="C719" s="41"/>
      <c r="D719" s="48"/>
      <c r="E719" s="19"/>
      <c r="F719" s="19"/>
      <c r="G719" s="19"/>
      <c r="H719" s="41"/>
      <c r="I719" s="41"/>
      <c r="J719" s="41"/>
      <c r="K719" s="41"/>
      <c r="L719" s="41"/>
      <c r="M719" s="41"/>
      <c r="N719" s="48"/>
    </row>
    <row r="720" spans="1:14" ht="20.100000000000001" customHeight="1" x14ac:dyDescent="0.25">
      <c r="A720" s="38"/>
      <c r="B720" s="63"/>
      <c r="C720" s="41"/>
      <c r="D720" s="48"/>
      <c r="E720" s="19"/>
      <c r="F720" s="19"/>
      <c r="G720" s="19"/>
      <c r="H720" s="41"/>
      <c r="I720" s="41"/>
      <c r="J720" s="41"/>
      <c r="K720" s="41"/>
      <c r="L720" s="41"/>
      <c r="M720" s="41"/>
      <c r="N720" s="48"/>
    </row>
    <row r="721" spans="1:14" ht="20.100000000000001" customHeight="1" x14ac:dyDescent="0.25">
      <c r="A721" s="38"/>
      <c r="B721" s="63"/>
      <c r="C721" s="41"/>
      <c r="D721" s="48"/>
      <c r="E721" s="19"/>
      <c r="F721" s="19"/>
      <c r="G721" s="19"/>
      <c r="H721" s="41"/>
      <c r="I721" s="41"/>
      <c r="J721" s="41"/>
      <c r="K721" s="41"/>
      <c r="L721" s="41"/>
      <c r="M721" s="41"/>
      <c r="N721" s="48"/>
    </row>
    <row r="722" spans="1:14" ht="20.100000000000001" customHeight="1" x14ac:dyDescent="0.25">
      <c r="A722" s="38"/>
      <c r="B722" s="63"/>
      <c r="C722" s="41"/>
      <c r="D722" s="48"/>
      <c r="E722" s="19"/>
      <c r="F722" s="19"/>
      <c r="G722" s="19"/>
      <c r="H722" s="41"/>
      <c r="I722" s="41"/>
      <c r="J722" s="41"/>
      <c r="K722" s="41"/>
      <c r="L722" s="41"/>
      <c r="M722" s="41"/>
      <c r="N722" s="48"/>
    </row>
    <row r="723" spans="1:14" ht="20.100000000000001" customHeight="1" x14ac:dyDescent="0.25">
      <c r="A723" s="38"/>
      <c r="B723" s="63"/>
      <c r="C723" s="41"/>
      <c r="D723" s="48"/>
      <c r="E723" s="19"/>
      <c r="F723" s="19"/>
      <c r="G723" s="19"/>
      <c r="H723" s="41"/>
      <c r="I723" s="41"/>
      <c r="J723" s="41"/>
      <c r="K723" s="41"/>
      <c r="L723" s="41"/>
      <c r="M723" s="41"/>
      <c r="N723" s="48"/>
    </row>
    <row r="724" spans="1:14" ht="20.100000000000001" customHeight="1" x14ac:dyDescent="0.25">
      <c r="A724" s="38"/>
      <c r="B724" s="63"/>
      <c r="C724" s="41"/>
      <c r="D724" s="48"/>
      <c r="E724" s="19"/>
      <c r="F724" s="19"/>
      <c r="G724" s="19"/>
      <c r="H724" s="41"/>
      <c r="I724" s="41"/>
      <c r="J724" s="41"/>
      <c r="K724" s="41"/>
      <c r="L724" s="41"/>
      <c r="M724" s="41"/>
      <c r="N724" s="48"/>
    </row>
    <row r="725" spans="1:14" ht="20.100000000000001" customHeight="1" x14ac:dyDescent="0.25">
      <c r="A725" s="38"/>
      <c r="B725" s="63"/>
      <c r="C725" s="41"/>
      <c r="D725" s="48"/>
      <c r="E725" s="19"/>
      <c r="F725" s="19"/>
      <c r="G725" s="19"/>
      <c r="H725" s="41"/>
      <c r="I725" s="41"/>
      <c r="J725" s="41"/>
      <c r="K725" s="41"/>
      <c r="L725" s="41"/>
      <c r="M725" s="41"/>
      <c r="N725" s="48"/>
    </row>
    <row r="726" spans="1:14" ht="20.100000000000001" customHeight="1" x14ac:dyDescent="0.25">
      <c r="A726" s="38"/>
      <c r="B726" s="63"/>
      <c r="C726" s="41"/>
      <c r="D726" s="48"/>
      <c r="E726" s="19"/>
      <c r="F726" s="19"/>
      <c r="G726" s="19"/>
      <c r="H726" s="41"/>
      <c r="I726" s="41"/>
      <c r="J726" s="41"/>
      <c r="K726" s="41"/>
      <c r="L726" s="41"/>
      <c r="M726" s="41"/>
      <c r="N726" s="48"/>
    </row>
    <row r="727" spans="1:14" ht="20.100000000000001" customHeight="1" x14ac:dyDescent="0.25">
      <c r="A727" s="38"/>
      <c r="B727" s="63"/>
      <c r="C727" s="41"/>
      <c r="D727" s="48"/>
      <c r="E727" s="19"/>
      <c r="F727" s="19"/>
      <c r="G727" s="19"/>
      <c r="H727" s="41"/>
      <c r="I727" s="41"/>
      <c r="J727" s="41"/>
      <c r="K727" s="41"/>
      <c r="L727" s="41"/>
      <c r="M727" s="41"/>
      <c r="N727" s="48"/>
    </row>
    <row r="728" spans="1:14" ht="20.100000000000001" customHeight="1" x14ac:dyDescent="0.25">
      <c r="A728" s="38"/>
      <c r="B728" s="63"/>
      <c r="C728" s="41"/>
      <c r="D728" s="48"/>
      <c r="E728" s="19"/>
      <c r="F728" s="19"/>
      <c r="G728" s="19"/>
      <c r="H728" s="41"/>
      <c r="I728" s="41"/>
      <c r="J728" s="41"/>
      <c r="K728" s="41"/>
      <c r="L728" s="41"/>
      <c r="M728" s="41"/>
      <c r="N728" s="48"/>
    </row>
    <row r="729" spans="1:14" ht="20.100000000000001" customHeight="1" x14ac:dyDescent="0.25">
      <c r="A729" s="38"/>
      <c r="B729" s="63"/>
      <c r="C729" s="41"/>
      <c r="D729" s="48"/>
      <c r="E729" s="19"/>
      <c r="F729" s="19"/>
      <c r="G729" s="19"/>
      <c r="H729" s="41"/>
      <c r="I729" s="41"/>
      <c r="J729" s="41"/>
      <c r="K729" s="41"/>
      <c r="L729" s="41"/>
      <c r="M729" s="41"/>
      <c r="N729" s="48"/>
    </row>
    <row r="730" spans="1:14" ht="20.100000000000001" customHeight="1" x14ac:dyDescent="0.25">
      <c r="A730" s="38"/>
      <c r="B730" s="63"/>
      <c r="C730" s="41"/>
      <c r="D730" s="48"/>
      <c r="E730" s="19"/>
      <c r="F730" s="19"/>
      <c r="G730" s="19"/>
      <c r="H730" s="41"/>
      <c r="I730" s="41"/>
      <c r="J730" s="41"/>
      <c r="K730" s="41"/>
      <c r="L730" s="41"/>
      <c r="M730" s="41"/>
      <c r="N730" s="48"/>
    </row>
    <row r="731" spans="1:14" ht="20.100000000000001" customHeight="1" x14ac:dyDescent="0.25">
      <c r="A731" s="38"/>
      <c r="B731" s="63"/>
      <c r="C731" s="41"/>
      <c r="D731" s="48"/>
      <c r="E731" s="19"/>
      <c r="F731" s="19"/>
      <c r="G731" s="19"/>
      <c r="H731" s="41"/>
      <c r="I731" s="41"/>
      <c r="J731" s="41"/>
      <c r="K731" s="41"/>
      <c r="L731" s="41"/>
      <c r="M731" s="41"/>
      <c r="N731" s="48"/>
    </row>
    <row r="732" spans="1:14" ht="20.100000000000001" customHeight="1" x14ac:dyDescent="0.25">
      <c r="A732" s="38"/>
      <c r="B732" s="63"/>
      <c r="C732" s="41"/>
      <c r="D732" s="48"/>
      <c r="E732" s="19"/>
      <c r="F732" s="19"/>
      <c r="G732" s="19"/>
      <c r="H732" s="41"/>
      <c r="I732" s="41"/>
      <c r="J732" s="41"/>
      <c r="K732" s="41"/>
      <c r="L732" s="41"/>
      <c r="M732" s="41"/>
      <c r="N732" s="48"/>
    </row>
    <row r="733" spans="1:14" ht="20.100000000000001" customHeight="1" x14ac:dyDescent="0.25">
      <c r="A733" s="38"/>
      <c r="B733" s="63"/>
      <c r="C733" s="41"/>
      <c r="D733" s="48"/>
      <c r="E733" s="19"/>
      <c r="F733" s="19"/>
      <c r="G733" s="19"/>
      <c r="H733" s="41"/>
      <c r="I733" s="41"/>
      <c r="J733" s="41"/>
      <c r="K733" s="41"/>
      <c r="L733" s="41"/>
      <c r="M733" s="41"/>
      <c r="N733" s="48"/>
    </row>
    <row r="734" spans="1:14" ht="20.100000000000001" customHeight="1" x14ac:dyDescent="0.25">
      <c r="A734" s="38"/>
      <c r="B734" s="63"/>
      <c r="C734" s="41"/>
      <c r="D734" s="48"/>
      <c r="E734" s="19"/>
      <c r="F734" s="19"/>
      <c r="G734" s="19"/>
      <c r="H734" s="41"/>
      <c r="I734" s="41"/>
      <c r="J734" s="41"/>
      <c r="K734" s="41"/>
      <c r="L734" s="41"/>
      <c r="M734" s="41"/>
      <c r="N734" s="48"/>
    </row>
    <row r="735" spans="1:14" ht="20.100000000000001" customHeight="1" x14ac:dyDescent="0.25">
      <c r="A735" s="38"/>
      <c r="B735" s="63"/>
      <c r="C735" s="41"/>
      <c r="D735" s="48"/>
      <c r="E735" s="19"/>
      <c r="F735" s="19"/>
      <c r="G735" s="19"/>
      <c r="H735" s="41"/>
      <c r="I735" s="41"/>
      <c r="J735" s="41"/>
      <c r="K735" s="41"/>
      <c r="L735" s="41"/>
      <c r="M735" s="41"/>
      <c r="N735" s="48"/>
    </row>
    <row r="736" spans="1:14" ht="20.100000000000001" customHeight="1" x14ac:dyDescent="0.25">
      <c r="A736" s="38"/>
      <c r="B736" s="63"/>
      <c r="C736" s="41"/>
      <c r="D736" s="48"/>
      <c r="E736" s="19"/>
      <c r="F736" s="19"/>
      <c r="G736" s="19"/>
      <c r="H736" s="41"/>
      <c r="I736" s="41"/>
      <c r="J736" s="41"/>
      <c r="K736" s="41"/>
      <c r="L736" s="41"/>
      <c r="M736" s="41"/>
      <c r="N736" s="48"/>
    </row>
    <row r="737" spans="1:14" ht="20.100000000000001" customHeight="1" x14ac:dyDescent="0.25">
      <c r="A737" s="38"/>
      <c r="B737" s="63"/>
      <c r="C737" s="41"/>
      <c r="D737" s="48"/>
      <c r="E737" s="19"/>
      <c r="F737" s="19"/>
      <c r="G737" s="19"/>
      <c r="H737" s="41"/>
      <c r="I737" s="41"/>
      <c r="J737" s="41"/>
      <c r="K737" s="41"/>
      <c r="L737" s="41"/>
      <c r="M737" s="41"/>
      <c r="N737" s="48"/>
    </row>
    <row r="738" spans="1:14" ht="20.100000000000001" customHeight="1" x14ac:dyDescent="0.25">
      <c r="A738" s="38"/>
      <c r="B738" s="63"/>
      <c r="C738" s="41"/>
      <c r="D738" s="48"/>
      <c r="E738" s="19"/>
      <c r="F738" s="19"/>
      <c r="G738" s="19"/>
      <c r="H738" s="41"/>
      <c r="I738" s="41"/>
      <c r="J738" s="41"/>
      <c r="K738" s="41"/>
      <c r="L738" s="41"/>
      <c r="M738" s="41"/>
      <c r="N738" s="48"/>
    </row>
    <row r="739" spans="1:14" ht="20.100000000000001" customHeight="1" x14ac:dyDescent="0.25">
      <c r="A739" s="38"/>
      <c r="B739" s="63"/>
      <c r="C739" s="41"/>
      <c r="D739" s="48"/>
      <c r="E739" s="19"/>
      <c r="F739" s="19"/>
      <c r="G739" s="19"/>
      <c r="H739" s="41"/>
      <c r="I739" s="41"/>
      <c r="J739" s="41"/>
      <c r="K739" s="41"/>
      <c r="L739" s="41"/>
      <c r="M739" s="41"/>
      <c r="N739" s="48"/>
    </row>
    <row r="740" spans="1:14" ht="20.100000000000001" customHeight="1" x14ac:dyDescent="0.25">
      <c r="A740" s="38"/>
      <c r="B740" s="63"/>
      <c r="C740" s="41"/>
      <c r="D740" s="48"/>
      <c r="E740" s="19"/>
      <c r="F740" s="19"/>
      <c r="G740" s="19"/>
      <c r="H740" s="41"/>
      <c r="I740" s="41"/>
      <c r="J740" s="41"/>
      <c r="K740" s="41"/>
      <c r="L740" s="41"/>
      <c r="M740" s="41"/>
      <c r="N740" s="48"/>
    </row>
    <row r="741" spans="1:14" ht="20.100000000000001" customHeight="1" x14ac:dyDescent="0.25">
      <c r="A741" s="38"/>
      <c r="B741" s="63"/>
      <c r="C741" s="41"/>
      <c r="D741" s="48"/>
      <c r="E741" s="19"/>
      <c r="F741" s="19"/>
      <c r="G741" s="19"/>
      <c r="H741" s="41"/>
      <c r="I741" s="41"/>
      <c r="J741" s="41"/>
      <c r="K741" s="41"/>
      <c r="L741" s="41"/>
      <c r="M741" s="41"/>
      <c r="N741" s="48"/>
    </row>
    <row r="742" spans="1:14" ht="20.100000000000001" customHeight="1" x14ac:dyDescent="0.25">
      <c r="A742" s="38"/>
      <c r="B742" s="63"/>
      <c r="C742" s="41"/>
      <c r="D742" s="48"/>
      <c r="E742" s="19"/>
      <c r="F742" s="19"/>
      <c r="G742" s="19"/>
      <c r="H742" s="41"/>
      <c r="I742" s="41"/>
      <c r="J742" s="41"/>
      <c r="K742" s="41"/>
      <c r="L742" s="41"/>
      <c r="M742" s="41"/>
      <c r="N742" s="48"/>
    </row>
    <row r="743" spans="1:14" ht="20.100000000000001" customHeight="1" x14ac:dyDescent="0.25">
      <c r="A743" s="38"/>
      <c r="B743" s="63"/>
      <c r="C743" s="41"/>
      <c r="D743" s="48"/>
      <c r="E743" s="19"/>
      <c r="F743" s="19"/>
      <c r="G743" s="19"/>
      <c r="H743" s="41"/>
      <c r="I743" s="41"/>
      <c r="J743" s="41"/>
      <c r="K743" s="41"/>
      <c r="L743" s="41"/>
      <c r="M743" s="41"/>
      <c r="N743" s="48"/>
    </row>
    <row r="744" spans="1:14" ht="20.100000000000001" customHeight="1" x14ac:dyDescent="0.25">
      <c r="A744" s="38"/>
      <c r="B744" s="63"/>
      <c r="C744" s="41"/>
      <c r="D744" s="48"/>
      <c r="E744" s="19"/>
      <c r="F744" s="19"/>
      <c r="G744" s="19"/>
      <c r="H744" s="41"/>
      <c r="I744" s="41"/>
      <c r="J744" s="41"/>
      <c r="K744" s="41"/>
      <c r="L744" s="41"/>
      <c r="M744" s="41"/>
      <c r="N744" s="48"/>
    </row>
    <row r="745" spans="1:14" ht="20.100000000000001" customHeight="1" x14ac:dyDescent="0.25">
      <c r="A745" s="38"/>
      <c r="B745" s="63"/>
      <c r="C745" s="41"/>
      <c r="D745" s="48"/>
      <c r="E745" s="19"/>
      <c r="F745" s="19"/>
      <c r="G745" s="19"/>
      <c r="H745" s="41"/>
      <c r="I745" s="41"/>
      <c r="J745" s="41"/>
      <c r="K745" s="41"/>
      <c r="L745" s="41"/>
      <c r="M745" s="41"/>
      <c r="N745" s="48"/>
    </row>
    <row r="746" spans="1:14" ht="20.100000000000001" customHeight="1" x14ac:dyDescent="0.25">
      <c r="A746" s="38"/>
      <c r="B746" s="63"/>
      <c r="C746" s="41"/>
      <c r="D746" s="48"/>
      <c r="E746" s="19"/>
      <c r="F746" s="19"/>
      <c r="G746" s="19"/>
      <c r="H746" s="41"/>
      <c r="I746" s="41"/>
      <c r="J746" s="41"/>
      <c r="K746" s="41"/>
      <c r="L746" s="41"/>
      <c r="M746" s="41"/>
      <c r="N746" s="48"/>
    </row>
    <row r="747" spans="1:14" ht="20.100000000000001" customHeight="1" x14ac:dyDescent="0.25">
      <c r="A747" s="38"/>
      <c r="B747" s="63"/>
      <c r="C747" s="41"/>
      <c r="D747" s="48"/>
      <c r="E747" s="19"/>
      <c r="F747" s="19"/>
      <c r="G747" s="19"/>
      <c r="H747" s="41"/>
      <c r="I747" s="41"/>
      <c r="J747" s="41"/>
      <c r="K747" s="41"/>
      <c r="L747" s="41"/>
      <c r="M747" s="41"/>
      <c r="N747" s="48"/>
    </row>
    <row r="748" spans="1:14" ht="20.100000000000001" customHeight="1" x14ac:dyDescent="0.25">
      <c r="A748" s="38"/>
      <c r="B748" s="63"/>
      <c r="C748" s="41"/>
      <c r="D748" s="48"/>
      <c r="E748" s="19"/>
      <c r="F748" s="19"/>
      <c r="G748" s="19"/>
      <c r="H748" s="41"/>
      <c r="I748" s="41"/>
      <c r="J748" s="41"/>
      <c r="K748" s="41"/>
      <c r="L748" s="41"/>
      <c r="M748" s="41"/>
      <c r="N748" s="48"/>
    </row>
    <row r="749" spans="1:14" ht="20.100000000000001" customHeight="1" x14ac:dyDescent="0.25">
      <c r="A749" s="38"/>
      <c r="B749" s="63"/>
      <c r="C749" s="41"/>
      <c r="D749" s="48"/>
      <c r="E749" s="19"/>
      <c r="F749" s="19"/>
      <c r="G749" s="19"/>
      <c r="H749" s="41"/>
      <c r="I749" s="41"/>
      <c r="J749" s="41"/>
      <c r="K749" s="41"/>
      <c r="L749" s="41"/>
      <c r="M749" s="41"/>
      <c r="N749" s="48"/>
    </row>
    <row r="750" spans="1:14" ht="20.100000000000001" customHeight="1" x14ac:dyDescent="0.25">
      <c r="A750" s="38"/>
      <c r="B750" s="63"/>
      <c r="C750" s="41"/>
      <c r="D750" s="48"/>
      <c r="E750" s="19"/>
      <c r="F750" s="19"/>
      <c r="G750" s="19"/>
      <c r="H750" s="41"/>
      <c r="I750" s="41"/>
      <c r="J750" s="41"/>
      <c r="K750" s="41"/>
      <c r="L750" s="41"/>
      <c r="M750" s="41"/>
      <c r="N750" s="48"/>
    </row>
    <row r="751" spans="1:14" ht="20.100000000000001" customHeight="1" x14ac:dyDescent="0.25">
      <c r="A751" s="38"/>
      <c r="B751" s="63"/>
      <c r="C751" s="41"/>
      <c r="D751" s="48"/>
      <c r="E751" s="19"/>
      <c r="F751" s="19"/>
      <c r="G751" s="19"/>
      <c r="H751" s="41"/>
      <c r="I751" s="41"/>
      <c r="J751" s="41"/>
      <c r="K751" s="41"/>
      <c r="L751" s="41"/>
      <c r="M751" s="41"/>
      <c r="N751" s="48"/>
    </row>
    <row r="752" spans="1:14" ht="20.100000000000001" customHeight="1" x14ac:dyDescent="0.25">
      <c r="A752" s="38"/>
      <c r="B752" s="63"/>
      <c r="C752" s="41"/>
      <c r="D752" s="48"/>
      <c r="E752" s="19"/>
      <c r="F752" s="19"/>
      <c r="G752" s="19"/>
      <c r="H752" s="41"/>
      <c r="I752" s="41"/>
      <c r="J752" s="41"/>
      <c r="K752" s="41"/>
      <c r="L752" s="41"/>
      <c r="M752" s="41"/>
      <c r="N752" s="48"/>
    </row>
    <row r="753" spans="1:14" ht="20.100000000000001" customHeight="1" x14ac:dyDescent="0.25">
      <c r="A753" s="38"/>
      <c r="B753" s="63"/>
      <c r="C753" s="41"/>
      <c r="D753" s="48"/>
      <c r="E753" s="19"/>
      <c r="F753" s="19"/>
      <c r="G753" s="19"/>
      <c r="H753" s="41"/>
      <c r="I753" s="41"/>
      <c r="J753" s="41"/>
      <c r="K753" s="41"/>
      <c r="L753" s="41"/>
      <c r="M753" s="41"/>
      <c r="N753" s="48"/>
    </row>
    <row r="754" spans="1:14" ht="20.100000000000001" customHeight="1" x14ac:dyDescent="0.25">
      <c r="A754" s="38"/>
      <c r="B754" s="63"/>
      <c r="C754" s="41"/>
      <c r="D754" s="48"/>
      <c r="E754" s="19"/>
      <c r="F754" s="19"/>
      <c r="G754" s="19"/>
      <c r="H754" s="41"/>
      <c r="I754" s="41"/>
      <c r="J754" s="41"/>
      <c r="K754" s="41"/>
      <c r="L754" s="41"/>
      <c r="M754" s="41"/>
      <c r="N754" s="48"/>
    </row>
    <row r="755" spans="1:14" ht="20.100000000000001" customHeight="1" x14ac:dyDescent="0.25">
      <c r="A755" s="38"/>
      <c r="B755" s="63"/>
      <c r="C755" s="41"/>
      <c r="D755" s="48"/>
      <c r="E755" s="19"/>
      <c r="F755" s="19"/>
      <c r="G755" s="19"/>
      <c r="H755" s="41"/>
      <c r="I755" s="41"/>
      <c r="J755" s="41"/>
      <c r="K755" s="41"/>
      <c r="L755" s="41"/>
      <c r="M755" s="41"/>
      <c r="N755" s="48"/>
    </row>
    <row r="756" spans="1:14" ht="20.100000000000001" customHeight="1" x14ac:dyDescent="0.25">
      <c r="A756" s="38"/>
      <c r="B756" s="63"/>
      <c r="C756" s="41"/>
      <c r="D756" s="48"/>
      <c r="E756" s="19"/>
      <c r="F756" s="19"/>
      <c r="G756" s="19"/>
      <c r="H756" s="41"/>
      <c r="I756" s="41"/>
      <c r="J756" s="41"/>
      <c r="K756" s="41"/>
      <c r="L756" s="41"/>
      <c r="M756" s="41"/>
      <c r="N756" s="48"/>
    </row>
    <row r="757" spans="1:14" ht="20.100000000000001" customHeight="1" x14ac:dyDescent="0.25">
      <c r="A757" s="38"/>
      <c r="B757" s="63"/>
      <c r="C757" s="41"/>
      <c r="D757" s="48"/>
      <c r="E757" s="19"/>
      <c r="F757" s="19"/>
      <c r="G757" s="19"/>
      <c r="H757" s="41"/>
      <c r="I757" s="41"/>
      <c r="J757" s="41"/>
      <c r="K757" s="41"/>
      <c r="L757" s="41"/>
      <c r="M757" s="41"/>
      <c r="N757" s="48"/>
    </row>
    <row r="758" spans="1:14" ht="20.100000000000001" customHeight="1" x14ac:dyDescent="0.25">
      <c r="A758" s="38"/>
      <c r="B758" s="63"/>
      <c r="C758" s="41"/>
      <c r="D758" s="48"/>
      <c r="E758" s="19"/>
      <c r="F758" s="19"/>
      <c r="G758" s="19"/>
      <c r="H758" s="41"/>
      <c r="I758" s="41"/>
      <c r="J758" s="41"/>
      <c r="K758" s="41"/>
      <c r="L758" s="41"/>
      <c r="M758" s="41"/>
      <c r="N758" s="48"/>
    </row>
    <row r="759" spans="1:14" ht="20.100000000000001" customHeight="1" x14ac:dyDescent="0.25">
      <c r="A759" s="38"/>
      <c r="B759" s="63"/>
      <c r="C759" s="41"/>
      <c r="D759" s="48"/>
      <c r="E759" s="19"/>
      <c r="F759" s="19"/>
      <c r="G759" s="19"/>
      <c r="H759" s="41"/>
      <c r="I759" s="41"/>
      <c r="J759" s="41"/>
      <c r="K759" s="41"/>
      <c r="L759" s="41"/>
      <c r="M759" s="41"/>
      <c r="N759" s="48"/>
    </row>
    <row r="760" spans="1:14" ht="20.100000000000001" customHeight="1" x14ac:dyDescent="0.25">
      <c r="A760" s="38"/>
      <c r="B760" s="63"/>
      <c r="C760" s="41"/>
      <c r="D760" s="48"/>
      <c r="E760" s="19"/>
      <c r="F760" s="19"/>
      <c r="G760" s="19"/>
      <c r="H760" s="41"/>
      <c r="I760" s="41"/>
      <c r="J760" s="41"/>
      <c r="K760" s="41"/>
      <c r="L760" s="41"/>
      <c r="M760" s="41"/>
      <c r="N760" s="48"/>
    </row>
    <row r="761" spans="1:14" ht="20.100000000000001" customHeight="1" x14ac:dyDescent="0.25">
      <c r="A761" s="38"/>
      <c r="B761" s="63"/>
      <c r="C761" s="41"/>
      <c r="D761" s="48"/>
      <c r="E761" s="19"/>
      <c r="F761" s="19"/>
      <c r="G761" s="19"/>
      <c r="H761" s="41"/>
      <c r="I761" s="41"/>
      <c r="J761" s="41"/>
      <c r="K761" s="41"/>
      <c r="L761" s="41"/>
      <c r="M761" s="41"/>
      <c r="N761" s="48"/>
    </row>
    <row r="762" spans="1:14" ht="20.100000000000001" customHeight="1" x14ac:dyDescent="0.25">
      <c r="A762" s="38"/>
      <c r="B762" s="63"/>
      <c r="C762" s="41"/>
      <c r="D762" s="48"/>
      <c r="E762" s="19"/>
      <c r="F762" s="19"/>
      <c r="G762" s="19"/>
      <c r="H762" s="41"/>
      <c r="I762" s="41"/>
      <c r="J762" s="41"/>
      <c r="K762" s="41"/>
      <c r="L762" s="41"/>
      <c r="M762" s="41"/>
      <c r="N762" s="48"/>
    </row>
    <row r="763" spans="1:14" ht="20.100000000000001" customHeight="1" x14ac:dyDescent="0.25">
      <c r="A763" s="38"/>
      <c r="B763" s="63"/>
      <c r="C763" s="41"/>
      <c r="D763" s="48"/>
      <c r="E763" s="19"/>
      <c r="F763" s="19"/>
      <c r="G763" s="19"/>
      <c r="H763" s="41"/>
      <c r="I763" s="41"/>
      <c r="J763" s="41"/>
      <c r="K763" s="41"/>
      <c r="L763" s="41"/>
      <c r="M763" s="41"/>
      <c r="N763" s="48"/>
    </row>
    <row r="764" spans="1:14" ht="20.100000000000001" customHeight="1" x14ac:dyDescent="0.25">
      <c r="A764" s="38"/>
      <c r="B764" s="63"/>
      <c r="C764" s="41"/>
      <c r="D764" s="48"/>
      <c r="E764" s="19"/>
      <c r="F764" s="19"/>
      <c r="G764" s="19"/>
      <c r="H764" s="41"/>
      <c r="I764" s="41"/>
      <c r="J764" s="41"/>
      <c r="K764" s="41"/>
      <c r="L764" s="41"/>
      <c r="M764" s="41"/>
      <c r="N764" s="48"/>
    </row>
    <row r="765" spans="1:14" ht="20.100000000000001" customHeight="1" x14ac:dyDescent="0.25">
      <c r="A765" s="38"/>
      <c r="B765" s="63"/>
      <c r="C765" s="41"/>
      <c r="D765" s="48"/>
      <c r="E765" s="19"/>
      <c r="F765" s="19"/>
      <c r="G765" s="19"/>
      <c r="H765" s="41"/>
      <c r="I765" s="41"/>
      <c r="J765" s="41"/>
      <c r="K765" s="41"/>
      <c r="L765" s="41"/>
      <c r="M765" s="41"/>
      <c r="N765" s="48"/>
    </row>
    <row r="766" spans="1:14" ht="20.100000000000001" customHeight="1" x14ac:dyDescent="0.25">
      <c r="A766" s="38"/>
      <c r="B766" s="63"/>
      <c r="C766" s="41"/>
      <c r="D766" s="48"/>
      <c r="E766" s="19"/>
      <c r="F766" s="19"/>
      <c r="G766" s="19"/>
      <c r="H766" s="41"/>
      <c r="I766" s="41"/>
      <c r="J766" s="41"/>
      <c r="K766" s="41"/>
      <c r="L766" s="41"/>
      <c r="M766" s="41"/>
      <c r="N766" s="48"/>
    </row>
    <row r="767" spans="1:14" ht="20.100000000000001" customHeight="1" x14ac:dyDescent="0.25">
      <c r="A767" s="38"/>
      <c r="B767" s="63"/>
      <c r="C767" s="41"/>
      <c r="D767" s="48"/>
      <c r="E767" s="19"/>
      <c r="F767" s="19"/>
      <c r="G767" s="19"/>
      <c r="H767" s="41"/>
      <c r="I767" s="41"/>
      <c r="J767" s="41"/>
      <c r="K767" s="41"/>
      <c r="L767" s="41"/>
      <c r="M767" s="41"/>
      <c r="N767" s="48"/>
    </row>
    <row r="768" spans="1:14" ht="20.100000000000001" customHeight="1" x14ac:dyDescent="0.25">
      <c r="A768" s="38"/>
      <c r="B768" s="63"/>
      <c r="C768" s="41"/>
      <c r="D768" s="48"/>
      <c r="E768" s="19"/>
      <c r="F768" s="19"/>
      <c r="G768" s="19"/>
      <c r="H768" s="41"/>
      <c r="I768" s="41"/>
      <c r="J768" s="41"/>
      <c r="K768" s="41"/>
      <c r="L768" s="41"/>
      <c r="M768" s="41"/>
      <c r="N768" s="48"/>
    </row>
    <row r="769" spans="1:14" ht="20.100000000000001" customHeight="1" x14ac:dyDescent="0.25">
      <c r="A769" s="38"/>
      <c r="B769" s="63"/>
      <c r="C769" s="41"/>
      <c r="D769" s="48"/>
      <c r="E769" s="19"/>
      <c r="F769" s="19"/>
      <c r="G769" s="19"/>
      <c r="H769" s="41"/>
      <c r="I769" s="41"/>
      <c r="J769" s="41"/>
      <c r="K769" s="41"/>
      <c r="L769" s="41"/>
      <c r="M769" s="41"/>
      <c r="N769" s="48"/>
    </row>
    <row r="770" spans="1:14" ht="20.100000000000001" customHeight="1" x14ac:dyDescent="0.25">
      <c r="A770" s="38"/>
      <c r="B770" s="63"/>
      <c r="C770" s="41"/>
      <c r="D770" s="48"/>
      <c r="E770" s="19"/>
      <c r="F770" s="19"/>
      <c r="G770" s="19"/>
      <c r="H770" s="41"/>
      <c r="I770" s="41"/>
      <c r="J770" s="41"/>
      <c r="K770" s="41"/>
      <c r="L770" s="41"/>
      <c r="M770" s="41"/>
      <c r="N770" s="48"/>
    </row>
    <row r="771" spans="1:14" ht="20.100000000000001" customHeight="1" x14ac:dyDescent="0.25">
      <c r="A771" s="38"/>
      <c r="B771" s="63"/>
      <c r="C771" s="41"/>
      <c r="D771" s="48"/>
      <c r="E771" s="19"/>
      <c r="F771" s="19"/>
      <c r="G771" s="19"/>
      <c r="H771" s="41"/>
      <c r="I771" s="41"/>
      <c r="J771" s="41"/>
      <c r="K771" s="41"/>
      <c r="L771" s="41"/>
      <c r="M771" s="41"/>
      <c r="N771" s="48"/>
    </row>
    <row r="772" spans="1:14" ht="20.100000000000001" customHeight="1" x14ac:dyDescent="0.25">
      <c r="A772" s="38"/>
      <c r="B772" s="63"/>
      <c r="C772" s="41"/>
      <c r="D772" s="48"/>
      <c r="E772" s="19"/>
      <c r="F772" s="19"/>
      <c r="G772" s="19"/>
      <c r="H772" s="41"/>
      <c r="I772" s="41"/>
      <c r="J772" s="41"/>
      <c r="K772" s="41"/>
      <c r="L772" s="41"/>
      <c r="M772" s="41"/>
      <c r="N772" s="48"/>
    </row>
    <row r="773" spans="1:14" ht="20.100000000000001" customHeight="1" x14ac:dyDescent="0.25">
      <c r="A773" s="38"/>
      <c r="B773" s="63"/>
      <c r="C773" s="41"/>
      <c r="D773" s="48"/>
      <c r="E773" s="19"/>
      <c r="F773" s="19"/>
      <c r="G773" s="19"/>
      <c r="H773" s="41"/>
      <c r="I773" s="41"/>
      <c r="J773" s="41"/>
      <c r="K773" s="41"/>
      <c r="L773" s="41"/>
      <c r="M773" s="41"/>
      <c r="N773" s="48"/>
    </row>
    <row r="774" spans="1:14" ht="20.100000000000001" customHeight="1" x14ac:dyDescent="0.25">
      <c r="A774" s="38"/>
      <c r="B774" s="63"/>
      <c r="C774" s="41"/>
      <c r="D774" s="48"/>
      <c r="E774" s="19"/>
      <c r="F774" s="19"/>
      <c r="G774" s="19"/>
      <c r="H774" s="41"/>
      <c r="I774" s="41"/>
      <c r="J774" s="41"/>
      <c r="K774" s="41"/>
      <c r="L774" s="41"/>
      <c r="M774" s="41"/>
      <c r="N774" s="48"/>
    </row>
    <row r="775" spans="1:14" ht="20.100000000000001" customHeight="1" x14ac:dyDescent="0.25">
      <c r="A775" s="38"/>
      <c r="B775" s="63"/>
      <c r="C775" s="41"/>
      <c r="D775" s="48"/>
      <c r="E775" s="19"/>
      <c r="F775" s="19"/>
      <c r="G775" s="19"/>
      <c r="H775" s="41"/>
      <c r="I775" s="41"/>
      <c r="J775" s="41"/>
      <c r="K775" s="41"/>
      <c r="L775" s="41"/>
      <c r="M775" s="41"/>
      <c r="N775" s="48"/>
    </row>
    <row r="776" spans="1:14" ht="20.100000000000001" customHeight="1" x14ac:dyDescent="0.25">
      <c r="A776" s="38"/>
      <c r="B776" s="63"/>
      <c r="C776" s="41"/>
      <c r="D776" s="48"/>
      <c r="E776" s="19"/>
      <c r="F776" s="19"/>
      <c r="G776" s="19"/>
      <c r="H776" s="41"/>
      <c r="I776" s="41"/>
      <c r="J776" s="41"/>
      <c r="K776" s="41"/>
      <c r="L776" s="41"/>
      <c r="M776" s="41"/>
      <c r="N776" s="48"/>
    </row>
    <row r="777" spans="1:14" ht="20.100000000000001" customHeight="1" x14ac:dyDescent="0.25">
      <c r="A777" s="38"/>
      <c r="B777" s="63"/>
      <c r="C777" s="41"/>
      <c r="D777" s="48"/>
      <c r="E777" s="19"/>
      <c r="F777" s="19"/>
      <c r="G777" s="19"/>
      <c r="H777" s="41"/>
      <c r="I777" s="41"/>
      <c r="J777" s="41"/>
      <c r="K777" s="41"/>
      <c r="L777" s="41"/>
      <c r="M777" s="41"/>
      <c r="N777" s="48"/>
    </row>
    <row r="778" spans="1:14" ht="20.100000000000001" customHeight="1" x14ac:dyDescent="0.25">
      <c r="A778" s="38"/>
      <c r="B778" s="63"/>
      <c r="C778" s="41"/>
      <c r="D778" s="48"/>
      <c r="E778" s="19"/>
      <c r="F778" s="19"/>
      <c r="G778" s="19"/>
      <c r="H778" s="41"/>
      <c r="I778" s="41"/>
      <c r="J778" s="41"/>
      <c r="K778" s="41"/>
      <c r="L778" s="41"/>
      <c r="M778" s="41"/>
      <c r="N778" s="48"/>
    </row>
    <row r="779" spans="1:14" ht="20.100000000000001" customHeight="1" x14ac:dyDescent="0.25">
      <c r="A779" s="38"/>
      <c r="B779" s="63"/>
      <c r="C779" s="41"/>
      <c r="D779" s="48"/>
      <c r="E779" s="19"/>
      <c r="F779" s="19"/>
      <c r="G779" s="19"/>
      <c r="H779" s="41"/>
      <c r="I779" s="41"/>
      <c r="J779" s="41"/>
      <c r="K779" s="41"/>
      <c r="L779" s="41"/>
      <c r="M779" s="41"/>
      <c r="N779" s="48"/>
    </row>
    <row r="780" spans="1:14" ht="20.100000000000001" customHeight="1" x14ac:dyDescent="0.25">
      <c r="A780" s="38"/>
      <c r="B780" s="63"/>
      <c r="C780" s="41"/>
      <c r="D780" s="48"/>
      <c r="E780" s="19"/>
      <c r="F780" s="19"/>
      <c r="G780" s="19"/>
      <c r="H780" s="41"/>
      <c r="I780" s="41"/>
      <c r="J780" s="41"/>
      <c r="K780" s="41"/>
      <c r="L780" s="41"/>
      <c r="M780" s="41"/>
      <c r="N780" s="48"/>
    </row>
    <row r="781" spans="1:14" ht="20.100000000000001" customHeight="1" x14ac:dyDescent="0.25">
      <c r="A781" s="38"/>
      <c r="B781" s="63"/>
      <c r="C781" s="41"/>
      <c r="D781" s="48"/>
      <c r="E781" s="19"/>
      <c r="F781" s="19"/>
      <c r="G781" s="19"/>
      <c r="H781" s="41"/>
      <c r="I781" s="41"/>
      <c r="J781" s="41"/>
      <c r="K781" s="41"/>
      <c r="L781" s="41"/>
      <c r="M781" s="41"/>
      <c r="N781" s="48"/>
    </row>
    <row r="782" spans="1:14" ht="20.100000000000001" customHeight="1" x14ac:dyDescent="0.25">
      <c r="A782" s="38"/>
      <c r="B782" s="63"/>
      <c r="C782" s="41"/>
      <c r="D782" s="48"/>
      <c r="E782" s="19"/>
      <c r="F782" s="19"/>
      <c r="G782" s="19"/>
      <c r="H782" s="41"/>
      <c r="I782" s="41"/>
      <c r="J782" s="41"/>
      <c r="K782" s="41"/>
      <c r="L782" s="41"/>
      <c r="M782" s="41"/>
      <c r="N782" s="48"/>
    </row>
    <row r="783" spans="1:14" ht="20.100000000000001" customHeight="1" x14ac:dyDescent="0.25">
      <c r="A783" s="38"/>
      <c r="B783" s="63"/>
      <c r="C783" s="41"/>
      <c r="D783" s="48"/>
      <c r="E783" s="19"/>
      <c r="F783" s="19"/>
      <c r="G783" s="19"/>
      <c r="H783" s="41"/>
      <c r="I783" s="41"/>
      <c r="J783" s="41"/>
      <c r="K783" s="41"/>
      <c r="L783" s="41"/>
      <c r="M783" s="41"/>
      <c r="N783" s="48"/>
    </row>
    <row r="784" spans="1:14" ht="20.100000000000001" customHeight="1" x14ac:dyDescent="0.25">
      <c r="A784" s="38"/>
      <c r="B784" s="63"/>
      <c r="C784" s="41"/>
      <c r="D784" s="48"/>
      <c r="E784" s="19"/>
      <c r="F784" s="19"/>
      <c r="G784" s="19"/>
      <c r="H784" s="41"/>
      <c r="I784" s="41"/>
      <c r="J784" s="41"/>
      <c r="K784" s="41"/>
      <c r="L784" s="41"/>
      <c r="M784" s="41"/>
      <c r="N784" s="48"/>
    </row>
    <row r="785" spans="1:14" ht="20.100000000000001" customHeight="1" x14ac:dyDescent="0.25">
      <c r="A785" s="38"/>
      <c r="B785" s="63"/>
      <c r="C785" s="41"/>
      <c r="D785" s="48"/>
      <c r="E785" s="19"/>
      <c r="F785" s="19"/>
      <c r="G785" s="19"/>
      <c r="H785" s="41"/>
      <c r="I785" s="41"/>
      <c r="J785" s="41"/>
      <c r="K785" s="41"/>
      <c r="L785" s="41"/>
      <c r="M785" s="41"/>
      <c r="N785" s="48"/>
    </row>
    <row r="786" spans="1:14" ht="20.100000000000001" customHeight="1" x14ac:dyDescent="0.25">
      <c r="A786" s="38"/>
      <c r="B786" s="63"/>
      <c r="C786" s="41"/>
      <c r="D786" s="48"/>
      <c r="E786" s="19"/>
      <c r="F786" s="19"/>
      <c r="G786" s="19"/>
      <c r="H786" s="41"/>
      <c r="I786" s="41"/>
      <c r="J786" s="41"/>
      <c r="K786" s="41"/>
      <c r="L786" s="41"/>
      <c r="M786" s="41"/>
      <c r="N786" s="48"/>
    </row>
    <row r="787" spans="1:14" ht="20.100000000000001" customHeight="1" x14ac:dyDescent="0.25">
      <c r="A787" s="38"/>
      <c r="B787" s="63"/>
      <c r="C787" s="41"/>
      <c r="D787" s="48"/>
      <c r="E787" s="19"/>
      <c r="F787" s="19"/>
      <c r="G787" s="19"/>
      <c r="H787" s="41"/>
      <c r="I787" s="41"/>
      <c r="J787" s="41"/>
      <c r="K787" s="41"/>
      <c r="L787" s="41"/>
      <c r="M787" s="41"/>
      <c r="N787" s="48"/>
    </row>
    <row r="788" spans="1:14" ht="20.100000000000001" customHeight="1" x14ac:dyDescent="0.25">
      <c r="A788" s="38"/>
      <c r="B788" s="63"/>
      <c r="C788" s="41"/>
      <c r="D788" s="48"/>
      <c r="E788" s="19"/>
      <c r="F788" s="19"/>
      <c r="G788" s="19"/>
      <c r="H788" s="41"/>
      <c r="I788" s="41"/>
      <c r="J788" s="41"/>
      <c r="K788" s="41"/>
      <c r="L788" s="41"/>
      <c r="M788" s="41"/>
      <c r="N788" s="48"/>
    </row>
    <row r="789" spans="1:14" ht="20.100000000000001" customHeight="1" x14ac:dyDescent="0.25">
      <c r="A789" s="38"/>
      <c r="B789" s="63"/>
      <c r="C789" s="41"/>
      <c r="D789" s="48"/>
      <c r="E789" s="19"/>
      <c r="F789" s="19"/>
      <c r="G789" s="19"/>
      <c r="H789" s="41"/>
      <c r="I789" s="41"/>
      <c r="J789" s="41"/>
      <c r="K789" s="41"/>
      <c r="L789" s="41"/>
      <c r="M789" s="41"/>
      <c r="N789" s="48"/>
    </row>
    <row r="790" spans="1:14" ht="20.100000000000001" customHeight="1" x14ac:dyDescent="0.25">
      <c r="A790" s="38"/>
      <c r="B790" s="63"/>
      <c r="C790" s="41"/>
      <c r="D790" s="48"/>
      <c r="E790" s="19"/>
      <c r="F790" s="19"/>
      <c r="G790" s="19"/>
      <c r="H790" s="41"/>
      <c r="I790" s="41"/>
      <c r="J790" s="41"/>
      <c r="K790" s="41"/>
      <c r="L790" s="41"/>
      <c r="M790" s="41"/>
      <c r="N790" s="48"/>
    </row>
    <row r="791" spans="1:14" ht="20.100000000000001" customHeight="1" x14ac:dyDescent="0.25">
      <c r="A791" s="38"/>
      <c r="B791" s="63"/>
      <c r="C791" s="41"/>
      <c r="D791" s="48"/>
      <c r="E791" s="19"/>
      <c r="F791" s="19"/>
      <c r="G791" s="19"/>
      <c r="H791" s="41"/>
      <c r="I791" s="41"/>
      <c r="J791" s="41"/>
      <c r="K791" s="41"/>
      <c r="L791" s="41"/>
      <c r="M791" s="41"/>
      <c r="N791" s="48"/>
    </row>
    <row r="792" spans="1:14" ht="20.100000000000001" customHeight="1" x14ac:dyDescent="0.25">
      <c r="A792" s="38"/>
      <c r="B792" s="63"/>
      <c r="C792" s="41"/>
      <c r="D792" s="48"/>
      <c r="E792" s="19"/>
      <c r="F792" s="19"/>
      <c r="G792" s="19"/>
      <c r="H792" s="41"/>
      <c r="I792" s="41"/>
      <c r="J792" s="41"/>
      <c r="K792" s="41"/>
      <c r="L792" s="41"/>
      <c r="M792" s="41"/>
      <c r="N792" s="48"/>
    </row>
    <row r="793" spans="1:14" ht="20.100000000000001" customHeight="1" x14ac:dyDescent="0.25">
      <c r="A793" s="38"/>
      <c r="B793" s="63"/>
      <c r="C793" s="41"/>
      <c r="D793" s="48"/>
      <c r="E793" s="19"/>
      <c r="F793" s="19"/>
      <c r="G793" s="19"/>
      <c r="H793" s="41"/>
      <c r="I793" s="41"/>
      <c r="J793" s="41"/>
      <c r="K793" s="41"/>
      <c r="L793" s="41"/>
      <c r="M793" s="41"/>
      <c r="N793" s="48"/>
    </row>
    <row r="794" spans="1:14" ht="20.100000000000001" customHeight="1" x14ac:dyDescent="0.25">
      <c r="A794" s="38"/>
      <c r="B794" s="63"/>
      <c r="C794" s="41"/>
      <c r="D794" s="48"/>
      <c r="E794" s="19"/>
      <c r="F794" s="19"/>
      <c r="G794" s="19"/>
      <c r="H794" s="41"/>
      <c r="I794" s="41"/>
      <c r="J794" s="41"/>
      <c r="K794" s="41"/>
      <c r="L794" s="41"/>
      <c r="M794" s="41"/>
      <c r="N794" s="48"/>
    </row>
    <row r="795" spans="1:14" ht="20.100000000000001" customHeight="1" x14ac:dyDescent="0.25">
      <c r="A795" s="38"/>
      <c r="B795" s="63"/>
      <c r="C795" s="41"/>
      <c r="D795" s="48"/>
      <c r="E795" s="19"/>
      <c r="F795" s="19"/>
      <c r="G795" s="19"/>
      <c r="H795" s="41"/>
      <c r="I795" s="41"/>
      <c r="J795" s="41"/>
      <c r="K795" s="41"/>
      <c r="L795" s="41"/>
      <c r="M795" s="41"/>
      <c r="N795" s="48"/>
    </row>
    <row r="796" spans="1:14" ht="20.100000000000001" customHeight="1" x14ac:dyDescent="0.25">
      <c r="A796" s="38"/>
      <c r="B796" s="63"/>
      <c r="C796" s="41"/>
      <c r="D796" s="48"/>
      <c r="E796" s="19"/>
      <c r="F796" s="19"/>
      <c r="G796" s="19"/>
      <c r="H796" s="41"/>
      <c r="I796" s="41"/>
      <c r="J796" s="41"/>
      <c r="K796" s="41"/>
      <c r="L796" s="41"/>
      <c r="M796" s="41"/>
      <c r="N796" s="48"/>
    </row>
    <row r="797" spans="1:14" ht="20.100000000000001" customHeight="1" x14ac:dyDescent="0.25">
      <c r="A797" s="38"/>
      <c r="B797" s="63"/>
      <c r="C797" s="41"/>
      <c r="D797" s="48"/>
      <c r="E797" s="19"/>
      <c r="F797" s="19"/>
      <c r="G797" s="19"/>
      <c r="H797" s="41"/>
      <c r="I797" s="41"/>
      <c r="J797" s="41"/>
      <c r="K797" s="41"/>
      <c r="L797" s="41"/>
      <c r="M797" s="41"/>
      <c r="N797" s="48"/>
    </row>
    <row r="798" spans="1:14" ht="20.100000000000001" customHeight="1" x14ac:dyDescent="0.25">
      <c r="A798" s="38"/>
      <c r="B798" s="63"/>
      <c r="C798" s="41"/>
      <c r="D798" s="48"/>
      <c r="E798" s="19"/>
      <c r="F798" s="19"/>
      <c r="G798" s="19"/>
      <c r="H798" s="41"/>
      <c r="I798" s="41"/>
      <c r="J798" s="41"/>
      <c r="K798" s="41"/>
      <c r="L798" s="41"/>
      <c r="M798" s="41"/>
      <c r="N798" s="48"/>
    </row>
    <row r="799" spans="1:14" ht="20.100000000000001" customHeight="1" x14ac:dyDescent="0.25">
      <c r="A799" s="38"/>
      <c r="B799" s="63"/>
      <c r="C799" s="41"/>
      <c r="D799" s="48"/>
      <c r="E799" s="19"/>
      <c r="F799" s="19"/>
      <c r="G799" s="19"/>
      <c r="H799" s="41"/>
      <c r="I799" s="41"/>
      <c r="J799" s="41"/>
      <c r="K799" s="41"/>
      <c r="L799" s="41"/>
      <c r="M799" s="41"/>
      <c r="N799" s="48"/>
    </row>
    <row r="800" spans="1:14" ht="20.100000000000001" customHeight="1" x14ac:dyDescent="0.25">
      <c r="A800" s="38"/>
      <c r="B800" s="63"/>
      <c r="C800" s="41"/>
      <c r="D800" s="48"/>
      <c r="E800" s="19"/>
      <c r="F800" s="19"/>
      <c r="G800" s="19"/>
      <c r="H800" s="41"/>
      <c r="I800" s="41"/>
      <c r="J800" s="41"/>
      <c r="K800" s="41"/>
      <c r="L800" s="41"/>
      <c r="M800" s="41"/>
      <c r="N800" s="48"/>
    </row>
    <row r="801" spans="1:14" ht="20.100000000000001" customHeight="1" x14ac:dyDescent="0.25">
      <c r="A801" s="38"/>
      <c r="B801" s="63"/>
      <c r="C801" s="41"/>
      <c r="D801" s="48"/>
      <c r="E801" s="19"/>
      <c r="F801" s="19"/>
      <c r="G801" s="19"/>
      <c r="H801" s="41"/>
      <c r="I801" s="41"/>
      <c r="J801" s="41"/>
      <c r="K801" s="41"/>
      <c r="L801" s="41"/>
      <c r="M801" s="41"/>
      <c r="N801" s="48"/>
    </row>
    <row r="802" spans="1:14" ht="20.100000000000001" customHeight="1" x14ac:dyDescent="0.25">
      <c r="A802" s="38"/>
      <c r="B802" s="63"/>
      <c r="C802" s="41"/>
      <c r="D802" s="48"/>
      <c r="E802" s="19"/>
      <c r="F802" s="19"/>
      <c r="G802" s="19"/>
      <c r="H802" s="41"/>
      <c r="I802" s="41"/>
      <c r="J802" s="41"/>
      <c r="K802" s="41"/>
      <c r="L802" s="41"/>
      <c r="M802" s="41"/>
      <c r="N802" s="48"/>
    </row>
    <row r="803" spans="1:14" ht="20.100000000000001" customHeight="1" x14ac:dyDescent="0.25">
      <c r="A803" s="38"/>
      <c r="B803" s="63"/>
      <c r="C803" s="41"/>
      <c r="D803" s="48"/>
      <c r="E803" s="19"/>
      <c r="F803" s="41"/>
      <c r="G803" s="41"/>
      <c r="H803" s="41"/>
      <c r="I803" s="41"/>
      <c r="J803" s="41"/>
      <c r="K803" s="41"/>
      <c r="L803" s="41"/>
      <c r="M803" s="41"/>
      <c r="N803" s="48"/>
    </row>
    <row r="804" spans="1:14" ht="20.100000000000001" customHeight="1" x14ac:dyDescent="0.25">
      <c r="A804" s="38"/>
      <c r="B804" s="63"/>
      <c r="C804" s="41"/>
      <c r="D804" s="48"/>
      <c r="E804" s="19"/>
      <c r="F804" s="41"/>
      <c r="G804" s="41"/>
      <c r="H804" s="41"/>
      <c r="I804" s="41"/>
      <c r="J804" s="41"/>
      <c r="K804" s="41"/>
      <c r="L804" s="41"/>
      <c r="M804" s="41"/>
      <c r="N804" s="48"/>
    </row>
    <row r="805" spans="1:14" ht="20.100000000000001" customHeight="1" x14ac:dyDescent="0.25">
      <c r="A805" s="38"/>
      <c r="B805" s="63"/>
      <c r="C805" s="41"/>
      <c r="D805" s="48"/>
      <c r="E805" s="19"/>
      <c r="F805" s="41"/>
      <c r="G805" s="41"/>
      <c r="H805" s="41"/>
      <c r="I805" s="41"/>
      <c r="J805" s="41"/>
      <c r="K805" s="41"/>
      <c r="L805" s="41"/>
      <c r="M805" s="41"/>
      <c r="N805" s="48"/>
    </row>
    <row r="806" spans="1:14" ht="20.100000000000001" customHeight="1" x14ac:dyDescent="0.25">
      <c r="A806" s="38"/>
      <c r="B806" s="63"/>
      <c r="C806" s="41"/>
      <c r="D806" s="48"/>
      <c r="E806" s="19"/>
      <c r="F806" s="41"/>
      <c r="G806" s="41"/>
      <c r="H806" s="41"/>
      <c r="I806" s="41"/>
      <c r="J806" s="41"/>
      <c r="K806" s="41"/>
      <c r="L806" s="41"/>
      <c r="M806" s="41"/>
      <c r="N806" s="48"/>
    </row>
    <row r="807" spans="1:14" ht="20.100000000000001" customHeight="1" x14ac:dyDescent="0.25">
      <c r="A807" s="38"/>
      <c r="B807" s="63"/>
      <c r="C807" s="41"/>
      <c r="D807" s="48"/>
      <c r="E807" s="19"/>
      <c r="F807" s="41"/>
      <c r="G807" s="41"/>
      <c r="H807" s="41"/>
      <c r="I807" s="41"/>
      <c r="J807" s="41"/>
      <c r="K807" s="41"/>
      <c r="L807" s="41"/>
      <c r="M807" s="41"/>
      <c r="N807" s="48"/>
    </row>
    <row r="808" spans="1:14" ht="20.100000000000001" customHeight="1" x14ac:dyDescent="0.25">
      <c r="A808" s="38"/>
      <c r="B808" s="63"/>
      <c r="C808" s="41"/>
      <c r="D808" s="48"/>
      <c r="E808" s="19"/>
      <c r="F808" s="41"/>
      <c r="G808" s="41"/>
      <c r="H808" s="41"/>
      <c r="I808" s="41"/>
      <c r="J808" s="41"/>
      <c r="K808" s="41"/>
      <c r="L808" s="41"/>
      <c r="M808" s="41"/>
      <c r="N808" s="48"/>
    </row>
    <row r="809" spans="1:14" ht="20.100000000000001" customHeight="1" x14ac:dyDescent="0.25">
      <c r="A809" s="38"/>
      <c r="B809" s="63"/>
      <c r="C809" s="41"/>
      <c r="D809" s="48"/>
      <c r="E809" s="19"/>
      <c r="F809" s="41"/>
      <c r="G809" s="41"/>
      <c r="H809" s="41"/>
      <c r="I809" s="41"/>
      <c r="J809" s="41"/>
      <c r="K809" s="41"/>
      <c r="L809" s="41"/>
      <c r="M809" s="41"/>
      <c r="N809" s="48"/>
    </row>
    <row r="810" spans="1:14" ht="20.100000000000001" customHeight="1" x14ac:dyDescent="0.25">
      <c r="A810" s="38"/>
      <c r="B810" s="63"/>
      <c r="C810" s="41"/>
      <c r="D810" s="48"/>
      <c r="E810" s="19"/>
      <c r="F810" s="41"/>
      <c r="G810" s="41"/>
      <c r="H810" s="41"/>
      <c r="I810" s="41"/>
      <c r="J810" s="41"/>
      <c r="K810" s="41"/>
      <c r="L810" s="41"/>
      <c r="M810" s="41"/>
      <c r="N810" s="48"/>
    </row>
    <row r="811" spans="1:14" ht="20.100000000000001" customHeight="1" x14ac:dyDescent="0.25">
      <c r="A811" s="38"/>
      <c r="B811" s="63"/>
      <c r="C811" s="41"/>
      <c r="D811" s="48"/>
      <c r="E811" s="19"/>
      <c r="F811" s="41"/>
      <c r="G811" s="41"/>
      <c r="H811" s="41"/>
      <c r="I811" s="41"/>
      <c r="J811" s="41"/>
      <c r="K811" s="41"/>
      <c r="L811" s="41"/>
      <c r="M811" s="41"/>
      <c r="N811" s="48"/>
    </row>
    <row r="812" spans="1:14" ht="20.100000000000001" customHeight="1" x14ac:dyDescent="0.25">
      <c r="A812" s="38"/>
      <c r="B812" s="63"/>
      <c r="C812" s="41"/>
      <c r="D812" s="48"/>
      <c r="E812" s="19"/>
      <c r="F812" s="41"/>
      <c r="G812" s="41"/>
      <c r="H812" s="41"/>
      <c r="I812" s="41"/>
      <c r="J812" s="41"/>
      <c r="K812" s="41"/>
      <c r="L812" s="41"/>
      <c r="M812" s="41"/>
      <c r="N812" s="48"/>
    </row>
    <row r="813" spans="1:14" ht="20.100000000000001" customHeight="1" x14ac:dyDescent="0.25">
      <c r="A813" s="38"/>
      <c r="B813" s="63"/>
      <c r="C813" s="41"/>
      <c r="D813" s="48"/>
      <c r="E813" s="19"/>
      <c r="F813" s="41"/>
      <c r="G813" s="41"/>
      <c r="H813" s="41"/>
      <c r="I813" s="41"/>
      <c r="J813" s="41"/>
      <c r="K813" s="41"/>
      <c r="L813" s="41"/>
      <c r="M813" s="41"/>
      <c r="N813" s="48"/>
    </row>
    <row r="814" spans="1:14" ht="20.100000000000001" customHeight="1" x14ac:dyDescent="0.25">
      <c r="A814" s="38"/>
      <c r="B814" s="63"/>
      <c r="C814" s="41"/>
      <c r="D814" s="48"/>
      <c r="E814" s="19"/>
      <c r="F814" s="41"/>
      <c r="G814" s="41"/>
      <c r="H814" s="41"/>
      <c r="I814" s="41"/>
      <c r="J814" s="41"/>
      <c r="K814" s="41"/>
      <c r="L814" s="41"/>
      <c r="M814" s="41"/>
      <c r="N814" s="48"/>
    </row>
    <row r="815" spans="1:14" ht="20.100000000000001" customHeight="1" x14ac:dyDescent="0.25">
      <c r="A815" s="38"/>
      <c r="B815" s="63"/>
      <c r="C815" s="41"/>
      <c r="D815" s="48"/>
      <c r="E815" s="19"/>
      <c r="F815" s="41"/>
      <c r="G815" s="41"/>
      <c r="H815" s="41"/>
      <c r="I815" s="41"/>
      <c r="J815" s="41"/>
      <c r="K815" s="41"/>
      <c r="L815" s="41"/>
      <c r="M815" s="41"/>
      <c r="N815" s="48"/>
    </row>
    <row r="816" spans="1:14" ht="20.100000000000001" customHeight="1" x14ac:dyDescent="0.25">
      <c r="A816" s="38"/>
      <c r="B816" s="63"/>
      <c r="C816" s="41"/>
      <c r="D816" s="48"/>
      <c r="E816" s="19"/>
      <c r="F816" s="41"/>
      <c r="G816" s="41"/>
      <c r="H816" s="41"/>
      <c r="I816" s="41"/>
      <c r="J816" s="41"/>
      <c r="K816" s="41"/>
      <c r="L816" s="41"/>
      <c r="M816" s="41"/>
      <c r="N816" s="48"/>
    </row>
    <row r="817" spans="1:14" ht="20.100000000000001" customHeight="1" x14ac:dyDescent="0.25">
      <c r="A817" s="38"/>
      <c r="B817" s="63"/>
      <c r="C817" s="41"/>
      <c r="D817" s="48"/>
      <c r="E817" s="19"/>
      <c r="F817" s="41"/>
      <c r="G817" s="41"/>
      <c r="H817" s="41"/>
      <c r="I817" s="41"/>
      <c r="J817" s="41"/>
      <c r="K817" s="41"/>
      <c r="L817" s="41"/>
      <c r="M817" s="41"/>
      <c r="N817" s="48"/>
    </row>
    <row r="818" spans="1:14" ht="20.100000000000001" customHeight="1" x14ac:dyDescent="0.25">
      <c r="A818" s="38"/>
      <c r="B818" s="63"/>
      <c r="C818" s="41"/>
      <c r="D818" s="48"/>
      <c r="E818" s="19"/>
      <c r="F818" s="41"/>
      <c r="G818" s="41"/>
      <c r="H818" s="41"/>
      <c r="I818" s="41"/>
      <c r="J818" s="41"/>
      <c r="K818" s="41"/>
      <c r="L818" s="41"/>
      <c r="M818" s="41"/>
      <c r="N818" s="48"/>
    </row>
    <row r="819" spans="1:14" ht="20.100000000000001" customHeight="1" x14ac:dyDescent="0.25">
      <c r="A819" s="38"/>
      <c r="B819" s="63"/>
      <c r="C819" s="41"/>
      <c r="D819" s="48"/>
      <c r="E819" s="19"/>
      <c r="F819" s="41"/>
      <c r="G819" s="41"/>
      <c r="H819" s="41"/>
      <c r="I819" s="41"/>
      <c r="J819" s="41"/>
      <c r="K819" s="41"/>
      <c r="L819" s="41"/>
      <c r="M819" s="41"/>
      <c r="N819" s="48"/>
    </row>
    <row r="820" spans="1:14" ht="20.100000000000001" customHeight="1" x14ac:dyDescent="0.25">
      <c r="A820" s="38"/>
      <c r="B820" s="63"/>
      <c r="C820" s="41"/>
      <c r="D820" s="48"/>
      <c r="E820" s="19"/>
      <c r="F820" s="41"/>
      <c r="G820" s="41"/>
      <c r="H820" s="41"/>
      <c r="I820" s="41"/>
      <c r="J820" s="41"/>
      <c r="K820" s="41"/>
      <c r="L820" s="41"/>
      <c r="M820" s="41"/>
      <c r="N820" s="48"/>
    </row>
    <row r="821" spans="1:14" ht="20.100000000000001" customHeight="1" x14ac:dyDescent="0.25">
      <c r="A821" s="38"/>
      <c r="B821" s="63"/>
      <c r="C821" s="41"/>
      <c r="D821" s="48"/>
      <c r="E821" s="19"/>
      <c r="F821" s="41"/>
      <c r="G821" s="41"/>
      <c r="H821" s="41"/>
      <c r="I821" s="41"/>
      <c r="J821" s="41"/>
      <c r="K821" s="41"/>
      <c r="L821" s="41"/>
      <c r="M821" s="41"/>
      <c r="N821" s="48"/>
    </row>
    <row r="822" spans="1:14" ht="20.100000000000001" customHeight="1" x14ac:dyDescent="0.25">
      <c r="A822" s="38"/>
      <c r="B822" s="63"/>
      <c r="C822" s="41"/>
      <c r="D822" s="48"/>
      <c r="E822" s="19"/>
      <c r="F822" s="41"/>
      <c r="G822" s="41"/>
      <c r="H822" s="41"/>
      <c r="I822" s="41"/>
      <c r="J822" s="41"/>
      <c r="K822" s="41"/>
      <c r="L822" s="41"/>
      <c r="M822" s="41"/>
      <c r="N822" s="48"/>
    </row>
    <row r="823" spans="1:14" ht="20.100000000000001" customHeight="1" x14ac:dyDescent="0.25">
      <c r="A823" s="38"/>
      <c r="B823" s="63"/>
      <c r="C823" s="41"/>
      <c r="D823" s="48"/>
      <c r="E823" s="19"/>
      <c r="F823" s="41"/>
      <c r="G823" s="41"/>
      <c r="H823" s="41"/>
      <c r="I823" s="41"/>
      <c r="J823" s="41"/>
      <c r="K823" s="41"/>
      <c r="L823" s="41"/>
      <c r="M823" s="41"/>
      <c r="N823" s="48"/>
    </row>
    <row r="824" spans="1:14" ht="20.100000000000001" customHeight="1" x14ac:dyDescent="0.25">
      <c r="A824" s="38"/>
      <c r="B824" s="63"/>
      <c r="C824" s="41"/>
      <c r="D824" s="48"/>
      <c r="E824" s="19"/>
      <c r="F824" s="41"/>
      <c r="G824" s="41"/>
      <c r="H824" s="41"/>
      <c r="I824" s="41"/>
      <c r="J824" s="41"/>
      <c r="K824" s="41"/>
      <c r="L824" s="41"/>
      <c r="M824" s="41"/>
      <c r="N824" s="48"/>
    </row>
    <row r="825" spans="1:14" ht="20.100000000000001" customHeight="1" x14ac:dyDescent="0.25">
      <c r="A825" s="38"/>
      <c r="B825" s="63"/>
      <c r="C825" s="41"/>
      <c r="D825" s="48"/>
      <c r="E825" s="19"/>
      <c r="F825" s="41"/>
      <c r="G825" s="41"/>
      <c r="H825" s="41"/>
      <c r="I825" s="41"/>
      <c r="J825" s="41"/>
      <c r="K825" s="41"/>
      <c r="L825" s="41"/>
      <c r="M825" s="41"/>
      <c r="N825" s="48"/>
    </row>
    <row r="826" spans="1:14" ht="20.100000000000001" customHeight="1" x14ac:dyDescent="0.25">
      <c r="A826" s="38"/>
      <c r="B826" s="63"/>
      <c r="C826" s="41"/>
      <c r="D826" s="48"/>
      <c r="E826" s="19"/>
      <c r="F826" s="41"/>
      <c r="G826" s="41"/>
      <c r="H826" s="41"/>
      <c r="I826" s="41"/>
      <c r="J826" s="41"/>
      <c r="K826" s="41"/>
      <c r="L826" s="41"/>
      <c r="M826" s="41"/>
      <c r="N826" s="48"/>
    </row>
    <row r="827" spans="1:14" ht="20.100000000000001" customHeight="1" x14ac:dyDescent="0.25">
      <c r="A827" s="38"/>
      <c r="B827" s="63"/>
      <c r="C827" s="41"/>
      <c r="D827" s="48"/>
      <c r="E827" s="19"/>
      <c r="F827" s="41"/>
      <c r="G827" s="41"/>
      <c r="H827" s="41"/>
      <c r="I827" s="41"/>
      <c r="J827" s="41"/>
      <c r="K827" s="41"/>
      <c r="L827" s="41"/>
      <c r="M827" s="41"/>
      <c r="N827" s="48"/>
    </row>
    <row r="828" spans="1:14" ht="20.100000000000001" customHeight="1" x14ac:dyDescent="0.25">
      <c r="A828" s="38"/>
      <c r="B828" s="63"/>
      <c r="C828" s="41"/>
      <c r="D828" s="48"/>
      <c r="E828" s="19"/>
      <c r="F828" s="41"/>
      <c r="G828" s="41"/>
      <c r="H828" s="41"/>
      <c r="I828" s="41"/>
      <c r="J828" s="41"/>
      <c r="K828" s="41"/>
      <c r="L828" s="41"/>
      <c r="M828" s="41"/>
      <c r="N828" s="48"/>
    </row>
    <row r="829" spans="1:14" ht="20.100000000000001" customHeight="1" x14ac:dyDescent="0.25">
      <c r="A829" s="38"/>
      <c r="B829" s="63"/>
      <c r="C829" s="41"/>
      <c r="D829" s="48"/>
      <c r="E829" s="19"/>
      <c r="F829" s="41"/>
      <c r="G829" s="41"/>
      <c r="H829" s="41"/>
      <c r="I829" s="41"/>
      <c r="J829" s="41"/>
      <c r="K829" s="41"/>
      <c r="L829" s="41"/>
      <c r="M829" s="41"/>
      <c r="N829" s="48"/>
    </row>
    <row r="830" spans="1:14" ht="20.100000000000001" customHeight="1" x14ac:dyDescent="0.25">
      <c r="A830" s="38"/>
      <c r="B830" s="63"/>
      <c r="C830" s="41"/>
      <c r="D830" s="48"/>
      <c r="E830" s="19"/>
      <c r="F830" s="41"/>
      <c r="G830" s="41"/>
      <c r="H830" s="41"/>
      <c r="I830" s="41"/>
      <c r="J830" s="41"/>
      <c r="K830" s="41"/>
      <c r="L830" s="41"/>
      <c r="M830" s="41"/>
      <c r="N830" s="48"/>
    </row>
    <row r="831" spans="1:14" ht="20.100000000000001" customHeight="1" x14ac:dyDescent="0.25">
      <c r="A831" s="38"/>
      <c r="B831" s="63"/>
      <c r="C831" s="41"/>
      <c r="D831" s="48"/>
      <c r="E831" s="19"/>
      <c r="F831" s="41"/>
      <c r="G831" s="41"/>
      <c r="H831" s="41"/>
      <c r="I831" s="41"/>
      <c r="J831" s="41"/>
      <c r="K831" s="41"/>
      <c r="L831" s="41"/>
      <c r="M831" s="41"/>
      <c r="N831" s="48"/>
    </row>
    <row r="832" spans="1:14" ht="20.100000000000001" customHeight="1" x14ac:dyDescent="0.25">
      <c r="A832" s="38"/>
      <c r="B832" s="63"/>
      <c r="C832" s="41"/>
      <c r="D832" s="48"/>
      <c r="E832" s="19"/>
      <c r="F832" s="41"/>
      <c r="G832" s="41"/>
      <c r="H832" s="41"/>
      <c r="I832" s="41"/>
      <c r="J832" s="41"/>
      <c r="K832" s="41"/>
      <c r="L832" s="41"/>
      <c r="M832" s="41"/>
      <c r="N832" s="48"/>
    </row>
    <row r="833" spans="1:14" ht="20.100000000000001" customHeight="1" x14ac:dyDescent="0.25">
      <c r="A833" s="38"/>
      <c r="B833" s="63"/>
      <c r="C833" s="41"/>
      <c r="D833" s="48"/>
      <c r="E833" s="19"/>
      <c r="F833" s="41"/>
      <c r="G833" s="41"/>
      <c r="H833" s="41"/>
      <c r="I833" s="41"/>
      <c r="J833" s="41"/>
      <c r="K833" s="41"/>
      <c r="L833" s="41"/>
      <c r="M833" s="41"/>
      <c r="N833" s="48"/>
    </row>
    <row r="834" spans="1:14" ht="20.100000000000001" customHeight="1" x14ac:dyDescent="0.25">
      <c r="A834" s="38"/>
      <c r="B834" s="63"/>
      <c r="C834" s="41"/>
      <c r="D834" s="48"/>
      <c r="E834" s="19"/>
      <c r="F834" s="41"/>
      <c r="G834" s="41"/>
      <c r="H834" s="41"/>
      <c r="I834" s="41"/>
      <c r="J834" s="41"/>
      <c r="K834" s="41"/>
      <c r="L834" s="41"/>
      <c r="M834" s="41"/>
      <c r="N834" s="48"/>
    </row>
    <row r="835" spans="1:14" ht="20.100000000000001" customHeight="1" x14ac:dyDescent="0.25">
      <c r="A835" s="38"/>
      <c r="B835" s="63"/>
      <c r="C835" s="41"/>
      <c r="D835" s="48"/>
      <c r="E835" s="19"/>
      <c r="F835" s="41"/>
      <c r="G835" s="41"/>
      <c r="H835" s="41"/>
      <c r="I835" s="41"/>
      <c r="J835" s="41"/>
      <c r="K835" s="41"/>
      <c r="L835" s="41"/>
      <c r="M835" s="41"/>
      <c r="N835" s="48"/>
    </row>
    <row r="836" spans="1:14" ht="20.100000000000001" customHeight="1" x14ac:dyDescent="0.25">
      <c r="A836" s="38"/>
      <c r="B836" s="63"/>
      <c r="C836" s="41"/>
      <c r="D836" s="48"/>
      <c r="E836" s="19"/>
      <c r="F836" s="41"/>
      <c r="G836" s="41"/>
      <c r="H836" s="41"/>
      <c r="I836" s="41"/>
      <c r="J836" s="41"/>
      <c r="K836" s="41"/>
      <c r="L836" s="41"/>
      <c r="M836" s="41"/>
      <c r="N836" s="48"/>
    </row>
    <row r="837" spans="1:14" ht="20.100000000000001" customHeight="1" x14ac:dyDescent="0.25">
      <c r="A837" s="38"/>
      <c r="B837" s="63"/>
      <c r="C837" s="41"/>
      <c r="D837" s="48"/>
      <c r="E837" s="19"/>
      <c r="F837" s="41"/>
      <c r="G837" s="41"/>
      <c r="H837" s="41"/>
      <c r="I837" s="41"/>
      <c r="J837" s="41"/>
      <c r="K837" s="41"/>
      <c r="L837" s="41"/>
      <c r="M837" s="41"/>
      <c r="N837" s="48"/>
    </row>
    <row r="838" spans="1:14" ht="20.100000000000001" customHeight="1" x14ac:dyDescent="0.25">
      <c r="A838" s="38"/>
      <c r="B838" s="63"/>
      <c r="C838" s="41"/>
      <c r="D838" s="48"/>
      <c r="E838" s="19"/>
      <c r="F838" s="41"/>
      <c r="G838" s="41"/>
      <c r="H838" s="41"/>
      <c r="I838" s="41"/>
      <c r="J838" s="41"/>
      <c r="K838" s="41"/>
      <c r="L838" s="41"/>
      <c r="M838" s="41"/>
      <c r="N838" s="48"/>
    </row>
    <row r="839" spans="1:14" ht="20.100000000000001" customHeight="1" x14ac:dyDescent="0.25">
      <c r="A839" s="38"/>
      <c r="B839" s="63"/>
      <c r="C839" s="41"/>
      <c r="D839" s="48"/>
      <c r="E839" s="19"/>
      <c r="F839" s="41"/>
      <c r="G839" s="41"/>
      <c r="H839" s="41"/>
      <c r="I839" s="41"/>
      <c r="J839" s="41"/>
      <c r="K839" s="41"/>
      <c r="L839" s="41"/>
      <c r="M839" s="41"/>
      <c r="N839" s="48"/>
    </row>
    <row r="840" spans="1:14" ht="20.100000000000001" customHeight="1" x14ac:dyDescent="0.25">
      <c r="A840" s="38"/>
      <c r="B840" s="63"/>
      <c r="C840" s="41"/>
      <c r="D840" s="48"/>
      <c r="E840" s="19"/>
      <c r="F840" s="41"/>
      <c r="G840" s="41"/>
      <c r="H840" s="41"/>
      <c r="I840" s="41"/>
      <c r="J840" s="41"/>
      <c r="K840" s="41"/>
      <c r="L840" s="41"/>
      <c r="M840" s="41"/>
      <c r="N840" s="48"/>
    </row>
    <row r="841" spans="1:14" ht="20.100000000000001" customHeight="1" x14ac:dyDescent="0.25">
      <c r="A841" s="38"/>
      <c r="B841" s="63"/>
      <c r="C841" s="41"/>
      <c r="D841" s="48"/>
      <c r="E841" s="19"/>
      <c r="F841" s="41"/>
      <c r="G841" s="41"/>
      <c r="H841" s="41"/>
      <c r="I841" s="41"/>
      <c r="J841" s="41"/>
      <c r="K841" s="41"/>
      <c r="L841" s="41"/>
      <c r="M841" s="41"/>
      <c r="N841" s="48"/>
    </row>
    <row r="842" spans="1:14" ht="20.100000000000001" customHeight="1" x14ac:dyDescent="0.25">
      <c r="A842" s="38"/>
      <c r="B842" s="63"/>
      <c r="C842" s="41"/>
      <c r="D842" s="48"/>
      <c r="E842" s="19"/>
      <c r="F842" s="41"/>
      <c r="G842" s="41"/>
      <c r="H842" s="41"/>
      <c r="I842" s="41"/>
      <c r="J842" s="41"/>
      <c r="K842" s="41"/>
      <c r="L842" s="41"/>
      <c r="M842" s="41"/>
      <c r="N842" s="48"/>
    </row>
    <row r="843" spans="1:14" ht="20.100000000000001" customHeight="1" x14ac:dyDescent="0.25">
      <c r="A843" s="38"/>
      <c r="B843" s="63"/>
      <c r="C843" s="41"/>
      <c r="D843" s="48"/>
      <c r="E843" s="19"/>
      <c r="F843" s="41"/>
      <c r="G843" s="41"/>
      <c r="H843" s="41"/>
      <c r="I843" s="41"/>
      <c r="J843" s="41"/>
      <c r="K843" s="41"/>
      <c r="L843" s="41"/>
      <c r="M843" s="41"/>
      <c r="N843" s="48"/>
    </row>
    <row r="844" spans="1:14" ht="20.100000000000001" customHeight="1" x14ac:dyDescent="0.25">
      <c r="A844" s="38"/>
      <c r="B844" s="63"/>
      <c r="C844" s="41"/>
      <c r="D844" s="48"/>
      <c r="E844" s="19"/>
      <c r="F844" s="41"/>
      <c r="G844" s="41"/>
      <c r="H844" s="41"/>
      <c r="I844" s="41"/>
      <c r="J844" s="41"/>
      <c r="K844" s="41"/>
      <c r="L844" s="41"/>
      <c r="M844" s="41"/>
      <c r="N844" s="48"/>
    </row>
    <row r="845" spans="1:14" ht="20.100000000000001" customHeight="1" x14ac:dyDescent="0.25">
      <c r="A845" s="38"/>
      <c r="B845" s="63"/>
      <c r="C845" s="41"/>
      <c r="D845" s="48"/>
      <c r="E845" s="19"/>
      <c r="F845" s="41"/>
      <c r="G845" s="41"/>
      <c r="H845" s="41"/>
      <c r="I845" s="41"/>
      <c r="J845" s="41"/>
      <c r="K845" s="41"/>
      <c r="L845" s="41"/>
      <c r="M845" s="41"/>
      <c r="N845" s="48"/>
    </row>
    <row r="846" spans="1:14" ht="20.100000000000001" customHeight="1" x14ac:dyDescent="0.25">
      <c r="A846" s="38"/>
      <c r="B846" s="63"/>
      <c r="C846" s="41"/>
      <c r="D846" s="48"/>
      <c r="E846" s="19"/>
      <c r="F846" s="41"/>
      <c r="G846" s="41"/>
      <c r="H846" s="41"/>
      <c r="I846" s="41"/>
      <c r="J846" s="41"/>
      <c r="K846" s="41"/>
      <c r="L846" s="41"/>
      <c r="M846" s="41"/>
      <c r="N846" s="48"/>
    </row>
    <row r="847" spans="1:14" ht="20.100000000000001" customHeight="1" x14ac:dyDescent="0.25">
      <c r="A847" s="38"/>
      <c r="B847" s="63"/>
      <c r="C847" s="41"/>
      <c r="D847" s="48"/>
      <c r="E847" s="19"/>
      <c r="F847" s="41"/>
      <c r="G847" s="41"/>
      <c r="H847" s="41"/>
      <c r="I847" s="41"/>
      <c r="J847" s="41"/>
      <c r="K847" s="41"/>
      <c r="L847" s="41"/>
      <c r="M847" s="41"/>
      <c r="N847" s="48"/>
    </row>
    <row r="848" spans="1:14" ht="20.100000000000001" customHeight="1" x14ac:dyDescent="0.25">
      <c r="A848" s="38"/>
      <c r="B848" s="63"/>
      <c r="C848" s="41"/>
      <c r="D848" s="48"/>
      <c r="E848" s="19"/>
      <c r="F848" s="41"/>
      <c r="G848" s="41"/>
      <c r="H848" s="41"/>
      <c r="I848" s="41"/>
      <c r="J848" s="41"/>
      <c r="K848" s="41"/>
      <c r="L848" s="41"/>
      <c r="M848" s="41"/>
      <c r="N848" s="48"/>
    </row>
    <row r="849" spans="1:14" ht="20.100000000000001" customHeight="1" x14ac:dyDescent="0.25">
      <c r="A849" s="38"/>
      <c r="B849" s="63"/>
      <c r="C849" s="41"/>
      <c r="D849" s="48"/>
      <c r="E849" s="19"/>
      <c r="F849" s="41"/>
      <c r="G849" s="41"/>
      <c r="H849" s="41"/>
      <c r="I849" s="41"/>
      <c r="J849" s="41"/>
      <c r="K849" s="41"/>
      <c r="L849" s="41"/>
      <c r="M849" s="41"/>
      <c r="N849" s="48"/>
    </row>
    <row r="850" spans="1:14" ht="20.100000000000001" customHeight="1" x14ac:dyDescent="0.25">
      <c r="A850" s="38"/>
      <c r="B850" s="63"/>
      <c r="C850" s="41"/>
      <c r="D850" s="48"/>
      <c r="E850" s="19"/>
      <c r="F850" s="41"/>
      <c r="G850" s="41"/>
      <c r="H850" s="41"/>
      <c r="I850" s="41"/>
      <c r="J850" s="41"/>
      <c r="K850" s="41"/>
      <c r="L850" s="41"/>
      <c r="M850" s="41"/>
      <c r="N850" s="48"/>
    </row>
    <row r="851" spans="1:14" ht="20.100000000000001" customHeight="1" x14ac:dyDescent="0.25">
      <c r="A851" s="38"/>
      <c r="B851" s="63"/>
      <c r="C851" s="41"/>
      <c r="D851" s="48"/>
      <c r="E851" s="19"/>
      <c r="F851" s="41"/>
      <c r="G851" s="41"/>
      <c r="H851" s="41"/>
      <c r="I851" s="41"/>
      <c r="J851" s="41"/>
      <c r="K851" s="41"/>
      <c r="L851" s="41"/>
      <c r="M851" s="41"/>
      <c r="N851" s="48"/>
    </row>
    <row r="852" spans="1:14" ht="20.100000000000001" customHeight="1" x14ac:dyDescent="0.25">
      <c r="A852" s="38"/>
      <c r="B852" s="63"/>
      <c r="C852" s="41"/>
      <c r="D852" s="48"/>
      <c r="E852" s="19"/>
      <c r="F852" s="41"/>
      <c r="G852" s="41"/>
      <c r="H852" s="41"/>
      <c r="I852" s="41"/>
      <c r="J852" s="41"/>
      <c r="K852" s="41"/>
      <c r="L852" s="41"/>
      <c r="M852" s="41"/>
      <c r="N852" s="48"/>
    </row>
    <row r="853" spans="1:14" ht="20.100000000000001" customHeight="1" x14ac:dyDescent="0.25">
      <c r="A853" s="38"/>
      <c r="B853" s="63"/>
      <c r="C853" s="41"/>
      <c r="D853" s="48"/>
      <c r="E853" s="19"/>
      <c r="F853" s="41"/>
      <c r="G853" s="41"/>
      <c r="H853" s="41"/>
      <c r="I853" s="41"/>
      <c r="J853" s="41"/>
      <c r="K853" s="41"/>
      <c r="L853" s="41"/>
      <c r="M853" s="41"/>
      <c r="N853" s="48"/>
    </row>
    <row r="854" spans="1:14" ht="20.100000000000001" customHeight="1" x14ac:dyDescent="0.25">
      <c r="A854" s="38"/>
      <c r="B854" s="63"/>
      <c r="C854" s="41"/>
      <c r="D854" s="48"/>
      <c r="E854" s="19"/>
      <c r="F854" s="41"/>
      <c r="G854" s="41"/>
      <c r="H854" s="41"/>
      <c r="I854" s="41"/>
      <c r="J854" s="41"/>
      <c r="K854" s="41"/>
      <c r="L854" s="41"/>
      <c r="M854" s="41"/>
      <c r="N854" s="48"/>
    </row>
    <row r="855" spans="1:14" ht="20.100000000000001" customHeight="1" x14ac:dyDescent="0.25">
      <c r="A855" s="38"/>
      <c r="B855" s="63"/>
      <c r="C855" s="41"/>
      <c r="D855" s="48"/>
      <c r="E855" s="19"/>
      <c r="F855" s="41"/>
      <c r="G855" s="41"/>
      <c r="H855" s="41"/>
      <c r="I855" s="41"/>
      <c r="J855" s="41"/>
      <c r="K855" s="41"/>
      <c r="L855" s="41"/>
      <c r="M855" s="41"/>
      <c r="N855" s="48"/>
    </row>
    <row r="856" spans="1:14" ht="20.100000000000001" customHeight="1" x14ac:dyDescent="0.25">
      <c r="A856" s="38"/>
      <c r="B856" s="63"/>
      <c r="C856" s="41"/>
      <c r="D856" s="48"/>
      <c r="E856" s="19"/>
      <c r="F856" s="41"/>
      <c r="G856" s="41"/>
      <c r="H856" s="41"/>
      <c r="I856" s="41"/>
      <c r="J856" s="41"/>
      <c r="K856" s="41"/>
      <c r="L856" s="41"/>
      <c r="M856" s="41"/>
      <c r="N856" s="48"/>
    </row>
    <row r="857" spans="1:14" ht="20.100000000000001" customHeight="1" x14ac:dyDescent="0.25">
      <c r="A857" s="38"/>
      <c r="B857" s="63"/>
      <c r="C857" s="41"/>
      <c r="D857" s="48"/>
      <c r="E857" s="19"/>
      <c r="F857" s="41"/>
      <c r="G857" s="41"/>
      <c r="H857" s="41"/>
      <c r="I857" s="41"/>
      <c r="J857" s="41"/>
      <c r="K857" s="41"/>
      <c r="L857" s="41"/>
      <c r="M857" s="41"/>
      <c r="N857" s="48"/>
    </row>
    <row r="858" spans="1:14" ht="20.100000000000001" customHeight="1" x14ac:dyDescent="0.25">
      <c r="A858" s="38"/>
      <c r="B858" s="63"/>
      <c r="C858" s="41"/>
      <c r="D858" s="48"/>
      <c r="E858" s="19"/>
      <c r="F858" s="41"/>
      <c r="G858" s="41"/>
      <c r="H858" s="41"/>
      <c r="I858" s="41"/>
      <c r="J858" s="41"/>
      <c r="K858" s="41"/>
      <c r="L858" s="41"/>
      <c r="M858" s="41"/>
      <c r="N858" s="48"/>
    </row>
    <row r="859" spans="1:14" ht="20.100000000000001" customHeight="1" x14ac:dyDescent="0.25">
      <c r="A859" s="38"/>
      <c r="B859" s="63"/>
      <c r="C859" s="41"/>
      <c r="D859" s="48"/>
      <c r="E859" s="19"/>
      <c r="F859" s="41"/>
      <c r="G859" s="41"/>
      <c r="H859" s="41"/>
      <c r="I859" s="41"/>
      <c r="J859" s="41"/>
      <c r="K859" s="41"/>
      <c r="L859" s="41"/>
      <c r="M859" s="41"/>
      <c r="N859" s="48"/>
    </row>
    <row r="860" spans="1:14" ht="20.100000000000001" customHeight="1" x14ac:dyDescent="0.25">
      <c r="A860" s="38"/>
      <c r="B860" s="63"/>
      <c r="C860" s="41"/>
      <c r="D860" s="48"/>
      <c r="E860" s="19"/>
      <c r="F860" s="41"/>
      <c r="G860" s="41"/>
      <c r="H860" s="41"/>
      <c r="I860" s="41"/>
      <c r="J860" s="41"/>
      <c r="K860" s="41"/>
      <c r="L860" s="41"/>
      <c r="M860" s="41"/>
      <c r="N860" s="48"/>
    </row>
    <row r="861" spans="1:14" ht="20.100000000000001" customHeight="1" x14ac:dyDescent="0.25">
      <c r="A861" s="38"/>
      <c r="B861" s="63"/>
      <c r="C861" s="41"/>
      <c r="D861" s="48"/>
      <c r="E861" s="19"/>
      <c r="F861" s="41"/>
      <c r="G861" s="41"/>
      <c r="H861" s="41"/>
      <c r="I861" s="41"/>
      <c r="J861" s="41"/>
      <c r="K861" s="41"/>
      <c r="L861" s="41"/>
      <c r="M861" s="41"/>
      <c r="N861" s="48"/>
    </row>
    <row r="862" spans="1:14" ht="20.100000000000001" customHeight="1" x14ac:dyDescent="0.25">
      <c r="A862" s="38"/>
      <c r="B862" s="63"/>
      <c r="C862" s="41"/>
      <c r="D862" s="48"/>
      <c r="E862" s="19"/>
      <c r="F862" s="41"/>
      <c r="G862" s="41"/>
      <c r="H862" s="41"/>
      <c r="I862" s="41"/>
      <c r="J862" s="41"/>
      <c r="K862" s="41"/>
      <c r="L862" s="41"/>
      <c r="M862" s="41"/>
      <c r="N862" s="48"/>
    </row>
    <row r="863" spans="1:14" ht="20.100000000000001" customHeight="1" x14ac:dyDescent="0.25">
      <c r="A863" s="38"/>
      <c r="B863" s="63"/>
      <c r="C863" s="41"/>
      <c r="D863" s="48"/>
      <c r="E863" s="19"/>
      <c r="F863" s="41"/>
      <c r="G863" s="41"/>
      <c r="H863" s="41"/>
      <c r="I863" s="41"/>
      <c r="J863" s="41"/>
      <c r="K863" s="41"/>
      <c r="L863" s="41"/>
      <c r="M863" s="41"/>
      <c r="N863" s="48"/>
    </row>
    <row r="864" spans="1:14" ht="20.100000000000001" customHeight="1" x14ac:dyDescent="0.25">
      <c r="A864" s="38"/>
      <c r="B864" s="63"/>
      <c r="C864" s="41"/>
      <c r="D864" s="48"/>
      <c r="E864" s="19"/>
      <c r="F864" s="41"/>
      <c r="G864" s="41"/>
      <c r="H864" s="41"/>
      <c r="I864" s="41"/>
      <c r="J864" s="41"/>
      <c r="K864" s="41"/>
      <c r="L864" s="41"/>
      <c r="M864" s="41"/>
      <c r="N864" s="48"/>
    </row>
    <row r="865" spans="1:14" ht="20.100000000000001" customHeight="1" x14ac:dyDescent="0.25">
      <c r="A865" s="38"/>
      <c r="B865" s="63"/>
      <c r="C865" s="41"/>
      <c r="D865" s="48"/>
      <c r="E865" s="19"/>
      <c r="F865" s="41"/>
      <c r="G865" s="41"/>
      <c r="H865" s="41"/>
      <c r="I865" s="41"/>
      <c r="J865" s="41"/>
      <c r="K865" s="41"/>
      <c r="L865" s="41"/>
      <c r="M865" s="41"/>
      <c r="N865" s="48"/>
    </row>
    <row r="866" spans="1:14" ht="20.100000000000001" customHeight="1" x14ac:dyDescent="0.25">
      <c r="A866" s="38"/>
      <c r="B866" s="63"/>
      <c r="C866" s="41"/>
      <c r="D866" s="48"/>
      <c r="E866" s="19"/>
      <c r="F866" s="41"/>
      <c r="G866" s="41"/>
      <c r="H866" s="41"/>
      <c r="I866" s="41"/>
      <c r="J866" s="41"/>
      <c r="K866" s="41"/>
      <c r="L866" s="41"/>
      <c r="M866" s="41"/>
      <c r="N866" s="48"/>
    </row>
    <row r="867" spans="1:14" ht="20.100000000000001" customHeight="1" x14ac:dyDescent="0.25">
      <c r="A867" s="38"/>
      <c r="B867" s="63"/>
      <c r="C867" s="41"/>
      <c r="D867" s="48"/>
      <c r="E867" s="19"/>
      <c r="F867" s="41"/>
      <c r="G867" s="41"/>
      <c r="H867" s="41"/>
      <c r="I867" s="41"/>
      <c r="J867" s="41"/>
      <c r="K867" s="41"/>
      <c r="L867" s="41"/>
      <c r="M867" s="41"/>
      <c r="N867" s="48"/>
    </row>
    <row r="868" spans="1:14" ht="20.100000000000001" customHeight="1" x14ac:dyDescent="0.25">
      <c r="A868" s="38"/>
      <c r="B868" s="63"/>
      <c r="C868" s="41"/>
      <c r="D868" s="48"/>
      <c r="E868" s="19"/>
      <c r="F868" s="41"/>
      <c r="G868" s="41"/>
      <c r="H868" s="41"/>
      <c r="I868" s="41"/>
      <c r="J868" s="41"/>
      <c r="K868" s="41"/>
      <c r="L868" s="41"/>
      <c r="M868" s="41"/>
      <c r="N868" s="48"/>
    </row>
    <row r="869" spans="1:14" ht="20.100000000000001" customHeight="1" x14ac:dyDescent="0.25">
      <c r="A869" s="38"/>
      <c r="B869" s="63"/>
      <c r="C869" s="41"/>
      <c r="D869" s="48"/>
      <c r="E869" s="19"/>
      <c r="F869" s="41"/>
      <c r="G869" s="41"/>
      <c r="H869" s="41"/>
      <c r="I869" s="41"/>
      <c r="J869" s="41"/>
      <c r="K869" s="41"/>
      <c r="L869" s="41"/>
      <c r="M869" s="41"/>
      <c r="N869" s="48"/>
    </row>
    <row r="870" spans="1:14" ht="20.100000000000001" customHeight="1" x14ac:dyDescent="0.25">
      <c r="A870" s="38"/>
      <c r="B870" s="63"/>
      <c r="C870" s="41"/>
      <c r="D870" s="48"/>
      <c r="E870" s="19"/>
      <c r="F870" s="41"/>
      <c r="G870" s="41"/>
      <c r="H870" s="41"/>
      <c r="I870" s="41"/>
      <c r="J870" s="41"/>
      <c r="K870" s="41"/>
      <c r="L870" s="41"/>
      <c r="M870" s="41"/>
      <c r="N870" s="48"/>
    </row>
    <row r="871" spans="1:14" ht="20.100000000000001" customHeight="1" x14ac:dyDescent="0.25">
      <c r="A871" s="38"/>
      <c r="B871" s="63"/>
      <c r="C871" s="41"/>
      <c r="D871" s="48"/>
      <c r="E871" s="19"/>
      <c r="F871" s="41"/>
      <c r="G871" s="41"/>
      <c r="H871" s="41"/>
      <c r="I871" s="41"/>
      <c r="J871" s="41"/>
      <c r="K871" s="41"/>
      <c r="L871" s="41"/>
      <c r="M871" s="41"/>
      <c r="N871" s="48"/>
    </row>
    <row r="872" spans="1:14" ht="20.100000000000001" customHeight="1" x14ac:dyDescent="0.25">
      <c r="A872" s="38"/>
      <c r="B872" s="63"/>
      <c r="C872" s="41"/>
      <c r="D872" s="48"/>
      <c r="E872" s="19"/>
      <c r="F872" s="41"/>
      <c r="G872" s="41"/>
      <c r="H872" s="41"/>
      <c r="I872" s="41"/>
      <c r="J872" s="41"/>
      <c r="K872" s="41"/>
      <c r="L872" s="41"/>
      <c r="M872" s="41"/>
      <c r="N872" s="48"/>
    </row>
    <row r="873" spans="1:14" ht="20.100000000000001" customHeight="1" x14ac:dyDescent="0.25">
      <c r="A873" s="38"/>
      <c r="B873" s="63"/>
      <c r="C873" s="41"/>
      <c r="D873" s="48"/>
      <c r="E873" s="19"/>
      <c r="F873" s="41"/>
      <c r="G873" s="41"/>
      <c r="H873" s="41"/>
      <c r="I873" s="41"/>
      <c r="J873" s="41"/>
      <c r="K873" s="41"/>
      <c r="L873" s="41"/>
      <c r="M873" s="41"/>
      <c r="N873" s="48"/>
    </row>
    <row r="874" spans="1:14" ht="20.100000000000001" customHeight="1" x14ac:dyDescent="0.25">
      <c r="A874" s="38"/>
      <c r="B874" s="63"/>
      <c r="C874" s="41"/>
      <c r="D874" s="48"/>
      <c r="E874" s="19"/>
      <c r="F874" s="41"/>
      <c r="G874" s="41"/>
      <c r="H874" s="41"/>
      <c r="I874" s="41"/>
      <c r="J874" s="41"/>
      <c r="K874" s="41"/>
      <c r="L874" s="41"/>
      <c r="M874" s="41"/>
      <c r="N874" s="48"/>
    </row>
    <row r="875" spans="1:14" ht="20.100000000000001" customHeight="1" x14ac:dyDescent="0.25">
      <c r="A875" s="38"/>
      <c r="B875" s="63"/>
      <c r="C875" s="41"/>
      <c r="D875" s="48"/>
      <c r="E875" s="19"/>
      <c r="F875" s="41"/>
      <c r="G875" s="41"/>
      <c r="H875" s="41"/>
      <c r="I875" s="41"/>
      <c r="J875" s="41"/>
      <c r="K875" s="41"/>
      <c r="L875" s="41"/>
      <c r="M875" s="41"/>
      <c r="N875" s="48"/>
    </row>
    <row r="876" spans="1:14" ht="20.100000000000001" customHeight="1" x14ac:dyDescent="0.25">
      <c r="A876" s="38"/>
      <c r="B876" s="63"/>
      <c r="C876" s="41"/>
      <c r="D876" s="48"/>
      <c r="E876" s="19"/>
      <c r="F876" s="41"/>
      <c r="G876" s="41"/>
      <c r="H876" s="41"/>
      <c r="I876" s="41"/>
      <c r="J876" s="41"/>
      <c r="K876" s="41"/>
      <c r="L876" s="41"/>
      <c r="M876" s="41"/>
      <c r="N876" s="48"/>
    </row>
    <row r="877" spans="1:14" ht="20.100000000000001" customHeight="1" x14ac:dyDescent="0.25">
      <c r="A877" s="38"/>
      <c r="B877" s="63"/>
      <c r="C877" s="41"/>
      <c r="D877" s="48"/>
      <c r="E877" s="19"/>
      <c r="F877" s="41"/>
      <c r="G877" s="41"/>
      <c r="H877" s="41"/>
      <c r="I877" s="41"/>
      <c r="J877" s="41"/>
      <c r="K877" s="41"/>
      <c r="L877" s="41"/>
      <c r="M877" s="41"/>
      <c r="N877" s="48"/>
    </row>
    <row r="878" spans="1:14" ht="20.100000000000001" customHeight="1" x14ac:dyDescent="0.25">
      <c r="A878" s="38"/>
      <c r="B878" s="63"/>
      <c r="C878" s="41"/>
      <c r="D878" s="48"/>
      <c r="E878" s="19"/>
      <c r="F878" s="41"/>
      <c r="G878" s="41"/>
      <c r="H878" s="41"/>
      <c r="I878" s="41"/>
      <c r="J878" s="41"/>
      <c r="K878" s="41"/>
      <c r="L878" s="41"/>
      <c r="M878" s="41"/>
      <c r="N878" s="48"/>
    </row>
    <row r="879" spans="1:14" ht="20.100000000000001" customHeight="1" x14ac:dyDescent="0.25">
      <c r="A879" s="38"/>
      <c r="B879" s="63"/>
      <c r="C879" s="41"/>
      <c r="D879" s="48"/>
      <c r="E879" s="19"/>
      <c r="F879" s="41"/>
      <c r="G879" s="41"/>
      <c r="H879" s="41"/>
      <c r="I879" s="41"/>
      <c r="J879" s="41"/>
      <c r="K879" s="41"/>
      <c r="L879" s="41"/>
      <c r="M879" s="41"/>
      <c r="N879" s="48"/>
    </row>
    <row r="880" spans="1:14" ht="20.100000000000001" customHeight="1" x14ac:dyDescent="0.25">
      <c r="A880" s="38"/>
      <c r="B880" s="63"/>
      <c r="C880" s="41"/>
      <c r="D880" s="48"/>
      <c r="E880" s="19"/>
      <c r="F880" s="41"/>
      <c r="G880" s="41"/>
      <c r="H880" s="41"/>
      <c r="I880" s="41"/>
      <c r="J880" s="41"/>
      <c r="K880" s="41"/>
      <c r="L880" s="41"/>
      <c r="M880" s="41"/>
      <c r="N880" s="48"/>
    </row>
    <row r="881" spans="1:14" ht="20.100000000000001" customHeight="1" x14ac:dyDescent="0.25">
      <c r="A881" s="38"/>
      <c r="B881" s="63"/>
      <c r="C881" s="41"/>
      <c r="D881" s="48"/>
      <c r="E881" s="19"/>
      <c r="F881" s="41"/>
      <c r="G881" s="41"/>
      <c r="H881" s="41"/>
      <c r="I881" s="41"/>
      <c r="J881" s="41"/>
      <c r="K881" s="41"/>
      <c r="L881" s="41"/>
      <c r="M881" s="41"/>
      <c r="N881" s="48"/>
    </row>
    <row r="882" spans="1:14" ht="20.100000000000001" customHeight="1" x14ac:dyDescent="0.25">
      <c r="A882" s="38"/>
      <c r="B882" s="63"/>
      <c r="C882" s="41"/>
      <c r="D882" s="48"/>
      <c r="E882" s="19"/>
      <c r="F882" s="41"/>
      <c r="G882" s="41"/>
      <c r="H882" s="41"/>
      <c r="I882" s="41"/>
      <c r="J882" s="41"/>
      <c r="K882" s="41"/>
      <c r="L882" s="41"/>
      <c r="M882" s="41"/>
      <c r="N882" s="48"/>
    </row>
    <row r="883" spans="1:14" ht="20.100000000000001" customHeight="1" x14ac:dyDescent="0.25">
      <c r="A883" s="38"/>
      <c r="B883" s="63"/>
      <c r="C883" s="41"/>
      <c r="D883" s="48"/>
      <c r="E883" s="19"/>
      <c r="F883" s="41"/>
      <c r="G883" s="41"/>
      <c r="H883" s="41"/>
      <c r="I883" s="41"/>
      <c r="J883" s="41"/>
      <c r="K883" s="41"/>
      <c r="L883" s="41"/>
      <c r="M883" s="41"/>
      <c r="N883" s="48"/>
    </row>
    <row r="884" spans="1:14" ht="20.100000000000001" customHeight="1" x14ac:dyDescent="0.25">
      <c r="A884" s="38"/>
      <c r="B884" s="63"/>
      <c r="C884" s="41"/>
      <c r="D884" s="48"/>
      <c r="E884" s="19"/>
      <c r="F884" s="41"/>
      <c r="G884" s="41"/>
      <c r="H884" s="41"/>
      <c r="I884" s="41"/>
      <c r="J884" s="41"/>
      <c r="K884" s="41"/>
      <c r="L884" s="41"/>
      <c r="M884" s="41"/>
      <c r="N884" s="48"/>
    </row>
    <row r="885" spans="1:14" ht="20.100000000000001" customHeight="1" x14ac:dyDescent="0.25">
      <c r="A885" s="38"/>
      <c r="B885" s="63"/>
      <c r="C885" s="41"/>
      <c r="D885" s="48"/>
      <c r="E885" s="19"/>
      <c r="F885" s="41"/>
      <c r="G885" s="41"/>
      <c r="H885" s="41"/>
      <c r="I885" s="41"/>
      <c r="J885" s="41"/>
      <c r="K885" s="41"/>
      <c r="L885" s="41"/>
      <c r="M885" s="41"/>
      <c r="N885" s="48"/>
    </row>
    <row r="886" spans="1:14" ht="20.100000000000001" customHeight="1" x14ac:dyDescent="0.25">
      <c r="A886" s="38"/>
      <c r="B886" s="63"/>
      <c r="C886" s="41"/>
      <c r="D886" s="48"/>
      <c r="E886" s="19"/>
      <c r="F886" s="41"/>
      <c r="G886" s="41"/>
      <c r="H886" s="41"/>
      <c r="I886" s="41"/>
      <c r="J886" s="41"/>
      <c r="K886" s="41"/>
      <c r="L886" s="41"/>
      <c r="M886" s="41"/>
      <c r="N886" s="48"/>
    </row>
    <row r="887" spans="1:14" ht="20.100000000000001" customHeight="1" x14ac:dyDescent="0.25">
      <c r="A887" s="38"/>
      <c r="B887" s="63"/>
      <c r="C887" s="41"/>
      <c r="D887" s="48"/>
      <c r="E887" s="19"/>
      <c r="F887" s="41"/>
      <c r="G887" s="41"/>
      <c r="H887" s="41"/>
      <c r="I887" s="41"/>
      <c r="J887" s="41"/>
      <c r="K887" s="41"/>
      <c r="L887" s="41"/>
      <c r="M887" s="41"/>
      <c r="N887" s="48"/>
    </row>
    <row r="888" spans="1:14" ht="20.100000000000001" customHeight="1" x14ac:dyDescent="0.25">
      <c r="A888" s="38"/>
      <c r="B888" s="63"/>
      <c r="C888" s="41"/>
      <c r="D888" s="48"/>
      <c r="E888" s="19"/>
      <c r="F888" s="41"/>
      <c r="G888" s="41"/>
      <c r="H888" s="41"/>
      <c r="I888" s="41"/>
      <c r="J888" s="41"/>
      <c r="K888" s="41"/>
      <c r="L888" s="41"/>
      <c r="M888" s="41"/>
      <c r="N888" s="48"/>
    </row>
    <row r="889" spans="1:14" ht="20.100000000000001" customHeight="1" x14ac:dyDescent="0.25">
      <c r="A889" s="38"/>
      <c r="B889" s="63"/>
      <c r="C889" s="41"/>
      <c r="D889" s="48"/>
      <c r="E889" s="19"/>
      <c r="F889" s="41"/>
      <c r="G889" s="41"/>
      <c r="H889" s="41"/>
      <c r="I889" s="41"/>
      <c r="J889" s="41"/>
      <c r="K889" s="41"/>
      <c r="L889" s="41"/>
      <c r="M889" s="41"/>
      <c r="N889" s="48"/>
    </row>
    <row r="890" spans="1:14" ht="20.100000000000001" customHeight="1" x14ac:dyDescent="0.25">
      <c r="A890" s="38"/>
      <c r="B890" s="63"/>
      <c r="C890" s="41"/>
      <c r="D890" s="48"/>
      <c r="E890" s="19"/>
      <c r="F890" s="41"/>
      <c r="G890" s="41"/>
      <c r="H890" s="41"/>
      <c r="I890" s="41"/>
      <c r="J890" s="41"/>
      <c r="K890" s="41"/>
      <c r="L890" s="41"/>
      <c r="M890" s="41"/>
      <c r="N890" s="48"/>
    </row>
    <row r="891" spans="1:14" ht="20.100000000000001" customHeight="1" x14ac:dyDescent="0.25">
      <c r="A891" s="38"/>
      <c r="B891" s="63"/>
      <c r="C891" s="41"/>
      <c r="D891" s="48"/>
      <c r="E891" s="19"/>
      <c r="F891" s="41"/>
      <c r="G891" s="41"/>
      <c r="H891" s="41"/>
      <c r="I891" s="41"/>
      <c r="J891" s="41"/>
      <c r="K891" s="41"/>
      <c r="L891" s="41"/>
      <c r="M891" s="41"/>
      <c r="N891" s="48"/>
    </row>
    <row r="892" spans="1:14" ht="20.100000000000001" customHeight="1" x14ac:dyDescent="0.25">
      <c r="A892" s="38"/>
      <c r="B892" s="63"/>
      <c r="C892" s="41"/>
      <c r="D892" s="48"/>
      <c r="E892" s="19"/>
      <c r="F892" s="41"/>
      <c r="G892" s="41"/>
      <c r="H892" s="41"/>
      <c r="I892" s="41"/>
      <c r="J892" s="41"/>
      <c r="K892" s="41"/>
      <c r="L892" s="41"/>
      <c r="M892" s="41"/>
      <c r="N892" s="48"/>
    </row>
    <row r="893" spans="1:14" ht="20.100000000000001" customHeight="1" x14ac:dyDescent="0.25">
      <c r="A893" s="38"/>
      <c r="B893" s="63"/>
      <c r="C893" s="41"/>
      <c r="D893" s="48"/>
      <c r="E893" s="19"/>
      <c r="F893" s="41"/>
      <c r="G893" s="41"/>
      <c r="H893" s="41"/>
      <c r="I893" s="41"/>
      <c r="J893" s="41"/>
      <c r="K893" s="41"/>
      <c r="L893" s="41"/>
      <c r="M893" s="41"/>
      <c r="N893" s="48"/>
    </row>
    <row r="894" spans="1:14" ht="20.100000000000001" customHeight="1" x14ac:dyDescent="0.25">
      <c r="A894" s="38"/>
      <c r="B894" s="63"/>
      <c r="C894" s="41"/>
      <c r="D894" s="48"/>
      <c r="E894" s="19"/>
      <c r="F894" s="41"/>
      <c r="G894" s="41"/>
      <c r="H894" s="41"/>
      <c r="I894" s="41"/>
      <c r="J894" s="41"/>
      <c r="K894" s="41"/>
      <c r="L894" s="41"/>
      <c r="M894" s="41"/>
      <c r="N894" s="48"/>
    </row>
    <row r="895" spans="1:14" ht="20.100000000000001" customHeight="1" x14ac:dyDescent="0.25">
      <c r="A895" s="38"/>
      <c r="B895" s="63"/>
      <c r="C895" s="41"/>
      <c r="D895" s="48"/>
      <c r="E895" s="19"/>
      <c r="F895" s="41"/>
      <c r="G895" s="41"/>
      <c r="H895" s="41"/>
      <c r="I895" s="41"/>
      <c r="J895" s="41"/>
      <c r="K895" s="41"/>
      <c r="L895" s="41"/>
      <c r="M895" s="41"/>
      <c r="N895" s="48"/>
    </row>
    <row r="896" spans="1:14" ht="20.100000000000001" customHeight="1" x14ac:dyDescent="0.25">
      <c r="A896" s="38"/>
      <c r="B896" s="63"/>
      <c r="C896" s="41"/>
      <c r="D896" s="48"/>
      <c r="E896" s="19"/>
      <c r="F896" s="41"/>
      <c r="G896" s="41"/>
      <c r="H896" s="41"/>
      <c r="I896" s="41"/>
      <c r="J896" s="41"/>
      <c r="K896" s="41"/>
      <c r="L896" s="41"/>
      <c r="M896" s="41"/>
      <c r="N896" s="48"/>
    </row>
    <row r="897" spans="1:14" ht="20.100000000000001" customHeight="1" x14ac:dyDescent="0.25">
      <c r="A897" s="38"/>
      <c r="B897" s="63"/>
      <c r="C897" s="41"/>
      <c r="D897" s="48"/>
      <c r="E897" s="19"/>
      <c r="F897" s="41"/>
      <c r="G897" s="41"/>
      <c r="H897" s="41"/>
      <c r="I897" s="41"/>
      <c r="J897" s="41"/>
      <c r="K897" s="41"/>
      <c r="L897" s="41"/>
      <c r="M897" s="41"/>
      <c r="N897" s="48"/>
    </row>
    <row r="898" spans="1:14" ht="20.100000000000001" customHeight="1" x14ac:dyDescent="0.25">
      <c r="A898" s="38"/>
      <c r="B898" s="63"/>
      <c r="C898" s="41"/>
      <c r="D898" s="48"/>
      <c r="E898" s="19"/>
      <c r="F898" s="41"/>
      <c r="G898" s="41"/>
      <c r="H898" s="41"/>
      <c r="I898" s="41"/>
      <c r="J898" s="41"/>
      <c r="K898" s="41"/>
      <c r="L898" s="41"/>
      <c r="M898" s="41"/>
      <c r="N898" s="48"/>
    </row>
    <row r="899" spans="1:14" ht="20.100000000000001" customHeight="1" x14ac:dyDescent="0.25">
      <c r="A899" s="38"/>
      <c r="B899" s="63"/>
      <c r="C899" s="41"/>
      <c r="D899" s="48"/>
      <c r="E899" s="19"/>
      <c r="F899" s="41"/>
      <c r="G899" s="41"/>
      <c r="H899" s="41"/>
      <c r="I899" s="41"/>
      <c r="J899" s="41"/>
      <c r="K899" s="41"/>
      <c r="L899" s="41"/>
      <c r="M899" s="41"/>
      <c r="N899" s="48"/>
    </row>
    <row r="900" spans="1:14" ht="20.100000000000001" customHeight="1" x14ac:dyDescent="0.25">
      <c r="A900" s="38"/>
      <c r="B900" s="63"/>
      <c r="C900" s="41"/>
      <c r="D900" s="48"/>
      <c r="E900" s="19"/>
      <c r="F900" s="41"/>
      <c r="G900" s="41"/>
      <c r="H900" s="41"/>
      <c r="I900" s="41"/>
      <c r="J900" s="41"/>
      <c r="K900" s="41"/>
      <c r="L900" s="41"/>
      <c r="M900" s="41"/>
      <c r="N900" s="48"/>
    </row>
    <row r="901" spans="1:14" ht="20.100000000000001" customHeight="1" x14ac:dyDescent="0.25">
      <c r="A901" s="38"/>
      <c r="B901" s="63"/>
      <c r="C901" s="41"/>
      <c r="D901" s="48"/>
      <c r="E901" s="19"/>
      <c r="F901" s="41"/>
      <c r="G901" s="41"/>
      <c r="H901" s="41"/>
      <c r="I901" s="41"/>
      <c r="J901" s="41"/>
      <c r="K901" s="41"/>
      <c r="L901" s="41"/>
      <c r="M901" s="41"/>
      <c r="N901" s="48"/>
    </row>
    <row r="902" spans="1:14" ht="20.100000000000001" customHeight="1" x14ac:dyDescent="0.25">
      <c r="A902" s="38"/>
      <c r="B902" s="63"/>
      <c r="C902" s="41"/>
      <c r="D902" s="48"/>
      <c r="E902" s="19"/>
      <c r="F902" s="41"/>
      <c r="G902" s="41"/>
      <c r="H902" s="41"/>
      <c r="I902" s="41"/>
      <c r="J902" s="41"/>
      <c r="K902" s="41"/>
      <c r="L902" s="41"/>
      <c r="M902" s="41"/>
      <c r="N902" s="48"/>
    </row>
    <row r="903" spans="1:14" ht="20.100000000000001" customHeight="1" x14ac:dyDescent="0.25">
      <c r="A903" s="38"/>
      <c r="B903" s="63"/>
      <c r="C903" s="41"/>
      <c r="D903" s="48"/>
      <c r="E903" s="19"/>
      <c r="F903" s="41"/>
      <c r="G903" s="41"/>
      <c r="H903" s="41"/>
      <c r="I903" s="41"/>
      <c r="J903" s="41"/>
      <c r="K903" s="41"/>
      <c r="L903" s="41"/>
      <c r="M903" s="41"/>
      <c r="N903" s="48" t="str">
        <f>CONCATENATE("(",A903,",'",B903,"','",C903,"','",TEXT(E903,"aaaa-mm-jj"),"','",TEXT(F903,"aaaa-mm-jj"),"',",H903,",",I903,",",K903,"),")</f>
        <v>(,'','','1900-01-00','1900-01-00',,,),</v>
      </c>
    </row>
    <row r="904" spans="1:14" ht="20.100000000000001" customHeight="1" x14ac:dyDescent="0.25">
      <c r="A904" s="38"/>
      <c r="B904" s="63"/>
      <c r="C904" s="41"/>
      <c r="D904" s="48"/>
      <c r="E904" s="19"/>
      <c r="F904" s="41"/>
      <c r="G904" s="41"/>
      <c r="H904" s="41"/>
      <c r="I904" s="41"/>
      <c r="J904" s="41"/>
      <c r="K904" s="41"/>
      <c r="L904" s="41"/>
      <c r="M904" s="41"/>
      <c r="N904" s="48" t="str">
        <f>CONCATENATE("(",A904,",'",B904,"','",C904,"','",TEXT(E904,"aaaa-mm-jj"),"','",TEXT(F904,"aaaa-mm-jj"),"',",H904,",",I904,",",K904,"),")</f>
        <v>(,'','','1900-01-00','1900-01-00',,,),</v>
      </c>
    </row>
    <row r="905" spans="1:14" ht="20.100000000000001" customHeight="1" x14ac:dyDescent="0.25">
      <c r="A905" s="38"/>
      <c r="B905" s="63"/>
      <c r="C905" s="41"/>
      <c r="D905" s="48"/>
      <c r="E905" s="19"/>
      <c r="F905" s="41"/>
      <c r="G905" s="41"/>
      <c r="H905" s="41"/>
      <c r="I905" s="41"/>
      <c r="J905" s="41"/>
      <c r="K905" s="41"/>
      <c r="L905" s="41"/>
      <c r="M905" s="41"/>
      <c r="N905" s="48" t="str">
        <f>CONCATENATE("(",A905,",'",B905,"','",C905,"','",TEXT(E905,"aaaa-mm-jj"),"','",TEXT(F905,"aaaa-mm-jj"),"',",H905,",",I905,",",K905,"),")</f>
        <v>(,'','','1900-01-00','1900-01-00',,,),</v>
      </c>
    </row>
  </sheetData>
  <autoFilter ref="A2:N905"/>
  <phoneticPr fontId="4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3"/>
  <sheetViews>
    <sheetView workbookViewId="0">
      <selection activeCell="C13" sqref="C13"/>
    </sheetView>
  </sheetViews>
  <sheetFormatPr baseColWidth="10" defaultRowHeight="15" x14ac:dyDescent="0.25"/>
  <sheetData>
    <row r="13" spans="3:3" ht="15.75" x14ac:dyDescent="0.25">
      <c r="C13" s="48" t="s">
        <v>719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activeCell="C2" sqref="C2:C37"/>
    </sheetView>
  </sheetViews>
  <sheetFormatPr baseColWidth="10" defaultRowHeight="15" x14ac:dyDescent="0.25"/>
  <cols>
    <col min="1" max="1" width="59.85546875" style="86" bestFit="1" customWidth="1"/>
    <col min="2" max="2" width="17.140625" style="86" bestFit="1" customWidth="1"/>
    <col min="3" max="3" width="52" style="86" bestFit="1" customWidth="1"/>
    <col min="4" max="4" width="19.5703125" style="86" bestFit="1" customWidth="1"/>
  </cols>
  <sheetData>
    <row r="1" spans="1:4" ht="15.75" thickBot="1" x14ac:dyDescent="0.3">
      <c r="A1" s="84" t="s">
        <v>3374</v>
      </c>
      <c r="B1" s="84" t="s">
        <v>3375</v>
      </c>
      <c r="C1" s="84" t="s">
        <v>3376</v>
      </c>
      <c r="D1" s="84" t="s">
        <v>3377</v>
      </c>
    </row>
    <row r="2" spans="1:4" ht="15.75" thickBot="1" x14ac:dyDescent="0.3">
      <c r="A2" s="85" t="s">
        <v>1006</v>
      </c>
      <c r="B2" s="85" t="s">
        <v>1006</v>
      </c>
      <c r="C2" s="85" t="s">
        <v>3435</v>
      </c>
      <c r="D2" s="85" t="s">
        <v>3388</v>
      </c>
    </row>
    <row r="3" spans="1:4" ht="15.75" thickBot="1" x14ac:dyDescent="0.3">
      <c r="A3" s="85" t="s">
        <v>3392</v>
      </c>
      <c r="B3" s="85" t="s">
        <v>646</v>
      </c>
      <c r="C3" s="85" t="s">
        <v>3393</v>
      </c>
      <c r="D3" s="85" t="s">
        <v>3394</v>
      </c>
    </row>
    <row r="4" spans="1:4" ht="15.75" thickBot="1" x14ac:dyDescent="0.3">
      <c r="A4" s="85" t="s">
        <v>3439</v>
      </c>
      <c r="B4" s="85" t="s">
        <v>1013</v>
      </c>
      <c r="C4" s="85" t="s">
        <v>3440</v>
      </c>
      <c r="D4" s="85" t="s">
        <v>3388</v>
      </c>
    </row>
    <row r="5" spans="1:4" ht="15.75" thickBot="1" x14ac:dyDescent="0.3">
      <c r="A5" s="85" t="s">
        <v>3401</v>
      </c>
      <c r="B5" s="85" t="s">
        <v>1022</v>
      </c>
      <c r="C5" s="85" t="s">
        <v>3402</v>
      </c>
      <c r="D5" s="85" t="s">
        <v>3383</v>
      </c>
    </row>
    <row r="6" spans="1:4" ht="15.75" thickBot="1" x14ac:dyDescent="0.3">
      <c r="A6" s="85" t="s">
        <v>3407</v>
      </c>
      <c r="B6" s="85" t="s">
        <v>1007</v>
      </c>
      <c r="C6" s="85" t="s">
        <v>3408</v>
      </c>
      <c r="D6" s="85" t="s">
        <v>3394</v>
      </c>
    </row>
    <row r="7" spans="1:4" ht="15.75" thickBot="1" x14ac:dyDescent="0.3">
      <c r="A7" s="85" t="s">
        <v>3389</v>
      </c>
      <c r="B7" s="85" t="s">
        <v>1003</v>
      </c>
      <c r="C7" s="85" t="s">
        <v>3385</v>
      </c>
      <c r="D7" s="85" t="s">
        <v>3391</v>
      </c>
    </row>
    <row r="8" spans="1:4" ht="15.75" thickBot="1" x14ac:dyDescent="0.3">
      <c r="A8" s="85" t="s">
        <v>3411</v>
      </c>
      <c r="B8" s="85" t="s">
        <v>1030</v>
      </c>
      <c r="C8" s="85" t="s">
        <v>3385</v>
      </c>
      <c r="D8" s="85" t="s">
        <v>3412</v>
      </c>
    </row>
    <row r="9" spans="1:4" ht="15.75" thickBot="1" x14ac:dyDescent="0.3">
      <c r="A9" s="85" t="s">
        <v>3395</v>
      </c>
      <c r="B9" s="85" t="s">
        <v>1028</v>
      </c>
      <c r="C9" s="85" t="s">
        <v>3385</v>
      </c>
      <c r="D9" s="85" t="s">
        <v>3396</v>
      </c>
    </row>
    <row r="10" spans="1:4" ht="15.75" thickBot="1" x14ac:dyDescent="0.3">
      <c r="A10" s="85" t="s">
        <v>3384</v>
      </c>
      <c r="B10" s="85" t="s">
        <v>1008</v>
      </c>
      <c r="C10" s="85" t="s">
        <v>3385</v>
      </c>
      <c r="D10" s="85" t="s">
        <v>3383</v>
      </c>
    </row>
    <row r="11" spans="1:4" ht="15.75" thickBot="1" x14ac:dyDescent="0.3">
      <c r="A11" s="85" t="s">
        <v>3425</v>
      </c>
      <c r="B11" s="85" t="s">
        <v>687</v>
      </c>
      <c r="C11" s="85" t="s">
        <v>3385</v>
      </c>
      <c r="D11" s="85" t="s">
        <v>3427</v>
      </c>
    </row>
    <row r="12" spans="1:4" ht="15.75" thickBot="1" x14ac:dyDescent="0.3">
      <c r="A12" s="85" t="s">
        <v>3433</v>
      </c>
      <c r="B12" s="85" t="s">
        <v>1012</v>
      </c>
      <c r="C12" s="85" t="s">
        <v>3385</v>
      </c>
      <c r="D12" s="85" t="s">
        <v>3427</v>
      </c>
    </row>
    <row r="13" spans="1:4" ht="15.75" thickBot="1" x14ac:dyDescent="0.3">
      <c r="A13" s="85" t="s">
        <v>3441</v>
      </c>
      <c r="B13" s="85" t="s">
        <v>3441</v>
      </c>
      <c r="C13" s="85" t="s">
        <v>3385</v>
      </c>
      <c r="D13" s="85" t="s">
        <v>3442</v>
      </c>
    </row>
    <row r="14" spans="1:4" ht="15.75" thickBot="1" x14ac:dyDescent="0.3">
      <c r="A14" s="85" t="s">
        <v>3430</v>
      </c>
      <c r="B14" s="85" t="s">
        <v>1011</v>
      </c>
      <c r="C14" s="85" t="s">
        <v>3385</v>
      </c>
      <c r="D14" s="85" t="s">
        <v>3432</v>
      </c>
    </row>
    <row r="15" spans="1:4" ht="15.75" thickBot="1" x14ac:dyDescent="0.3">
      <c r="A15" s="85" t="s">
        <v>3381</v>
      </c>
      <c r="B15" s="85" t="s">
        <v>609</v>
      </c>
      <c r="C15" s="85" t="s">
        <v>3385</v>
      </c>
      <c r="D15" s="85" t="s">
        <v>3383</v>
      </c>
    </row>
    <row r="16" spans="1:4" ht="15.75" thickBot="1" x14ac:dyDescent="0.3">
      <c r="A16" s="85" t="s">
        <v>3428</v>
      </c>
      <c r="B16" s="85" t="s">
        <v>612</v>
      </c>
      <c r="C16" s="85" t="s">
        <v>3385</v>
      </c>
      <c r="D16" s="85" t="s">
        <v>3427</v>
      </c>
    </row>
    <row r="17" spans="1:4" ht="15.75" thickBot="1" x14ac:dyDescent="0.3">
      <c r="A17" s="85" t="s">
        <v>3421</v>
      </c>
      <c r="B17" s="85" t="s">
        <v>3422</v>
      </c>
      <c r="C17" s="85" t="s">
        <v>3385</v>
      </c>
      <c r="D17" s="85" t="s">
        <v>3424</v>
      </c>
    </row>
    <row r="18" spans="1:4" ht="15.75" thickBot="1" x14ac:dyDescent="0.3">
      <c r="A18" s="85" t="s">
        <v>3378</v>
      </c>
      <c r="B18" s="85" t="s">
        <v>1015</v>
      </c>
      <c r="C18" s="85" t="s">
        <v>3379</v>
      </c>
      <c r="D18" s="85" t="s">
        <v>3380</v>
      </c>
    </row>
    <row r="19" spans="1:4" ht="15.75" thickBot="1" x14ac:dyDescent="0.3">
      <c r="A19" s="85" t="s">
        <v>3409</v>
      </c>
      <c r="B19" s="85" t="s">
        <v>1009</v>
      </c>
      <c r="C19" s="85" t="s">
        <v>3410</v>
      </c>
      <c r="D19" s="85" t="s">
        <v>3394</v>
      </c>
    </row>
    <row r="20" spans="1:4" ht="15.75" thickBot="1" x14ac:dyDescent="0.3">
      <c r="A20" s="85" t="s">
        <v>3437</v>
      </c>
      <c r="B20" s="85" t="s">
        <v>3437</v>
      </c>
      <c r="C20" s="85" t="s">
        <v>3438</v>
      </c>
      <c r="D20" s="85" t="s">
        <v>3388</v>
      </c>
    </row>
    <row r="21" spans="1:4" ht="15.75" thickBot="1" x14ac:dyDescent="0.3">
      <c r="A21" s="85" t="s">
        <v>3417</v>
      </c>
      <c r="B21" s="85" t="s">
        <v>1024</v>
      </c>
      <c r="C21" s="85" t="s">
        <v>3418</v>
      </c>
      <c r="D21" s="85" t="s">
        <v>3394</v>
      </c>
    </row>
    <row r="22" spans="1:4" ht="15.75" thickBot="1" x14ac:dyDescent="0.3">
      <c r="A22" s="85" t="s">
        <v>3403</v>
      </c>
      <c r="B22" s="85" t="s">
        <v>1029</v>
      </c>
      <c r="C22" s="85" t="s">
        <v>3404</v>
      </c>
      <c r="D22" s="85" t="s">
        <v>3394</v>
      </c>
    </row>
    <row r="23" spans="1:4" ht="15.75" thickBot="1" x14ac:dyDescent="0.3">
      <c r="A23" s="85" t="s">
        <v>3413</v>
      </c>
      <c r="B23" s="85" t="s">
        <v>598</v>
      </c>
      <c r="C23" s="85" t="s">
        <v>3414</v>
      </c>
      <c r="D23" s="85" t="s">
        <v>3394</v>
      </c>
    </row>
    <row r="24" spans="1:4" ht="15.75" thickBot="1" x14ac:dyDescent="0.3">
      <c r="A24" s="85" t="s">
        <v>3397</v>
      </c>
      <c r="B24" s="85" t="s">
        <v>653</v>
      </c>
      <c r="C24" s="85" t="s">
        <v>3387</v>
      </c>
      <c r="D24" s="85" t="s">
        <v>3394</v>
      </c>
    </row>
    <row r="25" spans="1:4" ht="15.75" thickBot="1" x14ac:dyDescent="0.3">
      <c r="A25" s="85" t="s">
        <v>3400</v>
      </c>
      <c r="B25" s="85" t="s">
        <v>1018</v>
      </c>
      <c r="C25" s="85" t="s">
        <v>3387</v>
      </c>
      <c r="D25" s="85" t="s">
        <v>3394</v>
      </c>
    </row>
    <row r="26" spans="1:4" ht="15.75" thickBot="1" x14ac:dyDescent="0.3">
      <c r="A26" s="85" t="s">
        <v>1021</v>
      </c>
      <c r="B26" s="85" t="s">
        <v>1021</v>
      </c>
      <c r="C26" s="85" t="s">
        <v>3387</v>
      </c>
      <c r="D26" s="85" t="s">
        <v>3394</v>
      </c>
    </row>
    <row r="27" spans="1:4" ht="15.75" thickBot="1" x14ac:dyDescent="0.3">
      <c r="A27" s="85" t="s">
        <v>622</v>
      </c>
      <c r="B27" s="85" t="s">
        <v>622</v>
      </c>
      <c r="C27" s="85" t="s">
        <v>3387</v>
      </c>
      <c r="D27" s="85" t="s">
        <v>3394</v>
      </c>
    </row>
    <row r="28" spans="1:4" ht="15.75" thickBot="1" x14ac:dyDescent="0.3">
      <c r="A28" s="85" t="s">
        <v>3386</v>
      </c>
      <c r="B28" s="85" t="s">
        <v>1014</v>
      </c>
      <c r="C28" s="85" t="s">
        <v>3387</v>
      </c>
      <c r="D28" s="85" t="s">
        <v>3388</v>
      </c>
    </row>
    <row r="29" spans="1:4" ht="15.75" thickBot="1" x14ac:dyDescent="0.3">
      <c r="A29" s="85" t="s">
        <v>3436</v>
      </c>
      <c r="B29" s="85" t="s">
        <v>1017</v>
      </c>
      <c r="C29" s="85" t="s">
        <v>3387</v>
      </c>
      <c r="D29" s="85" t="s">
        <v>3388</v>
      </c>
    </row>
    <row r="30" spans="1:4" ht="15.75" thickBot="1" x14ac:dyDescent="0.3">
      <c r="A30" s="85" t="s">
        <v>3419</v>
      </c>
      <c r="B30" s="85" t="s">
        <v>1023</v>
      </c>
      <c r="C30" s="85" t="s">
        <v>3387</v>
      </c>
      <c r="D30" s="85" t="s">
        <v>3420</v>
      </c>
    </row>
    <row r="31" spans="1:4" ht="15.75" thickBot="1" x14ac:dyDescent="0.3">
      <c r="A31" s="85" t="s">
        <v>3445</v>
      </c>
      <c r="B31" s="85" t="s">
        <v>1026</v>
      </c>
      <c r="C31" s="85" t="s">
        <v>3387</v>
      </c>
      <c r="D31" s="85" t="s">
        <v>3383</v>
      </c>
    </row>
    <row r="32" spans="1:4" ht="15.75" thickBot="1" x14ac:dyDescent="0.3">
      <c r="A32" s="85" t="s">
        <v>3398</v>
      </c>
      <c r="B32" s="85" t="s">
        <v>1020</v>
      </c>
      <c r="C32" s="85" t="s">
        <v>3399</v>
      </c>
      <c r="D32" s="85" t="s">
        <v>3388</v>
      </c>
    </row>
    <row r="33" spans="1:4" ht="15.75" thickBot="1" x14ac:dyDescent="0.3">
      <c r="A33" s="85" t="s">
        <v>3415</v>
      </c>
      <c r="B33" s="85" t="s">
        <v>1010</v>
      </c>
      <c r="C33" s="85" t="s">
        <v>3399</v>
      </c>
      <c r="D33" s="85" t="s">
        <v>3416</v>
      </c>
    </row>
    <row r="34" spans="1:4" ht="15.75" thickBot="1" x14ac:dyDescent="0.3">
      <c r="A34" s="85" t="s">
        <v>3446</v>
      </c>
      <c r="B34" s="85" t="s">
        <v>1025</v>
      </c>
      <c r="C34" s="85" t="s">
        <v>3399</v>
      </c>
      <c r="D34" s="85" t="s">
        <v>3447</v>
      </c>
    </row>
    <row r="35" spans="1:4" ht="15.75" thickBot="1" x14ac:dyDescent="0.3">
      <c r="A35" s="85" t="s">
        <v>3405</v>
      </c>
      <c r="B35" s="85" t="s">
        <v>1016</v>
      </c>
      <c r="C35" s="85" t="s">
        <v>3406</v>
      </c>
      <c r="D35" s="85" t="s">
        <v>3394</v>
      </c>
    </row>
    <row r="36" spans="1:4" ht="15.75" thickBot="1" x14ac:dyDescent="0.3">
      <c r="A36" s="85" t="s">
        <v>1031</v>
      </c>
      <c r="B36" s="85" t="s">
        <v>1031</v>
      </c>
      <c r="C36" s="85" t="s">
        <v>3406</v>
      </c>
      <c r="D36" s="85" t="s">
        <v>3394</v>
      </c>
    </row>
    <row r="37" spans="1:4" ht="15.75" thickBot="1" x14ac:dyDescent="0.3">
      <c r="A37" s="85" t="s">
        <v>3443</v>
      </c>
      <c r="B37" s="85" t="s">
        <v>550</v>
      </c>
      <c r="C37" s="85" t="s">
        <v>3444</v>
      </c>
      <c r="D37" s="85" t="s">
        <v>3388</v>
      </c>
    </row>
  </sheetData>
  <autoFilter ref="A1:D37">
    <sortState ref="A2:D37">
      <sortCondition ref="C1:C37"/>
    </sortState>
  </autoFilter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pane ySplit="1" topLeftCell="A2" activePane="bottomLeft" state="frozen"/>
      <selection pane="bottomLeft" activeCell="E4" sqref="E4"/>
    </sheetView>
  </sheetViews>
  <sheetFormatPr baseColWidth="10" defaultRowHeight="18.75" x14ac:dyDescent="0.3"/>
  <cols>
    <col min="1" max="16384" width="11.42578125" style="97"/>
  </cols>
  <sheetData>
    <row r="1" spans="1:5" ht="24.95" customHeight="1" x14ac:dyDescent="0.3">
      <c r="A1" s="98" t="s">
        <v>692</v>
      </c>
      <c r="B1" s="98" t="s">
        <v>3730</v>
      </c>
      <c r="C1" s="98" t="s">
        <v>1269</v>
      </c>
      <c r="D1" s="98" t="s">
        <v>3731</v>
      </c>
      <c r="E1" s="98" t="s">
        <v>3732</v>
      </c>
    </row>
    <row r="2" spans="1:5" ht="24.95" customHeight="1" x14ac:dyDescent="0.3">
      <c r="A2" s="92" t="s">
        <v>300</v>
      </c>
      <c r="B2" s="70">
        <v>6</v>
      </c>
      <c r="C2" s="70">
        <v>1</v>
      </c>
      <c r="D2" s="70">
        <v>5</v>
      </c>
      <c r="E2" s="70">
        <v>22</v>
      </c>
    </row>
    <row r="3" spans="1:5" ht="24.95" customHeight="1" x14ac:dyDescent="0.3">
      <c r="A3" s="92" t="s">
        <v>302</v>
      </c>
      <c r="B3" s="70">
        <v>6</v>
      </c>
      <c r="C3" s="70">
        <v>1</v>
      </c>
      <c r="D3" s="70">
        <v>5</v>
      </c>
      <c r="E3" s="70">
        <v>25</v>
      </c>
    </row>
    <row r="4" spans="1:5" ht="24.95" customHeight="1" x14ac:dyDescent="0.3">
      <c r="A4" s="92"/>
      <c r="B4" s="70"/>
      <c r="C4" s="70"/>
      <c r="D4" s="70"/>
      <c r="E4" s="70"/>
    </row>
    <row r="5" spans="1:5" ht="24.95" customHeight="1" x14ac:dyDescent="0.3">
      <c r="A5" s="92"/>
      <c r="B5" s="70"/>
      <c r="C5" s="70"/>
      <c r="D5" s="70"/>
      <c r="E5" s="70"/>
    </row>
    <row r="6" spans="1:5" ht="24.95" customHeight="1" x14ac:dyDescent="0.3">
      <c r="A6" s="92"/>
      <c r="B6" s="70"/>
      <c r="C6" s="70"/>
      <c r="D6" s="70"/>
      <c r="E6" s="70"/>
    </row>
    <row r="7" spans="1:5" ht="24.95" customHeight="1" x14ac:dyDescent="0.3">
      <c r="A7" s="92"/>
      <c r="B7" s="70"/>
      <c r="C7" s="70"/>
      <c r="D7" s="70"/>
      <c r="E7" s="70"/>
    </row>
    <row r="8" spans="1:5" ht="24.95" customHeight="1" x14ac:dyDescent="0.3">
      <c r="A8" s="92"/>
      <c r="B8" s="70"/>
      <c r="C8" s="70"/>
      <c r="D8" s="70"/>
      <c r="E8" s="70"/>
    </row>
    <row r="9" spans="1:5" ht="24.95" customHeight="1" x14ac:dyDescent="0.3">
      <c r="A9" s="92"/>
      <c r="B9" s="70"/>
      <c r="C9" s="70"/>
      <c r="D9" s="70"/>
      <c r="E9" s="70"/>
    </row>
    <row r="10" spans="1:5" ht="24.95" customHeight="1" x14ac:dyDescent="0.3">
      <c r="A10" s="92"/>
      <c r="B10" s="70"/>
      <c r="C10" s="70"/>
      <c r="D10" s="70"/>
      <c r="E10" s="70"/>
    </row>
    <row r="11" spans="1:5" ht="24.95" customHeight="1" x14ac:dyDescent="0.3">
      <c r="A11" s="92"/>
      <c r="B11" s="70"/>
      <c r="C11" s="70"/>
      <c r="D11" s="70"/>
      <c r="E11" s="70"/>
    </row>
    <row r="12" spans="1:5" ht="24.95" customHeight="1" x14ac:dyDescent="0.3">
      <c r="A12" s="92"/>
      <c r="B12" s="70"/>
      <c r="C12" s="70"/>
      <c r="D12" s="70"/>
      <c r="E12" s="70"/>
    </row>
    <row r="13" spans="1:5" ht="24.95" customHeight="1" x14ac:dyDescent="0.3">
      <c r="A13" s="92"/>
      <c r="B13" s="70"/>
      <c r="C13" s="70"/>
      <c r="D13" s="70"/>
      <c r="E13" s="70"/>
    </row>
    <row r="14" spans="1:5" ht="24.95" customHeight="1" x14ac:dyDescent="0.3">
      <c r="A14" s="92"/>
      <c r="B14" s="70"/>
      <c r="C14" s="70"/>
      <c r="D14" s="70"/>
      <c r="E14" s="70"/>
    </row>
    <row r="15" spans="1:5" ht="24.95" customHeight="1" x14ac:dyDescent="0.3">
      <c r="A15" s="92"/>
      <c r="B15" s="70"/>
      <c r="C15" s="70"/>
      <c r="D15" s="70"/>
      <c r="E15" s="70"/>
    </row>
    <row r="16" spans="1:5" ht="24.95" customHeight="1" x14ac:dyDescent="0.3">
      <c r="A16" s="92"/>
      <c r="B16" s="70"/>
      <c r="C16" s="70"/>
      <c r="D16" s="70"/>
      <c r="E16" s="70"/>
    </row>
    <row r="17" spans="1:5" ht="24.95" customHeight="1" x14ac:dyDescent="0.3">
      <c r="A17" s="92"/>
      <c r="B17" s="70"/>
      <c r="C17" s="70"/>
      <c r="D17" s="70"/>
      <c r="E17" s="70"/>
    </row>
    <row r="18" spans="1:5" ht="24.95" customHeight="1" x14ac:dyDescent="0.3">
      <c r="A18" s="92"/>
      <c r="B18" s="70"/>
      <c r="C18" s="70"/>
      <c r="D18" s="70"/>
      <c r="E18" s="70"/>
    </row>
    <row r="19" spans="1:5" ht="24.95" customHeight="1" x14ac:dyDescent="0.3">
      <c r="A19" s="92"/>
      <c r="B19" s="70"/>
      <c r="C19" s="70"/>
      <c r="D19" s="70"/>
      <c r="E19" s="70"/>
    </row>
    <row r="20" spans="1:5" ht="24.95" customHeight="1" x14ac:dyDescent="0.3">
      <c r="A20" s="92"/>
      <c r="B20" s="70"/>
      <c r="C20" s="70"/>
      <c r="D20" s="70"/>
      <c r="E20" s="70"/>
    </row>
    <row r="21" spans="1:5" ht="24.95" customHeight="1" x14ac:dyDescent="0.3">
      <c r="A21" s="92"/>
      <c r="B21" s="70"/>
      <c r="C21" s="70"/>
      <c r="D21" s="70"/>
      <c r="E21" s="70"/>
    </row>
    <row r="22" spans="1:5" ht="24.95" customHeight="1" x14ac:dyDescent="0.3">
      <c r="A22" s="92"/>
      <c r="B22" s="70"/>
      <c r="C22" s="70"/>
      <c r="D22" s="70"/>
      <c r="E22" s="70"/>
    </row>
    <row r="23" spans="1:5" ht="24.95" customHeight="1" x14ac:dyDescent="0.3">
      <c r="A23" s="92"/>
      <c r="B23" s="70"/>
      <c r="C23" s="70"/>
      <c r="D23" s="70"/>
      <c r="E23" s="70"/>
    </row>
    <row r="24" spans="1:5" ht="24.95" customHeight="1" x14ac:dyDescent="0.3">
      <c r="A24" s="92"/>
      <c r="B24" s="70"/>
      <c r="C24" s="70"/>
      <c r="D24" s="70"/>
      <c r="E24" s="70"/>
    </row>
    <row r="25" spans="1:5" x14ac:dyDescent="0.3">
      <c r="A25" s="96"/>
    </row>
    <row r="26" spans="1:5" x14ac:dyDescent="0.3">
      <c r="A26" s="96"/>
    </row>
    <row r="27" spans="1:5" x14ac:dyDescent="0.3">
      <c r="A27" s="9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19</vt:i4>
      </vt:variant>
    </vt:vector>
  </HeadingPairs>
  <TitlesOfParts>
    <vt:vector size="19" baseType="lpstr">
      <vt:lpstr>02-03-01</vt:lpstr>
      <vt:lpstr>Stations</vt:lpstr>
      <vt:lpstr>02-03-03-TTST</vt:lpstr>
      <vt:lpstr>02-03-03-ST</vt:lpstr>
      <vt:lpstr>02-03-PC</vt:lpstr>
      <vt:lpstr>02-03-PS</vt:lpstr>
      <vt:lpstr>02-03-PPR</vt:lpstr>
      <vt:lpstr>02-03-04</vt:lpstr>
      <vt:lpstr>Feuil2</vt:lpstr>
      <vt:lpstr>02-03-07</vt:lpstr>
      <vt:lpstr>02-03-08</vt:lpstr>
      <vt:lpstr>02-03-09</vt:lpstr>
      <vt:lpstr>02-03-PI</vt:lpstr>
      <vt:lpstr>02-03-PP</vt:lpstr>
      <vt:lpstr>02-03-PRVD</vt:lpstr>
      <vt:lpstr>02-03-10</vt:lpstr>
      <vt:lpstr>Feuil1</vt:lpstr>
      <vt:lpstr>Feuil3</vt:lpstr>
      <vt:lpstr>Feuil4</vt:lpstr>
    </vt:vector>
  </TitlesOfParts>
  <Company>SDR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BSR</dc:creator>
  <cp:lastModifiedBy>BSR</cp:lastModifiedBy>
  <dcterms:created xsi:type="dcterms:W3CDTF">2026-02-17T11:47:56Z</dcterms:created>
  <dcterms:modified xsi:type="dcterms:W3CDTF">2026-03-24T11:18:32Z</dcterms:modified>
</cp:coreProperties>
</file>