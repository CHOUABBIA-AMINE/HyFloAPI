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8663FE80-1CF9-4593-93E8-38CE4F6FC922}" xr6:coauthVersionLast="47" xr6:coauthVersionMax="47" xr10:uidLastSave="{00000000-0000-0000-0000-000000000000}"/>
  <bookViews>
    <workbookView xWindow="-110" yWindow="-110" windowWidth="19420" windowHeight="10420" firstSheet="44" activeTab="46"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 name="Feuil2" sheetId="66" r:id="rId51"/>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51" l="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<sst xmlns="http://schemas.openxmlformats.org/spreadsheetml/2006/main" count="11338" uniqueCount="6435">
  <si>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</si>
  <si>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</si>
  <si>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</si>
  <si>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</si>
  <si>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</si>
  <si>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</si>
  <si>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</si>
  <si>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</si>
  <si>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</si>
  <si>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</si>
  <si>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</si>
  <si>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</si>
  <si>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</si>
  <si>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</si>
  <si>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</si>
  <si>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</si>
  <si>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</si>
  <si>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</si>
  <si>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</si>
  <si>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</si>
  <si>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</si>
  <si>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</si>
  <si>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</si>
  <si>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</si>
  <si>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</si>
  <si>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</si>
  <si>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</si>
  <si>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</si>
  <si>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</si>
  <si>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</si>
  <si>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</si>
  <si>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</si>
  <si>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</si>
  <si>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</si>
  <si>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</si>
  <si>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</si>
  <si>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</si>
  <si>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</si>
  <si>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</si>
  <si>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</si>
  <si>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</si>
  <si>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</si>
  <si>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</si>
  <si>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</si>
  <si>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</si>
  <si>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</si>
  <si>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</si>
  <si>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</si>
  <si>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</si>
  <si>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</si>
  <si>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</si>
  <si>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</si>
  <si>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</si>
  <si>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</si>
  <si>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</si>
  <si>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</si>
  <si>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</si>
  <si>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</si>
  <si>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</si>
  <si>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</si>
  <si>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</si>
  <si>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</si>
  <si>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</si>
  <si>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</si>
  <si>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</si>
  <si>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</si>
  <si>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</si>
  <si>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</si>
  <si>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</si>
  <si>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</si>
  <si>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</si>
  <si>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</si>
  <si>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</si>
  <si>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</si>
  <si>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</si>
  <si>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</si>
  <si>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</si>
  <si>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</si>
  <si>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</si>
  <si>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</si>
  <si>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</si>
  <si>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</si>
  <si>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</si>
  <si>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</si>
  <si>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</si>
  <si>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</si>
  <si>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</si>
  <si>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</si>
  <si>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</si>
  <si>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</si>
  <si>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</si>
  <si>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</si>
  <si>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</si>
  <si>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</si>
  <si>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</si>
  <si>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</si>
  <si>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</si>
  <si>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</si>
  <si>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</si>
  <si>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</si>
  <si>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</si>
  <si>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</si>
  <si>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</si>
  <si>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</si>
  <si>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</si>
  <si>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</si>
  <si>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</si>
  <si>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</si>
  <si>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</si>
  <si>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</si>
  <si>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</si>
  <si>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</si>
  <si>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</si>
  <si>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</si>
  <si>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</si>
  <si>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</si>
  <si>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</si>
  <si>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</si>
  <si>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</si>
  <si>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</si>
  <si>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</si>
  <si>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</si>
  <si>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</si>
  <si>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</si>
  <si>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</si>
  <si>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</si>
  <si>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</si>
  <si>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</si>
  <si>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</si>
  <si>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</si>
  <si>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</si>
  <si>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</si>
  <si>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</si>
  <si>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</si>
  <si>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</si>
  <si>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</si>
  <si>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</si>
  <si>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</si>
  <si>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</si>
  <si>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</si>
  <si>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</si>
  <si>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</si>
  <si>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</si>
  <si>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</si>
  <si>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</si>
  <si>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</si>
  <si>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</si>
  <si>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</si>
  <si>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</si>
  <si>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</si>
  <si>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</si>
  <si>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</si>
  <si>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</si>
  <si>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</si>
  <si>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</si>
  <si>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</si>
  <si>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</si>
  <si>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</si>
  <si>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</si>
  <si>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</si>
  <si>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</si>
  <si>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</si>
  <si>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</si>
  <si>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</si>
  <si>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</si>
  <si>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</si>
  <si>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</si>
  <si>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</si>
  <si>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</si>
  <si>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</si>
  <si>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</si>
  <si>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</si>
  <si>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</si>
  <si>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</si>
  <si>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</si>
  <si>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</si>
  <si>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</si>
  <si>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</si>
  <si>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</si>
  <si>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</si>
  <si>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</si>
  <si>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</si>
  <si>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</si>
  <si>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</si>
  <si>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</si>
  <si>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</si>
  <si>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</si>
  <si>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</si>
  <si>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</si>
  <si>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</si>
  <si>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</si>
  <si>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</si>
  <si>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</si>
  <si>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</si>
  <si>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</si>
  <si>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</si>
  <si>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</si>
  <si>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</si>
  <si>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</si>
  <si>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</si>
  <si>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</si>
  <si>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</si>
  <si>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</si>
  <si>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</si>
  <si>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</si>
  <si>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</si>
  <si>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</si>
  <si>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</si>
  <si>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</si>
  <si>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</si>
  <si>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</si>
  <si>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</si>
  <si>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</si>
  <si>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</si>
  <si>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</si>
  <si>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</si>
  <si>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</si>
  <si>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</si>
  <si>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</si>
  <si>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</si>
  <si>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</si>
  <si>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</si>
  <si>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</si>
  <si>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</si>
  <si>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</si>
  <si>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</si>
  <si>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</si>
  <si>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</si>
  <si>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</si>
  <si>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</si>
  <si>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</si>
  <si>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</si>
  <si>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</si>
  <si>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</si>
  <si>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</si>
  <si>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</si>
  <si>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</si>
  <si>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</si>
  <si>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</si>
  <si>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</si>
  <si>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</si>
  <si>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</si>
  <si>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</si>
  <si>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</si>
  <si>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</si>
  <si>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</si>
  <si>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</si>
  <si>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</si>
  <si>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</si>
  <si>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</si>
  <si>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</si>
  <si>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</si>
  <si>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</si>
  <si>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</si>
  <si>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</si>
  <si>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</si>
  <si>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</si>
  <si>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</si>
  <si>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</si>
  <si>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</si>
  <si>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</si>
  <si>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</si>
  <si>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</si>
  <si>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</si>
  <si>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</si>
  <si>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</si>
  <si>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</si>
  <si>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</si>
  <si>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</si>
  <si>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</si>
  <si>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</si>
  <si>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</si>
  <si>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</si>
  <si>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</si>
  <si>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</si>
  <si>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</si>
  <si>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</si>
  <si>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</si>
  <si>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</si>
  <si>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</si>
  <si>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</si>
  <si>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</si>
  <si>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</si>
  <si>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</si>
  <si>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</si>
  <si>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</si>
  <si>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</si>
  <si>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</si>
  <si>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</si>
  <si>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</si>
  <si>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</si>
  <si>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</si>
  <si>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</si>
  <si>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</si>
  <si>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</si>
  <si>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</si>
  <si>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</si>
  <si>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</si>
  <si>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</si>
  <si>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</si>
  <si>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</si>
  <si>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</si>
  <si>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</si>
  <si>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</si>
  <si>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</si>
  <si>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</si>
  <si>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</si>
  <si>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</si>
  <si>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</si>
  <si>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</si>
  <si>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</si>
  <si>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</si>
  <si>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</si>
  <si>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</si>
  <si>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</si>
  <si>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</si>
  <si>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</si>
  <si>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</si>
  <si>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</si>
  <si>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</si>
  <si>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</si>
  <si>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</si>
  <si>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</si>
  <si>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</si>
  <si>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</si>
  <si>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</si>
  <si>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</si>
  <si>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</si>
  <si>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</si>
  <si>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</si>
  <si>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</si>
  <si>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</si>
  <si>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</si>
  <si>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</si>
  <si>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</si>
  <si>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</si>
  <si>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</si>
  <si>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</si>
  <si>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</si>
  <si>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</si>
  <si>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</si>
  <si>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</si>
  <si>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</si>
  <si>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</si>
  <si>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</si>
  <si>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</si>
  <si>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</si>
  <si>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</si>
  <si>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</si>
  <si>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</si>
  <si>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</si>
  <si>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</si>
  <si>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</si>
  <si>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</si>
  <si>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</si>
  <si>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</si>
  <si>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</si>
  <si>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</si>
  <si>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</si>
  <si>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</si>
  <si>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</si>
  <si>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</si>
  <si>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</si>
  <si>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</si>
  <si>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</si>
  <si>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</si>
  <si>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</si>
  <si>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</si>
  <si>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</si>
  <si>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</si>
  <si>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</si>
  <si>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</si>
  <si>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</si>
  <si>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</si>
  <si>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</si>
  <si>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</si>
  <si>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</si>
  <si>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</si>
  <si>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</si>
  <si>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</si>
  <si>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</si>
  <si>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</si>
  <si>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</si>
  <si>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</si>
  <si>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</si>
  <si>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</si>
  <si>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</si>
  <si>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</si>
  <si>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</si>
  <si>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</si>
  <si>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</si>
  <si>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</si>
  <si>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</si>
  <si>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</si>
  <si>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</si>
  <si>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</si>
  <si>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</si>
  <si>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</si>
  <si>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</si>
  <si>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</si>
  <si>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</si>
  <si>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</si>
  <si>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</si>
  <si>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</si>
  <si>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</si>
  <si>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</si>
  <si>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</si>
  <si>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</si>
  <si>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</si>
  <si>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</si>
  <si>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</si>
  <si>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</si>
  <si>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</si>
  <si>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</si>
  <si>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</si>
  <si>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</si>
  <si>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</si>
  <si>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</si>
  <si>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</si>
  <si>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</si>
  <si>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</si>
  <si>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</si>
  <si>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</si>
  <si>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</si>
  <si>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</si>
  <si>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</si>
  <si>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</si>
  <si>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</si>
  <si>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</si>
  <si>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</si>
  <si>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</si>
  <si>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</si>
  <si>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</si>
  <si>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</si>
  <si>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</si>
  <si>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</si>
  <si>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</si>
  <si>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</si>
  <si>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</si>
  <si>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</si>
  <si>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</si>
  <si>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</si>
  <si>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</si>
  <si>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</si>
  <si>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</si>
  <si>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</si>
  <si>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</si>
  <si>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</si>
  <si>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</si>
  <si>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</si>
  <si>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</si>
  <si>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</si>
  <si>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</si>
  <si>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</si>
  <si>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</si>
  <si>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</si>
  <si>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</si>
  <si>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</si>
  <si>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</si>
  <si>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</si>
  <si>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</si>
  <si>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</si>
  <si>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</si>
  <si>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</si>
  <si>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</si>
  <si>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</si>
  <si>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</si>
  <si>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</si>
  <si>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</si>
  <si>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</si>
  <si>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</si>
  <si>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</si>
  <si>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</si>
  <si>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</si>
  <si>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</si>
  <si>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</si>
  <si>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</si>
  <si>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</si>
  <si>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</si>
  <si>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</si>
  <si>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</si>
  <si>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</si>
  <si>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</si>
  <si>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</si>
  <si>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</si>
  <si>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</si>
  <si>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</si>
  <si>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</si>
  <si>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</si>
  <si>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</si>
  <si>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</si>
  <si>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</si>
  <si>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</si>
  <si>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</si>
  <si>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</si>
  <si>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</si>
  <si>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</si>
  <si>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</si>
  <si>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</si>
  <si>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</si>
  <si>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</si>
  <si>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</si>
  <si>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</si>
  <si>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</si>
  <si>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</si>
  <si>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</si>
  <si>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</si>
  <si>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</si>
  <si>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</si>
  <si>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</si>
  <si>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</si>
  <si>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</si>
  <si>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</si>
  <si>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</si>
  <si>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</si>
  <si>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</si>
  <si>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</si>
  <si>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</si>
  <si>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</si>
  <si>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</si>
  <si>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</si>
  <si>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</si>
  <si>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</si>
  <si>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</si>
  <si>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</si>
  <si>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</si>
  <si>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</si>
  <si>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</si>
  <si>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</si>
  <si>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</si>
  <si>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</si>
  <si>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</si>
  <si>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</si>
  <si>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</si>
  <si>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</si>
  <si>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</si>
  <si>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</si>
  <si>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</si>
  <si>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</si>
  <si>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</si>
  <si>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</si>
  <si>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</si>
  <si>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</si>
  <si>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</si>
  <si>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</si>
  <si>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</si>
  <si>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</si>
  <si>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</si>
  <si>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</si>
  <si>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</si>
  <si>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</si>
  <si>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</si>
  <si>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</si>
  <si>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</si>
  <si>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</si>
  <si>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</si>
  <si>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</si>
  <si>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</si>
  <si>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</si>
  <si>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</si>
  <si>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</si>
  <si>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</si>
  <si>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</si>
  <si>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</si>
  <si>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</si>
  <si>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</si>
  <si>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</si>
  <si>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</si>
  <si>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</si>
  <si>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</si>
  <si>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</si>
  <si>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</si>
  <si>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</si>
  <si>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</si>
  <si>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</si>
  <si>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</si>
  <si>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</si>
  <si>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</si>
  <si>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</si>
  <si>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</si>
  <si>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</si>
  <si>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</si>
  <si>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</si>
  <si>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</si>
  <si>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</si>
  <si>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</si>
  <si>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</si>
  <si>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</si>
  <si>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</si>
  <si>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</si>
  <si>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</si>
  <si>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</si>
  <si>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</si>
  <si>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</si>
  <si>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</si>
  <si>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</si>
  <si>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</si>
  <si>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</si>
  <si>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</si>
  <si>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</si>
  <si>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</si>
  <si>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</si>
  <si>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</si>
  <si>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</si>
  <si>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</si>
  <si>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</si>
  <si>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</si>
  <si>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</si>
  <si>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</si>
  <si>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</si>
  <si>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</si>
  <si>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</si>
  <si>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</si>
  <si>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</si>
  <si>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</si>
  <si>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</si>
  <si>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</si>
  <si>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</si>
  <si>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</si>
  <si>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</si>
  <si>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</si>
  <si>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</si>
  <si>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</si>
  <si>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</si>
  <si>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</si>
  <si>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</si>
  <si>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</si>
  <si>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</si>
  <si>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</si>
  <si>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</si>
  <si>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</si>
  <si>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</si>
  <si>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</si>
  <si>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</si>
  <si>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</si>
  <si>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</si>
  <si>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</si>
  <si>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</si>
  <si>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</si>
  <si>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</si>
  <si>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</si>
  <si>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</si>
  <si>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</si>
  <si>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</si>
  <si>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</si>
  <si>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</si>
  <si>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</si>
  <si>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</si>
  <si>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</si>
  <si>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</si>
  <si>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</si>
  <si>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</si>
  <si>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</si>
  <si>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</si>
  <si>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</si>
  <si>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</si>
  <si>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</si>
  <si>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</si>
  <si>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</si>
  <si>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</si>
  <si>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</si>
  <si>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</si>
  <si>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</si>
  <si>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</si>
  <si>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</si>
  <si>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</si>
  <si>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</si>
  <si>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</si>
  <si>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</si>
  <si>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</si>
  <si>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</si>
  <si>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</si>
  <si>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</si>
  <si>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</si>
  <si>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</si>
  <si>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</si>
  <si>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</si>
  <si>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</si>
  <si>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</si>
  <si>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</si>
  <si>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</si>
  <si>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</si>
  <si>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</si>
  <si>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</si>
  <si>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</si>
  <si>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</si>
  <si>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</si>
  <si>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</si>
  <si>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</si>
  <si>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</si>
  <si>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</si>
  <si>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</si>
  <si>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</si>
  <si>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</si>
  <si>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</si>
  <si>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</si>
  <si>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</si>
  <si>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</si>
  <si>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</si>
  <si>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</si>
  <si>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</si>
  <si>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</si>
  <si>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</si>
  <si>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</si>
  <si>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</si>
  <si>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</si>
  <si>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</si>
  <si>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</si>
  <si>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</si>
  <si>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</si>
  <si>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</si>
  <si>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</si>
  <si>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</si>
  <si>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</si>
  <si>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</si>
  <si>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</si>
  <si>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</si>
  <si>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</si>
  <si>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</si>
  <si>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</si>
  <si>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</si>
  <si>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</si>
  <si>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</si>
  <si>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</si>
  <si>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</si>
  <si>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</si>
  <si>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</si>
  <si>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</si>
  <si>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</si>
  <si>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</si>
  <si>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</si>
  <si>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</si>
  <si>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</si>
  <si>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</si>
  <si>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</si>
  <si>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</si>
  <si>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</si>
  <si>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</si>
  <si>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</si>
  <si>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</si>
  <si>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</si>
  <si>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</si>
  <si>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</si>
  <si>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</si>
  <si>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</si>
  <si>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</si>
  <si>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</si>
  <si>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</si>
  <si>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</si>
  <si>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</si>
  <si>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</si>
  <si>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</si>
  <si>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</si>
  <si>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</si>
  <si>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</si>
  <si>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</si>
  <si>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</si>
  <si>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</si>
  <si>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</si>
  <si>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</si>
  <si>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</si>
  <si>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</si>
  <si>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</si>
  <si>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</si>
  <si>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</si>
  <si>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</si>
  <si>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</si>
  <si>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</si>
  <si>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</si>
  <si>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</si>
  <si>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</si>
  <si>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</si>
  <si>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</si>
  <si>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</si>
  <si>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</si>
  <si>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</si>
  <si>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</si>
  <si>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</si>
  <si>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</si>
  <si>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</si>
  <si>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</si>
  <si>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</si>
  <si>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</si>
  <si>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</si>
  <si>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</si>
  <si>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</si>
  <si>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</si>
  <si>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</si>
  <si>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</si>
  <si>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</si>
  <si>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</si>
  <si>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</si>
  <si>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</si>
  <si>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</si>
  <si>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</si>
  <si>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</si>
  <si>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</si>
  <si>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</si>
  <si>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</si>
  <si>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</si>
  <si>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</si>
  <si>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</si>
  <si>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</si>
  <si>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</si>
  <si>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</si>
  <si>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</si>
  <si>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</si>
  <si>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</si>
  <si>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</si>
  <si>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</si>
  <si>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</si>
  <si>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</si>
  <si>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</si>
  <si>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</si>
  <si>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</si>
  <si>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</si>
  <si>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</si>
  <si>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</si>
  <si>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</si>
  <si>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</si>
  <si>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</si>
  <si>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</si>
  <si>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</si>
  <si>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</si>
  <si>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</si>
  <si>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</si>
  <si>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</si>
  <si>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</si>
  <si>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</si>
  <si>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</si>
  <si>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</si>
  <si>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</si>
  <si>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</si>
  <si>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</si>
  <si>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</si>
  <si>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</si>
  <si>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</si>
  <si>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</si>
  <si>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</si>
  <si>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</si>
  <si>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</si>
  <si>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</si>
  <si>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</si>
  <si>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</si>
  <si>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</si>
  <si>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</si>
  <si>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</si>
  <si>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</si>
  <si>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</si>
  <si>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</si>
  <si>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</si>
  <si>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</si>
  <si>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</si>
  <si>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</si>
  <si>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</si>
  <si>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</si>
  <si>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</si>
  <si>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</si>
  <si>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</si>
  <si>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</si>
  <si>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</si>
  <si>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</si>
  <si>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</si>
  <si>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</si>
  <si>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</si>
  <si>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</si>
  <si>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</si>
  <si>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</si>
  <si>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</si>
  <si>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</si>
  <si>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</si>
  <si>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</si>
  <si>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</si>
  <si>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</si>
  <si>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</si>
  <si>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</si>
  <si>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</si>
  <si>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</si>
  <si>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</si>
  <si>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</si>
  <si>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</si>
  <si>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</si>
  <si>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</si>
  <si>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</si>
  <si>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</si>
  <si>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</si>
  <si>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</si>
  <si>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</si>
  <si>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</si>
  <si>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</si>
  <si>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</si>
  <si>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</si>
  <si>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</si>
  <si>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</si>
  <si>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</si>
  <si>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</si>
  <si>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</si>
  <si>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</si>
  <si>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</si>
  <si>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</si>
  <si>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</si>
  <si>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</si>
  <si>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</si>
  <si>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</si>
  <si>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</si>
  <si>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</si>
  <si>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</si>
  <si>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</si>
  <si>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</si>
  <si>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</si>
  <si>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</si>
  <si>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</si>
  <si>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</si>
  <si>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</si>
  <si>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</si>
  <si>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</si>
  <si>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</si>
  <si>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</si>
  <si>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</si>
  <si>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</si>
  <si>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</si>
  <si>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</si>
  <si>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</si>
  <si>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</si>
  <si>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</si>
  <si>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</si>
  <si>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</si>
  <si>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</si>
  <si>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</si>
  <si>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</si>
  <si>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</si>
  <si>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</si>
  <si>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</si>
  <si>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</si>
  <si>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</si>
  <si>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</si>
  <si>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</si>
  <si>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</si>
  <si>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</si>
  <si>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</si>
  <si>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</si>
  <si>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</si>
  <si>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</si>
  <si>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</si>
  <si>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</si>
  <si>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</si>
  <si>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</si>
  <si>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</si>
  <si>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</si>
  <si>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</si>
  <si>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</si>
  <si>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</si>
  <si>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</si>
  <si>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</si>
  <si>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</si>
  <si>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</si>
  <si>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</si>
  <si>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</si>
  <si>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</si>
  <si>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</si>
  <si>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</si>
  <si>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</si>
  <si>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</si>
  <si>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</si>
  <si>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</si>
  <si>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</si>
  <si>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</si>
  <si>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</si>
  <si>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</si>
  <si>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</si>
  <si>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</si>
  <si>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</si>
  <si>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</si>
  <si>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</si>
  <si>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</si>
  <si>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</si>
  <si>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</si>
  <si>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</si>
  <si>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</si>
  <si>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</si>
  <si>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</si>
  <si>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</si>
  <si>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</si>
  <si>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</si>
  <si>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</si>
  <si>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</si>
  <si>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</si>
  <si>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</si>
  <si>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</si>
  <si>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</si>
  <si>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</si>
  <si>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</si>
  <si>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</si>
  <si>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</si>
  <si>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</si>
  <si>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</si>
  <si>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</si>
  <si>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</si>
  <si>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</si>
  <si>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</si>
  <si>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</si>
  <si>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</si>
  <si>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</si>
  <si>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</si>
  <si>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</si>
  <si>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</si>
  <si>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</si>
  <si>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</si>
  <si>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</si>
  <si>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</si>
  <si>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</si>
  <si>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</si>
  <si>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</si>
  <si>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</si>
  <si>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</si>
  <si>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</si>
  <si>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</si>
  <si>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</si>
  <si>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</si>
  <si>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</si>
  <si>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</si>
  <si>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</si>
  <si>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</si>
  <si>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</si>
  <si>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</si>
  <si>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</si>
  <si>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</si>
  <si>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</si>
  <si>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</si>
  <si>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</si>
  <si>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</si>
  <si>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</si>
  <si>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</si>
  <si>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</si>
  <si>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</si>
  <si>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</si>
  <si>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</si>
  <si>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</si>
  <si>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</si>
  <si>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</si>
  <si>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</si>
  <si>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</si>
  <si>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</si>
  <si>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</si>
  <si>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</si>
  <si>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</si>
  <si>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</si>
  <si>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</si>
  <si>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</si>
  <si>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</si>
  <si>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</si>
  <si>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</si>
  <si>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</si>
  <si>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</si>
  <si>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</si>
  <si>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</si>
  <si>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</si>
  <si>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</si>
  <si>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</si>
  <si>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</si>
  <si>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</si>
  <si>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</si>
  <si>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</si>
  <si>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</si>
  <si>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</si>
  <si>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</si>
  <si>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</si>
  <si>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</si>
  <si>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</si>
  <si>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</si>
  <si>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</si>
  <si>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</si>
  <si>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</si>
  <si>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</si>
  <si>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</si>
  <si>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</si>
  <si>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</si>
  <si>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</si>
  <si>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</si>
  <si>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</si>
  <si>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</si>
  <si>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</si>
  <si>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</si>
  <si>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</si>
  <si>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</si>
  <si>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</si>
  <si>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</si>
  <si>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</si>
  <si>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</si>
  <si>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</si>
  <si>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</si>
  <si>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</si>
  <si>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</si>
  <si>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</si>
  <si>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</si>
  <si>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</si>
  <si>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</si>
  <si>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</si>
  <si>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</si>
  <si>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</si>
  <si>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</si>
  <si>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</si>
  <si>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</si>
  <si>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</si>
  <si>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</si>
  <si>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</si>
  <si>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</si>
  <si>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</si>
  <si>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</si>
  <si>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</si>
  <si>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</si>
  <si>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</si>
  <si>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</si>
  <si>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</si>
  <si>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</si>
  <si>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</si>
  <si>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</si>
  <si>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</si>
  <si>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</si>
  <si>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</si>
  <si>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</si>
  <si>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</si>
  <si>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</si>
  <si>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</si>
  <si>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</si>
  <si>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</si>
  <si>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</si>
  <si>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</si>
  <si>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</si>
  <si>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</si>
  <si>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</si>
  <si>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</si>
  <si>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</si>
  <si>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</si>
  <si>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</si>
  <si>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</si>
  <si>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</si>
  <si>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</si>
  <si>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</si>
  <si>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</si>
  <si>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</si>
  <si>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</si>
  <si>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</si>
  <si>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</si>
  <si>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</si>
  <si>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</si>
  <si>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</si>
  <si>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</si>
  <si>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</si>
  <si>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</si>
  <si>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</si>
  <si>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</si>
  <si>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</si>
  <si>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</si>
  <si>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</si>
  <si>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</si>
  <si>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</si>
  <si>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</si>
  <si>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</si>
  <si>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</si>
  <si>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</si>
  <si>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</si>
  <si>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</si>
  <si>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</si>
  <si>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</si>
  <si>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</si>
  <si>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</si>
  <si>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</si>
  <si>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</si>
  <si>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</si>
  <si>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</si>
  <si>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</si>
  <si>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</si>
  <si>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</si>
  <si>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</si>
  <si>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</si>
  <si>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</si>
  <si>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</si>
  <si>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</si>
  <si>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</si>
  <si>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</si>
  <si>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</si>
  <si>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</si>
  <si>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</si>
  <si>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</si>
  <si>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</si>
  <si>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</si>
  <si>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</si>
  <si>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</si>
  <si>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</si>
  <si>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</si>
  <si>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</si>
  <si>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</si>
  <si>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</si>
  <si>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</si>
  <si>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</si>
  <si>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</si>
  <si>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</si>
  <si>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</si>
  <si>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</si>
  <si>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</si>
  <si>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</si>
  <si>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</si>
  <si>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</si>
  <si>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</si>
  <si>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</si>
  <si>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</si>
  <si>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</si>
  <si>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</si>
  <si>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</si>
  <si>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</si>
  <si>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</si>
  <si>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</si>
  <si>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</si>
  <si>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</si>
  <si>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</si>
  <si>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</si>
  <si>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</si>
  <si>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</si>
  <si>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</si>
  <si>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</si>
  <si>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</si>
  <si>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</si>
  <si>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</si>
  <si>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</si>
  <si>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</si>
  <si>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</si>
  <si>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</si>
  <si>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</si>
  <si>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</si>
  <si>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</si>
  <si>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</si>
  <si>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</si>
  <si>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</si>
  <si>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</si>
  <si>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</si>
  <si>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</si>
  <si>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</si>
  <si>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</si>
  <si>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</si>
  <si>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</si>
  <si>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</si>
  <si>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</si>
  <si>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</si>
  <si>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</si>
  <si>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</si>
  <si>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</si>
  <si>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</si>
  <si>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</si>
  <si>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</si>
  <si>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</si>
  <si>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</si>
  <si>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</si>
  <si>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</si>
  <si>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</si>
  <si>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</si>
  <si>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</si>
  <si>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</si>
  <si>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</si>
  <si>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</si>
  <si>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</si>
  <si>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</si>
  <si>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</si>
  <si>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</si>
  <si>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</si>
  <si>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</si>
  <si>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</si>
  <si>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</si>
  <si>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</si>
  <si>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</si>
  <si>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</si>
  <si>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</si>
  <si>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</si>
  <si>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</si>
  <si>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</si>
  <si>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</si>
  <si>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</si>
  <si>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</si>
  <si>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</si>
  <si>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</si>
  <si>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</si>
  <si>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</si>
  <si>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</si>
  <si>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</si>
  <si>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</si>
  <si>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</si>
  <si>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</si>
  <si>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</si>
  <si>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</si>
  <si>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</si>
  <si>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</si>
  <si>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</si>
  <si>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</si>
  <si>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</si>
  <si>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</si>
  <si>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</si>
  <si>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</si>
  <si>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</si>
  <si>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</si>
  <si>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</si>
  <si>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</si>
  <si>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</si>
  <si>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</si>
  <si>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</si>
  <si>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</si>
  <si>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</si>
  <si>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</si>
  <si>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</si>
  <si>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</si>
  <si>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</si>
  <si>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</si>
  <si>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</si>
  <si>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</si>
  <si>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</si>
  <si>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</si>
  <si>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</si>
  <si>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</si>
  <si>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</si>
  <si>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</si>
  <si>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</si>
  <si>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</si>
  <si>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</si>
  <si>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</si>
  <si>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</si>
  <si>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</si>
  <si>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</si>
  <si>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</si>
  <si>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</si>
  <si>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</si>
  <si>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</si>
  <si>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</si>
  <si>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</si>
  <si>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</si>
  <si>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</si>
  <si>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</si>
  <si>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</si>
  <si>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</si>
  <si>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</si>
  <si>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</si>
  <si>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</si>
  <si>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</si>
  <si>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</si>
  <si>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</si>
  <si>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</si>
  <si>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</si>
  <si>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</si>
  <si>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</si>
  <si>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</si>
  <si>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</si>
  <si>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</si>
  <si>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</si>
  <si>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</si>
  <si>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</si>
  <si>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</si>
  <si>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</si>
  <si>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</si>
  <si>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</si>
  <si>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</si>
  <si>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</si>
  <si>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</si>
  <si>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</si>
  <si>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</si>
  <si>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</si>
  <si>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</si>
  <si>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</si>
  <si>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</si>
  <si>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</si>
  <si>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</si>
  <si>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</si>
  <si>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</si>
  <si>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</si>
  <si>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</si>
  <si>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</si>
  <si>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</si>
  <si>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</si>
  <si>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</si>
  <si>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</si>
  <si>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</si>
  <si>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</si>
  <si>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</si>
  <si>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</si>
  <si>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</si>
  <si>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</si>
  <si>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</si>
  <si>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</si>
  <si>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</si>
  <si>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</si>
  <si>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</si>
  <si>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</si>
  <si>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</si>
  <si>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</si>
  <si>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</si>
  <si>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</si>
  <si>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</si>
  <si>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</si>
  <si>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</si>
  <si>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</si>
  <si>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</si>
  <si>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</si>
  <si>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</si>
  <si>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</si>
  <si>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</si>
  <si>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</si>
  <si>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</si>
  <si>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</si>
  <si>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</si>
  <si>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</si>
  <si>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</si>
  <si>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</si>
  <si>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</si>
  <si>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</si>
  <si>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</si>
  <si>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</si>
  <si>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</si>
  <si>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</si>
  <si>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</si>
  <si>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</si>
  <si>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</si>
  <si>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</si>
  <si>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</si>
  <si>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</si>
  <si>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</si>
  <si>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</si>
  <si>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</si>
  <si>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</si>
  <si>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</si>
  <si>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</si>
  <si>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</si>
  <si>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</si>
  <si>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</si>
  <si>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</si>
  <si>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</si>
  <si>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</si>
  <si>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</si>
  <si>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</si>
  <si>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</si>
  <si>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</si>
  <si>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</si>
  <si>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</si>
  <si>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</si>
  <si>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</si>
  <si>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</si>
  <si>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</si>
  <si>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</si>
  <si>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</si>
  <si>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</si>
  <si>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</si>
  <si>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</si>
  <si>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</si>
  <si>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</si>
  <si>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</si>
  <si>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</si>
  <si>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</si>
  <si>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</si>
  <si>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</si>
  <si>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</si>
  <si>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</si>
  <si>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</si>
  <si>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</si>
  <si>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</si>
  <si>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</si>
  <si>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</si>
  <si>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</si>
  <si>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</si>
  <si>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</si>
  <si>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</si>
  <si>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</si>
  <si>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</si>
  <si>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</si>
  <si>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</si>
  <si>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</si>
  <si>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</si>
  <si>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</si>
  <si>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</si>
  <si>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</si>
  <si>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</si>
  <si>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</si>
  <si>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</si>
  <si>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</si>
  <si>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</si>
  <si>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</si>
  <si>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</si>
  <si>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</si>
  <si>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</si>
  <si>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</si>
  <si>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</si>
  <si>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</si>
  <si>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</si>
  <si>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</si>
  <si>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</si>
  <si>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</si>
  <si>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</si>
  <si>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</si>
  <si>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</si>
  <si>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</si>
  <si>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</si>
  <si>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</si>
  <si>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</si>
  <si>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</si>
  <si>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</si>
  <si>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</si>
  <si>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</si>
  <si>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</si>
  <si>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</si>
  <si>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</si>
  <si>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</si>
  <si>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</si>
  <si>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</si>
  <si>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</si>
  <si>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</si>
  <si>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</si>
  <si>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</si>
  <si>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</si>
  <si>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</si>
  <si>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</si>
  <si>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</si>
  <si>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</si>
  <si>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</si>
  <si>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</si>
  <si>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</si>
  <si>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</si>
  <si>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</si>
  <si>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</si>
  <si>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</si>
  <si>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</si>
  <si>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</si>
  <si>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</si>
  <si>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</si>
  <si>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</si>
  <si>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</si>
  <si>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</si>
  <si>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</si>
  <si>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</si>
  <si>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</si>
  <si>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</si>
  <si>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</si>
  <si>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</si>
  <si>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</si>
  <si>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</si>
  <si>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</si>
  <si>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</si>
  <si>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</si>
  <si>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</si>
  <si>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</si>
  <si>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</si>
  <si>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</si>
  <si>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</si>
  <si>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</si>
  <si>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</si>
  <si>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</si>
  <si>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</si>
  <si>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</si>
  <si>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</si>
  <si>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</si>
  <si>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</si>
  <si>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</si>
  <si>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</si>
  <si>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</si>
  <si>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</si>
  <si>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</si>
  <si>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</si>
  <si>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</si>
  <si>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</si>
  <si>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</si>
  <si>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</si>
  <si>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</si>
  <si>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</si>
  <si>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</si>
  <si>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</si>
  <si>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</si>
  <si>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</si>
  <si>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</si>
  <si>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</si>
  <si>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</si>
  <si>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</si>
  <si>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</si>
  <si>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</si>
  <si>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</si>
  <si>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</si>
  <si>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</si>
  <si>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</si>
  <si>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</si>
  <si>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</si>
  <si>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</si>
  <si>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</si>
  <si>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</si>
  <si>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</si>
  <si>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</si>
  <si>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</si>
  <si>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</si>
  <si>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</si>
  <si>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</si>
  <si>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</si>
  <si>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</si>
  <si>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</si>
  <si>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</si>
  <si>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</si>
  <si>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</si>
  <si>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</si>
  <si>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</si>
  <si>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</si>
  <si>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</si>
  <si>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</si>
  <si>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</si>
  <si>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</si>
  <si>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</si>
  <si>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</si>
  <si>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</si>
  <si>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</si>
  <si>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</si>
  <si>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</si>
  <si>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</si>
  <si>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</si>
  <si>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</si>
  <si>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</si>
  <si>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</si>
  <si>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</si>
  <si>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</si>
  <si>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</si>
  <si>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</si>
  <si>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</si>
  <si>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</si>
  <si>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</si>
  <si>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</si>
  <si>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</si>
  <si>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</si>
  <si>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</si>
  <si>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</si>
  <si>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</si>
  <si>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</si>
  <si>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</si>
  <si>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</si>
  <si>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</si>
  <si>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</si>
  <si>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</si>
  <si>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</si>
  <si>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</si>
  <si>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</si>
  <si>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</si>
  <si>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</si>
  <si>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</si>
  <si>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</si>
  <si>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</si>
  <si>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</si>
  <si>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</si>
  <si>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</si>
  <si>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</si>
  <si>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</si>
  <si>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</si>
  <si>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</si>
  <si>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</si>
  <si>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</si>
  <si>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</si>
  <si>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</si>
  <si>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</si>
  <si>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</si>
  <si>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</si>
  <si>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</si>
  <si>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</si>
  <si>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</si>
  <si>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</si>
  <si>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</si>
  <si>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</si>
  <si>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</si>
  <si>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</si>
  <si>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</si>
  <si>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</si>
  <si>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</si>
  <si>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</si>
  <si>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</si>
  <si>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</si>
  <si>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</si>
  <si>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</si>
  <si>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</si>
  <si>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</si>
  <si>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</si>
  <si>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</si>
  <si>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</si>
  <si>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</si>
  <si>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</si>
  <si>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</si>
  <si>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</si>
  <si>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</si>
  <si>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</si>
  <si>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</si>
  <si>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</si>
  <si>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</si>
  <si>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</si>
  <si>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</si>
  <si>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</si>
  <si>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</si>
  <si>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</si>
  <si>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</si>
  <si>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</si>
  <si>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</si>
  <si>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</si>
  <si>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</si>
  <si>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</si>
  <si>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</si>
  <si>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</si>
  <si>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</si>
  <si>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</si>
  <si>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</si>
  <si>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</si>
  <si>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</si>
  <si>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</si>
  <si>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</si>
  <si>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</si>
  <si>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</si>
  <si>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</si>
  <si>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</si>
  <si>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</si>
  <si>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</si>
  <si>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</si>
  <si>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</si>
  <si>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</si>
  <si>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</si>
  <si>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</si>
  <si>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</si>
  <si>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</si>
  <si>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</si>
  <si>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</si>
  <si>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</si>
  <si>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</si>
  <si>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</si>
  <si>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</si>
  <si>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</si>
  <si>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</si>
  <si>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</si>
  <si>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</si>
  <si>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</si>
  <si>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</si>
  <si>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</si>
  <si>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</si>
  <si>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</si>
  <si>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</si>
  <si>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</si>
  <si>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</si>
  <si>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</si>
  <si>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</si>
  <si>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</si>
  <si>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</si>
  <si>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</si>
  <si>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</si>
  <si>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</si>
  <si>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</si>
  <si>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</si>
  <si>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</si>
  <si>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</si>
  <si>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</si>
  <si>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</si>
  <si>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</si>
  <si>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</si>
  <si>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</si>
  <si>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</si>
  <si>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</si>
  <si>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</si>
  <si>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</si>
  <si>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</si>
  <si>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</si>
  <si>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</si>
  <si>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</si>
  <si>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</si>
  <si>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</si>
  <si>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</si>
  <si>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</si>
  <si>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</si>
  <si>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</si>
  <si>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</si>
  <si>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</si>
  <si>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</si>
  <si>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</si>
  <si>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</si>
  <si>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</si>
  <si>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</si>
  <si>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</si>
  <si>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</si>
  <si>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</si>
  <si>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</si>
  <si>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</si>
  <si>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</si>
  <si>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</si>
  <si>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</si>
  <si>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</si>
  <si>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</si>
  <si>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</si>
  <si>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</si>
  <si>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</si>
  <si>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</si>
  <si>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</si>
  <si>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</si>
  <si>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</si>
  <si>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</si>
  <si>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</si>
  <si>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</si>
  <si>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</si>
  <si>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</si>
  <si>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</si>
  <si>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</si>
  <si>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</si>
  <si>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</si>
  <si>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</si>
  <si>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</si>
  <si>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</si>
  <si>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</si>
  <si>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</si>
  <si>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</si>
  <si>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</si>
  <si>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</si>
  <si>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</si>
  <si>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</si>
  <si>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</si>
  <si>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</si>
  <si>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</si>
  <si>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</si>
  <si>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</si>
  <si>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</si>
  <si>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</si>
  <si>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</si>
  <si>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</si>
  <si>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</si>
  <si>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</si>
  <si>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</si>
  <si>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</si>
  <si>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</si>
  <si>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</si>
  <si>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</si>
  <si>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</si>
  <si>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</si>
  <si>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</si>
  <si>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</si>
  <si>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</si>
  <si>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</si>
  <si>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</si>
  <si>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</si>
  <si>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</si>
  <si>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</si>
  <si>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</si>
  <si>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</si>
  <si>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</si>
  <si>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</si>
  <si>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</si>
  <si>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</si>
  <si>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</si>
  <si>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</si>
  <si>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</si>
  <si>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</si>
  <si>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</si>
  <si>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</si>
  <si>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</si>
  <si>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</si>
  <si>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</si>
  <si>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</si>
  <si>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</si>
  <si>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</si>
  <si>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</si>
  <si>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</si>
  <si>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</si>
  <si>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</si>
  <si>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</si>
  <si>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</si>
  <si>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</si>
  <si>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</si>
  <si>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</si>
  <si>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</si>
  <si>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</si>
  <si>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</si>
  <si>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</si>
  <si>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</si>
  <si>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</si>
  <si>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</si>
  <si>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</si>
  <si>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</si>
  <si>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</si>
  <si>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</si>
  <si>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</si>
  <si>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</si>
  <si>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</si>
  <si>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</si>
  <si>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</si>
  <si>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</si>
  <si>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</si>
  <si>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</si>
  <si>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</si>
  <si>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</si>
  <si>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</si>
  <si>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</si>
  <si>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</si>
  <si>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</si>
  <si>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</si>
  <si>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</si>
  <si>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</si>
  <si>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</si>
  <si>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</si>
  <si>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</si>
  <si>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</si>
  <si>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</si>
  <si>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</si>
  <si>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</si>
  <si>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</si>
  <si>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</si>
  <si>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</si>
  <si>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</si>
  <si>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</si>
  <si>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</si>
  <si>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</si>
  <si>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</si>
  <si>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</si>
  <si>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</si>
  <si>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</si>
  <si>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</si>
  <si>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</si>
  <si>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</si>
  <si>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</si>
  <si>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</si>
  <si>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</si>
  <si>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</si>
  <si>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</si>
  <si>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</si>
  <si>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</si>
  <si>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</si>
  <si>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</si>
  <si>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</si>
  <si>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</si>
  <si>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</si>
  <si>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</si>
  <si>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</si>
  <si>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</si>
  <si>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</si>
  <si>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</si>
  <si>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</si>
  <si>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</si>
  <si>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</si>
  <si>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</si>
  <si>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</si>
  <si>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</si>
  <si>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</si>
  <si>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</si>
  <si>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</si>
  <si>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</si>
  <si>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</si>
  <si>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</si>
  <si>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</si>
  <si>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</si>
  <si>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</si>
  <si>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</si>
  <si>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</si>
  <si>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</si>
  <si>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</si>
  <si>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</si>
  <si>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</si>
  <si>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</si>
  <si>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</si>
  <si>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</si>
  <si>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</si>
  <si>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</si>
  <si>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</si>
  <si>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</si>
  <si>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</si>
  <si>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</si>
  <si>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</si>
  <si>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</si>
  <si>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</si>
  <si>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</si>
  <si>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</si>
  <si>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</si>
  <si>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</si>
  <si>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</si>
  <si>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</si>
  <si>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</si>
  <si>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</si>
  <si>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</si>
  <si>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</si>
  <si>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</si>
  <si>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</si>
  <si>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</si>
  <si>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</si>
  <si>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</si>
  <si>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</si>
  <si>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</si>
  <si>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</si>
  <si>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</si>
  <si>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</si>
  <si>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</si>
  <si>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</si>
  <si>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</si>
  <si>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</si>
  <si>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</si>
  <si>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</si>
  <si>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</si>
  <si>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</si>
  <si>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</si>
  <si>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</si>
  <si>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</si>
  <si>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</si>
  <si>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</si>
  <si>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</si>
  <si>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</si>
  <si>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</si>
  <si>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</si>
  <si>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</si>
  <si>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</si>
  <si>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</si>
  <si>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</si>
  <si>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</si>
  <si>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</si>
  <si>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</si>
  <si>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</si>
  <si>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</si>
  <si>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</si>
  <si>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</si>
  <si>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</si>
  <si>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</si>
  <si>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</si>
  <si>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</si>
  <si>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</si>
  <si>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</si>
  <si>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</si>
  <si>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</si>
  <si>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</si>
  <si>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</si>
  <si>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</si>
  <si>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</si>
  <si>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</si>
  <si>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</si>
  <si>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</si>
  <si>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</si>
  <si>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</si>
  <si>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</si>
  <si>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</si>
  <si>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</si>
  <si>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</si>
  <si>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</si>
  <si>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</si>
  <si>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</si>
  <si>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</si>
  <si>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</si>
  <si>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</si>
  <si>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</si>
  <si>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</si>
  <si>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</si>
  <si>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</si>
  <si>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</si>
  <si>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</si>
  <si>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</si>
  <si>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</si>
  <si>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</si>
  <si>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</si>
  <si>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</si>
  <si>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</si>
  <si>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</si>
  <si>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</si>
  <si>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</si>
  <si>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</si>
  <si>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</si>
  <si>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</si>
  <si>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</si>
  <si>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</si>
  <si>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</si>
  <si>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</si>
  <si>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</si>
  <si>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</si>
  <si>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</si>
  <si>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</si>
  <si>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</si>
  <si>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</si>
  <si>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</si>
  <si>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</si>
  <si>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</si>
  <si>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</si>
  <si>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</si>
  <si>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</si>
  <si>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</si>
  <si>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</si>
  <si>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</si>
  <si>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</si>
  <si>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</si>
  <si>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</si>
  <si>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</si>
  <si>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</si>
  <si>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</si>
  <si>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</si>
  <si>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</si>
  <si>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</si>
  <si>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</si>
  <si>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</si>
  <si>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</si>
  <si>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</si>
  <si>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</si>
  <si>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</si>
  <si>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</si>
  <si>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</si>
  <si>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</si>
  <si>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</si>
  <si>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</si>
  <si>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</si>
  <si>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</si>
  <si>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</si>
  <si>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</si>
  <si>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</si>
  <si>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</si>
  <si>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</si>
  <si>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</si>
  <si>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</si>
  <si>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</si>
  <si>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</si>
  <si>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</si>
  <si>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</si>
  <si>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</si>
  <si>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</si>
  <si>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</si>
  <si>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</si>
  <si>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</si>
  <si>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</si>
  <si>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</si>
  <si>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</si>
  <si>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</si>
  <si>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</si>
  <si>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</si>
  <si>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</si>
  <si>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</si>
  <si>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</si>
  <si>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</si>
  <si>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</si>
  <si>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</si>
  <si>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</si>
  <si>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</si>
  <si>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</si>
  <si>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</si>
  <si>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</si>
  <si>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</si>
  <si>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</si>
  <si>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</si>
  <si>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</si>
  <si>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</si>
  <si>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</si>
  <si>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</si>
  <si>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</si>
  <si>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</si>
  <si>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</si>
  <si>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</si>
  <si>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</si>
  <si>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</si>
  <si>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</si>
  <si>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</si>
  <si>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</si>
  <si>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</si>
  <si>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</si>
  <si>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</si>
  <si>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</si>
  <si>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</si>
  <si>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</si>
  <si>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</si>
  <si>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</si>
  <si>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</si>
  <si>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</si>
  <si>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</si>
  <si>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</si>
  <si>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</si>
  <si>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</si>
  <si>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</si>
  <si>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</si>
  <si>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</si>
  <si>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</si>
  <si>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</si>
  <si>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</si>
  <si>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</si>
  <si>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</si>
  <si>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</si>
  <si>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</si>
  <si>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</si>
  <si>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</si>
  <si>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</si>
  <si>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</si>
  <si>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</si>
  <si>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</si>
  <si>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</si>
  <si>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</si>
  <si>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</si>
  <si>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</si>
  <si>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</si>
  <si>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</si>
  <si>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</si>
  <si>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</si>
  <si>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</si>
  <si>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</si>
  <si>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</si>
  <si>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</si>
  <si>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</si>
  <si>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</si>
  <si>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</si>
  <si>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</si>
  <si>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</si>
  <si>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</si>
  <si>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</si>
  <si>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</si>
  <si>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</si>
  <si>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</si>
  <si>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</si>
  <si>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</si>
  <si>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</si>
  <si>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</si>
  <si>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</si>
  <si>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</si>
  <si>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</si>
  <si>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</si>
  <si>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</si>
  <si>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</si>
  <si>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</si>
  <si>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</si>
  <si>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</si>
  <si>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</si>
  <si>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</si>
  <si>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</si>
  <si>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</si>
  <si>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</si>
  <si>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</si>
  <si>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</si>
  <si>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</si>
  <si>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</si>
  <si>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</si>
  <si>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</si>
  <si>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</si>
  <si>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</si>
  <si>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</si>
  <si>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</si>
  <si>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</si>
  <si>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</si>
  <si>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</si>
  <si>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</si>
  <si>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</si>
  <si>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</si>
  <si>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</si>
  <si>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</si>
  <si>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</si>
  <si>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</si>
  <si>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</si>
  <si>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</si>
  <si>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</si>
  <si>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</si>
  <si>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</si>
  <si>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</si>
  <si>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</si>
  <si>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</si>
  <si>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</si>
  <si>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</si>
  <si>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</si>
  <si>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</si>
  <si>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</si>
  <si>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</si>
  <si>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</si>
  <si>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</si>
  <si>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</si>
  <si>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</si>
  <si>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</si>
  <si>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</si>
  <si>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</si>
  <si>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</si>
  <si>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</si>
  <si>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</si>
  <si>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</si>
  <si>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</si>
  <si>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</si>
  <si>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</si>
  <si>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</si>
  <si>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</si>
  <si>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</si>
  <si>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</si>
  <si>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</si>
  <si>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</si>
  <si>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</si>
  <si>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</si>
  <si>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</si>
  <si>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</si>
  <si>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</si>
  <si>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</si>
  <si>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</si>
  <si>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</si>
  <si>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</si>
  <si>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</si>
  <si>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</si>
  <si>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</si>
  <si>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</si>
  <si>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</si>
  <si>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</si>
  <si>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</si>
  <si>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</si>
  <si>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</si>
  <si>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</si>
  <si>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</si>
  <si>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</si>
  <si>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</si>
  <si>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</si>
  <si>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</si>
  <si>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</si>
  <si>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</si>
  <si>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</si>
  <si>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</si>
  <si>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</si>
  <si>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</si>
  <si>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</si>
  <si>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</si>
  <si>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</si>
  <si>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</si>
  <si>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</si>
  <si>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</si>
  <si>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</si>
  <si>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</si>
  <si>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</si>
  <si>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</si>
  <si>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</si>
  <si>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</si>
  <si>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</si>
  <si>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</si>
  <si>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</si>
  <si>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</si>
  <si>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</si>
  <si>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</si>
  <si>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</si>
  <si>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</si>
  <si>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</si>
  <si>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</si>
  <si>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</si>
  <si>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</si>
  <si>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</si>
  <si>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</si>
  <si>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</si>
  <si>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</si>
  <si>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</si>
  <si>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</si>
  <si>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</si>
  <si>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</si>
  <si>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</si>
  <si>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</si>
  <si>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</si>
  <si>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</si>
  <si>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</si>
  <si>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</si>
  <si>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</si>
  <si>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</si>
  <si>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</si>
  <si>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</si>
  <si>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</si>
  <si>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</si>
  <si>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</si>
  <si>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</si>
  <si>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</si>
  <si>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</si>
  <si>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</si>
  <si>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</si>
  <si>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</si>
  <si>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</si>
  <si>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</si>
  <si>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</si>
  <si>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</si>
  <si>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</si>
  <si>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</si>
  <si>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</si>
  <si>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</si>
  <si>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</si>
  <si>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</si>
  <si>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</si>
  <si>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</si>
  <si>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</si>
  <si>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</si>
  <si>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</si>
  <si>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</si>
  <si>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</si>
  <si>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</si>
  <si>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</si>
  <si>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</si>
  <si>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</si>
  <si>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</si>
  <si>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</si>
  <si>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</si>
  <si>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</si>
  <si>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</si>
  <si>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</si>
  <si>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</si>
  <si>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</si>
  <si>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</si>
  <si>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</si>
  <si>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</si>
  <si>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</si>
  <si>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</si>
  <si>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</si>
  <si>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</si>
  <si>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</si>
  <si>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</si>
  <si>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</si>
  <si>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</si>
  <si>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</si>
  <si>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</si>
  <si>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</si>
  <si>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</si>
  <si>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</si>
  <si>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</si>
  <si>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</si>
  <si>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</si>
  <si>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</si>
  <si>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</si>
  <si>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</si>
  <si>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</si>
  <si>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</si>
  <si>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</si>
  <si>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</si>
  <si>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</si>
  <si>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</si>
  <si>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</si>
  <si>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</si>
  <si>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</si>
  <si>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</si>
  <si>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</si>
  <si>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</si>
  <si>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</si>
  <si>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</si>
  <si>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</si>
  <si>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</si>
  <si>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</si>
  <si>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</si>
  <si>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</si>
  <si>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</si>
  <si>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</si>
  <si>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</si>
  <si>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</si>
  <si>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</si>
  <si>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</si>
  <si>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</si>
  <si>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</si>
  <si>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</si>
  <si>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</si>
  <si>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</si>
  <si>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</si>
  <si>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</si>
  <si>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</si>
  <si>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</si>
  <si>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</si>
  <si>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</si>
  <si>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</si>
  <si>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</si>
  <si>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</si>
  <si>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</si>
  <si>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</si>
  <si>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</si>
  <si>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</si>
  <si>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</si>
  <si>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</si>
  <si>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</si>
  <si>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</si>
  <si>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</si>
  <si>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</si>
  <si>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</si>
  <si>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</si>
  <si>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</si>
  <si>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</si>
  <si>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</si>
  <si>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</si>
  <si>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</si>
  <si>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</si>
  <si>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</si>
  <si>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</si>
  <si>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</si>
  <si>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</si>
  <si>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</si>
  <si>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</si>
  <si>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</si>
  <si>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</si>
  <si>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</si>
  <si>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</si>
  <si>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</si>
  <si>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</si>
  <si>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</si>
  <si>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</si>
  <si>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</si>
  <si>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</si>
  <si>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</si>
  <si>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</si>
  <si>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</si>
  <si>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</si>
  <si>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</si>
  <si>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</si>
  <si>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</si>
  <si>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</si>
  <si>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</si>
  <si>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</si>
  <si>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</si>
  <si>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</si>
  <si>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</si>
  <si>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</si>
  <si>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</si>
  <si>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</si>
  <si>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</si>
  <si>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</si>
  <si>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</si>
  <si>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</si>
  <si>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</si>
  <si>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</si>
  <si>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</si>
  <si>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</si>
  <si>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</si>
  <si>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</si>
  <si>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</si>
  <si>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</si>
  <si>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</si>
  <si>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</si>
  <si>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</si>
  <si>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</si>
  <si>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</si>
  <si>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</si>
  <si>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</si>
  <si>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</si>
  <si>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</si>
  <si>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</si>
  <si>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</si>
  <si>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</si>
  <si>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</si>
  <si>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</si>
  <si>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</si>
  <si>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</si>
  <si>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</si>
  <si>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</si>
  <si>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</si>
  <si>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</si>
  <si>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</si>
  <si>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</si>
  <si>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</si>
  <si>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</si>
  <si>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</si>
  <si>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</si>
  <si>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</si>
  <si>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</si>
  <si>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</si>
  <si>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</si>
  <si>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</si>
  <si>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</si>
  <si>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</si>
  <si>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</si>
  <si>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</si>
  <si>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</si>
  <si>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</si>
  <si>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</si>
  <si>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</si>
  <si>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</si>
  <si>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</si>
  <si>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</si>
  <si>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</si>
  <si>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</si>
  <si>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</si>
  <si>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</si>
  <si>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</si>
  <si>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</si>
  <si>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</si>
  <si>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</si>
  <si>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</si>
  <si>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</si>
  <si>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</si>
  <si>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</si>
  <si>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</si>
  <si>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</si>
  <si>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</si>
  <si>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</si>
  <si>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</si>
  <si>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</si>
  <si>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</si>
  <si>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</si>
  <si>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</si>
  <si>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</si>
  <si>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</si>
  <si>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</si>
  <si>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</si>
  <si>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</si>
  <si>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</si>
  <si>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</si>
  <si>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</si>
  <si>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</si>
  <si>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</si>
  <si>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</si>
  <si>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</si>
  <si>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</si>
  <si>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</si>
  <si>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</si>
  <si>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</si>
  <si>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</si>
  <si>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</si>
  <si>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</si>
  <si>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</si>
  <si>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</si>
  <si>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</si>
  <si>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</si>
  <si>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</si>
  <si>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</si>
  <si>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</si>
  <si>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</si>
  <si>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</si>
  <si>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</si>
  <si>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</si>
  <si>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</si>
  <si>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</si>
  <si>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</si>
  <si>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</si>
  <si>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</si>
  <si>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</si>
  <si>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</si>
  <si>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</si>
  <si>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</si>
  <si>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</si>
  <si>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</si>
  <si>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</si>
  <si>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</si>
  <si>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</si>
  <si>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</si>
  <si>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</si>
  <si>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</si>
  <si>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</si>
  <si>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</si>
  <si>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</si>
  <si>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</si>
  <si>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</si>
  <si>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</si>
  <si>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</si>
  <si>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</si>
  <si>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</si>
  <si>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</si>
  <si>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</si>
  <si>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</si>
  <si>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</si>
  <si>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</si>
  <si>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</si>
  <si>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</si>
  <si>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</si>
  <si>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</si>
  <si>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</si>
  <si>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</si>
  <si>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</si>
  <si>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</si>
  <si>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</si>
  <si>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</si>
  <si>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</si>
  <si>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</si>
  <si>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</si>
  <si>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</si>
  <si>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</si>
  <si>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</si>
  <si>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</si>
  <si>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</si>
  <si>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</si>
  <si>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</si>
  <si>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</si>
  <si>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</si>
  <si>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</si>
  <si>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</si>
  <si>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</si>
  <si>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</si>
  <si>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</si>
  <si>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</si>
  <si>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</si>
  <si>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</si>
  <si>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</si>
  <si>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</si>
  <si>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</si>
  <si>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</si>
  <si>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</si>
  <si>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</si>
  <si>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</si>
  <si>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</si>
  <si>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</si>
  <si>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</si>
  <si>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</si>
  <si>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</si>
  <si>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</si>
  <si>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</si>
  <si>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</si>
  <si>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</si>
  <si>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</si>
  <si>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</si>
  <si>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</si>
  <si>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</si>
  <si>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</si>
  <si>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</si>
  <si>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</si>
  <si>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</si>
  <si>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</si>
  <si>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</si>
  <si>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</si>
  <si>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</si>
  <si>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</si>
  <si>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</si>
  <si>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</si>
  <si>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</si>
  <si>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</si>
  <si>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</si>
  <si>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</si>
  <si>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</si>
  <si>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</si>
  <si>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</si>
  <si>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</si>
  <si>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</si>
  <si>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</si>
  <si>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</si>
  <si>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</si>
  <si>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</si>
  <si>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</si>
  <si>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</si>
  <si>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</si>
  <si>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</si>
  <si>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</si>
  <si>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</si>
  <si>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</si>
  <si>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</si>
  <si>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</si>
  <si>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</si>
  <si>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</si>
  <si>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</si>
  <si>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</si>
  <si>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</si>
  <si>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</si>
  <si>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</si>
  <si>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</si>
  <si>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</si>
  <si>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</si>
  <si>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</si>
  <si>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</si>
  <si>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</si>
  <si>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</si>
  <si>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</si>
  <si>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</si>
  <si>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</si>
  <si>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</si>
  <si>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</si>
  <si>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</si>
  <si>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</si>
  <si>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</si>
  <si>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</si>
  <si>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</si>
  <si>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</si>
  <si>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</si>
  <si>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</si>
  <si>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</si>
  <si>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</si>
  <si>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</si>
  <si>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</si>
  <si>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</si>
  <si>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</si>
  <si>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</si>
  <si>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</si>
  <si>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</si>
  <si>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</si>
  <si>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</si>
  <si>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</si>
  <si>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</si>
  <si>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</si>
  <si>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</si>
  <si>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</si>
  <si>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</si>
  <si>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</si>
  <si>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</si>
  <si>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</si>
  <si>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</si>
  <si>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</si>
  <si>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</si>
  <si>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</si>
  <si>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</si>
  <si>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</si>
  <si>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</si>
  <si>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</si>
  <si>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</si>
  <si>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</si>
  <si>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</si>
  <si>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</si>
  <si>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</si>
  <si>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</si>
  <si>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</si>
  <si>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</si>
  <si>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</si>
  <si>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</si>
  <si>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</si>
  <si>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</si>
  <si>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</si>
  <si>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</si>
  <si>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</si>
  <si>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</si>
  <si>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</si>
  <si>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</si>
  <si>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</si>
  <si>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</si>
  <si>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</si>
  <si>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</si>
  <si>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</si>
  <si>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</si>
  <si>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</si>
  <si>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</si>
  <si>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</si>
  <si>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</si>
  <si>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</si>
  <si>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</si>
  <si>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</si>
  <si>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</si>
  <si>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</si>
  <si>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</si>
  <si>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</si>
  <si>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</si>
  <si>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</si>
  <si>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</si>
  <si>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</si>
  <si>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</si>
  <si>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</si>
  <si>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</si>
  <si>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</si>
  <si>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</si>
  <si>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</si>
  <si>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</si>
  <si>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</si>
  <si>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</si>
  <si>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</si>
  <si>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</si>
  <si>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</si>
  <si>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</si>
  <si>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</si>
  <si>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</si>
  <si>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</si>
  <si>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</si>
  <si>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</si>
  <si>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</si>
  <si>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</si>
  <si>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</si>
  <si>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</si>
  <si>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</si>
  <si>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</si>
  <si>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</si>
  <si>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</si>
  <si>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</si>
  <si>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</si>
  <si>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</si>
  <si>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</si>
  <si>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</si>
  <si>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</si>
  <si>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</si>
  <si>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</si>
  <si>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</si>
  <si>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</si>
  <si>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</si>
  <si>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</si>
  <si>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</si>
  <si>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</si>
  <si>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</si>
  <si>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</si>
  <si>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</si>
  <si>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</si>
  <si>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</si>
  <si>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</si>
  <si>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</si>
  <si>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</si>
  <si>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</si>
  <si>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</si>
  <si>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</si>
  <si>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</si>
  <si>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</si>
  <si>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</si>
  <si>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</si>
  <si>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</si>
  <si>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</si>
  <si>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</si>
  <si>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</si>
  <si>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</si>
  <si>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</si>
  <si>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</si>
  <si>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</si>
  <si>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</si>
  <si>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</si>
  <si>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</si>
  <si>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</si>
  <si>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</si>
  <si>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</si>
  <si>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</si>
  <si>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</si>
  <si>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</si>
  <si>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</si>
  <si>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</si>
  <si>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</si>
  <si>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</si>
  <si>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</si>
  <si>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</si>
  <si>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</si>
  <si>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</si>
  <si>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</si>
  <si>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</si>
  <si>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</si>
  <si>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</si>
  <si>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</si>
  <si>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</si>
  <si>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</si>
  <si>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</si>
  <si>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</si>
  <si>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</si>
  <si>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</si>
  <si>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</si>
  <si>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</si>
  <si>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</si>
  <si>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</si>
  <si>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</si>
  <si>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</si>
  <si>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</si>
  <si>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</si>
  <si>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</si>
  <si>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</si>
  <si>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</si>
  <si>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</si>
  <si>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</si>
  <si>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</si>
  <si>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</si>
  <si>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</si>
  <si>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</si>
  <si>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</si>
  <si>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</si>
  <si>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</si>
  <si>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</si>
  <si>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</si>
  <si>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</si>
  <si>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</si>
  <si>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</si>
  <si>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</si>
  <si>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</si>
  <si>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</si>
  <si>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</si>
  <si>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</si>
  <si>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</si>
  <si>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</si>
  <si>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</si>
  <si>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</si>
  <si>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</si>
  <si>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</si>
  <si>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</si>
  <si>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</si>
  <si>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</si>
  <si>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</si>
  <si>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</si>
  <si>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</si>
  <si>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</si>
  <si>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</si>
  <si>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</si>
  <si>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</si>
  <si>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</si>
  <si>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</si>
  <si>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</si>
  <si>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</si>
  <si>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</si>
  <si>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</si>
  <si>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</si>
  <si>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</si>
  <si>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</si>
  <si>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</si>
  <si>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</si>
  <si>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</si>
  <si>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</si>
  <si>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</si>
  <si>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</si>
  <si>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</si>
  <si>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</si>
  <si>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</si>
  <si>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</si>
  <si>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</si>
  <si>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</si>
  <si>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</si>
  <si>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</si>
  <si>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</si>
  <si>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</si>
  <si>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</si>
  <si>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</si>
  <si>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</si>
  <si>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</si>
  <si>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</si>
  <si>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</si>
  <si>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</si>
  <si>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</si>
  <si>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</si>
  <si>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</si>
  <si>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</si>
  <si>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</si>
  <si>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</si>
  <si>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</si>
  <si>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</si>
  <si>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</si>
  <si>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</si>
  <si>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</si>
  <si>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</si>
  <si>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</si>
  <si>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</si>
  <si>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</si>
  <si>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</si>
  <si>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</si>
  <si>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</si>
  <si>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</si>
  <si>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</si>
  <si>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</si>
  <si>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</si>
  <si>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</si>
  <si>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</si>
  <si>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</si>
  <si>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</si>
  <si>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</si>
  <si>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</si>
  <si>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</si>
  <si>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</si>
  <si>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</si>
  <si>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</si>
  <si>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</si>
  <si>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</si>
  <si>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</si>
  <si>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</si>
  <si>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</si>
  <si>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</si>
  <si>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</si>
  <si>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</si>
  <si>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</si>
  <si>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</si>
  <si>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</si>
  <si>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</si>
  <si>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</si>
  <si>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</si>
  <si>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</si>
  <si>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</si>
  <si>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</si>
  <si>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</si>
  <si>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</si>
  <si>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</si>
  <si>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</si>
  <si>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</si>
  <si>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</si>
  <si>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</si>
  <si>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</si>
  <si>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</si>
  <si>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</si>
  <si>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</si>
  <si>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</si>
  <si>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</si>
  <si>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</si>
  <si>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</si>
  <si>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</si>
  <si>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</si>
  <si>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</si>
  <si>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</si>
  <si>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</si>
  <si>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</si>
  <si>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</si>
  <si>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</si>
  <si>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</si>
  <si>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</si>
  <si>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</si>
  <si>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</si>
  <si>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</si>
  <si>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</si>
  <si>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</si>
  <si>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</si>
  <si>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</si>
  <si>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</si>
  <si>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</si>
  <si>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</si>
  <si>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</si>
  <si>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</si>
  <si>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</si>
  <si>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</si>
  <si>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</si>
  <si>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</si>
  <si>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</si>
  <si>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</si>
  <si>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</si>
  <si>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</si>
  <si>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</si>
  <si>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</si>
  <si>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</si>
  <si>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</si>
  <si>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</si>
  <si>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</si>
  <si>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</si>
  <si>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</si>
  <si>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</si>
  <si>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</si>
  <si>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</si>
  <si>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</si>
  <si>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</si>
  <si>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</si>
  <si>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</si>
  <si>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</si>
  <si>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</si>
  <si>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</si>
  <si>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</si>
  <si>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</si>
  <si>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</si>
  <si>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</si>
  <si>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</si>
  <si>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</si>
  <si>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</si>
  <si>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</si>
  <si>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</si>
  <si>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</si>
  <si>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</si>
  <si>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</si>
  <si>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</si>
  <si>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</si>
  <si>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</si>
  <si>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</si>
  <si>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</si>
  <si>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</si>
  <si>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</si>
  <si>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</si>
  <si>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</si>
  <si>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</si>
  <si>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</si>
  <si>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</si>
  <si>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</si>
  <si>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</si>
  <si>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</si>
  <si>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</si>
  <si>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</si>
  <si>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</si>
  <si>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</si>
  <si>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</si>
  <si>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</si>
  <si>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</si>
  <si>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</si>
  <si>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</si>
  <si>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</si>
  <si>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</si>
  <si>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</si>
  <si>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</si>
  <si>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</si>
  <si>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</si>
  <si>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</si>
  <si>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</si>
  <si>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</si>
  <si>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</si>
  <si>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</si>
  <si>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</si>
  <si>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</si>
  <si>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</si>
  <si>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</si>
  <si>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</si>
  <si>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</si>
  <si>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</si>
  <si>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</si>
  <si>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</si>
  <si>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</si>
  <si>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</si>
  <si>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</si>
  <si>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</si>
  <si>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</si>
  <si>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</si>
  <si>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</si>
  <si>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</si>
  <si>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</si>
  <si>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</si>
  <si>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</si>
  <si>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</si>
  <si>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</si>
  <si>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</si>
  <si>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</si>
  <si>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</si>
  <si>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</si>
  <si>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</si>
  <si>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</si>
  <si>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</si>
  <si>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</si>
  <si>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</si>
  <si>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</si>
  <si>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</si>
  <si>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</si>
  <si>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</si>
  <si>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</si>
  <si>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</si>
  <si>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</si>
  <si>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</si>
  <si>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</si>
  <si>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</si>
  <si>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</si>
  <si>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</si>
  <si>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</si>
  <si>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</si>
  <si>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</si>
  <si>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</si>
  <si>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</si>
  <si>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</si>
  <si>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</si>
  <si>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</si>
  <si>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</si>
  <si>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</si>
  <si>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</si>
  <si>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</si>
  <si>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</si>
  <si>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</si>
  <si>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</si>
  <si>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</si>
  <si>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</si>
  <si>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</si>
  <si>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</si>
  <si>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</si>
  <si>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</si>
  <si>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</si>
  <si>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</si>
  <si>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</si>
  <si>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</si>
  <si>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</si>
  <si>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</si>
  <si>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</si>
  <si>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</si>
  <si>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</si>
  <si>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</si>
  <si>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</si>
  <si>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</si>
  <si>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</si>
  <si>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</si>
  <si>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</si>
  <si>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</si>
  <si>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</si>
  <si>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</si>
  <si>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</si>
  <si>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</si>
  <si>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</si>
  <si>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</si>
  <si>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</si>
  <si>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</si>
  <si>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</si>
  <si>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</si>
  <si>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</si>
  <si>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</si>
  <si>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</si>
  <si>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</si>
  <si>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</si>
  <si>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</si>
  <si>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</si>
  <si>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</si>
  <si>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</si>
  <si>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</si>
  <si>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</si>
  <si>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</si>
  <si>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</si>
  <si>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</si>
  <si>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</si>
  <si>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</si>
  <si>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</si>
  <si>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</si>
  <si>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</si>
  <si>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</si>
  <si>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</si>
  <si>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</si>
  <si>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</si>
  <si>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</si>
  <si>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</si>
  <si>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</si>
  <si>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</si>
  <si>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</si>
  <si>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</si>
  <si>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</si>
  <si>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</si>
  <si>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</si>
  <si>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</si>
  <si>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</si>
  <si>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</si>
  <si>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</si>
  <si>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</si>
  <si>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</si>
  <si>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</si>
  <si>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</si>
  <si>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</si>
  <si>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</si>
  <si>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</si>
  <si>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</si>
  <si>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</si>
  <si>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</si>
  <si>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</si>
  <si>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</si>
  <si>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</si>
  <si>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</si>
  <si>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</si>
  <si>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</si>
  <si>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</si>
  <si>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</si>
  <si>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</si>
  <si>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</si>
  <si>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</si>
  <si>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</si>
  <si>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</si>
  <si>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</si>
  <si>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</si>
  <si>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</si>
  <si>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</si>
  <si>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</si>
  <si>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</si>
  <si>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</si>
  <si>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</si>
  <si>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</si>
  <si>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</si>
  <si>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</si>
  <si>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</si>
  <si>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</si>
  <si>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</si>
  <si>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</si>
  <si>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</si>
  <si>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</si>
  <si>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</si>
  <si>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</si>
  <si>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</si>
  <si>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</si>
  <si>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</si>
  <si>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</si>
  <si>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</si>
  <si>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</si>
  <si>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</si>
  <si>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</si>
  <si>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</si>
  <si>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</si>
  <si>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</si>
  <si>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</si>
  <si>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</si>
  <si>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</si>
  <si>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</si>
  <si>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</si>
  <si>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</si>
  <si>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</si>
  <si>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</si>
  <si>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</si>
  <si>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</si>
  <si>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</si>
  <si>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</si>
  <si>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</si>
  <si>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</si>
  <si>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</si>
  <si>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</si>
  <si>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</si>
  <si>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</si>
  <si>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</si>
  <si>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</si>
  <si>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</si>
  <si>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</si>
  <si>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</si>
  <si>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</si>
  <si>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</si>
  <si>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</si>
  <si>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</si>
  <si>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</si>
  <si>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</si>
  <si>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</si>
  <si>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</si>
  <si>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</si>
  <si>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</si>
  <si>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</si>
  <si>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</si>
  <si>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</si>
  <si>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</si>
  <si>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</si>
  <si>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</si>
  <si>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</si>
  <si>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</si>
  <si>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</si>
  <si>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</si>
  <si>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</si>
  <si>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</si>
  <si>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</si>
  <si>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</si>
  <si>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</si>
  <si>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</si>
  <si>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</si>
  <si>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</si>
  <si>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</si>
  <si>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</si>
  <si>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</si>
  <si>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</si>
  <si>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</si>
  <si>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</si>
  <si>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</si>
  <si>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</si>
  <si>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</si>
  <si>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</si>
  <si>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</si>
  <si>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</si>
  <si>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</si>
  <si>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</si>
  <si>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</si>
  <si>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</si>
  <si>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</si>
  <si>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</si>
  <si>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</si>
  <si>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</si>
  <si>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</si>
  <si>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</si>
  <si>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</si>
  <si>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</si>
  <si>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</si>
  <si>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</si>
  <si>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</si>
  <si>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</si>
  <si>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</si>
  <si>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</si>
  <si>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</si>
  <si>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</si>
  <si>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</si>
  <si>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</si>
  <si>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</si>
  <si>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</si>
  <si>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</si>
  <si>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</si>
  <si>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</si>
  <si>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</si>
  <si>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</si>
  <si>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</si>
  <si>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</si>
  <si>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</si>
  <si>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</si>
  <si>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</si>
  <si>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</si>
  <si>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</si>
  <si>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</si>
  <si>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</si>
  <si>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</si>
  <si>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</si>
  <si>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</si>
  <si>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</si>
  <si>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</si>
  <si>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</si>
  <si>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</si>
  <si>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</si>
  <si>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</si>
  <si>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</si>
  <si>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</si>
  <si>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</si>
  <si>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</si>
  <si>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</si>
  <si>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</si>
  <si>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</si>
  <si>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</si>
  <si>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</si>
  <si>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</si>
  <si>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</si>
  <si>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</si>
  <si>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</si>
  <si>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</si>
  <si>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</si>
  <si>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</si>
  <si>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</si>
  <si>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</si>
  <si>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</si>
  <si>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</si>
  <si>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</si>
  <si>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</si>
  <si>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</si>
  <si>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</si>
  <si>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</si>
  <si>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</si>
  <si>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</si>
  <si>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</si>
  <si>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</si>
  <si>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</si>
  <si>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</si>
  <si>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</si>
  <si>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</si>
  <si>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</si>
  <si>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</si>
  <si>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</si>
  <si>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</si>
  <si>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</si>
  <si>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</si>
  <si>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</si>
  <si>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</si>
  <si>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</si>
  <si>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</si>
  <si>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</si>
  <si>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</si>
  <si>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</si>
  <si>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</si>
  <si>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</si>
  <si>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</si>
  <si>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</si>
  <si>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</si>
  <si>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</si>
  <si>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</si>
  <si>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</si>
  <si>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</si>
  <si>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</si>
  <si>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</si>
  <si>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</si>
  <si>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</si>
  <si>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</si>
  <si>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</si>
  <si>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</si>
  <si>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</si>
  <si>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</si>
  <si>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</si>
  <si>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</si>
  <si>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</si>
  <si>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</si>
  <si>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</si>
  <si>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</si>
  <si>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</si>
  <si>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</si>
  <si>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</si>
  <si>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</si>
  <si>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</si>
  <si>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</si>
  <si>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</si>
  <si>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</si>
  <si>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</si>
  <si>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</si>
  <si>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</si>
  <si>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</si>
  <si>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</si>
  <si>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</si>
  <si>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</si>
  <si>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</si>
  <si>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</si>
  <si>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</si>
  <si>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</si>
  <si>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</si>
  <si>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</si>
  <si>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</si>
  <si>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</si>
  <si>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</si>
  <si>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</si>
  <si>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</si>
  <si>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</si>
  <si>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</si>
  <si>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</si>
  <si>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</si>
  <si>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</si>
  <si>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</si>
  <si>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</si>
  <si>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</si>
  <si>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</si>
  <si>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</si>
  <si>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</si>
  <si>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</si>
  <si>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</si>
  <si>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</si>
  <si>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</si>
  <si>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</si>
  <si>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</si>
  <si>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</si>
  <si>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</si>
  <si>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</si>
  <si>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</si>
  <si>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</si>
  <si>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</si>
  <si>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</si>
  <si>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</si>
  <si>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</si>
  <si>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</si>
  <si>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</si>
  <si>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</si>
  <si>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</si>
  <si>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</si>
  <si>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</si>
  <si>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</si>
  <si>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</si>
  <si>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</si>
  <si>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</si>
  <si>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</si>
  <si>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</si>
  <si>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</si>
  <si>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</si>
  <si>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</si>
  <si>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</si>
  <si>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</si>
  <si>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</si>
  <si>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</si>
  <si>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</si>
  <si>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</si>
  <si>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</si>
  <si>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</si>
  <si>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</si>
  <si>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</si>
  <si>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</si>
  <si>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</si>
  <si>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</si>
  <si>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</si>
  <si>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</si>
  <si>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</si>
  <si>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</si>
  <si>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</si>
  <si>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</si>
  <si>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</si>
  <si>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</si>
  <si>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</si>
  <si>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</si>
  <si>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</si>
  <si>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</si>
  <si>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</si>
  <si>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</si>
  <si>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</si>
  <si>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</si>
  <si>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</si>
  <si>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</si>
  <si>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</si>
  <si>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</si>
  <si>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</si>
  <si>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</si>
  <si>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</si>
  <si>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</si>
  <si>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</si>
  <si>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</si>
  <si>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</si>
  <si>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</si>
  <si>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</si>
  <si>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</si>
  <si>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</si>
  <si>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</si>
  <si>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</si>
  <si>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</si>
  <si>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</si>
  <si>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</si>
  <si>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</si>
  <si>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</si>
  <si>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</si>
  <si>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</si>
  <si>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</si>
  <si>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</si>
  <si>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</si>
  <si>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</si>
  <si>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</si>
  <si>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</si>
  <si>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</si>
  <si>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</si>
  <si>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</si>
  <si>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</si>
  <si>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</si>
  <si>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</si>
  <si>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</si>
  <si>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</si>
  <si>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</si>
  <si>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</si>
  <si>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</si>
  <si>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</si>
  <si>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</si>
  <si>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</si>
  <si>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</si>
  <si>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</si>
  <si>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</si>
  <si>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</si>
  <si>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</si>
  <si>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</si>
  <si>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</si>
  <si>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</si>
  <si>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</si>
  <si>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</si>
  <si>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</si>
  <si>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</si>
  <si>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</si>
  <si>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</si>
  <si>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</si>
  <si>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</si>
  <si>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</si>
  <si>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</si>
  <si>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</si>
  <si>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</si>
  <si>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</si>
  <si>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</si>
  <si>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</si>
  <si>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</si>
  <si>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</si>
  <si>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</si>
  <si>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</si>
  <si>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</si>
  <si>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</si>
  <si>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</si>
  <si>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</si>
  <si>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</si>
  <si>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</si>
  <si>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</si>
  <si>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</si>
  <si>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</si>
  <si>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</si>
  <si>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</si>
  <si>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</si>
  <si>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</si>
  <si>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</si>
  <si>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</si>
  <si>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</si>
  <si>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</si>
  <si>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</si>
  <si>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</si>
  <si>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</si>
  <si>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</si>
  <si>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</si>
  <si>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</si>
  <si>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</si>
  <si>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</si>
  <si>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</si>
  <si>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</si>
  <si>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</si>
  <si>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</si>
  <si>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</si>
  <si>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</si>
  <si>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</si>
  <si>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</si>
  <si>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</si>
  <si>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</si>
  <si>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</si>
  <si>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</si>
  <si>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</si>
  <si>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</si>
  <si>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</si>
  <si>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</si>
  <si>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</si>
  <si>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</si>
  <si>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</si>
  <si>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</si>
  <si>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</si>
  <si>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</si>
  <si>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</si>
  <si>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</si>
  <si>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</si>
  <si>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</si>
  <si>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</si>
  <si>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</si>
  <si>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</si>
  <si>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</si>
  <si>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</si>
  <si>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</si>
  <si>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</si>
  <si>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</si>
  <si>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</si>
  <si>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</si>
  <si>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</si>
  <si>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</si>
  <si>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</si>
  <si>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</si>
  <si>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</si>
  <si>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</si>
  <si>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</si>
  <si>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</si>
  <si>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</si>
  <si>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</si>
  <si>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</si>
  <si>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</si>
  <si>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</si>
  <si>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</si>
  <si>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</si>
  <si>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</si>
  <si>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</si>
  <si>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</si>
  <si>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</si>
  <si>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</si>
  <si>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</si>
  <si>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</si>
  <si>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</si>
  <si>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</si>
  <si>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</si>
  <si>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</si>
  <si>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</si>
  <si>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</si>
  <si>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</si>
  <si>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</si>
  <si>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</si>
  <si>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</si>
  <si>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</si>
  <si>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</si>
  <si>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</si>
  <si>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</si>
  <si>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</si>
  <si>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</si>
  <si>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</si>
  <si>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</si>
  <si>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</si>
  <si>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</si>
  <si>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</si>
  <si>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</si>
  <si>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</si>
  <si>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</si>
  <si>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</si>
  <si>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</si>
  <si>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</si>
  <si>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</si>
  <si>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</si>
  <si>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</si>
  <si>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</si>
  <si>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</si>
  <si>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</si>
  <si>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</si>
  <si>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</si>
  <si>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</si>
  <si>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</si>
  <si>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</si>
  <si>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</si>
  <si>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</si>
  <si>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</si>
  <si>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</si>
  <si>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</si>
  <si>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</si>
  <si>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</si>
  <si>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</si>
  <si>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</si>
  <si>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</si>
  <si>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</si>
  <si>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</si>
  <si>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</si>
  <si>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</si>
  <si>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</si>
  <si>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</si>
  <si>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</si>
  <si>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</si>
  <si>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</si>
  <si>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</si>
  <si>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</si>
  <si>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</si>
  <si>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</si>
  <si>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</si>
  <si>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</si>
  <si>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</si>
  <si>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</si>
  <si>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</si>
  <si>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</si>
  <si>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</si>
  <si>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</si>
  <si>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</si>
  <si>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</si>
  <si>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</si>
  <si>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</si>
  <si>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</si>
  <si>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</si>
  <si>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</si>
  <si>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</si>
  <si>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</si>
  <si>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</si>
  <si>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</si>
  <si>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</si>
  <si>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</si>
  <si>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</si>
  <si>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</si>
  <si>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</si>
  <si>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</si>
  <si>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</si>
  <si>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</si>
  <si>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</si>
  <si>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</si>
  <si>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</si>
  <si>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</si>
  <si>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</si>
  <si>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</si>
  <si>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</si>
  <si>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</si>
  <si>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</si>
  <si>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</si>
  <si>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</si>
  <si>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</si>
  <si>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</si>
  <si>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</si>
  <si>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</si>
  <si>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</si>
  <si>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</si>
  <si>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</si>
  <si>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</si>
  <si>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</si>
  <si>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</si>
  <si>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</si>
  <si>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</si>
  <si>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</si>
  <si>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</si>
  <si>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</si>
  <si>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</si>
  <si>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</si>
  <si>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</si>
  <si>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</si>
  <si>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</si>
  <si>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</si>
  <si>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</si>
  <si>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</si>
  <si>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</si>
  <si>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</si>
  <si>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</si>
  <si>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</si>
  <si>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</si>
  <si>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</si>
  <si>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</si>
  <si>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</si>
  <si>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</si>
  <si>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</si>
  <si>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</si>
  <si>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</si>
  <si>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</si>
  <si>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</si>
  <si>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</si>
  <si>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</si>
  <si>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</si>
  <si>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</si>
  <si>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</si>
  <si>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</si>
  <si>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</si>
  <si>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</si>
  <si>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</si>
  <si>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</si>
  <si>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</si>
  <si>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</si>
  <si>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</si>
  <si>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</si>
  <si>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</si>
  <si>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</si>
  <si>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</si>
  <si>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</si>
  <si>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</si>
  <si>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</si>
  <si>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</si>
  <si>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</si>
  <si>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</si>
  <si>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</si>
  <si>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</si>
  <si>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</si>
  <si>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</si>
  <si>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</si>
  <si>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</si>
  <si>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</si>
  <si>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</si>
  <si>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</si>
  <si>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</si>
  <si>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</si>
  <si>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</si>
  <si>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</si>
  <si>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</si>
  <si>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</si>
  <si>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</si>
  <si>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</si>
  <si>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</si>
  <si>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</si>
  <si>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</si>
  <si>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</si>
  <si>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</si>
  <si>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</si>
  <si>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</si>
  <si>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</si>
  <si>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</si>
  <si>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</si>
  <si>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</si>
  <si>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</si>
  <si>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</si>
  <si>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</si>
  <si>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</si>
  <si>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</si>
  <si>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</si>
  <si>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</si>
  <si>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</si>
  <si>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</si>
  <si>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</si>
  <si>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</si>
  <si>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</si>
  <si>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</si>
  <si>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</si>
  <si>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</si>
  <si>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</si>
  <si>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</si>
  <si>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</si>
  <si>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</si>
  <si>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</si>
  <si>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</si>
  <si>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</si>
  <si>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</si>
  <si>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</si>
  <si>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</si>
  <si>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</si>
  <si>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</si>
  <si>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</si>
  <si>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</si>
  <si>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</si>
  <si>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</si>
  <si>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</si>
  <si>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</si>
  <si>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</si>
  <si>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</si>
  <si>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</si>
  <si>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</si>
  <si>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</si>
  <si>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</si>
  <si>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</si>
  <si>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</si>
  <si>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</si>
  <si>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</si>
  <si>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</si>
  <si>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</si>
  <si>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</si>
  <si>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</si>
  <si>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</si>
  <si>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</si>
  <si>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</si>
  <si>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</si>
  <si>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</si>
  <si>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</si>
  <si>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</si>
  <si>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</si>
  <si>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</si>
  <si>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</si>
  <si>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</si>
  <si>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</si>
  <si>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</si>
  <si>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</si>
  <si>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</si>
  <si>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</si>
  <si>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</si>
  <si>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</si>
  <si>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</si>
  <si>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</si>
  <si>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</si>
  <si>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</si>
  <si>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</si>
  <si>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</si>
  <si>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</si>
  <si>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</si>
  <si>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</si>
  <si>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</si>
  <si>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</si>
  <si>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</si>
  <si>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</si>
  <si>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</si>
  <si>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</si>
  <si>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</si>
  <si>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</si>
  <si>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</si>
  <si>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</si>
  <si>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</si>
  <si>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</si>
  <si>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</si>
  <si>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</si>
  <si>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</si>
  <si>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</si>
  <si>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</si>
  <si>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</si>
  <si>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</si>
  <si>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</si>
  <si>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</si>
  <si>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</si>
  <si>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</si>
  <si>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</si>
  <si>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</si>
  <si>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</si>
  <si>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</si>
  <si>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</si>
  <si>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</si>
  <si>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</si>
  <si>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</si>
  <si>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</si>
  <si>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</si>
  <si>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</si>
  <si>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</si>
  <si>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</si>
  <si>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</si>
  <si>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</si>
  <si>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</si>
  <si>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</si>
  <si>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</si>
  <si>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</si>
  <si>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</si>
  <si>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</si>
  <si>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</si>
  <si>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</si>
  <si>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</si>
  <si>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</si>
  <si>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</si>
  <si>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</si>
  <si>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</si>
  <si>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</si>
  <si>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</si>
  <si>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</si>
  <si>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</si>
  <si>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</si>
  <si>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</si>
  <si>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</si>
  <si>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</si>
  <si>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</si>
  <si>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</si>
  <si>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</si>
  <si>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</si>
  <si>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</si>
  <si>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</si>
  <si>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</si>
  <si>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</si>
  <si>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</si>
  <si>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</si>
  <si>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</si>
  <si>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</si>
  <si>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</si>
  <si>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</si>
  <si>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</si>
  <si>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</si>
  <si>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</si>
  <si>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</si>
  <si>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</si>
  <si>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</si>
  <si>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</si>
  <si>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</si>
  <si>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</si>
  <si>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</si>
  <si>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</si>
  <si>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</si>
  <si>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</si>
  <si>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</si>
  <si>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</si>
  <si>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</si>
  <si>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</si>
  <si>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</si>
  <si>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</si>
  <si>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</si>
  <si>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</si>
  <si>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</si>
  <si>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</si>
  <si>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</si>
  <si>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</si>
  <si>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</si>
  <si>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</si>
  <si>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</si>
  <si>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</si>
  <si>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</si>
  <si>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</si>
  <si>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</si>
  <si>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</si>
  <si>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</si>
  <si>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</si>
  <si>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</si>
  <si>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</si>
  <si>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</si>
  <si>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</si>
  <si>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</si>
  <si>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</si>
  <si>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</si>
  <si>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</si>
  <si>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</si>
  <si>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</si>
  <si>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</si>
  <si>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</si>
  <si>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</si>
  <si>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</si>
  <si>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</si>
  <si>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</si>
  <si>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</si>
  <si>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</si>
  <si>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</si>
  <si>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</si>
  <si>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</si>
  <si>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</si>
  <si>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</si>
  <si>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</si>
  <si>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</si>
  <si>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</si>
  <si>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</si>
  <si>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</si>
  <si>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</si>
  <si>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</si>
  <si>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</si>
  <si>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</si>
  <si>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</si>
  <si>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</si>
  <si>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</si>
  <si>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</si>
  <si>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</si>
  <si>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</si>
  <si>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</si>
  <si>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</si>
  <si>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</si>
  <si>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</si>
  <si>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</si>
  <si>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</si>
  <si>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</si>
  <si>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</si>
  <si>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</si>
  <si>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</si>
  <si>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</si>
  <si>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</si>
  <si>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</si>
  <si>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</si>
  <si>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</si>
  <si>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</si>
  <si>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</si>
  <si>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</si>
  <si>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</si>
  <si>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</si>
  <si>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</si>
  <si>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</si>
  <si>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</si>
  <si>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</si>
  <si>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</si>
  <si>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</si>
  <si>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</si>
  <si>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</si>
  <si>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</si>
  <si>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</si>
  <si>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</si>
  <si>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</si>
  <si>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</si>
  <si>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</si>
  <si>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</si>
  <si>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</si>
  <si>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</si>
  <si>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</si>
  <si>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</si>
  <si>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</si>
  <si>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</si>
  <si>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</si>
  <si>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</si>
  <si>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</si>
  <si>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</si>
  <si>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</si>
  <si>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</si>
  <si>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</si>
  <si>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</si>
  <si>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</si>
  <si>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</si>
  <si>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</si>
  <si>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</si>
  <si>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</si>
  <si>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</si>
  <si>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</si>
  <si>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</si>
  <si>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</si>
  <si>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</si>
  <si>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</si>
  <si>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</si>
  <si>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</si>
  <si>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</si>
  <si>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</si>
  <si>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</si>
  <si>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</si>
  <si>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</si>
  <si>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</si>
  <si>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</si>
  <si>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</si>
  <si>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</si>
  <si>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</si>
  <si>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</si>
  <si>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</si>
  <si>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</si>
  <si>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</si>
  <si>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</si>
  <si>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</si>
  <si>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</si>
  <si>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</si>
  <si>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</si>
  <si>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</si>
  <si>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</si>
  <si>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</si>
  <si>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</si>
  <si>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</si>
  <si>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</si>
  <si>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</si>
  <si>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</si>
  <si>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</si>
  <si>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</si>
  <si>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</si>
  <si>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</si>
  <si>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</si>
  <si>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</si>
  <si>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</si>
  <si>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</si>
  <si>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</si>
  <si>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</si>
  <si>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</si>
  <si>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</si>
  <si>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</si>
  <si>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</si>
  <si>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</si>
  <si>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</si>
  <si>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</si>
  <si>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</si>
  <si>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</si>
  <si>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</si>
  <si>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</si>
  <si>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</si>
  <si>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</si>
  <si>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</si>
  <si>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</si>
  <si>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</si>
  <si>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</si>
  <si>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</si>
  <si>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</si>
  <si>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</si>
  <si>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</si>
  <si>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</si>
  <si>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</si>
  <si>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</si>
  <si>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</si>
  <si>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</si>
  <si>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</si>
  <si>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</si>
  <si>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</si>
  <si>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</si>
  <si>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</si>
  <si>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</si>
  <si>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</si>
  <si>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</si>
  <si>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</si>
  <si>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</si>
  <si>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</si>
  <si>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</si>
  <si>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</si>
  <si>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</si>
  <si>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</si>
  <si>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</si>
  <si>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</si>
  <si>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</si>
  <si>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</si>
  <si>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</si>
  <si>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</si>
  <si>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</si>
  <si>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</si>
  <si>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</si>
  <si>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</si>
  <si>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</si>
  <si>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</si>
  <si>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</si>
  <si>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</si>
  <si>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</si>
  <si>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</si>
  <si>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</si>
  <si>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</si>
  <si>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</si>
  <si>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</si>
  <si>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</si>
  <si>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</si>
  <si>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</si>
  <si>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</si>
  <si>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</si>
  <si>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</si>
  <si>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</si>
  <si>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</si>
  <si>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</si>
  <si>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</si>
  <si>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</si>
  <si>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</si>
  <si>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</si>
  <si>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</si>
  <si>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</si>
  <si>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</si>
  <si>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</si>
  <si>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</si>
  <si>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</si>
  <si>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</si>
  <si>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</si>
  <si>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</si>
  <si>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</si>
  <si>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</si>
  <si>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</si>
  <si>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</si>
  <si>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</si>
  <si>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</si>
  <si>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</si>
  <si>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</si>
  <si>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</si>
  <si>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</si>
  <si>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</si>
  <si>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</si>
  <si>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</si>
  <si>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</si>
  <si>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</si>
  <si>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</si>
  <si>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</si>
  <si>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</si>
  <si>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</si>
  <si>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</si>
  <si>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</si>
  <si>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</si>
  <si>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</si>
  <si>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</si>
  <si>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</si>
  <si>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</si>
  <si>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</si>
  <si>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</si>
  <si>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</si>
  <si>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</si>
  <si>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</si>
  <si>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</si>
  <si>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</si>
  <si>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</si>
  <si>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</si>
  <si>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</si>
  <si>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</si>
  <si>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</si>
  <si>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</si>
  <si>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</si>
  <si>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</si>
  <si>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</si>
  <si>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</si>
  <si>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</si>
  <si>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</si>
  <si>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</si>
  <si>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</si>
  <si>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</si>
  <si>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</si>
  <si>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</si>
  <si>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</si>
  <si>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</si>
  <si>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</si>
  <si>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</si>
  <si>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</si>
  <si>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</si>
  <si>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</si>
  <si>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</si>
  <si>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</si>
  <si>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</si>
  <si>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</si>
  <si>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</si>
  <si>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</si>
  <si>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</si>
  <si>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</si>
  <si>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</si>
  <si>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</si>
  <si>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</si>
  <si>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</si>
  <si>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</si>
  <si>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</si>
  <si>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</si>
  <si>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</si>
  <si>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</si>
  <si>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</si>
  <si>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</si>
  <si>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</si>
  <si>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</si>
  <si>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</si>
  <si>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</si>
  <si>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</si>
  <si>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</si>
  <si>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</si>
  <si>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</si>
  <si>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</si>
  <si>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</si>
  <si>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</si>
  <si>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</si>
  <si>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</si>
  <si>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</si>
  <si>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</si>
  <si>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</si>
  <si>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</si>
  <si>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</si>
  <si>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</si>
  <si>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</si>
  <si>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</si>
  <si>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</si>
  <si>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</si>
  <si>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</si>
  <si>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</si>
  <si>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</si>
  <si>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</si>
  <si>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</si>
  <si>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</si>
  <si>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</si>
  <si>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</si>
  <si>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</si>
  <si>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</si>
  <si>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</si>
  <si>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</si>
  <si>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</si>
  <si>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</si>
  <si>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</si>
  <si>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</si>
  <si>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</si>
  <si>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</si>
  <si>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</si>
  <si>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</si>
  <si>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</si>
  <si>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</si>
  <si>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</si>
  <si>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</si>
  <si>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</si>
  <si>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</si>
  <si>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</si>
  <si>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</si>
  <si>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</si>
  <si>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</si>
  <si>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</si>
  <si>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</si>
  <si>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</si>
  <si>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</si>
  <si>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</si>
  <si>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</si>
  <si>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</si>
  <si>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</si>
  <si>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</si>
  <si>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</si>
  <si>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</si>
  <si>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</si>
  <si>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</si>
  <si>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</si>
  <si>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</si>
  <si>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</si>
  <si>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</si>
  <si>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</si>
  <si>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</si>
  <si>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</si>
  <si>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</si>
  <si>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</si>
  <si>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</si>
  <si>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</si>
  <si>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</si>
  <si>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</si>
  <si>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</si>
  <si>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</si>
  <si>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</si>
  <si>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</si>
  <si>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</si>
  <si>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</si>
  <si>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</si>
  <si>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</si>
  <si>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</si>
  <si>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</si>
  <si>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</si>
  <si>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</si>
  <si>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</si>
  <si>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</si>
  <si>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</si>
  <si>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</si>
  <si>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</si>
  <si>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</si>
  <si>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</si>
  <si>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</si>
  <si>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</si>
  <si>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</si>
  <si>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</si>
  <si>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</si>
  <si>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</si>
  <si>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</si>
  <si>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</si>
  <si>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</si>
  <si>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</si>
  <si>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</si>
  <si>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</si>
  <si>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</si>
  <si>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</si>
  <si>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</si>
  <si>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</si>
  <si>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</si>
  <si>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</si>
  <si>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</si>
  <si>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</si>
  <si>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</si>
  <si>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</si>
  <si>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</si>
  <si>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</si>
  <si>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</si>
  <si>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</si>
  <si>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</si>
  <si>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</si>
  <si>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</si>
  <si>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</si>
  <si>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</si>
  <si>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</si>
  <si>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</si>
  <si>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</si>
  <si>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</si>
  <si>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</si>
  <si>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</si>
  <si>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</si>
  <si>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</si>
  <si>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</si>
  <si>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</si>
  <si>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</si>
  <si>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</si>
  <si>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</si>
  <si>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</si>
  <si>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</si>
  <si>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</si>
  <si>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</si>
  <si>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</si>
  <si>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</si>
  <si>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</si>
  <si>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</si>
  <si>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</si>
  <si>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</si>
  <si>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</si>
  <si>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</si>
  <si>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</si>
  <si>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</si>
  <si>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</si>
  <si>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</si>
  <si>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</si>
  <si>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</si>
  <si>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</si>
  <si>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</si>
  <si>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</si>
  <si>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</si>
  <si>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</si>
  <si>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</si>
  <si>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</si>
  <si>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</si>
  <si>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</si>
  <si>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</si>
  <si>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</si>
  <si>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</si>
  <si>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</si>
  <si>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</si>
  <si>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</si>
  <si>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</si>
  <si>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</si>
  <si>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</si>
  <si>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</si>
  <si>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</si>
  <si>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</si>
  <si>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</si>
  <si>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</si>
  <si>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</si>
  <si>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</si>
  <si>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</si>
  <si>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</si>
  <si>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</si>
  <si>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</si>
  <si>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</si>
  <si>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</si>
  <si>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</si>
  <si>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</si>
  <si>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</si>
  <si>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</si>
  <si>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</si>
  <si>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</si>
  <si>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</si>
  <si>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</si>
  <si>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</si>
  <si>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</si>
  <si>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</si>
  <si>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</si>
  <si>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</si>
  <si>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</si>
  <si>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</si>
  <si>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</si>
  <si>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</si>
  <si>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</si>
  <si>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</si>
  <si>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</si>
  <si>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</si>
  <si>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</si>
  <si>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</si>
  <si>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</si>
  <si>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</si>
  <si>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</si>
  <si>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</si>
  <si>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</si>
  <si>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</si>
  <si>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</si>
  <si>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</si>
  <si>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</si>
  <si>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</si>
  <si>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</si>
  <si>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</si>
  <si>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</si>
  <si>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</si>
  <si>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</si>
  <si>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</si>
  <si>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</si>
  <si>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</si>
  <si>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</si>
  <si>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</si>
  <si>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</si>
  <si>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</si>
  <si>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</si>
  <si>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</si>
  <si>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</si>
  <si>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</si>
  <si>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</si>
  <si>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</si>
  <si>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</si>
  <si>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</si>
  <si>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</si>
  <si>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</si>
  <si>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</si>
  <si>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</si>
  <si>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</si>
  <si>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</si>
  <si>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</si>
  <si>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</si>
  <si>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</si>
  <si>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</si>
  <si>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</si>
  <si>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</si>
  <si>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</si>
  <si>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</si>
  <si>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</si>
  <si>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</si>
  <si>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</si>
  <si>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</si>
  <si>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</si>
  <si>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</si>
  <si>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</si>
  <si>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</si>
  <si>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</si>
  <si>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</si>
  <si>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</si>
  <si>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</si>
  <si>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</si>
  <si>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</si>
  <si>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</si>
  <si>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</si>
  <si>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</si>
  <si>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</si>
  <si>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</si>
  <si>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</si>
  <si>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</si>
  <si>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</si>
  <si>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</si>
  <si>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</si>
  <si>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</si>
  <si>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</si>
  <si>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</si>
  <si>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</si>
  <si>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</si>
  <si>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</si>
  <si>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</si>
  <si>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</si>
  <si>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</si>
  <si>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</si>
  <si>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</si>
  <si>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</si>
  <si>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</si>
  <si>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</si>
  <si>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</si>
  <si>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</si>
  <si>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</si>
  <si>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</si>
  <si>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</si>
  <si>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</si>
  <si>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</si>
  <si>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</si>
  <si>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</si>
  <si>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</si>
  <si>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</si>
  <si>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</si>
  <si>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</si>
  <si>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</si>
  <si>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</si>
  <si>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</si>
  <si>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</si>
  <si>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</si>
  <si>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</si>
  <si>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</si>
  <si>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</si>
  <si>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</si>
  <si>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</si>
  <si>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</si>
  <si>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</si>
  <si>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</si>
  <si>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</si>
  <si>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</si>
  <si>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</si>
  <si>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</si>
  <si>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</si>
  <si>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</si>
  <si>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</si>
  <si>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</si>
  <si>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</si>
  <si>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</si>
  <si>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</si>
  <si>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</si>
  <si>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</si>
  <si>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</si>
  <si>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</si>
  <si>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</si>
  <si>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</si>
  <si>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</si>
  <si>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</si>
  <si>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</si>
  <si>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</si>
  <si>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</si>
  <si>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</si>
  <si>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</si>
  <si>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</si>
  <si>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</si>
  <si>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</si>
  <si>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</si>
  <si>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</si>
  <si>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</si>
  <si>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</si>
  <si>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</si>
  <si>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</si>
  <si>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</si>
  <si>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</si>
  <si>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</si>
  <si>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</si>
  <si>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</si>
  <si>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</si>
  <si>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</si>
  <si>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</si>
  <si>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</si>
  <si>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</si>
  <si>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</si>
  <si>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</si>
  <si>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</si>
  <si>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</si>
  <si>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</si>
  <si>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</si>
  <si>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</si>
  <si>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</si>
  <si>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</si>
  <si>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</si>
  <si>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</si>
  <si>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</si>
  <si>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</si>
  <si>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</si>
  <si>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</si>
  <si>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</si>
  <si>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</si>
  <si>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</si>
  <si>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</si>
  <si>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</si>
  <si>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</si>
  <si>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</si>
  <si>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</si>
  <si>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</si>
  <si>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</si>
  <si>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</si>
  <si>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</si>
  <si>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</si>
  <si>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</si>
  <si>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</si>
  <si>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</si>
  <si>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</si>
  <si>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</si>
  <si>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</si>
  <si>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</si>
  <si>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</si>
  <si>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</si>
  <si>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</si>
  <si>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</si>
  <si>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</si>
  <si>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</si>
  <si>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</si>
  <si>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</si>
  <si>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</si>
  <si>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</si>
  <si>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</si>
  <si>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</si>
  <si>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</si>
  <si>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</si>
  <si>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</si>
  <si>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</si>
  <si>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</si>
  <si>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</si>
  <si>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</si>
  <si>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</si>
  <si>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</si>
  <si>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</si>
  <si>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</si>
  <si>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</si>
  <si>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</si>
  <si>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</si>
  <si>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</si>
  <si>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</si>
  <si>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</si>
  <si>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</si>
  <si>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</si>
  <si>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</si>
  <si>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</si>
  <si>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</si>
  <si>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</si>
  <si>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</si>
  <si>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</si>
  <si>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</si>
  <si>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</si>
  <si>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</si>
  <si>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</si>
  <si>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</si>
  <si>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</si>
  <si>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</si>
  <si>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</si>
  <si>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</si>
  <si>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</si>
  <si>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</si>
  <si>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</si>
  <si>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</si>
  <si>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</si>
  <si>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</si>
  <si>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</si>
  <si>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</si>
  <si>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</si>
  <si>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</si>
  <si>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</si>
  <si>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</si>
  <si>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</si>
  <si>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</si>
  <si>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</si>
  <si>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</si>
  <si>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</si>
  <si>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</si>
  <si>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</si>
  <si>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</si>
  <si>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</si>
  <si>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</si>
  <si>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</si>
  <si>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</si>
  <si>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</si>
  <si>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</si>
  <si>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</si>
  <si>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</si>
  <si>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</si>
  <si>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</si>
  <si>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</si>
  <si>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</si>
  <si>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</si>
  <si>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</si>
  <si>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</si>
  <si>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</si>
  <si>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</si>
  <si>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</si>
  <si>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</si>
  <si>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</si>
  <si>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</si>
  <si>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</si>
  <si>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</si>
  <si>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</si>
  <si>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</si>
  <si>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</si>
  <si>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</si>
  <si>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</si>
  <si>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</si>
  <si>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</si>
  <si>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</si>
  <si>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</si>
  <si>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</si>
  <si>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</si>
  <si>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</si>
  <si>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</si>
  <si>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</si>
  <si>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</si>
  <si>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</si>
  <si>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</si>
  <si>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</si>
  <si>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</si>
  <si>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</si>
  <si>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</si>
  <si>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</si>
  <si>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</si>
  <si>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</si>
  <si>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</si>
  <si>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</si>
  <si>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</si>
  <si>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</si>
  <si>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</si>
  <si>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</si>
  <si>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</si>
  <si>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</si>
  <si>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</si>
  <si>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</si>
  <si>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</si>
  <si>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</si>
  <si>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</si>
  <si>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</si>
  <si>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</si>
  <si>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</si>
  <si>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</si>
  <si>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</si>
  <si>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</si>
  <si>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</si>
  <si>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</si>
  <si>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</si>
  <si>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</si>
  <si>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</si>
  <si>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</si>
  <si>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</si>
  <si>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</si>
  <si>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</si>
  <si>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</si>
  <si>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</si>
  <si>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</si>
  <si>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</si>
  <si>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</si>
  <si>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</si>
  <si>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</si>
  <si>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</si>
  <si>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</si>
  <si>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</si>
  <si>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</si>
  <si>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</si>
  <si>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</si>
  <si>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</si>
  <si>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</si>
  <si>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</si>
  <si>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</si>
  <si>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</si>
  <si>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</si>
  <si>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</si>
  <si>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</si>
  <si>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</si>
  <si>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</si>
  <si>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</si>
  <si>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</si>
  <si>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</si>
  <si>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</si>
  <si>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</si>
  <si>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</si>
  <si>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</si>
  <si>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</si>
  <si>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</si>
  <si>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</si>
  <si>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</si>
  <si>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</si>
  <si>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</si>
  <si>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</si>
  <si>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</si>
  <si>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</si>
  <si>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</si>
  <si>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</si>
  <si>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</si>
  <si>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</si>
  <si>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</si>
  <si>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</si>
  <si>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</si>
  <si>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</si>
  <si>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</si>
  <si>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</si>
  <si>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</si>
  <si>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</si>
  <si>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</si>
  <si>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</si>
  <si>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</si>
  <si>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</si>
  <si>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</si>
  <si>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</si>
  <si>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</si>
  <si>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</si>
  <si>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</si>
  <si>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</si>
  <si>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</si>
  <si>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</si>
  <si>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</si>
  <si>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</si>
  <si>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</si>
  <si>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</si>
  <si>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</si>
  <si>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</si>
  <si>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</si>
  <si>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</si>
  <si>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</si>
  <si>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</si>
  <si>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</si>
  <si>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</si>
  <si>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</si>
  <si>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</si>
  <si>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</si>
  <si>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</si>
  <si>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</si>
  <si>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</si>
  <si>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</si>
  <si>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</si>
  <si>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</si>
  <si>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</si>
  <si>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</si>
  <si>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</si>
  <si>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</si>
  <si>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</si>
  <si>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</si>
  <si>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</si>
  <si>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</si>
  <si>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</si>
  <si>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</si>
  <si>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</si>
  <si>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</si>
  <si>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</si>
  <si>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</si>
  <si>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</si>
  <si>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</si>
  <si>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</si>
  <si>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</si>
  <si>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</si>
  <si>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</si>
  <si>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</si>
  <si>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</si>
  <si>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</si>
  <si>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</si>
  <si>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</si>
  <si>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</si>
  <si>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</si>
  <si>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</si>
  <si>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</si>
  <si>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</si>
  <si>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</si>
  <si>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</si>
  <si>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</si>
  <si>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</si>
  <si>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</si>
  <si>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</si>
  <si>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</si>
  <si>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</si>
  <si>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</si>
  <si>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</si>
  <si>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</si>
  <si>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</si>
  <si>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</si>
  <si>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</si>
  <si>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</si>
  <si>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</si>
  <si>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</si>
  <si>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</si>
  <si>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</si>
  <si>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</si>
  <si>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</si>
  <si>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</si>
  <si>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</si>
  <si>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</si>
  <si>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</si>
  <si>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</si>
  <si>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</si>
  <si>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</si>
  <si>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</si>
  <si>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</si>
  <si>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</si>
  <si>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</si>
  <si>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</si>
  <si>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</si>
  <si>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</si>
  <si>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</si>
  <si>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</si>
  <si>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</si>
  <si>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</si>
  <si>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</si>
  <si>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</si>
  <si>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</si>
  <si>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</si>
  <si>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</si>
  <si>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</si>
  <si>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</si>
  <si>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</si>
  <si>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</si>
  <si>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</si>
  <si>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</si>
  <si>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</si>
  <si>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</si>
  <si>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</si>
  <si>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</si>
  <si>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</si>
  <si>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</si>
  <si>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</si>
  <si>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</si>
  <si>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</si>
  <si>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</si>
  <si>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</si>
  <si>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</si>
  <si>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</si>
  <si>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</si>
  <si>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</si>
  <si>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</si>
  <si>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</si>
  <si>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</si>
  <si>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</si>
  <si>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</si>
  <si>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</si>
  <si>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</si>
  <si>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</si>
  <si>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</si>
  <si>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</si>
  <si>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</si>
  <si>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</si>
  <si>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</si>
  <si>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</si>
  <si>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</si>
  <si>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</si>
  <si>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</si>
  <si>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</si>
  <si>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</si>
  <si>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</si>
  <si>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</si>
  <si>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</si>
  <si>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</si>
  <si>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</si>
  <si>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</si>
  <si>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</si>
  <si>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</si>
  <si>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</si>
  <si>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</si>
  <si>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</si>
  <si>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</si>
  <si>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</si>
  <si>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</si>
  <si>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</si>
  <si>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</si>
  <si>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</si>
  <si>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</si>
  <si>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</si>
  <si>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</si>
  <si>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</si>
  <si>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</si>
  <si>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</si>
  <si>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</si>
  <si>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</si>
  <si>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</si>
  <si>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</si>
  <si>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</si>
  <si>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</si>
  <si>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</si>
  <si>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</si>
  <si>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</si>
  <si>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</si>
  <si>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</si>
  <si>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</si>
  <si>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</si>
  <si>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</si>
  <si>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</si>
  <si>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</si>
  <si>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</si>
  <si>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</si>
  <si>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</si>
  <si>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</si>
  <si>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</si>
  <si>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</si>
  <si>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</si>
  <si>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</si>
  <si>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</si>
  <si>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</si>
  <si>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</si>
  <si>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</si>
  <si>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</si>
  <si>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</si>
  <si>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</si>
  <si>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</si>
  <si>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</si>
  <si>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</si>
  <si>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</si>
  <si>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</si>
  <si>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</si>
  <si>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</si>
  <si>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</si>
  <si>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</si>
  <si>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</si>
  <si>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</si>
  <si>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</si>
  <si>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</si>
  <si>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</si>
  <si>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</si>
  <si>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</si>
  <si>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</si>
  <si>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</si>
  <si>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</si>
  <si>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</si>
  <si>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</si>
  <si>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</si>
  <si>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</si>
  <si>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</si>
  <si>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</si>
  <si>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</si>
  <si>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</si>
  <si>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</si>
  <si>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</si>
  <si>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</si>
  <si>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</si>
  <si>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</si>
  <si>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</si>
  <si>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</si>
  <si>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</si>
  <si>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</si>
  <si>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</si>
  <si>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</si>
  <si>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</si>
  <si>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</si>
  <si>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</si>
  <si>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</si>
  <si>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</si>
  <si>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</si>
  <si>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</si>
  <si>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</si>
  <si>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</si>
  <si>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</si>
  <si>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</si>
  <si>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</si>
  <si>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</si>
  <si>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</si>
  <si>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</si>
  <si>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</si>
  <si>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</si>
  <si>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</si>
  <si>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</si>
  <si>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</si>
  <si>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</si>
  <si>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</si>
  <si>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</si>
  <si>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</si>
  <si>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</si>
  <si>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</si>
  <si>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</si>
  <si>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</si>
  <si>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</si>
  <si>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</si>
  <si>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</si>
  <si>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</si>
  <si>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</si>
  <si>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</si>
  <si>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</si>
  <si>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</si>
  <si>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</si>
  <si>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</si>
  <si>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</si>
  <si>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</si>
  <si>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</si>
  <si>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</si>
  <si>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</si>
  <si>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</si>
  <si>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</si>
  <si>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</si>
  <si>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</si>
  <si>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</si>
  <si>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</si>
  <si>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</si>
  <si>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</si>
  <si>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</si>
  <si>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</si>
  <si>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</si>
  <si>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</si>
  <si>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</si>
  <si>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</si>
  <si>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</si>
  <si>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</si>
  <si>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</si>
  <si>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</si>
  <si>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</si>
  <si>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</si>
  <si>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</si>
  <si>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</si>
  <si>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</si>
  <si>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</si>
  <si>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</si>
  <si>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</si>
  <si>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</si>
  <si>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</si>
  <si>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</si>
  <si>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</si>
  <si>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</si>
  <si>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</si>
  <si>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</si>
  <si>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</si>
  <si>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</si>
  <si>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</si>
  <si>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</si>
  <si>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</si>
  <si>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</si>
  <si>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</si>
  <si>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</si>
  <si>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</si>
  <si>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</si>
  <si>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</si>
  <si>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</si>
  <si>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</si>
  <si>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</si>
  <si>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</si>
  <si>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</si>
  <si>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</si>
  <si>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</si>
  <si>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</si>
  <si>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</si>
  <si>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</si>
  <si>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</si>
  <si>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</si>
  <si>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</si>
  <si>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</si>
  <si>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</si>
  <si>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</si>
  <si>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</si>
  <si>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</si>
  <si>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</si>
  <si>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</si>
  <si>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</si>
  <si>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</si>
  <si>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</si>
  <si>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</si>
  <si>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</si>
  <si>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</si>
  <si>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</si>
  <si>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</si>
  <si>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</si>
  <si>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</si>
  <si>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</si>
  <si>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</si>
  <si>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</si>
  <si>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</si>
  <si>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</si>
  <si>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</si>
  <si>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</si>
  <si>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</si>
  <si>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</si>
  <si>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</si>
  <si>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</si>
  <si>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</si>
  <si>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</si>
  <si>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</si>
  <si>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</si>
  <si>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</si>
  <si>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</si>
  <si>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</si>
  <si>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</si>
  <si>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</si>
  <si>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</si>
  <si>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</si>
  <si>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</si>
  <si>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</si>
  <si>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</si>
  <si>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</si>
  <si>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</si>
  <si>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</si>
  <si>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</si>
  <si>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</si>
  <si>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</si>
  <si>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</si>
  <si>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</si>
  <si>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</si>
  <si>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</si>
  <si>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</si>
  <si>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</si>
  <si>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</si>
  <si>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</si>
  <si>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</si>
  <si>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</si>
  <si>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</si>
  <si>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</si>
  <si>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</si>
  <si>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</si>
  <si>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</si>
  <si>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</si>
  <si>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</si>
  <si>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</si>
  <si>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</si>
  <si>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</si>
  <si>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</si>
  <si>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</si>
  <si>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</si>
  <si>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</si>
  <si>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</si>
  <si>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</si>
  <si>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</si>
  <si>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</si>
  <si>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</si>
  <si>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</si>
  <si>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</si>
  <si>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</si>
  <si>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</si>
  <si>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</si>
  <si>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</si>
  <si>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</si>
  <si>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</si>
  <si>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</si>
  <si>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</si>
  <si>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</si>
  <si>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</si>
  <si>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</si>
  <si>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</si>
  <si>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</si>
  <si>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</si>
  <si>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</si>
  <si>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</si>
  <si>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</si>
  <si>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</si>
  <si>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</si>
  <si>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</si>
  <si>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</si>
  <si>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</si>
  <si>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</si>
  <si>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</si>
  <si>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</si>
  <si>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</si>
  <si>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</si>
  <si>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</si>
  <si>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</si>
  <si>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</si>
  <si>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</si>
  <si>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</si>
  <si>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</si>
  <si>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</si>
  <si>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</si>
  <si>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</si>
  <si>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</si>
  <si>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</si>
  <si>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</si>
  <si>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</si>
  <si>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</si>
  <si>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</si>
  <si>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</si>
  <si>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</si>
  <si>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</si>
  <si>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</si>
  <si>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</si>
  <si>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</si>
  <si>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</si>
  <si>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</si>
  <si>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</si>
  <si>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</si>
  <si>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</si>
  <si>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</si>
  <si>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</si>
  <si>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</si>
  <si>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</si>
  <si>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</si>
  <si>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</si>
  <si>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</si>
  <si>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</si>
  <si>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</si>
  <si>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</si>
  <si>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</si>
  <si>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</si>
  <si>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</si>
  <si>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</si>
  <si>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</si>
  <si>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</si>
  <si>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</si>
  <si>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</si>
  <si>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</si>
  <si>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</si>
  <si>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</si>
  <si>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</si>
  <si>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</si>
  <si>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</si>
  <si>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</si>
  <si>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</si>
  <si>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</si>
  <si>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</si>
  <si>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</si>
  <si>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</si>
  <si>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</si>
  <si>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</si>
  <si>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</si>
  <si>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</si>
  <si>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</si>
  <si>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</si>
  <si>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</si>
  <si>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</si>
  <si>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</si>
  <si>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</si>
  <si>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</si>
  <si>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</si>
  <si>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</si>
  <si>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</si>
  <si>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</si>
  <si>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</si>
  <si>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</si>
  <si>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</si>
  <si>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</si>
  <si>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</si>
  <si>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</si>
  <si>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</si>
  <si>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</si>
  <si>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</si>
  <si>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</si>
  <si>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</si>
  <si>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</si>
  <si>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</si>
  <si>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</si>
  <si>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</si>
  <si>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</si>
  <si>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</si>
  <si>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</si>
  <si>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</si>
  <si>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</si>
  <si>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</si>
  <si>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</si>
  <si>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</si>
  <si>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</si>
  <si>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</si>
  <si>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</si>
  <si>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</si>
  <si>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</si>
  <si>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</si>
  <si>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</si>
  <si>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</si>
  <si>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</si>
  <si>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</si>
  <si>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</si>
  <si>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</si>
  <si>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</si>
  <si>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</si>
  <si>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</si>
  <si>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</si>
  <si>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</si>
  <si>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</si>
  <si>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</si>
  <si>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</si>
  <si>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</si>
  <si>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</si>
  <si>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</si>
  <si>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</si>
  <si>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</si>
  <si>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</si>
  <si>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</si>
  <si>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</si>
  <si>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</si>
  <si>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</si>
  <si>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</si>
  <si>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</si>
  <si>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</si>
  <si>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</si>
  <si>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</si>
  <si>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</si>
  <si>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</si>
  <si>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</si>
  <si>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</si>
  <si>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</si>
  <si>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</si>
  <si>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</si>
  <si>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</si>
  <si>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</si>
  <si>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</si>
  <si>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</si>
  <si>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</si>
  <si>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</si>
  <si>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</si>
  <si>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</si>
  <si>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</si>
  <si>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</si>
  <si>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</si>
  <si>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</si>
  <si>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</si>
  <si>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</si>
  <si>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</si>
  <si>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</si>
  <si>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</si>
  <si>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</si>
  <si>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</si>
  <si>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</si>
  <si>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</si>
  <si>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</si>
  <si>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</si>
  <si>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</si>
  <si>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</si>
  <si>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</si>
  <si>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</si>
  <si>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</si>
  <si>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</si>
  <si>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</si>
  <si>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</si>
  <si>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</si>
  <si>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</si>
  <si>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</si>
  <si>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</si>
  <si>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</si>
  <si>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</si>
  <si>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</si>
  <si>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</si>
  <si>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</si>
  <si>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</si>
  <si>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</si>
  <si>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</si>
  <si>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</si>
  <si>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</si>
  <si>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</si>
  <si>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</si>
  <si>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</si>
  <si>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</si>
  <si>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</si>
  <si>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</si>
  <si>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</si>
  <si>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</si>
  <si>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</si>
  <si>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</si>
  <si>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</si>
  <si>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</si>
  <si>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</si>
  <si>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</si>
  <si>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</si>
  <si>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</si>
  <si>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</si>
  <si>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</si>
  <si>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</si>
  <si>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</si>
  <si>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</si>
  <si>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</si>
  <si>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</si>
  <si>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</si>
  <si>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</si>
  <si>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</si>
  <si>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</si>
  <si>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</si>
  <si>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</si>
  <si>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</si>
  <si>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</si>
  <si>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</si>
  <si>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</si>
  <si>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</si>
  <si>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</si>
  <si>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</si>
  <si>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</si>
  <si>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</si>
  <si>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</si>
  <si>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</si>
  <si>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</si>
  <si>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</si>
  <si>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</si>
  <si>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</si>
  <si>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</si>
  <si>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</si>
  <si>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</si>
  <si>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</si>
  <si>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</si>
  <si>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</si>
  <si>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</si>
  <si>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</si>
  <si>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</si>
  <si>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</si>
  <si>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</si>
  <si>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</si>
  <si>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</si>
  <si>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</si>
  <si>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</si>
  <si>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</si>
  <si>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</si>
  <si>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</si>
  <si>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</si>
  <si>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</si>
  <si>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</si>
  <si>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</si>
  <si>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</si>
  <si>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</si>
  <si>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</si>
  <si>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</si>
  <si>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</si>
  <si>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</si>
  <si>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</si>
  <si>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</si>
  <si>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</si>
  <si>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</si>
  <si>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</si>
  <si>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</si>
  <si>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</si>
  <si>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</si>
  <si>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</si>
  <si>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</si>
  <si>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</si>
  <si>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</si>
  <si>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</si>
  <si>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</si>
  <si>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</si>
  <si>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</si>
  <si>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</si>
  <si>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</si>
  <si>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</si>
  <si>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</si>
  <si>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</si>
  <si>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</si>
  <si>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</si>
  <si>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</si>
  <si>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</si>
  <si>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</si>
  <si>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</si>
  <si>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</si>
  <si>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</si>
  <si>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</si>
  <si>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</si>
  <si>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</si>
  <si>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</si>
  <si>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</si>
  <si>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</si>
  <si>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</si>
  <si>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</si>
  <si>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</si>
  <si>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</si>
  <si>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</si>
  <si>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</si>
  <si>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</si>
  <si>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</si>
  <si>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</si>
  <si>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</si>
  <si>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</si>
  <si>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</si>
  <si>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</si>
  <si>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</si>
  <si>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</si>
  <si>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</si>
  <si>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</si>
  <si>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</si>
  <si>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</si>
  <si>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</si>
  <si>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</si>
  <si>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</si>
  <si>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</si>
  <si>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</si>
  <si>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</si>
  <si>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</si>
  <si>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</si>
  <si>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</si>
  <si>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</si>
  <si>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</si>
  <si>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</si>
  <si>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</si>
  <si>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</si>
  <si>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</si>
  <si>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</si>
  <si>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</si>
  <si>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</si>
  <si>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</si>
  <si>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</si>
  <si>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</si>
  <si>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</si>
  <si>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</si>
  <si>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</si>
  <si>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</si>
  <si>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</si>
  <si>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</si>
  <si>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</si>
  <si>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</si>
  <si>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</si>
  <si>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</si>
  <si>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</si>
  <si>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</si>
  <si>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</si>
  <si>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</si>
  <si>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</si>
  <si>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</si>
  <si>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</si>
  <si>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</si>
  <si>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</si>
  <si>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</si>
  <si>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</si>
  <si>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</si>
  <si>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</si>
  <si>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</si>
  <si>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</si>
  <si>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</si>
  <si>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</si>
  <si>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</si>
  <si>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</si>
  <si>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</si>
  <si>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</si>
  <si>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</si>
  <si>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</si>
  <si>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</si>
  <si>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</si>
  <si>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</si>
  <si>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</si>
  <si>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</si>
  <si>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</si>
  <si>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</si>
  <si>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</si>
  <si>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</si>
  <si>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</si>
  <si>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</si>
  <si>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</si>
  <si>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</si>
  <si>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</si>
  <si>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</si>
  <si>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</si>
  <si>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</si>
  <si>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</si>
  <si>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</si>
  <si>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</si>
  <si>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</si>
  <si>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</si>
  <si>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</si>
  <si>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</si>
  <si>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</si>
  <si>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</si>
  <si>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</si>
  <si>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</si>
  <si>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</si>
  <si>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</si>
  <si>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</si>
  <si>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</si>
  <si>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</si>
  <si>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</si>
  <si>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</si>
  <si>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</si>
  <si>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</si>
  <si>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</si>
  <si>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</si>
  <si>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</si>
  <si>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</si>
  <si>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</si>
  <si>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</si>
  <si>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</si>
  <si>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</si>
  <si>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</si>
  <si>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</si>
  <si>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</si>
  <si>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</si>
  <si>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</si>
  <si>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</si>
  <si>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</si>
  <si>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</si>
  <si>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</si>
  <si>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</si>
  <si>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</si>
  <si>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</si>
  <si>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</si>
  <si>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</si>
  <si>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</si>
  <si>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</si>
  <si>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</si>
  <si>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</si>
  <si>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</si>
  <si>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</si>
  <si>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</si>
  <si>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</si>
  <si>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</si>
  <si>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</si>
  <si>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</si>
  <si>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</si>
  <si>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</si>
  <si>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</si>
  <si>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</si>
  <si>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</si>
  <si>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</si>
  <si>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</si>
  <si>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</si>
  <si>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</si>
  <si>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</si>
  <si>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</si>
  <si>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</si>
  <si>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</si>
  <si>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</si>
  <si>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</si>
  <si>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</si>
  <si>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</si>
  <si>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</si>
  <si>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</si>
  <si>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</si>
  <si>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</si>
  <si>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</si>
  <si>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</si>
  <si>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</si>
  <si>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</si>
  <si>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</si>
  <si>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</si>
  <si>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</si>
  <si>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</si>
  <si>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</si>
  <si>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</si>
  <si>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</si>
  <si>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</si>
  <si>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</si>
  <si>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</si>
  <si>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</si>
  <si>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</si>
  <si>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</si>
  <si>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</si>
  <si>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</si>
  <si>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</si>
  <si>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</si>
  <si>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</si>
  <si>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</si>
  <si>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</si>
  <si>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</si>
  <si>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</si>
  <si>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</si>
  <si>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</si>
  <si>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</si>
  <si>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</si>
  <si>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</si>
  <si>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</si>
  <si>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</si>
  <si>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</si>
  <si>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</si>
  <si>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</si>
  <si>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</si>
  <si>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</si>
  <si>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</si>
  <si>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</si>
  <si>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</si>
  <si>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</si>
  <si>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</si>
  <si>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</si>
  <si>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</si>
  <si>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</si>
  <si>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</si>
  <si>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</si>
  <si>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</si>
  <si>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</si>
  <si>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</si>
  <si>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</si>
  <si>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</si>
  <si>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</si>
  <si>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</si>
  <si>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</si>
  <si>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</si>
  <si>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</si>
  <si>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</si>
  <si>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</si>
  <si>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</si>
  <si>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</si>
  <si>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</si>
  <si>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</si>
  <si>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</si>
  <si>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</si>
  <si>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</si>
  <si>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</si>
  <si>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</si>
  <si>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</si>
  <si>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</si>
  <si>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</si>
  <si>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</si>
  <si>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</si>
  <si>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</si>
  <si>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</si>
  <si>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</si>
  <si>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</si>
  <si>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</si>
  <si>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</si>
  <si>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</si>
  <si>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</si>
  <si>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</si>
  <si>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</si>
  <si>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</si>
  <si>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</si>
  <si>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</si>
  <si>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</si>
  <si>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</si>
  <si>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</si>
  <si>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</si>
  <si>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</si>
  <si>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</si>
  <si>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</si>
  <si>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</si>
  <si>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</si>
  <si>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</si>
  <si>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</si>
  <si>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</si>
  <si>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</si>
  <si>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</si>
  <si>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</si>
  <si>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</si>
  <si>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</si>
  <si>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</si>
  <si>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</si>
  <si>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</si>
  <si>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</si>
  <si>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</si>
  <si>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</si>
  <si>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</si>
  <si>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</si>
  <si>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</si>
  <si>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</si>
  <si>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</si>
  <si>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</si>
  <si>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</si>
  <si>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</si>
  <si>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</si>
  <si>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</si>
  <si>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</si>
  <si>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</si>
  <si>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</si>
  <si>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</si>
  <si>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</si>
  <si>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</si>
  <si>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</si>
  <si>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</si>
  <si>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</si>
  <si>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</si>
  <si>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</si>
  <si>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</si>
  <si>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</si>
  <si>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</si>
  <si>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</si>
  <si>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</si>
  <si>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</si>
  <si>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</si>
  <si>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</si>
  <si>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</si>
  <si>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</si>
  <si>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</si>
  <si>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</si>
  <si>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</si>
  <si>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</si>
  <si>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</si>
  <si>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</si>
  <si>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</si>
  <si>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</si>
  <si>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</si>
  <si>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</si>
  <si>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</si>
  <si>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</si>
  <si>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</si>
  <si>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</si>
  <si>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</si>
  <si>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</si>
  <si>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</si>
  <si>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</si>
  <si>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</si>
  <si>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</si>
  <si>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</si>
  <si>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</si>
  <si>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</si>
  <si>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</si>
  <si>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</si>
  <si>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</si>
  <si>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</si>
  <si>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</si>
  <si>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</si>
  <si>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</si>
  <si>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</si>
  <si>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</si>
  <si>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</si>
  <si>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</si>
  <si>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</si>
  <si>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</si>
  <si>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</si>
  <si>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</si>
  <si>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</si>
  <si>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</si>
  <si>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</si>
  <si>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</si>
  <si>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</si>
  <si>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</si>
  <si>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</si>
  <si>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</si>
  <si>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</si>
  <si>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</si>
  <si>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</si>
  <si>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</si>
  <si>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</si>
  <si>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</si>
  <si>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</si>
  <si>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</si>
  <si>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</si>
  <si>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</si>
  <si>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</si>
  <si>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</si>
  <si>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</si>
  <si>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</si>
  <si>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</si>
  <si>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</si>
  <si>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</si>
  <si>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</si>
  <si>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</si>
  <si>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</si>
  <si>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</si>
  <si>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</si>
  <si>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</si>
  <si>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</si>
  <si>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</si>
  <si>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</si>
  <si>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</si>
  <si>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</si>
  <si>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</si>
  <si>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</si>
  <si>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</si>
  <si>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</si>
  <si>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</si>
  <si>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</si>
  <si>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</si>
  <si>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</si>
  <si>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</si>
  <si>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</si>
  <si>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</si>
  <si>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</si>
  <si>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</si>
  <si>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</si>
  <si>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</si>
  <si>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</si>
  <si>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</si>
  <si>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</si>
  <si>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</si>
  <si>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</si>
  <si>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</si>
  <si>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</si>
  <si>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</si>
  <si>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</si>
  <si>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</si>
  <si>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</si>
  <si>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</si>
  <si>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</si>
  <si>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</si>
  <si>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</si>
  <si>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</si>
  <si>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</si>
  <si>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</si>
  <si>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</si>
  <si>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</si>
  <si>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</si>
  <si>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</si>
  <si>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</si>
  <si>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</si>
  <si>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</si>
  <si>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</si>
  <si>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</si>
  <si>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</si>
  <si>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</si>
  <si>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</si>
  <si>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</si>
  <si>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</si>
  <si>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</si>
  <si>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</si>
  <si>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</si>
  <si>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</si>
  <si>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</si>
  <si>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</si>
  <si>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</si>
  <si>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</si>
  <si>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</si>
  <si>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</si>
  <si>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</si>
  <si>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</si>
  <si>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</si>
  <si>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</si>
  <si>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</si>
  <si>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</si>
  <si>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</si>
  <si>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</si>
  <si>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</si>
  <si>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</si>
  <si>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</si>
  <si>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</si>
  <si>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</si>
  <si>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</si>
  <si>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</si>
  <si>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</si>
  <si>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</si>
  <si>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</si>
  <si>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</si>
  <si>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</si>
  <si>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</si>
  <si>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</si>
  <si>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</si>
  <si>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</si>
  <si>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</si>
  <si>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</si>
  <si>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</si>
  <si>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</si>
  <si>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</si>
  <si>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</si>
  <si>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</si>
  <si>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</si>
  <si>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</si>
  <si>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</si>
  <si>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</si>
  <si>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</si>
  <si>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</si>
  <si>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</si>
  <si>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</si>
  <si>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</si>
  <si>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</si>
  <si>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</si>
  <si>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</si>
  <si>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</si>
  <si>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</si>
  <si>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</si>
  <si>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</si>
  <si>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</si>
  <si>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</si>
  <si>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</si>
  <si>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</si>
  <si>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</si>
  <si>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</si>
  <si>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</si>
  <si>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</si>
  <si>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</si>
  <si>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</si>
  <si>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</si>
  <si>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</si>
  <si>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</si>
  <si>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</si>
  <si>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</si>
  <si>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</si>
  <si>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</si>
  <si>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</si>
  <si>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</si>
  <si>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</si>
  <si>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</si>
  <si>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</si>
  <si>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</si>
  <si>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</si>
  <si>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</si>
  <si>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</si>
  <si>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</si>
  <si>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</si>
  <si>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</si>
  <si>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</si>
  <si>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</si>
  <si>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</si>
  <si>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</si>
  <si>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</si>
  <si>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</si>
  <si>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</si>
  <si>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</si>
  <si>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</si>
  <si>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</si>
  <si>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</si>
  <si>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</si>
  <si>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</si>
  <si>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</si>
  <si>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</si>
  <si>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</si>
  <si>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</si>
  <si>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</si>
  <si>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</si>
  <si>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</si>
  <si>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</si>
  <si>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</si>
  <si>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</si>
  <si>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</si>
  <si>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</si>
  <si>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</si>
  <si>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</si>
  <si>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</si>
  <si>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</si>
  <si>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</si>
  <si>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</si>
  <si>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</si>
  <si>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</si>
  <si>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</si>
  <si>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</si>
  <si>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</si>
  <si>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</si>
  <si>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</si>
  <si>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</si>
  <si>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</si>
  <si>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</si>
  <si>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</si>
  <si>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</si>
  <si>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</si>
  <si>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</si>
  <si>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</si>
  <si>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</si>
  <si>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</si>
  <si>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</si>
  <si>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</si>
  <si>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</si>
  <si>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</si>
  <si>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</si>
  <si>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</si>
  <si>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</si>
  <si>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</si>
  <si>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</si>
  <si>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</si>
  <si>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</si>
  <si>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</si>
  <si>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</si>
  <si>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</si>
  <si>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</si>
  <si>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</si>
  <si>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</si>
  <si>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</si>
  <si>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</si>
  <si>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</si>
  <si>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</si>
  <si>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</si>
  <si>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</si>
  <si>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</si>
  <si>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</si>
  <si>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</si>
  <si>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</si>
  <si>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</si>
  <si>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</si>
  <si>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</si>
  <si>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</si>
  <si>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</si>
  <si>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</si>
  <si>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</si>
  <si>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</si>
  <si>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</si>
  <si>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</si>
  <si>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</si>
  <si>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</si>
  <si>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</si>
  <si>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</si>
  <si>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</si>
  <si>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</si>
  <si>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</si>
  <si>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</si>
  <si>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</si>
  <si>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</si>
  <si>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</si>
  <si>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</si>
  <si>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</si>
  <si>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</si>
  <si>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</si>
  <si>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</si>
  <si>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</si>
  <si>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</si>
  <si>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</si>
  <si>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</si>
  <si>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</si>
  <si>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</si>
  <si>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</si>
  <si>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</si>
  <si>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</si>
  <si>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</si>
  <si>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</si>
  <si>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</si>
  <si>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</si>
  <si>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</si>
  <si>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</si>
  <si>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</si>
  <si>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</si>
  <si>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</si>
  <si>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</si>
  <si>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</si>
  <si>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</si>
  <si>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</si>
  <si>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</si>
  <si>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</si>
  <si>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</si>
  <si>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</si>
  <si>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</si>
  <si>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</si>
  <si>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</si>
  <si>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</si>
  <si>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</si>
  <si>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</si>
  <si>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</si>
  <si>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</si>
  <si>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</si>
  <si>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</si>
  <si>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</si>
  <si>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</si>
  <si>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</si>
  <si>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</si>
  <si>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</si>
  <si>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</si>
  <si>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</si>
  <si>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</si>
  <si>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</si>
  <si>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</si>
  <si>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</si>
  <si>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</si>
  <si>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</si>
  <si>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</si>
  <si>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10/12/14/16/20/24</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</si>
  <si>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</si>
  <si>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</si>
  <si>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</si>
  <si>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</si>
  <si>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</si>
  <si>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</si>
  <si>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</si>
  <si>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</si>
  <si>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</si>
  <si>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</si>
  <si>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</si>
  <si>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</si>
  <si>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</si>
  <si>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</si>
  <si>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</si>
  <si>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</si>
  <si>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NACAP/SADELMI</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</si>
  <si>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</si>
  <si>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</si>
  <si>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</si>
  <si>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</si>
  <si>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</si>
  <si>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</si>
  <si>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</si>
  <si>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</si>
  <si>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</si>
  <si>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</si>
  <si>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</si>
  <si>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</si>
  <si>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</si>
  <si>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</si>
  <si>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</si>
  <si>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</si>
  <si>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</si>
  <si>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</si>
  <si>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SAIPEM/CJB/WILLBROS</t>
  </si>
  <si>
    <t>ENAC</t>
  </si>
  <si>
    <t>X52/X60/X70</t>
  </si>
  <si>
    <t xml:space="preserve">12,7 / 15,88 / 19,43 / 19,05 </t>
  </si>
  <si>
    <t>14,3 / 22,22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</si>
</sst>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7"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s>
  <cellStyleXfs count="1">
    <xf numFmtId="0" fontId="0" fillId="0" borderId="0"/>
  </cellStyleXfs>
  <cellXfs count="35">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onnections" Target="connection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6025</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6303</v>
      </c>
      <c r="B1" s="1" t="s">
        <v>6304</v>
      </c>
      <c r="C1" s="1" t="s">
        <v>5603</v>
      </c>
    </row>
    <row r="2" spans="1:3" ht="20.149999999999999" customHeight="1" x14ac:dyDescent="0.35">
      <c r="A2" s="1" t="s">
        <v>41</v>
      </c>
      <c r="B2" s="1" t="s">
        <v>42</v>
      </c>
      <c r="C2" s="1" t="s">
        <v>6305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6026</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6303</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B10" sqref="B10"/>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6317</v>
      </c>
      <c r="B1" s="1" t="s">
        <v>6304</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workbookViewId="0">
      <selection activeCell="A10" sqref="A10"/>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6027</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6308</v>
      </c>
      <c r="D5" s="16" t="str">
        <f t="shared" si="0"/>
        <v>(3,'Manage general Type','GENERAL-TYPE_ADMIN_ROLE'),</v>
      </c>
    </row>
    <row r="6" spans="1:4" ht="20.149999999999999" customHeight="1" x14ac:dyDescent="0.35">
      <c r="A6" s="3">
        <v>4</v>
      </c>
      <c r="B6" s="4" t="s">
        <v>5774</v>
      </c>
      <c r="C6" s="4" t="s">
        <v>6309</v>
      </c>
      <c r="D6" s="16" t="str">
        <f t="shared" si="0"/>
        <v>(4,'Manage general localization','GENERAL-LOCALIZATION_ADMIN_ROLE'),</v>
      </c>
    </row>
    <row r="7" spans="1:4" ht="20.149999999999999" customHeight="1" x14ac:dyDescent="0.35">
      <c r="A7" s="3">
        <v>5</v>
      </c>
      <c r="B7" s="4" t="s">
        <v>5775</v>
      </c>
      <c r="C7" s="4" t="s">
        <v>6310</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6311</v>
      </c>
      <c r="D14" s="16" t="str">
        <f t="shared" si="0"/>
        <v>(12,'View general Type','GENERAL-TYPE_READ_ROLE'),</v>
      </c>
    </row>
    <row r="15" spans="1:4" ht="20.149999999999999" customHeight="1" x14ac:dyDescent="0.35">
      <c r="A15" s="3">
        <v>13</v>
      </c>
      <c r="B15" s="4" t="s">
        <v>5770</v>
      </c>
      <c r="C15" s="4" t="s">
        <v>6312</v>
      </c>
      <c r="D15" s="16" t="str">
        <f t="shared" si="0"/>
        <v>(13,'View general localization','GENERAL-LOCALIZATION_READ_ROLE'),</v>
      </c>
    </row>
    <row r="16" spans="1:4" ht="20.149999999999999" customHeight="1" x14ac:dyDescent="0.35">
      <c r="A16" s="3">
        <v>14</v>
      </c>
      <c r="B16" s="4" t="s">
        <v>5771</v>
      </c>
      <c r="C16" s="4" t="s">
        <v>6313</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topLeftCell="A31" workbookViewId="0">
      <selection activeCell="A34" sqref="A3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6318</v>
      </c>
      <c r="C1" s="1" t="s">
        <v>5603</v>
      </c>
    </row>
    <row r="2" spans="1:3" ht="20.149999999999999" customHeight="1" x14ac:dyDescent="0.35">
      <c r="A2" s="1" t="s">
        <v>41</v>
      </c>
      <c r="B2" s="1" t="s">
        <v>42</v>
      </c>
      <c r="C2" s="1" t="s">
        <v>6314</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E1" workbookViewId="0">
      <selection activeCell="F5" sqref="F5"/>
    </sheetView>
  </sheetViews>
  <sheetFormatPr baseColWidth="10" defaultColWidth="10.81640625" defaultRowHeight="15.5" x14ac:dyDescent="0.35"/>
  <cols>
    <col min="1" max="1" width="4.453125" style="2" customWidth="1"/>
    <col min="2" max="2" width="35.7265625" style="2" customWidth="1"/>
    <col min="3" max="3" width="50.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5269</v>
      </c>
      <c r="C1" s="1" t="s">
        <v>4572</v>
      </c>
      <c r="D1" s="1" t="s">
        <v>5890</v>
      </c>
      <c r="E1" s="1" t="s">
        <v>5891</v>
      </c>
      <c r="F1" s="1" t="s">
        <v>5603</v>
      </c>
    </row>
    <row r="2" spans="1:6" ht="20.149999999999999" customHeight="1" x14ac:dyDescent="0.35">
      <c r="A2" s="1" t="s">
        <v>44</v>
      </c>
      <c r="B2" s="1" t="s">
        <v>41</v>
      </c>
      <c r="C2" s="1" t="s">
        <v>6331</v>
      </c>
      <c r="D2" s="1" t="s">
        <v>43</v>
      </c>
      <c r="E2" s="1" t="s">
        <v>53</v>
      </c>
      <c r="F2" s="1" t="s">
        <v>6332</v>
      </c>
    </row>
    <row r="3" spans="1:6" ht="20.149999999999999" customHeight="1" x14ac:dyDescent="0.35">
      <c r="A3" s="3">
        <v>1</v>
      </c>
      <c r="B3" s="4" t="s">
        <v>5780</v>
      </c>
      <c r="C3" s="4" t="s">
        <v>5927</v>
      </c>
      <c r="D3" s="4" t="s">
        <v>5781</v>
      </c>
      <c r="E3" s="5" t="s">
        <v>5779</v>
      </c>
      <c r="F3" s="16" t="str">
        <f>CONCATENATE("(",A3,",'",B3,"','",C3,"','",D3,"','",E3,"'),")</f>
        <v>(1,'GROUP:ADMIN','group administration','GROUP','ADMIN'),</v>
      </c>
    </row>
    <row r="4" spans="1:6" ht="20.149999999999999" customHeight="1" x14ac:dyDescent="0.35">
      <c r="A4" s="3">
        <v>2</v>
      </c>
      <c r="B4" s="4" t="s">
        <v>5782</v>
      </c>
      <c r="C4" s="4" t="s">
        <v>5928</v>
      </c>
      <c r="D4" s="4" t="s">
        <v>5783</v>
      </c>
      <c r="E4" s="5" t="s">
        <v>5779</v>
      </c>
      <c r="F4" s="16" t="str">
        <f t="shared" ref="F4:F67" si="0">CONCATENATE("(",A4,",'",B4,"','",C4,"','",D4,"','",E4,"'),")</f>
        <v>(2,'USER:ADMIN','user administration','USER','ADMIN'),</v>
      </c>
    </row>
    <row r="5" spans="1:6" ht="20.149999999999999" customHeight="1" x14ac:dyDescent="0.35">
      <c r="A5" s="3">
        <v>3</v>
      </c>
      <c r="B5" s="4" t="s">
        <v>5784</v>
      </c>
      <c r="C5" s="4" t="s">
        <v>5929</v>
      </c>
      <c r="D5" s="4" t="s">
        <v>5785</v>
      </c>
      <c r="E5" s="5" t="s">
        <v>5779</v>
      </c>
      <c r="F5" s="16" t="str">
        <f t="shared" si="0"/>
        <v>(3,'ROLE:ADMIN','role administration','ROLE','ADMIN'),</v>
      </c>
    </row>
    <row r="6" spans="1:6" ht="20.149999999999999" customHeight="1" x14ac:dyDescent="0.35">
      <c r="A6" s="3">
        <v>4</v>
      </c>
      <c r="B6" s="4" t="s">
        <v>5786</v>
      </c>
      <c r="C6" s="4" t="s">
        <v>5930</v>
      </c>
      <c r="D6" s="4" t="s">
        <v>5787</v>
      </c>
      <c r="E6" s="5" t="s">
        <v>5779</v>
      </c>
      <c r="F6" s="16" t="str">
        <f t="shared" si="0"/>
        <v>(4,'PERMISSION:ADMIN','permission administration','PERMISSION','ADMIN'),</v>
      </c>
    </row>
    <row r="7" spans="1:6" ht="20.149999999999999" customHeight="1" x14ac:dyDescent="0.35">
      <c r="A7" s="3">
        <v>5</v>
      </c>
      <c r="B7" s="4" t="s">
        <v>5788</v>
      </c>
      <c r="C7" s="4" t="s">
        <v>5931</v>
      </c>
      <c r="D7" s="4" t="s">
        <v>5789</v>
      </c>
      <c r="E7" s="5" t="s">
        <v>5779</v>
      </c>
      <c r="F7" s="16" t="str">
        <f t="shared" si="0"/>
        <v>(5,'AUTHORITY:ADMIN','authority administration','AUTHORITY','ADMIN'),</v>
      </c>
    </row>
    <row r="8" spans="1:6" ht="20.149999999999999" customHeight="1" x14ac:dyDescent="0.35">
      <c r="A8" s="3">
        <v>6</v>
      </c>
      <c r="B8" s="4" t="s">
        <v>5790</v>
      </c>
      <c r="C8" s="4" t="s">
        <v>5932</v>
      </c>
      <c r="D8" s="4" t="s">
        <v>5791</v>
      </c>
      <c r="E8" s="5" t="s">
        <v>5779</v>
      </c>
      <c r="F8" s="16" t="str">
        <f t="shared" si="0"/>
        <v>(6,'AUDIT:ADMIN','audit administration','AUDIT','ADMIN'),</v>
      </c>
    </row>
    <row r="9" spans="1:6" ht="20.149999999999999" customHeight="1" x14ac:dyDescent="0.35">
      <c r="A9" s="3">
        <v>7</v>
      </c>
      <c r="B9" s="4" t="s">
        <v>5799</v>
      </c>
      <c r="C9" s="4" t="s">
        <v>5954</v>
      </c>
      <c r="D9" s="4" t="s">
        <v>5800</v>
      </c>
      <c r="E9" s="5" t="s">
        <v>5779</v>
      </c>
      <c r="F9" s="16" t="str">
        <f t="shared" si="0"/>
        <v>(7,'STRUCTURE_TYPE:ADMIN','structure type administration','STRUCTURE_TYPE','ADMIN'),</v>
      </c>
    </row>
    <row r="10" spans="1:6" ht="20.149999999999999" customHeight="1" x14ac:dyDescent="0.35">
      <c r="A10" s="3">
        <v>8</v>
      </c>
      <c r="B10" s="4" t="s">
        <v>5823</v>
      </c>
      <c r="C10" s="4" t="s">
        <v>5933</v>
      </c>
      <c r="D10" s="4" t="s">
        <v>5824</v>
      </c>
      <c r="E10" s="5" t="s">
        <v>5779</v>
      </c>
      <c r="F10" s="16" t="str">
        <f t="shared" si="0"/>
        <v>(8,'ZONE:ADMIN','zone administration','ZONE','ADMIN'),</v>
      </c>
    </row>
    <row r="11" spans="1:6" ht="20.149999999999999" customHeight="1" x14ac:dyDescent="0.35">
      <c r="A11" s="3">
        <v>9</v>
      </c>
      <c r="B11" s="4" t="s">
        <v>5793</v>
      </c>
      <c r="C11" s="4" t="s">
        <v>5934</v>
      </c>
      <c r="D11" s="4" t="s">
        <v>5794</v>
      </c>
      <c r="E11" s="5" t="s">
        <v>5779</v>
      </c>
      <c r="F11" s="16" t="str">
        <f t="shared" si="0"/>
        <v>(9,'COUNTRY:ADMIN','country administration','COUNTRY','ADMIN'),</v>
      </c>
    </row>
    <row r="12" spans="1:6" ht="20.149999999999999" customHeight="1" x14ac:dyDescent="0.35">
      <c r="A12" s="3">
        <v>10</v>
      </c>
      <c r="B12" s="4" t="s">
        <v>5795</v>
      </c>
      <c r="C12" s="4" t="s">
        <v>5935</v>
      </c>
      <c r="D12" s="4" t="s">
        <v>5796</v>
      </c>
      <c r="E12" s="5" t="s">
        <v>5779</v>
      </c>
      <c r="F12" s="16" t="str">
        <f t="shared" si="0"/>
        <v>(10,'STATE:ADMIN','state administration','STATE','ADMIN'),</v>
      </c>
    </row>
    <row r="13" spans="1:6" ht="20.149999999999999" customHeight="1" x14ac:dyDescent="0.35">
      <c r="A13" s="3">
        <v>11</v>
      </c>
      <c r="B13" s="4" t="s">
        <v>5905</v>
      </c>
      <c r="C13" s="4" t="s">
        <v>5936</v>
      </c>
      <c r="D13" s="4" t="s">
        <v>5894</v>
      </c>
      <c r="E13" s="5" t="s">
        <v>5779</v>
      </c>
      <c r="F13" s="16" t="str">
        <f t="shared" si="0"/>
        <v>(11,'DISTRICT:ADMIN','district administration','DISTRICT','ADMIN'),</v>
      </c>
    </row>
    <row r="14" spans="1:6" ht="20.149999999999999" customHeight="1" x14ac:dyDescent="0.35">
      <c r="A14" s="3">
        <v>12</v>
      </c>
      <c r="B14" s="4" t="s">
        <v>5797</v>
      </c>
      <c r="C14" s="4" t="s">
        <v>5937</v>
      </c>
      <c r="D14" s="4" t="s">
        <v>5798</v>
      </c>
      <c r="E14" s="5" t="s">
        <v>5779</v>
      </c>
      <c r="F14" s="16" t="str">
        <f t="shared" si="0"/>
        <v>(12,'LOCALITY:ADMIN','locality administration','LOCALITY','ADMIN'),</v>
      </c>
    </row>
    <row r="15" spans="1:6" ht="20.149999999999999" customHeight="1" x14ac:dyDescent="0.35">
      <c r="A15" s="3">
        <v>13</v>
      </c>
      <c r="B15" s="4" t="s">
        <v>5825</v>
      </c>
      <c r="C15" s="4" t="s">
        <v>5938</v>
      </c>
      <c r="D15" s="4" t="s">
        <v>5826</v>
      </c>
      <c r="E15" s="5" t="s">
        <v>5779</v>
      </c>
      <c r="F15" s="16" t="str">
        <f t="shared" si="0"/>
        <v>(13,'LOCATION:ADMIN','location administration','LOCATION','ADMIN'),</v>
      </c>
    </row>
    <row r="16" spans="1:6" ht="20.149999999999999" customHeight="1" x14ac:dyDescent="0.35">
      <c r="A16" s="3">
        <v>14</v>
      </c>
      <c r="B16" s="4" t="s">
        <v>5801</v>
      </c>
      <c r="C16" s="4" t="s">
        <v>5939</v>
      </c>
      <c r="D16" s="4" t="s">
        <v>5802</v>
      </c>
      <c r="E16" s="5" t="s">
        <v>5779</v>
      </c>
      <c r="F16" s="16" t="str">
        <f t="shared" si="0"/>
        <v>(14,'STRUCTURE:ADMIN','structure administration','STRUCTURE','ADMIN'),</v>
      </c>
    </row>
    <row r="17" spans="1:6" ht="20.149999999999999" customHeight="1" x14ac:dyDescent="0.35">
      <c r="A17" s="3">
        <v>15</v>
      </c>
      <c r="B17" s="4" t="s">
        <v>5803</v>
      </c>
      <c r="C17" s="4" t="s">
        <v>5940</v>
      </c>
      <c r="D17" s="4" t="s">
        <v>5804</v>
      </c>
      <c r="E17" s="5" t="s">
        <v>5779</v>
      </c>
      <c r="F17" s="16" t="str">
        <f t="shared" si="0"/>
        <v>(15,'JOB:ADMIN','job administration','JOB','ADMIN'),</v>
      </c>
    </row>
    <row r="18" spans="1:6" ht="20.149999999999999" customHeight="1" x14ac:dyDescent="0.35">
      <c r="A18" s="3">
        <v>16</v>
      </c>
      <c r="B18" s="4" t="s">
        <v>5805</v>
      </c>
      <c r="C18" s="4" t="s">
        <v>5941</v>
      </c>
      <c r="D18" s="4" t="s">
        <v>5806</v>
      </c>
      <c r="E18" s="5" t="s">
        <v>5779</v>
      </c>
      <c r="F18" s="16" t="str">
        <f t="shared" si="0"/>
        <v>(16,'PERSON:ADMIN','person administration','PERSON','ADMIN'),</v>
      </c>
    </row>
    <row r="19" spans="1:6" ht="20.149999999999999" customHeight="1" x14ac:dyDescent="0.35">
      <c r="A19" s="3">
        <v>17</v>
      </c>
      <c r="B19" s="4" t="s">
        <v>5807</v>
      </c>
      <c r="C19" s="4" t="s">
        <v>5942</v>
      </c>
      <c r="D19" s="4" t="s">
        <v>5808</v>
      </c>
      <c r="E19" s="5" t="s">
        <v>5779</v>
      </c>
      <c r="F19" s="16" t="str">
        <f t="shared" si="0"/>
        <v>(17,'EMPLOYEE:ADMIN','employee administration','EMPLOYEE','ADMIN'),</v>
      </c>
    </row>
    <row r="20" spans="1:6" ht="20.149999999999999" customHeight="1" x14ac:dyDescent="0.35">
      <c r="A20" s="3">
        <v>18</v>
      </c>
      <c r="B20" s="4" t="s">
        <v>5809</v>
      </c>
      <c r="C20" s="4" t="s">
        <v>5955</v>
      </c>
      <c r="D20" s="4" t="s">
        <v>5810</v>
      </c>
      <c r="E20" s="5" t="s">
        <v>5779</v>
      </c>
      <c r="F20" s="16" t="str">
        <f t="shared" si="0"/>
        <v>(18,'COMPANY_TYPE:ADMIN','company type administration','COMPANY_TYPE','ADMIN'),</v>
      </c>
    </row>
    <row r="21" spans="1:6" ht="20.149999999999999" customHeight="1" x14ac:dyDescent="0.35">
      <c r="A21" s="3">
        <v>19</v>
      </c>
      <c r="B21" s="4" t="s">
        <v>5811</v>
      </c>
      <c r="C21" s="4" t="s">
        <v>5956</v>
      </c>
      <c r="D21" s="4" t="s">
        <v>5812</v>
      </c>
      <c r="E21" s="5" t="s">
        <v>5779</v>
      </c>
      <c r="F21" s="16" t="str">
        <f t="shared" si="0"/>
        <v>(19,'PARTNER_TYPE:ADMIN','partner type administration','PARTNER_TYPE','ADMIN'),</v>
      </c>
    </row>
    <row r="22" spans="1:6" ht="20.149999999999999" customHeight="1" x14ac:dyDescent="0.35">
      <c r="A22" s="3">
        <v>20</v>
      </c>
      <c r="B22" s="4" t="s">
        <v>5813</v>
      </c>
      <c r="C22" s="4" t="s">
        <v>5957</v>
      </c>
      <c r="D22" s="4" t="s">
        <v>5814</v>
      </c>
      <c r="E22" s="5" t="s">
        <v>5779</v>
      </c>
      <c r="F22" s="16" t="str">
        <f t="shared" si="0"/>
        <v>(20,'VENDOR_TYPE:ADMIN','vendor type administration','VENDOR_TYPE','ADMIN'),</v>
      </c>
    </row>
    <row r="23" spans="1:6" ht="20.149999999999999" customHeight="1" x14ac:dyDescent="0.35">
      <c r="A23" s="3">
        <v>21</v>
      </c>
      <c r="B23" s="4" t="s">
        <v>5815</v>
      </c>
      <c r="C23" s="4" t="s">
        <v>5958</v>
      </c>
      <c r="D23" s="4" t="s">
        <v>5816</v>
      </c>
      <c r="E23" s="5" t="s">
        <v>5779</v>
      </c>
      <c r="F23" s="16" t="str">
        <f t="shared" si="0"/>
        <v>(21,'FACILITY_TYPE:ADMIN','facility type administration','FACILITY_TYPE','ADMIN'),</v>
      </c>
    </row>
    <row r="24" spans="1:6" ht="20.149999999999999" customHeight="1" x14ac:dyDescent="0.35">
      <c r="A24" s="3">
        <v>22</v>
      </c>
      <c r="B24" s="4" t="s">
        <v>5817</v>
      </c>
      <c r="C24" s="4" t="s">
        <v>5959</v>
      </c>
      <c r="D24" s="4" t="s">
        <v>5818</v>
      </c>
      <c r="E24" s="5" t="s">
        <v>5779</v>
      </c>
      <c r="F24" s="16" t="str">
        <f t="shared" si="0"/>
        <v>(22,'STATION_TYPE:ADMIN','station type administration','STATION_TYPE','ADMIN'),</v>
      </c>
    </row>
    <row r="25" spans="1:6" ht="20.149999999999999" customHeight="1" x14ac:dyDescent="0.35">
      <c r="A25" s="3">
        <v>23</v>
      </c>
      <c r="B25" s="4" t="s">
        <v>5819</v>
      </c>
      <c r="C25" s="4" t="s">
        <v>5960</v>
      </c>
      <c r="D25" s="4" t="s">
        <v>5820</v>
      </c>
      <c r="E25" s="5" t="s">
        <v>5779</v>
      </c>
      <c r="F25" s="16" t="str">
        <f t="shared" si="0"/>
        <v>(23,'TERMINAL_TYPE:ADMIN','terminal type administration','TERMINAL_TYPE','ADMIN'),</v>
      </c>
    </row>
    <row r="26" spans="1:6" ht="20.149999999999999" customHeight="1" x14ac:dyDescent="0.35">
      <c r="A26" s="3">
        <v>24</v>
      </c>
      <c r="B26" s="4" t="s">
        <v>5906</v>
      </c>
      <c r="C26" s="4" t="s">
        <v>5961</v>
      </c>
      <c r="D26" s="4" t="s">
        <v>5895</v>
      </c>
      <c r="E26" s="5" t="s">
        <v>5779</v>
      </c>
      <c r="F26" s="16" t="str">
        <f t="shared" si="0"/>
        <v>(24,'PROCESSING_PLANT_TYPE:ADMIN','processing plant type administration','PROCESSING_PLANT_TYPE','ADMIN'),</v>
      </c>
    </row>
    <row r="27" spans="1:6" ht="20.149999999999999" customHeight="1" x14ac:dyDescent="0.35">
      <c r="A27" s="3">
        <v>25</v>
      </c>
      <c r="B27" s="4" t="s">
        <v>5907</v>
      </c>
      <c r="C27" s="4" t="s">
        <v>5962</v>
      </c>
      <c r="D27" s="4" t="s">
        <v>5896</v>
      </c>
      <c r="E27" s="5" t="s">
        <v>5779</v>
      </c>
      <c r="F27" s="16" t="str">
        <f t="shared" si="0"/>
        <v>(25,'PRODUCTION_FIELD_TYPE:ADMIN','production field type administration','PRODUCTION_FIELD_TYPE','ADMIN'),</v>
      </c>
    </row>
    <row r="28" spans="1:6" ht="20.149999999999999" customHeight="1" x14ac:dyDescent="0.35">
      <c r="A28" s="3">
        <v>26</v>
      </c>
      <c r="B28" s="4" t="s">
        <v>5821</v>
      </c>
      <c r="C28" s="4" t="s">
        <v>5963</v>
      </c>
      <c r="D28" s="4" t="s">
        <v>5822</v>
      </c>
      <c r="E28" s="5" t="s">
        <v>5779</v>
      </c>
      <c r="F28" s="16" t="str">
        <f t="shared" si="0"/>
        <v>(26,'EQUIPMENT_TYPE:ADMIN','equipment type administration','EQUIPMENT_TYPE','ADMIN'),</v>
      </c>
    </row>
    <row r="29" spans="1:6" ht="20.149999999999999" customHeight="1" x14ac:dyDescent="0.35">
      <c r="A29" s="3">
        <v>27</v>
      </c>
      <c r="B29" s="4" t="s">
        <v>5827</v>
      </c>
      <c r="C29" s="4" t="s">
        <v>5943</v>
      </c>
      <c r="D29" s="4" t="s">
        <v>5828</v>
      </c>
      <c r="E29" s="5" t="s">
        <v>5779</v>
      </c>
      <c r="F29" s="16" t="str">
        <f t="shared" si="0"/>
        <v>(27,'PRODUCT:ADMIN','product administration','PRODUCT','ADMIN'),</v>
      </c>
    </row>
    <row r="30" spans="1:6" ht="20.149999999999999" customHeight="1" x14ac:dyDescent="0.35">
      <c r="A30" s="3">
        <v>28</v>
      </c>
      <c r="B30" s="4" t="s">
        <v>5829</v>
      </c>
      <c r="C30" s="4" t="s">
        <v>5964</v>
      </c>
      <c r="D30" s="4" t="s">
        <v>5830</v>
      </c>
      <c r="E30" s="5" t="s">
        <v>5779</v>
      </c>
      <c r="F30" s="16" t="str">
        <f t="shared" si="0"/>
        <v>(28,'OPERATIONAL_STATUS:ADMIN','operational status administration','OPERATIONAL_STATUS','ADMIN'),</v>
      </c>
    </row>
    <row r="31" spans="1:6" ht="20.149999999999999" customHeight="1" x14ac:dyDescent="0.35">
      <c r="A31" s="3">
        <v>29</v>
      </c>
      <c r="B31" s="4" t="s">
        <v>5831</v>
      </c>
      <c r="C31" s="4" t="s">
        <v>5944</v>
      </c>
      <c r="D31" s="4" t="s">
        <v>5832</v>
      </c>
      <c r="E31" s="5" t="s">
        <v>5779</v>
      </c>
      <c r="F31" s="16" t="str">
        <f t="shared" si="0"/>
        <v>(29,'ALLOY:ADMIN','alloy administration','ALLOY','ADMIN'),</v>
      </c>
    </row>
    <row r="32" spans="1:6" ht="20.149999999999999" customHeight="1" x14ac:dyDescent="0.35">
      <c r="A32" s="3">
        <v>30</v>
      </c>
      <c r="B32" s="4" t="s">
        <v>5833</v>
      </c>
      <c r="C32" s="4" t="s">
        <v>5945</v>
      </c>
      <c r="D32" s="4" t="s">
        <v>5834</v>
      </c>
      <c r="E32" s="5" t="s">
        <v>5779</v>
      </c>
      <c r="F32" s="16" t="str">
        <f t="shared" si="0"/>
        <v>(30,'PARTNER:ADMIN','partner administration','PARTNER','ADMIN'),</v>
      </c>
    </row>
    <row r="33" spans="1:6" ht="20.149999999999999" customHeight="1" x14ac:dyDescent="0.35">
      <c r="A33" s="3">
        <v>31</v>
      </c>
      <c r="B33" s="4" t="s">
        <v>5835</v>
      </c>
      <c r="C33" s="4" t="s">
        <v>5946</v>
      </c>
      <c r="D33" s="4" t="s">
        <v>5836</v>
      </c>
      <c r="E33" s="5" t="s">
        <v>5779</v>
      </c>
      <c r="F33" s="16" t="str">
        <f t="shared" si="0"/>
        <v>(31,'VENDOR:ADMIN','vendor administration','VENDOR','ADMIN'),</v>
      </c>
    </row>
    <row r="34" spans="1:6" ht="20.149999999999999" customHeight="1" x14ac:dyDescent="0.35">
      <c r="A34" s="3">
        <v>32</v>
      </c>
      <c r="B34" s="4" t="s">
        <v>5837</v>
      </c>
      <c r="C34" s="4" t="s">
        <v>5947</v>
      </c>
      <c r="D34" s="4" t="s">
        <v>5838</v>
      </c>
      <c r="E34" s="5" t="s">
        <v>5779</v>
      </c>
      <c r="F34" s="16" t="str">
        <f t="shared" si="0"/>
        <v>(32,'INFRASTRUCTURE:ADMIN','infrastructure administration','INFRASTRUCTURE','ADMIN'),</v>
      </c>
    </row>
    <row r="35" spans="1:6" ht="20.149999999999999" customHeight="1" x14ac:dyDescent="0.35">
      <c r="A35" s="3">
        <v>33</v>
      </c>
      <c r="B35" s="4" t="s">
        <v>5839</v>
      </c>
      <c r="C35" s="4" t="s">
        <v>5948</v>
      </c>
      <c r="D35" s="4" t="s">
        <v>5840</v>
      </c>
      <c r="E35" s="5" t="s">
        <v>5779</v>
      </c>
      <c r="F35" s="16" t="str">
        <f t="shared" si="0"/>
        <v>(33,'FACILITY:ADMIN','facility administration','FACILITY','ADMIN'),</v>
      </c>
    </row>
    <row r="36" spans="1:6" ht="20.149999999999999" customHeight="1" x14ac:dyDescent="0.35">
      <c r="A36" s="3">
        <v>34</v>
      </c>
      <c r="B36" s="4" t="s">
        <v>5841</v>
      </c>
      <c r="C36" s="4" t="s">
        <v>5965</v>
      </c>
      <c r="D36" s="4" t="s">
        <v>5842</v>
      </c>
      <c r="E36" s="5" t="s">
        <v>5779</v>
      </c>
      <c r="F36" s="16" t="str">
        <f t="shared" si="0"/>
        <v>(34,'PIPELINE_SYSTEM:ADMIN','pipeline system administration','PIPELINE_SYSTEM','ADMIN'),</v>
      </c>
    </row>
    <row r="37" spans="1:6" ht="20.149999999999999" customHeight="1" x14ac:dyDescent="0.35">
      <c r="A37" s="3">
        <v>35</v>
      </c>
      <c r="B37" s="4" t="s">
        <v>5843</v>
      </c>
      <c r="C37" s="4" t="s">
        <v>5949</v>
      </c>
      <c r="D37" s="4" t="s">
        <v>5844</v>
      </c>
      <c r="E37" s="5" t="s">
        <v>5779</v>
      </c>
      <c r="F37" s="16" t="str">
        <f t="shared" si="0"/>
        <v>(35,'PIPELINE:ADMIN','pipeline administration','PIPELINE','ADMIN'),</v>
      </c>
    </row>
    <row r="38" spans="1:6" ht="20.149999999999999" customHeight="1" x14ac:dyDescent="0.35">
      <c r="A38" s="3">
        <v>36</v>
      </c>
      <c r="B38" s="4" t="s">
        <v>5845</v>
      </c>
      <c r="C38" s="4" t="s">
        <v>5966</v>
      </c>
      <c r="D38" s="4" t="s">
        <v>5846</v>
      </c>
      <c r="E38" s="5" t="s">
        <v>5779</v>
      </c>
      <c r="F38" s="16" t="str">
        <f t="shared" si="0"/>
        <v>(36,'PIPELINE_SEGMENT:ADMIN','pipeline segment administration','PIPELINE_SEGMENT','ADMIN'),</v>
      </c>
    </row>
    <row r="39" spans="1:6" ht="20.149999999999999" customHeight="1" x14ac:dyDescent="0.35">
      <c r="A39" s="3">
        <v>37</v>
      </c>
      <c r="B39" s="4" t="s">
        <v>5847</v>
      </c>
      <c r="C39" s="4" t="s">
        <v>5950</v>
      </c>
      <c r="D39" s="4" t="s">
        <v>5848</v>
      </c>
      <c r="E39" s="5" t="s">
        <v>5779</v>
      </c>
      <c r="F39" s="16" t="str">
        <f t="shared" si="0"/>
        <v>(37,'STATION:ADMIN','station administration','STATION','ADMIN'),</v>
      </c>
    </row>
    <row r="40" spans="1:6" ht="20.149999999999999" customHeight="1" x14ac:dyDescent="0.35">
      <c r="A40" s="3">
        <v>38</v>
      </c>
      <c r="B40" s="4" t="s">
        <v>5849</v>
      </c>
      <c r="C40" s="4" t="s">
        <v>5951</v>
      </c>
      <c r="D40" s="4" t="s">
        <v>5850</v>
      </c>
      <c r="E40" s="5" t="s">
        <v>5779</v>
      </c>
      <c r="F40" s="16" t="str">
        <f t="shared" si="0"/>
        <v>(38,'TERMINAL:ADMIN','terminal administration','TERMINAL','ADMIN'),</v>
      </c>
    </row>
    <row r="41" spans="1:6" ht="20.149999999999999" customHeight="1" x14ac:dyDescent="0.35">
      <c r="A41" s="3">
        <v>39</v>
      </c>
      <c r="B41" s="4" t="s">
        <v>5908</v>
      </c>
      <c r="C41" s="4" t="s">
        <v>5967</v>
      </c>
      <c r="D41" s="4" t="s">
        <v>5897</v>
      </c>
      <c r="E41" s="5" t="s">
        <v>5779</v>
      </c>
      <c r="F41" s="16" t="str">
        <f t="shared" si="0"/>
        <v>(39,'PROCESSING_PLANT:ADMIN','processing plant administration','PROCESSING_PLANT','ADMIN'),</v>
      </c>
    </row>
    <row r="42" spans="1:6" ht="20.149999999999999" customHeight="1" x14ac:dyDescent="0.35">
      <c r="A42" s="3">
        <v>40</v>
      </c>
      <c r="B42" s="4" t="s">
        <v>5909</v>
      </c>
      <c r="C42" s="4" t="s">
        <v>5968</v>
      </c>
      <c r="D42" s="4" t="s">
        <v>5898</v>
      </c>
      <c r="E42" s="5" t="s">
        <v>5779</v>
      </c>
      <c r="F42" s="16" t="str">
        <f t="shared" si="0"/>
        <v>(40,'PRODUCTION_FIELD:ADMIN','production field administration','PRODUCTION_FIELD','ADMIN'),</v>
      </c>
    </row>
    <row r="43" spans="1:6" ht="20.149999999999999" customHeight="1" x14ac:dyDescent="0.35">
      <c r="A43" s="3">
        <v>41</v>
      </c>
      <c r="B43" s="4" t="s">
        <v>5851</v>
      </c>
      <c r="C43" s="4" t="s">
        <v>5952</v>
      </c>
      <c r="D43" s="4" t="s">
        <v>5852</v>
      </c>
      <c r="E43" s="5" t="s">
        <v>5779</v>
      </c>
      <c r="F43" s="16" t="str">
        <f t="shared" si="0"/>
        <v>(41,'EQUIPMENT:ADMIN','equipment administration','EQUIPMENT','ADMIN'),</v>
      </c>
    </row>
    <row r="44" spans="1:6" ht="20.149999999999999" customHeight="1" x14ac:dyDescent="0.35">
      <c r="A44" s="3">
        <v>42</v>
      </c>
      <c r="B44" s="4" t="s">
        <v>5910</v>
      </c>
      <c r="C44" s="4" t="s">
        <v>5969</v>
      </c>
      <c r="D44" s="4" t="s">
        <v>5899</v>
      </c>
      <c r="E44" s="5" t="s">
        <v>5779</v>
      </c>
      <c r="F44" s="16" t="str">
        <f t="shared" si="0"/>
        <v>(42,'MEASEUREMENT_HOUR:ADMIN','measeurement hour administration','MEASEUREMENT_HOUR','ADMIN'),</v>
      </c>
    </row>
    <row r="45" spans="1:6" ht="20.149999999999999" customHeight="1" x14ac:dyDescent="0.35">
      <c r="A45" s="3">
        <v>43</v>
      </c>
      <c r="B45" s="4" t="s">
        <v>5911</v>
      </c>
      <c r="C45" s="4" t="s">
        <v>5970</v>
      </c>
      <c r="D45" s="4" t="s">
        <v>5904</v>
      </c>
      <c r="E45" s="5" t="s">
        <v>5779</v>
      </c>
      <c r="F45" s="16" t="str">
        <f t="shared" si="0"/>
        <v>(43,'FLOW_VOLUME:ADMIN','flow volume administration','FLOW_VOLUME','ADMIN'),</v>
      </c>
    </row>
    <row r="46" spans="1:6" ht="20.149999999999999" customHeight="1" x14ac:dyDescent="0.35">
      <c r="A46" s="3">
        <v>44</v>
      </c>
      <c r="B46" s="4" t="s">
        <v>5912</v>
      </c>
      <c r="C46" s="4" t="s">
        <v>5971</v>
      </c>
      <c r="D46" s="4" t="s">
        <v>5903</v>
      </c>
      <c r="E46" s="5" t="s">
        <v>5779</v>
      </c>
      <c r="F46" s="16" t="str">
        <f t="shared" si="0"/>
        <v>(44,'FLOW_PRESSURE:ADMIN','flow pressure administration','FLOW_PRESSURE','ADMIN'),</v>
      </c>
    </row>
    <row r="47" spans="1:6" ht="20.149999999999999" customHeight="1" x14ac:dyDescent="0.35">
      <c r="A47" s="3">
        <v>45</v>
      </c>
      <c r="B47" s="4" t="s">
        <v>5913</v>
      </c>
      <c r="C47" s="4" t="s">
        <v>5972</v>
      </c>
      <c r="D47" s="4" t="s">
        <v>5902</v>
      </c>
      <c r="E47" s="5" t="s">
        <v>5779</v>
      </c>
      <c r="F47" s="16" t="str">
        <f t="shared" si="0"/>
        <v>(45,'FLOW_TRANSPORTED:ADMIN','flow transported administration','FLOW_TRANSPORTED','ADMIN'),</v>
      </c>
    </row>
    <row r="48" spans="1:6" ht="20.149999999999999" customHeight="1" x14ac:dyDescent="0.35">
      <c r="A48" s="3">
        <v>46</v>
      </c>
      <c r="B48" s="4" t="s">
        <v>5914</v>
      </c>
      <c r="C48" s="4" t="s">
        <v>5973</v>
      </c>
      <c r="D48" s="4" t="s">
        <v>5900</v>
      </c>
      <c r="E48" s="5" t="s">
        <v>5779</v>
      </c>
      <c r="F48" s="16" t="str">
        <f t="shared" si="0"/>
        <v>(46,'FLOW_PRODUCED:ADMIN','flow produced administration','FLOW_PRODUCED','ADMIN'),</v>
      </c>
    </row>
    <row r="49" spans="1:6" ht="20.149999999999999" customHeight="1" x14ac:dyDescent="0.35">
      <c r="A49" s="3">
        <v>47</v>
      </c>
      <c r="B49" s="4" t="s">
        <v>5915</v>
      </c>
      <c r="C49" s="4" t="s">
        <v>5974</v>
      </c>
      <c r="D49" s="4" t="s">
        <v>5901</v>
      </c>
      <c r="E49" s="5" t="s">
        <v>5779</v>
      </c>
      <c r="F49" s="16" t="str">
        <f t="shared" si="0"/>
        <v>(47,'FLOW_CONSUMED:ADMIN','flow consumed administration','FLOW_CONSUMED','ADMIN'),</v>
      </c>
    </row>
    <row r="50" spans="1:6" ht="20.149999999999999" customHeight="1" x14ac:dyDescent="0.35">
      <c r="A50" s="3">
        <v>48</v>
      </c>
      <c r="B50" s="4" t="s">
        <v>5854</v>
      </c>
      <c r="C50" s="4" t="s">
        <v>6028</v>
      </c>
      <c r="D50" s="4" t="s">
        <v>5781</v>
      </c>
      <c r="E50" s="5" t="s">
        <v>5853</v>
      </c>
      <c r="F50" s="16" t="str">
        <f t="shared" si="0"/>
        <v>(48,'GROUP:READ','group viewing','GROUP','READ'),</v>
      </c>
    </row>
    <row r="51" spans="1:6" ht="20.149999999999999" customHeight="1" x14ac:dyDescent="0.35">
      <c r="A51" s="3">
        <v>49</v>
      </c>
      <c r="B51" s="4" t="s">
        <v>5855</v>
      </c>
      <c r="C51" s="4" t="s">
        <v>6029</v>
      </c>
      <c r="D51" s="4" t="s">
        <v>5783</v>
      </c>
      <c r="E51" s="5" t="s">
        <v>5853</v>
      </c>
      <c r="F51" s="16" t="str">
        <f t="shared" si="0"/>
        <v>(49,'USER:READ','user viewing','USER','READ'),</v>
      </c>
    </row>
    <row r="52" spans="1:6" ht="20.149999999999999" customHeight="1" x14ac:dyDescent="0.35">
      <c r="A52" s="3">
        <v>50</v>
      </c>
      <c r="B52" s="4" t="s">
        <v>5856</v>
      </c>
      <c r="C52" s="4" t="s">
        <v>6030</v>
      </c>
      <c r="D52" s="4" t="s">
        <v>5785</v>
      </c>
      <c r="E52" s="5" t="s">
        <v>5853</v>
      </c>
      <c r="F52" s="16" t="str">
        <f t="shared" si="0"/>
        <v>(50,'ROLE:READ','role viewing','ROLE','READ'),</v>
      </c>
    </row>
    <row r="53" spans="1:6" ht="20.149999999999999" customHeight="1" x14ac:dyDescent="0.35">
      <c r="A53" s="3">
        <v>51</v>
      </c>
      <c r="B53" s="4" t="s">
        <v>5857</v>
      </c>
      <c r="C53" s="4" t="s">
        <v>6031</v>
      </c>
      <c r="D53" s="4" t="s">
        <v>5787</v>
      </c>
      <c r="E53" s="5" t="s">
        <v>5853</v>
      </c>
      <c r="F53" s="16" t="str">
        <f t="shared" si="0"/>
        <v>(51,'PERMISSION:READ','permission viewing','PERMISSION','READ'),</v>
      </c>
    </row>
    <row r="54" spans="1:6" ht="20.149999999999999" customHeight="1" x14ac:dyDescent="0.35">
      <c r="A54" s="3">
        <v>52</v>
      </c>
      <c r="B54" s="4" t="s">
        <v>5858</v>
      </c>
      <c r="C54" s="4" t="s">
        <v>6032</v>
      </c>
      <c r="D54" s="4" t="s">
        <v>5789</v>
      </c>
      <c r="E54" s="5" t="s">
        <v>5853</v>
      </c>
      <c r="F54" s="16" t="str">
        <f t="shared" si="0"/>
        <v>(52,'AUTHORITY:READ','authority viewing','AUTHORITY','READ'),</v>
      </c>
    </row>
    <row r="55" spans="1:6" ht="20.149999999999999" customHeight="1" x14ac:dyDescent="0.35">
      <c r="A55" s="3">
        <v>53</v>
      </c>
      <c r="B55" s="4" t="s">
        <v>5859</v>
      </c>
      <c r="C55" s="4" t="s">
        <v>6033</v>
      </c>
      <c r="D55" s="4" t="s">
        <v>5791</v>
      </c>
      <c r="E55" s="5" t="s">
        <v>5853</v>
      </c>
      <c r="F55" s="16" t="str">
        <f t="shared" si="0"/>
        <v>(53,'AUDIT:READ','audit viewing','AUDIT','READ'),</v>
      </c>
    </row>
    <row r="56" spans="1:6" ht="20.149999999999999" customHeight="1" x14ac:dyDescent="0.35">
      <c r="A56" s="3">
        <v>54</v>
      </c>
      <c r="B56" s="4" t="s">
        <v>5863</v>
      </c>
      <c r="C56" s="4" t="s">
        <v>6034</v>
      </c>
      <c r="D56" s="4" t="s">
        <v>5800</v>
      </c>
      <c r="E56" s="5" t="s">
        <v>5853</v>
      </c>
      <c r="F56" s="16" t="str">
        <f t="shared" si="0"/>
        <v>(54,'STRUCTURE_TYPE:READ','structure_type viewing','STRUCTURE_TYPE','READ'),</v>
      </c>
    </row>
    <row r="57" spans="1:6" ht="20.149999999999999" customHeight="1" x14ac:dyDescent="0.35">
      <c r="A57" s="3">
        <v>55</v>
      </c>
      <c r="B57" s="4" t="s">
        <v>5875</v>
      </c>
      <c r="C57" s="4" t="s">
        <v>6035</v>
      </c>
      <c r="D57" s="4" t="s">
        <v>5824</v>
      </c>
      <c r="E57" s="5" t="s">
        <v>5853</v>
      </c>
      <c r="F57" s="16" t="str">
        <f t="shared" si="0"/>
        <v>(55,'ZONE:READ','zone viewing','ZONE','READ'),</v>
      </c>
    </row>
    <row r="58" spans="1:6" ht="20.149999999999999" customHeight="1" x14ac:dyDescent="0.35">
      <c r="A58" s="3">
        <v>56</v>
      </c>
      <c r="B58" s="4" t="s">
        <v>5860</v>
      </c>
      <c r="C58" s="4" t="s">
        <v>6036</v>
      </c>
      <c r="D58" s="4" t="s">
        <v>5794</v>
      </c>
      <c r="E58" s="5" t="s">
        <v>5853</v>
      </c>
      <c r="F58" s="16" t="str">
        <f t="shared" si="0"/>
        <v>(56,'COUNTRY:READ','country viewing','COUNTRY','READ'),</v>
      </c>
    </row>
    <row r="59" spans="1:6" ht="20.149999999999999" customHeight="1" x14ac:dyDescent="0.35">
      <c r="A59" s="3">
        <v>57</v>
      </c>
      <c r="B59" s="4" t="s">
        <v>5861</v>
      </c>
      <c r="C59" s="4" t="s">
        <v>6037</v>
      </c>
      <c r="D59" s="4" t="s">
        <v>5796</v>
      </c>
      <c r="E59" s="5" t="s">
        <v>5853</v>
      </c>
      <c r="F59" s="16" t="str">
        <f t="shared" si="0"/>
        <v>(57,'STATE:READ','state viewing','STATE','READ'),</v>
      </c>
    </row>
    <row r="60" spans="1:6" ht="20.149999999999999" customHeight="1" x14ac:dyDescent="0.35">
      <c r="A60" s="3">
        <v>58</v>
      </c>
      <c r="B60" s="4" t="s">
        <v>5916</v>
      </c>
      <c r="C60" s="4" t="s">
        <v>6038</v>
      </c>
      <c r="D60" s="4" t="s">
        <v>5894</v>
      </c>
      <c r="E60" s="5" t="s">
        <v>5853</v>
      </c>
      <c r="F60" s="16" t="str">
        <f t="shared" si="0"/>
        <v>(58,'DISTRICT:READ','district viewing','DISTRICT','READ'),</v>
      </c>
    </row>
    <row r="61" spans="1:6" ht="20.149999999999999" customHeight="1" x14ac:dyDescent="0.35">
      <c r="A61" s="3">
        <v>59</v>
      </c>
      <c r="B61" s="4" t="s">
        <v>5862</v>
      </c>
      <c r="C61" s="4" t="s">
        <v>6039</v>
      </c>
      <c r="D61" s="4" t="s">
        <v>5798</v>
      </c>
      <c r="E61" s="5" t="s">
        <v>5853</v>
      </c>
      <c r="F61" s="16" t="str">
        <f t="shared" si="0"/>
        <v>(59,'LOCALITY:READ','locality viewing','LOCALITY','READ'),</v>
      </c>
    </row>
    <row r="62" spans="1:6" ht="20.149999999999999" customHeight="1" x14ac:dyDescent="0.35">
      <c r="A62" s="3">
        <v>60</v>
      </c>
      <c r="B62" s="4" t="s">
        <v>5876</v>
      </c>
      <c r="C62" s="4" t="s">
        <v>6040</v>
      </c>
      <c r="D62" s="4" t="s">
        <v>5826</v>
      </c>
      <c r="E62" s="5" t="s">
        <v>5853</v>
      </c>
      <c r="F62" s="16" t="str">
        <f t="shared" si="0"/>
        <v>(60,'LOCATION:READ','location viewing','LOCATION','READ'),</v>
      </c>
    </row>
    <row r="63" spans="1:6" ht="20.149999999999999" customHeight="1" x14ac:dyDescent="0.35">
      <c r="A63" s="3">
        <v>61</v>
      </c>
      <c r="B63" s="4" t="s">
        <v>5864</v>
      </c>
      <c r="C63" s="4" t="s">
        <v>6041</v>
      </c>
      <c r="D63" s="4" t="s">
        <v>5802</v>
      </c>
      <c r="E63" s="5" t="s">
        <v>5853</v>
      </c>
      <c r="F63" s="16" t="str">
        <f t="shared" si="0"/>
        <v>(61,'STRUCTURE:READ','structure viewing','STRUCTURE','READ'),</v>
      </c>
    </row>
    <row r="64" spans="1:6" ht="20.149999999999999" customHeight="1" x14ac:dyDescent="0.35">
      <c r="A64" s="3">
        <v>62</v>
      </c>
      <c r="B64" s="4" t="s">
        <v>5865</v>
      </c>
      <c r="C64" s="4" t="s">
        <v>6042</v>
      </c>
      <c r="D64" s="4" t="s">
        <v>5804</v>
      </c>
      <c r="E64" s="5" t="s">
        <v>5853</v>
      </c>
      <c r="F64" s="16" t="str">
        <f t="shared" si="0"/>
        <v>(62,'JOB:READ','job viewing','JOB','READ'),</v>
      </c>
    </row>
    <row r="65" spans="1:6" ht="20.149999999999999" customHeight="1" x14ac:dyDescent="0.35">
      <c r="A65" s="3">
        <v>63</v>
      </c>
      <c r="B65" s="4" t="s">
        <v>5866</v>
      </c>
      <c r="C65" s="4" t="s">
        <v>6043</v>
      </c>
      <c r="D65" s="4" t="s">
        <v>5806</v>
      </c>
      <c r="E65" s="5" t="s">
        <v>5853</v>
      </c>
      <c r="F65" s="16" t="str">
        <f t="shared" si="0"/>
        <v>(63,'PERSON:READ','person viewing','PERSON','READ'),</v>
      </c>
    </row>
    <row r="66" spans="1:6" ht="20.149999999999999" customHeight="1" x14ac:dyDescent="0.35">
      <c r="A66" s="3">
        <v>64</v>
      </c>
      <c r="B66" s="4" t="s">
        <v>5867</v>
      </c>
      <c r="C66" s="4" t="s">
        <v>6044</v>
      </c>
      <c r="D66" s="4" t="s">
        <v>5808</v>
      </c>
      <c r="E66" s="5" t="s">
        <v>5853</v>
      </c>
      <c r="F66" s="16" t="str">
        <f t="shared" si="0"/>
        <v>(64,'EMPLOYEE:READ','employee viewing','EMPLOYEE','READ'),</v>
      </c>
    </row>
    <row r="67" spans="1:6" ht="20.149999999999999" customHeight="1" x14ac:dyDescent="0.35">
      <c r="A67" s="3">
        <v>65</v>
      </c>
      <c r="B67" s="4" t="s">
        <v>5868</v>
      </c>
      <c r="C67" s="4" t="s">
        <v>6045</v>
      </c>
      <c r="D67" s="4" t="s">
        <v>5810</v>
      </c>
      <c r="E67" s="5" t="s">
        <v>5853</v>
      </c>
      <c r="F67" s="16" t="str">
        <f t="shared" si="0"/>
        <v>(65,'COMPANY_TYPE:READ','company_type viewing','COMPANY_TYPE','READ'),</v>
      </c>
    </row>
    <row r="68" spans="1:6" ht="20.149999999999999" customHeight="1" x14ac:dyDescent="0.35">
      <c r="A68" s="3">
        <v>66</v>
      </c>
      <c r="B68" s="4" t="s">
        <v>5869</v>
      </c>
      <c r="C68" s="4" t="s">
        <v>6046</v>
      </c>
      <c r="D68" s="4" t="s">
        <v>5812</v>
      </c>
      <c r="E68" s="5" t="s">
        <v>5853</v>
      </c>
      <c r="F68" s="16" t="str">
        <f t="shared" ref="F68:F96" si="1">CONCATENATE("(",A68,",'",B68,"','",C68,"','",D68,"','",E68,"'),")</f>
        <v>(66,'PARTNER_TYPE:READ','partner_type viewing','PARTNER_TYPE','READ'),</v>
      </c>
    </row>
    <row r="69" spans="1:6" ht="20.149999999999999" customHeight="1" x14ac:dyDescent="0.35">
      <c r="A69" s="3">
        <v>67</v>
      </c>
      <c r="B69" s="4" t="s">
        <v>5870</v>
      </c>
      <c r="C69" s="4" t="s">
        <v>6047</v>
      </c>
      <c r="D69" s="4" t="s">
        <v>5814</v>
      </c>
      <c r="E69" s="5" t="s">
        <v>5853</v>
      </c>
      <c r="F69" s="16" t="str">
        <f t="shared" si="1"/>
        <v>(67,'VENDOR_TYPE:READ','vendor_type viewing','VENDOR_TYPE','READ'),</v>
      </c>
    </row>
    <row r="70" spans="1:6" ht="20.149999999999999" customHeight="1" x14ac:dyDescent="0.35">
      <c r="A70" s="3">
        <v>68</v>
      </c>
      <c r="B70" s="4" t="s">
        <v>5871</v>
      </c>
      <c r="C70" s="4" t="s">
        <v>6048</v>
      </c>
      <c r="D70" s="4" t="s">
        <v>5816</v>
      </c>
      <c r="E70" s="5" t="s">
        <v>5853</v>
      </c>
      <c r="F70" s="16" t="str">
        <f t="shared" si="1"/>
        <v>(68,'FACILITY_TYPE:READ','facility_type viewing','FACILITY_TYPE','READ'),</v>
      </c>
    </row>
    <row r="71" spans="1:6" ht="20.149999999999999" customHeight="1" x14ac:dyDescent="0.35">
      <c r="A71" s="3">
        <v>69</v>
      </c>
      <c r="B71" s="4" t="s">
        <v>5872</v>
      </c>
      <c r="C71" s="4" t="s">
        <v>6049</v>
      </c>
      <c r="D71" s="4" t="s">
        <v>5818</v>
      </c>
      <c r="E71" s="5" t="s">
        <v>5853</v>
      </c>
      <c r="F71" s="16" t="str">
        <f t="shared" si="1"/>
        <v>(69,'STATION_TYPE:READ','station_type viewing','STATION_TYPE','READ'),</v>
      </c>
    </row>
    <row r="72" spans="1:6" ht="20.149999999999999" customHeight="1" x14ac:dyDescent="0.35">
      <c r="A72" s="3">
        <v>70</v>
      </c>
      <c r="B72" s="4" t="s">
        <v>5873</v>
      </c>
      <c r="C72" s="4" t="s">
        <v>6050</v>
      </c>
      <c r="D72" s="4" t="s">
        <v>5820</v>
      </c>
      <c r="E72" s="5" t="s">
        <v>5853</v>
      </c>
      <c r="F72" s="16" t="str">
        <f t="shared" si="1"/>
        <v>(70,'TERMINAL_TYPE:READ','terminal_type viewing','TERMINAL_TYPE','READ'),</v>
      </c>
    </row>
    <row r="73" spans="1:6" ht="20.149999999999999" customHeight="1" x14ac:dyDescent="0.35">
      <c r="A73" s="3">
        <v>71</v>
      </c>
      <c r="B73" s="4" t="s">
        <v>5917</v>
      </c>
      <c r="C73" s="4" t="s">
        <v>6051</v>
      </c>
      <c r="D73" s="4" t="s">
        <v>5895</v>
      </c>
      <c r="E73" s="5" t="s">
        <v>5853</v>
      </c>
      <c r="F73" s="16" t="str">
        <f t="shared" si="1"/>
        <v>(71,'PROCESSING_PLANT_TYPE:READ','processing_plant_type viewing','PROCESSING_PLANT_TYPE','READ'),</v>
      </c>
    </row>
    <row r="74" spans="1:6" ht="20.149999999999999" customHeight="1" x14ac:dyDescent="0.35">
      <c r="A74" s="3">
        <v>72</v>
      </c>
      <c r="B74" s="4" t="s">
        <v>5918</v>
      </c>
      <c r="C74" s="4" t="s">
        <v>6052</v>
      </c>
      <c r="D74" s="4" t="s">
        <v>5896</v>
      </c>
      <c r="E74" s="5" t="s">
        <v>5853</v>
      </c>
      <c r="F74" s="16" t="str">
        <f t="shared" si="1"/>
        <v>(72,'PRODUCTION_FIELD_TYPE:READ','production_field_type viewing','PRODUCTION_FIELD_TYPE','READ'),</v>
      </c>
    </row>
    <row r="75" spans="1:6" ht="20.149999999999999" customHeight="1" x14ac:dyDescent="0.35">
      <c r="A75" s="3">
        <v>73</v>
      </c>
      <c r="B75" s="4" t="s">
        <v>5874</v>
      </c>
      <c r="C75" s="4" t="s">
        <v>6053</v>
      </c>
      <c r="D75" s="4" t="s">
        <v>5822</v>
      </c>
      <c r="E75" s="5" t="s">
        <v>5853</v>
      </c>
      <c r="F75" s="16" t="str">
        <f t="shared" si="1"/>
        <v>(73,'EQUIPMENT_TYPE:READ','equipment_type viewing','EQUIPMENT_TYPE','READ'),</v>
      </c>
    </row>
    <row r="76" spans="1:6" ht="20.149999999999999" customHeight="1" x14ac:dyDescent="0.35">
      <c r="A76" s="3">
        <v>74</v>
      </c>
      <c r="B76" s="4" t="s">
        <v>5877</v>
      </c>
      <c r="C76" s="4" t="s">
        <v>6054</v>
      </c>
      <c r="D76" s="4" t="s">
        <v>5828</v>
      </c>
      <c r="E76" s="5" t="s">
        <v>5853</v>
      </c>
      <c r="F76" s="16" t="str">
        <f t="shared" si="1"/>
        <v>(74,'PRODUCT:READ','product viewing','PRODUCT','READ'),</v>
      </c>
    </row>
    <row r="77" spans="1:6" ht="20.149999999999999" customHeight="1" x14ac:dyDescent="0.35">
      <c r="A77" s="3">
        <v>75</v>
      </c>
      <c r="B77" s="4" t="s">
        <v>5878</v>
      </c>
      <c r="C77" s="4" t="s">
        <v>6055</v>
      </c>
      <c r="D77" s="4" t="s">
        <v>5830</v>
      </c>
      <c r="E77" s="5" t="s">
        <v>5853</v>
      </c>
      <c r="F77" s="16" t="str">
        <f t="shared" si="1"/>
        <v>(75,'OPERATIONAL_STATUS:READ','operational_status viewing','OPERATIONAL_STATUS','READ'),</v>
      </c>
    </row>
    <row r="78" spans="1:6" ht="20.149999999999999" customHeight="1" x14ac:dyDescent="0.35">
      <c r="A78" s="3">
        <v>76</v>
      </c>
      <c r="B78" s="4" t="s">
        <v>5879</v>
      </c>
      <c r="C78" s="4" t="s">
        <v>6056</v>
      </c>
      <c r="D78" s="4" t="s">
        <v>5832</v>
      </c>
      <c r="E78" s="5" t="s">
        <v>5853</v>
      </c>
      <c r="F78" s="16" t="str">
        <f t="shared" si="1"/>
        <v>(76,'ALLOY:READ','alloy viewing','ALLOY','READ'),</v>
      </c>
    </row>
    <row r="79" spans="1:6" ht="20.149999999999999" customHeight="1" x14ac:dyDescent="0.35">
      <c r="A79" s="3">
        <v>77</v>
      </c>
      <c r="B79" s="4" t="s">
        <v>5880</v>
      </c>
      <c r="C79" s="4" t="s">
        <v>6057</v>
      </c>
      <c r="D79" s="4" t="s">
        <v>5834</v>
      </c>
      <c r="E79" s="5" t="s">
        <v>5853</v>
      </c>
      <c r="F79" s="16" t="str">
        <f t="shared" si="1"/>
        <v>(77,'PARTNER:READ','partner viewing','PARTNER','READ'),</v>
      </c>
    </row>
    <row r="80" spans="1:6" ht="20.149999999999999" customHeight="1" x14ac:dyDescent="0.35">
      <c r="A80" s="3">
        <v>78</v>
      </c>
      <c r="B80" s="4" t="s">
        <v>5881</v>
      </c>
      <c r="C80" s="4" t="s">
        <v>6058</v>
      </c>
      <c r="D80" s="4" t="s">
        <v>5836</v>
      </c>
      <c r="E80" s="5" t="s">
        <v>5853</v>
      </c>
      <c r="F80" s="16" t="str">
        <f t="shared" si="1"/>
        <v>(78,'VENDOR:READ','vendor viewing','VENDOR','READ'),</v>
      </c>
    </row>
    <row r="81" spans="1:6" ht="20.149999999999999" customHeight="1" x14ac:dyDescent="0.35">
      <c r="A81" s="3">
        <v>79</v>
      </c>
      <c r="B81" s="4" t="s">
        <v>5882</v>
      </c>
      <c r="C81" s="4" t="s">
        <v>6059</v>
      </c>
      <c r="D81" s="4" t="s">
        <v>5838</v>
      </c>
      <c r="E81" s="5" t="s">
        <v>5853</v>
      </c>
      <c r="F81" s="16" t="str">
        <f t="shared" si="1"/>
        <v>(79,'INFRASTRUCTURE:READ','infrastructure viewing','INFRASTRUCTURE','READ'),</v>
      </c>
    </row>
    <row r="82" spans="1:6" ht="20.149999999999999" customHeight="1" x14ac:dyDescent="0.35">
      <c r="A82" s="3">
        <v>80</v>
      </c>
      <c r="B82" s="4" t="s">
        <v>5883</v>
      </c>
      <c r="C82" s="4" t="s">
        <v>6060</v>
      </c>
      <c r="D82" s="4" t="s">
        <v>5840</v>
      </c>
      <c r="E82" s="5" t="s">
        <v>5853</v>
      </c>
      <c r="F82" s="16" t="str">
        <f t="shared" si="1"/>
        <v>(80,'FACILITY:READ','facility viewing','FACILITY','READ'),</v>
      </c>
    </row>
    <row r="83" spans="1:6" ht="20.149999999999999" customHeight="1" x14ac:dyDescent="0.35">
      <c r="A83" s="3">
        <v>81</v>
      </c>
      <c r="B83" s="4" t="s">
        <v>5886</v>
      </c>
      <c r="C83" s="4" t="s">
        <v>6061</v>
      </c>
      <c r="D83" s="4" t="s">
        <v>5842</v>
      </c>
      <c r="E83" s="5" t="s">
        <v>5853</v>
      </c>
      <c r="F83" s="16" t="str">
        <f t="shared" si="1"/>
        <v>(81,'PIPELINE_SYSTEM:READ','pipeline_system viewing','PIPELINE_SYSTEM','READ'),</v>
      </c>
    </row>
    <row r="84" spans="1:6" ht="20.149999999999999" customHeight="1" x14ac:dyDescent="0.35">
      <c r="A84" s="3">
        <v>82</v>
      </c>
      <c r="B84" s="4" t="s">
        <v>5887</v>
      </c>
      <c r="C84" s="4" t="s">
        <v>6062</v>
      </c>
      <c r="D84" s="4" t="s">
        <v>5844</v>
      </c>
      <c r="E84" s="5" t="s">
        <v>5853</v>
      </c>
      <c r="F84" s="16" t="str">
        <f t="shared" si="1"/>
        <v>(82,'PIPELINE:READ','pipeline viewing','PIPELINE','READ'),</v>
      </c>
    </row>
    <row r="85" spans="1:6" ht="20.149999999999999" customHeight="1" x14ac:dyDescent="0.35">
      <c r="A85" s="3">
        <v>83</v>
      </c>
      <c r="B85" s="4" t="s">
        <v>5888</v>
      </c>
      <c r="C85" s="4" t="s">
        <v>6063</v>
      </c>
      <c r="D85" s="4" t="s">
        <v>5846</v>
      </c>
      <c r="E85" s="5" t="s">
        <v>5853</v>
      </c>
      <c r="F85" s="16" t="str">
        <f t="shared" si="1"/>
        <v>(83,'PIPELINE_SEGMENT:READ','pipeline_segment viewing','PIPELINE_SEGMENT','READ'),</v>
      </c>
    </row>
    <row r="86" spans="1:6" ht="20.149999999999999" customHeight="1" x14ac:dyDescent="0.35">
      <c r="A86" s="3">
        <v>84</v>
      </c>
      <c r="B86" s="4" t="s">
        <v>5884</v>
      </c>
      <c r="C86" s="4" t="s">
        <v>6064</v>
      </c>
      <c r="D86" s="4" t="s">
        <v>5848</v>
      </c>
      <c r="E86" s="5" t="s">
        <v>5853</v>
      </c>
      <c r="F86" s="16" t="str">
        <f t="shared" si="1"/>
        <v>(84,'STATION:READ','station viewing','STATION','READ'),</v>
      </c>
    </row>
    <row r="87" spans="1:6" ht="20.149999999999999" customHeight="1" x14ac:dyDescent="0.35">
      <c r="A87" s="3">
        <v>85</v>
      </c>
      <c r="B87" s="4" t="s">
        <v>5885</v>
      </c>
      <c r="C87" s="4" t="s">
        <v>6065</v>
      </c>
      <c r="D87" s="4" t="s">
        <v>5850</v>
      </c>
      <c r="E87" s="5" t="s">
        <v>5853</v>
      </c>
      <c r="F87" s="16" t="str">
        <f t="shared" si="1"/>
        <v>(85,'TERMINAL:READ','terminal viewing','TERMINAL','READ'),</v>
      </c>
    </row>
    <row r="88" spans="1:6" ht="20.149999999999999" customHeight="1" x14ac:dyDescent="0.35">
      <c r="A88" s="3">
        <v>86</v>
      </c>
      <c r="B88" s="4" t="s">
        <v>5919</v>
      </c>
      <c r="C88" s="4" t="s">
        <v>6066</v>
      </c>
      <c r="D88" s="4" t="s">
        <v>5897</v>
      </c>
      <c r="E88" s="5" t="s">
        <v>5853</v>
      </c>
      <c r="F88" s="16" t="str">
        <f t="shared" si="1"/>
        <v>(86,'PROCESSING_PLANT:READ','processing_plant viewing','PROCESSING_PLANT','READ'),</v>
      </c>
    </row>
    <row r="89" spans="1:6" ht="20.149999999999999" customHeight="1" x14ac:dyDescent="0.35">
      <c r="A89" s="3">
        <v>87</v>
      </c>
      <c r="B89" s="4" t="s">
        <v>5920</v>
      </c>
      <c r="C89" s="4" t="s">
        <v>6067</v>
      </c>
      <c r="D89" s="4" t="s">
        <v>5898</v>
      </c>
      <c r="E89" s="5" t="s">
        <v>5853</v>
      </c>
      <c r="F89" s="16" t="str">
        <f t="shared" si="1"/>
        <v>(87,'PRODUCTION_FIELD:READ','production_field viewing','PRODUCTION_FIELD','READ'),</v>
      </c>
    </row>
    <row r="90" spans="1:6" ht="20.149999999999999" customHeight="1" x14ac:dyDescent="0.35">
      <c r="A90" s="3">
        <v>88</v>
      </c>
      <c r="B90" s="4" t="s">
        <v>5889</v>
      </c>
      <c r="C90" s="4" t="s">
        <v>6068</v>
      </c>
      <c r="D90" s="4" t="s">
        <v>5852</v>
      </c>
      <c r="E90" s="5" t="s">
        <v>5853</v>
      </c>
      <c r="F90" s="16" t="str">
        <f t="shared" si="1"/>
        <v>(88,'EQUIPMENT:READ','equipment viewing','EQUIPMENT','READ'),</v>
      </c>
    </row>
    <row r="91" spans="1:6" ht="20.149999999999999" customHeight="1" x14ac:dyDescent="0.35">
      <c r="A91" s="3">
        <v>89</v>
      </c>
      <c r="B91" s="4" t="s">
        <v>5921</v>
      </c>
      <c r="C91" s="4" t="s">
        <v>6069</v>
      </c>
      <c r="D91" s="4" t="s">
        <v>5899</v>
      </c>
      <c r="E91" s="5" t="s">
        <v>5853</v>
      </c>
      <c r="F91" s="16" t="str">
        <f t="shared" si="1"/>
        <v>(89,'MEASEUREMENT_HOUR:READ','measeurement_hour viewing','MEASEUREMENT_HOUR','READ'),</v>
      </c>
    </row>
    <row r="92" spans="1:6" ht="20.149999999999999" customHeight="1" x14ac:dyDescent="0.35">
      <c r="A92" s="3">
        <v>90</v>
      </c>
      <c r="B92" s="4" t="s">
        <v>5922</v>
      </c>
      <c r="C92" s="4" t="s">
        <v>6070</v>
      </c>
      <c r="D92" s="4" t="s">
        <v>5904</v>
      </c>
      <c r="E92" s="5" t="s">
        <v>5853</v>
      </c>
      <c r="F92" s="16" t="str">
        <f t="shared" si="1"/>
        <v>(90,'FLOW_VOLUME:READ','flow_volume viewing','FLOW_VOLUME','READ'),</v>
      </c>
    </row>
    <row r="93" spans="1:6" ht="20.149999999999999" customHeight="1" x14ac:dyDescent="0.35">
      <c r="A93" s="3">
        <v>91</v>
      </c>
      <c r="B93" s="4" t="s">
        <v>5923</v>
      </c>
      <c r="C93" s="4" t="s">
        <v>6071</v>
      </c>
      <c r="D93" s="4" t="s">
        <v>5903</v>
      </c>
      <c r="E93" s="5" t="s">
        <v>5853</v>
      </c>
      <c r="F93" s="16" t="str">
        <f t="shared" si="1"/>
        <v>(91,'FLOW_PRESSURE:READ','flow_pressure viewing','FLOW_PRESSURE','READ'),</v>
      </c>
    </row>
    <row r="94" spans="1:6" ht="20.149999999999999" customHeight="1" x14ac:dyDescent="0.35">
      <c r="A94" s="3">
        <v>92</v>
      </c>
      <c r="B94" s="4" t="s">
        <v>5924</v>
      </c>
      <c r="C94" s="4" t="s">
        <v>6072</v>
      </c>
      <c r="D94" s="4" t="s">
        <v>5902</v>
      </c>
      <c r="E94" s="5" t="s">
        <v>5853</v>
      </c>
      <c r="F94" s="16" t="str">
        <f t="shared" si="1"/>
        <v>(92,'FLOW_TRANSPORTED:READ','flow_transported viewing','FLOW_TRANSPORTED','READ'),</v>
      </c>
    </row>
    <row r="95" spans="1:6" ht="20.149999999999999" customHeight="1" x14ac:dyDescent="0.35">
      <c r="A95" s="3">
        <v>93</v>
      </c>
      <c r="B95" s="4" t="s">
        <v>5925</v>
      </c>
      <c r="C95" s="4" t="s">
        <v>6073</v>
      </c>
      <c r="D95" s="4" t="s">
        <v>5900</v>
      </c>
      <c r="E95" s="5" t="s">
        <v>5853</v>
      </c>
      <c r="F95" s="16" t="str">
        <f t="shared" si="1"/>
        <v>(93,'FLOW_PRODUCED:READ','flow_produced viewing','FLOW_PRODUCED','READ'),</v>
      </c>
    </row>
    <row r="96" spans="1:6" ht="20.149999999999999" customHeight="1" x14ac:dyDescent="0.35">
      <c r="A96" s="3">
        <v>94</v>
      </c>
      <c r="B96" s="4" t="s">
        <v>5926</v>
      </c>
      <c r="C96" s="4" t="s">
        <v>6074</v>
      </c>
      <c r="D96" s="4" t="s">
        <v>5901</v>
      </c>
      <c r="E96" s="5" t="s">
        <v>5853</v>
      </c>
      <c r="F96" s="16" t="str">
        <f t="shared" si="1"/>
        <v>(94,'FLOW_CONSUMED:READ','flow_consumed viewing','FLOW_CONSUMED','READ'),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5953</v>
      </c>
      <c r="C2" s="1" t="s">
        <v>42</v>
      </c>
      <c r="D2" s="1" t="s">
        <v>43</v>
      </c>
      <c r="E2" s="1" t="s">
        <v>6024</v>
      </c>
    </row>
    <row r="3" spans="1:5" ht="20.149999999999999" customHeight="1" x14ac:dyDescent="0.35">
      <c r="A3" s="3">
        <v>1</v>
      </c>
      <c r="B3" s="4" t="s">
        <v>5976</v>
      </c>
      <c r="C3" s="4" t="s">
        <v>5975</v>
      </c>
      <c r="D3" s="4" t="s">
        <v>5977</v>
      </c>
      <c r="E3" s="16" t="str">
        <f>CONCATENATE("(",A3,",'",B3,"','",C3,"','",D3,"'),")</f>
        <v>(1,'SYSTEM','System Management','Core system operations and configuration'),</v>
      </c>
    </row>
    <row r="4" spans="1:5" ht="20.149999999999999" customHeight="1" x14ac:dyDescent="0.35">
      <c r="A4" s="3">
        <v>2</v>
      </c>
      <c r="B4" s="4" t="s">
        <v>5783</v>
      </c>
      <c r="C4" s="4" t="s">
        <v>5978</v>
      </c>
      <c r="D4" s="4" t="s">
        <v>5979</v>
      </c>
      <c r="E4" s="16" t="str">
        <f t="shared" ref="E4:E21" si="0">CONCATENATE("(",A4,",'",B4,"','",C4,"','",D4,"'),")</f>
        <v>(2,'USER','User Management','User account and profile management'),</v>
      </c>
    </row>
    <row r="5" spans="1:5" ht="20.149999999999999" customHeight="1" x14ac:dyDescent="0.35">
      <c r="A5" s="3">
        <v>3</v>
      </c>
      <c r="B5" s="4" t="s">
        <v>5785</v>
      </c>
      <c r="C5" s="4" t="s">
        <v>5980</v>
      </c>
      <c r="D5" s="4" t="s">
        <v>5981</v>
      </c>
      <c r="E5" s="16" t="str">
        <f t="shared" si="0"/>
        <v>(3,'ROLE','Role Management','Role definitions and assignments'),</v>
      </c>
    </row>
    <row r="6" spans="1:5" ht="20.149999999999999" customHeight="1" x14ac:dyDescent="0.35">
      <c r="A6" s="3">
        <v>4</v>
      </c>
      <c r="B6" s="4" t="s">
        <v>5787</v>
      </c>
      <c r="C6" s="4" t="s">
        <v>5982</v>
      </c>
      <c r="D6" s="4" t="s">
        <v>5983</v>
      </c>
      <c r="E6" s="16" t="str">
        <f t="shared" si="0"/>
        <v>(4,'PERMISSION','Permission Management','Permission and access control'),</v>
      </c>
    </row>
    <row r="7" spans="1:5" ht="20.149999999999999" customHeight="1" x14ac:dyDescent="0.35">
      <c r="A7" s="3">
        <v>5</v>
      </c>
      <c r="B7" s="4" t="s">
        <v>5781</v>
      </c>
      <c r="C7" s="4" t="s">
        <v>5984</v>
      </c>
      <c r="D7" s="4" t="s">
        <v>5985</v>
      </c>
      <c r="E7" s="16" t="str">
        <f t="shared" si="0"/>
        <v>(5,'GROUP','Group Management','User group organization'),</v>
      </c>
    </row>
    <row r="8" spans="1:5" ht="20.149999999999999" customHeight="1" x14ac:dyDescent="0.35">
      <c r="A8" s="3">
        <v>6</v>
      </c>
      <c r="B8" s="4" t="s">
        <v>5789</v>
      </c>
      <c r="C8" s="4" t="s">
        <v>5986</v>
      </c>
      <c r="D8" s="4" t="s">
        <v>5987</v>
      </c>
      <c r="E8" s="16" t="str">
        <f t="shared" si="0"/>
        <v>(6,'AUTHORITY','Authority Management','Authority category management'),</v>
      </c>
    </row>
    <row r="9" spans="1:5" ht="20.149999999999999" customHeight="1" x14ac:dyDescent="0.35">
      <c r="A9" s="3">
        <v>7</v>
      </c>
      <c r="B9" s="4" t="s">
        <v>5791</v>
      </c>
      <c r="C9" s="4" t="s">
        <v>5988</v>
      </c>
      <c r="D9" s="4" t="s">
        <v>5989</v>
      </c>
      <c r="E9" s="16" t="str">
        <f t="shared" si="0"/>
        <v>(7,'AUDIT','Audit Management','System audit logging and tracking'),</v>
      </c>
    </row>
    <row r="10" spans="1:5" ht="20.149999999999999" customHeight="1" x14ac:dyDescent="0.35">
      <c r="A10" s="3">
        <v>8</v>
      </c>
      <c r="B10" s="4" t="s">
        <v>5991</v>
      </c>
      <c r="C10" s="4" t="s">
        <v>5990</v>
      </c>
      <c r="D10" s="4" t="s">
        <v>5992</v>
      </c>
      <c r="E10" s="16" t="str">
        <f t="shared" si="0"/>
        <v>(8,'AUTH','Authentication','Authentication and session management'),</v>
      </c>
    </row>
    <row r="11" spans="1:5" ht="20.149999999999999" customHeight="1" x14ac:dyDescent="0.35">
      <c r="A11" s="3">
        <v>9</v>
      </c>
      <c r="B11" s="4" t="s">
        <v>5994</v>
      </c>
      <c r="C11" s="4" t="s">
        <v>5993</v>
      </c>
      <c r="D11" s="4" t="s">
        <v>5995</v>
      </c>
      <c r="E11" s="16" t="str">
        <f t="shared" si="0"/>
        <v>(9,'CONFIG','Configuration','System configuration settings'),</v>
      </c>
    </row>
    <row r="12" spans="1:5" ht="20.149999999999999" customHeight="1" x14ac:dyDescent="0.35">
      <c r="A12" s="3">
        <v>10</v>
      </c>
      <c r="B12" s="4" t="s">
        <v>5997</v>
      </c>
      <c r="C12" s="4" t="s">
        <v>5996</v>
      </c>
      <c r="D12" s="4" t="s">
        <v>5998</v>
      </c>
      <c r="E12" s="16" t="str">
        <f t="shared" si="0"/>
        <v>(10,'UTILITY','System Utility','System utilities and tools'),</v>
      </c>
    </row>
    <row r="13" spans="1:5" ht="20.149999999999999" customHeight="1" x14ac:dyDescent="0.35">
      <c r="A13" s="3">
        <v>11</v>
      </c>
      <c r="B13" s="4" t="s">
        <v>6000</v>
      </c>
      <c r="C13" s="4" t="s">
        <v>5999</v>
      </c>
      <c r="D13" s="4" t="s">
        <v>6001</v>
      </c>
      <c r="E13" s="16" t="str">
        <f t="shared" si="0"/>
        <v>(11,'ADMINISTRATION','Administration','Administrative operations'),</v>
      </c>
    </row>
    <row r="14" spans="1:5" ht="20.149999999999999" customHeight="1" x14ac:dyDescent="0.35">
      <c r="A14" s="3">
        <v>12</v>
      </c>
      <c r="B14" s="4" t="s">
        <v>6003</v>
      </c>
      <c r="C14" s="4" t="s">
        <v>6002</v>
      </c>
      <c r="D14" s="4" t="s">
        <v>6004</v>
      </c>
      <c r="E14" s="16" t="str">
        <f t="shared" si="0"/>
        <v>(12,'COMMUNICATION','Communication','Messaging and notifications'),</v>
      </c>
    </row>
    <row r="15" spans="1:5" ht="20.149999999999999" customHeight="1" x14ac:dyDescent="0.35">
      <c r="A15" s="3">
        <v>13</v>
      </c>
      <c r="B15" s="4" t="s">
        <v>5792</v>
      </c>
      <c r="C15" s="4" t="s">
        <v>6005</v>
      </c>
      <c r="D15" s="4" t="s">
        <v>6006</v>
      </c>
      <c r="E15" s="16" t="str">
        <f t="shared" si="0"/>
        <v>(13,'DOCUMENT','Document Management','Document handling and archiving'),</v>
      </c>
    </row>
    <row r="16" spans="1:5" ht="20.149999999999999" customHeight="1" x14ac:dyDescent="0.35">
      <c r="A16" s="3">
        <v>14</v>
      </c>
      <c r="B16" s="4" t="s">
        <v>6008</v>
      </c>
      <c r="C16" s="4" t="s">
        <v>6007</v>
      </c>
      <c r="D16" s="4" t="s">
        <v>6009</v>
      </c>
      <c r="E16" s="16" t="str">
        <f t="shared" si="0"/>
        <v>(14,'ENVIRONMENT','Environment Data','Geographic and location data'),</v>
      </c>
    </row>
    <row r="17" spans="1:5" ht="20.149999999999999" customHeight="1" x14ac:dyDescent="0.35">
      <c r="A17" s="3">
        <v>15</v>
      </c>
      <c r="B17" s="4" t="s">
        <v>6011</v>
      </c>
      <c r="C17" s="4" t="s">
        <v>6010</v>
      </c>
      <c r="D17" s="4" t="s">
        <v>6012</v>
      </c>
      <c r="E17" s="16" t="str">
        <f t="shared" si="0"/>
        <v>(15,'NETWORK','Network Management','Network infrastructure management'),</v>
      </c>
    </row>
    <row r="18" spans="1:5" ht="20.149999999999999" customHeight="1" x14ac:dyDescent="0.35">
      <c r="A18" s="3">
        <v>16</v>
      </c>
      <c r="B18" s="4" t="s">
        <v>5838</v>
      </c>
      <c r="C18" s="4" t="s">
        <v>6013</v>
      </c>
      <c r="D18" s="4" t="s">
        <v>6014</v>
      </c>
      <c r="E18" s="16" t="str">
        <f t="shared" si="0"/>
        <v>(16,'INFRASTRUCTURE','IT Infrastructure','IT infrastructure and services'),</v>
      </c>
    </row>
    <row r="19" spans="1:5" ht="20.149999999999999" customHeight="1" x14ac:dyDescent="0.35">
      <c r="A19" s="3">
        <v>17</v>
      </c>
      <c r="B19" s="4" t="s">
        <v>6016</v>
      </c>
      <c r="C19" s="4" t="s">
        <v>6015</v>
      </c>
      <c r="D19" s="4" t="s">
        <v>6017</v>
      </c>
      <c r="E19" s="16" t="str">
        <f t="shared" si="0"/>
        <v>(17,'REPORT','Reporting &amp; Analytics','Reports, dashboards, and analytics'),</v>
      </c>
    </row>
    <row r="20" spans="1:5" ht="20.149999999999999" customHeight="1" x14ac:dyDescent="0.35">
      <c r="A20" s="3">
        <v>18</v>
      </c>
      <c r="B20" s="4" t="s">
        <v>6019</v>
      </c>
      <c r="C20" s="4" t="s">
        <v>6018</v>
      </c>
      <c r="D20" s="4" t="s">
        <v>6020</v>
      </c>
      <c r="E20" s="16" t="str">
        <f t="shared" si="0"/>
        <v>(18,'WORKFLOW','Workflow Engine','Business process workflows'),</v>
      </c>
    </row>
    <row r="21" spans="1:5" ht="20.149999999999999" customHeight="1" x14ac:dyDescent="0.35">
      <c r="A21" s="3">
        <v>19</v>
      </c>
      <c r="B21" s="4" t="s">
        <v>6022</v>
      </c>
      <c r="C21" s="4" t="s">
        <v>6021</v>
      </c>
      <c r="D21" s="4" t="s">
        <v>6023</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6075</v>
      </c>
      <c r="E60" s="4" t="s">
        <v>6075</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6076</v>
      </c>
      <c r="E77" s="4" t="s">
        <v>6076</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6077</v>
      </c>
      <c r="E83" s="4" t="s">
        <v>6077</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6078</v>
      </c>
      <c r="E181" s="4" t="s">
        <v>6078</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6079</v>
      </c>
      <c r="E187" s="4" t="s">
        <v>6079</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6080</v>
      </c>
      <c r="E189" s="4" t="s">
        <v>6080</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6081</v>
      </c>
      <c r="E197" s="4" t="s">
        <v>6081</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6082</v>
      </c>
      <c r="E226" s="4" t="s">
        <v>6082</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6083</v>
      </c>
      <c r="E242" s="4" t="s">
        <v>6083</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6084</v>
      </c>
      <c r="E299" s="4" t="s">
        <v>6084</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6085</v>
      </c>
      <c r="E400" s="4" t="s">
        <v>6085</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6086</v>
      </c>
      <c r="E401" s="4" t="s">
        <v>6086</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6087</v>
      </c>
      <c r="E468" s="4" t="s">
        <v>6087</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6088</v>
      </c>
      <c r="E499" s="4" t="s">
        <v>6088</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6089</v>
      </c>
      <c r="E527" s="4" t="s">
        <v>6089</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6090</v>
      </c>
      <c r="E606" s="4" t="s">
        <v>6090</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6091</v>
      </c>
      <c r="E627" s="4" t="s">
        <v>6091</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6092</v>
      </c>
      <c r="E675" s="4" t="s">
        <v>6092</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6093</v>
      </c>
      <c r="E802" s="4" t="s">
        <v>6093</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6094</v>
      </c>
      <c r="E844" s="4" t="s">
        <v>6094</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6095</v>
      </c>
      <c r="E902" s="4" t="s">
        <v>6095</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6096</v>
      </c>
      <c r="E965" s="4" t="s">
        <v>6096</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6097</v>
      </c>
      <c r="E971" s="4" t="s">
        <v>6097</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6098</v>
      </c>
      <c r="E977" s="4" t="s">
        <v>6098</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6089</v>
      </c>
      <c r="E1007" s="4" t="s">
        <v>6089</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6099</v>
      </c>
      <c r="E1061" s="4" t="s">
        <v>6099</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6100</v>
      </c>
      <c r="E1127" s="4" t="s">
        <v>6100</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6101</v>
      </c>
      <c r="E1264" s="4" t="s">
        <v>6101</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6102</v>
      </c>
      <c r="E1267" s="4" t="s">
        <v>6102</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6103</v>
      </c>
      <c r="E1296" s="4" t="s">
        <v>6103</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6104</v>
      </c>
      <c r="E1454" s="4" t="s">
        <v>6104</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6105</v>
      </c>
      <c r="E1458" s="4" t="s">
        <v>6105</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6106</v>
      </c>
      <c r="E1472" s="4" t="s">
        <v>6106</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6107</v>
      </c>
      <c r="E1525" s="4" t="s">
        <v>6107</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6108</v>
      </c>
      <c r="E1533" s="4" t="s">
        <v>6108</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6109</v>
      </c>
      <c r="E1538" s="4" t="s">
        <v>6109</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6116</v>
      </c>
      <c r="E3" s="13" t="s">
        <v>6117</v>
      </c>
      <c r="F3" s="13">
        <v>2</v>
      </c>
      <c r="G3" s="7">
        <v>1075</v>
      </c>
      <c r="H3" s="16" t="str">
        <f>CONCATENATE("(",A3,",",B3,",'",C3,"',",D3,",",E3,",",F3,",",G3,"),")</f>
        <v>(1,0,'Ain El Bia 1',35*807,-0*343,2,1075),</v>
      </c>
    </row>
    <row r="4" spans="1:8" ht="20.149999999999999" customHeight="1" x14ac:dyDescent="0.35">
      <c r="A4" s="3">
        <v>2</v>
      </c>
      <c r="B4" s="15">
        <v>0</v>
      </c>
      <c r="C4" s="13" t="s">
        <v>5497</v>
      </c>
      <c r="D4" s="13" t="s">
        <v>6118</v>
      </c>
      <c r="E4" s="13" t="s">
        <v>6119</v>
      </c>
      <c r="F4" s="13">
        <v>5</v>
      </c>
      <c r="G4" s="7">
        <v>1075</v>
      </c>
      <c r="H4" s="16" t="str">
        <f t="shared" ref="H4:H67" si="0">CONCATENATE("(",A4,",",B4,",'",C4,"',",D4,",",E4,",",F4,",",G4,"),")</f>
        <v>(2,0,'Ain El Bia 2',35*835,-0*238,5,1075),</v>
      </c>
    </row>
    <row r="5" spans="1:8" ht="20.149999999999999" customHeight="1" x14ac:dyDescent="0.35">
      <c r="A5" s="3">
        <v>3</v>
      </c>
      <c r="B5" s="15">
        <v>0</v>
      </c>
      <c r="C5" s="13" t="s">
        <v>2377</v>
      </c>
      <c r="D5" s="13" t="s">
        <v>6120</v>
      </c>
      <c r="E5" s="13" t="s">
        <v>6121</v>
      </c>
      <c r="F5" s="13">
        <v>-2</v>
      </c>
      <c r="G5" s="7">
        <v>218</v>
      </c>
      <c r="H5" s="16" t="str">
        <f t="shared" si="0"/>
        <v>(3,0,'Ain Naga',34*686,6*094,-2,218),</v>
      </c>
    </row>
    <row r="6" spans="1:8" ht="20.149999999999999" customHeight="1" x14ac:dyDescent="0.35">
      <c r="A6" s="3">
        <v>4</v>
      </c>
      <c r="B6" s="15">
        <v>0</v>
      </c>
      <c r="C6" s="13" t="s">
        <v>5498</v>
      </c>
      <c r="D6" s="13" t="s">
        <v>6122</v>
      </c>
      <c r="E6" s="13" t="s">
        <v>6123</v>
      </c>
      <c r="F6" s="13">
        <v>350</v>
      </c>
      <c r="G6" s="7">
        <v>1113</v>
      </c>
      <c r="H6" s="16" t="str">
        <f t="shared" si="0"/>
        <v>(4,0,'Ain Tsila',27*2,10*5,350,1113),</v>
      </c>
    </row>
    <row r="7" spans="1:8" ht="20.149999999999999" customHeight="1" x14ac:dyDescent="0.35">
      <c r="A7" s="3">
        <v>5</v>
      </c>
      <c r="B7" s="15">
        <v>0</v>
      </c>
      <c r="C7" s="13" t="s">
        <v>5481</v>
      </c>
      <c r="D7" s="13" t="s">
        <v>6124</v>
      </c>
      <c r="E7" s="13" t="s">
        <v>6125</v>
      </c>
      <c r="F7" s="13">
        <v>650</v>
      </c>
      <c r="G7" s="7">
        <v>393</v>
      </c>
      <c r="H7" s="16" t="str">
        <f t="shared" si="0"/>
        <v>(5,0,'Al Aricha',33*82,1*9,650,393),</v>
      </c>
    </row>
    <row r="8" spans="1:8" ht="20.149999999999999" customHeight="1" x14ac:dyDescent="0.35">
      <c r="A8" s="3">
        <v>6</v>
      </c>
      <c r="B8" s="15">
        <v>0</v>
      </c>
      <c r="C8" s="13" t="s">
        <v>5499</v>
      </c>
      <c r="D8" s="13" t="s">
        <v>6126</v>
      </c>
      <c r="E8" s="13" t="s">
        <v>6127</v>
      </c>
      <c r="F8" s="13">
        <v>495</v>
      </c>
      <c r="G8" s="7">
        <v>1444</v>
      </c>
      <c r="H8" s="16" t="str">
        <f t="shared" si="0"/>
        <v>(6,0,'Al Atteuf',32*478,3*748,495,1444),</v>
      </c>
    </row>
    <row r="9" spans="1:8" ht="20.149999999999999" customHeight="1" x14ac:dyDescent="0.35">
      <c r="A9" s="3">
        <v>7</v>
      </c>
      <c r="B9" s="15">
        <v>0</v>
      </c>
      <c r="C9" s="13" t="s">
        <v>1002</v>
      </c>
      <c r="D9" s="13" t="s">
        <v>6128</v>
      </c>
      <c r="E9" s="13" t="s">
        <v>6129</v>
      </c>
      <c r="F9" s="13">
        <v>50</v>
      </c>
      <c r="G9" s="7">
        <v>544</v>
      </c>
      <c r="H9" s="16" t="str">
        <f t="shared" si="0"/>
        <v>(7,0,'Alger',36*45,3*2,50,544),</v>
      </c>
    </row>
    <row r="10" spans="1:8" ht="20.149999999999999" customHeight="1" x14ac:dyDescent="0.35">
      <c r="A10" s="3">
        <v>8</v>
      </c>
      <c r="B10" s="15">
        <v>0</v>
      </c>
      <c r="C10" s="13" t="s">
        <v>5392</v>
      </c>
      <c r="D10" s="13" t="s">
        <v>6130</v>
      </c>
      <c r="E10" s="13" t="s">
        <v>6131</v>
      </c>
      <c r="F10" s="13">
        <v>60</v>
      </c>
      <c r="G10" s="7">
        <v>1116</v>
      </c>
      <c r="H10" s="16" t="str">
        <f t="shared" si="0"/>
        <v>(8,0,'Alrar',35*4,0*45,60,1116),</v>
      </c>
    </row>
    <row r="11" spans="1:8" ht="20.149999999999999" customHeight="1" x14ac:dyDescent="0.35">
      <c r="A11" s="3">
        <v>9</v>
      </c>
      <c r="B11" s="15">
        <v>0</v>
      </c>
      <c r="C11" s="13" t="s">
        <v>1824</v>
      </c>
      <c r="D11" s="13" t="s">
        <v>6118</v>
      </c>
      <c r="E11" s="13" t="s">
        <v>6119</v>
      </c>
      <c r="F11" s="13">
        <v>5</v>
      </c>
      <c r="G11" s="7">
        <v>1075</v>
      </c>
      <c r="H11" s="16" t="str">
        <f t="shared" si="0"/>
        <v>(9,0,'Arzew',35*835,-0*238,5,1075),</v>
      </c>
    </row>
    <row r="12" spans="1:8" ht="20.149999999999999" customHeight="1" x14ac:dyDescent="0.35">
      <c r="A12" s="3">
        <v>10</v>
      </c>
      <c r="B12" s="15">
        <v>0</v>
      </c>
      <c r="C12" s="13" t="s">
        <v>1824</v>
      </c>
      <c r="D12" s="13" t="s">
        <v>6132</v>
      </c>
      <c r="E12" s="13" t="s">
        <v>6133</v>
      </c>
      <c r="F12" s="13">
        <v>2</v>
      </c>
      <c r="G12" s="7">
        <v>1065</v>
      </c>
      <c r="H12" s="16" t="str">
        <f t="shared" si="0"/>
        <v>(10,0,'Arzew',35*862,-0*345,2,1065),</v>
      </c>
    </row>
    <row r="13" spans="1:8" ht="20.149999999999999" customHeight="1" x14ac:dyDescent="0.35">
      <c r="A13" s="3">
        <v>11</v>
      </c>
      <c r="B13" s="15">
        <v>0</v>
      </c>
      <c r="C13" s="13" t="s">
        <v>983</v>
      </c>
      <c r="D13" s="13" t="s">
        <v>6134</v>
      </c>
      <c r="E13" s="13" t="s">
        <v>6135</v>
      </c>
      <c r="F13" s="13">
        <v>52</v>
      </c>
      <c r="G13" s="7">
        <v>166</v>
      </c>
      <c r="H13" s="16" t="str">
        <f t="shared" si="0"/>
        <v>(11,0,'Béjaïa',36*751,5*059,52,166),</v>
      </c>
    </row>
    <row r="14" spans="1:8" ht="20.149999999999999" customHeight="1" x14ac:dyDescent="0.35">
      <c r="A14" s="3">
        <v>12</v>
      </c>
      <c r="B14" s="15">
        <v>0</v>
      </c>
      <c r="C14" s="13" t="s">
        <v>5337</v>
      </c>
      <c r="D14" s="13" t="s">
        <v>6136</v>
      </c>
      <c r="E14" s="13" t="s">
        <v>6137</v>
      </c>
      <c r="F14" s="13">
        <v>450</v>
      </c>
      <c r="G14" s="7">
        <v>198</v>
      </c>
      <c r="H14" s="16" t="str">
        <f t="shared" si="0"/>
        <v>(12,0,'Beni Mensour',36*336,4*356,450,198),</v>
      </c>
    </row>
    <row r="15" spans="1:8" ht="20.149999999999999" customHeight="1" x14ac:dyDescent="0.35">
      <c r="A15" s="3">
        <v>13</v>
      </c>
      <c r="B15" s="15">
        <v>0</v>
      </c>
      <c r="C15" s="13" t="s">
        <v>5337</v>
      </c>
      <c r="D15" s="13" t="s">
        <v>6138</v>
      </c>
      <c r="E15" s="13" t="s">
        <v>6139</v>
      </c>
      <c r="F15" s="13">
        <v>750</v>
      </c>
      <c r="G15" s="7">
        <v>198</v>
      </c>
      <c r="H15" s="16" t="str">
        <f t="shared" si="0"/>
        <v>(13,0,'Beni Mensour',33*45,2*45,750,198),</v>
      </c>
    </row>
    <row r="16" spans="1:8" ht="20.149999999999999" customHeight="1" x14ac:dyDescent="0.35">
      <c r="A16" s="3">
        <v>14</v>
      </c>
      <c r="B16" s="15">
        <v>0</v>
      </c>
      <c r="C16" s="13" t="s">
        <v>2048</v>
      </c>
      <c r="D16" s="13" t="s">
        <v>6140</v>
      </c>
      <c r="E16" s="13" t="s">
        <v>6141</v>
      </c>
      <c r="F16" s="13">
        <v>10</v>
      </c>
      <c r="G16" s="7">
        <v>1431</v>
      </c>
      <c r="H16" s="16" t="str">
        <f t="shared" si="0"/>
        <v>(14,0,'Beni Saf',35*301,-1*382,10,1431),</v>
      </c>
    </row>
    <row r="17" spans="1:8" ht="20.149999999999999" customHeight="1" x14ac:dyDescent="0.35">
      <c r="A17" s="3">
        <v>15</v>
      </c>
      <c r="B17" s="15">
        <v>0</v>
      </c>
      <c r="C17" s="13" t="s">
        <v>5500</v>
      </c>
      <c r="D17" s="13" t="s">
        <v>6142</v>
      </c>
      <c r="E17" s="13" t="s">
        <v>6143</v>
      </c>
      <c r="F17" s="13">
        <v>380</v>
      </c>
      <c r="G17" s="7">
        <v>1057</v>
      </c>
      <c r="H17" s="16" t="str">
        <f t="shared" si="0"/>
        <v>(15,0,'Berkine',26*418,9*08,380,1057),</v>
      </c>
    </row>
    <row r="18" spans="1:8" ht="20.149999999999999" customHeight="1" x14ac:dyDescent="0.35">
      <c r="A18" s="3">
        <v>16</v>
      </c>
      <c r="B18" s="15">
        <v>0</v>
      </c>
      <c r="C18" s="13" t="s">
        <v>1818</v>
      </c>
      <c r="D18" s="13" t="s">
        <v>6144</v>
      </c>
      <c r="E18" s="13" t="s">
        <v>6145</v>
      </c>
      <c r="F18" s="13">
        <v>2</v>
      </c>
      <c r="G18" s="7">
        <v>1065</v>
      </c>
      <c r="H18" s="16" t="str">
        <f t="shared" si="0"/>
        <v>(16,0,'Bethioua',35*805,-0*241,2,1065),</v>
      </c>
    </row>
    <row r="19" spans="1:8" ht="20.149999999999999" customHeight="1" x14ac:dyDescent="0.35">
      <c r="A19" s="3">
        <v>17</v>
      </c>
      <c r="B19" s="15">
        <v>0</v>
      </c>
      <c r="C19" s="13" t="s">
        <v>5367</v>
      </c>
      <c r="D19" s="13" t="s">
        <v>6146</v>
      </c>
      <c r="E19" s="13" t="s">
        <v>6147</v>
      </c>
      <c r="F19" s="13">
        <v>185</v>
      </c>
      <c r="G19" s="7">
        <v>1062</v>
      </c>
      <c r="H19" s="16" t="str">
        <f t="shared" si="0"/>
        <v>(17,0,'Bir Rebaa North',31*85,5*973,185,1062),</v>
      </c>
    </row>
    <row r="20" spans="1:8" ht="20.149999999999999" customHeight="1" x14ac:dyDescent="0.35">
      <c r="A20" s="3">
        <v>18</v>
      </c>
      <c r="B20" s="15">
        <v>0</v>
      </c>
      <c r="C20" s="13" t="s">
        <v>5451</v>
      </c>
      <c r="D20" s="13" t="s">
        <v>6148</v>
      </c>
      <c r="E20" s="13" t="s">
        <v>6149</v>
      </c>
      <c r="F20" s="13">
        <v>100</v>
      </c>
      <c r="G20" s="7">
        <v>1159</v>
      </c>
      <c r="H20" s="16" t="str">
        <f t="shared" si="0"/>
        <v>(18,0,'Bord Menaiel',36*38,3*8,100,1159),</v>
      </c>
    </row>
    <row r="21" spans="1:8" ht="20.149999999999999" customHeight="1" x14ac:dyDescent="0.35">
      <c r="A21" s="3">
        <v>19</v>
      </c>
      <c r="B21" s="15">
        <v>0</v>
      </c>
      <c r="C21" s="13" t="s">
        <v>5501</v>
      </c>
      <c r="D21" s="13" t="s">
        <v>6150</v>
      </c>
      <c r="E21" s="13" t="s">
        <v>6151</v>
      </c>
      <c r="F21" s="13">
        <v>81</v>
      </c>
      <c r="G21" s="7">
        <v>1447</v>
      </c>
      <c r="H21" s="16" t="str">
        <f t="shared" si="0"/>
        <v>(19,0,'Bourmadia',35*732,0*613,81,1447),</v>
      </c>
    </row>
    <row r="22" spans="1:8" ht="20.149999999999999" customHeight="1" x14ac:dyDescent="0.35">
      <c r="A22" s="3">
        <v>20</v>
      </c>
      <c r="B22" s="15">
        <v>0</v>
      </c>
      <c r="C22" s="13" t="s">
        <v>3822</v>
      </c>
      <c r="D22" s="13" t="s">
        <v>6152</v>
      </c>
      <c r="E22" s="13" t="s">
        <v>6153</v>
      </c>
      <c r="F22" s="13">
        <v>389</v>
      </c>
      <c r="G22" s="7">
        <v>1498</v>
      </c>
      <c r="H22" s="16" t="str">
        <f t="shared" si="0"/>
        <v>(20,0,'Chaiba',34*5,5*25,389,1498),</v>
      </c>
    </row>
    <row r="23" spans="1:8" ht="20.149999999999999" customHeight="1" x14ac:dyDescent="0.35">
      <c r="A23" s="3">
        <v>21</v>
      </c>
      <c r="B23" s="15">
        <v>0</v>
      </c>
      <c r="C23" s="13" t="s">
        <v>5341</v>
      </c>
      <c r="D23" s="13" t="s">
        <v>6154</v>
      </c>
      <c r="E23" s="13" t="s">
        <v>6155</v>
      </c>
      <c r="F23" s="13">
        <v>350</v>
      </c>
      <c r="G23" s="7">
        <v>1115</v>
      </c>
      <c r="H23" s="16" t="str">
        <f t="shared" si="0"/>
        <v>(21,0,'Deb Deb',29*968,9*424,350,1115),</v>
      </c>
    </row>
    <row r="24" spans="1:8" ht="20.149999999999999" customHeight="1" x14ac:dyDescent="0.35">
      <c r="A24" s="3">
        <v>22</v>
      </c>
      <c r="B24" s="15">
        <v>0</v>
      </c>
      <c r="C24" s="13" t="s">
        <v>5534</v>
      </c>
      <c r="D24" s="13" t="s">
        <v>6156</v>
      </c>
      <c r="E24" s="13" t="s">
        <v>6157</v>
      </c>
      <c r="F24" s="13">
        <v>280</v>
      </c>
      <c r="G24" s="7">
        <v>1531</v>
      </c>
      <c r="H24" s="16" t="str">
        <f t="shared" si="0"/>
        <v>(22,0,'Djamaa1',33*933,5*93,280,1531),</v>
      </c>
    </row>
    <row r="25" spans="1:8" ht="20.149999999999999" customHeight="1" x14ac:dyDescent="0.35">
      <c r="A25" s="3">
        <v>23</v>
      </c>
      <c r="B25" s="15">
        <v>0</v>
      </c>
      <c r="C25" s="13" t="s">
        <v>5535</v>
      </c>
      <c r="D25" s="13" t="s">
        <v>6158</v>
      </c>
      <c r="E25" s="13" t="s">
        <v>6159</v>
      </c>
      <c r="F25" s="13">
        <v>850</v>
      </c>
      <c r="G25" s="7">
        <v>1535</v>
      </c>
      <c r="H25" s="16" t="str">
        <f t="shared" si="0"/>
        <v>(23,0,'Djamaa2',33*52,2*85,850,1535),</v>
      </c>
    </row>
    <row r="26" spans="1:8" ht="20.149999999999999" customHeight="1" x14ac:dyDescent="0.35">
      <c r="A26" s="3">
        <v>24</v>
      </c>
      <c r="B26" s="15">
        <v>0</v>
      </c>
      <c r="C26" s="13" t="s">
        <v>5502</v>
      </c>
      <c r="D26" s="13" t="s">
        <v>6160</v>
      </c>
      <c r="E26" s="13" t="s">
        <v>6161</v>
      </c>
      <c r="F26" s="13">
        <v>973</v>
      </c>
      <c r="G26" s="7">
        <v>413</v>
      </c>
      <c r="H26" s="16" t="str">
        <f t="shared" si="0"/>
        <v>(24,0,'Djebila',35*372,1*325,973,413),</v>
      </c>
    </row>
    <row r="27" spans="1:8" ht="20.149999999999999" customHeight="1" x14ac:dyDescent="0.35">
      <c r="A27" s="3">
        <v>25</v>
      </c>
      <c r="B27" s="15">
        <v>0</v>
      </c>
      <c r="C27" s="13" t="s">
        <v>1810</v>
      </c>
      <c r="D27" s="13" t="s">
        <v>6162</v>
      </c>
      <c r="E27" s="13" t="s">
        <v>6163</v>
      </c>
      <c r="F27" s="13">
        <v>246</v>
      </c>
      <c r="G27" s="7">
        <v>1064</v>
      </c>
      <c r="H27" s="16" t="str">
        <f t="shared" si="0"/>
        <v>(25,0,'El Borma',31*006,8*134,246,1064),</v>
      </c>
    </row>
    <row r="28" spans="1:8" ht="20.149999999999999" customHeight="1" x14ac:dyDescent="0.35">
      <c r="A28" s="3">
        <v>26</v>
      </c>
      <c r="B28" s="15">
        <v>0</v>
      </c>
      <c r="C28" s="13" t="s">
        <v>5503</v>
      </c>
      <c r="D28" s="13" t="s">
        <v>6142</v>
      </c>
      <c r="E28" s="13" t="s">
        <v>6143</v>
      </c>
      <c r="F28" s="13">
        <v>380</v>
      </c>
      <c r="G28" s="7">
        <v>1057</v>
      </c>
      <c r="H28" s="16" t="str">
        <f t="shared" si="0"/>
        <v>(26,0,'El Merk',26*418,9*08,380,1057),</v>
      </c>
    </row>
    <row r="29" spans="1:8" ht="20.149999999999999" customHeight="1" x14ac:dyDescent="0.35">
      <c r="A29" s="3">
        <v>27</v>
      </c>
      <c r="B29" s="15">
        <v>0</v>
      </c>
      <c r="C29" s="13" t="s">
        <v>5504</v>
      </c>
      <c r="D29" s="13" t="s">
        <v>6164</v>
      </c>
      <c r="E29" s="13" t="s">
        <v>6165</v>
      </c>
      <c r="F29" s="13">
        <v>185</v>
      </c>
      <c r="G29" s="7">
        <v>428</v>
      </c>
      <c r="H29" s="16" t="str">
        <f t="shared" si="0"/>
        <v>(27,0,'Faïdja',35*193,1*706,185,428),</v>
      </c>
    </row>
    <row r="30" spans="1:8" ht="20.149999999999999" customHeight="1" x14ac:dyDescent="0.35">
      <c r="A30" s="3">
        <v>28</v>
      </c>
      <c r="B30" s="15">
        <v>0</v>
      </c>
      <c r="C30" s="13" t="s">
        <v>5505</v>
      </c>
      <c r="D30" s="13" t="s">
        <v>6166</v>
      </c>
      <c r="E30" s="13" t="s">
        <v>6167</v>
      </c>
      <c r="F30" s="13">
        <v>495</v>
      </c>
      <c r="G30" s="7">
        <v>231</v>
      </c>
      <c r="H30" s="16" t="str">
        <f t="shared" si="0"/>
        <v>(28,0,'Ferme Omar Driss',35*034,5*595,495,231),</v>
      </c>
    </row>
    <row r="31" spans="1:8" ht="20.149999999999999" customHeight="1" x14ac:dyDescent="0.35">
      <c r="A31" s="3">
        <v>29</v>
      </c>
      <c r="B31" s="15">
        <v>0</v>
      </c>
      <c r="C31" s="13" t="s">
        <v>5506</v>
      </c>
      <c r="D31" s="13" t="s">
        <v>6168</v>
      </c>
      <c r="E31" s="13" t="s">
        <v>6169</v>
      </c>
      <c r="F31" s="13">
        <v>5</v>
      </c>
      <c r="G31" s="7">
        <v>721</v>
      </c>
      <c r="H31" s="16" t="str">
        <f t="shared" si="0"/>
        <v>(29,0,'Flifla',36*877,6*906,5,721),</v>
      </c>
    </row>
    <row r="32" spans="1:8" ht="20.149999999999999" customHeight="1" x14ac:dyDescent="0.35">
      <c r="A32" s="3">
        <v>30</v>
      </c>
      <c r="B32" s="15">
        <v>0</v>
      </c>
      <c r="C32" s="13" t="s">
        <v>5396</v>
      </c>
      <c r="D32" s="13" t="s">
        <v>6170</v>
      </c>
      <c r="E32" s="13" t="s">
        <v>6171</v>
      </c>
      <c r="F32" s="13">
        <v>267</v>
      </c>
      <c r="G32" s="7">
        <v>1060</v>
      </c>
      <c r="H32" s="16" t="str">
        <f t="shared" si="0"/>
        <v>(30,0,'Gassi Touil',30*271,6*416,267,1060),</v>
      </c>
    </row>
    <row r="33" spans="1:8" ht="20.149999999999999" customHeight="1" x14ac:dyDescent="0.35">
      <c r="A33" s="3">
        <v>31</v>
      </c>
      <c r="B33" s="15">
        <v>0</v>
      </c>
      <c r="C33" s="13" t="s">
        <v>5507</v>
      </c>
      <c r="D33" s="13" t="s">
        <v>6172</v>
      </c>
      <c r="E33" s="13" t="s">
        <v>6173</v>
      </c>
      <c r="F33" s="13">
        <v>156</v>
      </c>
      <c r="G33" s="7">
        <v>1060</v>
      </c>
      <c r="H33" s="16" t="str">
        <f t="shared" si="0"/>
        <v>(31,0,'Haoud El Hamra',31*941,6*071,156,1060),</v>
      </c>
    </row>
    <row r="34" spans="1:8" ht="20.149999999999999" customHeight="1" x14ac:dyDescent="0.35">
      <c r="A34" s="3">
        <v>32</v>
      </c>
      <c r="B34" s="15">
        <v>0</v>
      </c>
      <c r="C34" s="13" t="s">
        <v>5355</v>
      </c>
      <c r="D34" s="13" t="s">
        <v>6174</v>
      </c>
      <c r="E34" s="13" t="s">
        <v>6175</v>
      </c>
      <c r="F34" s="13">
        <v>185</v>
      </c>
      <c r="G34" s="7">
        <v>1060</v>
      </c>
      <c r="H34" s="16" t="str">
        <f t="shared" si="0"/>
        <v>(32,0,'Hassi Berkine',30*559,5*453,185,1060),</v>
      </c>
    </row>
    <row r="35" spans="1:8" ht="20.149999999999999" customHeight="1" x14ac:dyDescent="0.35">
      <c r="A35" s="3">
        <v>33</v>
      </c>
      <c r="B35" s="15">
        <v>0</v>
      </c>
      <c r="C35" s="13" t="s">
        <v>2166</v>
      </c>
      <c r="D35" s="13" t="s">
        <v>6176</v>
      </c>
      <c r="E35" s="13" t="s">
        <v>6177</v>
      </c>
      <c r="F35" s="13">
        <v>716</v>
      </c>
      <c r="G35" s="7">
        <v>58</v>
      </c>
      <c r="H35" s="16" t="str">
        <f t="shared" si="0"/>
        <v>(33,0,'Hassi Delaa',32*935,3*269,716,58),</v>
      </c>
    </row>
    <row r="36" spans="1:8" ht="20.149999999999999" customHeight="1" x14ac:dyDescent="0.35">
      <c r="A36" s="3">
        <v>34</v>
      </c>
      <c r="B36" s="15">
        <v>0</v>
      </c>
      <c r="C36" s="13" t="s">
        <v>1812</v>
      </c>
      <c r="D36" s="13" t="s">
        <v>6178</v>
      </c>
      <c r="E36" s="13" t="s">
        <v>6179</v>
      </c>
      <c r="F36" s="13">
        <v>85</v>
      </c>
      <c r="G36" s="7">
        <v>1060</v>
      </c>
      <c r="H36" s="16" t="str">
        <f t="shared" si="0"/>
        <v>(34,0,'Hassi Messaoud',31*97,6*265,85,1060),</v>
      </c>
    </row>
    <row r="37" spans="1:8" ht="20.149999999999999" customHeight="1" x14ac:dyDescent="0.35">
      <c r="A37" s="3">
        <v>35</v>
      </c>
      <c r="B37" s="15">
        <v>0</v>
      </c>
      <c r="C37" s="13" t="s">
        <v>6075</v>
      </c>
      <c r="D37" s="13" t="s">
        <v>6180</v>
      </c>
      <c r="E37" s="13" t="s">
        <v>6177</v>
      </c>
      <c r="F37" s="13">
        <v>777</v>
      </c>
      <c r="G37" s="7">
        <v>58</v>
      </c>
      <c r="H37" s="16" t="str">
        <f t="shared" si="0"/>
        <v>(35,0,'Hassi R\'mel',32*936,3*269,777,58),</v>
      </c>
    </row>
    <row r="38" spans="1:8" ht="20.149999999999999" customHeight="1" x14ac:dyDescent="0.35">
      <c r="A38" s="3">
        <v>36</v>
      </c>
      <c r="B38" s="15">
        <v>0</v>
      </c>
      <c r="C38" s="13" t="s">
        <v>5477</v>
      </c>
      <c r="D38" s="13">
        <v>31</v>
      </c>
      <c r="E38" s="13" t="s">
        <v>6181</v>
      </c>
      <c r="F38" s="13">
        <v>180</v>
      </c>
      <c r="G38" s="7">
        <v>1064</v>
      </c>
      <c r="H38" s="16" t="str">
        <f t="shared" si="0"/>
        <v>(36,0,'Hassi tedjirane',31,7*85,180,1064),</v>
      </c>
    </row>
    <row r="39" spans="1:8" ht="20.149999999999999" customHeight="1" x14ac:dyDescent="0.35">
      <c r="A39" s="3">
        <v>37</v>
      </c>
      <c r="B39" s="15">
        <v>0</v>
      </c>
      <c r="C39" s="13" t="s">
        <v>1848</v>
      </c>
      <c r="D39" s="13" t="s">
        <v>6182</v>
      </c>
      <c r="E39" s="13" t="s">
        <v>6183</v>
      </c>
      <c r="F39" s="13">
        <v>420</v>
      </c>
      <c r="G39" s="7">
        <v>1116</v>
      </c>
      <c r="H39" s="16" t="str">
        <f t="shared" si="0"/>
        <v>(37,0,'In Amenas',28*041,9*543,420,1116),</v>
      </c>
    </row>
    <row r="40" spans="1:8" ht="20.149999999999999" customHeight="1" x14ac:dyDescent="0.35">
      <c r="A40" s="3">
        <v>38</v>
      </c>
      <c r="B40" s="15">
        <v>0</v>
      </c>
      <c r="C40" s="13" t="s">
        <v>1076</v>
      </c>
      <c r="D40" s="13" t="s">
        <v>6184</v>
      </c>
      <c r="E40" s="13" t="s">
        <v>6185</v>
      </c>
      <c r="F40" s="13">
        <v>400</v>
      </c>
      <c r="G40" s="7">
        <v>1512</v>
      </c>
      <c r="H40" s="16" t="str">
        <f t="shared" si="0"/>
        <v>(38,0,'In Salah',28*62,8*62,400,1512),</v>
      </c>
    </row>
    <row r="41" spans="1:8" ht="20.149999999999999" customHeight="1" x14ac:dyDescent="0.35">
      <c r="A41" s="3">
        <v>39</v>
      </c>
      <c r="B41" s="15">
        <v>0</v>
      </c>
      <c r="C41" s="13" t="s">
        <v>1878</v>
      </c>
      <c r="D41" s="13" t="s">
        <v>6148</v>
      </c>
      <c r="E41" s="13" t="s">
        <v>6149</v>
      </c>
      <c r="F41" s="13">
        <v>100</v>
      </c>
      <c r="G41" s="7">
        <v>1169</v>
      </c>
      <c r="H41" s="16" t="str">
        <f t="shared" si="0"/>
        <v>(39,0,'Isser',36*38,3*8,100,1169),</v>
      </c>
    </row>
    <row r="42" spans="1:8" ht="20.149999999999999" customHeight="1" x14ac:dyDescent="0.35">
      <c r="A42" s="3">
        <v>40</v>
      </c>
      <c r="B42" s="15">
        <v>0</v>
      </c>
      <c r="C42" s="13" t="s">
        <v>5508</v>
      </c>
      <c r="D42" s="13" t="s">
        <v>6186</v>
      </c>
      <c r="E42" s="13" t="s">
        <v>6187</v>
      </c>
      <c r="F42" s="13">
        <v>2</v>
      </c>
      <c r="G42" s="7">
        <v>1075</v>
      </c>
      <c r="H42" s="16" t="str">
        <f t="shared" si="0"/>
        <v>(40,0,'Kenanda',35*737,0*556,2,1075),</v>
      </c>
    </row>
    <row r="43" spans="1:8" ht="20.149999999999999" customHeight="1" x14ac:dyDescent="0.35">
      <c r="A43" s="3">
        <v>41</v>
      </c>
      <c r="B43" s="15">
        <v>0</v>
      </c>
      <c r="C43" s="13" t="s">
        <v>5509</v>
      </c>
      <c r="D43" s="13" t="s">
        <v>6188</v>
      </c>
      <c r="E43" s="13" t="s">
        <v>6189</v>
      </c>
      <c r="F43" s="13">
        <v>600</v>
      </c>
      <c r="G43" s="7">
        <v>1512</v>
      </c>
      <c r="H43" s="16" t="str">
        <f t="shared" si="0"/>
        <v>(41,0,'Krechba',28*642,2*825,600,1512),</v>
      </c>
    </row>
    <row r="44" spans="1:8" ht="20.149999999999999" customHeight="1" x14ac:dyDescent="0.35">
      <c r="A44" s="3">
        <v>42</v>
      </c>
      <c r="B44" s="15">
        <v>0</v>
      </c>
      <c r="C44" s="13" t="s">
        <v>1834</v>
      </c>
      <c r="D44" s="13" t="s">
        <v>6190</v>
      </c>
      <c r="E44" s="13" t="s">
        <v>6191</v>
      </c>
      <c r="F44" s="13">
        <v>966</v>
      </c>
      <c r="G44" s="7">
        <v>1091</v>
      </c>
      <c r="H44" s="16" t="str">
        <f t="shared" si="0"/>
        <v>(42,0,'Labiodh Sidi Cheikh',32*91,0*545,966,1091),</v>
      </c>
    </row>
    <row r="45" spans="1:8" ht="20.149999999999999" customHeight="1" x14ac:dyDescent="0.35">
      <c r="A45" s="3">
        <v>43</v>
      </c>
      <c r="B45" s="15">
        <v>0</v>
      </c>
      <c r="C45" s="13" t="s">
        <v>5510</v>
      </c>
      <c r="D45" s="13" t="s">
        <v>6192</v>
      </c>
      <c r="E45" s="13" t="s">
        <v>6193</v>
      </c>
      <c r="F45" s="13">
        <v>926</v>
      </c>
      <c r="G45" s="7">
        <v>1329</v>
      </c>
      <c r="H45" s="16" t="str">
        <f t="shared" si="0"/>
        <v>(43,0,'Mechtatine',36*123,6*789,926,1329),</v>
      </c>
    </row>
    <row r="46" spans="1:8" ht="20.149999999999999" customHeight="1" x14ac:dyDescent="0.35">
      <c r="A46" s="3">
        <v>44</v>
      </c>
      <c r="B46" s="15">
        <v>0</v>
      </c>
      <c r="C46" s="13" t="s">
        <v>5511</v>
      </c>
      <c r="D46" s="13" t="s">
        <v>6194</v>
      </c>
      <c r="E46" s="13" t="s">
        <v>6195</v>
      </c>
      <c r="F46" s="13">
        <v>983</v>
      </c>
      <c r="G46" s="7">
        <v>421</v>
      </c>
      <c r="H46" s="16" t="str">
        <f t="shared" si="0"/>
        <v>(44,0,'Medarreg1',35*425,1*425,983,421),</v>
      </c>
    </row>
    <row r="47" spans="1:8" ht="20.149999999999999" customHeight="1" x14ac:dyDescent="0.35">
      <c r="A47" s="3">
        <v>45</v>
      </c>
      <c r="B47" s="15">
        <v>0</v>
      </c>
      <c r="C47" s="13" t="s">
        <v>5512</v>
      </c>
      <c r="D47" s="13" t="s">
        <v>6196</v>
      </c>
      <c r="E47" s="13" t="s">
        <v>6197</v>
      </c>
      <c r="F47" s="13">
        <v>1080</v>
      </c>
      <c r="G47" s="7">
        <v>430</v>
      </c>
      <c r="H47" s="16" t="str">
        <f t="shared" si="0"/>
        <v>(45,0,'Medarreg2',35*184,1*496,1080,430),</v>
      </c>
    </row>
    <row r="48" spans="1:8" ht="20.149999999999999" customHeight="1" x14ac:dyDescent="0.35">
      <c r="A48" s="3">
        <v>46</v>
      </c>
      <c r="B48" s="15">
        <v>0</v>
      </c>
      <c r="C48" s="13" t="s">
        <v>5513</v>
      </c>
      <c r="D48" s="13" t="s">
        <v>6198</v>
      </c>
      <c r="E48" s="13" t="s">
        <v>6165</v>
      </c>
      <c r="F48" s="13">
        <v>971</v>
      </c>
      <c r="G48" s="7">
        <v>428</v>
      </c>
      <c r="H48" s="16" t="str">
        <f t="shared" si="0"/>
        <v>(46,0,'Medarreg3',35*103,1*706,971,428),</v>
      </c>
    </row>
    <row r="49" spans="1:8" ht="20.149999999999999" customHeight="1" x14ac:dyDescent="0.35">
      <c r="A49" s="3">
        <v>47</v>
      </c>
      <c r="B49" s="15">
        <v>0</v>
      </c>
      <c r="C49" s="13" t="s">
        <v>5514</v>
      </c>
      <c r="D49" s="13">
        <v>27</v>
      </c>
      <c r="E49" s="13" t="s">
        <v>6199</v>
      </c>
      <c r="F49" s="13">
        <v>380</v>
      </c>
      <c r="G49" s="7">
        <v>1116</v>
      </c>
      <c r="H49" s="16" t="str">
        <f t="shared" si="0"/>
        <v>(47,0,'Mederba',27,8*5,380,1116),</v>
      </c>
    </row>
    <row r="50" spans="1:8" ht="20.149999999999999" customHeight="1" x14ac:dyDescent="0.35">
      <c r="A50" s="3">
        <v>48</v>
      </c>
      <c r="B50" s="15">
        <v>0</v>
      </c>
      <c r="C50" s="13" t="s">
        <v>1767</v>
      </c>
      <c r="D50" s="13" t="s">
        <v>6200</v>
      </c>
      <c r="E50" s="13" t="s">
        <v>6201</v>
      </c>
      <c r="F50" s="13">
        <v>710</v>
      </c>
      <c r="G50" s="7">
        <v>1006</v>
      </c>
      <c r="H50" s="16" t="str">
        <f t="shared" si="0"/>
        <v>(48,0,'Medjedel',35*15,3*683,710,1006),</v>
      </c>
    </row>
    <row r="51" spans="1:8" ht="20.149999999999999" customHeight="1" x14ac:dyDescent="0.35">
      <c r="A51" s="3">
        <v>49</v>
      </c>
      <c r="B51" s="15">
        <v>0</v>
      </c>
      <c r="C51" s="13" t="s">
        <v>5515</v>
      </c>
      <c r="D51" s="13" t="s">
        <v>6132</v>
      </c>
      <c r="E51" s="13" t="s">
        <v>6133</v>
      </c>
      <c r="F51" s="13">
        <v>2</v>
      </c>
      <c r="G51" s="7">
        <v>1065</v>
      </c>
      <c r="H51" s="16" t="str">
        <f t="shared" si="0"/>
        <v>(49,0,'Mers El Hadjadj',35*862,-0*345,2,1065),</v>
      </c>
    </row>
    <row r="52" spans="1:8" ht="20.149999999999999" customHeight="1" x14ac:dyDescent="0.35">
      <c r="A52" s="3">
        <v>50</v>
      </c>
      <c r="B52" s="15">
        <v>0</v>
      </c>
      <c r="C52" s="13" t="s">
        <v>5351</v>
      </c>
      <c r="D52" s="13" t="s">
        <v>6202</v>
      </c>
      <c r="E52" s="13" t="s">
        <v>6203</v>
      </c>
      <c r="F52" s="13">
        <v>172</v>
      </c>
      <c r="G52" s="7">
        <v>1064</v>
      </c>
      <c r="H52" s="16" t="str">
        <f t="shared" si="0"/>
        <v>(50,0,'Mesdar',31*192,6*794,172,1064),</v>
      </c>
    </row>
    <row r="53" spans="1:8" ht="20.149999999999999" customHeight="1" x14ac:dyDescent="0.35">
      <c r="A53" s="3">
        <v>51</v>
      </c>
      <c r="B53" s="15">
        <v>0</v>
      </c>
      <c r="C53" s="13" t="s">
        <v>5516</v>
      </c>
      <c r="D53" s="13" t="s">
        <v>6204</v>
      </c>
      <c r="E53" s="13" t="s">
        <v>6205</v>
      </c>
      <c r="F53" s="13">
        <v>885</v>
      </c>
      <c r="G53" s="7">
        <v>61</v>
      </c>
      <c r="H53" s="16" t="str">
        <f t="shared" si="0"/>
        <v>(51,0,'Milok1',33*481,2*523,885,61),</v>
      </c>
    </row>
    <row r="54" spans="1:8" ht="20.149999999999999" customHeight="1" x14ac:dyDescent="0.35">
      <c r="A54" s="3">
        <v>52</v>
      </c>
      <c r="B54" s="15">
        <v>0</v>
      </c>
      <c r="C54" s="13" t="s">
        <v>5517</v>
      </c>
      <c r="D54" s="13" t="s">
        <v>6206</v>
      </c>
      <c r="E54" s="13" t="s">
        <v>6207</v>
      </c>
      <c r="F54" s="13">
        <v>885</v>
      </c>
      <c r="G54" s="7">
        <v>52</v>
      </c>
      <c r="H54" s="16" t="str">
        <f t="shared" si="0"/>
        <v>(52,0,'Milok2',33*803,2*875,885,52),</v>
      </c>
    </row>
    <row r="55" spans="1:8" ht="20.149999999999999" customHeight="1" x14ac:dyDescent="0.35">
      <c r="A55" s="3">
        <v>53</v>
      </c>
      <c r="B55" s="15">
        <v>0</v>
      </c>
      <c r="C55" s="13" t="s">
        <v>5518</v>
      </c>
      <c r="D55" s="13" t="s">
        <v>6208</v>
      </c>
      <c r="E55" s="13" t="s">
        <v>6209</v>
      </c>
      <c r="F55" s="13">
        <v>10</v>
      </c>
      <c r="G55" s="7">
        <v>1065</v>
      </c>
      <c r="H55" s="16" t="str">
        <f t="shared" si="0"/>
        <v>(53,0,'Mohgoun plateau1',35*83,-0*324,10,1065),</v>
      </c>
    </row>
    <row r="56" spans="1:8" ht="20.149999999999999" customHeight="1" x14ac:dyDescent="0.35">
      <c r="A56" s="3">
        <v>54</v>
      </c>
      <c r="B56" s="15">
        <v>0</v>
      </c>
      <c r="C56" s="13" t="s">
        <v>5519</v>
      </c>
      <c r="D56" s="13" t="s">
        <v>6210</v>
      </c>
      <c r="E56" s="13" t="s">
        <v>6211</v>
      </c>
      <c r="F56" s="13">
        <v>5</v>
      </c>
      <c r="G56" s="7">
        <v>1065</v>
      </c>
      <c r="H56" s="16" t="str">
        <f t="shared" si="0"/>
        <v>(54,0,'Mohgoun plateau2',35*863,-0*331,5,1065),</v>
      </c>
    </row>
    <row r="57" spans="1:8" ht="20.149999999999999" customHeight="1" x14ac:dyDescent="0.35">
      <c r="A57" s="3">
        <v>55</v>
      </c>
      <c r="B57" s="15">
        <v>0</v>
      </c>
      <c r="C57" s="13" t="s">
        <v>2900</v>
      </c>
      <c r="D57" s="13" t="s">
        <v>6212</v>
      </c>
      <c r="E57" s="13" t="s">
        <v>6213</v>
      </c>
      <c r="F57" s="13">
        <v>1100</v>
      </c>
      <c r="G57" s="7">
        <v>579</v>
      </c>
      <c r="H57" s="16" t="str">
        <f t="shared" si="0"/>
        <v>(55,0,'Moudjebara',34*507,3*47,1100,579),</v>
      </c>
    </row>
    <row r="58" spans="1:8" ht="20.149999999999999" customHeight="1" x14ac:dyDescent="0.35">
      <c r="A58" s="3">
        <v>56</v>
      </c>
      <c r="B58" s="15">
        <v>0</v>
      </c>
      <c r="C58" s="13" t="s">
        <v>6110</v>
      </c>
      <c r="D58" s="13" t="s">
        <v>6214</v>
      </c>
      <c r="E58" s="13" t="s">
        <v>6215</v>
      </c>
      <c r="F58" s="13">
        <v>856</v>
      </c>
      <c r="G58" s="7">
        <v>52</v>
      </c>
      <c r="H58" s="16" t="str">
        <f t="shared" si="0"/>
        <v>(56,0,'M\'seka1',33*789,2*583,856,52),</v>
      </c>
    </row>
    <row r="59" spans="1:8" ht="20.149999999999999" customHeight="1" x14ac:dyDescent="0.35">
      <c r="A59" s="3">
        <v>57</v>
      </c>
      <c r="B59" s="15">
        <v>0</v>
      </c>
      <c r="C59" s="13" t="s">
        <v>6111</v>
      </c>
      <c r="D59" s="13" t="s">
        <v>6216</v>
      </c>
      <c r="E59" s="13" t="s">
        <v>6217</v>
      </c>
      <c r="F59" s="13">
        <v>875</v>
      </c>
      <c r="G59" s="7">
        <v>52</v>
      </c>
      <c r="H59" s="16" t="str">
        <f t="shared" si="0"/>
        <v>(57,0,'M\'seka2',33*809,2*59,875,52),</v>
      </c>
    </row>
    <row r="60" spans="1:8" ht="20.149999999999999" customHeight="1" x14ac:dyDescent="0.35">
      <c r="A60" s="3">
        <v>58</v>
      </c>
      <c r="B60" s="15">
        <v>0</v>
      </c>
      <c r="C60" s="13" t="s">
        <v>6112</v>
      </c>
      <c r="D60" s="13" t="s">
        <v>6218</v>
      </c>
      <c r="E60" s="13" t="s">
        <v>6219</v>
      </c>
      <c r="F60" s="13">
        <v>835</v>
      </c>
      <c r="G60" s="7">
        <v>52</v>
      </c>
      <c r="H60" s="16" t="str">
        <f t="shared" si="0"/>
        <v>(58,0,'M\'seka3',33*769,2*576,835,52),</v>
      </c>
    </row>
    <row r="61" spans="1:8" ht="20.149999999999999" customHeight="1" x14ac:dyDescent="0.35">
      <c r="A61" s="3">
        <v>59</v>
      </c>
      <c r="B61" s="15">
        <v>0</v>
      </c>
      <c r="C61" s="13" t="s">
        <v>6113</v>
      </c>
      <c r="D61" s="13" t="s">
        <v>6220</v>
      </c>
      <c r="E61" s="13" t="s">
        <v>6221</v>
      </c>
      <c r="F61" s="13">
        <v>600</v>
      </c>
      <c r="G61" s="7">
        <v>963</v>
      </c>
      <c r="H61" s="16" t="str">
        <f t="shared" si="0"/>
        <v>(59,0,'M\'Sila',35*719,4*523,600,963),</v>
      </c>
    </row>
    <row r="62" spans="1:8" ht="20.149999999999999" customHeight="1" x14ac:dyDescent="0.35">
      <c r="A62" s="3">
        <v>60</v>
      </c>
      <c r="B62" s="15">
        <v>0</v>
      </c>
      <c r="C62" s="13" t="s">
        <v>3792</v>
      </c>
      <c r="D62" s="13" t="s">
        <v>6222</v>
      </c>
      <c r="E62" s="13" t="s">
        <v>6223</v>
      </c>
      <c r="F62" s="13">
        <v>1018</v>
      </c>
      <c r="G62" s="7">
        <v>413</v>
      </c>
      <c r="H62" s="16" t="str">
        <f t="shared" si="0"/>
        <v>(60,0,'Nador',35*288,1*452,1018,413),</v>
      </c>
    </row>
    <row r="63" spans="1:8" ht="20.149999999999999" customHeight="1" x14ac:dyDescent="0.35">
      <c r="A63" s="3">
        <v>61</v>
      </c>
      <c r="B63" s="15">
        <v>0</v>
      </c>
      <c r="C63" s="13" t="s">
        <v>4044</v>
      </c>
      <c r="D63" s="13" t="s">
        <v>6224</v>
      </c>
      <c r="E63" s="13" t="s">
        <v>6225</v>
      </c>
      <c r="F63" s="13">
        <v>182</v>
      </c>
      <c r="G63" s="7">
        <v>1057</v>
      </c>
      <c r="H63" s="16" t="str">
        <f t="shared" si="0"/>
        <v>(61,0,'Nezla',33*083,6*051,182,1057),</v>
      </c>
    </row>
    <row r="64" spans="1:8" ht="20.149999999999999" customHeight="1" x14ac:dyDescent="0.35">
      <c r="A64" s="3">
        <v>62</v>
      </c>
      <c r="B64" s="15">
        <v>0</v>
      </c>
      <c r="C64" s="13" t="s">
        <v>6114</v>
      </c>
      <c r="D64" s="13" t="s">
        <v>6226</v>
      </c>
      <c r="E64" s="13" t="s">
        <v>6227</v>
      </c>
      <c r="F64" s="13">
        <v>580</v>
      </c>
      <c r="G64" s="7">
        <v>124</v>
      </c>
      <c r="H64" s="16" t="str">
        <f t="shared" si="0"/>
        <v>(62,0,'N\'Gaous',35*557,5*593,580,124),</v>
      </c>
    </row>
    <row r="65" spans="1:8" ht="20.149999999999999" customHeight="1" x14ac:dyDescent="0.35">
      <c r="A65" s="3">
        <v>63</v>
      </c>
      <c r="B65" s="15">
        <v>0</v>
      </c>
      <c r="C65" s="13" t="s">
        <v>5347</v>
      </c>
      <c r="D65" s="13" t="s">
        <v>6228</v>
      </c>
      <c r="E65" s="13" t="s">
        <v>6229</v>
      </c>
      <c r="F65" s="13">
        <v>600</v>
      </c>
      <c r="G65" s="7">
        <v>1113</v>
      </c>
      <c r="H65" s="16" t="str">
        <f t="shared" si="0"/>
        <v>(63,0,'Ohanet',28*68,8*873,600,1113),</v>
      </c>
    </row>
    <row r="66" spans="1:8" ht="20.149999999999999" customHeight="1" x14ac:dyDescent="0.35">
      <c r="A66" s="3">
        <v>64</v>
      </c>
      <c r="B66" s="15">
        <v>0</v>
      </c>
      <c r="C66" s="13" t="s">
        <v>5520</v>
      </c>
      <c r="D66" s="13" t="s">
        <v>6230</v>
      </c>
      <c r="E66" s="13" t="s">
        <v>6231</v>
      </c>
      <c r="F66" s="13">
        <v>256</v>
      </c>
      <c r="G66" s="7">
        <v>1057</v>
      </c>
      <c r="H66" s="16" t="str">
        <f t="shared" si="0"/>
        <v>(64,0,'Ouargla1',31*951,5*331,256,1057),</v>
      </c>
    </row>
    <row r="67" spans="1:8" ht="20.149999999999999" customHeight="1" x14ac:dyDescent="0.35">
      <c r="A67" s="3">
        <v>65</v>
      </c>
      <c r="B67" s="15">
        <v>0</v>
      </c>
      <c r="C67" s="13" t="s">
        <v>5521</v>
      </c>
      <c r="D67" s="13" t="s">
        <v>6232</v>
      </c>
      <c r="E67" s="13" t="s">
        <v>6233</v>
      </c>
      <c r="F67" s="13">
        <v>260</v>
      </c>
      <c r="G67" s="7">
        <v>1057</v>
      </c>
      <c r="H67" s="16" t="str">
        <f t="shared" si="0"/>
        <v>(65,0,'Ouargla2',31*933,5*327,260,1057),</v>
      </c>
    </row>
    <row r="68" spans="1:8" ht="20.149999999999999" customHeight="1" x14ac:dyDescent="0.35">
      <c r="A68" s="3">
        <v>66</v>
      </c>
      <c r="B68" s="15">
        <v>0</v>
      </c>
      <c r="C68" s="13" t="s">
        <v>5488</v>
      </c>
      <c r="D68" s="13" t="s">
        <v>6234</v>
      </c>
      <c r="E68" s="13" t="s">
        <v>6235</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6236</v>
      </c>
      <c r="E69" s="13" t="s">
        <v>6237</v>
      </c>
      <c r="F69" s="13">
        <v>397</v>
      </c>
      <c r="G69" s="7">
        <v>1498</v>
      </c>
      <c r="H69" s="16" t="str">
        <f t="shared" si="1"/>
        <v>(67,0,'Ouled Djellal',34*417,5*067,397,1498),</v>
      </c>
    </row>
    <row r="70" spans="1:8" ht="20.149999999999999" customHeight="1" x14ac:dyDescent="0.35">
      <c r="A70" s="3">
        <v>68</v>
      </c>
      <c r="B70" s="15">
        <v>0</v>
      </c>
      <c r="C70" s="13" t="s">
        <v>5522</v>
      </c>
      <c r="D70" s="13" t="s">
        <v>6238</v>
      </c>
      <c r="E70" s="13" t="s">
        <v>6239</v>
      </c>
      <c r="F70" s="13">
        <v>360</v>
      </c>
      <c r="G70" s="7">
        <v>1057</v>
      </c>
      <c r="H70" s="16" t="str">
        <f t="shared" si="1"/>
        <v>(68,0,'Ourhoud',31*7,5*85,360,1057),</v>
      </c>
    </row>
    <row r="71" spans="1:8" ht="20.149999999999999" customHeight="1" x14ac:dyDescent="0.35">
      <c r="A71" s="3">
        <v>69</v>
      </c>
      <c r="B71" s="15">
        <v>0</v>
      </c>
      <c r="C71" s="13" t="s">
        <v>1123</v>
      </c>
      <c r="D71" s="13" t="s">
        <v>6240</v>
      </c>
      <c r="E71" s="13" t="s">
        <v>6241</v>
      </c>
      <c r="F71" s="13">
        <v>200</v>
      </c>
      <c r="G71" s="7">
        <v>4</v>
      </c>
      <c r="H71" s="16" t="str">
        <f t="shared" si="1"/>
        <v>(69,0,'Reggane',26*8,-2*8,200,4),</v>
      </c>
    </row>
    <row r="72" spans="1:8" ht="20.149999999999999" customHeight="1" x14ac:dyDescent="0.35">
      <c r="A72" s="3">
        <v>70</v>
      </c>
      <c r="B72" s="15">
        <v>0</v>
      </c>
      <c r="C72" s="13" t="s">
        <v>5371</v>
      </c>
      <c r="D72" s="13" t="s">
        <v>6242</v>
      </c>
      <c r="E72" s="13" t="s">
        <v>6243</v>
      </c>
      <c r="F72" s="13">
        <v>300</v>
      </c>
      <c r="G72" s="7">
        <v>1064</v>
      </c>
      <c r="H72" s="16" t="str">
        <f t="shared" si="1"/>
        <v>(70,0,'Rhoude El Baguel',32*15,2*15,300,1064),</v>
      </c>
    </row>
    <row r="73" spans="1:8" ht="20.149999999999999" customHeight="1" x14ac:dyDescent="0.35">
      <c r="A73" s="3">
        <v>71</v>
      </c>
      <c r="B73" s="15">
        <v>0</v>
      </c>
      <c r="C73" s="13" t="s">
        <v>5523</v>
      </c>
      <c r="D73" s="13" t="s">
        <v>6244</v>
      </c>
      <c r="E73" s="13" t="s">
        <v>6245</v>
      </c>
      <c r="F73" s="13">
        <v>252</v>
      </c>
      <c r="G73" s="7">
        <v>1114</v>
      </c>
      <c r="H73" s="16" t="str">
        <f t="shared" si="1"/>
        <v>(71,0,'Rhourde Nouss',29*74,6*702,252,1114),</v>
      </c>
    </row>
    <row r="74" spans="1:8" ht="20.149999999999999" customHeight="1" x14ac:dyDescent="0.35">
      <c r="A74" s="3">
        <v>72</v>
      </c>
      <c r="B74" s="15">
        <v>0</v>
      </c>
      <c r="C74" s="13" t="s">
        <v>2103</v>
      </c>
      <c r="D74" s="13" t="s">
        <v>6246</v>
      </c>
      <c r="E74" s="13" t="s">
        <v>6247</v>
      </c>
      <c r="F74" s="13">
        <v>280</v>
      </c>
      <c r="G74" s="7">
        <v>1</v>
      </c>
      <c r="H74" s="16" t="str">
        <f t="shared" si="1"/>
        <v>(72,0,'Sebaa',28*21,-0*156,280,1),</v>
      </c>
    </row>
    <row r="75" spans="1:8" ht="20.149999999999999" customHeight="1" x14ac:dyDescent="0.35">
      <c r="A75" s="3">
        <v>73</v>
      </c>
      <c r="B75" s="15">
        <v>0</v>
      </c>
      <c r="C75" s="13" t="s">
        <v>2251</v>
      </c>
      <c r="D75" s="13" t="s">
        <v>6248</v>
      </c>
      <c r="E75" s="13" t="s">
        <v>6249</v>
      </c>
      <c r="F75" s="13">
        <v>575</v>
      </c>
      <c r="G75" s="7">
        <v>105</v>
      </c>
      <c r="H75" s="16" t="str">
        <f t="shared" si="1"/>
        <v>(73,0,'Sefiane',35*235,6*123,575,105),</v>
      </c>
    </row>
    <row r="76" spans="1:8" ht="20.149999999999999" customHeight="1" x14ac:dyDescent="0.35">
      <c r="A76" s="3">
        <v>74</v>
      </c>
      <c r="B76" s="15">
        <v>0</v>
      </c>
      <c r="C76" s="13" t="s">
        <v>5524</v>
      </c>
      <c r="D76" s="13" t="s">
        <v>6166</v>
      </c>
      <c r="E76" s="13" t="s">
        <v>6167</v>
      </c>
      <c r="F76" s="13">
        <v>185</v>
      </c>
      <c r="G76" s="7">
        <v>231</v>
      </c>
      <c r="H76" s="16" t="str">
        <f t="shared" si="1"/>
        <v>(74,0,'Selga/El Outaya',35*034,5*595,185,231),</v>
      </c>
    </row>
    <row r="77" spans="1:8" ht="20.149999999999999" customHeight="1" x14ac:dyDescent="0.35">
      <c r="A77" s="3">
        <v>75</v>
      </c>
      <c r="B77" s="15">
        <v>0</v>
      </c>
      <c r="C77" s="13" t="s">
        <v>5525</v>
      </c>
      <c r="D77" s="13" t="s">
        <v>6250</v>
      </c>
      <c r="E77" s="13" t="s">
        <v>6251</v>
      </c>
      <c r="F77" s="13">
        <v>80</v>
      </c>
      <c r="G77" s="7">
        <v>544</v>
      </c>
      <c r="H77" s="16" t="str">
        <f t="shared" si="1"/>
        <v>(75,0,'Sidi Arcine',36*754,3*059,80,544),</v>
      </c>
    </row>
    <row r="78" spans="1:8" ht="20.149999999999999" customHeight="1" x14ac:dyDescent="0.35">
      <c r="A78" s="3">
        <v>76</v>
      </c>
      <c r="B78" s="15">
        <v>0</v>
      </c>
      <c r="C78" s="13" t="s">
        <v>1012</v>
      </c>
      <c r="D78" s="13" t="s">
        <v>6252</v>
      </c>
      <c r="E78" s="13" t="s">
        <v>6253</v>
      </c>
      <c r="F78" s="13">
        <v>18</v>
      </c>
      <c r="G78" s="7">
        <v>721</v>
      </c>
      <c r="H78" s="16" t="str">
        <f t="shared" si="1"/>
        <v>(76,0,'Skikda',36*885,6*924,18,721),</v>
      </c>
    </row>
    <row r="79" spans="1:8" ht="20.149999999999999" customHeight="1" x14ac:dyDescent="0.35">
      <c r="A79" s="3">
        <v>77</v>
      </c>
      <c r="B79" s="15">
        <v>0</v>
      </c>
      <c r="C79" s="13" t="s">
        <v>5526</v>
      </c>
      <c r="D79" s="13" t="s">
        <v>6254</v>
      </c>
      <c r="E79" s="13" t="s">
        <v>6255</v>
      </c>
      <c r="F79" s="13">
        <v>890</v>
      </c>
      <c r="G79" s="7">
        <v>52</v>
      </c>
      <c r="H79" s="16" t="str">
        <f t="shared" si="1"/>
        <v>(77,0,'Timzhert 1',33*625,2*739,890,52),</v>
      </c>
    </row>
    <row r="80" spans="1:8" ht="20.149999999999999" customHeight="1" x14ac:dyDescent="0.35">
      <c r="A80" s="3">
        <v>78</v>
      </c>
      <c r="B80" s="15">
        <v>0</v>
      </c>
      <c r="C80" s="13" t="s">
        <v>5527</v>
      </c>
      <c r="D80" s="13" t="s">
        <v>6256</v>
      </c>
      <c r="E80" s="13" t="s">
        <v>6257</v>
      </c>
      <c r="F80" s="13">
        <v>912</v>
      </c>
      <c r="G80" s="7">
        <v>52</v>
      </c>
      <c r="H80" s="16" t="str">
        <f t="shared" si="1"/>
        <v>(78,0,'Timzhert 2',33*641,2*741,912,52),</v>
      </c>
    </row>
    <row r="81" spans="1:8" ht="20.149999999999999" customHeight="1" x14ac:dyDescent="0.35">
      <c r="A81" s="3">
        <v>79</v>
      </c>
      <c r="B81" s="15">
        <v>0</v>
      </c>
      <c r="C81" s="13" t="s">
        <v>5528</v>
      </c>
      <c r="D81" s="13" t="s">
        <v>6258</v>
      </c>
      <c r="E81" s="13" t="s">
        <v>6259</v>
      </c>
      <c r="F81" s="13">
        <v>875</v>
      </c>
      <c r="G81" s="7">
        <v>52</v>
      </c>
      <c r="H81" s="16" t="str">
        <f t="shared" si="1"/>
        <v>(79,0,'Timzhert 3',33*608,2*736,875,52),</v>
      </c>
    </row>
    <row r="82" spans="1:8" ht="20.149999999999999" customHeight="1" x14ac:dyDescent="0.35">
      <c r="A82" s="3">
        <v>80</v>
      </c>
      <c r="B82" s="15">
        <v>0</v>
      </c>
      <c r="C82" s="13" t="s">
        <v>5529</v>
      </c>
      <c r="D82" s="13" t="s">
        <v>6260</v>
      </c>
      <c r="E82" s="13" t="s">
        <v>6261</v>
      </c>
      <c r="F82" s="13">
        <v>470</v>
      </c>
      <c r="G82" s="7">
        <v>1113</v>
      </c>
      <c r="H82" s="16" t="str">
        <f t="shared" si="1"/>
        <v>(80,0,'Tin-Fouyé 1',28*146,6*826,470,1113),</v>
      </c>
    </row>
    <row r="83" spans="1:8" ht="20.149999999999999" customHeight="1" x14ac:dyDescent="0.35">
      <c r="A83" s="3">
        <v>81</v>
      </c>
      <c r="B83" s="15">
        <v>0</v>
      </c>
      <c r="C83" s="13" t="s">
        <v>5530</v>
      </c>
      <c r="D83" s="13" t="s">
        <v>6262</v>
      </c>
      <c r="E83" s="13" t="s">
        <v>6263</v>
      </c>
      <c r="F83" s="13">
        <v>400</v>
      </c>
      <c r="G83" s="7">
        <v>1113</v>
      </c>
      <c r="H83" s="16" t="str">
        <f t="shared" si="1"/>
        <v>(81,0,'Tin-Fouyé 2',27*5,10*2,400,1113),</v>
      </c>
    </row>
    <row r="84" spans="1:8" ht="20.149999999999999" customHeight="1" x14ac:dyDescent="0.35">
      <c r="A84" s="3">
        <v>82</v>
      </c>
      <c r="B84" s="15">
        <v>0</v>
      </c>
      <c r="C84" s="13" t="s">
        <v>1273</v>
      </c>
      <c r="D84" s="13" t="s">
        <v>6115</v>
      </c>
      <c r="E84" s="13" t="s">
        <v>6173</v>
      </c>
      <c r="F84" s="13">
        <v>495</v>
      </c>
      <c r="G84" s="7">
        <v>237</v>
      </c>
      <c r="H84" s="16" t="str">
        <f t="shared" si="1"/>
        <v>(82,0,'Tolga',34*833,6*071,495,237),</v>
      </c>
    </row>
    <row r="85" spans="1:8" ht="20.149999999999999" customHeight="1" x14ac:dyDescent="0.35">
      <c r="A85" s="3">
        <v>83</v>
      </c>
      <c r="B85" s="15">
        <v>0</v>
      </c>
      <c r="C85" s="13" t="s">
        <v>5531</v>
      </c>
      <c r="D85" s="13" t="s">
        <v>6264</v>
      </c>
      <c r="E85" s="13" t="s">
        <v>6265</v>
      </c>
      <c r="F85" s="13">
        <v>1032</v>
      </c>
      <c r="G85" s="7">
        <v>413</v>
      </c>
      <c r="H85" s="16" t="str">
        <f t="shared" si="1"/>
        <v>(83,0,'Zaaroura',35*345,1*319,1032,413),</v>
      </c>
    </row>
    <row r="86" spans="1:8" ht="20.149999999999999" customHeight="1" x14ac:dyDescent="0.35">
      <c r="A86" s="3">
        <v>84</v>
      </c>
      <c r="B86" s="15">
        <v>0</v>
      </c>
      <c r="C86" s="13" t="s">
        <v>5532</v>
      </c>
      <c r="D86" s="13" t="s">
        <v>6266</v>
      </c>
      <c r="E86" s="13" t="s">
        <v>6267</v>
      </c>
      <c r="F86" s="13">
        <v>166</v>
      </c>
      <c r="G86" s="7">
        <v>1057</v>
      </c>
      <c r="H86" s="16" t="str">
        <f t="shared" si="1"/>
        <v>(84,0,'Zina',31*788,6*052,166,1057),</v>
      </c>
    </row>
    <row r="87" spans="1:8" ht="20.149999999999999" customHeight="1" x14ac:dyDescent="0.35">
      <c r="A87" s="3">
        <v>85</v>
      </c>
      <c r="B87" s="15">
        <v>0</v>
      </c>
      <c r="C87" s="13" t="s">
        <v>5533</v>
      </c>
      <c r="D87" s="13" t="s">
        <v>6268</v>
      </c>
      <c r="E87" s="13" t="s">
        <v>6269</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6270</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6271</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6272</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6273</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6274</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6275</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6276</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6277</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6278</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6279</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6279</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6279</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6280</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6294</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6295</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6296</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6297</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6298</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6299</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6300</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6301</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6302</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6281</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6282</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6283</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6284</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6285</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6286</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6287</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6288</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6289</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6290</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6291</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6292</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6293</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6319</v>
      </c>
      <c r="B1" s="1" t="s">
        <v>6320</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theme="7" tint="0.79998168889431442"/>
  </sheetPr>
  <dimension ref="A1:C89"/>
  <sheetViews>
    <sheetView workbookViewId="0">
      <selection activeCell="B1" sqref="B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6322</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6320</v>
      </c>
      <c r="C1" s="1" t="s">
        <v>5603</v>
      </c>
    </row>
    <row r="2" spans="1:3" ht="20.149999999999999" customHeight="1" x14ac:dyDescent="0.35">
      <c r="A2" s="1" t="s">
        <v>41</v>
      </c>
      <c r="B2" s="1" t="s">
        <v>42</v>
      </c>
      <c r="C2" s="1" t="s">
        <v>6315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6324</v>
      </c>
      <c r="C1" s="1" t="s">
        <v>5603</v>
      </c>
    </row>
    <row r="2" spans="1:3" ht="20.149999999999999" customHeight="1" x14ac:dyDescent="0.35">
      <c r="A2" s="1" t="s">
        <v>41</v>
      </c>
      <c r="B2" s="1" t="s">
        <v>42</v>
      </c>
      <c r="C2" s="1" t="s">
        <v>6325</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6320</v>
      </c>
      <c r="C1" s="1" t="s">
        <v>5603</v>
      </c>
    </row>
    <row r="2" spans="1:3" ht="20.149999999999999" customHeight="1" x14ac:dyDescent="0.35">
      <c r="A2" s="1" t="s">
        <v>41</v>
      </c>
      <c r="B2" s="1" t="s">
        <v>42</v>
      </c>
      <c r="C2" s="1" t="s">
        <v>6323</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theme="7" tint="0.79998168889431442"/>
  </sheetPr>
  <dimension ref="A1:C89"/>
  <sheetViews>
    <sheetView workbookViewId="0">
      <selection activeCell="C11" sqref="C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6328</v>
      </c>
      <c r="B1" s="1" t="s">
        <v>6324</v>
      </c>
      <c r="C1" s="1" t="s">
        <v>5603</v>
      </c>
    </row>
    <row r="2" spans="1:3" ht="20.149999999999999" customHeight="1" x14ac:dyDescent="0.35">
      <c r="A2" s="1" t="s">
        <v>41</v>
      </c>
      <c r="B2" s="1" t="s">
        <v>42</v>
      </c>
      <c r="C2" s="1" t="s">
        <v>6329</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9"/>
  <sheetViews>
    <sheetView tabSelected="1" topLeftCell="E34" workbookViewId="0">
      <selection activeCell="G46" sqref="G46"/>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v>30</v>
      </c>
      <c r="D21" s="31">
        <v>646</v>
      </c>
      <c r="E21" s="5" t="s">
        <v>6333</v>
      </c>
      <c r="F21" s="5">
        <v>4.5699999999999998E-2</v>
      </c>
      <c r="G21" s="5">
        <v>82.9</v>
      </c>
      <c r="H21" s="5">
        <v>82.9</v>
      </c>
      <c r="I21" s="5">
        <v>0</v>
      </c>
      <c r="J21" s="5">
        <v>0</v>
      </c>
      <c r="K21" s="5">
        <v>11.41</v>
      </c>
      <c r="L21" s="5">
        <v>11.41</v>
      </c>
      <c r="M21" s="5" t="s">
        <v>5637</v>
      </c>
      <c r="N21" s="5" t="s">
        <v>5638</v>
      </c>
      <c r="O21" s="5"/>
      <c r="P21" s="5" t="s">
        <v>6334</v>
      </c>
      <c r="Q21" s="5" t="s">
        <v>5136</v>
      </c>
      <c r="R21" s="5" t="s">
        <v>4856</v>
      </c>
      <c r="S21" s="5" t="s">
        <v>1012</v>
      </c>
      <c r="T21" s="5" t="s">
        <v>4133</v>
      </c>
      <c r="U21" s="22">
        <v>40029</v>
      </c>
    </row>
    <row r="22" spans="1:21" ht="20.149999999999999" customHeight="1" x14ac:dyDescent="0.35">
      <c r="A22" s="3">
        <v>175</v>
      </c>
      <c r="B22" s="27" t="s">
        <v>5137</v>
      </c>
      <c r="C22" s="7" t="s">
        <v>6335</v>
      </c>
      <c r="D22" s="31">
        <v>565</v>
      </c>
      <c r="E22" s="5" t="s">
        <v>6336</v>
      </c>
      <c r="F22" s="5"/>
      <c r="G22" s="5">
        <v>49</v>
      </c>
      <c r="H22" s="5">
        <v>11</v>
      </c>
      <c r="I22" s="5"/>
      <c r="J22" s="5"/>
      <c r="K22" s="5">
        <v>7.9</v>
      </c>
      <c r="L22" s="5">
        <v>7.9</v>
      </c>
      <c r="M22" s="5" t="s">
        <v>5633</v>
      </c>
      <c r="N22" s="5" t="s">
        <v>5669</v>
      </c>
      <c r="O22" s="5" t="s">
        <v>5661</v>
      </c>
      <c r="P22" s="5" t="s">
        <v>6337</v>
      </c>
      <c r="Q22" s="5" t="s">
        <v>5137</v>
      </c>
      <c r="R22" s="5" t="s">
        <v>6338</v>
      </c>
      <c r="S22" s="5" t="s">
        <v>4854</v>
      </c>
      <c r="T22" s="5" t="s">
        <v>4137</v>
      </c>
      <c r="U22" s="22">
        <v>21916</v>
      </c>
    </row>
    <row r="23" spans="1:21" ht="20.149999999999999" customHeight="1" x14ac:dyDescent="0.35">
      <c r="A23" s="3">
        <v>176</v>
      </c>
      <c r="B23" s="27" t="s">
        <v>6401</v>
      </c>
      <c r="C23" s="29">
        <v>16</v>
      </c>
      <c r="D23" s="31"/>
      <c r="E23" s="5"/>
      <c r="F23" s="5"/>
      <c r="G23" s="5"/>
      <c r="H23" s="5"/>
      <c r="I23" s="5"/>
      <c r="J23" s="5"/>
      <c r="K23" s="5"/>
      <c r="L23" s="5"/>
      <c r="M23" s="5"/>
      <c r="N23" s="5"/>
      <c r="O23" s="5"/>
      <c r="P23" s="5"/>
      <c r="Q23" s="5"/>
      <c r="R23" s="5" t="s">
        <v>4856</v>
      </c>
      <c r="S23" s="5" t="s">
        <v>1824</v>
      </c>
      <c r="T23" s="5" t="s">
        <v>4125</v>
      </c>
      <c r="U23" s="22"/>
    </row>
    <row r="24" spans="1:21" ht="20.149999999999999" customHeight="1" x14ac:dyDescent="0.35">
      <c r="A24" s="3">
        <v>177</v>
      </c>
      <c r="B24" s="27" t="s">
        <v>5139</v>
      </c>
      <c r="C24" s="7">
        <v>24</v>
      </c>
      <c r="D24" s="31">
        <v>503.46</v>
      </c>
      <c r="E24" s="5" t="s">
        <v>6390</v>
      </c>
      <c r="F24" s="5">
        <v>0.05</v>
      </c>
      <c r="G24" s="5">
        <v>84</v>
      </c>
      <c r="H24" s="5">
        <v>84</v>
      </c>
      <c r="I24" s="5">
        <v>0</v>
      </c>
      <c r="J24" s="5">
        <v>0</v>
      </c>
      <c r="K24" s="5">
        <v>9</v>
      </c>
      <c r="L24" s="5">
        <v>9</v>
      </c>
      <c r="M24" s="5" t="s">
        <v>5641</v>
      </c>
      <c r="N24" s="5" t="s">
        <v>5669</v>
      </c>
      <c r="O24" s="5"/>
      <c r="P24" s="5" t="s">
        <v>6393</v>
      </c>
      <c r="Q24" s="5" t="s">
        <v>5554</v>
      </c>
      <c r="R24" s="5" t="s">
        <v>4856</v>
      </c>
      <c r="S24" s="5" t="s">
        <v>1824</v>
      </c>
      <c r="T24" s="5" t="s">
        <v>4125</v>
      </c>
      <c r="U24" s="22">
        <v>30720</v>
      </c>
    </row>
    <row r="25" spans="1:21" ht="20.149999999999999" customHeight="1" x14ac:dyDescent="0.35">
      <c r="A25" s="3">
        <v>178</v>
      </c>
      <c r="B25" s="27" t="s">
        <v>5140</v>
      </c>
      <c r="C25" s="7">
        <v>24</v>
      </c>
      <c r="D25" s="31">
        <v>495</v>
      </c>
      <c r="E25" s="30" t="s">
        <v>6391</v>
      </c>
      <c r="F25" s="5">
        <v>0.05</v>
      </c>
      <c r="G25" s="5">
        <v>114.1</v>
      </c>
      <c r="H25" s="5">
        <v>114.1</v>
      </c>
      <c r="I25" s="5">
        <v>0</v>
      </c>
      <c r="J25" s="5">
        <v>0</v>
      </c>
      <c r="K25" s="5">
        <v>6</v>
      </c>
      <c r="L25" s="5">
        <v>6</v>
      </c>
      <c r="M25" s="5" t="s">
        <v>6392</v>
      </c>
      <c r="N25" s="5" t="s">
        <v>5638</v>
      </c>
      <c r="O25" s="5"/>
      <c r="P25" s="5" t="s">
        <v>4624</v>
      </c>
      <c r="Q25" s="5" t="s">
        <v>5554</v>
      </c>
      <c r="R25" s="5" t="s">
        <v>4856</v>
      </c>
      <c r="S25" s="5" t="s">
        <v>1824</v>
      </c>
      <c r="T25" s="5" t="s">
        <v>4125</v>
      </c>
      <c r="U25" s="22">
        <v>39814</v>
      </c>
    </row>
    <row r="26" spans="1:21" ht="20.149999999999999" customHeight="1" x14ac:dyDescent="0.35">
      <c r="A26" s="3">
        <v>179</v>
      </c>
      <c r="B26" s="27" t="s">
        <v>5141</v>
      </c>
      <c r="C26" s="7" t="s">
        <v>6394</v>
      </c>
      <c r="D26" s="31">
        <v>989</v>
      </c>
      <c r="E26" s="5"/>
      <c r="F26" s="5"/>
      <c r="G26" s="5" t="s">
        <v>6396</v>
      </c>
      <c r="H26" s="5" t="s">
        <v>6396</v>
      </c>
      <c r="I26" s="5">
        <v>0</v>
      </c>
      <c r="J26" s="5">
        <v>0</v>
      </c>
      <c r="K26" s="5">
        <v>6.5</v>
      </c>
      <c r="L26" s="5">
        <v>5.7</v>
      </c>
      <c r="M26" s="5"/>
      <c r="N26" s="5" t="s">
        <v>5638</v>
      </c>
      <c r="O26" s="5"/>
      <c r="P26" s="5" t="s">
        <v>6395</v>
      </c>
      <c r="Q26" s="5"/>
      <c r="R26" s="5" t="s">
        <v>5392</v>
      </c>
      <c r="S26" s="5" t="s">
        <v>4856</v>
      </c>
      <c r="T26" s="5" t="s">
        <v>5678</v>
      </c>
      <c r="U26" s="22">
        <v>35065</v>
      </c>
    </row>
    <row r="27" spans="1:21" ht="20.149999999999999" customHeight="1" x14ac:dyDescent="0.35">
      <c r="A27" s="3">
        <v>179</v>
      </c>
      <c r="B27" s="27" t="s">
        <v>6402</v>
      </c>
      <c r="C27" s="29">
        <v>12</v>
      </c>
      <c r="D27" s="31"/>
      <c r="E27" s="5"/>
      <c r="F27" s="5"/>
      <c r="G27" s="5"/>
      <c r="H27" s="5"/>
      <c r="I27" s="5"/>
      <c r="J27" s="5"/>
      <c r="K27" s="5"/>
      <c r="L27" s="5"/>
      <c r="M27" s="5"/>
      <c r="N27" s="5"/>
      <c r="O27" s="5"/>
      <c r="P27" s="5"/>
      <c r="Q27" s="5"/>
      <c r="R27" s="5" t="s">
        <v>4856</v>
      </c>
      <c r="S27" s="5" t="s">
        <v>1824</v>
      </c>
      <c r="T27" s="5" t="s">
        <v>4125</v>
      </c>
      <c r="U27" s="22"/>
    </row>
    <row r="28" spans="1:21" ht="20.149999999999999" customHeight="1" x14ac:dyDescent="0.35">
      <c r="A28" s="3">
        <v>180</v>
      </c>
      <c r="B28" s="27" t="s">
        <v>5142</v>
      </c>
      <c r="C28" s="7">
        <v>16</v>
      </c>
      <c r="D28" s="31">
        <v>404</v>
      </c>
      <c r="E28" s="5" t="s">
        <v>6397</v>
      </c>
      <c r="F28" s="5">
        <v>4.5999999999999999E-2</v>
      </c>
      <c r="G28" s="5">
        <v>89.2</v>
      </c>
      <c r="H28" s="5">
        <v>89.2</v>
      </c>
      <c r="I28" s="5">
        <v>0</v>
      </c>
      <c r="J28" s="5">
        <v>0</v>
      </c>
      <c r="K28" s="5">
        <v>3.26</v>
      </c>
      <c r="L28" s="5">
        <v>3.26</v>
      </c>
      <c r="M28" s="5" t="s">
        <v>5637</v>
      </c>
      <c r="N28" s="5" t="s">
        <v>5638</v>
      </c>
      <c r="O28" s="5"/>
      <c r="P28" s="5" t="s">
        <v>6398</v>
      </c>
      <c r="Q28" s="5"/>
      <c r="R28" s="5" t="s">
        <v>5347</v>
      </c>
      <c r="S28" s="5" t="s">
        <v>5396</v>
      </c>
      <c r="T28" s="5" t="s">
        <v>5678</v>
      </c>
      <c r="U28" s="22">
        <v>38264</v>
      </c>
    </row>
    <row r="29" spans="1:21" ht="20.149999999999999" customHeight="1" x14ac:dyDescent="0.35">
      <c r="A29" s="3">
        <v>181</v>
      </c>
      <c r="B29" s="27" t="s">
        <v>5143</v>
      </c>
      <c r="C29" s="7">
        <v>24</v>
      </c>
      <c r="D29" s="31">
        <v>336</v>
      </c>
      <c r="E29" s="5" t="s">
        <v>6399</v>
      </c>
      <c r="F29" s="5">
        <v>4.5999999999999999E-2</v>
      </c>
      <c r="G29" s="5">
        <v>77</v>
      </c>
      <c r="H29" s="5">
        <v>77</v>
      </c>
      <c r="I29" s="5">
        <v>0</v>
      </c>
      <c r="J29" s="5">
        <v>0</v>
      </c>
      <c r="K29" s="5">
        <v>4.5</v>
      </c>
      <c r="L29" s="5">
        <v>4.5</v>
      </c>
      <c r="M29" s="5" t="s">
        <v>5637</v>
      </c>
      <c r="N29" s="5" t="s">
        <v>5653</v>
      </c>
      <c r="O29" s="5"/>
      <c r="P29" s="5" t="s">
        <v>6400</v>
      </c>
      <c r="Q29" s="5"/>
      <c r="R29" s="5" t="s">
        <v>1812</v>
      </c>
      <c r="S29" s="5" t="s">
        <v>4856</v>
      </c>
      <c r="T29" s="5" t="s">
        <v>5678</v>
      </c>
      <c r="U29" s="22">
        <v>41640</v>
      </c>
    </row>
    <row r="30" spans="1:21" ht="20.149999999999999" customHeight="1" x14ac:dyDescent="0.35">
      <c r="A30" s="3">
        <v>182</v>
      </c>
      <c r="B30" s="27" t="s">
        <v>5144</v>
      </c>
      <c r="C30" s="7" t="s">
        <v>6406</v>
      </c>
      <c r="D30" s="31">
        <v>509</v>
      </c>
      <c r="E30" s="5" t="s">
        <v>6405</v>
      </c>
      <c r="F30" s="5">
        <v>1.4999999999999999E-2</v>
      </c>
      <c r="G30" s="5">
        <v>65</v>
      </c>
      <c r="H30" s="5">
        <v>0</v>
      </c>
      <c r="I30" s="5">
        <v>0</v>
      </c>
      <c r="J30" s="5">
        <v>0</v>
      </c>
      <c r="K30" s="5">
        <v>3.56</v>
      </c>
      <c r="L30" s="5">
        <v>0</v>
      </c>
      <c r="M30" s="5" t="s">
        <v>5641</v>
      </c>
      <c r="N30" s="5" t="s">
        <v>6404</v>
      </c>
      <c r="O30" s="5" t="s">
        <v>6403</v>
      </c>
      <c r="P30" s="5" t="s">
        <v>6407</v>
      </c>
      <c r="Q30" s="5" t="s">
        <v>5144</v>
      </c>
      <c r="R30" s="5" t="s">
        <v>4856</v>
      </c>
      <c r="S30" s="5" t="s">
        <v>1824</v>
      </c>
      <c r="T30" s="5" t="s">
        <v>4125</v>
      </c>
      <c r="U30" s="22">
        <v>22282</v>
      </c>
    </row>
    <row r="31" spans="1:21" ht="20.149999999999999" customHeight="1" x14ac:dyDescent="0.35">
      <c r="A31" s="3">
        <v>183</v>
      </c>
      <c r="B31" s="27" t="s">
        <v>5145</v>
      </c>
      <c r="C31" s="7">
        <v>20</v>
      </c>
      <c r="D31" s="31">
        <v>3.6</v>
      </c>
      <c r="E31" s="5">
        <v>11.13</v>
      </c>
      <c r="F31" s="5">
        <v>1.4999999999999999E-2</v>
      </c>
      <c r="G31" s="5">
        <v>70</v>
      </c>
      <c r="H31" s="5">
        <v>70</v>
      </c>
      <c r="I31" s="5">
        <v>0</v>
      </c>
      <c r="J31" s="5">
        <v>0</v>
      </c>
      <c r="K31" s="5"/>
      <c r="L31" s="5"/>
      <c r="M31" s="5" t="s">
        <v>5637</v>
      </c>
      <c r="N31" s="5" t="s">
        <v>5653</v>
      </c>
      <c r="O31" s="5" t="s">
        <v>6403</v>
      </c>
      <c r="P31" s="5"/>
      <c r="Q31" s="5" t="s">
        <v>5559</v>
      </c>
      <c r="R31" s="5" t="s">
        <v>1824</v>
      </c>
      <c r="S31" s="5" t="s">
        <v>6408</v>
      </c>
      <c r="T31" s="5" t="s">
        <v>4125</v>
      </c>
      <c r="U31" s="22">
        <v>44805</v>
      </c>
    </row>
    <row r="32" spans="1:21" ht="20.149999999999999" customHeight="1" x14ac:dyDescent="0.35">
      <c r="A32" s="3">
        <v>184</v>
      </c>
      <c r="B32" s="27" t="s">
        <v>5146</v>
      </c>
      <c r="C32" s="7">
        <v>40</v>
      </c>
      <c r="D32" s="31">
        <v>507</v>
      </c>
      <c r="E32" s="5" t="s">
        <v>6410</v>
      </c>
      <c r="F32" s="5">
        <v>1.4999999999999999E-2</v>
      </c>
      <c r="G32" s="5">
        <v>69.8</v>
      </c>
      <c r="H32" s="5">
        <v>69.8</v>
      </c>
      <c r="I32" s="5">
        <v>0</v>
      </c>
      <c r="J32" s="5">
        <v>0</v>
      </c>
      <c r="K32" s="5">
        <v>13.679</v>
      </c>
      <c r="L32" s="5">
        <v>13.679</v>
      </c>
      <c r="M32" s="5" t="s">
        <v>5641</v>
      </c>
      <c r="N32" s="5" t="s">
        <v>6404</v>
      </c>
      <c r="O32" s="5" t="s">
        <v>6403</v>
      </c>
      <c r="P32" s="5" t="s">
        <v>6409</v>
      </c>
      <c r="Q32" s="5" t="s">
        <v>5559</v>
      </c>
      <c r="R32" s="5" t="s">
        <v>4856</v>
      </c>
      <c r="S32" s="5" t="s">
        <v>1824</v>
      </c>
      <c r="T32" s="5" t="s">
        <v>4125</v>
      </c>
      <c r="U32" s="22">
        <v>27760</v>
      </c>
    </row>
    <row r="33" spans="1:21" ht="20.149999999999999" customHeight="1" x14ac:dyDescent="0.35">
      <c r="A33" s="3">
        <v>185</v>
      </c>
      <c r="B33" s="27" t="s">
        <v>5147</v>
      </c>
      <c r="C33" s="7">
        <v>40</v>
      </c>
      <c r="D33" s="31">
        <v>511</v>
      </c>
      <c r="E33" s="5" t="s">
        <v>6410</v>
      </c>
      <c r="F33" s="5">
        <v>1.4999999999999999E-2</v>
      </c>
      <c r="G33" s="5">
        <v>67</v>
      </c>
      <c r="H33" s="5">
        <v>67</v>
      </c>
      <c r="I33" s="5">
        <v>0</v>
      </c>
      <c r="J33" s="5">
        <v>0</v>
      </c>
      <c r="K33" s="5">
        <v>12.507</v>
      </c>
      <c r="L33" s="5">
        <v>12.507</v>
      </c>
      <c r="M33" s="5" t="s">
        <v>5641</v>
      </c>
      <c r="N33" s="5" t="s">
        <v>6404</v>
      </c>
      <c r="O33" s="5" t="s">
        <v>6403</v>
      </c>
      <c r="P33" s="5" t="s">
        <v>6411</v>
      </c>
      <c r="Q33" s="5" t="s">
        <v>5559</v>
      </c>
      <c r="R33" s="5" t="s">
        <v>4856</v>
      </c>
      <c r="S33" s="5" t="s">
        <v>1824</v>
      </c>
      <c r="T33" s="5" t="s">
        <v>4125</v>
      </c>
      <c r="U33" s="22">
        <v>29952</v>
      </c>
    </row>
    <row r="34" spans="1:21" ht="20.149999999999999" customHeight="1" x14ac:dyDescent="0.35">
      <c r="A34" s="3">
        <v>186</v>
      </c>
      <c r="B34" s="27" t="s">
        <v>5148</v>
      </c>
      <c r="C34" s="7">
        <v>40</v>
      </c>
      <c r="D34" s="31">
        <v>221</v>
      </c>
      <c r="E34" s="5" t="s">
        <v>6412</v>
      </c>
      <c r="F34" s="5"/>
      <c r="G34" s="5">
        <v>67</v>
      </c>
      <c r="H34" s="5"/>
      <c r="I34" s="5">
        <v>0</v>
      </c>
      <c r="J34" s="5">
        <v>0</v>
      </c>
      <c r="K34" s="5"/>
      <c r="L34" s="5"/>
      <c r="M34" s="5"/>
      <c r="N34" s="5"/>
      <c r="O34" s="5"/>
      <c r="P34" s="5"/>
      <c r="Q34" s="5"/>
      <c r="R34" s="5"/>
      <c r="S34" s="5"/>
      <c r="T34" s="5"/>
      <c r="U34" s="22"/>
    </row>
    <row r="35" spans="1:21" ht="20.149999999999999" customHeight="1" x14ac:dyDescent="0.35">
      <c r="A35" s="3">
        <v>187</v>
      </c>
      <c r="B35" s="27" t="s">
        <v>5149</v>
      </c>
      <c r="C35" s="7">
        <v>42</v>
      </c>
      <c r="D35" s="31">
        <v>517</v>
      </c>
      <c r="E35" s="5" t="s">
        <v>6413</v>
      </c>
      <c r="F35" s="5">
        <v>1.4999999999999999E-2</v>
      </c>
      <c r="G35" s="5">
        <v>65</v>
      </c>
      <c r="H35" s="5">
        <v>65</v>
      </c>
      <c r="I35" s="5">
        <v>0</v>
      </c>
      <c r="J35" s="5">
        <v>0</v>
      </c>
      <c r="K35" s="5">
        <v>14.462</v>
      </c>
      <c r="L35" s="5">
        <v>14.462</v>
      </c>
      <c r="M35" s="5" t="s">
        <v>6414</v>
      </c>
      <c r="N35" s="5" t="s">
        <v>6415</v>
      </c>
      <c r="O35" s="5" t="s">
        <v>6403</v>
      </c>
      <c r="P35" s="5" t="s">
        <v>6416</v>
      </c>
      <c r="Q35" s="5" t="s">
        <v>5559</v>
      </c>
      <c r="R35" s="5" t="s">
        <v>4856</v>
      </c>
      <c r="S35" s="5" t="s">
        <v>1824</v>
      </c>
      <c r="T35" s="5" t="s">
        <v>4125</v>
      </c>
      <c r="U35" s="22">
        <v>32509</v>
      </c>
    </row>
    <row r="36" spans="1:21" ht="20.149999999999999" customHeight="1" x14ac:dyDescent="0.35">
      <c r="A36" s="3">
        <v>188</v>
      </c>
      <c r="B36" s="27" t="s">
        <v>5150</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189</v>
      </c>
      <c r="B37" s="27" t="s">
        <v>5151</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190</v>
      </c>
      <c r="B38" s="27" t="s">
        <v>5152</v>
      </c>
      <c r="C38" s="7">
        <v>48</v>
      </c>
      <c r="D38" s="31">
        <v>513.17200000000003</v>
      </c>
      <c r="E38" s="7" t="s">
        <v>6417</v>
      </c>
      <c r="F38" s="5">
        <v>1.4999999999999999E-2</v>
      </c>
      <c r="G38" s="5">
        <v>70</v>
      </c>
      <c r="H38" s="5">
        <v>70</v>
      </c>
      <c r="I38" s="5">
        <v>0</v>
      </c>
      <c r="J38" s="5">
        <v>0</v>
      </c>
      <c r="K38" s="5"/>
      <c r="L38" s="5"/>
      <c r="M38" s="5" t="s">
        <v>6419</v>
      </c>
      <c r="N38" s="5" t="s">
        <v>5638</v>
      </c>
      <c r="O38" s="5"/>
      <c r="P38" s="5" t="s">
        <v>6418</v>
      </c>
      <c r="Q38" s="5" t="s">
        <v>5265</v>
      </c>
      <c r="R38" s="5" t="s">
        <v>4856</v>
      </c>
      <c r="S38" s="5" t="s">
        <v>1824</v>
      </c>
      <c r="T38" s="5" t="s">
        <v>4125</v>
      </c>
      <c r="U38" s="22">
        <v>39841</v>
      </c>
    </row>
    <row r="39" spans="1:21" ht="20.149999999999999" customHeight="1" x14ac:dyDescent="0.35">
      <c r="A39" s="3">
        <v>191</v>
      </c>
      <c r="B39" s="27" t="s">
        <v>5153</v>
      </c>
      <c r="C39" s="7">
        <v>48</v>
      </c>
      <c r="D39" s="31">
        <v>120.37</v>
      </c>
      <c r="E39" s="7" t="s">
        <v>6417</v>
      </c>
      <c r="F39" s="5">
        <v>1.4999999999999999E-2</v>
      </c>
      <c r="G39" s="5">
        <v>70</v>
      </c>
      <c r="H39" s="5">
        <v>45</v>
      </c>
      <c r="I39" s="5">
        <v>0</v>
      </c>
      <c r="J39" s="5">
        <v>0</v>
      </c>
      <c r="K39" s="5"/>
      <c r="L39" s="5"/>
      <c r="M39" s="5" t="s">
        <v>6419</v>
      </c>
      <c r="N39" s="5" t="s">
        <v>5638</v>
      </c>
      <c r="O39" s="5"/>
      <c r="P39" s="5" t="s">
        <v>6420</v>
      </c>
      <c r="Q39" s="5" t="s">
        <v>5265</v>
      </c>
      <c r="R39" s="5" t="s">
        <v>6421</v>
      </c>
      <c r="S39" s="5" t="s">
        <v>2048</v>
      </c>
      <c r="T39" s="5" t="s">
        <v>4125</v>
      </c>
      <c r="U39" s="22">
        <v>40284</v>
      </c>
    </row>
    <row r="40" spans="1:21" ht="20.149999999999999" customHeight="1" x14ac:dyDescent="0.35">
      <c r="A40" s="3">
        <v>192</v>
      </c>
      <c r="B40" s="27" t="s">
        <v>5154</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193</v>
      </c>
      <c r="B41" s="27" t="s">
        <v>5155</v>
      </c>
      <c r="C41" s="7">
        <v>40</v>
      </c>
      <c r="D41" s="31">
        <v>574.87</v>
      </c>
      <c r="E41" s="5" t="s">
        <v>6433</v>
      </c>
      <c r="F41" s="5">
        <v>3.5000000000000003E-2</v>
      </c>
      <c r="G41" s="5">
        <v>70</v>
      </c>
      <c r="H41" s="5">
        <v>70</v>
      </c>
      <c r="I41" s="5">
        <v>0</v>
      </c>
      <c r="J41" s="5">
        <v>0</v>
      </c>
      <c r="K41" s="5">
        <v>20.47</v>
      </c>
      <c r="L41" s="5">
        <v>20.47</v>
      </c>
      <c r="M41" s="5" t="s">
        <v>6432</v>
      </c>
      <c r="N41" s="5" t="s">
        <v>6428</v>
      </c>
      <c r="O41" s="5" t="s">
        <v>6403</v>
      </c>
      <c r="P41" s="5" t="s">
        <v>6430</v>
      </c>
      <c r="Q41" s="5" t="s">
        <v>5563</v>
      </c>
      <c r="R41" s="5" t="s">
        <v>4856</v>
      </c>
      <c r="S41" s="5" t="s">
        <v>1012</v>
      </c>
      <c r="T41" s="5" t="s">
        <v>4133</v>
      </c>
      <c r="U41" s="22">
        <v>25934</v>
      </c>
    </row>
    <row r="42" spans="1:21" ht="20.149999999999999" customHeight="1" x14ac:dyDescent="0.35">
      <c r="A42" s="3">
        <v>194</v>
      </c>
      <c r="B42" s="27" t="s">
        <v>5156</v>
      </c>
      <c r="C42" s="7">
        <v>42</v>
      </c>
      <c r="D42" s="31">
        <v>575.54499999999996</v>
      </c>
      <c r="E42" s="5"/>
      <c r="F42" s="5">
        <v>1.4999999999999999E-2</v>
      </c>
      <c r="G42" s="5">
        <v>70</v>
      </c>
      <c r="H42" s="5">
        <v>70</v>
      </c>
      <c r="I42" s="5">
        <v>0</v>
      </c>
      <c r="J42" s="5">
        <v>0</v>
      </c>
      <c r="K42" s="5">
        <v>20.47</v>
      </c>
      <c r="L42" s="5">
        <v>20.47</v>
      </c>
      <c r="M42" s="5" t="s">
        <v>6429</v>
      </c>
      <c r="N42" s="5" t="s">
        <v>6428</v>
      </c>
      <c r="O42" s="5" t="s">
        <v>6403</v>
      </c>
      <c r="P42" s="5" t="s">
        <v>6431</v>
      </c>
      <c r="Q42" s="5" t="s">
        <v>5563</v>
      </c>
      <c r="R42" s="5" t="s">
        <v>4856</v>
      </c>
      <c r="S42" s="5" t="s">
        <v>1012</v>
      </c>
      <c r="T42" s="5" t="s">
        <v>4133</v>
      </c>
      <c r="U42" s="22">
        <v>35796</v>
      </c>
    </row>
    <row r="43" spans="1:21" ht="20.149999999999999" customHeight="1" x14ac:dyDescent="0.35">
      <c r="A43" s="3">
        <v>195</v>
      </c>
      <c r="B43" s="27" t="s">
        <v>5157</v>
      </c>
      <c r="C43" s="7"/>
      <c r="D43" s="31"/>
      <c r="E43" s="5"/>
      <c r="F43" s="5"/>
      <c r="G43" s="5"/>
      <c r="H43" s="5"/>
      <c r="I43" s="5"/>
      <c r="J43" s="5"/>
      <c r="K43" s="5">
        <v>9.66</v>
      </c>
      <c r="L43" s="5">
        <v>9.66</v>
      </c>
      <c r="M43" s="5"/>
      <c r="N43" s="5"/>
      <c r="O43" s="5"/>
      <c r="P43" s="5"/>
      <c r="Q43" s="5"/>
      <c r="R43" s="5"/>
      <c r="S43" s="5"/>
      <c r="T43" s="5"/>
      <c r="U43" s="22"/>
    </row>
    <row r="44" spans="1:21" ht="20.149999999999999" customHeight="1" x14ac:dyDescent="0.35">
      <c r="A44" s="3">
        <v>196</v>
      </c>
      <c r="B44" s="27" t="s">
        <v>5158</v>
      </c>
      <c r="C44" s="7">
        <v>48</v>
      </c>
      <c r="D44" s="31">
        <v>87</v>
      </c>
      <c r="E44" s="5" t="s">
        <v>6434</v>
      </c>
      <c r="F44" s="5">
        <v>1.4999999999999999E-2</v>
      </c>
      <c r="G44" s="5">
        <v>71.5</v>
      </c>
      <c r="H44" s="5"/>
      <c r="I44" s="5"/>
      <c r="J44" s="5"/>
      <c r="K44" s="5"/>
      <c r="L44" s="5"/>
      <c r="M44" s="5" t="s">
        <v>6423</v>
      </c>
      <c r="N44" s="5"/>
      <c r="O44" s="5"/>
      <c r="P44" s="5"/>
      <c r="Q44" s="5"/>
      <c r="R44" s="5"/>
      <c r="S44" s="5"/>
      <c r="T44" s="5"/>
      <c r="U44" s="22"/>
    </row>
    <row r="45" spans="1:21" ht="20.149999999999999" customHeight="1" x14ac:dyDescent="0.35">
      <c r="A45" s="3">
        <v>197</v>
      </c>
      <c r="B45" s="27" t="s">
        <v>5159</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198</v>
      </c>
      <c r="B46" s="27" t="s">
        <v>5160</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199</v>
      </c>
      <c r="B47" s="27" t="s">
        <v>5161</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200</v>
      </c>
      <c r="B48" s="27" t="s">
        <v>5162</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201</v>
      </c>
      <c r="B49" s="27" t="s">
        <v>5163</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202</v>
      </c>
      <c r="B50" s="27" t="s">
        <v>5164</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203</v>
      </c>
      <c r="B51" s="27" t="s">
        <v>5165</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204</v>
      </c>
      <c r="B52" s="27" t="s">
        <v>5166</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205</v>
      </c>
      <c r="B53" s="27" t="s">
        <v>5167</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206</v>
      </c>
      <c r="B54" s="27" t="s">
        <v>5168</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207</v>
      </c>
      <c r="B55" s="27" t="s">
        <v>4153</v>
      </c>
      <c r="C55" s="7">
        <v>48</v>
      </c>
      <c r="D55" s="31">
        <v>521</v>
      </c>
      <c r="E55" s="5" t="s">
        <v>6422</v>
      </c>
      <c r="F55" s="5">
        <v>1.4999999999999999E-2</v>
      </c>
      <c r="G55" s="5">
        <v>71</v>
      </c>
      <c r="H55" s="5">
        <v>50.81</v>
      </c>
      <c r="I55" s="5">
        <v>0</v>
      </c>
      <c r="J55" s="5">
        <v>0</v>
      </c>
      <c r="K55" s="5">
        <v>11.47</v>
      </c>
      <c r="L55" s="5">
        <v>11.47</v>
      </c>
      <c r="M55" s="5" t="s">
        <v>6423</v>
      </c>
      <c r="N55" s="5" t="s">
        <v>6424</v>
      </c>
      <c r="O55" s="5" t="s">
        <v>6403</v>
      </c>
      <c r="P55" s="5" t="s">
        <v>6393</v>
      </c>
      <c r="Q55" s="5" t="s">
        <v>6425</v>
      </c>
      <c r="R55" s="5" t="s">
        <v>4856</v>
      </c>
      <c r="S55" s="5" t="s">
        <v>6426</v>
      </c>
      <c r="T55" s="5" t="s">
        <v>4153</v>
      </c>
      <c r="U55" s="22">
        <v>35065</v>
      </c>
    </row>
    <row r="56" spans="1:21" ht="20.149999999999999" customHeight="1" x14ac:dyDescent="0.35">
      <c r="A56" s="3">
        <v>208</v>
      </c>
      <c r="B56" s="27" t="s">
        <v>5169</v>
      </c>
      <c r="C56" s="7">
        <v>48</v>
      </c>
      <c r="D56" s="31">
        <v>198</v>
      </c>
      <c r="E56" s="5" t="s">
        <v>6427</v>
      </c>
      <c r="F56" s="5"/>
      <c r="G56" s="5">
        <v>70</v>
      </c>
      <c r="H56" s="5"/>
      <c r="I56" s="5"/>
      <c r="J56" s="5"/>
      <c r="K56" s="5">
        <v>9</v>
      </c>
      <c r="L56" s="5">
        <v>9</v>
      </c>
      <c r="M56" s="5"/>
      <c r="N56" s="5"/>
      <c r="O56" s="5"/>
      <c r="P56" s="5" t="s">
        <v>6400</v>
      </c>
      <c r="Q56" s="5" t="s">
        <v>6425</v>
      </c>
      <c r="R56" s="5" t="s">
        <v>6426</v>
      </c>
      <c r="S56" s="5" t="s">
        <v>2048</v>
      </c>
      <c r="T56" s="5" t="s">
        <v>4153</v>
      </c>
      <c r="U56" s="22">
        <v>44197</v>
      </c>
    </row>
    <row r="57" spans="1:21" ht="20.149999999999999" customHeight="1" x14ac:dyDescent="0.35">
      <c r="A57" s="3">
        <v>209</v>
      </c>
      <c r="B57" s="27" t="s">
        <v>5170</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210</v>
      </c>
      <c r="B58" s="27" t="s">
        <v>5171</v>
      </c>
      <c r="C58" s="7"/>
      <c r="D58" s="31"/>
      <c r="E58" s="5"/>
      <c r="F58" s="5"/>
      <c r="G58" s="5"/>
      <c r="H58" s="5"/>
      <c r="I58" s="5"/>
      <c r="J58" s="5"/>
      <c r="K58" s="5"/>
      <c r="L58" s="5"/>
      <c r="M58" s="5"/>
      <c r="N58" s="5"/>
      <c r="O58" s="5"/>
      <c r="P58" s="5"/>
      <c r="Q58" s="5"/>
      <c r="R58" s="5"/>
      <c r="S58" s="5"/>
      <c r="T58" s="5"/>
      <c r="U58" s="22"/>
    </row>
    <row r="59" spans="1:21" ht="20.149999999999999" customHeight="1" x14ac:dyDescent="0.35">
      <c r="A59" s="3">
        <v>211</v>
      </c>
      <c r="B59" s="27" t="s">
        <v>5172</v>
      </c>
      <c r="C59" s="7"/>
      <c r="D59" s="31"/>
      <c r="E59" s="5"/>
      <c r="F59" s="5"/>
      <c r="G59" s="5"/>
      <c r="H59" s="5"/>
      <c r="I59" s="5"/>
      <c r="J59" s="5"/>
      <c r="K59" s="5"/>
      <c r="L59" s="5"/>
      <c r="M59" s="5"/>
      <c r="N59" s="5"/>
      <c r="O59" s="5"/>
      <c r="P59" s="5"/>
      <c r="Q59" s="5"/>
      <c r="R59" s="5"/>
      <c r="S59" s="5"/>
      <c r="T59" s="5"/>
      <c r="U59"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theme="7" tint="0.79998168889431442"/>
  </sheetPr>
  <dimension ref="A1:C89"/>
  <sheetViews>
    <sheetView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4798</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C41" sqref="C41"/>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8DF22-AA7F-4874-BC3B-6F151C934504}">
  <dimension ref="A1:H16"/>
  <sheetViews>
    <sheetView topLeftCell="A10" workbookViewId="0">
      <selection activeCell="C15" sqref="C15"/>
    </sheetView>
  </sheetViews>
  <sheetFormatPr baseColWidth="10" defaultRowHeight="14.5" x14ac:dyDescent="0.35"/>
  <cols>
    <col min="1" max="1" width="29.453125" customWidth="1"/>
    <col min="2" max="2" width="10.6328125" bestFit="1" customWidth="1"/>
    <col min="3" max="3" width="24.54296875" customWidth="1"/>
    <col min="4" max="4" width="7.36328125" bestFit="1" customWidth="1"/>
    <col min="5" max="5" width="16.90625" customWidth="1"/>
    <col min="6" max="6" width="9.6328125" bestFit="1" customWidth="1"/>
    <col min="7" max="7" width="20.81640625" customWidth="1"/>
    <col min="8" max="8" width="19.81640625" customWidth="1"/>
  </cols>
  <sheetData>
    <row r="1" spans="1:8" ht="28.5" thickBot="1" x14ac:dyDescent="0.4">
      <c r="A1" s="32" t="s">
        <v>6339</v>
      </c>
      <c r="B1" s="32" t="s">
        <v>6340</v>
      </c>
      <c r="C1" s="32" t="s">
        <v>6341</v>
      </c>
      <c r="D1" s="32" t="s">
        <v>6342</v>
      </c>
      <c r="E1" s="32" t="s">
        <v>6343</v>
      </c>
      <c r="F1" s="32" t="s">
        <v>6344</v>
      </c>
      <c r="G1" s="32" t="s">
        <v>6345</v>
      </c>
      <c r="H1" s="32" t="s">
        <v>6346</v>
      </c>
    </row>
    <row r="2" spans="1:8" ht="28.5" thickBot="1" x14ac:dyDescent="0.4">
      <c r="A2" s="33" t="s">
        <v>6347</v>
      </c>
      <c r="B2" s="34" t="s">
        <v>6321</v>
      </c>
      <c r="C2" s="34" t="s">
        <v>6348</v>
      </c>
      <c r="D2" s="34" t="s">
        <v>6349</v>
      </c>
      <c r="E2" s="34" t="s">
        <v>6350</v>
      </c>
      <c r="F2" s="34" t="s">
        <v>6351</v>
      </c>
      <c r="G2" s="34" t="s">
        <v>6352</v>
      </c>
      <c r="H2" s="34" t="s">
        <v>6353</v>
      </c>
    </row>
    <row r="3" spans="1:8" ht="28.5" thickBot="1" x14ac:dyDescent="0.4">
      <c r="A3" s="33" t="s">
        <v>6347</v>
      </c>
      <c r="B3" s="34" t="s">
        <v>6320</v>
      </c>
      <c r="C3" s="34" t="s">
        <v>6354</v>
      </c>
      <c r="D3" s="34" t="s">
        <v>6355</v>
      </c>
      <c r="E3" s="34" t="s">
        <v>6350</v>
      </c>
      <c r="F3" s="34" t="s">
        <v>6351</v>
      </c>
      <c r="G3" s="34" t="s">
        <v>6352</v>
      </c>
      <c r="H3" s="34" t="s">
        <v>6353</v>
      </c>
    </row>
    <row r="4" spans="1:8" ht="42.5" thickBot="1" x14ac:dyDescent="0.4">
      <c r="A4" s="33" t="s">
        <v>6347</v>
      </c>
      <c r="B4" s="34" t="s">
        <v>6356</v>
      </c>
      <c r="C4" s="34" t="s">
        <v>6357</v>
      </c>
      <c r="D4" s="34" t="s">
        <v>6358</v>
      </c>
      <c r="E4" s="34" t="s">
        <v>6350</v>
      </c>
      <c r="F4" s="34" t="s">
        <v>6351</v>
      </c>
      <c r="G4" s="34" t="s">
        <v>6352</v>
      </c>
      <c r="H4" s="34" t="s">
        <v>6353</v>
      </c>
    </row>
    <row r="5" spans="1:8" ht="28.5" thickBot="1" x14ac:dyDescent="0.4">
      <c r="A5" s="33" t="s">
        <v>6347</v>
      </c>
      <c r="B5" s="34" t="s">
        <v>6319</v>
      </c>
      <c r="C5" s="34" t="s">
        <v>6359</v>
      </c>
      <c r="D5" s="34" t="s">
        <v>6349</v>
      </c>
      <c r="E5" s="34" t="s">
        <v>6350</v>
      </c>
      <c r="F5" s="34" t="s">
        <v>6351</v>
      </c>
      <c r="G5" s="34" t="s">
        <v>6352</v>
      </c>
      <c r="H5" s="34" t="s">
        <v>6353</v>
      </c>
    </row>
    <row r="6" spans="1:8" ht="42.5" thickBot="1" x14ac:dyDescent="0.4">
      <c r="A6" s="33" t="s">
        <v>6347</v>
      </c>
      <c r="B6" s="34" t="s">
        <v>6360</v>
      </c>
      <c r="C6" s="34" t="s">
        <v>6361</v>
      </c>
      <c r="D6" s="34" t="s">
        <v>6362</v>
      </c>
      <c r="E6" s="34" t="s">
        <v>6350</v>
      </c>
      <c r="F6" s="34" t="s">
        <v>6363</v>
      </c>
      <c r="G6" s="34" t="s">
        <v>6352</v>
      </c>
      <c r="H6" s="34" t="s">
        <v>6353</v>
      </c>
    </row>
    <row r="7" spans="1:8" ht="42.5" thickBot="1" x14ac:dyDescent="0.4">
      <c r="A7" s="33" t="s">
        <v>6347</v>
      </c>
      <c r="B7" s="34" t="s">
        <v>6364</v>
      </c>
      <c r="C7" s="34" t="s">
        <v>6365</v>
      </c>
      <c r="D7" s="34" t="s">
        <v>6362</v>
      </c>
      <c r="E7" s="34" t="s">
        <v>6350</v>
      </c>
      <c r="F7" s="34" t="s">
        <v>6363</v>
      </c>
      <c r="G7" s="34" t="s">
        <v>6352</v>
      </c>
      <c r="H7" s="34" t="s">
        <v>6353</v>
      </c>
    </row>
    <row r="8" spans="1:8" ht="28.5" thickBot="1" x14ac:dyDescent="0.4">
      <c r="A8" s="33" t="s">
        <v>6366</v>
      </c>
      <c r="B8" s="34" t="s">
        <v>6324</v>
      </c>
      <c r="C8" s="34" t="s">
        <v>6367</v>
      </c>
      <c r="D8" s="34" t="s">
        <v>6368</v>
      </c>
      <c r="E8" s="34" t="s">
        <v>6350</v>
      </c>
      <c r="F8" s="34" t="s">
        <v>6351</v>
      </c>
      <c r="G8" s="34" t="s">
        <v>6352</v>
      </c>
      <c r="H8" s="34" t="s">
        <v>6369</v>
      </c>
    </row>
    <row r="9" spans="1:8" ht="28.5" thickBot="1" x14ac:dyDescent="0.4">
      <c r="A9" s="33" t="s">
        <v>6366</v>
      </c>
      <c r="B9" s="34" t="s">
        <v>5539</v>
      </c>
      <c r="C9" s="34" t="s">
        <v>6370</v>
      </c>
      <c r="D9" s="34" t="s">
        <v>6371</v>
      </c>
      <c r="E9" s="34" t="s">
        <v>6350</v>
      </c>
      <c r="F9" s="34" t="s">
        <v>6351</v>
      </c>
      <c r="G9" s="34" t="s">
        <v>6352</v>
      </c>
      <c r="H9" s="34" t="s">
        <v>6369</v>
      </c>
    </row>
    <row r="10" spans="1:8" ht="28.5" thickBot="1" x14ac:dyDescent="0.4">
      <c r="A10" s="33" t="s">
        <v>6366</v>
      </c>
      <c r="B10" s="34" t="s">
        <v>5495</v>
      </c>
      <c r="C10" s="34" t="s">
        <v>6372</v>
      </c>
      <c r="D10" s="34" t="s">
        <v>6373</v>
      </c>
      <c r="E10" s="34" t="s">
        <v>6350</v>
      </c>
      <c r="F10" s="34" t="s">
        <v>6351</v>
      </c>
      <c r="G10" s="34" t="s">
        <v>6352</v>
      </c>
      <c r="H10" s="34" t="s">
        <v>6369</v>
      </c>
    </row>
    <row r="11" spans="1:8" ht="42.5" thickBot="1" x14ac:dyDescent="0.4">
      <c r="A11" s="33" t="s">
        <v>6374</v>
      </c>
      <c r="B11" s="34" t="s">
        <v>6317</v>
      </c>
      <c r="C11" s="34" t="s">
        <v>6375</v>
      </c>
      <c r="D11" s="34" t="s">
        <v>6376</v>
      </c>
      <c r="E11" s="34" t="s">
        <v>6350</v>
      </c>
      <c r="F11" s="34" t="s">
        <v>6351</v>
      </c>
      <c r="G11" s="34" t="s">
        <v>6377</v>
      </c>
      <c r="H11" s="33" t="s">
        <v>6378</v>
      </c>
    </row>
    <row r="12" spans="1:8" ht="28.5" thickBot="1" x14ac:dyDescent="0.4">
      <c r="A12" s="33" t="s">
        <v>6374</v>
      </c>
      <c r="B12" s="34" t="s">
        <v>6304</v>
      </c>
      <c r="C12" s="34" t="s">
        <v>6379</v>
      </c>
      <c r="D12" s="34" t="s">
        <v>6380</v>
      </c>
      <c r="E12" s="34" t="s">
        <v>6350</v>
      </c>
      <c r="F12" s="34" t="s">
        <v>6351</v>
      </c>
      <c r="G12" s="34" t="s">
        <v>6352</v>
      </c>
      <c r="H12" s="34" t="s">
        <v>6353</v>
      </c>
    </row>
    <row r="13" spans="1:8" ht="28.5" thickBot="1" x14ac:dyDescent="0.4">
      <c r="A13" s="33" t="s">
        <v>6374</v>
      </c>
      <c r="B13" s="34" t="s">
        <v>6303</v>
      </c>
      <c r="C13" s="34" t="s">
        <v>6381</v>
      </c>
      <c r="D13" s="34" t="s">
        <v>6380</v>
      </c>
      <c r="E13" s="34" t="s">
        <v>6350</v>
      </c>
      <c r="F13" s="34" t="s">
        <v>6351</v>
      </c>
      <c r="G13" s="34" t="s">
        <v>6352</v>
      </c>
      <c r="H13" s="34" t="s">
        <v>6353</v>
      </c>
    </row>
    <row r="14" spans="1:8" ht="42.5" thickBot="1" x14ac:dyDescent="0.4">
      <c r="A14" s="33" t="s">
        <v>6382</v>
      </c>
      <c r="B14" s="34" t="s">
        <v>4711</v>
      </c>
      <c r="C14" s="34" t="s">
        <v>6383</v>
      </c>
      <c r="D14" s="34" t="s">
        <v>6384</v>
      </c>
      <c r="E14" s="34" t="s">
        <v>6350</v>
      </c>
      <c r="F14" s="34" t="s">
        <v>6351</v>
      </c>
      <c r="G14" s="34" t="s">
        <v>6377</v>
      </c>
      <c r="H14" s="33" t="s">
        <v>6378</v>
      </c>
    </row>
    <row r="15" spans="1:8" ht="42.5" thickBot="1" x14ac:dyDescent="0.4">
      <c r="A15" s="33" t="s">
        <v>6382</v>
      </c>
      <c r="B15" s="34" t="s">
        <v>5746</v>
      </c>
      <c r="C15" s="34" t="s">
        <v>6385</v>
      </c>
      <c r="D15" s="34" t="s">
        <v>6386</v>
      </c>
      <c r="E15" s="34" t="s">
        <v>6350</v>
      </c>
      <c r="F15" s="34" t="s">
        <v>6351</v>
      </c>
      <c r="G15" s="34" t="s">
        <v>6352</v>
      </c>
      <c r="H15" s="34" t="s">
        <v>6387</v>
      </c>
    </row>
    <row r="16" spans="1:8" ht="42.5" thickBot="1" x14ac:dyDescent="0.4">
      <c r="A16" s="33" t="s">
        <v>6382</v>
      </c>
      <c r="B16" s="34" t="s">
        <v>6388</v>
      </c>
      <c r="C16" s="34" t="s">
        <v>6389</v>
      </c>
      <c r="D16" s="34" t="s">
        <v>6368</v>
      </c>
      <c r="E16" s="34" t="s">
        <v>6350</v>
      </c>
      <c r="F16" s="34" t="s">
        <v>6351</v>
      </c>
      <c r="G16" s="34" t="s">
        <v>6352</v>
      </c>
      <c r="H16" s="34" t="s">
        <v>6369</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51</vt:i4>
      </vt:variant>
      <vt:variant>
        <vt:lpstr>Plages nommées</vt:lpstr>
      </vt:variant>
      <vt:variant>
        <vt:i4>1</vt:i4>
      </vt:variant>
    </vt:vector>
  </HeadingPairs>
  <TitlesOfParts>
    <vt:vector size="52"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Feuil2</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2026-01-17T01:37:59Z</dcterms:modified>
</cp:coreProperties>
</file>