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CF7D6762-5124-4FE7-ABA4-1F602922C14F}" xr6:coauthVersionLast="47" xr6:coauthVersionMax="47" xr10:uidLastSave="{00000000-0000-0000-0000-000000000000}"/>
  <bookViews>
    <workbookView xWindow="-110" yWindow="-110" windowWidth="19420" windowHeight="10420" firstSheet="3" activeTab="5"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Feuil3" sheetId="67" r:id="rId32"/>
    <sheet name="02-03-01" sheetId="37" r:id="rId33"/>
    <sheet name="02-03-02" sheetId="40" r:id="rId34"/>
    <sheet name="02-03-03" sheetId="41" r:id="rId35"/>
    <sheet name="020303-020308" sheetId="57" r:id="rId36"/>
    <sheet name="02-03-04" sheetId="43" r:id="rId37"/>
    <sheet name="020304-020302" sheetId="59" r:id="rId38"/>
    <sheet name="020304-020308" sheetId="58" r:id="rId39"/>
    <sheet name="02-03-05" sheetId="44" r:id="rId40"/>
    <sheet name="020305-020201" sheetId="62" r:id="rId41"/>
    <sheet name="020305-020204" sheetId="61" r:id="rId42"/>
    <sheet name="020305-020308" sheetId="60" r:id="rId43"/>
    <sheet name="02-03-06" sheetId="45" r:id="rId44"/>
    <sheet name="020306-020201" sheetId="63" r:id="rId45"/>
    <sheet name="020306-020204" sheetId="64" r:id="rId46"/>
    <sheet name="02-03-07" sheetId="42" r:id="rId47"/>
    <sheet name="02-03-08" sheetId="46" r:id="rId48"/>
    <sheet name="020308-010206" sheetId="65" r:id="rId49"/>
    <sheet name="Feuil7" sheetId="38" r:id="rId50"/>
    <sheet name="Feuil1" sheetId="39" r:id="rId51"/>
    <sheet name="Feuil2" sheetId="66" r:id="rId52"/>
    <sheet name="03-02-07" sheetId="69" r:id="rId53"/>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'00-02-03'!$A$2:$B$15</definedName>
    <definedName name="_xlnm._FilterDatabase" localSheetId="6" hidden="1">'000203-000204'!$A$2:$B$96</definedName>
    <definedName name="_xlnm._FilterDatabase" localSheetId="7" hidden="1">'00-02-04'!$A$2:$F$61</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2" hidden="1">'02-03-01'!$A$2:$H$176</definedName>
    <definedName name="_xlnm._FilterDatabase" localSheetId="33" hidden="1">'02-03-02'!$A$2:$D$157</definedName>
    <definedName name="_xlnm._FilterDatabase" localSheetId="34" hidden="1">'02-03-03'!$A$2:$D$89</definedName>
    <definedName name="_xlnm._FilterDatabase" localSheetId="35" hidden="1">'020303-020308'!$A$2:$C$89</definedName>
    <definedName name="_xlnm._FilterDatabase" localSheetId="36" hidden="1">'02-03-04'!$A$2:$C$36</definedName>
    <definedName name="_xlnm._FilterDatabase" localSheetId="37" hidden="1">'020304-020302'!$A$2:$C$89</definedName>
    <definedName name="_xlnm._FilterDatabase" localSheetId="38" hidden="1">'020304-020308'!$A$2:$C$89</definedName>
    <definedName name="_xlnm._FilterDatabase" localSheetId="39" hidden="1">'02-03-05'!$A$2:$D$36</definedName>
    <definedName name="_xlnm._FilterDatabase" localSheetId="40" hidden="1">'020305-020201'!$A$2:$C$89</definedName>
    <definedName name="_xlnm._FilterDatabase" localSheetId="41" hidden="1">'020305-020204'!$A$2:$C$89</definedName>
    <definedName name="_xlnm._FilterDatabase" localSheetId="42" hidden="1">'020305-020308'!$A$2:$C$89</definedName>
    <definedName name="_xlnm._FilterDatabase" localSheetId="43" hidden="1">'02-03-06'!$A$2:$E$36</definedName>
    <definedName name="_xlnm._FilterDatabase" localSheetId="44" hidden="1">'020306-020201'!$A$2:$C$89</definedName>
    <definedName name="_xlnm._FilterDatabase" localSheetId="45" hidden="1">'020306-020204'!$A$2:$C$89</definedName>
    <definedName name="_xlnm._FilterDatabase" localSheetId="46" hidden="1">'02-03-07'!$A$2:$F$24</definedName>
    <definedName name="_xlnm._FilterDatabase" localSheetId="47" hidden="1">'02-03-08'!$A$1:$AC$59</definedName>
    <definedName name="_xlnm._FilterDatabase" localSheetId="48" hidden="1">'020308-010206'!$A$2:$C$89</definedName>
    <definedName name="_xlnm._FilterDatabase" localSheetId="52" hidden="1">'03-02-07'!$A$2:$G$14</definedName>
    <definedName name="_xlnm._FilterDatabase" localSheetId="31" hidden="1">Feuil3!$D$2:$G$32</definedName>
    <definedName name="_xlnm._FilterDatabase" localSheetId="49" hidden="1">Feuil7!$A$1:$H$34</definedName>
    <definedName name="Algerian_Hydrocarbon_Pipelines_Integrated" localSheetId="50">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1" i="50" l="1"/>
  <c r="D40" i="50"/>
  <c r="D39" i="50"/>
  <c r="D38" i="50"/>
  <c r="D37" i="50"/>
  <c r="D36" i="50"/>
  <c r="D35" i="50"/>
  <c r="D34" i="50"/>
  <c r="D33" i="50"/>
  <c r="D32" i="50"/>
  <c r="D31" i="50"/>
  <c r="D30" i="50"/>
  <c r="D29" i="50"/>
  <c r="D28" i="50"/>
  <c r="D27" i="50"/>
  <c r="D26" i="50"/>
  <c r="D25" i="50"/>
  <c r="D24" i="50"/>
  <c r="D23" i="50"/>
  <c r="D22" i="50"/>
  <c r="D21" i="50"/>
  <c r="D20" i="50"/>
  <c r="D19" i="50"/>
  <c r="D18" i="50"/>
  <c r="D17" i="50"/>
  <c r="D16" i="50"/>
  <c r="D4" i="50"/>
  <c r="D5" i="50"/>
  <c r="D6" i="50"/>
  <c r="D7" i="50"/>
  <c r="D8" i="50"/>
  <c r="D9" i="50"/>
  <c r="D10" i="50"/>
  <c r="D11" i="50"/>
  <c r="D12" i="50"/>
  <c r="D13" i="50"/>
  <c r="D14" i="50"/>
  <c r="D15" i="50"/>
  <c r="D3" i="50"/>
  <c r="F5" i="51"/>
  <c r="F6" i="51"/>
  <c r="F7" i="51"/>
  <c r="F12" i="51"/>
  <c r="F17" i="51"/>
  <c r="F18" i="51"/>
  <c r="F19" i="51"/>
  <c r="F24" i="51"/>
  <c r="F29" i="51"/>
  <c r="F30" i="51"/>
  <c r="F31" i="51"/>
  <c r="F36" i="51"/>
  <c r="F41" i="51"/>
  <c r="F42" i="51"/>
  <c r="F43" i="51"/>
  <c r="F48" i="51"/>
  <c r="F53" i="51"/>
  <c r="F54" i="51"/>
  <c r="F55" i="51"/>
  <c r="F60"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97" i="51"/>
  <c r="F98" i="51"/>
  <c r="F99" i="51"/>
  <c r="F100" i="51"/>
  <c r="F101" i="51"/>
  <c r="F102" i="51"/>
  <c r="F103" i="51"/>
  <c r="F104" i="51"/>
  <c r="F105" i="51"/>
  <c r="F106" i="51"/>
  <c r="F107" i="51"/>
  <c r="F108" i="51"/>
  <c r="F109" i="51"/>
  <c r="F110" i="51"/>
  <c r="F111" i="51"/>
  <c r="F112" i="51"/>
  <c r="F113" i="51"/>
  <c r="F114" i="51"/>
  <c r="F115" i="51"/>
  <c r="F116" i="51"/>
  <c r="F117" i="51"/>
  <c r="F118" i="51"/>
  <c r="F119" i="51"/>
  <c r="F120" i="51"/>
  <c r="F121" i="51"/>
  <c r="F122" i="51"/>
  <c r="F123" i="51"/>
  <c r="F124" i="51"/>
  <c r="F125" i="51"/>
  <c r="F126" i="51"/>
  <c r="F127" i="51"/>
  <c r="F128" i="51"/>
  <c r="F129" i="51"/>
  <c r="F130" i="51"/>
  <c r="F131" i="51"/>
  <c r="F132" i="51"/>
  <c r="F133" i="51"/>
  <c r="F134" i="51"/>
  <c r="F135" i="51"/>
  <c r="F136" i="51"/>
  <c r="F137" i="51"/>
  <c r="F138" i="51"/>
  <c r="F139" i="51"/>
  <c r="F140" i="51"/>
  <c r="F141" i="51"/>
  <c r="F142" i="51"/>
  <c r="F143" i="51"/>
  <c r="F144" i="51"/>
  <c r="F145" i="51"/>
  <c r="F146" i="51"/>
  <c r="F147" i="51"/>
  <c r="F148" i="51"/>
  <c r="F149" i="51"/>
  <c r="F150" i="51"/>
  <c r="F151" i="51"/>
  <c r="F152" i="51"/>
  <c r="F153" i="51"/>
  <c r="F154" i="51"/>
  <c r="F155" i="51"/>
  <c r="F156" i="51"/>
  <c r="F157" i="51"/>
  <c r="F158" i="51"/>
  <c r="F159" i="51"/>
  <c r="F160" i="51"/>
  <c r="F161" i="51"/>
  <c r="F162" i="51"/>
  <c r="F163" i="51"/>
  <c r="F164" i="51"/>
  <c r="F165" i="51"/>
  <c r="F166" i="51"/>
  <c r="F167" i="51"/>
  <c r="F168" i="51"/>
  <c r="F169" i="51"/>
  <c r="F170" i="51"/>
  <c r="F171" i="51"/>
  <c r="F172" i="51"/>
  <c r="F173" i="51"/>
  <c r="F174" i="51"/>
  <c r="F175" i="51"/>
  <c r="F176" i="51"/>
  <c r="F177" i="51"/>
  <c r="F178" i="51"/>
  <c r="F179" i="51"/>
  <c r="C62" i="51"/>
  <c r="C63" i="51"/>
  <c r="C64" i="51"/>
  <c r="C65" i="51"/>
  <c r="C66" i="51"/>
  <c r="C67" i="51"/>
  <c r="C68" i="51"/>
  <c r="C69" i="51"/>
  <c r="C70" i="51"/>
  <c r="C71" i="51"/>
  <c r="C72" i="51"/>
  <c r="C73" i="51"/>
  <c r="C74" i="51"/>
  <c r="C75" i="51"/>
  <c r="C76" i="51"/>
  <c r="C77" i="51"/>
  <c r="C78" i="51"/>
  <c r="C79" i="51"/>
  <c r="C80" i="51"/>
  <c r="C81" i="51"/>
  <c r="C82" i="51"/>
  <c r="C83" i="51"/>
  <c r="C84" i="51"/>
  <c r="C85" i="51"/>
  <c r="C86" i="51"/>
  <c r="C87" i="51"/>
  <c r="C88" i="51"/>
  <c r="C89" i="51"/>
  <c r="C90" i="51"/>
  <c r="C91" i="51"/>
  <c r="C92" i="51"/>
  <c r="C93" i="51"/>
  <c r="C94" i="51"/>
  <c r="C95" i="51"/>
  <c r="C96" i="51"/>
  <c r="C97" i="51"/>
  <c r="C98" i="51"/>
  <c r="C99" i="51"/>
  <c r="C100" i="51"/>
  <c r="C101" i="51"/>
  <c r="C102" i="51"/>
  <c r="C103" i="51"/>
  <c r="C104" i="51"/>
  <c r="C105" i="51"/>
  <c r="C106" i="51"/>
  <c r="C107" i="51"/>
  <c r="C108" i="51"/>
  <c r="C109" i="51"/>
  <c r="C110" i="51"/>
  <c r="C111" i="51"/>
  <c r="C112" i="51"/>
  <c r="C113" i="51"/>
  <c r="C114" i="51"/>
  <c r="C115" i="51"/>
  <c r="C116" i="51"/>
  <c r="C117" i="51"/>
  <c r="C118" i="51"/>
  <c r="C119" i="51"/>
  <c r="C120" i="51"/>
  <c r="C122" i="51"/>
  <c r="C123" i="51"/>
  <c r="C124" i="51"/>
  <c r="C125" i="51"/>
  <c r="C126" i="51"/>
  <c r="C127" i="51"/>
  <c r="C128" i="51"/>
  <c r="C129" i="51"/>
  <c r="C130" i="51"/>
  <c r="C131" i="51"/>
  <c r="C132" i="51"/>
  <c r="C133" i="51"/>
  <c r="C134" i="51"/>
  <c r="C135" i="51"/>
  <c r="C136" i="51"/>
  <c r="C137" i="51"/>
  <c r="C138" i="51"/>
  <c r="C139" i="51"/>
  <c r="C140" i="51"/>
  <c r="C141" i="51"/>
  <c r="C142" i="51"/>
  <c r="C143" i="51"/>
  <c r="C144" i="51"/>
  <c r="C145" i="51"/>
  <c r="C146" i="51"/>
  <c r="C147" i="51"/>
  <c r="C148" i="51"/>
  <c r="C149" i="51"/>
  <c r="C150" i="51"/>
  <c r="C151" i="51"/>
  <c r="C152" i="51"/>
  <c r="C153" i="51"/>
  <c r="C154" i="51"/>
  <c r="C155" i="51"/>
  <c r="C156" i="51"/>
  <c r="C157" i="51"/>
  <c r="C158" i="51"/>
  <c r="C159" i="51"/>
  <c r="C160" i="51"/>
  <c r="C161" i="51"/>
  <c r="C162" i="51"/>
  <c r="C163" i="51"/>
  <c r="C164" i="51"/>
  <c r="C165" i="51"/>
  <c r="C166" i="51"/>
  <c r="C167" i="51"/>
  <c r="C168" i="51"/>
  <c r="C169" i="51"/>
  <c r="C170" i="51"/>
  <c r="C171" i="51"/>
  <c r="C172" i="51"/>
  <c r="C173" i="51"/>
  <c r="C174" i="51"/>
  <c r="C175" i="51"/>
  <c r="C176" i="51"/>
  <c r="C177" i="51"/>
  <c r="C178" i="51"/>
  <c r="C179" i="51"/>
  <c r="C121" i="51"/>
  <c r="C4" i="51"/>
  <c r="C5" i="51"/>
  <c r="C6" i="51"/>
  <c r="C7" i="51"/>
  <c r="C8" i="51"/>
  <c r="C9" i="51"/>
  <c r="C10" i="51"/>
  <c r="C11" i="51"/>
  <c r="C12" i="51"/>
  <c r="C13" i="51"/>
  <c r="C14" i="51"/>
  <c r="C15" i="51"/>
  <c r="C16" i="51"/>
  <c r="C17" i="51"/>
  <c r="C18" i="51"/>
  <c r="C19" i="51"/>
  <c r="C20" i="51"/>
  <c r="C21" i="51"/>
  <c r="C22" i="51"/>
  <c r="C23" i="51"/>
  <c r="C24" i="51"/>
  <c r="C25" i="51"/>
  <c r="C26" i="51"/>
  <c r="C27" i="51"/>
  <c r="C28" i="51"/>
  <c r="C29" i="51"/>
  <c r="C30" i="51"/>
  <c r="C31" i="51"/>
  <c r="C32" i="51"/>
  <c r="C33" i="51"/>
  <c r="C34" i="51"/>
  <c r="C35" i="51"/>
  <c r="C36" i="51"/>
  <c r="C37" i="51"/>
  <c r="C38" i="51"/>
  <c r="C39" i="51"/>
  <c r="C40" i="51"/>
  <c r="C41" i="51"/>
  <c r="C42" i="51"/>
  <c r="C43" i="51"/>
  <c r="C44" i="51"/>
  <c r="C45" i="51"/>
  <c r="C46" i="51"/>
  <c r="C47" i="51"/>
  <c r="C48" i="51"/>
  <c r="C49" i="51"/>
  <c r="C50" i="51"/>
  <c r="C51" i="51"/>
  <c r="C52" i="51"/>
  <c r="C53" i="51"/>
  <c r="C54" i="51"/>
  <c r="C55" i="51"/>
  <c r="C56" i="51"/>
  <c r="C57" i="51"/>
  <c r="C58" i="51"/>
  <c r="C59" i="51"/>
  <c r="C60" i="51"/>
  <c r="C61" i="51"/>
  <c r="C3" i="51"/>
  <c r="B4" i="51"/>
  <c r="F4" i="51" s="1"/>
  <c r="B5" i="51"/>
  <c r="B6" i="51"/>
  <c r="B7" i="51"/>
  <c r="B8" i="51"/>
  <c r="F8" i="51" s="1"/>
  <c r="B9" i="51"/>
  <c r="F9" i="51" s="1"/>
  <c r="B10" i="51"/>
  <c r="F10" i="51" s="1"/>
  <c r="B11" i="51"/>
  <c r="F11" i="51" s="1"/>
  <c r="B12" i="51"/>
  <c r="B13" i="51"/>
  <c r="F13" i="51" s="1"/>
  <c r="B14" i="51"/>
  <c r="F14" i="51" s="1"/>
  <c r="B15" i="51"/>
  <c r="F15" i="51" s="1"/>
  <c r="B16" i="51"/>
  <c r="F16" i="51" s="1"/>
  <c r="B17" i="51"/>
  <c r="B18" i="51"/>
  <c r="B19" i="51"/>
  <c r="B20" i="51"/>
  <c r="F20" i="51" s="1"/>
  <c r="B21" i="51"/>
  <c r="F21" i="51" s="1"/>
  <c r="B22" i="51"/>
  <c r="F22" i="51" s="1"/>
  <c r="B23" i="51"/>
  <c r="F23" i="51" s="1"/>
  <c r="B24" i="51"/>
  <c r="B25" i="51"/>
  <c r="F25" i="51" s="1"/>
  <c r="B26" i="51"/>
  <c r="F26" i="51" s="1"/>
  <c r="B27" i="51"/>
  <c r="F27" i="51" s="1"/>
  <c r="B28" i="51"/>
  <c r="F28" i="51" s="1"/>
  <c r="B29" i="51"/>
  <c r="B30" i="51"/>
  <c r="B31" i="51"/>
  <c r="B32" i="51"/>
  <c r="F32" i="51" s="1"/>
  <c r="B33" i="51"/>
  <c r="F33" i="51" s="1"/>
  <c r="B34" i="51"/>
  <c r="F34" i="51" s="1"/>
  <c r="B35" i="51"/>
  <c r="F35" i="51" s="1"/>
  <c r="B36" i="51"/>
  <c r="B37" i="51"/>
  <c r="F37" i="51" s="1"/>
  <c r="B38" i="51"/>
  <c r="F38" i="51" s="1"/>
  <c r="B39" i="51"/>
  <c r="F39" i="51" s="1"/>
  <c r="B40" i="51"/>
  <c r="F40" i="51" s="1"/>
  <c r="B41" i="51"/>
  <c r="B42" i="51"/>
  <c r="B43" i="51"/>
  <c r="B44" i="51"/>
  <c r="F44" i="51" s="1"/>
  <c r="B45" i="51"/>
  <c r="F45" i="51" s="1"/>
  <c r="B46" i="51"/>
  <c r="F46" i="51" s="1"/>
  <c r="B47" i="51"/>
  <c r="F47" i="51" s="1"/>
  <c r="B48" i="51"/>
  <c r="B49" i="51"/>
  <c r="F49" i="51" s="1"/>
  <c r="B50" i="51"/>
  <c r="F50" i="51" s="1"/>
  <c r="B51" i="51"/>
  <c r="F51" i="51" s="1"/>
  <c r="B52" i="51"/>
  <c r="F52" i="51" s="1"/>
  <c r="B53" i="51"/>
  <c r="B54" i="51"/>
  <c r="B55" i="51"/>
  <c r="B56" i="51"/>
  <c r="F56" i="51" s="1"/>
  <c r="B57" i="51"/>
  <c r="F57" i="51" s="1"/>
  <c r="B58" i="51"/>
  <c r="F58" i="51" s="1"/>
  <c r="B59" i="51"/>
  <c r="F59" i="51" s="1"/>
  <c r="B60" i="51"/>
  <c r="B61" i="51"/>
  <c r="F61" i="51" s="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3" i="51" l="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<sst xmlns="http://schemas.openxmlformats.org/spreadsheetml/2006/main" count="11767" uniqueCount="6448">
  <si>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</si>
  <si>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</si>
  <si>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</si>
  <si>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</si>
  <si>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</si>
  <si>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</si>
  <si>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</si>
  <si>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</si>
  <si>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</si>
  <si>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</si>
  <si>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</si>
  <si>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</si>
  <si>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</si>
  <si>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</si>
  <si>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</si>
  <si>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</si>
  <si>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</si>
  <si>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</si>
  <si>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</si>
  <si>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</si>
  <si>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</si>
  <si>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</si>
  <si>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</si>
  <si>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</si>
  <si>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</si>
  <si>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</si>
  <si>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</si>
  <si>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</si>
  <si>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</si>
  <si>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</si>
  <si>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</si>
  <si>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</si>
  <si>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</si>
  <si>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</si>
  <si>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</si>
  <si>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</si>
  <si>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</si>
  <si>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</si>
  <si>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</si>
  <si>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</si>
  <si>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</si>
  <si>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</si>
  <si>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</si>
  <si>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</si>
  <si>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</si>
  <si>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</si>
  <si>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</si>
  <si>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</si>
  <si>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</si>
  <si>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</si>
  <si>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</si>
  <si>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</si>
  <si>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</si>
  <si>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</si>
  <si>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</si>
  <si>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</si>
  <si>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</si>
  <si>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</si>
  <si>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</si>
  <si>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</si>
  <si>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</si>
  <si>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</si>
  <si>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</si>
  <si>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</si>
  <si>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</si>
  <si>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</si>
  <si>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</si>
  <si>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</si>
  <si>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</si>
  <si>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</si>
  <si>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</si>
  <si>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</si>
  <si>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</si>
  <si>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</si>
  <si>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</si>
  <si>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</si>
  <si>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</si>
  <si>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</si>
  <si>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</si>
  <si>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</si>
  <si>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</si>
  <si>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</si>
  <si>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</si>
  <si>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</si>
  <si>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</si>
  <si>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</si>
  <si>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</si>
  <si>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</si>
  <si>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</si>
  <si>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</si>
  <si>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</si>
  <si>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</si>
  <si>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</si>
  <si>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</si>
  <si>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</si>
  <si>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</si>
  <si>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</si>
  <si>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</si>
  <si>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</si>
  <si>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</si>
  <si>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</si>
  <si>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</si>
  <si>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</si>
  <si>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</si>
  <si>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</si>
  <si>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</si>
  <si>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</si>
  <si>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</si>
  <si>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</si>
  <si>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</si>
  <si>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</si>
  <si>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</si>
  <si>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</si>
  <si>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</si>
  <si>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</si>
  <si>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</si>
  <si>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</si>
  <si>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</si>
  <si>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</si>
  <si>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</si>
  <si>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</si>
  <si>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</si>
  <si>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</si>
  <si>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</si>
  <si>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</si>
  <si>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</si>
  <si>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</si>
  <si>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</si>
  <si>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</si>
  <si>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</si>
  <si>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</si>
  <si>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</si>
  <si>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</si>
  <si>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</si>
  <si>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</si>
  <si>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</si>
  <si>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</si>
  <si>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</si>
  <si>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</si>
  <si>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</si>
  <si>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</si>
  <si>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</si>
  <si>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</si>
  <si>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</si>
  <si>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</si>
  <si>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</si>
  <si>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</si>
  <si>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</si>
  <si>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</si>
  <si>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</si>
  <si>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</si>
  <si>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</si>
  <si>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</si>
  <si>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</si>
  <si>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</si>
  <si>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</si>
  <si>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</si>
  <si>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</si>
  <si>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</si>
  <si>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</si>
  <si>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</si>
  <si>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</si>
  <si>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</si>
  <si>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</si>
  <si>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</si>
  <si>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</si>
  <si>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</si>
  <si>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</si>
  <si>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</si>
  <si>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</si>
  <si>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</si>
  <si>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</si>
  <si>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</si>
  <si>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</si>
  <si>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</si>
  <si>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</si>
  <si>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</si>
  <si>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</si>
  <si>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</si>
  <si>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</si>
  <si>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</si>
  <si>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</si>
  <si>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</si>
  <si>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</si>
  <si>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</si>
  <si>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</si>
  <si>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</si>
  <si>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</si>
  <si>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</si>
  <si>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</si>
  <si>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</si>
  <si>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</si>
  <si>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</si>
  <si>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</si>
  <si>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</si>
  <si>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</si>
  <si>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</si>
  <si>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</si>
  <si>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</si>
  <si>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</si>
  <si>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</si>
  <si>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</si>
  <si>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</si>
  <si>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</si>
  <si>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</si>
  <si>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</si>
  <si>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</si>
  <si>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</si>
  <si>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</si>
  <si>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</si>
  <si>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</si>
  <si>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</si>
  <si>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</si>
  <si>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</si>
  <si>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</si>
  <si>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</si>
  <si>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</si>
  <si>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</si>
  <si>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</si>
  <si>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</si>
  <si>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</si>
  <si>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</si>
  <si>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</si>
  <si>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</si>
  <si>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</si>
  <si>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</si>
  <si>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</si>
  <si>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</si>
  <si>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</si>
  <si>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</si>
  <si>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</si>
  <si>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</si>
  <si>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</si>
  <si>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</si>
  <si>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</si>
  <si>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</si>
  <si>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</si>
  <si>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</si>
  <si>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</si>
  <si>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</si>
  <si>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</si>
  <si>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</si>
  <si>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</si>
  <si>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</si>
  <si>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</si>
  <si>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</si>
  <si>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</si>
  <si>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</si>
  <si>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</si>
  <si>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</si>
  <si>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</si>
  <si>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</si>
  <si>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</si>
  <si>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</si>
  <si>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</si>
  <si>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</si>
  <si>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</si>
  <si>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</si>
  <si>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</si>
  <si>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</si>
  <si>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</si>
  <si>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</si>
  <si>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</si>
  <si>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</si>
  <si>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</si>
  <si>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</si>
  <si>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</si>
  <si>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</si>
  <si>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</si>
  <si>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</si>
  <si>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</si>
  <si>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</si>
  <si>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</si>
  <si>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</si>
  <si>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</si>
  <si>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</si>
  <si>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</si>
  <si>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</si>
  <si>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</si>
  <si>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</si>
  <si>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</si>
  <si>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</si>
  <si>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</si>
  <si>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</si>
  <si>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</si>
  <si>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</si>
  <si>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</si>
  <si>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</si>
  <si>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</si>
  <si>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</si>
  <si>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</si>
  <si>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</si>
  <si>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</si>
  <si>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</si>
  <si>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</si>
  <si>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</si>
  <si>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</si>
  <si>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</si>
  <si>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</si>
  <si>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</si>
  <si>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</si>
  <si>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</si>
  <si>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</si>
  <si>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</si>
  <si>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</si>
  <si>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</si>
  <si>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</si>
  <si>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</si>
  <si>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</si>
  <si>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</si>
  <si>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</si>
  <si>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</si>
  <si>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</si>
  <si>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</si>
  <si>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</si>
  <si>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</si>
  <si>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</si>
  <si>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</si>
  <si>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</si>
  <si>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</si>
  <si>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</si>
  <si>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</si>
  <si>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</si>
  <si>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</si>
  <si>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</si>
  <si>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</si>
  <si>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</si>
  <si>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</si>
  <si>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</si>
  <si>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</si>
  <si>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</si>
  <si>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</si>
  <si>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</si>
  <si>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</si>
  <si>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</si>
  <si>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</si>
  <si>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</si>
  <si>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</si>
  <si>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</si>
  <si>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</si>
  <si>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</si>
  <si>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</si>
  <si>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</si>
  <si>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</si>
  <si>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</si>
  <si>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</si>
  <si>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</si>
  <si>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</si>
  <si>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</si>
  <si>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</si>
  <si>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</si>
  <si>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</si>
  <si>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</si>
  <si>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</si>
  <si>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</si>
  <si>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</si>
  <si>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</si>
  <si>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</si>
  <si>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</si>
  <si>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</si>
  <si>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</si>
  <si>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</si>
  <si>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</si>
  <si>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</si>
  <si>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</si>
  <si>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</si>
  <si>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</si>
  <si>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</si>
  <si>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</si>
  <si>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</si>
  <si>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</si>
  <si>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</si>
  <si>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</si>
  <si>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</si>
  <si>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</si>
  <si>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</si>
  <si>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</si>
  <si>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</si>
  <si>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</si>
  <si>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</si>
  <si>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</si>
  <si>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</si>
  <si>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</si>
  <si>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</si>
  <si>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</si>
  <si>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</si>
  <si>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</si>
  <si>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</si>
  <si>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</si>
  <si>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</si>
  <si>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</si>
  <si>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</si>
  <si>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</si>
  <si>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</si>
  <si>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</si>
  <si>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</si>
  <si>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</si>
  <si>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</si>
  <si>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</si>
  <si>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</si>
  <si>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</si>
  <si>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</si>
  <si>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</si>
  <si>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</si>
  <si>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</si>
  <si>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</si>
  <si>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</si>
  <si>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</si>
  <si>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</si>
  <si>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</si>
  <si>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</si>
  <si>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</si>
  <si>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</si>
  <si>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</si>
  <si>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</si>
  <si>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</si>
  <si>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</si>
  <si>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</si>
  <si>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</si>
  <si>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</si>
  <si>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</si>
  <si>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</si>
  <si>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</si>
  <si>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</si>
  <si>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</si>
  <si>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</si>
  <si>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</si>
  <si>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</si>
  <si>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</si>
  <si>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</si>
  <si>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</si>
  <si>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</si>
  <si>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</si>
  <si>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</si>
  <si>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</si>
  <si>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</si>
  <si>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</si>
  <si>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</si>
  <si>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</si>
  <si>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</si>
  <si>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</si>
  <si>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</si>
  <si>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</si>
  <si>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</si>
  <si>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</si>
  <si>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</si>
  <si>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</si>
  <si>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</si>
  <si>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</si>
  <si>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</si>
  <si>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</si>
  <si>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</si>
  <si>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</si>
  <si>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</si>
  <si>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</si>
  <si>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</si>
  <si>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</si>
  <si>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</si>
  <si>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</si>
  <si>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</si>
  <si>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</si>
  <si>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</si>
  <si>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</si>
  <si>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</si>
  <si>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</si>
  <si>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</si>
  <si>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</si>
  <si>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</si>
  <si>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</si>
  <si>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</si>
  <si>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</si>
  <si>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</si>
  <si>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</si>
  <si>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</si>
  <si>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</si>
  <si>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</si>
  <si>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</si>
  <si>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</si>
  <si>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</si>
  <si>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</si>
  <si>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</si>
  <si>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</si>
  <si>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</si>
  <si>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</si>
  <si>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</si>
  <si>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</si>
  <si>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</si>
  <si>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</si>
  <si>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</si>
  <si>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</si>
  <si>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</si>
  <si>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</si>
  <si>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</si>
  <si>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</si>
  <si>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</si>
  <si>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</si>
  <si>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</si>
  <si>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</si>
  <si>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</si>
  <si>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</si>
  <si>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</si>
  <si>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</si>
  <si>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</si>
  <si>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</si>
  <si>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</si>
  <si>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</si>
  <si>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</si>
  <si>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</si>
  <si>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</si>
  <si>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</si>
  <si>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</si>
  <si>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</si>
  <si>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</si>
  <si>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</si>
  <si>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</si>
  <si>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</si>
  <si>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</si>
  <si>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</si>
  <si>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</si>
  <si>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</si>
  <si>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</si>
  <si>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</si>
  <si>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</si>
  <si>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</si>
  <si>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</si>
  <si>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</si>
  <si>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</si>
  <si>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</si>
  <si>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</si>
  <si>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</si>
  <si>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</si>
  <si>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</si>
  <si>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</si>
  <si>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</si>
  <si>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</si>
  <si>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</si>
  <si>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</si>
  <si>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</si>
  <si>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</si>
  <si>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</si>
  <si>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</si>
  <si>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</si>
  <si>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</si>
  <si>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</si>
  <si>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</si>
  <si>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</si>
  <si>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</si>
  <si>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</si>
  <si>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</si>
  <si>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</si>
  <si>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</si>
  <si>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</si>
  <si>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</si>
  <si>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</si>
  <si>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</si>
  <si>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</si>
  <si>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</si>
  <si>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</si>
  <si>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</si>
  <si>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</si>
  <si>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</si>
  <si>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</si>
  <si>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</si>
  <si>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</si>
  <si>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</si>
  <si>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</si>
  <si>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</si>
  <si>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</si>
  <si>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</si>
  <si>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</si>
  <si>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</si>
  <si>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</si>
  <si>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</si>
  <si>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</si>
  <si>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</si>
  <si>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</si>
  <si>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</si>
  <si>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</si>
  <si>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</si>
  <si>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</si>
  <si>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</si>
  <si>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</si>
  <si>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</si>
  <si>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</si>
  <si>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</si>
  <si>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</si>
  <si>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</si>
  <si>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</si>
  <si>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</si>
  <si>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</si>
  <si>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</si>
  <si>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</si>
  <si>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</si>
  <si>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</si>
  <si>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</si>
  <si>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</si>
  <si>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</si>
  <si>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</si>
  <si>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</si>
  <si>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</si>
  <si>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</si>
  <si>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</si>
  <si>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</si>
  <si>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</si>
  <si>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</si>
  <si>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</si>
  <si>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</si>
  <si>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</si>
  <si>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</si>
  <si>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</si>
  <si>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</si>
  <si>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</si>
  <si>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</si>
  <si>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</si>
  <si>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</si>
  <si>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</si>
  <si>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</si>
  <si>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</si>
  <si>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</si>
  <si>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</si>
  <si>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</si>
  <si>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</si>
  <si>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</si>
  <si>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</si>
  <si>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</si>
  <si>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</si>
  <si>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</si>
  <si>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</si>
  <si>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</si>
  <si>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</si>
  <si>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</si>
  <si>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</si>
  <si>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</si>
  <si>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</si>
  <si>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</si>
  <si>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</si>
  <si>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</si>
  <si>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</si>
  <si>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</si>
  <si>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</si>
  <si>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</si>
  <si>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</si>
  <si>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</si>
  <si>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</si>
  <si>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</si>
  <si>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</si>
  <si>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</si>
  <si>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</si>
  <si>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</si>
  <si>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</si>
  <si>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</si>
  <si>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</si>
  <si>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</si>
  <si>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</si>
  <si>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</si>
  <si>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</si>
  <si>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</si>
  <si>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</si>
  <si>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</si>
  <si>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</si>
  <si>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</si>
  <si>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</si>
  <si>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</si>
  <si>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</si>
  <si>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</si>
  <si>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</si>
  <si>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</si>
  <si>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</si>
  <si>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</si>
  <si>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</si>
  <si>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</si>
  <si>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</si>
  <si>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</si>
  <si>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</si>
  <si>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</si>
  <si>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</si>
  <si>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</si>
  <si>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</si>
  <si>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</si>
  <si>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</si>
  <si>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</si>
  <si>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</si>
  <si>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</si>
  <si>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</si>
  <si>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</si>
  <si>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</si>
  <si>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</si>
  <si>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</si>
  <si>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</si>
  <si>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</si>
  <si>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</si>
  <si>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</si>
  <si>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</si>
  <si>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</si>
  <si>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</si>
  <si>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</si>
  <si>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</si>
  <si>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</si>
  <si>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</si>
  <si>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</si>
  <si>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</si>
  <si>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</si>
  <si>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</si>
  <si>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</si>
  <si>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</si>
  <si>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</si>
  <si>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</si>
  <si>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</si>
  <si>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</si>
  <si>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</si>
  <si>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</si>
  <si>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</si>
  <si>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</si>
  <si>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</si>
  <si>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</si>
  <si>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</si>
  <si>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</si>
  <si>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</si>
  <si>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</si>
  <si>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</si>
  <si>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</si>
  <si>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</si>
  <si>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</si>
  <si>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</si>
  <si>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</si>
  <si>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</si>
  <si>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</si>
  <si>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</si>
  <si>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</si>
  <si>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</si>
  <si>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</si>
  <si>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</si>
  <si>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</si>
  <si>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</si>
  <si>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</si>
  <si>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</si>
  <si>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</si>
  <si>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</si>
  <si>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</si>
  <si>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</si>
  <si>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</si>
  <si>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</si>
  <si>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</si>
  <si>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</si>
  <si>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</si>
  <si>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</si>
  <si>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</si>
  <si>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</si>
  <si>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</si>
  <si>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</si>
  <si>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</si>
  <si>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</si>
  <si>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</si>
  <si>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</si>
  <si>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</si>
  <si>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</si>
  <si>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</si>
  <si>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</si>
  <si>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</si>
  <si>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</si>
  <si>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</si>
  <si>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</si>
  <si>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</si>
  <si>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</si>
  <si>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</si>
  <si>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</si>
  <si>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</si>
  <si>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</si>
  <si>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</si>
  <si>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</si>
  <si>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</si>
  <si>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</si>
  <si>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</si>
  <si>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</si>
  <si>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</si>
  <si>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</si>
  <si>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</si>
  <si>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</si>
  <si>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</si>
  <si>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</si>
  <si>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</si>
  <si>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</si>
  <si>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</si>
  <si>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</si>
  <si>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</si>
  <si>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</si>
  <si>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</si>
  <si>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</si>
  <si>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</si>
  <si>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</si>
  <si>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</si>
  <si>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</si>
  <si>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</si>
  <si>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</si>
  <si>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</si>
  <si>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</si>
  <si>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</si>
  <si>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</si>
  <si>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</si>
  <si>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</si>
  <si>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</si>
  <si>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</si>
  <si>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</si>
  <si>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</si>
  <si>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</si>
  <si>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</si>
  <si>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</si>
  <si>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</si>
  <si>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</si>
  <si>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</si>
  <si>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</si>
  <si>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</si>
  <si>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</si>
  <si>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</si>
  <si>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</si>
  <si>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</si>
  <si>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</si>
  <si>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</si>
  <si>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</si>
  <si>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</si>
  <si>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</si>
  <si>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</si>
  <si>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</si>
  <si>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</si>
  <si>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</si>
  <si>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</si>
  <si>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</si>
  <si>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</si>
  <si>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</si>
  <si>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</si>
  <si>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</si>
  <si>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</si>
  <si>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</si>
  <si>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</si>
  <si>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</si>
  <si>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</si>
  <si>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</si>
  <si>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</si>
  <si>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</si>
  <si>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</si>
  <si>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</si>
  <si>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</si>
  <si>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</si>
  <si>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</si>
  <si>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</si>
  <si>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</si>
  <si>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</si>
  <si>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</si>
  <si>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</si>
  <si>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</si>
  <si>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</si>
  <si>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</si>
  <si>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</si>
  <si>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</si>
  <si>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</si>
  <si>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</si>
  <si>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</si>
  <si>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</si>
  <si>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</si>
  <si>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</si>
  <si>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</si>
  <si>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</si>
  <si>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</si>
  <si>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</si>
  <si>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</si>
  <si>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</si>
  <si>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</si>
  <si>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</si>
  <si>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</si>
  <si>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</si>
  <si>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</si>
  <si>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</si>
  <si>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</si>
  <si>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</si>
  <si>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</si>
  <si>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</si>
  <si>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</si>
  <si>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</si>
  <si>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</si>
  <si>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</si>
  <si>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</si>
  <si>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</si>
  <si>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</si>
  <si>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</si>
  <si>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</si>
  <si>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</si>
  <si>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</si>
  <si>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</si>
  <si>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</si>
  <si>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</si>
  <si>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</si>
  <si>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</si>
  <si>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</si>
  <si>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</si>
  <si>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</si>
  <si>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</si>
  <si>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</si>
  <si>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</si>
  <si>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</si>
  <si>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</si>
  <si>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</si>
  <si>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</si>
  <si>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</si>
  <si>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</si>
  <si>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</si>
  <si>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</si>
  <si>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</si>
  <si>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</si>
  <si>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</si>
  <si>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</si>
  <si>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</si>
  <si>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</si>
  <si>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</si>
  <si>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</si>
  <si>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</si>
  <si>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</si>
  <si>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</si>
  <si>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</si>
  <si>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</si>
  <si>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</si>
  <si>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</si>
  <si>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</si>
  <si>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</si>
  <si>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</si>
  <si>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</si>
  <si>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</si>
  <si>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</si>
  <si>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</si>
  <si>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</si>
  <si>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</si>
  <si>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</si>
  <si>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</si>
  <si>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</si>
  <si>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</si>
  <si>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</si>
  <si>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</si>
  <si>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</si>
  <si>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</si>
  <si>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</si>
  <si>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</si>
  <si>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</si>
  <si>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</si>
  <si>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</si>
  <si>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</si>
  <si>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</si>
  <si>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</si>
  <si>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</si>
  <si>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</si>
  <si>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</si>
  <si>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</si>
  <si>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</si>
  <si>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</si>
  <si>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</si>
  <si>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</si>
  <si>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</si>
  <si>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</si>
  <si>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</si>
  <si>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</si>
  <si>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</si>
  <si>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</si>
  <si>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</si>
  <si>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</si>
  <si>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</si>
  <si>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</si>
  <si>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</si>
  <si>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</si>
  <si>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</si>
  <si>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</si>
  <si>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</si>
  <si>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</si>
  <si>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</si>
  <si>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</si>
  <si>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</si>
  <si>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</si>
  <si>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</si>
  <si>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</si>
  <si>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</si>
  <si>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</si>
  <si>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</si>
  <si>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</si>
  <si>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</si>
  <si>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</si>
  <si>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</si>
  <si>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</si>
  <si>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</si>
  <si>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</si>
  <si>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</si>
  <si>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</si>
  <si>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</si>
  <si>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</si>
  <si>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</si>
  <si>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</si>
  <si>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</si>
  <si>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</si>
  <si>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</si>
  <si>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</si>
  <si>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</si>
  <si>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</si>
  <si>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</si>
  <si>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</si>
  <si>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</si>
  <si>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</si>
  <si>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</si>
  <si>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</si>
  <si>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</si>
  <si>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</si>
  <si>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</si>
  <si>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</si>
  <si>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</si>
  <si>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</si>
  <si>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</si>
  <si>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</si>
  <si>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</si>
  <si>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</si>
  <si>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</si>
  <si>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</si>
  <si>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</si>
  <si>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</si>
  <si>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</si>
  <si>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</si>
  <si>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</si>
  <si>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</si>
  <si>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</si>
  <si>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</si>
  <si>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</si>
  <si>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</si>
  <si>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</si>
  <si>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</si>
  <si>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</si>
  <si>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</si>
  <si>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</si>
  <si>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</si>
  <si>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</si>
  <si>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</si>
  <si>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</si>
  <si>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</si>
  <si>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</si>
  <si>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</si>
  <si>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</si>
  <si>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</si>
  <si>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</si>
  <si>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</si>
  <si>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</si>
  <si>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</si>
  <si>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</si>
  <si>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</si>
  <si>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</si>
  <si>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</si>
  <si>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</si>
  <si>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</si>
  <si>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</si>
  <si>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</si>
  <si>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</si>
  <si>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</si>
  <si>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</si>
  <si>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</si>
  <si>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</si>
  <si>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</si>
  <si>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</si>
  <si>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</si>
  <si>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</si>
  <si>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</si>
  <si>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</si>
  <si>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</si>
  <si>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</si>
  <si>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</si>
  <si>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</si>
  <si>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</si>
  <si>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</si>
  <si>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</si>
  <si>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</si>
  <si>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</si>
  <si>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</si>
  <si>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</si>
  <si>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</si>
  <si>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</si>
  <si>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</si>
  <si>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</si>
  <si>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</si>
  <si>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</si>
  <si>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</si>
  <si>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</si>
  <si>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</si>
  <si>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</si>
  <si>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</si>
  <si>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</si>
  <si>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</si>
  <si>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</si>
  <si>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</si>
  <si>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</si>
  <si>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</si>
  <si>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</si>
  <si>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</si>
  <si>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</si>
  <si>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</si>
  <si>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</si>
  <si>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</si>
  <si>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</si>
  <si>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</si>
  <si>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</si>
  <si>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</si>
  <si>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</si>
  <si>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</si>
  <si>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</si>
  <si>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</si>
  <si>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</si>
  <si>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</si>
  <si>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</si>
  <si>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</si>
  <si>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</si>
  <si>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</si>
  <si>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</si>
  <si>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</si>
  <si>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</si>
  <si>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</si>
  <si>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</si>
  <si>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</si>
  <si>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</si>
  <si>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</si>
  <si>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</si>
  <si>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</si>
  <si>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</si>
  <si>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</si>
  <si>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</si>
  <si>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</si>
  <si>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</si>
  <si>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</si>
  <si>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</si>
  <si>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</si>
  <si>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</si>
  <si>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</si>
  <si>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</si>
  <si>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</si>
  <si>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</si>
  <si>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</si>
  <si>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</si>
  <si>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</si>
  <si>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</si>
  <si>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</si>
  <si>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</si>
  <si>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</si>
  <si>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</si>
  <si>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</si>
  <si>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</si>
  <si>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</si>
  <si>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</si>
  <si>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</si>
  <si>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</si>
  <si>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</si>
  <si>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</si>
  <si>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</si>
  <si>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</si>
  <si>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</si>
  <si>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</si>
  <si>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</si>
  <si>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</si>
  <si>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</si>
  <si>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</si>
  <si>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</si>
  <si>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</si>
  <si>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</si>
  <si>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</si>
  <si>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</si>
  <si>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</si>
  <si>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</si>
  <si>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</si>
  <si>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</si>
  <si>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</si>
  <si>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</si>
  <si>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</si>
  <si>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</si>
  <si>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</si>
  <si>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</si>
  <si>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</si>
  <si>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</si>
  <si>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</si>
  <si>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</si>
  <si>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</si>
  <si>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</si>
  <si>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</si>
  <si>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</si>
  <si>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</si>
  <si>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</si>
  <si>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</si>
  <si>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</si>
  <si>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</si>
  <si>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</si>
  <si>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</si>
  <si>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</si>
  <si>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</si>
  <si>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</si>
  <si>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</si>
  <si>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</si>
  <si>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</si>
  <si>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</si>
  <si>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</si>
  <si>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</si>
  <si>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</si>
  <si>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</si>
  <si>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</si>
  <si>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</si>
  <si>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</si>
  <si>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</si>
  <si>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</si>
  <si>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</si>
  <si>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</si>
  <si>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</si>
  <si>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</si>
  <si>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</si>
  <si>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</si>
  <si>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</si>
  <si>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</si>
  <si>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</si>
  <si>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</si>
  <si>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</si>
  <si>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</si>
  <si>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</si>
  <si>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</si>
  <si>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</si>
  <si>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</si>
  <si>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</si>
  <si>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</si>
  <si>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</si>
  <si>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</si>
  <si>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</si>
  <si>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</si>
  <si>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</si>
  <si>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</si>
  <si>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</si>
  <si>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</si>
  <si>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</si>
  <si>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</si>
  <si>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</si>
  <si>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</si>
  <si>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</si>
  <si>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</si>
  <si>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</si>
  <si>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</si>
  <si>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</si>
  <si>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</si>
  <si>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</si>
  <si>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</si>
  <si>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</si>
  <si>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</si>
  <si>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</si>
  <si>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</si>
  <si>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</si>
  <si>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</si>
  <si>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</si>
  <si>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</si>
  <si>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</si>
  <si>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</si>
  <si>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</si>
  <si>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</si>
  <si>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</si>
  <si>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</si>
  <si>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</si>
  <si>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</si>
  <si>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</si>
  <si>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</si>
  <si>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</si>
  <si>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</si>
  <si>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</si>
  <si>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</si>
  <si>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</si>
  <si>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</si>
  <si>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</si>
  <si>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</si>
  <si>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</si>
  <si>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</si>
  <si>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</si>
  <si>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</si>
  <si>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</si>
  <si>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</si>
  <si>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</si>
  <si>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</si>
  <si>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</si>
  <si>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</si>
  <si>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</si>
  <si>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</si>
  <si>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</si>
  <si>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</si>
  <si>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</si>
  <si>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</si>
  <si>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</si>
  <si>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</si>
  <si>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</si>
  <si>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</si>
  <si>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</si>
  <si>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</si>
  <si>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</si>
  <si>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</si>
  <si>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</si>
  <si>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</si>
  <si>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</si>
  <si>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</si>
  <si>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</si>
  <si>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</si>
  <si>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</si>
  <si>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</si>
  <si>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</si>
  <si>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</si>
  <si>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</si>
  <si>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</si>
  <si>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</si>
  <si>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</si>
  <si>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</si>
  <si>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</si>
  <si>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</si>
  <si>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</si>
  <si>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</si>
  <si>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</si>
  <si>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</si>
  <si>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</si>
  <si>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</si>
  <si>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</si>
  <si>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</si>
  <si>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</si>
  <si>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</si>
  <si>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</si>
  <si>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</si>
  <si>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</si>
  <si>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</si>
  <si>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</si>
  <si>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</si>
  <si>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</si>
  <si>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</si>
  <si>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</si>
  <si>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</si>
  <si>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</si>
  <si>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</si>
  <si>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</si>
  <si>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</si>
  <si>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</si>
  <si>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</si>
  <si>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</si>
  <si>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</si>
  <si>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</si>
  <si>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</si>
  <si>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</si>
  <si>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</si>
  <si>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</si>
  <si>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</si>
  <si>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</si>
  <si>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</si>
  <si>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</si>
  <si>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</si>
  <si>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</si>
  <si>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</si>
  <si>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</si>
  <si>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</si>
  <si>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</si>
  <si>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</si>
  <si>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</si>
  <si>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</si>
  <si>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</si>
  <si>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</si>
  <si>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</si>
  <si>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</si>
  <si>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</si>
  <si>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</si>
  <si>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</si>
  <si>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</si>
  <si>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</si>
  <si>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</si>
  <si>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</si>
  <si>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</si>
  <si>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</si>
  <si>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</si>
  <si>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</si>
  <si>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</si>
  <si>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</si>
  <si>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</si>
  <si>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</si>
  <si>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</si>
  <si>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</si>
  <si>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</si>
  <si>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</si>
  <si>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</si>
  <si>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</si>
  <si>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</si>
  <si>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</si>
  <si>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</si>
  <si>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</si>
  <si>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</si>
  <si>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</si>
  <si>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</si>
  <si>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</si>
  <si>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</si>
  <si>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</si>
  <si>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</si>
  <si>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</si>
  <si>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</si>
  <si>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</si>
  <si>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</si>
  <si>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</si>
  <si>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</si>
  <si>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</si>
  <si>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</si>
  <si>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</si>
  <si>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</si>
  <si>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</si>
  <si>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</si>
  <si>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</si>
  <si>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</si>
  <si>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</si>
  <si>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</si>
  <si>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</si>
  <si>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</si>
  <si>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</si>
  <si>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</si>
  <si>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</si>
  <si>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</si>
  <si>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</si>
  <si>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</si>
  <si>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</si>
  <si>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</si>
  <si>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</si>
  <si>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</si>
  <si>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</si>
  <si>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</si>
  <si>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</si>
  <si>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</si>
  <si>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</si>
  <si>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</si>
  <si>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</si>
  <si>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</si>
  <si>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</si>
  <si>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</si>
  <si>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</si>
  <si>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</si>
  <si>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</si>
  <si>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</si>
  <si>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</si>
  <si>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</si>
  <si>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</si>
  <si>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</si>
  <si>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</si>
  <si>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</si>
  <si>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</si>
  <si>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</si>
  <si>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</si>
  <si>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</si>
  <si>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</si>
  <si>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</si>
  <si>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</si>
  <si>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</si>
  <si>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</si>
  <si>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</si>
  <si>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</si>
  <si>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</si>
  <si>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</si>
  <si>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</si>
  <si>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</si>
  <si>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</si>
  <si>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</si>
  <si>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</si>
  <si>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</si>
  <si>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</si>
  <si>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</si>
  <si>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</si>
  <si>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</si>
  <si>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</si>
  <si>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</si>
  <si>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</si>
  <si>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</si>
  <si>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</si>
  <si>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</si>
  <si>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</si>
  <si>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</si>
  <si>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</si>
  <si>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</si>
  <si>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</si>
  <si>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</si>
  <si>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</si>
  <si>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</si>
  <si>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</si>
  <si>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</si>
  <si>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</si>
  <si>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</si>
  <si>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</si>
  <si>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</si>
  <si>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</si>
  <si>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</si>
  <si>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</si>
  <si>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</si>
  <si>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</si>
  <si>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</si>
  <si>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</si>
  <si>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</si>
  <si>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</si>
  <si>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</si>
  <si>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</si>
  <si>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</si>
  <si>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</si>
  <si>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</si>
  <si>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</si>
  <si>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</si>
  <si>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</si>
  <si>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</si>
  <si>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</si>
  <si>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</si>
  <si>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</si>
  <si>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</si>
  <si>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</si>
  <si>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</si>
  <si>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</si>
  <si>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</si>
  <si>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</si>
  <si>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</si>
  <si>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</si>
  <si>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</si>
  <si>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</si>
  <si>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</si>
  <si>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</si>
  <si>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</si>
  <si>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</si>
  <si>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</si>
  <si>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</si>
  <si>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</si>
  <si>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</si>
  <si>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</si>
  <si>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</si>
  <si>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</si>
  <si>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</si>
  <si>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</si>
  <si>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</si>
  <si>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</si>
  <si>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</si>
  <si>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</si>
  <si>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</si>
  <si>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</si>
  <si>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</si>
  <si>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</si>
  <si>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</si>
  <si>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</si>
  <si>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</si>
  <si>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</si>
  <si>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</si>
  <si>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</si>
  <si>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</si>
  <si>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</si>
  <si>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</si>
  <si>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</si>
  <si>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</si>
  <si>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</si>
  <si>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</si>
  <si>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</si>
  <si>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</si>
  <si>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</si>
  <si>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</si>
  <si>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</si>
  <si>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</si>
  <si>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</si>
  <si>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</si>
  <si>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</si>
  <si>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</si>
  <si>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</si>
  <si>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</si>
  <si>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</si>
  <si>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</si>
  <si>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</si>
  <si>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</si>
  <si>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</si>
  <si>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</si>
  <si>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</si>
  <si>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</si>
  <si>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</si>
  <si>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</si>
  <si>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</si>
  <si>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</si>
  <si>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</si>
  <si>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</si>
  <si>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</si>
  <si>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</si>
  <si>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</si>
  <si>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</si>
  <si>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</si>
  <si>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</si>
  <si>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</si>
  <si>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</si>
  <si>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</si>
  <si>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</si>
  <si>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</si>
  <si>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</si>
  <si>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</si>
  <si>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</si>
  <si>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</si>
  <si>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</si>
  <si>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</si>
  <si>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</si>
  <si>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</si>
  <si>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</si>
  <si>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</si>
  <si>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</si>
  <si>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</si>
  <si>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</si>
  <si>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</si>
  <si>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</si>
  <si>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</si>
  <si>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</si>
  <si>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</si>
  <si>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</si>
  <si>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</si>
  <si>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</si>
  <si>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</si>
  <si>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</si>
  <si>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</si>
  <si>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</si>
  <si>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</si>
  <si>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</si>
  <si>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</si>
  <si>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</si>
  <si>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</si>
  <si>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</si>
  <si>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</si>
  <si>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</si>
  <si>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</si>
  <si>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</si>
  <si>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</si>
  <si>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</si>
  <si>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</si>
  <si>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</si>
  <si>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</si>
  <si>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</si>
  <si>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</si>
  <si>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</si>
  <si>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</si>
  <si>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</si>
  <si>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</si>
  <si>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</si>
  <si>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</si>
  <si>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</si>
  <si>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</si>
  <si>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</si>
  <si>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</si>
  <si>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</si>
  <si>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</si>
  <si>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</si>
  <si>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</si>
  <si>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</si>
  <si>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</si>
  <si>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</si>
  <si>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</si>
  <si>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</si>
  <si>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</si>
  <si>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</si>
  <si>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</si>
  <si>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</si>
  <si>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</si>
  <si>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</si>
  <si>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</si>
  <si>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</si>
  <si>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</si>
  <si>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</si>
  <si>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</si>
  <si>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</si>
  <si>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</si>
  <si>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</si>
  <si>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</si>
  <si>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</si>
  <si>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</si>
  <si>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</si>
  <si>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</si>
  <si>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</si>
  <si>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</si>
  <si>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</si>
  <si>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</si>
  <si>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</si>
  <si>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</si>
  <si>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</si>
  <si>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</si>
  <si>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</si>
  <si>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</si>
  <si>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</si>
  <si>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</si>
  <si>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</si>
  <si>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</si>
  <si>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</si>
  <si>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</si>
  <si>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</si>
  <si>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</si>
  <si>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</si>
  <si>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</si>
  <si>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</si>
  <si>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</si>
  <si>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</si>
  <si>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</si>
  <si>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</si>
  <si>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</si>
  <si>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</si>
  <si>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</si>
  <si>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</si>
  <si>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</si>
  <si>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</si>
  <si>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</si>
  <si>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</si>
  <si>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</si>
  <si>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</si>
  <si>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</si>
  <si>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</si>
  <si>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</si>
  <si>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</si>
  <si>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</si>
  <si>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</si>
  <si>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</si>
  <si>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</si>
  <si>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</si>
  <si>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</si>
  <si>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</si>
  <si>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</si>
  <si>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</si>
  <si>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</si>
  <si>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</si>
  <si>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</si>
  <si>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</si>
  <si>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</si>
  <si>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</si>
  <si>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</si>
  <si>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</si>
  <si>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</si>
  <si>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</si>
  <si>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</si>
  <si>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</si>
  <si>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</si>
  <si>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</si>
  <si>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</si>
  <si>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</si>
  <si>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</si>
  <si>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</si>
  <si>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</si>
  <si>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</si>
  <si>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</si>
  <si>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</si>
  <si>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</si>
  <si>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</si>
  <si>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</si>
  <si>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</si>
  <si>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</si>
  <si>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</si>
  <si>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</si>
  <si>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</si>
  <si>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</si>
  <si>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</si>
  <si>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</si>
  <si>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</si>
  <si>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</si>
  <si>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</si>
  <si>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</si>
  <si>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</si>
  <si>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</si>
  <si>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</si>
  <si>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</si>
  <si>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</si>
  <si>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</si>
  <si>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</si>
  <si>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</si>
  <si>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</si>
  <si>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</si>
  <si>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</si>
  <si>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</si>
  <si>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</si>
  <si>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</si>
  <si>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</si>
  <si>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</si>
  <si>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</si>
  <si>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</si>
  <si>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</si>
  <si>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</si>
  <si>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</si>
  <si>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</si>
  <si>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</si>
  <si>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</si>
  <si>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</si>
  <si>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</si>
  <si>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</si>
  <si>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</si>
  <si>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</si>
  <si>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</si>
  <si>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</si>
  <si>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</si>
  <si>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</si>
  <si>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</si>
  <si>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</si>
  <si>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</si>
  <si>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</si>
  <si>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</si>
  <si>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</si>
  <si>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</si>
  <si>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</si>
  <si>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</si>
  <si>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</si>
  <si>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</si>
  <si>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</si>
  <si>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</si>
  <si>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</si>
  <si>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</si>
  <si>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</si>
  <si>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</si>
  <si>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</si>
  <si>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</si>
  <si>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</si>
  <si>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</si>
  <si>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</si>
  <si>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</si>
  <si>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</si>
  <si>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</si>
  <si>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</si>
  <si>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</si>
  <si>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</si>
  <si>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</si>
  <si>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</si>
  <si>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</si>
  <si>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</si>
  <si>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</si>
  <si>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</si>
  <si>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</si>
  <si>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</si>
  <si>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</si>
  <si>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</si>
  <si>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</si>
  <si>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</si>
  <si>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</si>
  <si>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</si>
  <si>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</si>
  <si>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</si>
  <si>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</si>
  <si>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</si>
  <si>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</si>
  <si>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</si>
  <si>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</si>
  <si>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</si>
  <si>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</si>
  <si>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</si>
  <si>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</si>
  <si>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</si>
  <si>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</si>
  <si>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</si>
  <si>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</si>
  <si>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</si>
  <si>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</si>
  <si>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</si>
  <si>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</si>
  <si>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</si>
  <si>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</si>
  <si>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</si>
  <si>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</si>
  <si>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</si>
  <si>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</si>
  <si>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</si>
  <si>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</si>
  <si>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</si>
  <si>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</si>
  <si>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</si>
  <si>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</si>
  <si>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</si>
  <si>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</si>
  <si>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</si>
  <si>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</si>
  <si>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</si>
  <si>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</si>
  <si>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</si>
  <si>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</si>
  <si>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</si>
  <si>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</si>
  <si>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</si>
  <si>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</si>
  <si>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</si>
  <si>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</si>
  <si>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</si>
  <si>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</si>
  <si>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</si>
  <si>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</si>
  <si>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</si>
  <si>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</si>
  <si>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</si>
  <si>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</si>
  <si>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</si>
  <si>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</si>
  <si>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</si>
  <si>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</si>
  <si>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</si>
  <si>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</si>
  <si>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</si>
  <si>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</si>
  <si>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</si>
  <si>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</si>
  <si>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</si>
  <si>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</si>
  <si>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</si>
  <si>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</si>
  <si>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</si>
  <si>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</si>
  <si>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</si>
  <si>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</si>
  <si>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</si>
  <si>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</si>
  <si>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</si>
  <si>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</si>
  <si>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</si>
  <si>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</si>
  <si>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</si>
  <si>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</si>
  <si>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</si>
  <si>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</si>
  <si>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</si>
  <si>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</si>
  <si>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</si>
  <si>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</si>
  <si>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</si>
  <si>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</si>
  <si>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</si>
  <si>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</si>
  <si>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</si>
  <si>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</si>
  <si>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</si>
  <si>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</si>
  <si>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</si>
  <si>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</si>
  <si>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</si>
  <si>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</si>
  <si>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</si>
  <si>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</si>
  <si>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</si>
  <si>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</si>
  <si>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</si>
  <si>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</si>
  <si>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</si>
  <si>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</si>
  <si>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</si>
  <si>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</si>
  <si>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</si>
  <si>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</si>
  <si>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</si>
  <si>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</si>
  <si>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</si>
  <si>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</si>
  <si>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</si>
  <si>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</si>
  <si>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</si>
  <si>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</si>
  <si>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</si>
  <si>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</si>
  <si>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</si>
  <si>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</si>
  <si>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</si>
  <si>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</si>
  <si>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</si>
  <si>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</si>
  <si>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</si>
  <si>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</si>
  <si>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</si>
  <si>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</si>
  <si>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</si>
  <si>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</si>
  <si>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</si>
  <si>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</si>
  <si>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</si>
  <si>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</si>
  <si>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</si>
  <si>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</si>
  <si>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</si>
  <si>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</si>
  <si>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</si>
  <si>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</si>
  <si>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</si>
  <si>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</si>
  <si>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</si>
  <si>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</si>
  <si>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</si>
  <si>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</si>
  <si>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</si>
  <si>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</si>
  <si>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</si>
  <si>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</si>
  <si>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</si>
  <si>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</si>
  <si>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</si>
  <si>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</si>
  <si>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</si>
  <si>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</si>
  <si>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</si>
  <si>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</si>
  <si>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</si>
  <si>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</si>
  <si>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</si>
  <si>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</si>
  <si>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</si>
  <si>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</si>
  <si>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</si>
  <si>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</si>
  <si>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</si>
  <si>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</si>
  <si>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</si>
  <si>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</si>
  <si>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</si>
  <si>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</si>
  <si>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</si>
  <si>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</si>
  <si>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</si>
  <si>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</si>
  <si>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</si>
  <si>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</si>
  <si>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</si>
  <si>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</si>
  <si>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</si>
  <si>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</si>
  <si>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</si>
  <si>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</si>
  <si>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</si>
  <si>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</si>
  <si>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</si>
  <si>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</si>
  <si>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</si>
  <si>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</si>
  <si>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</si>
  <si>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</si>
  <si>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</si>
  <si>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</si>
  <si>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</si>
  <si>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</si>
  <si>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</si>
  <si>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</si>
  <si>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</si>
  <si>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</si>
  <si>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</si>
  <si>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</si>
  <si>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</si>
  <si>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</si>
  <si>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</si>
  <si>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</si>
  <si>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</si>
  <si>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</si>
  <si>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</si>
  <si>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</si>
  <si>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</si>
  <si>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</si>
  <si>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</si>
  <si>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</si>
  <si>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</si>
  <si>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</si>
  <si>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</si>
  <si>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</si>
  <si>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</si>
  <si>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</si>
  <si>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</si>
  <si>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</si>
  <si>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</si>
  <si>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</si>
  <si>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</si>
  <si>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</si>
  <si>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</si>
  <si>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</si>
  <si>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</si>
  <si>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</si>
  <si>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</si>
  <si>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</si>
  <si>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</si>
  <si>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</si>
  <si>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</si>
  <si>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</si>
  <si>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</si>
  <si>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</si>
  <si>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</si>
  <si>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</si>
  <si>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</si>
  <si>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</si>
  <si>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</si>
  <si>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</si>
  <si>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</si>
  <si>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</si>
  <si>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</si>
  <si>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</si>
  <si>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</si>
  <si>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</si>
  <si>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</si>
  <si>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</si>
  <si>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</si>
  <si>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</si>
  <si>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</si>
  <si>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</si>
  <si>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</si>
  <si>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</si>
  <si>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</si>
  <si>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</si>
  <si>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</si>
  <si>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</si>
  <si>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</si>
  <si>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</si>
  <si>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</si>
  <si>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</si>
  <si>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</si>
  <si>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</si>
  <si>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</si>
  <si>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</si>
  <si>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</si>
  <si>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</si>
  <si>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</si>
  <si>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</si>
  <si>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</si>
  <si>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</si>
  <si>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</si>
  <si>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</si>
  <si>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</si>
  <si>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</si>
  <si>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</si>
  <si>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</si>
  <si>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</si>
  <si>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</si>
  <si>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</si>
  <si>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</si>
  <si>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</si>
  <si>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</si>
  <si>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</si>
  <si>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</si>
  <si>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</si>
  <si>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</si>
  <si>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</si>
  <si>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</si>
  <si>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</si>
  <si>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</si>
  <si>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</si>
  <si>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</si>
  <si>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</si>
  <si>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</si>
  <si>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</si>
  <si>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</si>
  <si>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</si>
  <si>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</si>
  <si>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</si>
  <si>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</si>
  <si>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</si>
  <si>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</si>
  <si>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</si>
  <si>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</si>
  <si>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</si>
  <si>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</si>
  <si>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</si>
  <si>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</si>
  <si>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</si>
  <si>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</si>
  <si>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</si>
  <si>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</si>
  <si>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</si>
  <si>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</si>
  <si>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</si>
  <si>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</si>
  <si>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</si>
  <si>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</si>
  <si>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</si>
  <si>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</si>
  <si>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</si>
  <si>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</si>
  <si>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</si>
  <si>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</si>
  <si>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</si>
  <si>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</si>
  <si>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</si>
  <si>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</si>
  <si>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</si>
  <si>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</si>
  <si>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</si>
  <si>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</si>
  <si>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</si>
  <si>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</si>
  <si>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</si>
  <si>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</si>
  <si>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</si>
  <si>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</si>
  <si>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</si>
  <si>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</si>
  <si>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</si>
  <si>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</si>
  <si>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</si>
  <si>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</si>
  <si>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</si>
  <si>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</si>
  <si>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</si>
  <si>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</si>
  <si>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</si>
  <si>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</si>
  <si>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</si>
  <si>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</si>
  <si>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</si>
  <si>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</si>
  <si>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</si>
  <si>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</si>
  <si>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</si>
  <si>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</si>
  <si>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</si>
  <si>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</si>
  <si>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</si>
  <si>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</si>
  <si>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</si>
  <si>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</si>
  <si>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</si>
  <si>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</si>
  <si>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</si>
  <si>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</si>
  <si>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</si>
  <si>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</si>
  <si>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</si>
  <si>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</si>
  <si>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</si>
  <si>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</si>
  <si>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</si>
  <si>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</si>
  <si>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</si>
  <si>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</si>
  <si>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</si>
  <si>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</si>
  <si>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</si>
  <si>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</si>
  <si>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</si>
  <si>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</si>
  <si>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</si>
  <si>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</si>
  <si>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</si>
  <si>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</si>
  <si>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</si>
  <si>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</si>
  <si>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</si>
  <si>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</si>
  <si>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</si>
  <si>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</si>
  <si>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</si>
  <si>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</si>
  <si>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</si>
  <si>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</si>
  <si>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</si>
  <si>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</si>
  <si>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</si>
  <si>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</si>
  <si>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</si>
  <si>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</si>
  <si>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</si>
  <si>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</si>
  <si>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</si>
  <si>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</si>
  <si>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</si>
  <si>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</si>
  <si>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</si>
  <si>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</si>
  <si>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</si>
  <si>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</si>
  <si>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</si>
  <si>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</si>
  <si>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</si>
  <si>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</si>
  <si>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</si>
  <si>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</si>
  <si>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</si>
  <si>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</si>
  <si>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</si>
  <si>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</si>
  <si>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</si>
  <si>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</si>
  <si>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</si>
  <si>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</si>
  <si>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</si>
  <si>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</si>
  <si>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</si>
  <si>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</si>
  <si>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</si>
  <si>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</si>
  <si>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</si>
  <si>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</si>
  <si>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</si>
  <si>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</si>
  <si>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</si>
  <si>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</si>
  <si>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</si>
  <si>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</si>
  <si>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</si>
  <si>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</si>
  <si>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</si>
  <si>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</si>
  <si>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</si>
  <si>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</si>
  <si>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</si>
  <si>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</si>
  <si>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</si>
  <si>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</si>
  <si>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</si>
  <si>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</si>
  <si>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</si>
  <si>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</si>
  <si>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</si>
  <si>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</si>
  <si>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</si>
  <si>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</si>
  <si>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</si>
  <si>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</si>
  <si>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</si>
  <si>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</si>
  <si>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</si>
  <si>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</si>
  <si>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</si>
  <si>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</si>
  <si>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</si>
  <si>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</si>
  <si>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</si>
  <si>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</si>
  <si>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</si>
  <si>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</si>
  <si>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</si>
  <si>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</si>
  <si>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</si>
  <si>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</si>
  <si>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</si>
  <si>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</si>
  <si>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</si>
  <si>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</si>
  <si>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</si>
  <si>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</si>
  <si>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</si>
  <si>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</si>
  <si>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</si>
  <si>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</si>
  <si>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</si>
  <si>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</si>
  <si>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</si>
  <si>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</si>
  <si>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</si>
  <si>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</si>
  <si>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</si>
  <si>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</si>
  <si>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</si>
  <si>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</si>
  <si>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</si>
  <si>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</si>
  <si>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</si>
  <si>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</si>
  <si>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</si>
  <si>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</si>
  <si>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</si>
  <si>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</si>
  <si>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</si>
  <si>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</si>
  <si>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</si>
  <si>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</si>
  <si>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</si>
  <si>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</si>
  <si>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</si>
  <si>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</si>
  <si>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</si>
  <si>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</si>
  <si>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</si>
  <si>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</si>
  <si>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</si>
  <si>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</si>
  <si>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</si>
  <si>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</si>
  <si>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</si>
  <si>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</si>
  <si>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</si>
  <si>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</si>
  <si>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</si>
  <si>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</si>
  <si>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</si>
  <si>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</si>
  <si>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</si>
  <si>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</si>
  <si>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</si>
  <si>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</si>
  <si>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</si>
  <si>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</si>
  <si>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</si>
  <si>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</si>
  <si>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</si>
  <si>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</si>
  <si>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</si>
  <si>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</si>
  <si>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</si>
  <si>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</si>
  <si>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</si>
  <si>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</si>
  <si>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</si>
  <si>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</si>
  <si>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</si>
  <si>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</si>
  <si>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</si>
  <si>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</si>
  <si>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</si>
  <si>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</si>
  <si>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</si>
  <si>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</si>
  <si>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</si>
  <si>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</si>
  <si>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</si>
  <si>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</si>
  <si>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</si>
  <si>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</si>
  <si>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</si>
  <si>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</si>
  <si>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</si>
  <si>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</si>
  <si>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</si>
  <si>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</si>
  <si>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</si>
  <si>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</si>
  <si>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</si>
  <si>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</si>
  <si>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</si>
  <si>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</si>
  <si>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</si>
  <si>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</si>
  <si>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</si>
  <si>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</si>
  <si>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</si>
  <si>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</si>
  <si>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</si>
  <si>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</si>
  <si>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</si>
  <si>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</si>
  <si>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</si>
  <si>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</si>
  <si>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</si>
  <si>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</si>
  <si>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</si>
  <si>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</si>
  <si>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</si>
  <si>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</si>
  <si>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</si>
  <si>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</si>
  <si>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</si>
  <si>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</si>
  <si>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</si>
  <si>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</si>
  <si>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</si>
  <si>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</si>
  <si>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</si>
  <si>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</si>
  <si>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</si>
  <si>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</si>
  <si>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</si>
  <si>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</si>
  <si>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</si>
  <si>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</si>
  <si>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</si>
  <si>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</si>
  <si>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</si>
  <si>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</si>
  <si>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</si>
  <si>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</si>
  <si>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</si>
  <si>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</si>
  <si>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</si>
  <si>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</si>
  <si>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</si>
  <si>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</si>
  <si>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</si>
  <si>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</si>
  <si>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</si>
  <si>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</si>
  <si>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</si>
  <si>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</si>
  <si>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</si>
  <si>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</si>
  <si>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</si>
  <si>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</si>
  <si>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</si>
  <si>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</si>
  <si>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</si>
  <si>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</si>
  <si>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</si>
  <si>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</si>
  <si>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</si>
  <si>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</si>
  <si>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</si>
  <si>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</si>
  <si>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</si>
  <si>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</si>
  <si>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</si>
  <si>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</si>
  <si>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</si>
  <si>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</si>
  <si>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</si>
  <si>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</si>
  <si>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</si>
  <si>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</si>
  <si>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</si>
  <si>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</si>
  <si>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</si>
  <si>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</si>
  <si>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</si>
  <si>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</si>
  <si>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</si>
  <si>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</si>
  <si>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</si>
  <si>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</si>
  <si>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</si>
  <si>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</si>
  <si>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</si>
  <si>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</si>
  <si>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</si>
  <si>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</si>
  <si>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</si>
  <si>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</si>
  <si>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</si>
  <si>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</si>
  <si>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</si>
  <si>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</si>
  <si>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</si>
  <si>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</si>
  <si>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</si>
  <si>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</si>
  <si>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</si>
  <si>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</si>
  <si>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</si>
  <si>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</si>
  <si>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</si>
  <si>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</si>
  <si>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</si>
  <si>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</si>
  <si>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</si>
  <si>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</si>
  <si>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</si>
  <si>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</si>
  <si>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</si>
  <si>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</si>
  <si>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</si>
  <si>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</si>
  <si>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</si>
  <si>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</si>
  <si>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</si>
  <si>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</si>
  <si>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</si>
  <si>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</si>
  <si>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</si>
  <si>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</si>
  <si>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</si>
  <si>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</si>
  <si>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</si>
  <si>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</si>
  <si>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</si>
  <si>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</si>
  <si>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</si>
  <si>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</si>
  <si>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</si>
  <si>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</si>
  <si>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</si>
  <si>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</si>
  <si>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</si>
  <si>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</si>
  <si>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</si>
  <si>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</si>
  <si>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</si>
  <si>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</si>
  <si>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</si>
  <si>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</si>
  <si>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</si>
  <si>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</si>
  <si>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</si>
  <si>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</si>
  <si>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</si>
  <si>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</si>
  <si>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</si>
  <si>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</si>
  <si>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</si>
  <si>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</si>
  <si>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</si>
  <si>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</si>
  <si>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</si>
  <si>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</si>
  <si>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</si>
  <si>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</si>
  <si>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</si>
  <si>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</si>
  <si>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</si>
  <si>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</si>
  <si>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</si>
  <si>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</si>
  <si>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</si>
  <si>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</si>
  <si>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</si>
  <si>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</si>
  <si>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</si>
  <si>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</si>
  <si>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</si>
  <si>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</si>
  <si>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</si>
  <si>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</si>
  <si>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</si>
  <si>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</si>
  <si>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</si>
  <si>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</si>
  <si>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</si>
  <si>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</si>
  <si>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</si>
  <si>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</si>
  <si>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</si>
  <si>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</si>
  <si>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</si>
  <si>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</si>
  <si>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</si>
  <si>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</si>
  <si>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</si>
  <si>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</si>
  <si>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</si>
  <si>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</si>
  <si>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</si>
  <si>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</si>
  <si>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</si>
  <si>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</si>
  <si>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</si>
  <si>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</si>
  <si>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</si>
  <si>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</si>
  <si>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</si>
  <si>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</si>
  <si>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</si>
  <si>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</si>
  <si>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</si>
  <si>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</si>
  <si>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</si>
  <si>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</si>
  <si>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</si>
  <si>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</si>
  <si>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</si>
  <si>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</si>
  <si>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</si>
  <si>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</si>
  <si>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</si>
  <si>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</si>
  <si>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</si>
  <si>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</si>
  <si>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</si>
  <si>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</si>
  <si>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</si>
  <si>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</si>
  <si>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</si>
  <si>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</si>
  <si>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</si>
  <si>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</si>
  <si>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</si>
  <si>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</si>
  <si>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</si>
  <si>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</si>
  <si>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</si>
  <si>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</si>
  <si>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</si>
  <si>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</si>
  <si>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</si>
  <si>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</si>
  <si>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</si>
  <si>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</si>
  <si>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</si>
  <si>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</si>
  <si>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</si>
  <si>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</si>
  <si>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</si>
  <si>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</si>
  <si>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</si>
  <si>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</si>
  <si>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</si>
  <si>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</si>
  <si>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</si>
  <si>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</si>
  <si>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</si>
  <si>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</si>
  <si>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</si>
  <si>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</si>
  <si>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</si>
  <si>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</si>
  <si>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</si>
  <si>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</si>
  <si>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</si>
  <si>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</si>
  <si>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</si>
  <si>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</si>
  <si>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</si>
  <si>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</si>
  <si>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</si>
  <si>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</si>
  <si>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</si>
  <si>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</si>
  <si>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</si>
  <si>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</si>
  <si>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</si>
  <si>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</si>
  <si>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</si>
  <si>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</si>
  <si>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</si>
  <si>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</si>
  <si>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</si>
  <si>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</si>
  <si>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</si>
  <si>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</si>
  <si>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</si>
  <si>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</si>
  <si>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</si>
  <si>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</si>
  <si>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</si>
  <si>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</si>
  <si>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</si>
  <si>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</si>
  <si>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</si>
  <si>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</si>
  <si>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</si>
  <si>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</si>
  <si>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</si>
  <si>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</si>
  <si>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</si>
  <si>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</si>
  <si>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</si>
  <si>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</si>
  <si>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</si>
  <si>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</si>
  <si>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</si>
  <si>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</si>
  <si>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</si>
  <si>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</si>
  <si>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</si>
  <si>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</si>
  <si>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</si>
  <si>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</si>
  <si>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</si>
  <si>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</si>
  <si>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</si>
  <si>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</si>
  <si>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</si>
  <si>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</si>
  <si>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</si>
  <si>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</si>
  <si>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</si>
  <si>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</si>
  <si>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</si>
  <si>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</si>
  <si>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</si>
  <si>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</si>
  <si>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</si>
  <si>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</si>
  <si>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</si>
  <si>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</si>
  <si>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</si>
  <si>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</si>
  <si>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</si>
  <si>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</si>
  <si>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</si>
  <si>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</si>
  <si>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</si>
  <si>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</si>
  <si>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</si>
  <si>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</si>
  <si>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</si>
  <si>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</si>
  <si>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</si>
  <si>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</si>
  <si>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</si>
  <si>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</si>
  <si>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</si>
  <si>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</si>
  <si>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</si>
  <si>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</si>
  <si>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</si>
  <si>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</si>
  <si>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</si>
  <si>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</si>
  <si>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</si>
  <si>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</si>
  <si>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</si>
  <si>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</si>
  <si>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</si>
  <si>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</si>
  <si>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</si>
  <si>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</si>
  <si>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</si>
  <si>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</si>
  <si>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</si>
  <si>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</si>
  <si>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</si>
  <si>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</si>
  <si>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</si>
  <si>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</si>
  <si>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</si>
  <si>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</si>
  <si>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</si>
  <si>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</si>
  <si>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</si>
  <si>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</si>
  <si>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</si>
  <si>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</si>
  <si>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</si>
  <si>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</si>
  <si>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</si>
  <si>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</si>
  <si>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</si>
  <si>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</si>
  <si>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</si>
  <si>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</si>
  <si>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</si>
  <si>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</si>
  <si>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</si>
  <si>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</si>
  <si>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</si>
  <si>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</si>
  <si>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</si>
  <si>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</si>
  <si>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</si>
  <si>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</si>
  <si>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</si>
  <si>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</si>
  <si>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</si>
  <si>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</si>
  <si>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</si>
  <si>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</si>
  <si>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</si>
  <si>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</si>
  <si>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</si>
  <si>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</si>
  <si>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</si>
  <si>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</si>
  <si>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</si>
  <si>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</si>
  <si>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</si>
  <si>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</si>
  <si>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</si>
  <si>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</si>
  <si>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</si>
  <si>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</si>
  <si>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</si>
  <si>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</si>
  <si>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</si>
  <si>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</si>
  <si>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</si>
  <si>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</si>
  <si>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</si>
  <si>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</si>
  <si>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</si>
  <si>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</si>
  <si>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</si>
  <si>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</si>
  <si>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</si>
  <si>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</si>
  <si>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</si>
  <si>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</si>
  <si>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</si>
  <si>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</si>
  <si>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</si>
  <si>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</si>
  <si>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</si>
  <si>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</si>
  <si>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</si>
  <si>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</si>
  <si>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</si>
  <si>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</si>
  <si>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</si>
  <si>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</si>
  <si>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</si>
  <si>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</si>
  <si>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</si>
  <si>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</si>
  <si>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</si>
  <si>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</si>
  <si>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</si>
  <si>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</si>
  <si>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</si>
  <si>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</si>
  <si>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</si>
  <si>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</si>
  <si>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</si>
  <si>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</si>
  <si>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</si>
  <si>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</si>
  <si>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</si>
  <si>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</si>
  <si>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</si>
  <si>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</si>
  <si>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</si>
  <si>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</si>
  <si>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</si>
  <si>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</si>
  <si>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</si>
  <si>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</si>
  <si>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</si>
  <si>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</si>
  <si>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</si>
  <si>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</si>
  <si>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</si>
  <si>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</si>
  <si>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</si>
  <si>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</si>
  <si>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</si>
  <si>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</si>
  <si>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</si>
  <si>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</si>
  <si>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</si>
  <si>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</si>
  <si>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</si>
  <si>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</si>
  <si>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</si>
  <si>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</si>
  <si>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</si>
  <si>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</si>
  <si>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</si>
  <si>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</si>
  <si>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</si>
  <si>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</si>
  <si>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</si>
  <si>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</si>
  <si>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</si>
  <si>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</si>
  <si>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</si>
  <si>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</si>
  <si>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</si>
  <si>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</si>
  <si>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</si>
  <si>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</si>
  <si>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</si>
  <si>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</si>
  <si>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</si>
  <si>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</si>
  <si>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</si>
  <si>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</si>
  <si>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</si>
  <si>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</si>
  <si>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</si>
  <si>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</si>
  <si>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</si>
  <si>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</si>
  <si>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</si>
  <si>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</si>
  <si>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</si>
  <si>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</si>
  <si>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</si>
  <si>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</si>
  <si>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</si>
  <si>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</si>
  <si>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</si>
  <si>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</si>
  <si>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</si>
  <si>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</si>
  <si>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</si>
  <si>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</si>
  <si>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</si>
  <si>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</si>
  <si>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</si>
  <si>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</si>
  <si>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</si>
  <si>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</si>
  <si>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</si>
  <si>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</si>
  <si>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</si>
  <si>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</si>
  <si>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</si>
  <si>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</si>
  <si>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</si>
  <si>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</si>
  <si>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</si>
  <si>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</si>
  <si>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</si>
  <si>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</si>
  <si>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</si>
  <si>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</si>
  <si>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</si>
  <si>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</si>
  <si>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</si>
  <si>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</si>
  <si>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</si>
  <si>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</si>
  <si>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</si>
  <si>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</si>
  <si>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</si>
  <si>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</si>
  <si>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</si>
  <si>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</si>
  <si>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</si>
  <si>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</si>
  <si>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</si>
  <si>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</si>
  <si>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</si>
  <si>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</si>
  <si>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</si>
  <si>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</si>
  <si>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</si>
  <si>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</si>
  <si>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</si>
  <si>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</si>
  <si>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</si>
  <si>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</si>
  <si>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</si>
  <si>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</si>
  <si>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</si>
  <si>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</si>
  <si>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</si>
  <si>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</si>
  <si>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</si>
  <si>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</si>
  <si>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</si>
  <si>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</si>
  <si>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</si>
  <si>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</si>
  <si>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</si>
  <si>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</si>
  <si>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</si>
  <si>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</si>
  <si>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</si>
  <si>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</si>
  <si>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</si>
  <si>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</si>
  <si>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</si>
  <si>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</si>
  <si>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</si>
  <si>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</si>
  <si>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</si>
  <si>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</si>
  <si>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</si>
  <si>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</si>
  <si>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</si>
  <si>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</si>
  <si>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</si>
  <si>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</si>
  <si>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</si>
  <si>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</si>
  <si>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</si>
  <si>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</si>
  <si>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</si>
  <si>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</si>
  <si>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</si>
  <si>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</si>
  <si>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</si>
  <si>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</si>
  <si>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</si>
  <si>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</si>
  <si>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</si>
  <si>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</si>
  <si>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</si>
  <si>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</si>
  <si>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</si>
  <si>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</si>
  <si>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</si>
  <si>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</si>
  <si>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</si>
  <si>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</si>
  <si>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</si>
  <si>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</si>
  <si>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</si>
  <si>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</si>
  <si>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</si>
  <si>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</si>
  <si>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</si>
  <si>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</si>
  <si>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</si>
  <si>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</si>
  <si>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</si>
  <si>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</si>
  <si>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</si>
  <si>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</si>
  <si>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</si>
  <si>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</si>
  <si>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</si>
  <si>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</si>
  <si>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</si>
  <si>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</si>
  <si>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</si>
  <si>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</si>
  <si>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</si>
  <si>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</si>
  <si>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</si>
  <si>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</si>
  <si>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</si>
  <si>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</si>
  <si>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</si>
  <si>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</si>
  <si>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</si>
  <si>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</si>
  <si>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</si>
  <si>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</si>
  <si>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</si>
  <si>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</si>
  <si>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</si>
  <si>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</si>
  <si>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</si>
  <si>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</si>
  <si>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</si>
  <si>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</si>
  <si>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</si>
  <si>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</si>
  <si>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</si>
  <si>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</si>
  <si>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</si>
  <si>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</si>
  <si>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</si>
  <si>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</si>
  <si>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</si>
  <si>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</si>
  <si>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</si>
  <si>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</si>
  <si>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</si>
  <si>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</si>
  <si>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</si>
  <si>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</si>
  <si>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</si>
  <si>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</si>
  <si>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</si>
  <si>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</si>
  <si>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</si>
  <si>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</si>
  <si>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</si>
  <si>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</si>
  <si>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</si>
  <si>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</si>
  <si>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</si>
  <si>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</si>
  <si>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</si>
  <si>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</si>
  <si>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</si>
  <si>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</si>
  <si>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</si>
  <si>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</si>
  <si>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</si>
  <si>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</si>
  <si>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</si>
  <si>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</si>
  <si>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</si>
  <si>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</si>
  <si>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</si>
  <si>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</si>
  <si>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</si>
  <si>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</si>
  <si>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</si>
  <si>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</si>
  <si>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</si>
  <si>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</si>
  <si>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</si>
  <si>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</si>
  <si>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</si>
  <si>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</si>
  <si>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</si>
  <si>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</si>
  <si>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</si>
  <si>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</si>
  <si>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</si>
  <si>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</si>
  <si>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</si>
  <si>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</si>
  <si>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</si>
  <si>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</si>
  <si>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</si>
  <si>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</si>
  <si>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</si>
  <si>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</si>
  <si>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</si>
  <si>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</si>
  <si>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</si>
  <si>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</si>
  <si>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</si>
  <si>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</si>
  <si>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</si>
  <si>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</si>
  <si>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</si>
  <si>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</si>
  <si>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</si>
  <si>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</si>
  <si>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</si>
  <si>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</si>
  <si>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</si>
  <si>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</si>
  <si>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</si>
  <si>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</si>
  <si>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</si>
  <si>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</si>
  <si>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</si>
  <si>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</si>
  <si>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</si>
  <si>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</si>
  <si>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</si>
  <si>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</si>
  <si>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</si>
  <si>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</si>
  <si>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</si>
  <si>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</si>
  <si>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</si>
  <si>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</si>
  <si>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</si>
  <si>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</si>
  <si>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</si>
  <si>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</si>
  <si>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</si>
  <si>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</si>
  <si>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</si>
  <si>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</si>
  <si>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</si>
  <si>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</si>
  <si>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</si>
  <si>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</si>
  <si>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</si>
  <si>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</si>
  <si>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</si>
  <si>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</si>
  <si>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</si>
  <si>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</si>
  <si>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</si>
  <si>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</si>
  <si>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</si>
  <si>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</si>
  <si>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</si>
  <si>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</si>
  <si>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</si>
  <si>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</si>
  <si>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</si>
  <si>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</si>
  <si>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</si>
  <si>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</si>
  <si>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</si>
  <si>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</si>
  <si>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</si>
  <si>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</si>
  <si>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</si>
  <si>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</si>
  <si>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</si>
  <si>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</si>
  <si>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</si>
  <si>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</si>
  <si>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</si>
  <si>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</si>
  <si>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</si>
  <si>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</si>
  <si>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</si>
  <si>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</si>
  <si>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</si>
  <si>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</si>
  <si>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</si>
  <si>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</si>
  <si>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</si>
  <si>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</si>
  <si>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</si>
  <si>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</si>
  <si>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</si>
  <si>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</si>
  <si>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</si>
  <si>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</si>
  <si>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</si>
  <si>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</si>
  <si>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</si>
  <si>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</si>
  <si>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</si>
  <si>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</si>
  <si>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</si>
  <si>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</si>
  <si>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</si>
  <si>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</si>
  <si>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</si>
  <si>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</si>
  <si>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</si>
  <si>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</si>
  <si>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</si>
  <si>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</si>
  <si>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</si>
  <si>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</si>
  <si>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</si>
  <si>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</si>
  <si>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</si>
  <si>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</si>
  <si>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</si>
  <si>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</si>
  <si>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</si>
  <si>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</si>
  <si>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</si>
  <si>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</si>
  <si>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</si>
  <si>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</si>
  <si>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</si>
  <si>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</si>
  <si>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</si>
  <si>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</si>
  <si>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</si>
  <si>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</si>
  <si>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</si>
  <si>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</si>
  <si>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</si>
  <si>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</si>
  <si>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</si>
  <si>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</si>
  <si>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</si>
  <si>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</si>
  <si>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</si>
  <si>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</si>
  <si>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</si>
  <si>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</si>
  <si>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</si>
  <si>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</si>
  <si>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</si>
  <si>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</si>
  <si>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</si>
  <si>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</si>
  <si>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</si>
  <si>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</si>
  <si>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</si>
  <si>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</si>
  <si>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</si>
  <si>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</si>
  <si>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</si>
  <si>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</si>
  <si>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</si>
  <si>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</si>
  <si>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</si>
  <si>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</si>
  <si>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</si>
  <si>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</si>
  <si>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</si>
  <si>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</si>
  <si>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</si>
  <si>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</si>
  <si>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</si>
  <si>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</si>
  <si>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</si>
  <si>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</si>
  <si>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</si>
  <si>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</si>
  <si>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</si>
  <si>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</si>
  <si>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</si>
  <si>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</si>
  <si>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</si>
  <si>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</si>
  <si>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</si>
  <si>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</si>
  <si>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</si>
  <si>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</si>
  <si>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</si>
  <si>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</si>
  <si>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</si>
  <si>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</si>
  <si>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</si>
  <si>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</si>
  <si>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</si>
  <si>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</si>
  <si>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</si>
  <si>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</si>
  <si>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</si>
  <si>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</si>
  <si>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</si>
  <si>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</si>
  <si>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</si>
  <si>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</si>
  <si>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</si>
  <si>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</si>
  <si>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</si>
  <si>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</si>
  <si>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</si>
  <si>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</si>
  <si>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</si>
  <si>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</si>
  <si>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</si>
  <si>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</si>
  <si>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</si>
  <si>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</si>
  <si>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</si>
  <si>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</si>
  <si>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</si>
  <si>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</si>
  <si>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</si>
  <si>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</si>
  <si>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</si>
  <si>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</si>
  <si>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</si>
  <si>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</si>
  <si>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</si>
  <si>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</si>
  <si>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</si>
  <si>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</si>
  <si>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</si>
  <si>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</si>
  <si>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</si>
  <si>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</si>
  <si>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</si>
  <si>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</si>
  <si>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</si>
  <si>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</si>
  <si>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</si>
  <si>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</si>
  <si>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</si>
  <si>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</si>
  <si>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</si>
  <si>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</si>
  <si>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</si>
  <si>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</si>
  <si>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</si>
  <si>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</si>
  <si>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</si>
  <si>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</si>
  <si>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</si>
  <si>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</si>
  <si>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</si>
  <si>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</si>
  <si>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</si>
  <si>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</si>
  <si>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</si>
  <si>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</si>
  <si>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</si>
  <si>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</si>
  <si>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</si>
  <si>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</si>
  <si>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</si>
  <si>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</si>
  <si>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</si>
  <si>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</si>
  <si>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</si>
  <si>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</si>
  <si>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</si>
  <si>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</si>
  <si>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</si>
  <si>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</si>
  <si>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</si>
  <si>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</si>
  <si>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</si>
  <si>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</si>
  <si>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</si>
  <si>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</si>
  <si>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</si>
  <si>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</si>
  <si>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</si>
  <si>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</si>
  <si>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</si>
  <si>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</si>
  <si>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</si>
  <si>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</si>
  <si>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</si>
  <si>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</si>
  <si>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</si>
  <si>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</si>
  <si>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</si>
  <si>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</si>
  <si>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</si>
  <si>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</si>
  <si>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</si>
  <si>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</si>
  <si>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</si>
  <si>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</si>
  <si>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</si>
  <si>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</si>
  <si>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</si>
  <si>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</si>
  <si>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</si>
  <si>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</si>
  <si>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</si>
  <si>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</si>
  <si>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</si>
  <si>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</si>
  <si>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</si>
  <si>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</si>
  <si>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</si>
  <si>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</si>
  <si>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</si>
  <si>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</si>
  <si>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</si>
  <si>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</si>
  <si>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</si>
  <si>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</si>
  <si>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</si>
  <si>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</si>
  <si>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</si>
  <si>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</si>
  <si>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</si>
  <si>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</si>
  <si>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</si>
  <si>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</si>
  <si>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</si>
  <si>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</si>
  <si>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</si>
  <si>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</si>
  <si>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</si>
  <si>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</si>
  <si>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</si>
  <si>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</si>
  <si>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</si>
  <si>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</si>
  <si>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</si>
  <si>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</si>
  <si>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</si>
  <si>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</si>
  <si>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</si>
  <si>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</si>
  <si>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</si>
  <si>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</si>
  <si>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</si>
  <si>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</si>
  <si>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</si>
  <si>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</si>
  <si>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</si>
  <si>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</si>
  <si>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</si>
  <si>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</si>
  <si>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</si>
  <si>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</si>
  <si>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</si>
  <si>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</si>
  <si>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</si>
  <si>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</si>
  <si>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</si>
  <si>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</si>
  <si>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</si>
  <si>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</si>
  <si>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</si>
  <si>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</si>
  <si>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</si>
  <si>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</si>
  <si>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</si>
  <si>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</si>
  <si>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</si>
  <si>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</si>
  <si>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</si>
  <si>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</si>
  <si>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</si>
  <si>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</si>
  <si>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</si>
  <si>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</si>
  <si>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</si>
  <si>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</si>
  <si>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</si>
  <si>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</si>
  <si>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</si>
  <si>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</si>
  <si>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</si>
  <si>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</si>
  <si>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</si>
  <si>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</si>
  <si>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</si>
  <si>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</si>
  <si>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</si>
  <si>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</si>
  <si>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</si>
  <si>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</si>
  <si>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</si>
  <si>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</si>
  <si>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</si>
  <si>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</si>
  <si>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</si>
  <si>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</si>
  <si>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</si>
  <si>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</si>
  <si>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</si>
  <si>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</si>
  <si>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</si>
  <si>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</si>
  <si>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</si>
  <si>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</si>
  <si>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</si>
  <si>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</si>
  <si>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</si>
  <si>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</si>
  <si>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</si>
  <si>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</si>
  <si>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</si>
  <si>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</si>
  <si>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</si>
  <si>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</si>
  <si>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</si>
  <si>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</si>
  <si>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</si>
  <si>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</si>
  <si>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</si>
  <si>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</si>
  <si>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</si>
  <si>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</si>
  <si>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</si>
  <si>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</si>
  <si>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</si>
  <si>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</si>
  <si>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</si>
  <si>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</si>
  <si>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</si>
  <si>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</si>
  <si>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</si>
  <si>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</si>
  <si>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</si>
  <si>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</si>
  <si>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</si>
  <si>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</si>
  <si>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</si>
  <si>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</si>
  <si>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</si>
  <si>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</si>
  <si>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</si>
  <si>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</si>
  <si>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</si>
  <si>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</si>
  <si>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</si>
  <si>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</si>
  <si>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</si>
  <si>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</si>
  <si>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</si>
  <si>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</si>
  <si>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</si>
  <si>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</si>
  <si>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</si>
  <si>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</si>
  <si>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</si>
  <si>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</si>
  <si>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</si>
  <si>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</si>
  <si>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</si>
  <si>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</si>
  <si>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</si>
  <si>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</si>
  <si>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</si>
  <si>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</si>
  <si>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</si>
  <si>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</si>
  <si>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</si>
  <si>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</si>
  <si>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</si>
  <si>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</si>
  <si>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</si>
  <si>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</si>
  <si>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</si>
  <si>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</si>
  <si>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</si>
  <si>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</si>
  <si>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</si>
  <si>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</si>
  <si>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</si>
  <si>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</si>
  <si>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</si>
  <si>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</si>
  <si>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</si>
  <si>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</si>
  <si>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</si>
  <si>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</si>
  <si>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</si>
  <si>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</si>
  <si>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</si>
  <si>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</si>
  <si>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</si>
  <si>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</si>
  <si>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</si>
  <si>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</si>
  <si>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</si>
  <si>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</si>
  <si>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</si>
  <si>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</si>
  <si>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</si>
  <si>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</si>
  <si>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</si>
  <si>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</si>
  <si>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</si>
  <si>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</si>
  <si>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</si>
  <si>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</si>
  <si>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</si>
  <si>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</si>
  <si>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</si>
  <si>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</si>
  <si>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</si>
  <si>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</si>
  <si>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</si>
  <si>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</si>
  <si>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</si>
  <si>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</si>
  <si>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</si>
  <si>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</si>
  <si>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</si>
  <si>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</si>
  <si>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</si>
  <si>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</si>
  <si>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</si>
  <si>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</si>
  <si>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</si>
  <si>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</si>
  <si>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</si>
  <si>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</si>
  <si>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</si>
  <si>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</si>
  <si>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</si>
  <si>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</si>
  <si>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</si>
  <si>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</si>
  <si>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</si>
  <si>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</si>
  <si>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</si>
  <si>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</si>
  <si>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</si>
  <si>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</si>
  <si>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</si>
  <si>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</si>
  <si>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</si>
  <si>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</si>
  <si>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</si>
  <si>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</si>
  <si>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</si>
  <si>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</si>
  <si>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</si>
  <si>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</si>
  <si>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</si>
  <si>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</si>
  <si>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</si>
  <si>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</si>
  <si>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</si>
  <si>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</si>
  <si>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</si>
  <si>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</si>
  <si>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</si>
  <si>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</si>
  <si>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</si>
  <si>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</si>
  <si>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</si>
  <si>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</si>
  <si>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</si>
  <si>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</si>
  <si>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</si>
  <si>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</si>
  <si>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</si>
  <si>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</si>
  <si>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</si>
  <si>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</si>
  <si>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</si>
  <si>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</si>
  <si>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</si>
  <si>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</si>
  <si>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</si>
  <si>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</si>
  <si>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</si>
  <si>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</si>
  <si>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</si>
  <si>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</si>
  <si>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</si>
  <si>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</si>
  <si>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</si>
  <si>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</si>
  <si>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</si>
  <si>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</si>
  <si>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</si>
  <si>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</si>
  <si>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</si>
  <si>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</si>
  <si>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</si>
  <si>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</si>
  <si>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</si>
  <si>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</si>
  <si>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</si>
  <si>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</si>
  <si>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</si>
  <si>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</si>
  <si>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</si>
  <si>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</si>
  <si>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</si>
  <si>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</si>
  <si>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</si>
  <si>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</si>
  <si>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</si>
  <si>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</si>
  <si>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</si>
  <si>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</si>
  <si>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</si>
  <si>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</si>
  <si>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</si>
  <si>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</si>
  <si>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</si>
  <si>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</si>
  <si>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</si>
  <si>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</si>
  <si>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</si>
  <si>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</si>
  <si>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</si>
  <si>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</si>
  <si>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</si>
  <si>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</si>
  <si>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</si>
  <si>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</si>
  <si>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</si>
  <si>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</si>
  <si>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</si>
  <si>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</si>
  <si>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</si>
  <si>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</si>
  <si>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</si>
  <si>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</si>
  <si>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</si>
  <si>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</si>
  <si>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</si>
  <si>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</si>
  <si>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</si>
  <si>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</si>
  <si>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</si>
  <si>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</si>
  <si>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</si>
  <si>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</si>
  <si>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</si>
  <si>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</si>
  <si>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</si>
  <si>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</si>
  <si>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</si>
  <si>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</si>
  <si>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</si>
  <si>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</si>
  <si>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</si>
  <si>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</si>
  <si>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</si>
  <si>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</si>
  <si>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</si>
  <si>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</si>
  <si>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</si>
  <si>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</si>
  <si>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</si>
  <si>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</si>
  <si>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</si>
  <si>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</si>
  <si>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</si>
  <si>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</si>
  <si>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</si>
  <si>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</si>
  <si>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</si>
  <si>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</si>
  <si>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</si>
  <si>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</si>
  <si>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</si>
  <si>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</si>
  <si>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</si>
  <si>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</si>
  <si>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</si>
  <si>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</si>
  <si>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</si>
  <si>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</si>
  <si>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</si>
  <si>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</si>
  <si>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</si>
  <si>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</si>
  <si>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</si>
  <si>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</si>
  <si>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</si>
  <si>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</si>
  <si>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</si>
  <si>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</si>
  <si>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</si>
  <si>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</si>
  <si>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</si>
  <si>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</si>
  <si>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</si>
  <si>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</si>
  <si>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</si>
  <si>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</si>
  <si>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</si>
  <si>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</si>
  <si>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</si>
  <si>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</si>
  <si>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</si>
  <si>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</si>
  <si>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</si>
  <si>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</si>
  <si>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</si>
  <si>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</si>
  <si>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</si>
  <si>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</si>
  <si>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</si>
  <si>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</si>
  <si>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</si>
  <si>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</si>
  <si>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</si>
  <si>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</si>
  <si>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</si>
  <si>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</si>
  <si>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</si>
  <si>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</si>
  <si>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</si>
  <si>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</si>
  <si>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</si>
  <si>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</si>
  <si>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</si>
  <si>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</si>
  <si>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</si>
  <si>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</si>
  <si>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</si>
  <si>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</si>
  <si>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</si>
  <si>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</si>
  <si>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</si>
  <si>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</si>
  <si>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</si>
  <si>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</si>
  <si>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</si>
  <si>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</si>
  <si>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</si>
  <si>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</si>
  <si>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</si>
  <si>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</si>
  <si>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</si>
  <si>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</si>
  <si>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</si>
  <si>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</si>
  <si>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</si>
  <si>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</si>
  <si>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</si>
  <si>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</si>
  <si>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</si>
  <si>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</si>
  <si>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</si>
  <si>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</si>
  <si>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</si>
  <si>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</si>
  <si>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</si>
  <si>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</si>
  <si>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</si>
  <si>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</si>
  <si>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</si>
  <si>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</si>
  <si>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</si>
  <si>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</si>
  <si>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</si>
  <si>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</si>
  <si>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</si>
  <si>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</si>
  <si>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</si>
  <si>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</si>
  <si>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</si>
  <si>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</si>
  <si>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</si>
  <si>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</si>
  <si>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</si>
  <si>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</si>
  <si>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</si>
  <si>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</si>
  <si>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</si>
  <si>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</si>
  <si>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</si>
  <si>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</si>
  <si>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</si>
  <si>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</si>
  <si>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</si>
  <si>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</si>
  <si>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</si>
  <si>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</si>
  <si>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</si>
  <si>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</si>
  <si>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</si>
  <si>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</si>
  <si>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</si>
  <si>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</si>
  <si>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</si>
  <si>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</si>
  <si>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</si>
  <si>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</si>
  <si>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</si>
  <si>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</si>
  <si>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</si>
  <si>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</si>
  <si>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</si>
  <si>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</si>
  <si>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</si>
  <si>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</si>
  <si>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</si>
  <si>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</si>
  <si>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</si>
  <si>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</si>
  <si>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</si>
  <si>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</si>
  <si>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</si>
  <si>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</si>
  <si>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</si>
  <si>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</si>
  <si>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</si>
  <si>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</si>
  <si>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</si>
  <si>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</si>
  <si>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</si>
  <si>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</si>
  <si>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</si>
  <si>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</si>
  <si>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</si>
  <si>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</si>
  <si>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</si>
  <si>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</si>
  <si>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</si>
  <si>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</si>
  <si>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</si>
  <si>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</si>
  <si>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</si>
  <si>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</si>
  <si>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</si>
  <si>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</si>
  <si>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</si>
  <si>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</si>
  <si>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</si>
  <si>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</si>
  <si>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</si>
  <si>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</si>
  <si>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</si>
  <si>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</si>
  <si>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</si>
  <si>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</si>
  <si>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</si>
  <si>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</si>
  <si>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</si>
  <si>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</si>
  <si>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</si>
  <si>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</si>
  <si>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</si>
  <si>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</si>
  <si>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</si>
  <si>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</si>
  <si>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</si>
  <si>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</si>
  <si>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</si>
  <si>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</si>
  <si>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</si>
  <si>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</si>
  <si>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</si>
  <si>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</si>
  <si>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</si>
  <si>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</si>
  <si>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</si>
  <si>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</si>
  <si>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</si>
  <si>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</si>
  <si>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</si>
  <si>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</si>
  <si>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</si>
  <si>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</si>
  <si>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</si>
  <si>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</si>
  <si>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</si>
  <si>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</si>
  <si>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</si>
  <si>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</si>
  <si>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</si>
  <si>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</si>
  <si>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</si>
  <si>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</si>
  <si>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</si>
  <si>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</si>
  <si>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</si>
  <si>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</si>
  <si>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</si>
  <si>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</si>
  <si>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</si>
  <si>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</si>
  <si>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</si>
  <si>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</si>
  <si>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</si>
  <si>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</si>
  <si>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</si>
  <si>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</si>
  <si>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</si>
  <si>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</si>
  <si>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</si>
  <si>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</si>
  <si>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</si>
  <si>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</si>
  <si>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</si>
  <si>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</si>
  <si>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</si>
  <si>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</si>
  <si>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</si>
  <si>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</si>
  <si>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</si>
  <si>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</si>
  <si>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</si>
  <si>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</si>
  <si>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</si>
  <si>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</si>
  <si>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</si>
  <si>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</si>
  <si>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</si>
  <si>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</si>
  <si>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</si>
  <si>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</si>
  <si>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</si>
  <si>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</si>
  <si>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</si>
  <si>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</si>
  <si>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</si>
  <si>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</si>
  <si>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</si>
  <si>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</si>
  <si>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</si>
  <si>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</si>
  <si>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</si>
  <si>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</si>
  <si>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</si>
  <si>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</si>
  <si>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</si>
  <si>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</si>
  <si>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</si>
  <si>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</si>
  <si>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</si>
  <si>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</si>
  <si>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</si>
  <si>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</si>
  <si>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</si>
  <si>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</si>
  <si>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</si>
  <si>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</si>
  <si>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</si>
  <si>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</si>
  <si>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</si>
  <si>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</si>
  <si>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</si>
  <si>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</si>
  <si>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</si>
  <si>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</si>
  <si>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</si>
  <si>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</si>
  <si>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</si>
  <si>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</si>
  <si>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</si>
  <si>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</si>
  <si>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</si>
  <si>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</si>
  <si>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</si>
  <si>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</si>
  <si>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</si>
  <si>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</si>
  <si>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</si>
  <si>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</si>
  <si>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</si>
  <si>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</si>
  <si>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</si>
  <si>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</si>
  <si>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</si>
  <si>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</si>
  <si>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</si>
  <si>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</si>
  <si>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</si>
  <si>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</si>
  <si>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</si>
  <si>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</si>
  <si>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</si>
  <si>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</si>
  <si>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</si>
  <si>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</si>
  <si>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</si>
  <si>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</si>
  <si>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</si>
  <si>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</si>
  <si>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</si>
  <si>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</si>
  <si>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</si>
  <si>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</si>
  <si>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</si>
  <si>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</si>
  <si>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</si>
  <si>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</si>
  <si>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</si>
  <si>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</si>
  <si>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</si>
  <si>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</si>
  <si>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</si>
  <si>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</si>
  <si>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</si>
  <si>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</si>
  <si>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</si>
  <si>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</si>
  <si>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</si>
  <si>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</si>
  <si>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</si>
  <si>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</si>
  <si>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</si>
  <si>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</si>
  <si>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</si>
  <si>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</si>
  <si>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</si>
  <si>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</si>
  <si>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</si>
  <si>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</si>
  <si>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</si>
  <si>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</si>
  <si>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</si>
  <si>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</si>
  <si>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</si>
  <si>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</si>
  <si>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</si>
  <si>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</si>
  <si>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</si>
  <si>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</si>
  <si>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</si>
  <si>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</si>
  <si>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</si>
  <si>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</si>
  <si>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</si>
  <si>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</si>
  <si>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</si>
  <si>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</si>
  <si>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</si>
  <si>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</si>
  <si>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</si>
  <si>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</si>
  <si>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</si>
  <si>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</si>
  <si>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</si>
  <si>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</si>
  <si>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</si>
  <si>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</si>
  <si>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</si>
  <si>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</si>
  <si>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</si>
  <si>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</si>
  <si>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</si>
  <si>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</si>
  <si>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</si>
  <si>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</si>
  <si>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</si>
  <si>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</si>
  <si>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</si>
  <si>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</si>
  <si>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</si>
  <si>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</si>
  <si>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</si>
  <si>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</si>
  <si>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</si>
  <si>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</si>
  <si>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</si>
  <si>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</si>
  <si>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</si>
  <si>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</si>
  <si>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</si>
  <si>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</si>
  <si>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</si>
  <si>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</si>
  <si>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</si>
  <si>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</si>
  <si>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</si>
  <si>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</si>
  <si>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</si>
  <si>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</si>
  <si>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</si>
  <si>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</si>
  <si>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</si>
  <si>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</si>
  <si>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</si>
  <si>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</si>
  <si>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</si>
  <si>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</si>
  <si>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</si>
  <si>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</si>
  <si>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</si>
  <si>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</si>
  <si>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</si>
  <si>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</si>
  <si>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</si>
  <si>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</si>
  <si>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</si>
  <si>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</si>
  <si>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</si>
  <si>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</si>
  <si>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</si>
  <si>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</si>
  <si>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</si>
  <si>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</si>
  <si>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</si>
  <si>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</si>
  <si>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</si>
  <si>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</si>
  <si>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</si>
  <si>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</si>
  <si>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</si>
  <si>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</si>
  <si>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</si>
  <si>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</si>
  <si>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</si>
  <si>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</si>
  <si>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</si>
  <si>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</si>
  <si>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</si>
  <si>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</si>
  <si>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</si>
  <si>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</si>
  <si>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</si>
  <si>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</si>
  <si>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</si>
  <si>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</si>
  <si>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</si>
  <si>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</si>
  <si>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</si>
  <si>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</si>
  <si>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</si>
  <si>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</si>
  <si>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</si>
  <si>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</si>
  <si>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</si>
  <si>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</si>
  <si>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</si>
  <si>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</si>
  <si>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</si>
  <si>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</si>
  <si>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</si>
  <si>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</si>
  <si>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</si>
  <si>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</si>
  <si>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</si>
  <si>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</si>
  <si>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</si>
  <si>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</si>
  <si>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</si>
  <si>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</si>
  <si>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</si>
  <si>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</si>
  <si>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</si>
  <si>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</si>
  <si>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</si>
  <si>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</si>
  <si>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</si>
  <si>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</si>
  <si>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</si>
  <si>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</si>
  <si>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</si>
  <si>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</si>
  <si>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</si>
  <si>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</si>
  <si>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</si>
  <si>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</si>
  <si>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</si>
  <si>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</si>
  <si>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</si>
  <si>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</si>
  <si>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</si>
  <si>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</si>
  <si>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</si>
  <si>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</si>
  <si>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</si>
  <si>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</si>
  <si>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</si>
  <si>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</si>
  <si>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</si>
  <si>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</si>
  <si>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</si>
  <si>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</si>
  <si>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</si>
  <si>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</si>
  <si>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</si>
  <si>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</si>
  <si>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</si>
  <si>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</si>
  <si>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</si>
  <si>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</si>
  <si>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</si>
  <si>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</si>
  <si>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</si>
  <si>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</si>
  <si>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</si>
  <si>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</si>
  <si>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</si>
  <si>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</si>
  <si>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</si>
  <si>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</si>
  <si>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</si>
  <si>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</si>
  <si>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</si>
  <si>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</si>
  <si>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</si>
  <si>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</si>
  <si>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</si>
  <si>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</si>
  <si>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</si>
  <si>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</si>
  <si>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</si>
  <si>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</si>
  <si>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</si>
  <si>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</si>
  <si>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</si>
  <si>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</si>
  <si>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</si>
  <si>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</si>
  <si>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</si>
  <si>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</si>
  <si>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</si>
  <si>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</si>
  <si>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</si>
  <si>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</si>
  <si>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</si>
  <si>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</si>
  <si>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</si>
  <si>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</si>
  <si>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</si>
  <si>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</si>
  <si>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</si>
  <si>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</si>
  <si>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</si>
  <si>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</si>
  <si>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</si>
  <si>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</si>
  <si>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</si>
  <si>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</si>
  <si>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</si>
  <si>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</si>
  <si>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</si>
  <si>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</si>
  <si>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</si>
  <si>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</si>
  <si>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</si>
  <si>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</si>
  <si>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</si>
  <si>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</si>
  <si>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</si>
  <si>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</si>
  <si>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</si>
  <si>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</si>
  <si>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</si>
  <si>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</si>
  <si>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</si>
  <si>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</si>
  <si>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</si>
  <si>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</si>
  <si>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</si>
  <si>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</si>
  <si>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</si>
  <si>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</si>
  <si>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</si>
  <si>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</si>
  <si>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</si>
  <si>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</si>
  <si>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</si>
  <si>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</si>
  <si>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</si>
  <si>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</si>
  <si>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</si>
  <si>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</si>
  <si>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</si>
  <si>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</si>
  <si>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</si>
  <si>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</si>
  <si>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</si>
  <si>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</si>
  <si>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</si>
  <si>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</si>
  <si>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</si>
  <si>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</si>
  <si>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</si>
  <si>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</si>
  <si>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</si>
  <si>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</si>
  <si>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</si>
  <si>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</si>
  <si>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</si>
  <si>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</si>
  <si>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</si>
  <si>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</si>
  <si>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</si>
  <si>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</si>
  <si>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</si>
  <si>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</si>
  <si>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</si>
  <si>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</si>
  <si>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</si>
  <si>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</si>
  <si>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</si>
  <si>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</si>
  <si>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</si>
  <si>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</si>
  <si>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</si>
  <si>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</si>
  <si>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</si>
  <si>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</si>
  <si>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</si>
  <si>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</si>
  <si>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</si>
  <si>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</si>
  <si>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</si>
  <si>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</si>
  <si>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</si>
  <si>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</si>
  <si>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</si>
  <si>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</si>
  <si>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</si>
  <si>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</si>
  <si>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</si>
  <si>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</si>
  <si>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</si>
  <si>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</si>
  <si>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</si>
  <si>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</si>
  <si>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</si>
  <si>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</si>
  <si>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</si>
  <si>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</si>
  <si>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</si>
  <si>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</si>
  <si>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</si>
  <si>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</si>
  <si>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</si>
  <si>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</si>
  <si>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</si>
  <si>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</si>
  <si>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</si>
  <si>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</si>
  <si>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</si>
  <si>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</si>
  <si>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</si>
  <si>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</si>
  <si>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</si>
  <si>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</si>
  <si>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</si>
  <si>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</si>
  <si>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</si>
  <si>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</si>
  <si>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</si>
  <si>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</si>
  <si>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</si>
  <si>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</si>
  <si>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</si>
  <si>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</si>
  <si>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</si>
  <si>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</si>
  <si>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</si>
  <si>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</si>
  <si>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</si>
  <si>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</si>
  <si>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</si>
  <si>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</si>
  <si>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</si>
  <si>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</si>
  <si>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</si>
  <si>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</si>
  <si>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</si>
  <si>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</si>
  <si>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</si>
  <si>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</si>
  <si>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</si>
  <si>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</si>
  <si>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</si>
  <si>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</si>
  <si>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</si>
  <si>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</si>
  <si>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</si>
  <si>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</si>
  <si>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</si>
  <si>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</si>
  <si>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</si>
  <si>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</si>
  <si>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</si>
  <si>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</si>
  <si>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</si>
  <si>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</si>
  <si>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</si>
  <si>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</si>
  <si>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</si>
  <si>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</si>
  <si>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</si>
  <si>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</si>
  <si>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</si>
  <si>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</si>
  <si>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</si>
  <si>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</si>
  <si>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</si>
  <si>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</si>
  <si>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</si>
  <si>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</si>
  <si>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</si>
  <si>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</si>
  <si>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</si>
  <si>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</si>
  <si>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</si>
  <si>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</si>
  <si>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</si>
  <si>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</si>
  <si>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</si>
  <si>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</si>
  <si>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</si>
  <si>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</si>
  <si>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</si>
  <si>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</si>
  <si>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</si>
  <si>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</si>
  <si>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</si>
  <si>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</si>
  <si>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</si>
  <si>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</si>
  <si>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</si>
  <si>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</si>
  <si>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</si>
  <si>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</si>
  <si>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</si>
  <si>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</si>
  <si>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</si>
  <si>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</si>
  <si>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</si>
  <si>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</si>
  <si>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</si>
  <si>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</si>
  <si>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</si>
  <si>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</si>
  <si>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</si>
  <si>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</si>
  <si>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</si>
  <si>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</si>
  <si>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</si>
  <si>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</si>
  <si>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</si>
  <si>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</si>
  <si>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</si>
  <si>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</si>
  <si>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</si>
  <si>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</si>
  <si>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</si>
  <si>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</si>
  <si>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</si>
  <si>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</si>
  <si>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</si>
  <si>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</si>
  <si>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</si>
  <si>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</si>
  <si>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</si>
  <si>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</si>
  <si>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</si>
  <si>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</si>
  <si>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</si>
  <si>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</si>
  <si>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</si>
  <si>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</si>
  <si>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</si>
  <si>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</si>
  <si>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</si>
  <si>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</si>
  <si>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</si>
  <si>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</si>
  <si>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</si>
  <si>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</si>
  <si>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</si>
  <si>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</si>
  <si>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</si>
  <si>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</si>
  <si>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</si>
  <si>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</si>
  <si>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</si>
  <si>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</si>
  <si>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</si>
  <si>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</si>
  <si>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</si>
  <si>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</si>
  <si>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</si>
  <si>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</si>
  <si>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</si>
  <si>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</si>
  <si>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</si>
  <si>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</si>
  <si>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</si>
  <si>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</si>
  <si>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</si>
  <si>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</si>
  <si>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</si>
  <si>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</si>
  <si>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</si>
  <si>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</si>
  <si>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</si>
  <si>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</si>
  <si>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</si>
  <si>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</si>
  <si>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</si>
  <si>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</si>
  <si>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</si>
  <si>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</si>
  <si>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</si>
  <si>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</si>
  <si>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</si>
  <si>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</si>
  <si>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</si>
  <si>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</si>
  <si>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</si>
  <si>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</si>
  <si>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</si>
  <si>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</si>
  <si>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</si>
  <si>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</si>
  <si>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</si>
  <si>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</si>
  <si>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</si>
  <si>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</si>
  <si>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</si>
  <si>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</si>
  <si>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</si>
  <si>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</si>
  <si>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</si>
  <si>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</si>
  <si>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</si>
  <si>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</si>
  <si>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</si>
  <si>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</si>
  <si>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</si>
  <si>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</si>
  <si>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</si>
  <si>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</si>
  <si>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</si>
  <si>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</si>
  <si>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</si>
  <si>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</si>
  <si>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</si>
  <si>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</si>
  <si>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</si>
  <si>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</si>
  <si>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</si>
  <si>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</si>
  <si>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</si>
  <si>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</si>
  <si>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</si>
  <si>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</si>
  <si>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</si>
  <si>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</si>
  <si>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</si>
  <si>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</si>
  <si>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</si>
  <si>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</si>
  <si>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</si>
  <si>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</si>
  <si>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</si>
  <si>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</si>
  <si>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</si>
  <si>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</si>
  <si>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</si>
  <si>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</si>
  <si>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</si>
  <si>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</si>
  <si>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</si>
  <si>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</si>
  <si>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</si>
  <si>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</si>
  <si>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</si>
  <si>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</si>
  <si>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</si>
  <si>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</si>
  <si>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</si>
  <si>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</si>
  <si>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</si>
  <si>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</si>
  <si>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</si>
  <si>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</si>
  <si>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</si>
  <si>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</si>
  <si>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</si>
  <si>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</si>
  <si>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</si>
  <si>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</si>
  <si>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</si>
  <si>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</si>
  <si>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</si>
  <si>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</si>
  <si>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</si>
  <si>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</si>
  <si>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</si>
  <si>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</si>
  <si>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</si>
  <si>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</si>
  <si>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</si>
  <si>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</si>
  <si>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</si>
  <si>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</si>
  <si>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</si>
  <si>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</si>
  <si>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</si>
  <si>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</si>
  <si>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</si>
  <si>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</si>
  <si>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</si>
  <si>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</si>
  <si>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</si>
  <si>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</si>
  <si>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</si>
  <si>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</si>
  <si>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</si>
  <si>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</si>
  <si>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</si>
  <si>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</si>
  <si>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</si>
  <si>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</si>
  <si>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</si>
  <si>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</si>
  <si>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</si>
  <si>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</si>
  <si>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</si>
  <si>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</si>
  <si>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</si>
  <si>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</si>
  <si>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</si>
  <si>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</si>
  <si>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</si>
  <si>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</si>
  <si>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</si>
  <si>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</si>
  <si>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</si>
  <si>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</si>
  <si>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</si>
  <si>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</si>
  <si>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</si>
  <si>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</si>
  <si>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</si>
  <si>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</si>
  <si>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</si>
  <si>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</si>
  <si>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</si>
  <si>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</si>
  <si>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</si>
  <si>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</si>
  <si>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</si>
  <si>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</si>
  <si>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</si>
  <si>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</si>
  <si>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</si>
  <si>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</si>
  <si>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</si>
  <si>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</si>
  <si>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</si>
  <si>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</si>
  <si>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</si>
  <si>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</si>
  <si>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</si>
  <si>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</si>
  <si>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</si>
  <si>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</si>
  <si>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</si>
  <si>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</si>
  <si>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</si>
  <si>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</si>
  <si>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</si>
  <si>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</si>
  <si>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</si>
  <si>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</si>
  <si>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</si>
  <si>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</si>
  <si>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</si>
  <si>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</si>
  <si>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</si>
  <si>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</si>
  <si>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</si>
  <si>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</si>
  <si>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</si>
  <si>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</si>
  <si>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</si>
  <si>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</si>
  <si>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</si>
  <si>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</si>
  <si>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</si>
  <si>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</si>
  <si>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</si>
  <si>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</si>
  <si>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</si>
  <si>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</si>
  <si>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</si>
  <si>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</si>
  <si>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</si>
  <si>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</si>
  <si>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</si>
  <si>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</si>
  <si>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</si>
  <si>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</si>
  <si>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</si>
  <si>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</si>
  <si>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</si>
  <si>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</si>
  <si>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</si>
  <si>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</si>
  <si>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</si>
  <si>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</si>
  <si>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</si>
  <si>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</si>
  <si>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</si>
  <si>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</si>
  <si>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</si>
  <si>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</si>
  <si>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</si>
  <si>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</si>
  <si>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</si>
  <si>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</si>
  <si>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</si>
  <si>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</si>
  <si>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</si>
  <si>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</si>
  <si>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</si>
  <si>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</si>
  <si>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</si>
  <si>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</si>
  <si>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</si>
  <si>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</si>
  <si>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</si>
  <si>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</si>
  <si>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</si>
  <si>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</si>
  <si>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</si>
  <si>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</si>
  <si>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</si>
  <si>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</si>
  <si>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</si>
  <si>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</si>
  <si>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</si>
  <si>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</si>
  <si>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</si>
  <si>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</si>
  <si>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</si>
  <si>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</si>
  <si>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</si>
  <si>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</si>
  <si>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</si>
  <si>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</si>
  <si>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</si>
  <si>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</si>
  <si>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</si>
  <si>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</si>
  <si>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</si>
  <si>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</si>
  <si>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</si>
  <si>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</si>
  <si>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</si>
  <si>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</si>
  <si>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</si>
  <si>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</si>
  <si>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</si>
  <si>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</si>
  <si>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</si>
  <si>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</si>
  <si>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</si>
  <si>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</si>
  <si>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</si>
  <si>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</si>
  <si>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</si>
  <si>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</si>
  <si>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</si>
  <si>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</si>
  <si>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</si>
  <si>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</si>
  <si>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</si>
  <si>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</si>
  <si>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</si>
  <si>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</si>
  <si>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</si>
  <si>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</si>
  <si>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</si>
  <si>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</si>
  <si>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</si>
  <si>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</si>
  <si>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</si>
  <si>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</si>
  <si>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</si>
  <si>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</si>
  <si>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</si>
  <si>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</si>
  <si>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</si>
  <si>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</si>
  <si>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</si>
  <si>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</si>
  <si>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</si>
  <si>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</si>
  <si>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</si>
  <si>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</si>
  <si>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</si>
  <si>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</si>
  <si>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</si>
  <si>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</si>
  <si>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</si>
  <si>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</si>
  <si>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</si>
  <si>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</si>
  <si>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</si>
  <si>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</si>
  <si>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</si>
  <si>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</si>
  <si>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</si>
  <si>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</si>
  <si>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</si>
  <si>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</si>
  <si>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</si>
  <si>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</si>
  <si>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</si>
  <si>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</si>
  <si>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</si>
  <si>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</si>
  <si>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</si>
  <si>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</si>
  <si>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</si>
  <si>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</si>
  <si>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</si>
  <si>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</si>
  <si>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</si>
  <si>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</si>
  <si>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</si>
  <si>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</si>
  <si>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</si>
  <si>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</si>
  <si>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</si>
  <si>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</si>
  <si>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</si>
  <si>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</si>
  <si>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</si>
  <si>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</si>
  <si>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</si>
  <si>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</si>
  <si>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</si>
  <si>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</si>
  <si>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</si>
  <si>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</si>
  <si>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</si>
  <si>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</si>
  <si>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</si>
  <si>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</si>
  <si>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</si>
  <si>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</si>
  <si>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</si>
  <si>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</si>
  <si>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</si>
  <si>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</si>
  <si>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</si>
  <si>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</si>
  <si>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</si>
  <si>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</si>
  <si>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</si>
  <si>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</si>
  <si>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</si>
  <si>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</si>
  <si>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</si>
  <si>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</si>
  <si>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</si>
  <si>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</si>
  <si>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</si>
  <si>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</si>
  <si>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</si>
  <si>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</si>
  <si>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</si>
  <si>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</si>
  <si>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</si>
  <si>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</si>
  <si>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</si>
  <si>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</si>
  <si>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</si>
  <si>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</si>
  <si>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</si>
  <si>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</si>
  <si>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</si>
  <si>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</si>
  <si>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</si>
  <si>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</si>
  <si>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</si>
  <si>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</si>
  <si>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</si>
  <si>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</si>
  <si>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</si>
  <si>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</si>
  <si>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</si>
  <si>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</si>
  <si>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</si>
  <si>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</si>
  <si>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</si>
  <si>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</si>
  <si>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</si>
  <si>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</si>
  <si>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</si>
  <si>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</si>
  <si>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</si>
  <si>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</si>
  <si>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</si>
  <si>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</si>
  <si>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</si>
  <si>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</si>
  <si>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</si>
  <si>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</si>
  <si>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</si>
  <si>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</si>
  <si>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</si>
  <si>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</si>
  <si>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</si>
  <si>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</si>
  <si>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</si>
  <si>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</si>
  <si>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</si>
  <si>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</si>
  <si>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</si>
  <si>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</si>
  <si>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</si>
  <si>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</si>
  <si>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</si>
  <si>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</si>
  <si>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</si>
  <si>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</si>
  <si>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</si>
  <si>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</si>
  <si>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</si>
  <si>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</si>
  <si>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</si>
  <si>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</si>
  <si>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</si>
  <si>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</si>
  <si>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</si>
  <si>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</si>
  <si>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</si>
  <si>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</si>
  <si>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</si>
  <si>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</si>
  <si>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</si>
  <si>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</si>
  <si>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</si>
  <si>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</si>
  <si>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</si>
  <si>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</si>
  <si>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</si>
  <si>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</si>
  <si>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</si>
  <si>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</si>
  <si>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</si>
  <si>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</si>
  <si>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</si>
  <si>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</si>
  <si>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</si>
  <si>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</si>
  <si>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</si>
  <si>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</si>
  <si>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</si>
  <si>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</si>
  <si>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</si>
  <si>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</si>
  <si>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</si>
  <si>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</si>
  <si>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</si>
  <si>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</si>
  <si>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</si>
  <si>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</si>
  <si>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</si>
  <si>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</si>
  <si>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</si>
  <si>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</si>
  <si>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</si>
  <si>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</si>
  <si>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</si>
  <si>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</si>
  <si>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</si>
  <si>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</si>
  <si>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</si>
  <si>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</si>
  <si>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</si>
  <si>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</si>
  <si>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</si>
  <si>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</si>
  <si>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</si>
  <si>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</si>
  <si>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</si>
  <si>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</si>
  <si>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</si>
  <si>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</si>
  <si>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</si>
  <si>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</si>
  <si>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</si>
  <si>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</si>
  <si>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</si>
  <si>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</si>
  <si>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</si>
  <si>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</si>
  <si>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</si>
  <si>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</si>
  <si>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</si>
  <si>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</si>
  <si>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</si>
  <si>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</si>
  <si>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</si>
  <si>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</si>
  <si>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</si>
  <si>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</si>
  <si>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</si>
  <si>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</si>
  <si>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</si>
  <si>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</si>
  <si>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</si>
  <si>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</si>
  <si>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</si>
  <si>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</si>
  <si>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</si>
  <si>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</si>
  <si>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</si>
  <si>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</si>
  <si>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</si>
  <si>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</si>
  <si>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</si>
  <si>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</si>
  <si>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</si>
  <si>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</si>
  <si>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</si>
  <si>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</si>
  <si>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</si>
  <si>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</si>
  <si>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</si>
  <si>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</si>
  <si>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</si>
  <si>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</si>
  <si>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</si>
  <si>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</si>
  <si>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</si>
  <si>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</si>
  <si>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</si>
  <si>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</si>
  <si>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</si>
  <si>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</si>
  <si>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</si>
  <si>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</si>
  <si>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</si>
  <si>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</si>
  <si>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</si>
  <si>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</si>
  <si>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</si>
  <si>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</si>
  <si>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</si>
  <si>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</si>
  <si>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</si>
  <si>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</si>
  <si>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</si>
  <si>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</si>
  <si>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</si>
  <si>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</si>
  <si>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</si>
  <si>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</si>
  <si>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</si>
  <si>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</si>
  <si>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</si>
  <si>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</si>
  <si>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</si>
  <si>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</si>
  <si>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</si>
  <si>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</si>
  <si>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</si>
  <si>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</si>
  <si>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</si>
  <si>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</si>
  <si>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</si>
  <si>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</si>
  <si>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</si>
  <si>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</si>
  <si>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</si>
  <si>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</si>
  <si>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</si>
  <si>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</si>
  <si>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</si>
  <si>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</si>
  <si>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</si>
  <si>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</si>
  <si>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</si>
  <si>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</si>
  <si>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</si>
  <si>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</si>
  <si>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</si>
  <si>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</si>
  <si>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</si>
  <si>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</si>
  <si>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</si>
  <si>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</si>
  <si>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</si>
  <si>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</si>
  <si>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</si>
  <si>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</si>
  <si>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</si>
  <si>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</si>
  <si>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</si>
  <si>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</si>
  <si>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</si>
  <si>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</si>
  <si>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</si>
  <si>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</si>
  <si>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</si>
  <si>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</si>
  <si>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</si>
  <si>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</si>
  <si>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</si>
  <si>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</si>
  <si>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</si>
  <si>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</si>
  <si>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</si>
  <si>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</si>
  <si>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</si>
  <si>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</si>
  <si>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</si>
  <si>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</si>
  <si>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</si>
  <si>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</si>
  <si>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</si>
  <si>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</si>
  <si>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</si>
  <si>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</si>
  <si>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</si>
  <si>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</si>
  <si>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</si>
  <si>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</si>
  <si>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</si>
  <si>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</si>
  <si>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</si>
  <si>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</si>
  <si>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</si>
  <si>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</si>
  <si>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</si>
  <si>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</si>
  <si>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</si>
  <si>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</si>
  <si>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</si>
  <si>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</si>
  <si>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</si>
  <si>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</si>
  <si>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</si>
  <si>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</si>
  <si>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</si>
  <si>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</si>
  <si>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</si>
  <si>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</si>
  <si>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</si>
  <si>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</si>
  <si>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</si>
  <si>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</si>
  <si>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</si>
  <si>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</si>
  <si>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</si>
  <si>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</si>
  <si>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</si>
  <si>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</si>
  <si>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</si>
  <si>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</si>
  <si>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</si>
  <si>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</si>
  <si>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</si>
  <si>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</si>
  <si>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</si>
  <si>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</si>
  <si>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</si>
  <si>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</si>
  <si>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</si>
  <si>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</si>
  <si>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</si>
  <si>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</si>
  <si>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</si>
  <si>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</si>
  <si>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</si>
  <si>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</si>
  <si>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</si>
  <si>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</si>
  <si>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</si>
  <si>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</si>
  <si>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</si>
  <si>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</si>
  <si>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</si>
  <si>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</si>
  <si>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</si>
  <si>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</si>
  <si>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</si>
  <si>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</si>
  <si>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</si>
  <si>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</si>
  <si>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</si>
  <si>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</si>
  <si>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</si>
  <si>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</si>
  <si>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</si>
  <si>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</si>
  <si>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</si>
  <si>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</si>
  <si>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</si>
  <si>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</si>
  <si>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</si>
  <si>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</si>
  <si>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</si>
  <si>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</si>
  <si>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</si>
  <si>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</si>
  <si>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</si>
  <si>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</si>
  <si>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</si>
  <si>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</si>
  <si>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</si>
  <si>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</si>
  <si>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</si>
  <si>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</si>
  <si>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</si>
  <si>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</si>
  <si>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</si>
  <si>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</si>
  <si>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</si>
  <si>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</si>
  <si>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</si>
  <si>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</si>
  <si>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</si>
  <si>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</si>
  <si>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</si>
  <si>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</si>
  <si>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</si>
  <si>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</si>
  <si>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</si>
  <si>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</si>
  <si>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</si>
  <si>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</si>
  <si>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</si>
  <si>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</si>
  <si>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</si>
  <si>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</si>
  <si>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</si>
  <si>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</si>
  <si>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</si>
  <si>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</si>
  <si>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</si>
  <si>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</si>
  <si>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</si>
  <si>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</si>
  <si>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</si>
  <si>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</si>
  <si>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</si>
  <si>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</si>
  <si>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</si>
  <si>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</si>
  <si>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</si>
  <si>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</si>
  <si>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</si>
  <si>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</si>
  <si>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</si>
  <si>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</si>
  <si>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</si>
  <si>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</si>
  <si>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</si>
  <si>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</si>
  <si>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</si>
  <si>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</si>
  <si>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</si>
  <si>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</si>
  <si>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</si>
  <si>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</si>
  <si>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</si>
  <si>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</si>
  <si>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</si>
  <si>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</si>
  <si>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</si>
  <si>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</si>
  <si>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</si>
  <si>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</si>
  <si>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</si>
  <si>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</si>
  <si>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</si>
  <si>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</si>
  <si>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</si>
  <si>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</si>
  <si>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</si>
  <si>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</si>
  <si>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</si>
  <si>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</si>
  <si>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</si>
  <si>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</si>
  <si>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</si>
  <si>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</si>
  <si>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</si>
  <si>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</si>
  <si>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</si>
  <si>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</si>
  <si>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</si>
  <si>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</si>
  <si>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</si>
  <si>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</si>
  <si>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</si>
  <si>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</si>
  <si>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</si>
  <si>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</si>
  <si>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</si>
  <si>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</si>
  <si>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</si>
  <si>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</si>
  <si>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</si>
  <si>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</si>
  <si>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</si>
  <si>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</si>
  <si>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</si>
  <si>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</si>
  <si>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</si>
  <si>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</si>
  <si>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</si>
  <si>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</si>
  <si>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</si>
  <si>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</si>
  <si>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</si>
  <si>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</si>
  <si>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</si>
  <si>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</si>
  <si>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</si>
  <si>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</si>
  <si>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</si>
  <si>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</si>
  <si>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</si>
  <si>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</si>
  <si>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</si>
  <si>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</si>
  <si>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</si>
  <si>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</si>
  <si>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</si>
  <si>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</si>
  <si>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</si>
  <si>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</si>
  <si>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</si>
  <si>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</si>
  <si>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</si>
  <si>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</si>
  <si>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</si>
  <si>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</si>
  <si>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</si>
  <si>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</si>
  <si>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</si>
  <si>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</si>
  <si>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</si>
  <si>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</si>
  <si>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</si>
  <si>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</si>
  <si>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</si>
  <si>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</si>
  <si>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</si>
  <si>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</si>
  <si>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</si>
  <si>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</si>
  <si>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</si>
  <si>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</si>
  <si>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</si>
  <si>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</si>
  <si>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</si>
  <si>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</si>
  <si>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</si>
  <si>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</si>
  <si>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</si>
  <si>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</si>
  <si>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</si>
  <si>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</si>
  <si>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</si>
  <si>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</si>
  <si>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</si>
  <si>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</si>
  <si>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</si>
  <si>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</si>
  <si>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</si>
  <si>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</si>
  <si>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</si>
  <si>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</si>
  <si>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</si>
  <si>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</si>
  <si>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</si>
  <si>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</si>
  <si>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</si>
  <si>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</si>
  <si>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</si>
  <si>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</si>
  <si>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</si>
  <si>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</si>
  <si>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</si>
  <si>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</si>
  <si>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</si>
  <si>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</si>
  <si>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</si>
  <si>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</si>
  <si>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</si>
  <si>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</si>
  <si>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</si>
  <si>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</si>
  <si>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</si>
  <si>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</si>
  <si>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</si>
  <si>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</si>
  <si>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</si>
  <si>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</si>
  <si>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</si>
  <si>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</si>
  <si>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</si>
  <si>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</si>
  <si>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</si>
  <si>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</si>
  <si>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</si>
  <si>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</si>
  <si>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</si>
  <si>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</si>
  <si>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</si>
  <si>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</si>
  <si>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</si>
  <si>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</si>
  <si>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</si>
  <si>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</si>
  <si>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</si>
  <si>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</si>
  <si>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</si>
  <si>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</si>
  <si>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</si>
  <si>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</si>
  <si>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</si>
  <si>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</si>
  <si>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</si>
  <si>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</si>
  <si>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</si>
  <si>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</si>
  <si>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</si>
  <si>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</si>
  <si>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</si>
  <si>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</si>
  <si>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</si>
  <si>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</si>
  <si>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</si>
  <si>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</si>
  <si>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</si>
  <si>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</si>
  <si>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</si>
  <si>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</si>
  <si>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</si>
  <si>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</si>
  <si>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</si>
  <si>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</si>
  <si>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</si>
  <si>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</si>
  <si>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</si>
  <si>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</si>
  <si>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</si>
  <si>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</si>
  <si>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</si>
  <si>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</si>
  <si>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</si>
  <si>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</si>
  <si>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</si>
  <si>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</si>
  <si>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</si>
  <si>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</si>
  <si>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</si>
  <si>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</si>
  <si>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</si>
  <si>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</si>
  <si>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</si>
  <si>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</si>
  <si>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</si>
  <si>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</si>
  <si>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</si>
  <si>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</si>
  <si>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</si>
  <si>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</si>
  <si>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</si>
  <si>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</si>
  <si>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</si>
  <si>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</si>
  <si>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</si>
  <si>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</si>
  <si>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</si>
  <si>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</si>
  <si>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</si>
  <si>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</si>
  <si>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</si>
  <si>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</si>
  <si>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</si>
  <si>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</si>
  <si>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</si>
  <si>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</si>
  <si>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</si>
  <si>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</si>
  <si>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</si>
  <si>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</si>
  <si>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</si>
  <si>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</si>
  <si>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</si>
  <si>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</si>
  <si>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</si>
  <si>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</si>
  <si>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</si>
  <si>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</si>
  <si>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</si>
  <si>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</si>
  <si>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</si>
  <si>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</si>
  <si>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</si>
  <si>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</si>
  <si>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</si>
  <si>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</si>
  <si>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</si>
  <si>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</si>
  <si>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</si>
  <si>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</si>
  <si>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</si>
  <si>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</si>
  <si>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</si>
  <si>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</si>
  <si>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</si>
  <si>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</si>
  <si>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</si>
  <si>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</si>
  <si>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</si>
  <si>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</si>
  <si>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</si>
  <si>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</si>
  <si>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</si>
  <si>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</si>
  <si>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</si>
  <si>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</si>
  <si>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</si>
  <si>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</si>
  <si>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</si>
  <si>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</si>
  <si>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</si>
  <si>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</si>
  <si>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</si>
  <si>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</si>
  <si>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</si>
  <si>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</si>
  <si>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</si>
  <si>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</si>
  <si>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</si>
  <si>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</si>
  <si>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</si>
  <si>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</si>
  <si>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</si>
  <si>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</si>
  <si>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</si>
  <si>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</si>
  <si>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</si>
  <si>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</si>
  <si>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</si>
  <si>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</si>
  <si>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</si>
  <si>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</si>
  <si>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</si>
  <si>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</si>
  <si>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</si>
  <si>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</si>
  <si>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</si>
  <si>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</si>
  <si>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</si>
  <si>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</si>
  <si>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</si>
  <si>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</si>
  <si>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</si>
  <si>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</si>
  <si>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</si>
  <si>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</si>
  <si>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</si>
  <si>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</si>
  <si>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</si>
  <si>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</si>
  <si>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</si>
  <si>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</si>
  <si>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</si>
  <si>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</si>
  <si>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</si>
  <si>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</si>
  <si>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</si>
  <si>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</si>
  <si>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</si>
  <si>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</si>
  <si>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</si>
  <si>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</si>
  <si>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</si>
  <si>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</si>
  <si>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</si>
  <si>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</si>
  <si>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</si>
  <si>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</si>
  <si>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</si>
  <si>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</si>
  <si>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</si>
  <si>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</si>
  <si>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</si>
  <si>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</si>
  <si>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</si>
  <si>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</si>
  <si>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</si>
  <si>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</si>
  <si>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</si>
  <si>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</si>
  <si>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</si>
  <si>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</si>
  <si>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</si>
  <si>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</si>
  <si>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</si>
  <si>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</si>
  <si>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</si>
  <si>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</si>
  <si>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</si>
  <si>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</si>
  <si>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</si>
  <si>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</si>
  <si>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</si>
  <si>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</si>
  <si>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ADMIN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</si>
  <si>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</si>
  <si>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</si>
  <si>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</si>
  <si>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</si>
  <si>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</si>
  <si>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</si>
  <si>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</si>
  <si>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</si>
  <si>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</si>
  <si>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</si>
  <si>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</si>
  <si>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</si>
  <si>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</si>
  <si>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</si>
  <si>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</si>
  <si>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</si>
  <si>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</si>
  <si>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</si>
  <si>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</si>
  <si>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</si>
  <si>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</si>
  <si>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</si>
  <si>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</si>
  <si>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</si>
  <si>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</si>
  <si>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</si>
  <si>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</si>
  <si>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</si>
  <si>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</si>
  <si>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</si>
  <si>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</si>
  <si>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</si>
  <si>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</si>
  <si>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</si>
  <si>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</si>
  <si>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</si>
  <si>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</si>
  <si>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</si>
  <si>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</si>
  <si>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</si>
  <si>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</si>
  <si>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</si>
  <si>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</si>
  <si>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</si>
  <si>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</si>
  <si>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</si>
  <si>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</si>
  <si>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</si>
  <si>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</si>
  <si>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</si>
  <si>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</si>
  <si>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</si>
  <si>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</si>
  <si>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</si>
  <si>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</si>
  <si>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</si>
  <si>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</si>
  <si>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</si>
  <si>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</si>
  <si>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</si>
  <si>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</si>
  <si>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</si>
  <si>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</si>
  <si>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</si>
  <si>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</si>
  <si>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</si>
  <si>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</si>
  <si>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</si>
  <si>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</si>
  <si>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</si>
  <si>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</si>
  <si>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</si>
  <si>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</si>
  <si>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</si>
  <si>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</si>
  <si>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</si>
  <si>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</si>
  <si>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</si>
  <si>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</si>
  <si>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</si>
  <si>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</si>
  <si>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</si>
  <si>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</si>
  <si>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</si>
  <si>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</si>
  <si>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</si>
  <si>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</si>
  <si>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</si>
  <si>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</si>
  <si>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</si>
  <si>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</si>
  <si>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</si>
  <si>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</si>
  <si>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</si>
  <si>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</si>
  <si>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</si>
  <si>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</si>
  <si>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</si>
  <si>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</si>
  <si>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</si>
  <si>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</si>
  <si>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</si>
  <si>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</si>
  <si>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</si>
  <si>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</si>
  <si>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</si>
  <si>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</si>
  <si>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</si>
  <si>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</si>
  <si>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</si>
  <si>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</si>
  <si>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</si>
  <si>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</si>
  <si>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</si>
  <si>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</si>
  <si>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</si>
  <si>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</si>
  <si>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</si>
  <si>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</si>
  <si>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</si>
  <si>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</si>
  <si>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</si>
  <si>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</si>
  <si>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</si>
  <si>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</si>
  <si>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</si>
  <si>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</si>
  <si>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</si>
  <si>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</si>
  <si>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</si>
  <si>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</si>
  <si>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</si>
  <si>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</si>
  <si>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</si>
  <si>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</si>
  <si>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</si>
  <si>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</si>
  <si>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</si>
  <si>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</si>
  <si>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</si>
  <si>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</si>
  <si>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</si>
  <si>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</si>
  <si>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</si>
  <si>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</si>
  <si>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</si>
  <si>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</si>
  <si>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</si>
  <si>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</si>
  <si>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</si>
  <si>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</si>
  <si>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</si>
  <si>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</si>
  <si>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</si>
  <si>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</si>
  <si>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</si>
  <si>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</si>
  <si>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</si>
  <si>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</si>
  <si>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</si>
  <si>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</si>
  <si>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</si>
  <si>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</si>
  <si>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</si>
  <si>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</si>
  <si>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</si>
  <si>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</si>
  <si>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</si>
  <si>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</si>
  <si>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</si>
  <si>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</si>
  <si>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</si>
  <si>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</si>
  <si>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</si>
  <si>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</si>
  <si>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</si>
  <si>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</si>
  <si>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</si>
  <si>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</si>
  <si>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</si>
  <si>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</si>
  <si>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</si>
  <si>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</si>
  <si>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</si>
  <si>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</si>
  <si>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</si>
  <si>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</si>
  <si>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</si>
  <si>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</si>
  <si>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</si>
  <si>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</si>
  <si>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</si>
  <si>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</si>
  <si>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</si>
  <si>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</si>
  <si>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</si>
  <si>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</si>
  <si>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</si>
  <si>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</si>
  <si>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</si>
  <si>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</si>
  <si>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</si>
  <si>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</si>
  <si>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</si>
  <si>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</si>
  <si>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</si>
  <si>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</si>
  <si>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</si>
  <si>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</si>
  <si>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</si>
  <si>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</si>
  <si>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</si>
  <si>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</si>
  <si>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</si>
  <si>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</si>
  <si>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</si>
  <si>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</si>
  <si>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</si>
  <si>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</si>
  <si>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</si>
  <si>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</si>
  <si>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</si>
  <si>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</si>
  <si>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</si>
  <si>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</si>
  <si>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</si>
  <si>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</si>
  <si>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</si>
  <si>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</si>
  <si>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</si>
  <si>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</si>
  <si>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</si>
  <si>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</si>
  <si>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</si>
  <si>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</si>
  <si>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</si>
  <si>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</si>
  <si>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</si>
  <si>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</si>
  <si>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</si>
  <si>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</si>
  <si>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</si>
  <si>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</si>
  <si>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</si>
  <si>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</si>
  <si>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</si>
  <si>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</si>
  <si>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</si>
  <si>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</si>
  <si>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</si>
  <si>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</si>
  <si>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</si>
  <si>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</si>
  <si>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</si>
  <si>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</si>
  <si>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</si>
  <si>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</si>
  <si>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</si>
  <si>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</si>
  <si>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</si>
  <si>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</si>
  <si>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</si>
  <si>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</si>
  <si>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</si>
  <si>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</si>
  <si>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</si>
  <si>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</si>
  <si>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</si>
  <si>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</si>
  <si>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</si>
  <si>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</si>
  <si>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</si>
  <si>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</si>
  <si>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</si>
  <si>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</si>
  <si>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</si>
  <si>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</si>
  <si>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</si>
  <si>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</si>
  <si>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</si>
  <si>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</si>
  <si>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</si>
  <si>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</si>
  <si>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</si>
  <si>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</si>
  <si>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</si>
  <si>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</si>
  <si>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</si>
  <si>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</si>
  <si>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</si>
  <si>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</si>
  <si>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</si>
  <si>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</si>
  <si>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</si>
  <si>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</si>
  <si>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</si>
  <si>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</si>
  <si>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</si>
  <si>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</si>
  <si>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</si>
  <si>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</si>
  <si>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</si>
  <si>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</si>
  <si>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</si>
  <si>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</si>
  <si>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</si>
  <si>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</si>
  <si>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</si>
  <si>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</si>
  <si>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</si>
  <si>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</si>
  <si>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</si>
  <si>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</si>
  <si>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</si>
  <si>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</si>
  <si>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</si>
  <si>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</si>
  <si>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</si>
  <si>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</si>
  <si>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</si>
  <si>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</si>
  <si>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</si>
  <si>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</si>
  <si>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</si>
  <si>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</si>
  <si>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</si>
  <si>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</si>
  <si>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</si>
  <si>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</si>
  <si>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</si>
  <si>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</si>
  <si>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</si>
  <si>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</si>
  <si>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</si>
  <si>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</si>
  <si>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</si>
  <si>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</si>
  <si>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</si>
  <si>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</si>
  <si>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</si>
  <si>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</si>
  <si>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</si>
  <si>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</si>
  <si>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</si>
  <si>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</si>
  <si>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</si>
  <si>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</si>
  <si>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</si>
  <si>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</si>
  <si>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</si>
  <si>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</si>
  <si>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</si>
  <si>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</si>
  <si>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</si>
  <si>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</si>
  <si>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</si>
  <si>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</si>
  <si>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</si>
  <si>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</si>
  <si>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</si>
  <si>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</si>
  <si>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</si>
  <si>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</si>
  <si>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</si>
  <si>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</si>
  <si>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</si>
  <si>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</si>
  <si>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</si>
  <si>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</si>
  <si>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</si>
  <si>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</si>
  <si>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</si>
  <si>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</si>
  <si>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</si>
  <si>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</si>
  <si>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</si>
  <si>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</si>
  <si>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</si>
  <si>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</si>
  <si>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</si>
  <si>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</si>
  <si>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</si>
  <si>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</si>
  <si>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</si>
  <si>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</si>
  <si>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</si>
  <si>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</si>
  <si>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</si>
  <si>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</si>
  <si>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</si>
  <si>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</si>
  <si>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</si>
  <si>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</si>
  <si>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</si>
  <si>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</si>
  <si>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</si>
  <si>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</si>
  <si>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</si>
  <si>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</si>
  <si>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</si>
  <si>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</si>
  <si>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</si>
  <si>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</si>
  <si>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</si>
  <si>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</si>
  <si>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</si>
  <si>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</si>
  <si>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</si>
  <si>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</si>
  <si>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</si>
  <si>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</si>
  <si>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</si>
  <si>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</si>
  <si>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</si>
  <si>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</si>
  <si>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</si>
  <si>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</si>
  <si>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</si>
  <si>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</si>
  <si>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</si>
  <si>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</si>
  <si>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</si>
  <si>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</si>
  <si>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</si>
  <si>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</si>
  <si>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</si>
  <si>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</si>
  <si>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</si>
  <si>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</si>
  <si>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</si>
  <si>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</si>
  <si>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</si>
  <si>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</si>
  <si>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</si>
  <si>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</si>
  <si>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</si>
  <si>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</si>
  <si>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</si>
  <si>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</si>
  <si>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</si>
  <si>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</si>
  <si>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</si>
  <si>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</si>
  <si>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</si>
  <si>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</si>
  <si>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</si>
  <si>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</si>
  <si>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</si>
  <si>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</si>
  <si>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</si>
  <si>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</si>
  <si>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</si>
  <si>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</si>
  <si>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</si>
  <si>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</si>
  <si>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</si>
  <si>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</si>
  <si>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</si>
  <si>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</si>
  <si>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</si>
  <si>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</si>
  <si>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</si>
  <si>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</si>
  <si>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</si>
  <si>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</si>
  <si>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</si>
  <si>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</si>
  <si>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</si>
  <si>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</si>
  <si>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</si>
  <si>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</si>
  <si>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</si>
  <si>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</si>
  <si>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</si>
  <si>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</si>
  <si>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</si>
  <si>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</si>
  <si>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</si>
  <si>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</si>
  <si>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</si>
  <si>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</si>
  <si>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</si>
  <si>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</si>
  <si>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</si>
  <si>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</si>
  <si>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</si>
  <si>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</si>
  <si>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</si>
  <si>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</si>
  <si>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</si>
  <si>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</si>
  <si>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</si>
  <si>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</si>
  <si>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</si>
  <si>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</si>
  <si>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</si>
  <si>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</si>
  <si>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</si>
  <si>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</si>
  <si>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</si>
  <si>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</si>
  <si>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</si>
  <si>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</si>
  <si>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</si>
  <si>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</si>
  <si>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</si>
  <si>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</si>
  <si>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</si>
  <si>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</si>
  <si>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</si>
  <si>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</si>
  <si>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</si>
  <si>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</si>
  <si>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</si>
  <si>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</si>
  <si>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</si>
  <si>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</si>
  <si>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</si>
  <si>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</si>
  <si>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</si>
  <si>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</si>
  <si>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</si>
  <si>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</si>
  <si>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</si>
  <si>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</si>
  <si>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</si>
  <si>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</si>
  <si>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</si>
  <si>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</si>
  <si>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</si>
  <si>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</si>
  <si>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</si>
  <si>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</si>
  <si>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</si>
  <si>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</si>
  <si>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</si>
  <si>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</si>
  <si>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</si>
  <si>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</si>
  <si>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</si>
  <si>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</si>
  <si>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</si>
  <si>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</si>
  <si>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</si>
  <si>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</si>
  <si>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</si>
  <si>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</si>
  <si>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</si>
  <si>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</si>
  <si>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</si>
  <si>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</si>
  <si>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</si>
  <si>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</si>
  <si>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</si>
  <si>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</si>
  <si>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</si>
  <si>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</si>
  <si>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</si>
  <si>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</si>
  <si>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</si>
  <si>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</si>
  <si>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</si>
  <si>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</si>
  <si>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</si>
  <si>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</si>
  <si>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</si>
  <si>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</si>
  <si>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</si>
  <si>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</si>
  <si>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</si>
  <si>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</si>
  <si>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</si>
  <si>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</si>
  <si>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</si>
  <si>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</si>
  <si>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</si>
  <si>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</si>
  <si>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</si>
  <si>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Name Ar</t>
  </si>
  <si>
    <t>Name En</t>
  </si>
  <si>
    <t>Name Fr</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</si>
  <si>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</si>
  <si>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</si>
  <si>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</si>
  <si>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</si>
  <si>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</si>
  <si>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</si>
  <si>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</si>
  <si>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</si>
  <si>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</si>
  <si>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</si>
  <si>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</si>
  <si>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</si>
  <si>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</si>
  <si>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</si>
  <si>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</si>
  <si>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</si>
  <si>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</si>
  <si>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</si>
  <si>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</si>
  <si>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</si>
  <si>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</si>
  <si>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</si>
  <si>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</si>
  <si>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</si>
  <si>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</si>
  <si>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</si>
  <si>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</si>
  <si>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</si>
  <si>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</si>
  <si>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</si>
  <si>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</si>
  <si>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</si>
  <si>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</si>
  <si>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</si>
  <si>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</si>
  <si>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</si>
  <si>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</si>
  <si>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</si>
  <si>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</si>
  <si>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</si>
  <si>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</si>
  <si>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</si>
  <si>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</si>
  <si>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</si>
  <si>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</si>
  <si>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</si>
  <si>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</si>
  <si>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</si>
  <si>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</si>
  <si>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</si>
  <si>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</si>
  <si>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</si>
  <si>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</si>
  <si>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</si>
  <si>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</si>
  <si>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</si>
  <si>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</si>
  <si>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</si>
  <si>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</si>
  <si>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</si>
  <si>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</si>
  <si>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</si>
  <si>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</si>
  <si>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</si>
  <si>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</si>
  <si>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</si>
  <si>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</si>
  <si>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</si>
  <si>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</si>
  <si>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</si>
  <si>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</si>
  <si>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</si>
  <si>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</si>
  <si>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</si>
  <si>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</si>
  <si>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</si>
  <si>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</si>
  <si>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</si>
  <si>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</si>
  <si>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SYSTEM-SECURITY-READ</t>
  </si>
  <si>
    <t>SYSTEM-AUDIT-READ</t>
  </si>
  <si>
    <t>GENERAL-TYPE-READ</t>
  </si>
  <si>
    <t>GENERAL-LOCALIZATION-READ</t>
  </si>
  <si>
    <t>GENERAL-ORGANIZATION-READ</t>
  </si>
  <si>
    <t>NETWORK-TYPE-READ</t>
  </si>
  <si>
    <t>NETWORK-COMMON-READ</t>
  </si>
  <si>
    <t>NETWORK-CORE-READ</t>
  </si>
  <si>
    <t>SYSTEM-YTILITY-ADMIN</t>
  </si>
  <si>
    <t>FLOW-TYPE-ADMIN</t>
  </si>
  <si>
    <t>FLOW-COMMON-ADMIN</t>
  </si>
  <si>
    <t>FLOW-CORE-ADMIN</t>
  </si>
  <si>
    <t>Manage flow type data</t>
  </si>
  <si>
    <t>Manage flow common data</t>
  </si>
  <si>
    <t>Manage flow core data</t>
  </si>
  <si>
    <t>Manage system setting data</t>
  </si>
  <si>
    <t>SYSTEM-SETTING-ADMIN</t>
  </si>
  <si>
    <t>Manage system utility data</t>
  </si>
  <si>
    <t>SYSTEM-SETTING-READ</t>
  </si>
  <si>
    <t>SYSTEM-YTILITY-READ</t>
  </si>
  <si>
    <t>FLOW-CORE-READ</t>
  </si>
  <si>
    <t>FLOW-COMMON-READ</t>
  </si>
  <si>
    <t>FLOW-TYPE-READ</t>
  </si>
  <si>
    <t>FLOW-CORE-EDIT</t>
  </si>
  <si>
    <t>FLOW-COMMON-EDIT</t>
  </si>
  <si>
    <t>FLOW-TYPE-EDIT</t>
  </si>
  <si>
    <t>NETWORK-CORE-EDIT</t>
  </si>
  <si>
    <t>NETWORK-COMMON-EDIT</t>
  </si>
  <si>
    <t>NETWORK-TYPE-EDIT</t>
  </si>
  <si>
    <t>GENERAL-ORGANIZATION-EDIT</t>
  </si>
  <si>
    <t>GENERAL-LOCALIZATION-EDIT</t>
  </si>
  <si>
    <t>GENERAL-TYPE-EDIT</t>
  </si>
  <si>
    <t>SYSTEM-AUDIT-EDIT</t>
  </si>
  <si>
    <t>SYSTEM-SECURITY-EDIT</t>
  </si>
  <si>
    <t>SYSTEM-YTILITY-EDIT</t>
  </si>
  <si>
    <t>SYSTEM-SETTING-EDIT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</si>
</sst>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6">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0" xfId="0" applyFont="1" applyBorder="1" applyAlignment="1">
      <alignmen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5850</v>
      </c>
    </row>
    <row r="3" spans="1:4" ht="20.149999999999999" customHeight="1" x14ac:dyDescent="0.35">
      <c r="A3" s="3">
        <v>1</v>
      </c>
      <c r="B3" s="4" t="s">
        <v>5686</v>
      </c>
      <c r="C3" s="4" t="s">
        <v>5685</v>
      </c>
      <c r="D3" s="16" t="str">
        <f>CONCATENATE("(",A3,",'",B3,"','",C3,"'),")</f>
        <v>(1,'System Administrators','Group Members has all permissions on data belongs to system component'),</v>
      </c>
    </row>
    <row r="4" spans="1:4" ht="20.149999999999999" customHeight="1" x14ac:dyDescent="0.35">
      <c r="A4" s="3">
        <v>2</v>
      </c>
      <c r="B4" s="4" t="s">
        <v>5688</v>
      </c>
      <c r="C4" s="4" t="s">
        <v>5687</v>
      </c>
      <c r="D4" s="16" t="str">
        <f t="shared" ref="D4:D10" si="0">CONCATENATE("(",A4,",'",B4,"','",C4,"'),")</f>
        <v>(2,'Business Administrators','Group Members has all permissions on data belongs to business component'),</v>
      </c>
    </row>
    <row r="5" spans="1:4" ht="20.149999999999999" customHeight="1" x14ac:dyDescent="0.35">
      <c r="A5" s="3">
        <v>3</v>
      </c>
      <c r="B5" s="4" t="s">
        <v>5690</v>
      </c>
      <c r="C5" s="4" t="s">
        <v>5689</v>
      </c>
      <c r="D5" s="16" t="str">
        <f t="shared" si="0"/>
        <v>(3,'Common Administrators','Group Members has all permissions on data belongs to common component'),</v>
      </c>
    </row>
    <row r="6" spans="1:4" ht="20.149999999999999" customHeight="1" x14ac:dyDescent="0.35">
      <c r="A6" s="3">
        <v>4</v>
      </c>
      <c r="B6" s="4" t="s">
        <v>5692</v>
      </c>
      <c r="C6" s="4" t="s">
        <v>5691</v>
      </c>
      <c r="D6" s="16" t="str">
        <f t="shared" si="0"/>
        <v>(4,'Network Administrators','Group Members has all permissions on data belongs to network component'),</v>
      </c>
    </row>
    <row r="7" spans="1:4" ht="20.149999999999999" customHeight="1" x14ac:dyDescent="0.35">
      <c r="A7" s="3">
        <v>5</v>
      </c>
      <c r="B7" s="4" t="s">
        <v>5694</v>
      </c>
      <c r="C7" s="4" t="s">
        <v>5693</v>
      </c>
      <c r="D7" s="16" t="str">
        <f t="shared" si="0"/>
        <v>(5,'System Users','Group Members has read permission on data belongs to system component'),</v>
      </c>
    </row>
    <row r="8" spans="1:4" ht="20.149999999999999" customHeight="1" x14ac:dyDescent="0.35">
      <c r="A8" s="3">
        <v>6</v>
      </c>
      <c r="B8" s="4" t="s">
        <v>5696</v>
      </c>
      <c r="C8" s="4" t="s">
        <v>5695</v>
      </c>
      <c r="D8" s="16" t="str">
        <f t="shared" si="0"/>
        <v>(6,'Business Users','Group Members has read permission on data belongs to business component'),</v>
      </c>
    </row>
    <row r="9" spans="1:4" ht="20.149999999999999" customHeight="1" x14ac:dyDescent="0.35">
      <c r="A9" s="3">
        <v>7</v>
      </c>
      <c r="B9" s="4" t="s">
        <v>5698</v>
      </c>
      <c r="C9" s="4" t="s">
        <v>5697</v>
      </c>
      <c r="D9" s="16" t="str">
        <f t="shared" si="0"/>
        <v>(7,'Common Users','Group Members has read permission on data belongs to common component'),</v>
      </c>
    </row>
    <row r="10" spans="1:4" ht="20.149999999999999" customHeight="1" x14ac:dyDescent="0.35">
      <c r="A10" s="3">
        <v>8</v>
      </c>
      <c r="B10" s="4" t="s">
        <v>5700</v>
      </c>
      <c r="C10" s="4" t="s">
        <v>5699</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6081</v>
      </c>
      <c r="B1" s="1" t="s">
        <v>6082</v>
      </c>
      <c r="C1" s="1" t="s">
        <v>5603</v>
      </c>
    </row>
    <row r="2" spans="1:3" ht="20.149999999999999" customHeight="1" x14ac:dyDescent="0.35">
      <c r="A2" s="1" t="s">
        <v>41</v>
      </c>
      <c r="B2" s="1" t="s">
        <v>42</v>
      </c>
      <c r="C2" s="1" t="s">
        <v>6083</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5793</v>
      </c>
      <c r="C1" s="1" t="s">
        <v>5792</v>
      </c>
      <c r="D1" s="1" t="s">
        <v>5741</v>
      </c>
      <c r="E1" s="1" t="s">
        <v>5741</v>
      </c>
      <c r="F1" s="1" t="s">
        <v>5736</v>
      </c>
      <c r="G1" s="1" t="s">
        <v>5737</v>
      </c>
      <c r="H1" s="1" t="s">
        <v>5738</v>
      </c>
      <c r="I1" s="1" t="s">
        <v>5739</v>
      </c>
      <c r="J1" s="1" t="s">
        <v>5740</v>
      </c>
      <c r="K1" s="1" t="s">
        <v>5603</v>
      </c>
    </row>
    <row r="2" spans="1:11" ht="20.149999999999999" customHeight="1" x14ac:dyDescent="0.35">
      <c r="A2" s="1" t="s">
        <v>44</v>
      </c>
      <c r="B2" s="1" t="s">
        <v>41</v>
      </c>
      <c r="C2" s="1" t="s">
        <v>42</v>
      </c>
      <c r="D2" s="1" t="s">
        <v>5674</v>
      </c>
      <c r="E2" s="1" t="s">
        <v>43</v>
      </c>
      <c r="F2" s="1" t="s">
        <v>53</v>
      </c>
      <c r="G2" s="1" t="s">
        <v>2094</v>
      </c>
      <c r="H2" s="1" t="s">
        <v>4077</v>
      </c>
      <c r="I2" s="1" t="s">
        <v>4349</v>
      </c>
      <c r="J2" s="1" t="s">
        <v>4350</v>
      </c>
      <c r="K2" s="1" t="s">
        <v>5851</v>
      </c>
    </row>
    <row r="3" spans="1:11" ht="20.149999999999999" customHeight="1" x14ac:dyDescent="0.3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6081</v>
      </c>
      <c r="C1" s="1" t="s">
        <v>5603</v>
      </c>
    </row>
    <row r="2" spans="1:3" ht="20.149999999999999" customHeight="1" x14ac:dyDescent="0.35">
      <c r="A2" s="1" t="s">
        <v>41</v>
      </c>
      <c r="B2" s="1" t="s">
        <v>42</v>
      </c>
      <c r="C2" s="1" t="s">
        <v>6085</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6089</v>
      </c>
      <c r="B1" s="1" t="s">
        <v>6082</v>
      </c>
      <c r="C1" s="1" t="s">
        <v>5603</v>
      </c>
    </row>
    <row r="2" spans="1:3" ht="20.149999999999999" customHeight="1" x14ac:dyDescent="0.35">
      <c r="A2" s="1" t="s">
        <v>41</v>
      </c>
      <c r="B2" s="1" t="s">
        <v>42</v>
      </c>
      <c r="C2" s="1" t="s">
        <v>6084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42"/>
  <sheetViews>
    <sheetView tabSelected="1" topLeftCell="A10" workbookViewId="0">
      <selection activeCell="B15" sqref="B15"/>
    </sheetView>
  </sheetViews>
  <sheetFormatPr baseColWidth="10" defaultColWidth="10.81640625" defaultRowHeight="15.5" x14ac:dyDescent="0.35"/>
  <cols>
    <col min="1" max="1" width="4.453125" style="2" customWidth="1"/>
    <col min="2" max="2" width="39.26953125" style="2" customWidth="1"/>
    <col min="3" max="3" width="33.81640625" style="2" customWidth="1"/>
    <col min="4" max="4" width="80.6328125" style="2" customWidth="1"/>
    <col min="5" max="16384" width="10.81640625" style="2"/>
  </cols>
  <sheetData>
    <row r="1" spans="1:4" ht="20.149999999999999" customHeight="1" x14ac:dyDescent="0.35">
      <c r="A1" s="1" t="s">
        <v>37</v>
      </c>
      <c r="B1" s="1" t="s">
        <v>5269</v>
      </c>
      <c r="C1" s="1" t="s">
        <v>4572</v>
      </c>
      <c r="D1" s="1" t="s">
        <v>5603</v>
      </c>
    </row>
    <row r="2" spans="1:4" ht="20.149999999999999" customHeight="1" x14ac:dyDescent="0.35">
      <c r="A2" s="1" t="s">
        <v>44</v>
      </c>
      <c r="B2" s="1" t="s">
        <v>6404</v>
      </c>
      <c r="C2" s="1" t="s">
        <v>41</v>
      </c>
      <c r="D2" s="1" t="s">
        <v>5852</v>
      </c>
    </row>
    <row r="3" spans="1:4" ht="20.149999999999999" customHeight="1" x14ac:dyDescent="0.35">
      <c r="A3" s="3">
        <v>1</v>
      </c>
      <c r="B3" s="4" t="s">
        <v>6428</v>
      </c>
      <c r="C3" s="4" t="s">
        <v>6427</v>
      </c>
      <c r="D3" s="16" t="str">
        <f>CONCATENATE("(",A3,",'",B3,"','",C3,"'),")</f>
        <v>(1,'SYSTEM-SETTING-ADMIN','Manage system setting data'),</v>
      </c>
    </row>
    <row r="4" spans="1:4" ht="20.149999999999999" customHeight="1" x14ac:dyDescent="0.35">
      <c r="A4" s="3">
        <v>2</v>
      </c>
      <c r="B4" s="4" t="s">
        <v>6420</v>
      </c>
      <c r="C4" s="4" t="s">
        <v>6429</v>
      </c>
      <c r="D4" s="16" t="str">
        <f t="shared" ref="D4:D15" si="0">CONCATENATE("(",A4,",'",B4,"','",C4,"'),")</f>
        <v>(2,'SYSTEM-YTILITY-ADMIN','Manage system utility data'),</v>
      </c>
    </row>
    <row r="5" spans="1:4" ht="20.149999999999999" customHeight="1" x14ac:dyDescent="0.35">
      <c r="A5" s="3">
        <v>3</v>
      </c>
      <c r="B5" s="4" t="s">
        <v>6403</v>
      </c>
      <c r="C5" s="4" t="s">
        <v>5743</v>
      </c>
      <c r="D5" s="16" t="str">
        <f t="shared" si="0"/>
        <v>(3,'SYSTEM-SECURITY-ADMIN','Manage system security data'),</v>
      </c>
    </row>
    <row r="6" spans="1:4" ht="20.149999999999999" customHeight="1" x14ac:dyDescent="0.35">
      <c r="A6" s="3">
        <v>4</v>
      </c>
      <c r="B6" s="4" t="s">
        <v>6405</v>
      </c>
      <c r="C6" s="4" t="s">
        <v>5744</v>
      </c>
      <c r="D6" s="16" t="str">
        <f t="shared" si="0"/>
        <v>(4,'SYSTEM-AUDIT-ADMIN','Manage system audit data'),</v>
      </c>
    </row>
    <row r="7" spans="1:4" ht="20.149999999999999" customHeight="1" x14ac:dyDescent="0.35">
      <c r="A7" s="3">
        <v>5</v>
      </c>
      <c r="B7" s="4" t="s">
        <v>6406</v>
      </c>
      <c r="C7" s="4" t="s">
        <v>5748</v>
      </c>
      <c r="D7" s="16" t="str">
        <f t="shared" si="0"/>
        <v>(5,'GENERAL-TYPE-ADMIN','Manage general Type'),</v>
      </c>
    </row>
    <row r="8" spans="1:4" ht="20.149999999999999" customHeight="1" x14ac:dyDescent="0.35">
      <c r="A8" s="3">
        <v>6</v>
      </c>
      <c r="B8" s="4" t="s">
        <v>6407</v>
      </c>
      <c r="C8" s="4" t="s">
        <v>5749</v>
      </c>
      <c r="D8" s="16" t="str">
        <f t="shared" si="0"/>
        <v>(6,'GENERAL-LOCALIZATION-ADMIN','Manage general localization'),</v>
      </c>
    </row>
    <row r="9" spans="1:4" ht="20.149999999999999" customHeight="1" x14ac:dyDescent="0.35">
      <c r="A9" s="3">
        <v>7</v>
      </c>
      <c r="B9" s="4" t="s">
        <v>6408</v>
      </c>
      <c r="C9" s="4" t="s">
        <v>5750</v>
      </c>
      <c r="D9" s="16" t="str">
        <f t="shared" si="0"/>
        <v>(7,'GENERAL-ORGANIZATION-ADMIN','Manage general organization'),</v>
      </c>
    </row>
    <row r="10" spans="1:4" ht="20.149999999999999" customHeight="1" x14ac:dyDescent="0.35">
      <c r="A10" s="3">
        <v>8</v>
      </c>
      <c r="B10" s="4" t="s">
        <v>6409</v>
      </c>
      <c r="C10" s="4" t="s">
        <v>5745</v>
      </c>
      <c r="D10" s="16" t="str">
        <f t="shared" si="0"/>
        <v>(8,'NETWORK-TYPE-ADMIN','Manage network type data'),</v>
      </c>
    </row>
    <row r="11" spans="1:4" ht="20.149999999999999" customHeight="1" x14ac:dyDescent="0.35">
      <c r="A11" s="3">
        <v>9</v>
      </c>
      <c r="B11" s="4" t="s">
        <v>6410</v>
      </c>
      <c r="C11" s="4" t="s">
        <v>5746</v>
      </c>
      <c r="D11" s="16" t="str">
        <f t="shared" si="0"/>
        <v>(9,'NETWORK-COMMON-ADMIN','Manage network common data'),</v>
      </c>
    </row>
    <row r="12" spans="1:4" ht="20.149999999999999" customHeight="1" x14ac:dyDescent="0.35">
      <c r="A12" s="3">
        <v>10</v>
      </c>
      <c r="B12" s="4" t="s">
        <v>6411</v>
      </c>
      <c r="C12" s="4" t="s">
        <v>5747</v>
      </c>
      <c r="D12" s="16" t="str">
        <f t="shared" si="0"/>
        <v>(10,'NETWORK-CORE-ADMIN','Manage network core data'),</v>
      </c>
    </row>
    <row r="13" spans="1:4" ht="20.149999999999999" customHeight="1" x14ac:dyDescent="0.35">
      <c r="A13" s="3">
        <v>11</v>
      </c>
      <c r="B13" s="4" t="s">
        <v>6421</v>
      </c>
      <c r="C13" s="4" t="s">
        <v>6424</v>
      </c>
      <c r="D13" s="16" t="str">
        <f t="shared" si="0"/>
        <v>(11,'FLOW-TYPE-ADMIN','Manage flow type data'),</v>
      </c>
    </row>
    <row r="14" spans="1:4" ht="20.149999999999999" customHeight="1" x14ac:dyDescent="0.35">
      <c r="A14" s="3">
        <v>12</v>
      </c>
      <c r="B14" s="4" t="s">
        <v>6422</v>
      </c>
      <c r="C14" s="4" t="s">
        <v>6425</v>
      </c>
      <c r="D14" s="16" t="str">
        <f t="shared" si="0"/>
        <v>(12,'FLOW-COMMON-ADMIN','Manage flow common data'),</v>
      </c>
    </row>
    <row r="15" spans="1:4" ht="20.149999999999999" customHeight="1" x14ac:dyDescent="0.35">
      <c r="A15" s="3">
        <v>13</v>
      </c>
      <c r="B15" s="4" t="s">
        <v>6423</v>
      </c>
      <c r="C15" s="4" t="s">
        <v>6426</v>
      </c>
      <c r="D15" s="16" t="str">
        <f t="shared" si="0"/>
        <v>(13,'FLOW-CORE-ADMIN','Manage flow core data'),</v>
      </c>
    </row>
    <row r="16" spans="1:4" ht="20.149999999999999" customHeight="1" x14ac:dyDescent="0.35">
      <c r="A16" s="3">
        <v>21</v>
      </c>
      <c r="B16" s="4" t="s">
        <v>6447</v>
      </c>
      <c r="C16" s="4" t="s">
        <v>6427</v>
      </c>
      <c r="D16" s="16" t="str">
        <f>CONCATENATE("(",A16,",'",B16,"','",C16,"'),")</f>
        <v>(21,'SYSTEM-SETTING-EDIT','Manage system setting data'),</v>
      </c>
    </row>
    <row r="17" spans="1:4" ht="20.149999999999999" customHeight="1" x14ac:dyDescent="0.35">
      <c r="A17" s="3">
        <v>22</v>
      </c>
      <c r="B17" s="4" t="s">
        <v>6446</v>
      </c>
      <c r="C17" s="4" t="s">
        <v>6429</v>
      </c>
      <c r="D17" s="16" t="str">
        <f t="shared" ref="D17:D28" si="1">CONCATENATE("(",A17,",'",B17,"','",C17,"'),")</f>
        <v>(22,'SYSTEM-YTILITY-EDIT','Manage system utility data'),</v>
      </c>
    </row>
    <row r="18" spans="1:4" ht="20.149999999999999" customHeight="1" x14ac:dyDescent="0.35">
      <c r="A18" s="3">
        <v>23</v>
      </c>
      <c r="B18" s="4" t="s">
        <v>6445</v>
      </c>
      <c r="C18" s="4" t="s">
        <v>5743</v>
      </c>
      <c r="D18" s="16" t="str">
        <f t="shared" si="1"/>
        <v>(23,'SYSTEM-SECURITY-EDIT','Manage system security data'),</v>
      </c>
    </row>
    <row r="19" spans="1:4" ht="20.149999999999999" customHeight="1" x14ac:dyDescent="0.35">
      <c r="A19" s="3">
        <v>24</v>
      </c>
      <c r="B19" s="4" t="s">
        <v>6444</v>
      </c>
      <c r="C19" s="4" t="s">
        <v>5744</v>
      </c>
      <c r="D19" s="16" t="str">
        <f t="shared" si="1"/>
        <v>(24,'SYSTEM-AUDIT-EDIT','Manage system audit data'),</v>
      </c>
    </row>
    <row r="20" spans="1:4" ht="20.149999999999999" customHeight="1" x14ac:dyDescent="0.35">
      <c r="A20" s="3">
        <v>25</v>
      </c>
      <c r="B20" s="4" t="s">
        <v>6443</v>
      </c>
      <c r="C20" s="4" t="s">
        <v>5748</v>
      </c>
      <c r="D20" s="16" t="str">
        <f t="shared" si="1"/>
        <v>(25,'GENERAL-TYPE-EDIT','Manage general Type'),</v>
      </c>
    </row>
    <row r="21" spans="1:4" ht="20.149999999999999" customHeight="1" x14ac:dyDescent="0.35">
      <c r="A21" s="3">
        <v>26</v>
      </c>
      <c r="B21" s="4" t="s">
        <v>6442</v>
      </c>
      <c r="C21" s="4" t="s">
        <v>5749</v>
      </c>
      <c r="D21" s="16" t="str">
        <f t="shared" si="1"/>
        <v>(26,'GENERAL-LOCALIZATION-EDIT','Manage general localization'),</v>
      </c>
    </row>
    <row r="22" spans="1:4" ht="20.149999999999999" customHeight="1" x14ac:dyDescent="0.35">
      <c r="A22" s="3">
        <v>27</v>
      </c>
      <c r="B22" s="4" t="s">
        <v>6441</v>
      </c>
      <c r="C22" s="4" t="s">
        <v>5750</v>
      </c>
      <c r="D22" s="16" t="str">
        <f t="shared" si="1"/>
        <v>(27,'GENERAL-ORGANIZATION-EDIT','Manage general organization'),</v>
      </c>
    </row>
    <row r="23" spans="1:4" ht="20.149999999999999" customHeight="1" x14ac:dyDescent="0.35">
      <c r="A23" s="3">
        <v>28</v>
      </c>
      <c r="B23" s="4" t="s">
        <v>6440</v>
      </c>
      <c r="C23" s="4" t="s">
        <v>5745</v>
      </c>
      <c r="D23" s="16" t="str">
        <f t="shared" si="1"/>
        <v>(28,'NETWORK-TYPE-EDIT','Manage network type data'),</v>
      </c>
    </row>
    <row r="24" spans="1:4" ht="20.149999999999999" customHeight="1" x14ac:dyDescent="0.35">
      <c r="A24" s="3">
        <v>29</v>
      </c>
      <c r="B24" s="4" t="s">
        <v>6439</v>
      </c>
      <c r="C24" s="4" t="s">
        <v>5746</v>
      </c>
      <c r="D24" s="16" t="str">
        <f t="shared" si="1"/>
        <v>(29,'NETWORK-COMMON-EDIT','Manage network common data'),</v>
      </c>
    </row>
    <row r="25" spans="1:4" ht="20.149999999999999" customHeight="1" x14ac:dyDescent="0.35">
      <c r="A25" s="3">
        <v>30</v>
      </c>
      <c r="B25" s="4" t="s">
        <v>6438</v>
      </c>
      <c r="C25" s="4" t="s">
        <v>5747</v>
      </c>
      <c r="D25" s="16" t="str">
        <f t="shared" si="1"/>
        <v>(30,'NETWORK-CORE-EDIT','Manage network core data'),</v>
      </c>
    </row>
    <row r="26" spans="1:4" ht="20.149999999999999" customHeight="1" x14ac:dyDescent="0.35">
      <c r="A26" s="3">
        <v>31</v>
      </c>
      <c r="B26" s="4" t="s">
        <v>6437</v>
      </c>
      <c r="C26" s="4" t="s">
        <v>6424</v>
      </c>
      <c r="D26" s="16" t="str">
        <f t="shared" si="1"/>
        <v>(31,'FLOW-TYPE-EDIT','Manage flow type data'),</v>
      </c>
    </row>
    <row r="27" spans="1:4" ht="20.149999999999999" customHeight="1" x14ac:dyDescent="0.35">
      <c r="A27" s="3">
        <v>32</v>
      </c>
      <c r="B27" s="4" t="s">
        <v>6436</v>
      </c>
      <c r="C27" s="4" t="s">
        <v>6425</v>
      </c>
      <c r="D27" s="16" t="str">
        <f t="shared" si="1"/>
        <v>(32,'FLOW-COMMON-EDIT','Manage flow common data'),</v>
      </c>
    </row>
    <row r="28" spans="1:4" ht="20.149999999999999" customHeight="1" x14ac:dyDescent="0.35">
      <c r="A28" s="3">
        <v>33</v>
      </c>
      <c r="B28" s="4" t="s">
        <v>6435</v>
      </c>
      <c r="C28" s="4" t="s">
        <v>6426</v>
      </c>
      <c r="D28" s="16" t="str">
        <f t="shared" si="1"/>
        <v>(33,'FLOW-CORE-EDIT','Manage flow core data'),</v>
      </c>
    </row>
    <row r="29" spans="1:4" ht="20.149999999999999" customHeight="1" x14ac:dyDescent="0.35">
      <c r="A29" s="3">
        <v>41</v>
      </c>
      <c r="B29" s="4" t="s">
        <v>6430</v>
      </c>
      <c r="C29" s="4" t="s">
        <v>6427</v>
      </c>
      <c r="D29" s="16" t="str">
        <f>CONCATENATE("(",A29,",'",B29,"','",C29,"'),")</f>
        <v>(41,'SYSTEM-SETTING-READ','Manage system setting data'),</v>
      </c>
    </row>
    <row r="30" spans="1:4" ht="20.149999999999999" customHeight="1" x14ac:dyDescent="0.35">
      <c r="A30" s="3">
        <v>42</v>
      </c>
      <c r="B30" s="4" t="s">
        <v>6431</v>
      </c>
      <c r="C30" s="4" t="s">
        <v>6429</v>
      </c>
      <c r="D30" s="16" t="str">
        <f t="shared" ref="D30:D41" si="2">CONCATENATE("(",A30,",'",B30,"','",C30,"'),")</f>
        <v>(42,'SYSTEM-YTILITY-READ','Manage system utility data'),</v>
      </c>
    </row>
    <row r="31" spans="1:4" ht="20.149999999999999" customHeight="1" x14ac:dyDescent="0.35">
      <c r="A31" s="3">
        <v>43</v>
      </c>
      <c r="B31" s="4" t="s">
        <v>6412</v>
      </c>
      <c r="C31" s="4" t="s">
        <v>5743</v>
      </c>
      <c r="D31" s="16" t="str">
        <f t="shared" si="2"/>
        <v>(43,'SYSTEM-SECURITY-READ','Manage system security data'),</v>
      </c>
    </row>
    <row r="32" spans="1:4" ht="20.149999999999999" customHeight="1" x14ac:dyDescent="0.35">
      <c r="A32" s="3">
        <v>44</v>
      </c>
      <c r="B32" s="4" t="s">
        <v>6413</v>
      </c>
      <c r="C32" s="4" t="s">
        <v>5744</v>
      </c>
      <c r="D32" s="16" t="str">
        <f t="shared" si="2"/>
        <v>(44,'SYSTEM-AUDIT-READ','Manage system audit data'),</v>
      </c>
    </row>
    <row r="33" spans="1:4" ht="20.149999999999999" customHeight="1" x14ac:dyDescent="0.35">
      <c r="A33" s="3">
        <v>45</v>
      </c>
      <c r="B33" s="4" t="s">
        <v>6414</v>
      </c>
      <c r="C33" s="4" t="s">
        <v>5748</v>
      </c>
      <c r="D33" s="16" t="str">
        <f t="shared" si="2"/>
        <v>(45,'GENERAL-TYPE-READ','Manage general Type'),</v>
      </c>
    </row>
    <row r="34" spans="1:4" ht="20.149999999999999" customHeight="1" x14ac:dyDescent="0.35">
      <c r="A34" s="3">
        <v>46</v>
      </c>
      <c r="B34" s="4" t="s">
        <v>6415</v>
      </c>
      <c r="C34" s="4" t="s">
        <v>5749</v>
      </c>
      <c r="D34" s="16" t="str">
        <f t="shared" si="2"/>
        <v>(46,'GENERAL-LOCALIZATION-READ','Manage general localization'),</v>
      </c>
    </row>
    <row r="35" spans="1:4" ht="20.149999999999999" customHeight="1" x14ac:dyDescent="0.35">
      <c r="A35" s="3">
        <v>47</v>
      </c>
      <c r="B35" s="4" t="s">
        <v>6416</v>
      </c>
      <c r="C35" s="4" t="s">
        <v>5750</v>
      </c>
      <c r="D35" s="16" t="str">
        <f t="shared" si="2"/>
        <v>(47,'GENERAL-ORGANIZATION-READ','Manage general organization'),</v>
      </c>
    </row>
    <row r="36" spans="1:4" ht="20.149999999999999" customHeight="1" x14ac:dyDescent="0.35">
      <c r="A36" s="3">
        <v>48</v>
      </c>
      <c r="B36" s="4" t="s">
        <v>6417</v>
      </c>
      <c r="C36" s="4" t="s">
        <v>5745</v>
      </c>
      <c r="D36" s="16" t="str">
        <f t="shared" si="2"/>
        <v>(48,'NETWORK-TYPE-READ','Manage network type data'),</v>
      </c>
    </row>
    <row r="37" spans="1:4" ht="20.149999999999999" customHeight="1" x14ac:dyDescent="0.35">
      <c r="A37" s="3">
        <v>49</v>
      </c>
      <c r="B37" s="4" t="s">
        <v>6418</v>
      </c>
      <c r="C37" s="4" t="s">
        <v>5746</v>
      </c>
      <c r="D37" s="16" t="str">
        <f t="shared" si="2"/>
        <v>(49,'NETWORK-COMMON-READ','Manage network common data'),</v>
      </c>
    </row>
    <row r="38" spans="1:4" ht="20.149999999999999" customHeight="1" x14ac:dyDescent="0.35">
      <c r="A38" s="3">
        <v>50</v>
      </c>
      <c r="B38" s="4" t="s">
        <v>6419</v>
      </c>
      <c r="C38" s="4" t="s">
        <v>5747</v>
      </c>
      <c r="D38" s="16" t="str">
        <f t="shared" si="2"/>
        <v>(50,'NETWORK-CORE-READ','Manage network core data'),</v>
      </c>
    </row>
    <row r="39" spans="1:4" ht="20.149999999999999" customHeight="1" x14ac:dyDescent="0.35">
      <c r="A39" s="3">
        <v>51</v>
      </c>
      <c r="B39" s="4" t="s">
        <v>6434</v>
      </c>
      <c r="C39" s="4" t="s">
        <v>6424</v>
      </c>
      <c r="D39" s="16" t="str">
        <f t="shared" si="2"/>
        <v>(51,'FLOW-TYPE-READ','Manage flow type data'),</v>
      </c>
    </row>
    <row r="40" spans="1:4" ht="20.149999999999999" customHeight="1" x14ac:dyDescent="0.35">
      <c r="A40" s="3">
        <v>52</v>
      </c>
      <c r="B40" s="4" t="s">
        <v>6433</v>
      </c>
      <c r="C40" s="4" t="s">
        <v>6425</v>
      </c>
      <c r="D40" s="16" t="str">
        <f t="shared" si="2"/>
        <v>(52,'FLOW-COMMON-READ','Manage flow common data'),</v>
      </c>
    </row>
    <row r="41" spans="1:4" ht="20.149999999999999" customHeight="1" x14ac:dyDescent="0.35">
      <c r="A41" s="3">
        <v>53</v>
      </c>
      <c r="B41" s="4" t="s">
        <v>6432</v>
      </c>
      <c r="C41" s="4" t="s">
        <v>6426</v>
      </c>
      <c r="D41" s="16" t="str">
        <f t="shared" si="2"/>
        <v>(53,'FLOW-CORE-READ','Manage flow core data'),</v>
      </c>
    </row>
    <row r="42" spans="1:4" ht="20.149999999999999" customHeight="1" x14ac:dyDescent="0.35">
      <c r="A42" s="43"/>
      <c r="B42" s="44"/>
      <c r="C42" s="44"/>
      <c r="D42" s="45"/>
    </row>
  </sheetData>
  <autoFilter ref="A2:B15"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6082</v>
      </c>
      <c r="B1" s="1" t="s">
        <v>6090</v>
      </c>
      <c r="C1" s="1" t="s">
        <v>5603</v>
      </c>
    </row>
    <row r="2" spans="1:3" ht="20.149999999999999" customHeight="1" x14ac:dyDescent="0.35">
      <c r="A2" s="1" t="s">
        <v>41</v>
      </c>
      <c r="B2" s="1" t="s">
        <v>42</v>
      </c>
      <c r="C2" s="1" t="s">
        <v>6086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179"/>
  <sheetViews>
    <sheetView topLeftCell="C166" workbookViewId="0">
      <selection activeCell="F2" sqref="F2:F179"/>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5790</v>
      </c>
      <c r="E1" s="1" t="s">
        <v>5791</v>
      </c>
      <c r="F1" s="1" t="s">
        <v>5603</v>
      </c>
    </row>
    <row r="2" spans="1:6" ht="20.149999999999999" customHeight="1" x14ac:dyDescent="0.35">
      <c r="A2" s="1" t="s">
        <v>44</v>
      </c>
      <c r="B2" s="1" t="s">
        <v>41</v>
      </c>
      <c r="C2" s="1" t="s">
        <v>6103</v>
      </c>
      <c r="D2" s="1" t="s">
        <v>43</v>
      </c>
      <c r="E2" s="1" t="s">
        <v>53</v>
      </c>
      <c r="F2" s="1" t="s">
        <v>6104</v>
      </c>
    </row>
    <row r="3" spans="1:6" ht="20.149999999999999" customHeight="1" x14ac:dyDescent="0.35">
      <c r="A3" s="3">
        <v>1</v>
      </c>
      <c r="B3" s="4" t="str">
        <f>CONCATENATE(D3,":",E3)</f>
        <v>PARAMETER:ADMIN</v>
      </c>
      <c r="C3" s="4" t="str">
        <f>CONCATENATE(LOWER(D3)," administration")</f>
        <v>parameter administration</v>
      </c>
      <c r="D3" s="4" t="s">
        <v>6384</v>
      </c>
      <c r="E3" s="5" t="s">
        <v>5751</v>
      </c>
      <c r="F3" s="16" t="str">
        <f>CONCATENATE("(",A3,",'",B3,"','",C3,"','",D3,"','",E3,"'),")</f>
        <v>(1,'PARAMETER:ADMIN','parameter administration','PARAMETER','ADMIN'),</v>
      </c>
    </row>
    <row r="4" spans="1:6" ht="20.149999999999999" customHeight="1" x14ac:dyDescent="0.35">
      <c r="A4" s="3">
        <v>2</v>
      </c>
      <c r="B4" s="4" t="str">
        <f t="shared" ref="B4:B67" si="0">CONCATENATE(D4,":",E4)</f>
        <v>FILE:ADMIN</v>
      </c>
      <c r="C4" s="4" t="str">
        <f t="shared" ref="C4:C67" si="1">CONCATENATE(LOWER(D4)," administration")</f>
        <v>file administration</v>
      </c>
      <c r="D4" s="4" t="s">
        <v>6385</v>
      </c>
      <c r="E4" s="5" t="s">
        <v>5751</v>
      </c>
      <c r="F4" s="16" t="str">
        <f t="shared" ref="F4:F67" si="2">CONCATENATE("(",A4,",'",B4,"','",C4,"','",D4,"','",E4,"'),")</f>
        <v>(2,'FILE:ADMIN','file administration','FILE','ADMIN'),</v>
      </c>
    </row>
    <row r="5" spans="1:6" ht="20.149999999999999" customHeight="1" x14ac:dyDescent="0.35">
      <c r="A5" s="3">
        <v>3</v>
      </c>
      <c r="B5" s="4" t="str">
        <f t="shared" si="0"/>
        <v>GROUP:ADMIN</v>
      </c>
      <c r="C5" s="4" t="str">
        <f t="shared" si="1"/>
        <v>group administration</v>
      </c>
      <c r="D5" s="4" t="s">
        <v>5752</v>
      </c>
      <c r="E5" s="5" t="s">
        <v>5751</v>
      </c>
      <c r="F5" s="16" t="str">
        <f t="shared" si="2"/>
        <v>(3,'GROUP:ADMIN','group administration','GROUP','ADMIN'),</v>
      </c>
    </row>
    <row r="6" spans="1:6" ht="20.149999999999999" customHeight="1" x14ac:dyDescent="0.35">
      <c r="A6" s="3">
        <v>4</v>
      </c>
      <c r="B6" s="4" t="str">
        <f t="shared" si="0"/>
        <v>USER:ADMIN</v>
      </c>
      <c r="C6" s="4" t="str">
        <f t="shared" si="1"/>
        <v>user administration</v>
      </c>
      <c r="D6" s="4" t="s">
        <v>5753</v>
      </c>
      <c r="E6" s="5" t="s">
        <v>5751</v>
      </c>
      <c r="F6" s="16" t="str">
        <f t="shared" si="2"/>
        <v>(4,'USER:ADMIN','user administration','USER','ADMIN'),</v>
      </c>
    </row>
    <row r="7" spans="1:6" ht="20.149999999999999" customHeight="1" x14ac:dyDescent="0.35">
      <c r="A7" s="3">
        <v>5</v>
      </c>
      <c r="B7" s="4" t="str">
        <f t="shared" si="0"/>
        <v>ROLE:ADMIN</v>
      </c>
      <c r="C7" s="4" t="str">
        <f t="shared" si="1"/>
        <v>role administration</v>
      </c>
      <c r="D7" s="4" t="s">
        <v>5754</v>
      </c>
      <c r="E7" s="5" t="s">
        <v>5751</v>
      </c>
      <c r="F7" s="16" t="str">
        <f t="shared" si="2"/>
        <v>(5,'ROLE:ADMIN','role administration','ROLE','ADMIN'),</v>
      </c>
    </row>
    <row r="8" spans="1:6" ht="20.149999999999999" customHeight="1" x14ac:dyDescent="0.35">
      <c r="A8" s="3">
        <v>6</v>
      </c>
      <c r="B8" s="4" t="str">
        <f t="shared" si="0"/>
        <v>PERMISSION:ADMIN</v>
      </c>
      <c r="C8" s="4" t="str">
        <f t="shared" si="1"/>
        <v>permission administration</v>
      </c>
      <c r="D8" s="4" t="s">
        <v>5755</v>
      </c>
      <c r="E8" s="5" t="s">
        <v>5751</v>
      </c>
      <c r="F8" s="16" t="str">
        <f t="shared" si="2"/>
        <v>(6,'PERMISSION:ADMIN','permission administration','PERMISSION','ADMIN'),</v>
      </c>
    </row>
    <row r="9" spans="1:6" ht="20.149999999999999" customHeight="1" x14ac:dyDescent="0.35">
      <c r="A9" s="3">
        <v>7</v>
      </c>
      <c r="B9" s="4" t="str">
        <f t="shared" si="0"/>
        <v>AUTHORITY:ADMIN</v>
      </c>
      <c r="C9" s="4" t="str">
        <f t="shared" si="1"/>
        <v>authority administration</v>
      </c>
      <c r="D9" s="4" t="s">
        <v>5756</v>
      </c>
      <c r="E9" s="5" t="s">
        <v>5751</v>
      </c>
      <c r="F9" s="16" t="str">
        <f t="shared" si="2"/>
        <v>(7,'AUTHORITY:ADMIN','authority administration','AUTHORITY','ADMIN'),</v>
      </c>
    </row>
    <row r="10" spans="1:6" ht="20.149999999999999" customHeight="1" x14ac:dyDescent="0.35">
      <c r="A10" s="3">
        <v>8</v>
      </c>
      <c r="B10" s="4" t="str">
        <f t="shared" si="0"/>
        <v>AUDIT:ADMIN</v>
      </c>
      <c r="C10" s="4" t="str">
        <f t="shared" si="1"/>
        <v>audit administration</v>
      </c>
      <c r="D10" s="4" t="s">
        <v>5757</v>
      </c>
      <c r="E10" s="5" t="s">
        <v>5751</v>
      </c>
      <c r="F10" s="16" t="str">
        <f t="shared" si="2"/>
        <v>(8,'AUDIT:ADMIN','audit administration','AUDIT','ADMIN'),</v>
      </c>
    </row>
    <row r="11" spans="1:6" ht="20.149999999999999" customHeight="1" x14ac:dyDescent="0.35">
      <c r="A11" s="3">
        <v>9</v>
      </c>
      <c r="B11" s="4" t="str">
        <f t="shared" si="0"/>
        <v>STRUCTURE_TYPE:ADMIN</v>
      </c>
      <c r="C11" s="4" t="str">
        <f t="shared" si="1"/>
        <v>structure_type administration</v>
      </c>
      <c r="D11" s="4" t="s">
        <v>5762</v>
      </c>
      <c r="E11" s="5" t="s">
        <v>5751</v>
      </c>
      <c r="F11" s="16" t="str">
        <f t="shared" si="2"/>
        <v>(9,'STRUCTURE_TYPE:ADMIN','structure_type administration','STRUCTURE_TYPE','ADMIN'),</v>
      </c>
    </row>
    <row r="12" spans="1:6" ht="20.149999999999999" customHeight="1" x14ac:dyDescent="0.35">
      <c r="A12" s="3">
        <v>10</v>
      </c>
      <c r="B12" s="4" t="str">
        <f t="shared" si="0"/>
        <v>ZONE:ADMIN</v>
      </c>
      <c r="C12" s="4" t="str">
        <f t="shared" si="1"/>
        <v>zone administration</v>
      </c>
      <c r="D12" s="4" t="s">
        <v>5774</v>
      </c>
      <c r="E12" s="5" t="s">
        <v>5751</v>
      </c>
      <c r="F12" s="16" t="str">
        <f t="shared" si="2"/>
        <v>(10,'ZONE:ADMIN','zone administration','ZONE','ADMIN'),</v>
      </c>
    </row>
    <row r="13" spans="1:6" ht="20.149999999999999" customHeight="1" x14ac:dyDescent="0.35">
      <c r="A13" s="3">
        <v>11</v>
      </c>
      <c r="B13" s="4" t="str">
        <f t="shared" si="0"/>
        <v>COUNTRY:ADMIN</v>
      </c>
      <c r="C13" s="4" t="str">
        <f t="shared" si="1"/>
        <v>country administration</v>
      </c>
      <c r="D13" s="4" t="s">
        <v>5759</v>
      </c>
      <c r="E13" s="5" t="s">
        <v>5751</v>
      </c>
      <c r="F13" s="16" t="str">
        <f t="shared" si="2"/>
        <v>(11,'COUNTRY:ADMIN','country administration','COUNTRY','ADMIN'),</v>
      </c>
    </row>
    <row r="14" spans="1:6" ht="20.149999999999999" customHeight="1" x14ac:dyDescent="0.35">
      <c r="A14" s="3">
        <v>12</v>
      </c>
      <c r="B14" s="4" t="str">
        <f t="shared" si="0"/>
        <v>STATE:ADMIN</v>
      </c>
      <c r="C14" s="4" t="str">
        <f t="shared" si="1"/>
        <v>state administration</v>
      </c>
      <c r="D14" s="4" t="s">
        <v>5760</v>
      </c>
      <c r="E14" s="5" t="s">
        <v>5751</v>
      </c>
      <c r="F14" s="16" t="str">
        <f t="shared" si="2"/>
        <v>(12,'STATE:ADMIN','state administration','STATE','ADMIN'),</v>
      </c>
    </row>
    <row r="15" spans="1:6" ht="20.149999999999999" customHeight="1" x14ac:dyDescent="0.35">
      <c r="A15" s="3">
        <v>13</v>
      </c>
      <c r="B15" s="4" t="str">
        <f t="shared" si="0"/>
        <v>DISTRICT:ADMIN</v>
      </c>
      <c r="C15" s="4" t="str">
        <f t="shared" si="1"/>
        <v>district administration</v>
      </c>
      <c r="D15" s="4" t="s">
        <v>5794</v>
      </c>
      <c r="E15" s="5" t="s">
        <v>5751</v>
      </c>
      <c r="F15" s="16" t="str">
        <f t="shared" si="2"/>
        <v>(13,'DISTRICT:ADMIN','district administration','DISTRICT','ADMIN'),</v>
      </c>
    </row>
    <row r="16" spans="1:6" ht="20.149999999999999" customHeight="1" x14ac:dyDescent="0.35">
      <c r="A16" s="3">
        <v>14</v>
      </c>
      <c r="B16" s="4" t="str">
        <f t="shared" si="0"/>
        <v>LOCALITY:ADMIN</v>
      </c>
      <c r="C16" s="4" t="str">
        <f t="shared" si="1"/>
        <v>locality administration</v>
      </c>
      <c r="D16" s="4" t="s">
        <v>5761</v>
      </c>
      <c r="E16" s="5" t="s">
        <v>5751</v>
      </c>
      <c r="F16" s="16" t="str">
        <f t="shared" si="2"/>
        <v>(14,'LOCALITY:ADMIN','locality administration','LOCALITY','ADMIN'),</v>
      </c>
    </row>
    <row r="17" spans="1:6" ht="20.149999999999999" customHeight="1" x14ac:dyDescent="0.35">
      <c r="A17" s="3">
        <v>15</v>
      </c>
      <c r="B17" s="4" t="str">
        <f t="shared" si="0"/>
        <v>LOCATION:ADMIN</v>
      </c>
      <c r="C17" s="4" t="str">
        <f t="shared" si="1"/>
        <v>location administration</v>
      </c>
      <c r="D17" s="4" t="s">
        <v>5775</v>
      </c>
      <c r="E17" s="5" t="s">
        <v>5751</v>
      </c>
      <c r="F17" s="16" t="str">
        <f t="shared" si="2"/>
        <v>(15,'LOCATION:ADMIN','location administration','LOCATION','ADMIN'),</v>
      </c>
    </row>
    <row r="18" spans="1:6" ht="20.149999999999999" customHeight="1" x14ac:dyDescent="0.35">
      <c r="A18" s="3">
        <v>16</v>
      </c>
      <c r="B18" s="4" t="str">
        <f t="shared" si="0"/>
        <v>COORDINATE:ADMIN</v>
      </c>
      <c r="C18" s="4" t="str">
        <f t="shared" si="1"/>
        <v>coordinate administration</v>
      </c>
      <c r="D18" s="4" t="s">
        <v>6386</v>
      </c>
      <c r="E18" s="5" t="s">
        <v>5751</v>
      </c>
      <c r="F18" s="16" t="str">
        <f t="shared" si="2"/>
        <v>(16,'COORDINATE:ADMIN','coordinate administration','COORDINATE','ADMIN'),</v>
      </c>
    </row>
    <row r="19" spans="1:6" ht="20.149999999999999" customHeight="1" x14ac:dyDescent="0.35">
      <c r="A19" s="3">
        <v>17</v>
      </c>
      <c r="B19" s="4" t="str">
        <f t="shared" si="0"/>
        <v>STRUCTURE:ADMIN</v>
      </c>
      <c r="C19" s="4" t="str">
        <f t="shared" si="1"/>
        <v>structure administration</v>
      </c>
      <c r="D19" s="4" t="s">
        <v>5763</v>
      </c>
      <c r="E19" s="5" t="s">
        <v>5751</v>
      </c>
      <c r="F19" s="16" t="str">
        <f t="shared" si="2"/>
        <v>(17,'STRUCTURE:ADMIN','structure administration','STRUCTURE','ADMIN'),</v>
      </c>
    </row>
    <row r="20" spans="1:6" ht="20.149999999999999" customHeight="1" x14ac:dyDescent="0.35">
      <c r="A20" s="3">
        <v>18</v>
      </c>
      <c r="B20" s="4" t="str">
        <f t="shared" si="0"/>
        <v>JOB:ADMIN</v>
      </c>
      <c r="C20" s="4" t="str">
        <f t="shared" si="1"/>
        <v>job administration</v>
      </c>
      <c r="D20" s="4" t="s">
        <v>5764</v>
      </c>
      <c r="E20" s="5" t="s">
        <v>5751</v>
      </c>
      <c r="F20" s="16" t="str">
        <f t="shared" si="2"/>
        <v>(18,'JOB:ADMIN','job administration','JOB','ADMIN'),</v>
      </c>
    </row>
    <row r="21" spans="1:6" ht="20.149999999999999" customHeight="1" x14ac:dyDescent="0.35">
      <c r="A21" s="3">
        <v>19</v>
      </c>
      <c r="B21" s="4" t="str">
        <f t="shared" si="0"/>
        <v>PERSON:ADMIN</v>
      </c>
      <c r="C21" s="4" t="str">
        <f t="shared" si="1"/>
        <v>person administration</v>
      </c>
      <c r="D21" s="4" t="s">
        <v>5765</v>
      </c>
      <c r="E21" s="5" t="s">
        <v>5751</v>
      </c>
      <c r="F21" s="16" t="str">
        <f t="shared" si="2"/>
        <v>(19,'PERSON:ADMIN','person administration','PERSON','ADMIN'),</v>
      </c>
    </row>
    <row r="22" spans="1:6" ht="20.149999999999999" customHeight="1" x14ac:dyDescent="0.35">
      <c r="A22" s="3">
        <v>20</v>
      </c>
      <c r="B22" s="4" t="str">
        <f t="shared" si="0"/>
        <v>EMPLOYEE:ADMIN</v>
      </c>
      <c r="C22" s="4" t="str">
        <f t="shared" si="1"/>
        <v>employee administration</v>
      </c>
      <c r="D22" s="4" t="s">
        <v>5766</v>
      </c>
      <c r="E22" s="5" t="s">
        <v>5751</v>
      </c>
      <c r="F22" s="16" t="str">
        <f t="shared" si="2"/>
        <v>(20,'EMPLOYEE:ADMIN','employee administration','EMPLOYEE','ADMIN'),</v>
      </c>
    </row>
    <row r="23" spans="1:6" ht="20.149999999999999" customHeight="1" x14ac:dyDescent="0.35">
      <c r="A23" s="3">
        <v>21</v>
      </c>
      <c r="B23" s="4" t="str">
        <f t="shared" si="0"/>
        <v>COMPANY_TYPE:ADMIN</v>
      </c>
      <c r="C23" s="4" t="str">
        <f t="shared" si="1"/>
        <v>company_type administration</v>
      </c>
      <c r="D23" s="4" t="s">
        <v>5767</v>
      </c>
      <c r="E23" s="5" t="s">
        <v>5751</v>
      </c>
      <c r="F23" s="16" t="str">
        <f t="shared" si="2"/>
        <v>(21,'COMPANY_TYPE:ADMIN','company_type administration','COMPANY_TYPE','ADMIN'),</v>
      </c>
    </row>
    <row r="24" spans="1:6" ht="20.149999999999999" customHeight="1" x14ac:dyDescent="0.35">
      <c r="A24" s="3">
        <v>22</v>
      </c>
      <c r="B24" s="4" t="str">
        <f t="shared" si="0"/>
        <v>PARTNER_TYPE:ADMIN</v>
      </c>
      <c r="C24" s="4" t="str">
        <f t="shared" si="1"/>
        <v>partner_type administration</v>
      </c>
      <c r="D24" s="4" t="s">
        <v>5768</v>
      </c>
      <c r="E24" s="5" t="s">
        <v>5751</v>
      </c>
      <c r="F24" s="16" t="str">
        <f t="shared" si="2"/>
        <v>(22,'PARTNER_TYPE:ADMIN','partner_type administration','PARTNER_TYPE','ADMIN'),</v>
      </c>
    </row>
    <row r="25" spans="1:6" ht="20.149999999999999" customHeight="1" x14ac:dyDescent="0.35">
      <c r="A25" s="3">
        <v>23</v>
      </c>
      <c r="B25" s="4" t="str">
        <f t="shared" si="0"/>
        <v>VENDOR_TYPE:ADMIN</v>
      </c>
      <c r="C25" s="4" t="str">
        <f t="shared" si="1"/>
        <v>vendor_type administration</v>
      </c>
      <c r="D25" s="4" t="s">
        <v>5769</v>
      </c>
      <c r="E25" s="5" t="s">
        <v>5751</v>
      </c>
      <c r="F25" s="16" t="str">
        <f t="shared" si="2"/>
        <v>(23,'VENDOR_TYPE:ADMIN','vendor_type administration','VENDOR_TYPE','ADMIN'),</v>
      </c>
    </row>
    <row r="26" spans="1:6" ht="20.149999999999999" customHeight="1" x14ac:dyDescent="0.35">
      <c r="A26" s="3">
        <v>24</v>
      </c>
      <c r="B26" s="4" t="str">
        <f t="shared" si="0"/>
        <v>FACILITY_TYPE:ADMIN</v>
      </c>
      <c r="C26" s="4" t="str">
        <f t="shared" si="1"/>
        <v>facility_type administration</v>
      </c>
      <c r="D26" s="4" t="s">
        <v>5770</v>
      </c>
      <c r="E26" s="5" t="s">
        <v>5751</v>
      </c>
      <c r="F26" s="16" t="str">
        <f t="shared" si="2"/>
        <v>(24,'FACILITY_TYPE:ADMIN','facility_type administration','FACILITY_TYPE','ADMIN'),</v>
      </c>
    </row>
    <row r="27" spans="1:6" ht="20.149999999999999" customHeight="1" x14ac:dyDescent="0.35">
      <c r="A27" s="3">
        <v>25</v>
      </c>
      <c r="B27" s="4" t="str">
        <f t="shared" si="0"/>
        <v>STATION_TYPE:ADMIN</v>
      </c>
      <c r="C27" s="4" t="str">
        <f t="shared" si="1"/>
        <v>station_type administration</v>
      </c>
      <c r="D27" s="4" t="s">
        <v>5771</v>
      </c>
      <c r="E27" s="5" t="s">
        <v>5751</v>
      </c>
      <c r="F27" s="16" t="str">
        <f t="shared" si="2"/>
        <v>(25,'STATION_TYPE:ADMIN','station_type administration','STATION_TYPE','ADMIN'),</v>
      </c>
    </row>
    <row r="28" spans="1:6" ht="20.149999999999999" customHeight="1" x14ac:dyDescent="0.35">
      <c r="A28" s="3">
        <v>26</v>
      </c>
      <c r="B28" s="4" t="str">
        <f t="shared" si="0"/>
        <v>TERMINAL_TYPE:ADMIN</v>
      </c>
      <c r="C28" s="4" t="str">
        <f t="shared" si="1"/>
        <v>terminal_type administration</v>
      </c>
      <c r="D28" s="4" t="s">
        <v>5772</v>
      </c>
      <c r="E28" s="5" t="s">
        <v>5751</v>
      </c>
      <c r="F28" s="16" t="str">
        <f t="shared" si="2"/>
        <v>(26,'TERMINAL_TYPE:ADMIN','terminal_type administration','TERMINAL_TYPE','ADMIN'),</v>
      </c>
    </row>
    <row r="29" spans="1:6" ht="20.149999999999999" customHeight="1" x14ac:dyDescent="0.35">
      <c r="A29" s="3">
        <v>27</v>
      </c>
      <c r="B29" s="4" t="str">
        <f t="shared" si="0"/>
        <v>PROCESSING_PLANT_TYPE:ADMIN</v>
      </c>
      <c r="C29" s="4" t="str">
        <f t="shared" si="1"/>
        <v>processing_plant_type administration</v>
      </c>
      <c r="D29" s="4" t="s">
        <v>5795</v>
      </c>
      <c r="E29" s="5" t="s">
        <v>5751</v>
      </c>
      <c r="F29" s="16" t="str">
        <f t="shared" si="2"/>
        <v>(27,'PROCESSING_PLANT_TYPE:ADMIN','processing_plant_type administration','PROCESSING_PLANT_TYPE','ADMIN'),</v>
      </c>
    </row>
    <row r="30" spans="1:6" ht="20.149999999999999" customHeight="1" x14ac:dyDescent="0.35">
      <c r="A30" s="3">
        <v>28</v>
      </c>
      <c r="B30" s="4" t="str">
        <f t="shared" si="0"/>
        <v>PRODUCTION_FIELD_TYPE:ADMIN</v>
      </c>
      <c r="C30" s="4" t="str">
        <f t="shared" si="1"/>
        <v>production_field_type administration</v>
      </c>
      <c r="D30" s="4" t="s">
        <v>5796</v>
      </c>
      <c r="E30" s="5" t="s">
        <v>5751</v>
      </c>
      <c r="F30" s="16" t="str">
        <f t="shared" si="2"/>
        <v>(28,'PRODUCTION_FIELD_TYPE:ADMIN','production_field_type administration','PRODUCTION_FIELD_TYPE','ADMIN'),</v>
      </c>
    </row>
    <row r="31" spans="1:6" ht="20.149999999999999" customHeight="1" x14ac:dyDescent="0.35">
      <c r="A31" s="3">
        <v>29</v>
      </c>
      <c r="B31" s="4" t="str">
        <f t="shared" si="0"/>
        <v>EQUIPMENT_TYPE:ADMIN</v>
      </c>
      <c r="C31" s="4" t="str">
        <f t="shared" si="1"/>
        <v>equipment_type administration</v>
      </c>
      <c r="D31" s="4" t="s">
        <v>5773</v>
      </c>
      <c r="E31" s="5" t="s">
        <v>5751</v>
      </c>
      <c r="F31" s="16" t="str">
        <f t="shared" si="2"/>
        <v>(29,'EQUIPMENT_TYPE:ADMIN','equipment_type administration','EQUIPMENT_TYPE','ADMIN'),</v>
      </c>
    </row>
    <row r="32" spans="1:6" ht="20.149999999999999" customHeight="1" x14ac:dyDescent="0.35">
      <c r="A32" s="3">
        <v>30</v>
      </c>
      <c r="B32" s="4" t="str">
        <f t="shared" si="0"/>
        <v>PRODUCT:ADMIN</v>
      </c>
      <c r="C32" s="4" t="str">
        <f t="shared" si="1"/>
        <v>product administration</v>
      </c>
      <c r="D32" s="4" t="s">
        <v>5776</v>
      </c>
      <c r="E32" s="5" t="s">
        <v>5751</v>
      </c>
      <c r="F32" s="16" t="str">
        <f t="shared" si="2"/>
        <v>(30,'PRODUCT:ADMIN','product administration','PRODUCT','ADMIN'),</v>
      </c>
    </row>
    <row r="33" spans="1:6" ht="20.149999999999999" customHeight="1" x14ac:dyDescent="0.35">
      <c r="A33" s="3">
        <v>31</v>
      </c>
      <c r="B33" s="4" t="str">
        <f t="shared" si="0"/>
        <v>OPERATIONAL_STATUS:ADMIN</v>
      </c>
      <c r="C33" s="4" t="str">
        <f t="shared" si="1"/>
        <v>operational_status administration</v>
      </c>
      <c r="D33" s="4" t="s">
        <v>5777</v>
      </c>
      <c r="E33" s="5" t="s">
        <v>5751</v>
      </c>
      <c r="F33" s="16" t="str">
        <f t="shared" si="2"/>
        <v>(31,'OPERATIONAL_STATUS:ADMIN','operational_status administration','OPERATIONAL_STATUS','ADMIN'),</v>
      </c>
    </row>
    <row r="34" spans="1:6" ht="20.149999999999999" customHeight="1" x14ac:dyDescent="0.35">
      <c r="A34" s="3">
        <v>32</v>
      </c>
      <c r="B34" s="4" t="str">
        <f t="shared" si="0"/>
        <v>ALLOY:ADMIN</v>
      </c>
      <c r="C34" s="4" t="str">
        <f t="shared" si="1"/>
        <v>alloy administration</v>
      </c>
      <c r="D34" s="4" t="s">
        <v>5778</v>
      </c>
      <c r="E34" s="5" t="s">
        <v>5751</v>
      </c>
      <c r="F34" s="16" t="str">
        <f t="shared" si="2"/>
        <v>(32,'ALLOY:ADMIN','alloy administration','ALLOY','ADMIN'),</v>
      </c>
    </row>
    <row r="35" spans="1:6" ht="20.149999999999999" customHeight="1" x14ac:dyDescent="0.35">
      <c r="A35" s="3">
        <v>33</v>
      </c>
      <c r="B35" s="4" t="str">
        <f t="shared" si="0"/>
        <v>PARTNER:ADMIN</v>
      </c>
      <c r="C35" s="4" t="str">
        <f t="shared" si="1"/>
        <v>partner administration</v>
      </c>
      <c r="D35" s="4" t="s">
        <v>5779</v>
      </c>
      <c r="E35" s="5" t="s">
        <v>5751</v>
      </c>
      <c r="F35" s="16" t="str">
        <f t="shared" si="2"/>
        <v>(33,'PARTNER:ADMIN','partner administration','PARTNER','ADMIN'),</v>
      </c>
    </row>
    <row r="36" spans="1:6" ht="20.149999999999999" customHeight="1" x14ac:dyDescent="0.35">
      <c r="A36" s="3">
        <v>34</v>
      </c>
      <c r="B36" s="4" t="str">
        <f t="shared" si="0"/>
        <v>VENDOR:ADMIN</v>
      </c>
      <c r="C36" s="4" t="str">
        <f t="shared" si="1"/>
        <v>vendor administration</v>
      </c>
      <c r="D36" s="4" t="s">
        <v>5780</v>
      </c>
      <c r="E36" s="5" t="s">
        <v>5751</v>
      </c>
      <c r="F36" s="16" t="str">
        <f t="shared" si="2"/>
        <v>(34,'VENDOR:ADMIN','vendor administration','VENDOR','ADMIN'),</v>
      </c>
    </row>
    <row r="37" spans="1:6" ht="20.149999999999999" customHeight="1" x14ac:dyDescent="0.35">
      <c r="A37" s="3">
        <v>35</v>
      </c>
      <c r="B37" s="4" t="str">
        <f t="shared" si="0"/>
        <v>INFRASTRUCTURE:ADMIN</v>
      </c>
      <c r="C37" s="4" t="str">
        <f t="shared" si="1"/>
        <v>infrastructure administration</v>
      </c>
      <c r="D37" s="4" t="s">
        <v>5781</v>
      </c>
      <c r="E37" s="5" t="s">
        <v>5751</v>
      </c>
      <c r="F37" s="16" t="str">
        <f t="shared" si="2"/>
        <v>(35,'INFRASTRUCTURE:ADMIN','infrastructure administration','INFRASTRUCTURE','ADMIN'),</v>
      </c>
    </row>
    <row r="38" spans="1:6" ht="20.149999999999999" customHeight="1" x14ac:dyDescent="0.35">
      <c r="A38" s="3">
        <v>36</v>
      </c>
      <c r="B38" s="4" t="str">
        <f t="shared" si="0"/>
        <v>FACILITY:ADMIN</v>
      </c>
      <c r="C38" s="4" t="str">
        <f t="shared" si="1"/>
        <v>facility administration</v>
      </c>
      <c r="D38" s="4" t="s">
        <v>5782</v>
      </c>
      <c r="E38" s="5" t="s">
        <v>5751</v>
      </c>
      <c r="F38" s="16" t="str">
        <f t="shared" si="2"/>
        <v>(36,'FACILITY:ADMIN','facility administration','FACILITY','ADMIN'),</v>
      </c>
    </row>
    <row r="39" spans="1:6" ht="20.149999999999999" customHeight="1" x14ac:dyDescent="0.35">
      <c r="A39" s="3">
        <v>37</v>
      </c>
      <c r="B39" s="4" t="str">
        <f t="shared" si="0"/>
        <v>PIPELINE_SYSTEM:ADMIN</v>
      </c>
      <c r="C39" s="4" t="str">
        <f t="shared" si="1"/>
        <v>pipeline_system administration</v>
      </c>
      <c r="D39" s="4" t="s">
        <v>5783</v>
      </c>
      <c r="E39" s="5" t="s">
        <v>5751</v>
      </c>
      <c r="F39" s="16" t="str">
        <f t="shared" si="2"/>
        <v>(37,'PIPELINE_SYSTEM:ADMIN','pipeline_system administration','PIPELINE_SYSTEM','ADMIN'),</v>
      </c>
    </row>
    <row r="40" spans="1:6" ht="20.149999999999999" customHeight="1" x14ac:dyDescent="0.35">
      <c r="A40" s="3">
        <v>38</v>
      </c>
      <c r="B40" s="4" t="str">
        <f t="shared" si="0"/>
        <v>PIPELINE:ADMIN</v>
      </c>
      <c r="C40" s="4" t="str">
        <f t="shared" si="1"/>
        <v>pipeline administration</v>
      </c>
      <c r="D40" s="4" t="s">
        <v>5784</v>
      </c>
      <c r="E40" s="5" t="s">
        <v>5751</v>
      </c>
      <c r="F40" s="16" t="str">
        <f t="shared" si="2"/>
        <v>(38,'PIPELINE:ADMIN','pipeline administration','PIPELINE','ADMIN'),</v>
      </c>
    </row>
    <row r="41" spans="1:6" ht="20.149999999999999" customHeight="1" x14ac:dyDescent="0.35">
      <c r="A41" s="3">
        <v>39</v>
      </c>
      <c r="B41" s="4" t="str">
        <f t="shared" si="0"/>
        <v>PIPELINE_SEGMENT:ADMIN</v>
      </c>
      <c r="C41" s="4" t="str">
        <f t="shared" si="1"/>
        <v>pipeline_segment administration</v>
      </c>
      <c r="D41" s="4" t="s">
        <v>5785</v>
      </c>
      <c r="E41" s="5" t="s">
        <v>5751</v>
      </c>
      <c r="F41" s="16" t="str">
        <f t="shared" si="2"/>
        <v>(39,'PIPELINE_SEGMENT:ADMIN','pipeline_segment administration','PIPELINE_SEGMENT','ADMIN'),</v>
      </c>
    </row>
    <row r="42" spans="1:6" ht="20.149999999999999" customHeight="1" x14ac:dyDescent="0.35">
      <c r="A42" s="3">
        <v>40</v>
      </c>
      <c r="B42" s="4" t="str">
        <f t="shared" si="0"/>
        <v>STATION:ADMIN</v>
      </c>
      <c r="C42" s="4" t="str">
        <f t="shared" si="1"/>
        <v>station administration</v>
      </c>
      <c r="D42" s="4" t="s">
        <v>5786</v>
      </c>
      <c r="E42" s="5" t="s">
        <v>5751</v>
      </c>
      <c r="F42" s="16" t="str">
        <f t="shared" si="2"/>
        <v>(40,'STATION:ADMIN','station administration','STATION','ADMIN'),</v>
      </c>
    </row>
    <row r="43" spans="1:6" ht="20.149999999999999" customHeight="1" x14ac:dyDescent="0.35">
      <c r="A43" s="3">
        <v>41</v>
      </c>
      <c r="B43" s="4" t="str">
        <f t="shared" si="0"/>
        <v>TERMINAL:ADMIN</v>
      </c>
      <c r="C43" s="4" t="str">
        <f t="shared" si="1"/>
        <v>terminal administration</v>
      </c>
      <c r="D43" s="4" t="s">
        <v>5787</v>
      </c>
      <c r="E43" s="5" t="s">
        <v>5751</v>
      </c>
      <c r="F43" s="16" t="str">
        <f t="shared" si="2"/>
        <v>(41,'TERMINAL:ADMIN','terminal administration','TERMINAL','ADMIN'),</v>
      </c>
    </row>
    <row r="44" spans="1:6" ht="20.149999999999999" customHeight="1" x14ac:dyDescent="0.35">
      <c r="A44" s="3">
        <v>42</v>
      </c>
      <c r="B44" s="4" t="str">
        <f t="shared" si="0"/>
        <v>PROCESSING_PLANT:ADMIN</v>
      </c>
      <c r="C44" s="4" t="str">
        <f t="shared" si="1"/>
        <v>processing_plant administration</v>
      </c>
      <c r="D44" s="4" t="s">
        <v>5797</v>
      </c>
      <c r="E44" s="5" t="s">
        <v>5751</v>
      </c>
      <c r="F44" s="16" t="str">
        <f t="shared" si="2"/>
        <v>(42,'PROCESSING_PLANT:ADMIN','processing_plant administration','PROCESSING_PLANT','ADMIN'),</v>
      </c>
    </row>
    <row r="45" spans="1:6" ht="20.149999999999999" customHeight="1" x14ac:dyDescent="0.35">
      <c r="A45" s="3">
        <v>43</v>
      </c>
      <c r="B45" s="4" t="str">
        <f t="shared" si="0"/>
        <v>PRODUCTION_FIELD:ADMIN</v>
      </c>
      <c r="C45" s="4" t="str">
        <f t="shared" si="1"/>
        <v>production_field administration</v>
      </c>
      <c r="D45" s="4" t="s">
        <v>5798</v>
      </c>
      <c r="E45" s="5" t="s">
        <v>5751</v>
      </c>
      <c r="F45" s="16" t="str">
        <f t="shared" si="2"/>
        <v>(43,'PRODUCTION_FIELD:ADMIN','production_field administration','PRODUCTION_FIELD','ADMIN'),</v>
      </c>
    </row>
    <row r="46" spans="1:6" ht="20.149999999999999" customHeight="1" x14ac:dyDescent="0.35">
      <c r="A46" s="3">
        <v>44</v>
      </c>
      <c r="B46" s="4" t="str">
        <f t="shared" si="0"/>
        <v>EQUIPMENT:ADMIN</v>
      </c>
      <c r="C46" s="4" t="str">
        <f t="shared" si="1"/>
        <v>equipment administration</v>
      </c>
      <c r="D46" s="4" t="s">
        <v>5788</v>
      </c>
      <c r="E46" s="5" t="s">
        <v>5751</v>
      </c>
      <c r="F46" s="16" t="str">
        <f t="shared" si="2"/>
        <v>(44,'EQUIPMENT:ADMIN','equipment administration','EQUIPMENT','ADMIN'),</v>
      </c>
    </row>
    <row r="47" spans="1:6" ht="20.149999999999999" customHeight="1" x14ac:dyDescent="0.35">
      <c r="A47" s="3">
        <v>45</v>
      </c>
      <c r="B47" s="4" t="str">
        <f t="shared" si="0"/>
        <v>EVENT_TYPE:ADMIN</v>
      </c>
      <c r="C47" s="4" t="str">
        <f t="shared" si="1"/>
        <v>event_type administration</v>
      </c>
      <c r="D47" s="4" t="s">
        <v>6388</v>
      </c>
      <c r="E47" s="5" t="s">
        <v>5751</v>
      </c>
      <c r="F47" s="16" t="str">
        <f t="shared" si="2"/>
        <v>(45,'EVENT_TYPE:ADMIN','event_type administration','EVENT_TYPE','ADMIN'),</v>
      </c>
    </row>
    <row r="48" spans="1:6" ht="20.149999999999999" customHeight="1" x14ac:dyDescent="0.35">
      <c r="A48" s="3">
        <v>46</v>
      </c>
      <c r="B48" s="4" t="str">
        <f t="shared" si="0"/>
        <v>OPERATION_TYPE:ADMIN</v>
      </c>
      <c r="C48" s="4" t="str">
        <f t="shared" si="1"/>
        <v>operation_type administration</v>
      </c>
      <c r="D48" s="4" t="s">
        <v>6387</v>
      </c>
      <c r="E48" s="5" t="s">
        <v>5751</v>
      </c>
      <c r="F48" s="16" t="str">
        <f t="shared" si="2"/>
        <v>(46,'OPERATION_TYPE:ADMIN','operation_type administration','OPERATION_TYPE','ADMIN'),</v>
      </c>
    </row>
    <row r="49" spans="1:6" ht="20.149999999999999" customHeight="1" x14ac:dyDescent="0.35">
      <c r="A49" s="3">
        <v>47</v>
      </c>
      <c r="B49" s="4" t="str">
        <f t="shared" si="0"/>
        <v>EVENT_STATUS:ADMIN</v>
      </c>
      <c r="C49" s="4" t="str">
        <f t="shared" si="1"/>
        <v>event_status administration</v>
      </c>
      <c r="D49" s="4" t="s">
        <v>6391</v>
      </c>
      <c r="E49" s="5" t="s">
        <v>5751</v>
      </c>
      <c r="F49" s="16" t="str">
        <f t="shared" si="2"/>
        <v>(47,'EVENT_STATUS:ADMIN','event_status administration','EVENT_STATUS','ADMIN'),</v>
      </c>
    </row>
    <row r="50" spans="1:6" ht="20.149999999999999" customHeight="1" x14ac:dyDescent="0.35">
      <c r="A50" s="3">
        <v>48</v>
      </c>
      <c r="B50" s="4" t="str">
        <f t="shared" si="0"/>
        <v>ALERT_STATUS:ADMIN</v>
      </c>
      <c r="C50" s="4" t="str">
        <f t="shared" si="1"/>
        <v>alert_status administration</v>
      </c>
      <c r="D50" s="4" t="s">
        <v>6389</v>
      </c>
      <c r="E50" s="5" t="s">
        <v>5751</v>
      </c>
      <c r="F50" s="16" t="str">
        <f t="shared" si="2"/>
        <v>(48,'ALERT_STATUS:ADMIN','alert_status administration','ALERT_STATUS','ADMIN'),</v>
      </c>
    </row>
    <row r="51" spans="1:6" ht="20.149999999999999" customHeight="1" x14ac:dyDescent="0.35">
      <c r="A51" s="3">
        <v>49</v>
      </c>
      <c r="B51" s="4" t="str">
        <f t="shared" si="0"/>
        <v>SEVERITY:ADMIN</v>
      </c>
      <c r="C51" s="4" t="str">
        <f t="shared" si="1"/>
        <v>severity administration</v>
      </c>
      <c r="D51" s="4" t="s">
        <v>6393</v>
      </c>
      <c r="E51" s="5" t="s">
        <v>5751</v>
      </c>
      <c r="F51" s="16" t="str">
        <f t="shared" si="2"/>
        <v>(49,'SEVERITY:ADMIN','severity administration','SEVERITY','ADMIN'),</v>
      </c>
    </row>
    <row r="52" spans="1:6" ht="20.149999999999999" customHeight="1" x14ac:dyDescent="0.35">
      <c r="A52" s="3">
        <v>50</v>
      </c>
      <c r="B52" s="4" t="str">
        <f t="shared" si="0"/>
        <v>DATA_SOURCE:ADMIN</v>
      </c>
      <c r="C52" s="4" t="str">
        <f t="shared" si="1"/>
        <v>data_source administration</v>
      </c>
      <c r="D52" s="4" t="s">
        <v>6390</v>
      </c>
      <c r="E52" s="5" t="s">
        <v>5751</v>
      </c>
      <c r="F52" s="16" t="str">
        <f t="shared" si="2"/>
        <v>(50,'DATA_SOURCE:ADMIN','data_source administration','DATA_SOURCE','ADMIN'),</v>
      </c>
    </row>
    <row r="53" spans="1:6" ht="20.149999999999999" customHeight="1" x14ac:dyDescent="0.35">
      <c r="A53" s="3">
        <v>51</v>
      </c>
      <c r="B53" s="4" t="str">
        <f t="shared" si="0"/>
        <v>QUALITY_FLAG:ADMIN</v>
      </c>
      <c r="C53" s="4" t="str">
        <f t="shared" si="1"/>
        <v>quality_flag administration</v>
      </c>
      <c r="D53" s="4" t="s">
        <v>6392</v>
      </c>
      <c r="E53" s="5" t="s">
        <v>5751</v>
      </c>
      <c r="F53" s="16" t="str">
        <f t="shared" si="2"/>
        <v>(51,'QUALITY_FLAG:ADMIN','quality_flag administration','QUALITY_FLAG','ADMIN'),</v>
      </c>
    </row>
    <row r="54" spans="1:6" ht="20.149999999999999" customHeight="1" x14ac:dyDescent="0.35">
      <c r="A54" s="3">
        <v>52</v>
      </c>
      <c r="B54" s="4" t="str">
        <f t="shared" si="0"/>
        <v>VALIDATION_STATUS:ADMIN</v>
      </c>
      <c r="C54" s="4" t="str">
        <f t="shared" si="1"/>
        <v>validation_status administration</v>
      </c>
      <c r="D54" s="4" t="s">
        <v>6394</v>
      </c>
      <c r="E54" s="5" t="s">
        <v>5751</v>
      </c>
      <c r="F54" s="16" t="str">
        <f t="shared" si="2"/>
        <v>(52,'VALIDATION_STATUS:ADMIN','validation_status administration','VALIDATION_STATUS','ADMIN'),</v>
      </c>
    </row>
    <row r="55" spans="1:6" ht="20.149999999999999" customHeight="1" x14ac:dyDescent="0.35">
      <c r="A55" s="3">
        <v>53</v>
      </c>
      <c r="B55" s="4" t="str">
        <f t="shared" si="0"/>
        <v>READING_SLOT:ADMIN</v>
      </c>
      <c r="C55" s="4" t="str">
        <f t="shared" si="1"/>
        <v>reading_slot administration</v>
      </c>
      <c r="D55" s="4" t="s">
        <v>6395</v>
      </c>
      <c r="E55" s="5" t="s">
        <v>5751</v>
      </c>
      <c r="F55" s="16" t="str">
        <f t="shared" si="2"/>
        <v>(53,'READING_SLOT:ADMIN','reading_slot administration','READING_SLOT','ADMIN'),</v>
      </c>
    </row>
    <row r="56" spans="1:6" ht="20.149999999999999" customHeight="1" x14ac:dyDescent="0.35">
      <c r="A56" s="3">
        <v>54</v>
      </c>
      <c r="B56" s="4" t="str">
        <f t="shared" si="0"/>
        <v>FLOW_OPERATION:ADMIN</v>
      </c>
      <c r="C56" s="4" t="str">
        <f t="shared" si="1"/>
        <v>flow_operation administration</v>
      </c>
      <c r="D56" s="4" t="s">
        <v>6396</v>
      </c>
      <c r="E56" s="5" t="s">
        <v>5751</v>
      </c>
      <c r="F56" s="16" t="str">
        <f t="shared" si="2"/>
        <v>(54,'FLOW_OPERATION:ADMIN','flow_operation administration','FLOW_OPERATION','ADMIN'),</v>
      </c>
    </row>
    <row r="57" spans="1:6" ht="20.149999999999999" customHeight="1" x14ac:dyDescent="0.35">
      <c r="A57" s="3">
        <v>55</v>
      </c>
      <c r="B57" s="4" t="str">
        <f t="shared" si="0"/>
        <v>FLOW_FORECAST:ADMIN</v>
      </c>
      <c r="C57" s="4" t="str">
        <f t="shared" si="1"/>
        <v>flow_forecast administration</v>
      </c>
      <c r="D57" s="4" t="s">
        <v>6397</v>
      </c>
      <c r="E57" s="5" t="s">
        <v>5751</v>
      </c>
      <c r="F57" s="16" t="str">
        <f t="shared" si="2"/>
        <v>(55,'FLOW_FORECAST:ADMIN','flow_forecast administration','FLOW_FORECAST','ADMIN'),</v>
      </c>
    </row>
    <row r="58" spans="1:6" ht="20.149999999999999" customHeight="1" x14ac:dyDescent="0.35">
      <c r="A58" s="3">
        <v>56</v>
      </c>
      <c r="B58" s="4" t="str">
        <f t="shared" si="0"/>
        <v>FLOW_READING:ADMIN</v>
      </c>
      <c r="C58" s="4" t="str">
        <f t="shared" si="1"/>
        <v>flow_reading administration</v>
      </c>
      <c r="D58" s="4" t="s">
        <v>6398</v>
      </c>
      <c r="E58" s="5" t="s">
        <v>5751</v>
      </c>
      <c r="F58" s="16" t="str">
        <f t="shared" si="2"/>
        <v>(56,'FLOW_READING:ADMIN','flow_reading administration','FLOW_READING','ADMIN'),</v>
      </c>
    </row>
    <row r="59" spans="1:6" ht="20.149999999999999" customHeight="1" x14ac:dyDescent="0.35">
      <c r="A59" s="3">
        <v>57</v>
      </c>
      <c r="B59" s="4" t="str">
        <f t="shared" si="0"/>
        <v>FLOW_EVENT:ADMIN</v>
      </c>
      <c r="C59" s="4" t="str">
        <f t="shared" si="1"/>
        <v>flow_event administration</v>
      </c>
      <c r="D59" s="4" t="s">
        <v>6401</v>
      </c>
      <c r="E59" s="5" t="s">
        <v>5751</v>
      </c>
      <c r="F59" s="16" t="str">
        <f t="shared" si="2"/>
        <v>(57,'FLOW_EVENT:ADMIN','flow_event administration','FLOW_EVENT','ADMIN'),</v>
      </c>
    </row>
    <row r="60" spans="1:6" ht="20.149999999999999" customHeight="1" x14ac:dyDescent="0.35">
      <c r="A60" s="3">
        <v>58</v>
      </c>
      <c r="B60" s="4" t="str">
        <f t="shared" si="0"/>
        <v>FLOW_ALERT:ADMIN</v>
      </c>
      <c r="C60" s="4" t="str">
        <f t="shared" si="1"/>
        <v>flow_alert administration</v>
      </c>
      <c r="D60" s="4" t="s">
        <v>6400</v>
      </c>
      <c r="E60" s="5" t="s">
        <v>5751</v>
      </c>
      <c r="F60" s="16" t="str">
        <f t="shared" si="2"/>
        <v>(58,'FLOW_ALERT:ADMIN','flow_alert administration','FLOW_ALERT','ADMIN'),</v>
      </c>
    </row>
    <row r="61" spans="1:6" ht="20.149999999999999" customHeight="1" x14ac:dyDescent="0.35">
      <c r="A61" s="3">
        <v>59</v>
      </c>
      <c r="B61" s="4" t="str">
        <f t="shared" si="0"/>
        <v>FLOW_THRESHOLD:ADMIN</v>
      </c>
      <c r="C61" s="4" t="str">
        <f t="shared" si="1"/>
        <v>flow_threshold administration</v>
      </c>
      <c r="D61" s="4" t="s">
        <v>6399</v>
      </c>
      <c r="E61" s="5" t="s">
        <v>5751</v>
      </c>
      <c r="F61" s="16" t="str">
        <f t="shared" si="2"/>
        <v>(59,'FLOW_THRESHOLD:ADMIN','flow_threshold administration','FLOW_THRESHOLD','ADMIN'),</v>
      </c>
    </row>
    <row r="62" spans="1:6" ht="20.149999999999999" customHeight="1" x14ac:dyDescent="0.35">
      <c r="A62" s="3">
        <v>101</v>
      </c>
      <c r="B62" s="4" t="str">
        <f t="shared" si="0"/>
        <v>PARAMETER:WRITE</v>
      </c>
      <c r="C62" s="4" t="str">
        <f t="shared" ref="C62:C119" si="3">CONCATENATE(LOWER(D62)," updating")</f>
        <v>parameter updating</v>
      </c>
      <c r="D62" s="4" t="s">
        <v>6384</v>
      </c>
      <c r="E62" s="5" t="s">
        <v>6402</v>
      </c>
      <c r="F62" s="16" t="str">
        <f t="shared" si="2"/>
        <v>(101,'PARAMETER:WRITE','parameter updating','PARAMETER','WRITE'),</v>
      </c>
    </row>
    <row r="63" spans="1:6" ht="20.149999999999999" customHeight="1" x14ac:dyDescent="0.35">
      <c r="A63" s="3">
        <v>102</v>
      </c>
      <c r="B63" s="4" t="str">
        <f t="shared" si="0"/>
        <v>FILE:WRITE</v>
      </c>
      <c r="C63" s="4" t="str">
        <f t="shared" si="3"/>
        <v>file updating</v>
      </c>
      <c r="D63" s="4" t="s">
        <v>6385</v>
      </c>
      <c r="E63" s="5" t="s">
        <v>6402</v>
      </c>
      <c r="F63" s="16" t="str">
        <f t="shared" si="2"/>
        <v>(102,'FILE:WRITE','file updating','FILE','WRITE'),</v>
      </c>
    </row>
    <row r="64" spans="1:6" ht="20.149999999999999" customHeight="1" x14ac:dyDescent="0.35">
      <c r="A64" s="3">
        <v>103</v>
      </c>
      <c r="B64" s="4" t="str">
        <f t="shared" si="0"/>
        <v>GROUP:WRITE</v>
      </c>
      <c r="C64" s="4" t="str">
        <f t="shared" si="3"/>
        <v>group updating</v>
      </c>
      <c r="D64" s="4" t="s">
        <v>5752</v>
      </c>
      <c r="E64" s="5" t="s">
        <v>6402</v>
      </c>
      <c r="F64" s="16" t="str">
        <f t="shared" si="2"/>
        <v>(103,'GROUP:WRITE','group updating','GROUP','WRITE'),</v>
      </c>
    </row>
    <row r="65" spans="1:6" ht="20.149999999999999" customHeight="1" x14ac:dyDescent="0.35">
      <c r="A65" s="3">
        <v>104</v>
      </c>
      <c r="B65" s="4" t="str">
        <f t="shared" si="0"/>
        <v>USER:WRITE</v>
      </c>
      <c r="C65" s="4" t="str">
        <f t="shared" si="3"/>
        <v>user updating</v>
      </c>
      <c r="D65" s="4" t="s">
        <v>5753</v>
      </c>
      <c r="E65" s="5" t="s">
        <v>6402</v>
      </c>
      <c r="F65" s="16" t="str">
        <f t="shared" si="2"/>
        <v>(104,'USER:WRITE','user updating','USER','WRITE'),</v>
      </c>
    </row>
    <row r="66" spans="1:6" ht="20.149999999999999" customHeight="1" x14ac:dyDescent="0.35">
      <c r="A66" s="3">
        <v>105</v>
      </c>
      <c r="B66" s="4" t="str">
        <f t="shared" si="0"/>
        <v>ROLE:WRITE</v>
      </c>
      <c r="C66" s="4" t="str">
        <f t="shared" si="3"/>
        <v>role updating</v>
      </c>
      <c r="D66" s="4" t="s">
        <v>5754</v>
      </c>
      <c r="E66" s="5" t="s">
        <v>6402</v>
      </c>
      <c r="F66" s="16" t="str">
        <f t="shared" si="2"/>
        <v>(105,'ROLE:WRITE','role updating','ROLE','WRITE'),</v>
      </c>
    </row>
    <row r="67" spans="1:6" ht="20.149999999999999" customHeight="1" x14ac:dyDescent="0.35">
      <c r="A67" s="3">
        <v>106</v>
      </c>
      <c r="B67" s="4" t="str">
        <f t="shared" si="0"/>
        <v>PERMISSION:WRITE</v>
      </c>
      <c r="C67" s="4" t="str">
        <f t="shared" si="3"/>
        <v>permission updating</v>
      </c>
      <c r="D67" s="4" t="s">
        <v>5755</v>
      </c>
      <c r="E67" s="5" t="s">
        <v>6402</v>
      </c>
      <c r="F67" s="16" t="str">
        <f t="shared" si="2"/>
        <v>(106,'PERMISSION:WRITE','permission updating','PERMISSION','WRITE'),</v>
      </c>
    </row>
    <row r="68" spans="1:6" ht="20.149999999999999" customHeight="1" x14ac:dyDescent="0.35">
      <c r="A68" s="3">
        <v>107</v>
      </c>
      <c r="B68" s="4" t="str">
        <f t="shared" ref="B68:B131" si="4">CONCATENATE(D68,":",E68)</f>
        <v>AUTHORITY:WRITE</v>
      </c>
      <c r="C68" s="4" t="str">
        <f t="shared" si="3"/>
        <v>authority updating</v>
      </c>
      <c r="D68" s="4" t="s">
        <v>5756</v>
      </c>
      <c r="E68" s="5" t="s">
        <v>6402</v>
      </c>
      <c r="F68" s="16" t="str">
        <f t="shared" ref="F68:F131" si="5">CONCATENATE("(",A68,",'",B68,"','",C68,"','",D68,"','",E68,"'),")</f>
        <v>(107,'AUTHORITY:WRITE','authority updating','AUTHORITY','WRITE'),</v>
      </c>
    </row>
    <row r="69" spans="1:6" ht="20.149999999999999" customHeight="1" x14ac:dyDescent="0.35">
      <c r="A69" s="3">
        <v>108</v>
      </c>
      <c r="B69" s="4" t="str">
        <f t="shared" si="4"/>
        <v>AUDIT:WRITE</v>
      </c>
      <c r="C69" s="4" t="str">
        <f t="shared" si="3"/>
        <v>audit updating</v>
      </c>
      <c r="D69" s="4" t="s">
        <v>5757</v>
      </c>
      <c r="E69" s="5" t="s">
        <v>6402</v>
      </c>
      <c r="F69" s="16" t="str">
        <f t="shared" si="5"/>
        <v>(108,'AUDIT:WRITE','audit updating','AUDIT','WRITE'),</v>
      </c>
    </row>
    <row r="70" spans="1:6" ht="20.149999999999999" customHeight="1" x14ac:dyDescent="0.35">
      <c r="A70" s="3">
        <v>109</v>
      </c>
      <c r="B70" s="4" t="str">
        <f t="shared" si="4"/>
        <v>STRUCTURE_TYPE:WRITE</v>
      </c>
      <c r="C70" s="4" t="str">
        <f t="shared" si="3"/>
        <v>structure_type updating</v>
      </c>
      <c r="D70" s="4" t="s">
        <v>5762</v>
      </c>
      <c r="E70" s="5" t="s">
        <v>6402</v>
      </c>
      <c r="F70" s="16" t="str">
        <f t="shared" si="5"/>
        <v>(109,'STRUCTURE_TYPE:WRITE','structure_type updating','STRUCTURE_TYPE','WRITE'),</v>
      </c>
    </row>
    <row r="71" spans="1:6" ht="20.149999999999999" customHeight="1" x14ac:dyDescent="0.35">
      <c r="A71" s="3">
        <v>110</v>
      </c>
      <c r="B71" s="4" t="str">
        <f t="shared" si="4"/>
        <v>ZONE:WRITE</v>
      </c>
      <c r="C71" s="4" t="str">
        <f t="shared" si="3"/>
        <v>zone updating</v>
      </c>
      <c r="D71" s="4" t="s">
        <v>5774</v>
      </c>
      <c r="E71" s="5" t="s">
        <v>6402</v>
      </c>
      <c r="F71" s="16" t="str">
        <f t="shared" si="5"/>
        <v>(110,'ZONE:WRITE','zone updating','ZONE','WRITE'),</v>
      </c>
    </row>
    <row r="72" spans="1:6" ht="20.149999999999999" customHeight="1" x14ac:dyDescent="0.35">
      <c r="A72" s="3">
        <v>111</v>
      </c>
      <c r="B72" s="4" t="str">
        <f t="shared" si="4"/>
        <v>COUNTRY:WRITE</v>
      </c>
      <c r="C72" s="4" t="str">
        <f t="shared" si="3"/>
        <v>country updating</v>
      </c>
      <c r="D72" s="4" t="s">
        <v>5759</v>
      </c>
      <c r="E72" s="5" t="s">
        <v>6402</v>
      </c>
      <c r="F72" s="16" t="str">
        <f t="shared" si="5"/>
        <v>(111,'COUNTRY:WRITE','country updating','COUNTRY','WRITE'),</v>
      </c>
    </row>
    <row r="73" spans="1:6" ht="20.149999999999999" customHeight="1" x14ac:dyDescent="0.35">
      <c r="A73" s="3">
        <v>112</v>
      </c>
      <c r="B73" s="4" t="str">
        <f t="shared" si="4"/>
        <v>STATE:WRITE</v>
      </c>
      <c r="C73" s="4" t="str">
        <f t="shared" si="3"/>
        <v>state updating</v>
      </c>
      <c r="D73" s="4" t="s">
        <v>5760</v>
      </c>
      <c r="E73" s="5" t="s">
        <v>6402</v>
      </c>
      <c r="F73" s="16" t="str">
        <f t="shared" si="5"/>
        <v>(112,'STATE:WRITE','state updating','STATE','WRITE'),</v>
      </c>
    </row>
    <row r="74" spans="1:6" ht="20.149999999999999" customHeight="1" x14ac:dyDescent="0.35">
      <c r="A74" s="3">
        <v>113</v>
      </c>
      <c r="B74" s="4" t="str">
        <f t="shared" si="4"/>
        <v>DISTRICT:WRITE</v>
      </c>
      <c r="C74" s="4" t="str">
        <f t="shared" si="3"/>
        <v>district updating</v>
      </c>
      <c r="D74" s="4" t="s">
        <v>5794</v>
      </c>
      <c r="E74" s="5" t="s">
        <v>6402</v>
      </c>
      <c r="F74" s="16" t="str">
        <f t="shared" si="5"/>
        <v>(113,'DISTRICT:WRITE','district updating','DISTRICT','WRITE'),</v>
      </c>
    </row>
    <row r="75" spans="1:6" ht="20.149999999999999" customHeight="1" x14ac:dyDescent="0.35">
      <c r="A75" s="3">
        <v>114</v>
      </c>
      <c r="B75" s="4" t="str">
        <f t="shared" si="4"/>
        <v>LOCALITY:WRITE</v>
      </c>
      <c r="C75" s="4" t="str">
        <f t="shared" si="3"/>
        <v>locality updating</v>
      </c>
      <c r="D75" s="4" t="s">
        <v>5761</v>
      </c>
      <c r="E75" s="5" t="s">
        <v>6402</v>
      </c>
      <c r="F75" s="16" t="str">
        <f t="shared" si="5"/>
        <v>(114,'LOCALITY:WRITE','locality updating','LOCALITY','WRITE'),</v>
      </c>
    </row>
    <row r="76" spans="1:6" ht="20.149999999999999" customHeight="1" x14ac:dyDescent="0.35">
      <c r="A76" s="3">
        <v>115</v>
      </c>
      <c r="B76" s="4" t="str">
        <f t="shared" si="4"/>
        <v>LOCATION:WRITE</v>
      </c>
      <c r="C76" s="4" t="str">
        <f t="shared" si="3"/>
        <v>location updating</v>
      </c>
      <c r="D76" s="4" t="s">
        <v>5775</v>
      </c>
      <c r="E76" s="5" t="s">
        <v>6402</v>
      </c>
      <c r="F76" s="16" t="str">
        <f t="shared" si="5"/>
        <v>(115,'LOCATION:WRITE','location updating','LOCATION','WRITE'),</v>
      </c>
    </row>
    <row r="77" spans="1:6" ht="20.149999999999999" customHeight="1" x14ac:dyDescent="0.35">
      <c r="A77" s="3">
        <v>116</v>
      </c>
      <c r="B77" s="4" t="str">
        <f t="shared" si="4"/>
        <v>COORDINATE:WRITE</v>
      </c>
      <c r="C77" s="4" t="str">
        <f t="shared" si="3"/>
        <v>coordinate updating</v>
      </c>
      <c r="D77" s="4" t="s">
        <v>6386</v>
      </c>
      <c r="E77" s="5" t="s">
        <v>6402</v>
      </c>
      <c r="F77" s="16" t="str">
        <f t="shared" si="5"/>
        <v>(116,'COORDINATE:WRITE','coordinate updating','COORDINATE','WRITE'),</v>
      </c>
    </row>
    <row r="78" spans="1:6" ht="20.149999999999999" customHeight="1" x14ac:dyDescent="0.35">
      <c r="A78" s="3">
        <v>117</v>
      </c>
      <c r="B78" s="4" t="str">
        <f t="shared" si="4"/>
        <v>STRUCTURE:WRITE</v>
      </c>
      <c r="C78" s="4" t="str">
        <f t="shared" si="3"/>
        <v>structure updating</v>
      </c>
      <c r="D78" s="4" t="s">
        <v>5763</v>
      </c>
      <c r="E78" s="5" t="s">
        <v>6402</v>
      </c>
      <c r="F78" s="16" t="str">
        <f t="shared" si="5"/>
        <v>(117,'STRUCTURE:WRITE','structure updating','STRUCTURE','WRITE'),</v>
      </c>
    </row>
    <row r="79" spans="1:6" ht="20.149999999999999" customHeight="1" x14ac:dyDescent="0.35">
      <c r="A79" s="3">
        <v>118</v>
      </c>
      <c r="B79" s="4" t="str">
        <f t="shared" si="4"/>
        <v>JOB:WRITE</v>
      </c>
      <c r="C79" s="4" t="str">
        <f t="shared" si="3"/>
        <v>job updating</v>
      </c>
      <c r="D79" s="4" t="s">
        <v>5764</v>
      </c>
      <c r="E79" s="5" t="s">
        <v>6402</v>
      </c>
      <c r="F79" s="16" t="str">
        <f t="shared" si="5"/>
        <v>(118,'JOB:WRITE','job updating','JOB','WRITE'),</v>
      </c>
    </row>
    <row r="80" spans="1:6" ht="20.149999999999999" customHeight="1" x14ac:dyDescent="0.35">
      <c r="A80" s="3">
        <v>119</v>
      </c>
      <c r="B80" s="4" t="str">
        <f t="shared" si="4"/>
        <v>PERSON:WRITE</v>
      </c>
      <c r="C80" s="4" t="str">
        <f t="shared" si="3"/>
        <v>person updating</v>
      </c>
      <c r="D80" s="4" t="s">
        <v>5765</v>
      </c>
      <c r="E80" s="5" t="s">
        <v>6402</v>
      </c>
      <c r="F80" s="16" t="str">
        <f t="shared" si="5"/>
        <v>(119,'PERSON:WRITE','person updating','PERSON','WRITE'),</v>
      </c>
    </row>
    <row r="81" spans="1:6" ht="20.149999999999999" customHeight="1" x14ac:dyDescent="0.35">
      <c r="A81" s="3">
        <v>120</v>
      </c>
      <c r="B81" s="4" t="str">
        <f t="shared" si="4"/>
        <v>EMPLOYEE:WRITE</v>
      </c>
      <c r="C81" s="4" t="str">
        <f t="shared" si="3"/>
        <v>employee updating</v>
      </c>
      <c r="D81" s="4" t="s">
        <v>5766</v>
      </c>
      <c r="E81" s="5" t="s">
        <v>6402</v>
      </c>
      <c r="F81" s="16" t="str">
        <f t="shared" si="5"/>
        <v>(120,'EMPLOYEE:WRITE','employee updating','EMPLOYEE','WRITE'),</v>
      </c>
    </row>
    <row r="82" spans="1:6" ht="20.149999999999999" customHeight="1" x14ac:dyDescent="0.35">
      <c r="A82" s="3">
        <v>121</v>
      </c>
      <c r="B82" s="4" t="str">
        <f t="shared" si="4"/>
        <v>COMPANY_TYPE:WRITE</v>
      </c>
      <c r="C82" s="4" t="str">
        <f t="shared" si="3"/>
        <v>company_type updating</v>
      </c>
      <c r="D82" s="4" t="s">
        <v>5767</v>
      </c>
      <c r="E82" s="5" t="s">
        <v>6402</v>
      </c>
      <c r="F82" s="16" t="str">
        <f t="shared" si="5"/>
        <v>(121,'COMPANY_TYPE:WRITE','company_type updating','COMPANY_TYPE','WRITE'),</v>
      </c>
    </row>
    <row r="83" spans="1:6" ht="20.149999999999999" customHeight="1" x14ac:dyDescent="0.35">
      <c r="A83" s="3">
        <v>122</v>
      </c>
      <c r="B83" s="4" t="str">
        <f t="shared" si="4"/>
        <v>PARTNER_TYPE:WRITE</v>
      </c>
      <c r="C83" s="4" t="str">
        <f t="shared" si="3"/>
        <v>partner_type updating</v>
      </c>
      <c r="D83" s="4" t="s">
        <v>5768</v>
      </c>
      <c r="E83" s="5" t="s">
        <v>6402</v>
      </c>
      <c r="F83" s="16" t="str">
        <f t="shared" si="5"/>
        <v>(122,'PARTNER_TYPE:WRITE','partner_type updating','PARTNER_TYPE','WRITE'),</v>
      </c>
    </row>
    <row r="84" spans="1:6" ht="20.149999999999999" customHeight="1" x14ac:dyDescent="0.35">
      <c r="A84" s="3">
        <v>123</v>
      </c>
      <c r="B84" s="4" t="str">
        <f t="shared" si="4"/>
        <v>VENDOR_TYPE:WRITE</v>
      </c>
      <c r="C84" s="4" t="str">
        <f t="shared" si="3"/>
        <v>vendor_type updating</v>
      </c>
      <c r="D84" s="4" t="s">
        <v>5769</v>
      </c>
      <c r="E84" s="5" t="s">
        <v>6402</v>
      </c>
      <c r="F84" s="16" t="str">
        <f t="shared" si="5"/>
        <v>(123,'VENDOR_TYPE:WRITE','vendor_type updating','VENDOR_TYPE','WRITE'),</v>
      </c>
    </row>
    <row r="85" spans="1:6" ht="20.149999999999999" customHeight="1" x14ac:dyDescent="0.35">
      <c r="A85" s="3">
        <v>124</v>
      </c>
      <c r="B85" s="4" t="str">
        <f t="shared" si="4"/>
        <v>FACILITY_TYPE:WRITE</v>
      </c>
      <c r="C85" s="4" t="str">
        <f t="shared" si="3"/>
        <v>facility_type updating</v>
      </c>
      <c r="D85" s="4" t="s">
        <v>5770</v>
      </c>
      <c r="E85" s="5" t="s">
        <v>6402</v>
      </c>
      <c r="F85" s="16" t="str">
        <f t="shared" si="5"/>
        <v>(124,'FACILITY_TYPE:WRITE','facility_type updating','FACILITY_TYPE','WRITE'),</v>
      </c>
    </row>
    <row r="86" spans="1:6" ht="20.149999999999999" customHeight="1" x14ac:dyDescent="0.35">
      <c r="A86" s="3">
        <v>125</v>
      </c>
      <c r="B86" s="4" t="str">
        <f t="shared" si="4"/>
        <v>STATION_TYPE:WRITE</v>
      </c>
      <c r="C86" s="4" t="str">
        <f t="shared" si="3"/>
        <v>station_type updating</v>
      </c>
      <c r="D86" s="4" t="s">
        <v>5771</v>
      </c>
      <c r="E86" s="5" t="s">
        <v>6402</v>
      </c>
      <c r="F86" s="16" t="str">
        <f t="shared" si="5"/>
        <v>(125,'STATION_TYPE:WRITE','station_type updating','STATION_TYPE','WRITE'),</v>
      </c>
    </row>
    <row r="87" spans="1:6" ht="20.149999999999999" customHeight="1" x14ac:dyDescent="0.35">
      <c r="A87" s="3">
        <v>126</v>
      </c>
      <c r="B87" s="4" t="str">
        <f t="shared" si="4"/>
        <v>TERMINAL_TYPE:WRITE</v>
      </c>
      <c r="C87" s="4" t="str">
        <f t="shared" si="3"/>
        <v>terminal_type updating</v>
      </c>
      <c r="D87" s="4" t="s">
        <v>5772</v>
      </c>
      <c r="E87" s="5" t="s">
        <v>6402</v>
      </c>
      <c r="F87" s="16" t="str">
        <f t="shared" si="5"/>
        <v>(126,'TERMINAL_TYPE:WRITE','terminal_type updating','TERMINAL_TYPE','WRITE'),</v>
      </c>
    </row>
    <row r="88" spans="1:6" ht="20.149999999999999" customHeight="1" x14ac:dyDescent="0.35">
      <c r="A88" s="3">
        <v>127</v>
      </c>
      <c r="B88" s="4" t="str">
        <f t="shared" si="4"/>
        <v>PROCESSING_PLANT_TYPE:WRITE</v>
      </c>
      <c r="C88" s="4" t="str">
        <f t="shared" si="3"/>
        <v>processing_plant_type updating</v>
      </c>
      <c r="D88" s="4" t="s">
        <v>5795</v>
      </c>
      <c r="E88" s="5" t="s">
        <v>6402</v>
      </c>
      <c r="F88" s="16" t="str">
        <f t="shared" si="5"/>
        <v>(127,'PROCESSING_PLANT_TYPE:WRITE','processing_plant_type updating','PROCESSING_PLANT_TYPE','WRITE'),</v>
      </c>
    </row>
    <row r="89" spans="1:6" ht="20.149999999999999" customHeight="1" x14ac:dyDescent="0.35">
      <c r="A89" s="3">
        <v>128</v>
      </c>
      <c r="B89" s="4" t="str">
        <f t="shared" si="4"/>
        <v>PRODUCTION_FIELD_TYPE:WRITE</v>
      </c>
      <c r="C89" s="4" t="str">
        <f t="shared" si="3"/>
        <v>production_field_type updating</v>
      </c>
      <c r="D89" s="4" t="s">
        <v>5796</v>
      </c>
      <c r="E89" s="5" t="s">
        <v>6402</v>
      </c>
      <c r="F89" s="16" t="str">
        <f t="shared" si="5"/>
        <v>(128,'PRODUCTION_FIELD_TYPE:WRITE','production_field_type updating','PRODUCTION_FIELD_TYPE','WRITE'),</v>
      </c>
    </row>
    <row r="90" spans="1:6" ht="20.149999999999999" customHeight="1" x14ac:dyDescent="0.35">
      <c r="A90" s="3">
        <v>129</v>
      </c>
      <c r="B90" s="4" t="str">
        <f t="shared" si="4"/>
        <v>EQUIPMENT_TYPE:WRITE</v>
      </c>
      <c r="C90" s="4" t="str">
        <f t="shared" si="3"/>
        <v>equipment_type updating</v>
      </c>
      <c r="D90" s="4" t="s">
        <v>5773</v>
      </c>
      <c r="E90" s="5" t="s">
        <v>6402</v>
      </c>
      <c r="F90" s="16" t="str">
        <f t="shared" si="5"/>
        <v>(129,'EQUIPMENT_TYPE:WRITE','equipment_type updating','EQUIPMENT_TYPE','WRITE'),</v>
      </c>
    </row>
    <row r="91" spans="1:6" ht="20.149999999999999" customHeight="1" x14ac:dyDescent="0.35">
      <c r="A91" s="3">
        <v>130</v>
      </c>
      <c r="B91" s="4" t="str">
        <f t="shared" si="4"/>
        <v>PRODUCT:WRITE</v>
      </c>
      <c r="C91" s="4" t="str">
        <f t="shared" si="3"/>
        <v>product updating</v>
      </c>
      <c r="D91" s="4" t="s">
        <v>5776</v>
      </c>
      <c r="E91" s="5" t="s">
        <v>6402</v>
      </c>
      <c r="F91" s="16" t="str">
        <f t="shared" si="5"/>
        <v>(130,'PRODUCT:WRITE','product updating','PRODUCT','WRITE'),</v>
      </c>
    </row>
    <row r="92" spans="1:6" ht="20.149999999999999" customHeight="1" x14ac:dyDescent="0.35">
      <c r="A92" s="3">
        <v>131</v>
      </c>
      <c r="B92" s="4" t="str">
        <f t="shared" si="4"/>
        <v>OPERATIONAL_STATUS:WRITE</v>
      </c>
      <c r="C92" s="4" t="str">
        <f t="shared" si="3"/>
        <v>operational_status updating</v>
      </c>
      <c r="D92" s="4" t="s">
        <v>5777</v>
      </c>
      <c r="E92" s="5" t="s">
        <v>6402</v>
      </c>
      <c r="F92" s="16" t="str">
        <f t="shared" si="5"/>
        <v>(131,'OPERATIONAL_STATUS:WRITE','operational_status updating','OPERATIONAL_STATUS','WRITE'),</v>
      </c>
    </row>
    <row r="93" spans="1:6" ht="20.149999999999999" customHeight="1" x14ac:dyDescent="0.35">
      <c r="A93" s="3">
        <v>132</v>
      </c>
      <c r="B93" s="4" t="str">
        <f t="shared" si="4"/>
        <v>ALLOY:WRITE</v>
      </c>
      <c r="C93" s="4" t="str">
        <f t="shared" si="3"/>
        <v>alloy updating</v>
      </c>
      <c r="D93" s="4" t="s">
        <v>5778</v>
      </c>
      <c r="E93" s="5" t="s">
        <v>6402</v>
      </c>
      <c r="F93" s="16" t="str">
        <f t="shared" si="5"/>
        <v>(132,'ALLOY:WRITE','alloy updating','ALLOY','WRITE'),</v>
      </c>
    </row>
    <row r="94" spans="1:6" ht="20.149999999999999" customHeight="1" x14ac:dyDescent="0.35">
      <c r="A94" s="3">
        <v>133</v>
      </c>
      <c r="B94" s="4" t="str">
        <f t="shared" si="4"/>
        <v>PARTNER:WRITE</v>
      </c>
      <c r="C94" s="4" t="str">
        <f t="shared" si="3"/>
        <v>partner updating</v>
      </c>
      <c r="D94" s="4" t="s">
        <v>5779</v>
      </c>
      <c r="E94" s="5" t="s">
        <v>6402</v>
      </c>
      <c r="F94" s="16" t="str">
        <f t="shared" si="5"/>
        <v>(133,'PARTNER:WRITE','partner updating','PARTNER','WRITE'),</v>
      </c>
    </row>
    <row r="95" spans="1:6" ht="20.149999999999999" customHeight="1" x14ac:dyDescent="0.35">
      <c r="A95" s="3">
        <v>134</v>
      </c>
      <c r="B95" s="4" t="str">
        <f t="shared" si="4"/>
        <v>VENDOR:WRITE</v>
      </c>
      <c r="C95" s="4" t="str">
        <f t="shared" si="3"/>
        <v>vendor updating</v>
      </c>
      <c r="D95" s="4" t="s">
        <v>5780</v>
      </c>
      <c r="E95" s="5" t="s">
        <v>6402</v>
      </c>
      <c r="F95" s="16" t="str">
        <f t="shared" si="5"/>
        <v>(134,'VENDOR:WRITE','vendor updating','VENDOR','WRITE'),</v>
      </c>
    </row>
    <row r="96" spans="1:6" ht="20.149999999999999" customHeight="1" x14ac:dyDescent="0.35">
      <c r="A96" s="3">
        <v>135</v>
      </c>
      <c r="B96" s="4" t="str">
        <f t="shared" si="4"/>
        <v>INFRASTRUCTURE:WRITE</v>
      </c>
      <c r="C96" s="4" t="str">
        <f t="shared" si="3"/>
        <v>infrastructure updating</v>
      </c>
      <c r="D96" s="4" t="s">
        <v>5781</v>
      </c>
      <c r="E96" s="5" t="s">
        <v>6402</v>
      </c>
      <c r="F96" s="16" t="str">
        <f t="shared" si="5"/>
        <v>(135,'INFRASTRUCTURE:WRITE','infrastructure updating','INFRASTRUCTURE','WRITE'),</v>
      </c>
    </row>
    <row r="97" spans="1:6" ht="20.149999999999999" customHeight="1" x14ac:dyDescent="0.35">
      <c r="A97" s="3">
        <v>136</v>
      </c>
      <c r="B97" s="4" t="str">
        <f t="shared" si="4"/>
        <v>FACILITY:WRITE</v>
      </c>
      <c r="C97" s="4" t="str">
        <f t="shared" si="3"/>
        <v>facility updating</v>
      </c>
      <c r="D97" s="4" t="s">
        <v>5782</v>
      </c>
      <c r="E97" s="5" t="s">
        <v>6402</v>
      </c>
      <c r="F97" s="16" t="str">
        <f t="shared" si="5"/>
        <v>(136,'FACILITY:WRITE','facility updating','FACILITY','WRITE'),</v>
      </c>
    </row>
    <row r="98" spans="1:6" ht="20.149999999999999" customHeight="1" x14ac:dyDescent="0.35">
      <c r="A98" s="3">
        <v>137</v>
      </c>
      <c r="B98" s="4" t="str">
        <f t="shared" si="4"/>
        <v>PIPELINE_SYSTEM:WRITE</v>
      </c>
      <c r="C98" s="4" t="str">
        <f t="shared" si="3"/>
        <v>pipeline_system updating</v>
      </c>
      <c r="D98" s="4" t="s">
        <v>5783</v>
      </c>
      <c r="E98" s="5" t="s">
        <v>6402</v>
      </c>
      <c r="F98" s="16" t="str">
        <f t="shared" si="5"/>
        <v>(137,'PIPELINE_SYSTEM:WRITE','pipeline_system updating','PIPELINE_SYSTEM','WRITE'),</v>
      </c>
    </row>
    <row r="99" spans="1:6" ht="20.149999999999999" customHeight="1" x14ac:dyDescent="0.35">
      <c r="A99" s="3">
        <v>138</v>
      </c>
      <c r="B99" s="4" t="str">
        <f t="shared" si="4"/>
        <v>PIPELINE:WRITE</v>
      </c>
      <c r="C99" s="4" t="str">
        <f t="shared" si="3"/>
        <v>pipeline updating</v>
      </c>
      <c r="D99" s="4" t="s">
        <v>5784</v>
      </c>
      <c r="E99" s="5" t="s">
        <v>6402</v>
      </c>
      <c r="F99" s="16" t="str">
        <f t="shared" si="5"/>
        <v>(138,'PIPELINE:WRITE','pipeline updating','PIPELINE','WRITE'),</v>
      </c>
    </row>
    <row r="100" spans="1:6" ht="20.149999999999999" customHeight="1" x14ac:dyDescent="0.35">
      <c r="A100" s="3">
        <v>139</v>
      </c>
      <c r="B100" s="4" t="str">
        <f t="shared" si="4"/>
        <v>PIPELINE_SEGMENT:WRITE</v>
      </c>
      <c r="C100" s="4" t="str">
        <f t="shared" si="3"/>
        <v>pipeline_segment updating</v>
      </c>
      <c r="D100" s="4" t="s">
        <v>5785</v>
      </c>
      <c r="E100" s="5" t="s">
        <v>6402</v>
      </c>
      <c r="F100" s="16" t="str">
        <f t="shared" si="5"/>
        <v>(139,'PIPELINE_SEGMENT:WRITE','pipeline_segment updating','PIPELINE_SEGMENT','WRITE'),</v>
      </c>
    </row>
    <row r="101" spans="1:6" ht="20.149999999999999" customHeight="1" x14ac:dyDescent="0.35">
      <c r="A101" s="3">
        <v>140</v>
      </c>
      <c r="B101" s="4" t="str">
        <f t="shared" si="4"/>
        <v>STATION:WRITE</v>
      </c>
      <c r="C101" s="4" t="str">
        <f t="shared" si="3"/>
        <v>station updating</v>
      </c>
      <c r="D101" s="4" t="s">
        <v>5786</v>
      </c>
      <c r="E101" s="5" t="s">
        <v>6402</v>
      </c>
      <c r="F101" s="16" t="str">
        <f t="shared" si="5"/>
        <v>(140,'STATION:WRITE','station updating','STATION','WRITE'),</v>
      </c>
    </row>
    <row r="102" spans="1:6" ht="20.149999999999999" customHeight="1" x14ac:dyDescent="0.35">
      <c r="A102" s="3">
        <v>141</v>
      </c>
      <c r="B102" s="4" t="str">
        <f t="shared" si="4"/>
        <v>TERMINAL:WRITE</v>
      </c>
      <c r="C102" s="4" t="str">
        <f t="shared" si="3"/>
        <v>terminal updating</v>
      </c>
      <c r="D102" s="4" t="s">
        <v>5787</v>
      </c>
      <c r="E102" s="5" t="s">
        <v>6402</v>
      </c>
      <c r="F102" s="16" t="str">
        <f t="shared" si="5"/>
        <v>(141,'TERMINAL:WRITE','terminal updating','TERMINAL','WRITE'),</v>
      </c>
    </row>
    <row r="103" spans="1:6" ht="20.149999999999999" customHeight="1" x14ac:dyDescent="0.35">
      <c r="A103" s="3">
        <v>142</v>
      </c>
      <c r="B103" s="4" t="str">
        <f t="shared" si="4"/>
        <v>PROCESSING_PLANT:WRITE</v>
      </c>
      <c r="C103" s="4" t="str">
        <f t="shared" si="3"/>
        <v>processing_plant updating</v>
      </c>
      <c r="D103" s="4" t="s">
        <v>5797</v>
      </c>
      <c r="E103" s="5" t="s">
        <v>6402</v>
      </c>
      <c r="F103" s="16" t="str">
        <f t="shared" si="5"/>
        <v>(142,'PROCESSING_PLANT:WRITE','processing_plant updating','PROCESSING_PLANT','WRITE'),</v>
      </c>
    </row>
    <row r="104" spans="1:6" ht="20.149999999999999" customHeight="1" x14ac:dyDescent="0.35">
      <c r="A104" s="3">
        <v>143</v>
      </c>
      <c r="B104" s="4" t="str">
        <f t="shared" si="4"/>
        <v>PRODUCTION_FIELD:WRITE</v>
      </c>
      <c r="C104" s="4" t="str">
        <f t="shared" si="3"/>
        <v>production_field updating</v>
      </c>
      <c r="D104" s="4" t="s">
        <v>5798</v>
      </c>
      <c r="E104" s="5" t="s">
        <v>6402</v>
      </c>
      <c r="F104" s="16" t="str">
        <f t="shared" si="5"/>
        <v>(143,'PRODUCTION_FIELD:WRITE','production_field updating','PRODUCTION_FIELD','WRITE'),</v>
      </c>
    </row>
    <row r="105" spans="1:6" ht="20.149999999999999" customHeight="1" x14ac:dyDescent="0.35">
      <c r="A105" s="3">
        <v>144</v>
      </c>
      <c r="B105" s="4" t="str">
        <f t="shared" si="4"/>
        <v>EQUIPMENT:WRITE</v>
      </c>
      <c r="C105" s="4" t="str">
        <f t="shared" si="3"/>
        <v>equipment updating</v>
      </c>
      <c r="D105" s="4" t="s">
        <v>5788</v>
      </c>
      <c r="E105" s="5" t="s">
        <v>6402</v>
      </c>
      <c r="F105" s="16" t="str">
        <f t="shared" si="5"/>
        <v>(144,'EQUIPMENT:WRITE','equipment updating','EQUIPMENT','WRITE'),</v>
      </c>
    </row>
    <row r="106" spans="1:6" ht="20.149999999999999" customHeight="1" x14ac:dyDescent="0.35">
      <c r="A106" s="3">
        <v>145</v>
      </c>
      <c r="B106" s="4" t="str">
        <f t="shared" si="4"/>
        <v>EVENT_TYPE:WRITE</v>
      </c>
      <c r="C106" s="4" t="str">
        <f t="shared" si="3"/>
        <v>event_type updating</v>
      </c>
      <c r="D106" s="4" t="s">
        <v>6388</v>
      </c>
      <c r="E106" s="5" t="s">
        <v>6402</v>
      </c>
      <c r="F106" s="16" t="str">
        <f t="shared" si="5"/>
        <v>(145,'EVENT_TYPE:WRITE','event_type updating','EVENT_TYPE','WRITE'),</v>
      </c>
    </row>
    <row r="107" spans="1:6" ht="20.149999999999999" customHeight="1" x14ac:dyDescent="0.35">
      <c r="A107" s="3">
        <v>146</v>
      </c>
      <c r="B107" s="4" t="str">
        <f t="shared" si="4"/>
        <v>OPERATION_TYPE:WRITE</v>
      </c>
      <c r="C107" s="4" t="str">
        <f t="shared" si="3"/>
        <v>operation_type updating</v>
      </c>
      <c r="D107" s="4" t="s">
        <v>6387</v>
      </c>
      <c r="E107" s="5" t="s">
        <v>6402</v>
      </c>
      <c r="F107" s="16" t="str">
        <f t="shared" si="5"/>
        <v>(146,'OPERATION_TYPE:WRITE','operation_type updating','OPERATION_TYPE','WRITE'),</v>
      </c>
    </row>
    <row r="108" spans="1:6" ht="20.149999999999999" customHeight="1" x14ac:dyDescent="0.35">
      <c r="A108" s="3">
        <v>147</v>
      </c>
      <c r="B108" s="4" t="str">
        <f t="shared" si="4"/>
        <v>EVENT_STATUS:WRITE</v>
      </c>
      <c r="C108" s="4" t="str">
        <f t="shared" si="3"/>
        <v>event_status updating</v>
      </c>
      <c r="D108" s="4" t="s">
        <v>6391</v>
      </c>
      <c r="E108" s="5" t="s">
        <v>6402</v>
      </c>
      <c r="F108" s="16" t="str">
        <f t="shared" si="5"/>
        <v>(147,'EVENT_STATUS:WRITE','event_status updating','EVENT_STATUS','WRITE'),</v>
      </c>
    </row>
    <row r="109" spans="1:6" ht="20.149999999999999" customHeight="1" x14ac:dyDescent="0.35">
      <c r="A109" s="3">
        <v>148</v>
      </c>
      <c r="B109" s="4" t="str">
        <f t="shared" si="4"/>
        <v>ALERT_STATUS:WRITE</v>
      </c>
      <c r="C109" s="4" t="str">
        <f t="shared" si="3"/>
        <v>alert_status updating</v>
      </c>
      <c r="D109" s="4" t="s">
        <v>6389</v>
      </c>
      <c r="E109" s="5" t="s">
        <v>6402</v>
      </c>
      <c r="F109" s="16" t="str">
        <f t="shared" si="5"/>
        <v>(148,'ALERT_STATUS:WRITE','alert_status updating','ALERT_STATUS','WRITE'),</v>
      </c>
    </row>
    <row r="110" spans="1:6" ht="20.149999999999999" customHeight="1" x14ac:dyDescent="0.35">
      <c r="A110" s="3">
        <v>149</v>
      </c>
      <c r="B110" s="4" t="str">
        <f t="shared" si="4"/>
        <v>SEVERITY:WRITE</v>
      </c>
      <c r="C110" s="4" t="str">
        <f t="shared" si="3"/>
        <v>severity updating</v>
      </c>
      <c r="D110" s="4" t="s">
        <v>6393</v>
      </c>
      <c r="E110" s="5" t="s">
        <v>6402</v>
      </c>
      <c r="F110" s="16" t="str">
        <f t="shared" si="5"/>
        <v>(149,'SEVERITY:WRITE','severity updating','SEVERITY','WRITE'),</v>
      </c>
    </row>
    <row r="111" spans="1:6" ht="20.149999999999999" customHeight="1" x14ac:dyDescent="0.35">
      <c r="A111" s="3">
        <v>150</v>
      </c>
      <c r="B111" s="4" t="str">
        <f t="shared" si="4"/>
        <v>DATA_SOURCE:WRITE</v>
      </c>
      <c r="C111" s="4" t="str">
        <f t="shared" si="3"/>
        <v>data_source updating</v>
      </c>
      <c r="D111" s="4" t="s">
        <v>6390</v>
      </c>
      <c r="E111" s="5" t="s">
        <v>6402</v>
      </c>
      <c r="F111" s="16" t="str">
        <f t="shared" si="5"/>
        <v>(150,'DATA_SOURCE:WRITE','data_source updating','DATA_SOURCE','WRITE'),</v>
      </c>
    </row>
    <row r="112" spans="1:6" ht="20.149999999999999" customHeight="1" x14ac:dyDescent="0.35">
      <c r="A112" s="3">
        <v>151</v>
      </c>
      <c r="B112" s="4" t="str">
        <f t="shared" si="4"/>
        <v>QUALITY_FLAG:WRITE</v>
      </c>
      <c r="C112" s="4" t="str">
        <f t="shared" si="3"/>
        <v>quality_flag updating</v>
      </c>
      <c r="D112" s="4" t="s">
        <v>6392</v>
      </c>
      <c r="E112" s="5" t="s">
        <v>6402</v>
      </c>
      <c r="F112" s="16" t="str">
        <f t="shared" si="5"/>
        <v>(151,'QUALITY_FLAG:WRITE','quality_flag updating','QUALITY_FLAG','WRITE'),</v>
      </c>
    </row>
    <row r="113" spans="1:6" ht="20.149999999999999" customHeight="1" x14ac:dyDescent="0.35">
      <c r="A113" s="3">
        <v>152</v>
      </c>
      <c r="B113" s="4" t="str">
        <f t="shared" si="4"/>
        <v>VALIDATION_STATUS:WRITE</v>
      </c>
      <c r="C113" s="4" t="str">
        <f t="shared" si="3"/>
        <v>validation_status updating</v>
      </c>
      <c r="D113" s="4" t="s">
        <v>6394</v>
      </c>
      <c r="E113" s="5" t="s">
        <v>6402</v>
      </c>
      <c r="F113" s="16" t="str">
        <f t="shared" si="5"/>
        <v>(152,'VALIDATION_STATUS:WRITE','validation_status updating','VALIDATION_STATUS','WRITE'),</v>
      </c>
    </row>
    <row r="114" spans="1:6" ht="20.149999999999999" customHeight="1" x14ac:dyDescent="0.35">
      <c r="A114" s="3">
        <v>153</v>
      </c>
      <c r="B114" s="4" t="str">
        <f t="shared" si="4"/>
        <v>READING_SLOT:WRITE</v>
      </c>
      <c r="C114" s="4" t="str">
        <f t="shared" si="3"/>
        <v>reading_slot updating</v>
      </c>
      <c r="D114" s="4" t="s">
        <v>6395</v>
      </c>
      <c r="E114" s="5" t="s">
        <v>6402</v>
      </c>
      <c r="F114" s="16" t="str">
        <f t="shared" si="5"/>
        <v>(153,'READING_SLOT:WRITE','reading_slot updating','READING_SLOT','WRITE'),</v>
      </c>
    </row>
    <row r="115" spans="1:6" ht="20.149999999999999" customHeight="1" x14ac:dyDescent="0.35">
      <c r="A115" s="3">
        <v>154</v>
      </c>
      <c r="B115" s="4" t="str">
        <f t="shared" si="4"/>
        <v>FLOW_OPERATION:WRITE</v>
      </c>
      <c r="C115" s="4" t="str">
        <f t="shared" si="3"/>
        <v>flow_operation updating</v>
      </c>
      <c r="D115" s="4" t="s">
        <v>6396</v>
      </c>
      <c r="E115" s="5" t="s">
        <v>6402</v>
      </c>
      <c r="F115" s="16" t="str">
        <f t="shared" si="5"/>
        <v>(154,'FLOW_OPERATION:WRITE','flow_operation updating','FLOW_OPERATION','WRITE'),</v>
      </c>
    </row>
    <row r="116" spans="1:6" ht="20.149999999999999" customHeight="1" x14ac:dyDescent="0.35">
      <c r="A116" s="3">
        <v>155</v>
      </c>
      <c r="B116" s="4" t="str">
        <f t="shared" si="4"/>
        <v>FLOW_FORECAST:WRITE</v>
      </c>
      <c r="C116" s="4" t="str">
        <f t="shared" si="3"/>
        <v>flow_forecast updating</v>
      </c>
      <c r="D116" s="4" t="s">
        <v>6397</v>
      </c>
      <c r="E116" s="5" t="s">
        <v>6402</v>
      </c>
      <c r="F116" s="16" t="str">
        <f t="shared" si="5"/>
        <v>(155,'FLOW_FORECAST:WRITE','flow_forecast updating','FLOW_FORECAST','WRITE'),</v>
      </c>
    </row>
    <row r="117" spans="1:6" ht="20.149999999999999" customHeight="1" x14ac:dyDescent="0.35">
      <c r="A117" s="3">
        <v>156</v>
      </c>
      <c r="B117" s="4" t="str">
        <f t="shared" si="4"/>
        <v>FLOW_READING:WRITE</v>
      </c>
      <c r="C117" s="4" t="str">
        <f t="shared" si="3"/>
        <v>flow_reading updating</v>
      </c>
      <c r="D117" s="4" t="s">
        <v>6398</v>
      </c>
      <c r="E117" s="5" t="s">
        <v>6402</v>
      </c>
      <c r="F117" s="16" t="str">
        <f t="shared" si="5"/>
        <v>(156,'FLOW_READING:WRITE','flow_reading updating','FLOW_READING','WRITE'),</v>
      </c>
    </row>
    <row r="118" spans="1:6" ht="20.149999999999999" customHeight="1" x14ac:dyDescent="0.35">
      <c r="A118" s="3">
        <v>157</v>
      </c>
      <c r="B118" s="4" t="str">
        <f t="shared" si="4"/>
        <v>FLOW_EVENT:WRITE</v>
      </c>
      <c r="C118" s="4" t="str">
        <f t="shared" si="3"/>
        <v>flow_event updating</v>
      </c>
      <c r="D118" s="4" t="s">
        <v>6401</v>
      </c>
      <c r="E118" s="5" t="s">
        <v>6402</v>
      </c>
      <c r="F118" s="16" t="str">
        <f t="shared" si="5"/>
        <v>(157,'FLOW_EVENT:WRITE','flow_event updating','FLOW_EVENT','WRITE'),</v>
      </c>
    </row>
    <row r="119" spans="1:6" ht="20.149999999999999" customHeight="1" x14ac:dyDescent="0.35">
      <c r="A119" s="3">
        <v>158</v>
      </c>
      <c r="B119" s="4" t="str">
        <f t="shared" si="4"/>
        <v>FLOW_ALERT:WRITE</v>
      </c>
      <c r="C119" s="4" t="str">
        <f t="shared" si="3"/>
        <v>flow_alert updating</v>
      </c>
      <c r="D119" s="4" t="s">
        <v>6400</v>
      </c>
      <c r="E119" s="5" t="s">
        <v>6402</v>
      </c>
      <c r="F119" s="16" t="str">
        <f t="shared" si="5"/>
        <v>(158,'FLOW_ALERT:WRITE','flow_alert updating','FLOW_ALERT','WRITE'),</v>
      </c>
    </row>
    <row r="120" spans="1:6" ht="20.149999999999999" customHeight="1" x14ac:dyDescent="0.35">
      <c r="A120" s="3">
        <v>159</v>
      </c>
      <c r="B120" s="4" t="str">
        <f t="shared" si="4"/>
        <v>FLOW_THRESHOLD:WRITE</v>
      </c>
      <c r="C120" s="4" t="str">
        <f>CONCATENATE(LOWER(D120)," updating")</f>
        <v>flow_threshold updating</v>
      </c>
      <c r="D120" s="4" t="s">
        <v>6399</v>
      </c>
      <c r="E120" s="5" t="s">
        <v>6402</v>
      </c>
      <c r="F120" s="16" t="str">
        <f t="shared" si="5"/>
        <v>(159,'FLOW_THRESHOLD:WRITE','flow_threshold updating','FLOW_THRESHOLD','WRITE'),</v>
      </c>
    </row>
    <row r="121" spans="1:6" ht="20.149999999999999" customHeight="1" x14ac:dyDescent="0.35">
      <c r="A121" s="3">
        <v>201</v>
      </c>
      <c r="B121" s="4" t="str">
        <f t="shared" si="4"/>
        <v>PARAMETER:READ</v>
      </c>
      <c r="C121" s="4" t="str">
        <f>CONCATENATE(LOWER(D121)," viewing")</f>
        <v>parameter viewing</v>
      </c>
      <c r="D121" s="4" t="s">
        <v>6384</v>
      </c>
      <c r="E121" s="5" t="s">
        <v>5789</v>
      </c>
      <c r="F121" s="16" t="str">
        <f t="shared" si="5"/>
        <v>(201,'PARAMETER:READ','parameter viewing','PARAMETER','READ'),</v>
      </c>
    </row>
    <row r="122" spans="1:6" ht="20.149999999999999" customHeight="1" x14ac:dyDescent="0.35">
      <c r="A122" s="3">
        <v>202</v>
      </c>
      <c r="B122" s="4" t="str">
        <f t="shared" si="4"/>
        <v>FILE:READ</v>
      </c>
      <c r="C122" s="4" t="str">
        <f t="shared" ref="C122:C179" si="6">CONCATENATE(LOWER(D122)," viewing")</f>
        <v>file viewing</v>
      </c>
      <c r="D122" s="4" t="s">
        <v>6385</v>
      </c>
      <c r="E122" s="5" t="s">
        <v>5789</v>
      </c>
      <c r="F122" s="16" t="str">
        <f t="shared" si="5"/>
        <v>(202,'FILE:READ','file viewing','FILE','READ'),</v>
      </c>
    </row>
    <row r="123" spans="1:6" ht="20.149999999999999" customHeight="1" x14ac:dyDescent="0.35">
      <c r="A123" s="3">
        <v>203</v>
      </c>
      <c r="B123" s="4" t="str">
        <f t="shared" si="4"/>
        <v>GROUP:READ</v>
      </c>
      <c r="C123" s="4" t="str">
        <f t="shared" si="6"/>
        <v>group viewing</v>
      </c>
      <c r="D123" s="4" t="s">
        <v>5752</v>
      </c>
      <c r="E123" s="5" t="s">
        <v>5789</v>
      </c>
      <c r="F123" s="16" t="str">
        <f t="shared" si="5"/>
        <v>(203,'GROUP:READ','group viewing','GROUP','READ'),</v>
      </c>
    </row>
    <row r="124" spans="1:6" ht="20.149999999999999" customHeight="1" x14ac:dyDescent="0.35">
      <c r="A124" s="3">
        <v>204</v>
      </c>
      <c r="B124" s="4" t="str">
        <f t="shared" si="4"/>
        <v>USER:READ</v>
      </c>
      <c r="C124" s="4" t="str">
        <f t="shared" si="6"/>
        <v>user viewing</v>
      </c>
      <c r="D124" s="4" t="s">
        <v>5753</v>
      </c>
      <c r="E124" s="5" t="s">
        <v>5789</v>
      </c>
      <c r="F124" s="16" t="str">
        <f t="shared" si="5"/>
        <v>(204,'USER:READ','user viewing','USER','READ'),</v>
      </c>
    </row>
    <row r="125" spans="1:6" ht="20.149999999999999" customHeight="1" x14ac:dyDescent="0.35">
      <c r="A125" s="3">
        <v>205</v>
      </c>
      <c r="B125" s="4" t="str">
        <f t="shared" si="4"/>
        <v>ROLE:READ</v>
      </c>
      <c r="C125" s="4" t="str">
        <f t="shared" si="6"/>
        <v>role viewing</v>
      </c>
      <c r="D125" s="4" t="s">
        <v>5754</v>
      </c>
      <c r="E125" s="5" t="s">
        <v>5789</v>
      </c>
      <c r="F125" s="16" t="str">
        <f t="shared" si="5"/>
        <v>(205,'ROLE:READ','role viewing','ROLE','READ'),</v>
      </c>
    </row>
    <row r="126" spans="1:6" ht="20.149999999999999" customHeight="1" x14ac:dyDescent="0.35">
      <c r="A126" s="3">
        <v>206</v>
      </c>
      <c r="B126" s="4" t="str">
        <f t="shared" si="4"/>
        <v>PERMISSION:READ</v>
      </c>
      <c r="C126" s="4" t="str">
        <f t="shared" si="6"/>
        <v>permission viewing</v>
      </c>
      <c r="D126" s="4" t="s">
        <v>5755</v>
      </c>
      <c r="E126" s="5" t="s">
        <v>5789</v>
      </c>
      <c r="F126" s="16" t="str">
        <f t="shared" si="5"/>
        <v>(206,'PERMISSION:READ','permission viewing','PERMISSION','READ'),</v>
      </c>
    </row>
    <row r="127" spans="1:6" ht="20.149999999999999" customHeight="1" x14ac:dyDescent="0.35">
      <c r="A127" s="3">
        <v>207</v>
      </c>
      <c r="B127" s="4" t="str">
        <f t="shared" si="4"/>
        <v>AUTHORITY:READ</v>
      </c>
      <c r="C127" s="4" t="str">
        <f t="shared" si="6"/>
        <v>authority viewing</v>
      </c>
      <c r="D127" s="4" t="s">
        <v>5756</v>
      </c>
      <c r="E127" s="5" t="s">
        <v>5789</v>
      </c>
      <c r="F127" s="16" t="str">
        <f t="shared" si="5"/>
        <v>(207,'AUTHORITY:READ','authority viewing','AUTHORITY','READ'),</v>
      </c>
    </row>
    <row r="128" spans="1:6" ht="20.149999999999999" customHeight="1" x14ac:dyDescent="0.35">
      <c r="A128" s="3">
        <v>208</v>
      </c>
      <c r="B128" s="4" t="str">
        <f t="shared" si="4"/>
        <v>AUDIT:READ</v>
      </c>
      <c r="C128" s="4" t="str">
        <f t="shared" si="6"/>
        <v>audit viewing</v>
      </c>
      <c r="D128" s="4" t="s">
        <v>5757</v>
      </c>
      <c r="E128" s="5" t="s">
        <v>5789</v>
      </c>
      <c r="F128" s="16" t="str">
        <f t="shared" si="5"/>
        <v>(208,'AUDIT:READ','audit viewing','AUDIT','READ'),</v>
      </c>
    </row>
    <row r="129" spans="1:6" ht="20.149999999999999" customHeight="1" x14ac:dyDescent="0.35">
      <c r="A129" s="3">
        <v>209</v>
      </c>
      <c r="B129" s="4" t="str">
        <f t="shared" si="4"/>
        <v>STRUCTURE_TYPE:READ</v>
      </c>
      <c r="C129" s="4" t="str">
        <f t="shared" si="6"/>
        <v>structure_type viewing</v>
      </c>
      <c r="D129" s="4" t="s">
        <v>5762</v>
      </c>
      <c r="E129" s="5" t="s">
        <v>5789</v>
      </c>
      <c r="F129" s="16" t="str">
        <f t="shared" si="5"/>
        <v>(209,'STRUCTURE_TYPE:READ','structure_type viewing','STRUCTURE_TYPE','READ'),</v>
      </c>
    </row>
    <row r="130" spans="1:6" ht="20.149999999999999" customHeight="1" x14ac:dyDescent="0.35">
      <c r="A130" s="3">
        <v>210</v>
      </c>
      <c r="B130" s="4" t="str">
        <f t="shared" si="4"/>
        <v>ZONE:READ</v>
      </c>
      <c r="C130" s="4" t="str">
        <f t="shared" si="6"/>
        <v>zone viewing</v>
      </c>
      <c r="D130" s="4" t="s">
        <v>5774</v>
      </c>
      <c r="E130" s="5" t="s">
        <v>5789</v>
      </c>
      <c r="F130" s="16" t="str">
        <f t="shared" si="5"/>
        <v>(210,'ZONE:READ','zone viewing','ZONE','READ'),</v>
      </c>
    </row>
    <row r="131" spans="1:6" ht="20.149999999999999" customHeight="1" x14ac:dyDescent="0.35">
      <c r="A131" s="3">
        <v>211</v>
      </c>
      <c r="B131" s="4" t="str">
        <f t="shared" si="4"/>
        <v>COUNTRY:READ</v>
      </c>
      <c r="C131" s="4" t="str">
        <f t="shared" si="6"/>
        <v>country viewing</v>
      </c>
      <c r="D131" s="4" t="s">
        <v>5759</v>
      </c>
      <c r="E131" s="5" t="s">
        <v>5789</v>
      </c>
      <c r="F131" s="16" t="str">
        <f t="shared" si="5"/>
        <v>(211,'COUNTRY:READ','country viewing','COUNTRY','READ'),</v>
      </c>
    </row>
    <row r="132" spans="1:6" ht="20.149999999999999" customHeight="1" x14ac:dyDescent="0.35">
      <c r="A132" s="3">
        <v>212</v>
      </c>
      <c r="B132" s="4" t="str">
        <f t="shared" ref="B132:B179" si="7">CONCATENATE(D132,":",E132)</f>
        <v>STATE:READ</v>
      </c>
      <c r="C132" s="4" t="str">
        <f t="shared" si="6"/>
        <v>state viewing</v>
      </c>
      <c r="D132" s="4" t="s">
        <v>5760</v>
      </c>
      <c r="E132" s="5" t="s">
        <v>5789</v>
      </c>
      <c r="F132" s="16" t="str">
        <f t="shared" ref="F132:F179" si="8">CONCATENATE("(",A132,",'",B132,"','",C132,"','",D132,"','",E132,"'),")</f>
        <v>(212,'STATE:READ','state viewing','STATE','READ'),</v>
      </c>
    </row>
    <row r="133" spans="1:6" ht="20.149999999999999" customHeight="1" x14ac:dyDescent="0.35">
      <c r="A133" s="3">
        <v>213</v>
      </c>
      <c r="B133" s="4" t="str">
        <f t="shared" si="7"/>
        <v>DISTRICT:READ</v>
      </c>
      <c r="C133" s="4" t="str">
        <f t="shared" si="6"/>
        <v>district viewing</v>
      </c>
      <c r="D133" s="4" t="s">
        <v>5794</v>
      </c>
      <c r="E133" s="5" t="s">
        <v>5789</v>
      </c>
      <c r="F133" s="16" t="str">
        <f t="shared" si="8"/>
        <v>(213,'DISTRICT:READ','district viewing','DISTRICT','READ'),</v>
      </c>
    </row>
    <row r="134" spans="1:6" ht="20.149999999999999" customHeight="1" x14ac:dyDescent="0.35">
      <c r="A134" s="3">
        <v>214</v>
      </c>
      <c r="B134" s="4" t="str">
        <f t="shared" si="7"/>
        <v>LOCALITY:READ</v>
      </c>
      <c r="C134" s="4" t="str">
        <f t="shared" si="6"/>
        <v>locality viewing</v>
      </c>
      <c r="D134" s="4" t="s">
        <v>5761</v>
      </c>
      <c r="E134" s="5" t="s">
        <v>5789</v>
      </c>
      <c r="F134" s="16" t="str">
        <f t="shared" si="8"/>
        <v>(214,'LOCALITY:READ','locality viewing','LOCALITY','READ'),</v>
      </c>
    </row>
    <row r="135" spans="1:6" ht="20.149999999999999" customHeight="1" x14ac:dyDescent="0.35">
      <c r="A135" s="3">
        <v>215</v>
      </c>
      <c r="B135" s="4" t="str">
        <f t="shared" si="7"/>
        <v>LOCATION:READ</v>
      </c>
      <c r="C135" s="4" t="str">
        <f t="shared" si="6"/>
        <v>location viewing</v>
      </c>
      <c r="D135" s="4" t="s">
        <v>5775</v>
      </c>
      <c r="E135" s="5" t="s">
        <v>5789</v>
      </c>
      <c r="F135" s="16" t="str">
        <f t="shared" si="8"/>
        <v>(215,'LOCATION:READ','location viewing','LOCATION','READ'),</v>
      </c>
    </row>
    <row r="136" spans="1:6" ht="20.149999999999999" customHeight="1" x14ac:dyDescent="0.35">
      <c r="A136" s="3">
        <v>216</v>
      </c>
      <c r="B136" s="4" t="str">
        <f t="shared" si="7"/>
        <v>COORDINATE:READ</v>
      </c>
      <c r="C136" s="4" t="str">
        <f t="shared" si="6"/>
        <v>coordinate viewing</v>
      </c>
      <c r="D136" s="4" t="s">
        <v>6386</v>
      </c>
      <c r="E136" s="5" t="s">
        <v>5789</v>
      </c>
      <c r="F136" s="16" t="str">
        <f t="shared" si="8"/>
        <v>(216,'COORDINATE:READ','coordinate viewing','COORDINATE','READ'),</v>
      </c>
    </row>
    <row r="137" spans="1:6" ht="20.149999999999999" customHeight="1" x14ac:dyDescent="0.35">
      <c r="A137" s="3">
        <v>217</v>
      </c>
      <c r="B137" s="4" t="str">
        <f t="shared" si="7"/>
        <v>STRUCTURE:READ</v>
      </c>
      <c r="C137" s="4" t="str">
        <f t="shared" si="6"/>
        <v>structure viewing</v>
      </c>
      <c r="D137" s="4" t="s">
        <v>5763</v>
      </c>
      <c r="E137" s="5" t="s">
        <v>5789</v>
      </c>
      <c r="F137" s="16" t="str">
        <f t="shared" si="8"/>
        <v>(217,'STRUCTURE:READ','structure viewing','STRUCTURE','READ'),</v>
      </c>
    </row>
    <row r="138" spans="1:6" ht="20.149999999999999" customHeight="1" x14ac:dyDescent="0.35">
      <c r="A138" s="3">
        <v>218</v>
      </c>
      <c r="B138" s="4" t="str">
        <f t="shared" si="7"/>
        <v>JOB:READ</v>
      </c>
      <c r="C138" s="4" t="str">
        <f t="shared" si="6"/>
        <v>job viewing</v>
      </c>
      <c r="D138" s="4" t="s">
        <v>5764</v>
      </c>
      <c r="E138" s="5" t="s">
        <v>5789</v>
      </c>
      <c r="F138" s="16" t="str">
        <f t="shared" si="8"/>
        <v>(218,'JOB:READ','job viewing','JOB','READ'),</v>
      </c>
    </row>
    <row r="139" spans="1:6" ht="20.149999999999999" customHeight="1" x14ac:dyDescent="0.35">
      <c r="A139" s="3">
        <v>219</v>
      </c>
      <c r="B139" s="4" t="str">
        <f t="shared" si="7"/>
        <v>PERSON:READ</v>
      </c>
      <c r="C139" s="4" t="str">
        <f t="shared" si="6"/>
        <v>person viewing</v>
      </c>
      <c r="D139" s="4" t="s">
        <v>5765</v>
      </c>
      <c r="E139" s="5" t="s">
        <v>5789</v>
      </c>
      <c r="F139" s="16" t="str">
        <f t="shared" si="8"/>
        <v>(219,'PERSON:READ','person viewing','PERSON','READ'),</v>
      </c>
    </row>
    <row r="140" spans="1:6" ht="20.149999999999999" customHeight="1" x14ac:dyDescent="0.35">
      <c r="A140" s="3">
        <v>220</v>
      </c>
      <c r="B140" s="4" t="str">
        <f t="shared" si="7"/>
        <v>EMPLOYEE:READ</v>
      </c>
      <c r="C140" s="4" t="str">
        <f t="shared" si="6"/>
        <v>employee viewing</v>
      </c>
      <c r="D140" s="4" t="s">
        <v>5766</v>
      </c>
      <c r="E140" s="5" t="s">
        <v>5789</v>
      </c>
      <c r="F140" s="16" t="str">
        <f t="shared" si="8"/>
        <v>(220,'EMPLOYEE:READ','employee viewing','EMPLOYEE','READ'),</v>
      </c>
    </row>
    <row r="141" spans="1:6" ht="20.149999999999999" customHeight="1" x14ac:dyDescent="0.35">
      <c r="A141" s="3">
        <v>221</v>
      </c>
      <c r="B141" s="4" t="str">
        <f t="shared" si="7"/>
        <v>COMPANY_TYPE:READ</v>
      </c>
      <c r="C141" s="4" t="str">
        <f t="shared" si="6"/>
        <v>company_type viewing</v>
      </c>
      <c r="D141" s="4" t="s">
        <v>5767</v>
      </c>
      <c r="E141" s="5" t="s">
        <v>5789</v>
      </c>
      <c r="F141" s="16" t="str">
        <f t="shared" si="8"/>
        <v>(221,'COMPANY_TYPE:READ','company_type viewing','COMPANY_TYPE','READ'),</v>
      </c>
    </row>
    <row r="142" spans="1:6" ht="20.149999999999999" customHeight="1" x14ac:dyDescent="0.35">
      <c r="A142" s="3">
        <v>222</v>
      </c>
      <c r="B142" s="4" t="str">
        <f t="shared" si="7"/>
        <v>PARTNER_TYPE:READ</v>
      </c>
      <c r="C142" s="4" t="str">
        <f t="shared" si="6"/>
        <v>partner_type viewing</v>
      </c>
      <c r="D142" s="4" t="s">
        <v>5768</v>
      </c>
      <c r="E142" s="5" t="s">
        <v>5789</v>
      </c>
      <c r="F142" s="16" t="str">
        <f t="shared" si="8"/>
        <v>(222,'PARTNER_TYPE:READ','partner_type viewing','PARTNER_TYPE','READ'),</v>
      </c>
    </row>
    <row r="143" spans="1:6" ht="20.149999999999999" customHeight="1" x14ac:dyDescent="0.35">
      <c r="A143" s="3">
        <v>223</v>
      </c>
      <c r="B143" s="4" t="str">
        <f t="shared" si="7"/>
        <v>VENDOR_TYPE:READ</v>
      </c>
      <c r="C143" s="4" t="str">
        <f t="shared" si="6"/>
        <v>vendor_type viewing</v>
      </c>
      <c r="D143" s="4" t="s">
        <v>5769</v>
      </c>
      <c r="E143" s="5" t="s">
        <v>5789</v>
      </c>
      <c r="F143" s="16" t="str">
        <f t="shared" si="8"/>
        <v>(223,'VENDOR_TYPE:READ','vendor_type viewing','VENDOR_TYPE','READ'),</v>
      </c>
    </row>
    <row r="144" spans="1:6" ht="20.149999999999999" customHeight="1" x14ac:dyDescent="0.35">
      <c r="A144" s="3">
        <v>224</v>
      </c>
      <c r="B144" s="4" t="str">
        <f t="shared" si="7"/>
        <v>FACILITY_TYPE:READ</v>
      </c>
      <c r="C144" s="4" t="str">
        <f t="shared" si="6"/>
        <v>facility_type viewing</v>
      </c>
      <c r="D144" s="4" t="s">
        <v>5770</v>
      </c>
      <c r="E144" s="5" t="s">
        <v>5789</v>
      </c>
      <c r="F144" s="16" t="str">
        <f t="shared" si="8"/>
        <v>(224,'FACILITY_TYPE:READ','facility_type viewing','FACILITY_TYPE','READ'),</v>
      </c>
    </row>
    <row r="145" spans="1:6" ht="20.149999999999999" customHeight="1" x14ac:dyDescent="0.35">
      <c r="A145" s="3">
        <v>225</v>
      </c>
      <c r="B145" s="4" t="str">
        <f t="shared" si="7"/>
        <v>STATION_TYPE:READ</v>
      </c>
      <c r="C145" s="4" t="str">
        <f t="shared" si="6"/>
        <v>station_type viewing</v>
      </c>
      <c r="D145" s="4" t="s">
        <v>5771</v>
      </c>
      <c r="E145" s="5" t="s">
        <v>5789</v>
      </c>
      <c r="F145" s="16" t="str">
        <f t="shared" si="8"/>
        <v>(225,'STATION_TYPE:READ','station_type viewing','STATION_TYPE','READ'),</v>
      </c>
    </row>
    <row r="146" spans="1:6" ht="20.149999999999999" customHeight="1" x14ac:dyDescent="0.35">
      <c r="A146" s="3">
        <v>226</v>
      </c>
      <c r="B146" s="4" t="str">
        <f t="shared" si="7"/>
        <v>TERMINAL_TYPE:READ</v>
      </c>
      <c r="C146" s="4" t="str">
        <f t="shared" si="6"/>
        <v>terminal_type viewing</v>
      </c>
      <c r="D146" s="4" t="s">
        <v>5772</v>
      </c>
      <c r="E146" s="5" t="s">
        <v>5789</v>
      </c>
      <c r="F146" s="16" t="str">
        <f t="shared" si="8"/>
        <v>(226,'TERMINAL_TYPE:READ','terminal_type viewing','TERMINAL_TYPE','READ'),</v>
      </c>
    </row>
    <row r="147" spans="1:6" ht="20.149999999999999" customHeight="1" x14ac:dyDescent="0.35">
      <c r="A147" s="3">
        <v>227</v>
      </c>
      <c r="B147" s="4" t="str">
        <f t="shared" si="7"/>
        <v>PROCESSING_PLANT_TYPE:READ</v>
      </c>
      <c r="C147" s="4" t="str">
        <f t="shared" si="6"/>
        <v>processing_plant_type viewing</v>
      </c>
      <c r="D147" s="4" t="s">
        <v>5795</v>
      </c>
      <c r="E147" s="5" t="s">
        <v>5789</v>
      </c>
      <c r="F147" s="16" t="str">
        <f t="shared" si="8"/>
        <v>(227,'PROCESSING_PLANT_TYPE:READ','processing_plant_type viewing','PROCESSING_PLANT_TYPE','READ'),</v>
      </c>
    </row>
    <row r="148" spans="1:6" ht="20.149999999999999" customHeight="1" x14ac:dyDescent="0.35">
      <c r="A148" s="3">
        <v>228</v>
      </c>
      <c r="B148" s="4" t="str">
        <f t="shared" si="7"/>
        <v>PRODUCTION_FIELD_TYPE:READ</v>
      </c>
      <c r="C148" s="4" t="str">
        <f t="shared" si="6"/>
        <v>production_field_type viewing</v>
      </c>
      <c r="D148" s="4" t="s">
        <v>5796</v>
      </c>
      <c r="E148" s="5" t="s">
        <v>5789</v>
      </c>
      <c r="F148" s="16" t="str">
        <f t="shared" si="8"/>
        <v>(228,'PRODUCTION_FIELD_TYPE:READ','production_field_type viewing','PRODUCTION_FIELD_TYPE','READ'),</v>
      </c>
    </row>
    <row r="149" spans="1:6" ht="20.149999999999999" customHeight="1" x14ac:dyDescent="0.35">
      <c r="A149" s="3">
        <v>229</v>
      </c>
      <c r="B149" s="4" t="str">
        <f t="shared" si="7"/>
        <v>EQUIPMENT_TYPE:READ</v>
      </c>
      <c r="C149" s="4" t="str">
        <f t="shared" si="6"/>
        <v>equipment_type viewing</v>
      </c>
      <c r="D149" s="4" t="s">
        <v>5773</v>
      </c>
      <c r="E149" s="5" t="s">
        <v>5789</v>
      </c>
      <c r="F149" s="16" t="str">
        <f t="shared" si="8"/>
        <v>(229,'EQUIPMENT_TYPE:READ','equipment_type viewing','EQUIPMENT_TYPE','READ'),</v>
      </c>
    </row>
    <row r="150" spans="1:6" ht="20.149999999999999" customHeight="1" x14ac:dyDescent="0.35">
      <c r="A150" s="3">
        <v>230</v>
      </c>
      <c r="B150" s="4" t="str">
        <f t="shared" si="7"/>
        <v>PRODUCT:READ</v>
      </c>
      <c r="C150" s="4" t="str">
        <f t="shared" si="6"/>
        <v>product viewing</v>
      </c>
      <c r="D150" s="4" t="s">
        <v>5776</v>
      </c>
      <c r="E150" s="5" t="s">
        <v>5789</v>
      </c>
      <c r="F150" s="16" t="str">
        <f t="shared" si="8"/>
        <v>(230,'PRODUCT:READ','product viewing','PRODUCT','READ'),</v>
      </c>
    </row>
    <row r="151" spans="1:6" ht="20.149999999999999" customHeight="1" x14ac:dyDescent="0.35">
      <c r="A151" s="3">
        <v>231</v>
      </c>
      <c r="B151" s="4" t="str">
        <f t="shared" si="7"/>
        <v>OPERATIONAL_STATUS:READ</v>
      </c>
      <c r="C151" s="4" t="str">
        <f t="shared" si="6"/>
        <v>operational_status viewing</v>
      </c>
      <c r="D151" s="4" t="s">
        <v>5777</v>
      </c>
      <c r="E151" s="5" t="s">
        <v>5789</v>
      </c>
      <c r="F151" s="16" t="str">
        <f t="shared" si="8"/>
        <v>(231,'OPERATIONAL_STATUS:READ','operational_status viewing','OPERATIONAL_STATUS','READ'),</v>
      </c>
    </row>
    <row r="152" spans="1:6" ht="20.149999999999999" customHeight="1" x14ac:dyDescent="0.35">
      <c r="A152" s="3">
        <v>232</v>
      </c>
      <c r="B152" s="4" t="str">
        <f t="shared" si="7"/>
        <v>ALLOY:READ</v>
      </c>
      <c r="C152" s="4" t="str">
        <f t="shared" si="6"/>
        <v>alloy viewing</v>
      </c>
      <c r="D152" s="4" t="s">
        <v>5778</v>
      </c>
      <c r="E152" s="5" t="s">
        <v>5789</v>
      </c>
      <c r="F152" s="16" t="str">
        <f t="shared" si="8"/>
        <v>(232,'ALLOY:READ','alloy viewing','ALLOY','READ'),</v>
      </c>
    </row>
    <row r="153" spans="1:6" ht="20.149999999999999" customHeight="1" x14ac:dyDescent="0.35">
      <c r="A153" s="3">
        <v>233</v>
      </c>
      <c r="B153" s="4" t="str">
        <f t="shared" si="7"/>
        <v>PARTNER:READ</v>
      </c>
      <c r="C153" s="4" t="str">
        <f t="shared" si="6"/>
        <v>partner viewing</v>
      </c>
      <c r="D153" s="4" t="s">
        <v>5779</v>
      </c>
      <c r="E153" s="5" t="s">
        <v>5789</v>
      </c>
      <c r="F153" s="16" t="str">
        <f t="shared" si="8"/>
        <v>(233,'PARTNER:READ','partner viewing','PARTNER','READ'),</v>
      </c>
    </row>
    <row r="154" spans="1:6" ht="20.149999999999999" customHeight="1" x14ac:dyDescent="0.35">
      <c r="A154" s="3">
        <v>234</v>
      </c>
      <c r="B154" s="4" t="str">
        <f t="shared" si="7"/>
        <v>VENDOR:READ</v>
      </c>
      <c r="C154" s="4" t="str">
        <f t="shared" si="6"/>
        <v>vendor viewing</v>
      </c>
      <c r="D154" s="4" t="s">
        <v>5780</v>
      </c>
      <c r="E154" s="5" t="s">
        <v>5789</v>
      </c>
      <c r="F154" s="16" t="str">
        <f t="shared" si="8"/>
        <v>(234,'VENDOR:READ','vendor viewing','VENDOR','READ'),</v>
      </c>
    </row>
    <row r="155" spans="1:6" ht="20.149999999999999" customHeight="1" x14ac:dyDescent="0.35">
      <c r="A155" s="3">
        <v>235</v>
      </c>
      <c r="B155" s="4" t="str">
        <f t="shared" si="7"/>
        <v>INFRASTRUCTURE:READ</v>
      </c>
      <c r="C155" s="4" t="str">
        <f t="shared" si="6"/>
        <v>infrastructure viewing</v>
      </c>
      <c r="D155" s="4" t="s">
        <v>5781</v>
      </c>
      <c r="E155" s="5" t="s">
        <v>5789</v>
      </c>
      <c r="F155" s="16" t="str">
        <f t="shared" si="8"/>
        <v>(235,'INFRASTRUCTURE:READ','infrastructure viewing','INFRASTRUCTURE','READ'),</v>
      </c>
    </row>
    <row r="156" spans="1:6" ht="20.149999999999999" customHeight="1" x14ac:dyDescent="0.35">
      <c r="A156" s="3">
        <v>236</v>
      </c>
      <c r="B156" s="4" t="str">
        <f t="shared" si="7"/>
        <v>FACILITY:READ</v>
      </c>
      <c r="C156" s="4" t="str">
        <f t="shared" si="6"/>
        <v>facility viewing</v>
      </c>
      <c r="D156" s="4" t="s">
        <v>5782</v>
      </c>
      <c r="E156" s="5" t="s">
        <v>5789</v>
      </c>
      <c r="F156" s="16" t="str">
        <f t="shared" si="8"/>
        <v>(236,'FACILITY:READ','facility viewing','FACILITY','READ'),</v>
      </c>
    </row>
    <row r="157" spans="1:6" ht="20.149999999999999" customHeight="1" x14ac:dyDescent="0.35">
      <c r="A157" s="3">
        <v>237</v>
      </c>
      <c r="B157" s="4" t="str">
        <f t="shared" si="7"/>
        <v>PIPELINE_SYSTEM:READ</v>
      </c>
      <c r="C157" s="4" t="str">
        <f t="shared" si="6"/>
        <v>pipeline_system viewing</v>
      </c>
      <c r="D157" s="4" t="s">
        <v>5783</v>
      </c>
      <c r="E157" s="5" t="s">
        <v>5789</v>
      </c>
      <c r="F157" s="16" t="str">
        <f t="shared" si="8"/>
        <v>(237,'PIPELINE_SYSTEM:READ','pipeline_system viewing','PIPELINE_SYSTEM','READ'),</v>
      </c>
    </row>
    <row r="158" spans="1:6" ht="20.149999999999999" customHeight="1" x14ac:dyDescent="0.35">
      <c r="A158" s="3">
        <v>238</v>
      </c>
      <c r="B158" s="4" t="str">
        <f t="shared" si="7"/>
        <v>PIPELINE:READ</v>
      </c>
      <c r="C158" s="4" t="str">
        <f t="shared" si="6"/>
        <v>pipeline viewing</v>
      </c>
      <c r="D158" s="4" t="s">
        <v>5784</v>
      </c>
      <c r="E158" s="5" t="s">
        <v>5789</v>
      </c>
      <c r="F158" s="16" t="str">
        <f t="shared" si="8"/>
        <v>(238,'PIPELINE:READ','pipeline viewing','PIPELINE','READ'),</v>
      </c>
    </row>
    <row r="159" spans="1:6" ht="20.149999999999999" customHeight="1" x14ac:dyDescent="0.35">
      <c r="A159" s="3">
        <v>239</v>
      </c>
      <c r="B159" s="4" t="str">
        <f t="shared" si="7"/>
        <v>PIPELINE_SEGMENT:READ</v>
      </c>
      <c r="C159" s="4" t="str">
        <f t="shared" si="6"/>
        <v>pipeline_segment viewing</v>
      </c>
      <c r="D159" s="4" t="s">
        <v>5785</v>
      </c>
      <c r="E159" s="5" t="s">
        <v>5789</v>
      </c>
      <c r="F159" s="16" t="str">
        <f t="shared" si="8"/>
        <v>(239,'PIPELINE_SEGMENT:READ','pipeline_segment viewing','PIPELINE_SEGMENT','READ'),</v>
      </c>
    </row>
    <row r="160" spans="1:6" ht="20.149999999999999" customHeight="1" x14ac:dyDescent="0.35">
      <c r="A160" s="3">
        <v>240</v>
      </c>
      <c r="B160" s="4" t="str">
        <f t="shared" si="7"/>
        <v>STATION:READ</v>
      </c>
      <c r="C160" s="4" t="str">
        <f t="shared" si="6"/>
        <v>station viewing</v>
      </c>
      <c r="D160" s="4" t="s">
        <v>5786</v>
      </c>
      <c r="E160" s="5" t="s">
        <v>5789</v>
      </c>
      <c r="F160" s="16" t="str">
        <f t="shared" si="8"/>
        <v>(240,'STATION:READ','station viewing','STATION','READ'),</v>
      </c>
    </row>
    <row r="161" spans="1:6" ht="20.149999999999999" customHeight="1" x14ac:dyDescent="0.35">
      <c r="A161" s="3">
        <v>241</v>
      </c>
      <c r="B161" s="4" t="str">
        <f t="shared" si="7"/>
        <v>TERMINAL:READ</v>
      </c>
      <c r="C161" s="4" t="str">
        <f t="shared" si="6"/>
        <v>terminal viewing</v>
      </c>
      <c r="D161" s="4" t="s">
        <v>5787</v>
      </c>
      <c r="E161" s="5" t="s">
        <v>5789</v>
      </c>
      <c r="F161" s="16" t="str">
        <f t="shared" si="8"/>
        <v>(241,'TERMINAL:READ','terminal viewing','TERMINAL','READ'),</v>
      </c>
    </row>
    <row r="162" spans="1:6" ht="20.149999999999999" customHeight="1" x14ac:dyDescent="0.35">
      <c r="A162" s="3">
        <v>242</v>
      </c>
      <c r="B162" s="4" t="str">
        <f t="shared" si="7"/>
        <v>PROCESSING_PLANT:READ</v>
      </c>
      <c r="C162" s="4" t="str">
        <f t="shared" si="6"/>
        <v>processing_plant viewing</v>
      </c>
      <c r="D162" s="4" t="s">
        <v>5797</v>
      </c>
      <c r="E162" s="5" t="s">
        <v>5789</v>
      </c>
      <c r="F162" s="16" t="str">
        <f t="shared" si="8"/>
        <v>(242,'PROCESSING_PLANT:READ','processing_plant viewing','PROCESSING_PLANT','READ'),</v>
      </c>
    </row>
    <row r="163" spans="1:6" ht="20.149999999999999" customHeight="1" x14ac:dyDescent="0.35">
      <c r="A163" s="3">
        <v>243</v>
      </c>
      <c r="B163" s="4" t="str">
        <f t="shared" si="7"/>
        <v>PRODUCTION_FIELD:READ</v>
      </c>
      <c r="C163" s="4" t="str">
        <f t="shared" si="6"/>
        <v>production_field viewing</v>
      </c>
      <c r="D163" s="4" t="s">
        <v>5798</v>
      </c>
      <c r="E163" s="5" t="s">
        <v>5789</v>
      </c>
      <c r="F163" s="16" t="str">
        <f t="shared" si="8"/>
        <v>(243,'PRODUCTION_FIELD:READ','production_field viewing','PRODUCTION_FIELD','READ'),</v>
      </c>
    </row>
    <row r="164" spans="1:6" ht="20.149999999999999" customHeight="1" x14ac:dyDescent="0.35">
      <c r="A164" s="3">
        <v>244</v>
      </c>
      <c r="B164" s="4" t="str">
        <f t="shared" si="7"/>
        <v>EQUIPMENT:READ</v>
      </c>
      <c r="C164" s="4" t="str">
        <f t="shared" si="6"/>
        <v>equipment viewing</v>
      </c>
      <c r="D164" s="4" t="s">
        <v>5788</v>
      </c>
      <c r="E164" s="5" t="s">
        <v>5789</v>
      </c>
      <c r="F164" s="16" t="str">
        <f t="shared" si="8"/>
        <v>(244,'EQUIPMENT:READ','equipment viewing','EQUIPMENT','READ'),</v>
      </c>
    </row>
    <row r="165" spans="1:6" ht="20.149999999999999" customHeight="1" x14ac:dyDescent="0.35">
      <c r="A165" s="3">
        <v>245</v>
      </c>
      <c r="B165" s="4" t="str">
        <f t="shared" si="7"/>
        <v>EVENT_TYPE:READ</v>
      </c>
      <c r="C165" s="4" t="str">
        <f t="shared" si="6"/>
        <v>event_type viewing</v>
      </c>
      <c r="D165" s="4" t="s">
        <v>6388</v>
      </c>
      <c r="E165" s="5" t="s">
        <v>5789</v>
      </c>
      <c r="F165" s="16" t="str">
        <f t="shared" si="8"/>
        <v>(245,'EVENT_TYPE:READ','event_type viewing','EVENT_TYPE','READ'),</v>
      </c>
    </row>
    <row r="166" spans="1:6" ht="20.149999999999999" customHeight="1" x14ac:dyDescent="0.35">
      <c r="A166" s="3">
        <v>246</v>
      </c>
      <c r="B166" s="4" t="str">
        <f t="shared" si="7"/>
        <v>OPERATION_TYPE:READ</v>
      </c>
      <c r="C166" s="4" t="str">
        <f t="shared" si="6"/>
        <v>operation_type viewing</v>
      </c>
      <c r="D166" s="4" t="s">
        <v>6387</v>
      </c>
      <c r="E166" s="5" t="s">
        <v>5789</v>
      </c>
      <c r="F166" s="16" t="str">
        <f t="shared" si="8"/>
        <v>(246,'OPERATION_TYPE:READ','operation_type viewing','OPERATION_TYPE','READ'),</v>
      </c>
    </row>
    <row r="167" spans="1:6" ht="20.149999999999999" customHeight="1" x14ac:dyDescent="0.35">
      <c r="A167" s="3">
        <v>247</v>
      </c>
      <c r="B167" s="4" t="str">
        <f t="shared" si="7"/>
        <v>EVENT_STATUS:READ</v>
      </c>
      <c r="C167" s="4" t="str">
        <f t="shared" si="6"/>
        <v>event_status viewing</v>
      </c>
      <c r="D167" s="4" t="s">
        <v>6391</v>
      </c>
      <c r="E167" s="5" t="s">
        <v>5789</v>
      </c>
      <c r="F167" s="16" t="str">
        <f t="shared" si="8"/>
        <v>(247,'EVENT_STATUS:READ','event_status viewing','EVENT_STATUS','READ'),</v>
      </c>
    </row>
    <row r="168" spans="1:6" ht="20.149999999999999" customHeight="1" x14ac:dyDescent="0.35">
      <c r="A168" s="3">
        <v>248</v>
      </c>
      <c r="B168" s="4" t="str">
        <f t="shared" si="7"/>
        <v>ALERT_STATUS:READ</v>
      </c>
      <c r="C168" s="4" t="str">
        <f t="shared" si="6"/>
        <v>alert_status viewing</v>
      </c>
      <c r="D168" s="4" t="s">
        <v>6389</v>
      </c>
      <c r="E168" s="5" t="s">
        <v>5789</v>
      </c>
      <c r="F168" s="16" t="str">
        <f t="shared" si="8"/>
        <v>(248,'ALERT_STATUS:READ','alert_status viewing','ALERT_STATUS','READ'),</v>
      </c>
    </row>
    <row r="169" spans="1:6" ht="20.149999999999999" customHeight="1" x14ac:dyDescent="0.35">
      <c r="A169" s="3">
        <v>249</v>
      </c>
      <c r="B169" s="4" t="str">
        <f t="shared" si="7"/>
        <v>SEVERITY:READ</v>
      </c>
      <c r="C169" s="4" t="str">
        <f t="shared" si="6"/>
        <v>severity viewing</v>
      </c>
      <c r="D169" s="4" t="s">
        <v>6393</v>
      </c>
      <c r="E169" s="5" t="s">
        <v>5789</v>
      </c>
      <c r="F169" s="16" t="str">
        <f t="shared" si="8"/>
        <v>(249,'SEVERITY:READ','severity viewing','SEVERITY','READ'),</v>
      </c>
    </row>
    <row r="170" spans="1:6" ht="20.149999999999999" customHeight="1" x14ac:dyDescent="0.35">
      <c r="A170" s="3">
        <v>250</v>
      </c>
      <c r="B170" s="4" t="str">
        <f t="shared" si="7"/>
        <v>DATA_SOURCE:READ</v>
      </c>
      <c r="C170" s="4" t="str">
        <f t="shared" si="6"/>
        <v>data_source viewing</v>
      </c>
      <c r="D170" s="4" t="s">
        <v>6390</v>
      </c>
      <c r="E170" s="5" t="s">
        <v>5789</v>
      </c>
      <c r="F170" s="16" t="str">
        <f t="shared" si="8"/>
        <v>(250,'DATA_SOURCE:READ','data_source viewing','DATA_SOURCE','READ'),</v>
      </c>
    </row>
    <row r="171" spans="1:6" ht="20.149999999999999" customHeight="1" x14ac:dyDescent="0.35">
      <c r="A171" s="3">
        <v>251</v>
      </c>
      <c r="B171" s="4" t="str">
        <f t="shared" si="7"/>
        <v>QUALITY_FLAG:READ</v>
      </c>
      <c r="C171" s="4" t="str">
        <f t="shared" si="6"/>
        <v>quality_flag viewing</v>
      </c>
      <c r="D171" s="4" t="s">
        <v>6392</v>
      </c>
      <c r="E171" s="5" t="s">
        <v>5789</v>
      </c>
      <c r="F171" s="16" t="str">
        <f t="shared" si="8"/>
        <v>(251,'QUALITY_FLAG:READ','quality_flag viewing','QUALITY_FLAG','READ'),</v>
      </c>
    </row>
    <row r="172" spans="1:6" ht="20.149999999999999" customHeight="1" x14ac:dyDescent="0.35">
      <c r="A172" s="3">
        <v>252</v>
      </c>
      <c r="B172" s="4" t="str">
        <f t="shared" si="7"/>
        <v>VALIDATION_STATUS:READ</v>
      </c>
      <c r="C172" s="4" t="str">
        <f t="shared" si="6"/>
        <v>validation_status viewing</v>
      </c>
      <c r="D172" s="4" t="s">
        <v>6394</v>
      </c>
      <c r="E172" s="5" t="s">
        <v>5789</v>
      </c>
      <c r="F172" s="16" t="str">
        <f t="shared" si="8"/>
        <v>(252,'VALIDATION_STATUS:READ','validation_status viewing','VALIDATION_STATUS','READ'),</v>
      </c>
    </row>
    <row r="173" spans="1:6" ht="20.149999999999999" customHeight="1" x14ac:dyDescent="0.35">
      <c r="A173" s="3">
        <v>253</v>
      </c>
      <c r="B173" s="4" t="str">
        <f t="shared" si="7"/>
        <v>READING_SLOT:READ</v>
      </c>
      <c r="C173" s="4" t="str">
        <f t="shared" si="6"/>
        <v>reading_slot viewing</v>
      </c>
      <c r="D173" s="4" t="s">
        <v>6395</v>
      </c>
      <c r="E173" s="5" t="s">
        <v>5789</v>
      </c>
      <c r="F173" s="16" t="str">
        <f t="shared" si="8"/>
        <v>(253,'READING_SLOT:READ','reading_slot viewing','READING_SLOT','READ'),</v>
      </c>
    </row>
    <row r="174" spans="1:6" ht="20.149999999999999" customHeight="1" x14ac:dyDescent="0.35">
      <c r="A174" s="3">
        <v>254</v>
      </c>
      <c r="B174" s="4" t="str">
        <f t="shared" si="7"/>
        <v>FLOW_OPERATION:READ</v>
      </c>
      <c r="C174" s="4" t="str">
        <f t="shared" si="6"/>
        <v>flow_operation viewing</v>
      </c>
      <c r="D174" s="4" t="s">
        <v>6396</v>
      </c>
      <c r="E174" s="5" t="s">
        <v>5789</v>
      </c>
      <c r="F174" s="16" t="str">
        <f t="shared" si="8"/>
        <v>(254,'FLOW_OPERATION:READ','flow_operation viewing','FLOW_OPERATION','READ'),</v>
      </c>
    </row>
    <row r="175" spans="1:6" ht="20.149999999999999" customHeight="1" x14ac:dyDescent="0.35">
      <c r="A175" s="3">
        <v>255</v>
      </c>
      <c r="B175" s="4" t="str">
        <f t="shared" si="7"/>
        <v>FLOW_FORECAST:READ</v>
      </c>
      <c r="C175" s="4" t="str">
        <f t="shared" si="6"/>
        <v>flow_forecast viewing</v>
      </c>
      <c r="D175" s="4" t="s">
        <v>6397</v>
      </c>
      <c r="E175" s="5" t="s">
        <v>5789</v>
      </c>
      <c r="F175" s="16" t="str">
        <f t="shared" si="8"/>
        <v>(255,'FLOW_FORECAST:READ','flow_forecast viewing','FLOW_FORECAST','READ'),</v>
      </c>
    </row>
    <row r="176" spans="1:6" ht="20.149999999999999" customHeight="1" x14ac:dyDescent="0.35">
      <c r="A176" s="3">
        <v>256</v>
      </c>
      <c r="B176" s="4" t="str">
        <f t="shared" si="7"/>
        <v>FLOW_READING:READ</v>
      </c>
      <c r="C176" s="4" t="str">
        <f t="shared" si="6"/>
        <v>flow_reading viewing</v>
      </c>
      <c r="D176" s="4" t="s">
        <v>6398</v>
      </c>
      <c r="E176" s="5" t="s">
        <v>5789</v>
      </c>
      <c r="F176" s="16" t="str">
        <f t="shared" si="8"/>
        <v>(256,'FLOW_READING:READ','flow_reading viewing','FLOW_READING','READ'),</v>
      </c>
    </row>
    <row r="177" spans="1:6" ht="20.149999999999999" customHeight="1" x14ac:dyDescent="0.35">
      <c r="A177" s="3">
        <v>257</v>
      </c>
      <c r="B177" s="4" t="str">
        <f t="shared" si="7"/>
        <v>FLOW_EVENT:READ</v>
      </c>
      <c r="C177" s="4" t="str">
        <f t="shared" si="6"/>
        <v>flow_event viewing</v>
      </c>
      <c r="D177" s="4" t="s">
        <v>6401</v>
      </c>
      <c r="E177" s="5" t="s">
        <v>5789</v>
      </c>
      <c r="F177" s="16" t="str">
        <f t="shared" si="8"/>
        <v>(257,'FLOW_EVENT:READ','flow_event viewing','FLOW_EVENT','READ'),</v>
      </c>
    </row>
    <row r="178" spans="1:6" ht="20.149999999999999" customHeight="1" x14ac:dyDescent="0.35">
      <c r="A178" s="3">
        <v>258</v>
      </c>
      <c r="B178" s="4" t="str">
        <f t="shared" si="7"/>
        <v>FLOW_ALERT:READ</v>
      </c>
      <c r="C178" s="4" t="str">
        <f t="shared" si="6"/>
        <v>flow_alert viewing</v>
      </c>
      <c r="D178" s="4" t="s">
        <v>6400</v>
      </c>
      <c r="E178" s="5" t="s">
        <v>5789</v>
      </c>
      <c r="F178" s="16" t="str">
        <f t="shared" si="8"/>
        <v>(258,'FLOW_ALERT:READ','flow_alert viewing','FLOW_ALERT','READ'),</v>
      </c>
    </row>
    <row r="179" spans="1:6" ht="20.149999999999999" customHeight="1" x14ac:dyDescent="0.35">
      <c r="A179" s="3">
        <v>259</v>
      </c>
      <c r="B179" s="4" t="str">
        <f t="shared" si="7"/>
        <v>FLOW_THRESHOLD:READ</v>
      </c>
      <c r="C179" s="4" t="str">
        <f t="shared" si="6"/>
        <v>flow_threshold viewing</v>
      </c>
      <c r="D179" s="4" t="s">
        <v>6399</v>
      </c>
      <c r="E179" s="5" t="s">
        <v>5789</v>
      </c>
      <c r="F179" s="16" t="str">
        <f t="shared" si="8"/>
        <v>(259,'FLOW_THRESHOLD:READ','flow_threshold viewing','FLOW_THRESHOLD','READ'),</v>
      </c>
    </row>
  </sheetData>
  <autoFilter ref="A2:F61"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5790</v>
      </c>
      <c r="E1" s="1" t="s">
        <v>5603</v>
      </c>
    </row>
    <row r="2" spans="1:5" ht="20.149999999999999" customHeight="1" x14ac:dyDescent="0.35">
      <c r="A2" s="1" t="s">
        <v>44</v>
      </c>
      <c r="B2" s="1" t="s">
        <v>5799</v>
      </c>
      <c r="C2" s="1" t="s">
        <v>42</v>
      </c>
      <c r="D2" s="1" t="s">
        <v>43</v>
      </c>
      <c r="E2" s="1" t="s">
        <v>5849</v>
      </c>
    </row>
    <row r="3" spans="1:5" ht="20.149999999999999" customHeight="1" x14ac:dyDescent="0.35">
      <c r="A3" s="3">
        <v>1</v>
      </c>
      <c r="B3" s="4" t="s">
        <v>5801</v>
      </c>
      <c r="C3" s="4" t="s">
        <v>5800</v>
      </c>
      <c r="D3" s="4" t="s">
        <v>5802</v>
      </c>
      <c r="E3" s="16" t="str">
        <f>CONCATENATE("(",A3,",'",B3,"','",C3,"','",D3,"'),")</f>
        <v>(1,'SYSTEM','System Management','Core system operations and configuration'),</v>
      </c>
    </row>
    <row r="4" spans="1:5" ht="20.149999999999999" customHeight="1" x14ac:dyDescent="0.35">
      <c r="A4" s="3">
        <v>2</v>
      </c>
      <c r="B4" s="4" t="s">
        <v>5753</v>
      </c>
      <c r="C4" s="4" t="s">
        <v>5803</v>
      </c>
      <c r="D4" s="4" t="s">
        <v>5804</v>
      </c>
      <c r="E4" s="16" t="str">
        <f t="shared" ref="E4:E21" si="0">CONCATENATE("(",A4,",'",B4,"','",C4,"','",D4,"'),")</f>
        <v>(2,'USER','User Management','User account and profile management'),</v>
      </c>
    </row>
    <row r="5" spans="1:5" ht="20.149999999999999" customHeight="1" x14ac:dyDescent="0.35">
      <c r="A5" s="3">
        <v>3</v>
      </c>
      <c r="B5" s="4" t="s">
        <v>5754</v>
      </c>
      <c r="C5" s="4" t="s">
        <v>5805</v>
      </c>
      <c r="D5" s="4" t="s">
        <v>5806</v>
      </c>
      <c r="E5" s="16" t="str">
        <f t="shared" si="0"/>
        <v>(3,'ROLE','Role Management','Role definitions and assignments'),</v>
      </c>
    </row>
    <row r="6" spans="1:5" ht="20.149999999999999" customHeight="1" x14ac:dyDescent="0.35">
      <c r="A6" s="3">
        <v>4</v>
      </c>
      <c r="B6" s="4" t="s">
        <v>5755</v>
      </c>
      <c r="C6" s="4" t="s">
        <v>5807</v>
      </c>
      <c r="D6" s="4" t="s">
        <v>5808</v>
      </c>
      <c r="E6" s="16" t="str">
        <f t="shared" si="0"/>
        <v>(4,'PERMISSION','Permission Management','Permission and access control'),</v>
      </c>
    </row>
    <row r="7" spans="1:5" ht="20.149999999999999" customHeight="1" x14ac:dyDescent="0.35">
      <c r="A7" s="3">
        <v>5</v>
      </c>
      <c r="B7" s="4" t="s">
        <v>5752</v>
      </c>
      <c r="C7" s="4" t="s">
        <v>5809</v>
      </c>
      <c r="D7" s="4" t="s">
        <v>5810</v>
      </c>
      <c r="E7" s="16" t="str">
        <f t="shared" si="0"/>
        <v>(5,'GROUP','Group Management','User group organization'),</v>
      </c>
    </row>
    <row r="8" spans="1:5" ht="20.149999999999999" customHeight="1" x14ac:dyDescent="0.35">
      <c r="A8" s="3">
        <v>6</v>
      </c>
      <c r="B8" s="4" t="s">
        <v>5756</v>
      </c>
      <c r="C8" s="4" t="s">
        <v>5811</v>
      </c>
      <c r="D8" s="4" t="s">
        <v>5812</v>
      </c>
      <c r="E8" s="16" t="str">
        <f t="shared" si="0"/>
        <v>(6,'AUTHORITY','Authority Management','Authority category management'),</v>
      </c>
    </row>
    <row r="9" spans="1:5" ht="20.149999999999999" customHeight="1" x14ac:dyDescent="0.35">
      <c r="A9" s="3">
        <v>7</v>
      </c>
      <c r="B9" s="4" t="s">
        <v>5757</v>
      </c>
      <c r="C9" s="4" t="s">
        <v>5813</v>
      </c>
      <c r="D9" s="4" t="s">
        <v>5814</v>
      </c>
      <c r="E9" s="16" t="str">
        <f t="shared" si="0"/>
        <v>(7,'AUDIT','Audit Management','System audit logging and tracking'),</v>
      </c>
    </row>
    <row r="10" spans="1:5" ht="20.149999999999999" customHeight="1" x14ac:dyDescent="0.35">
      <c r="A10" s="3">
        <v>8</v>
      </c>
      <c r="B10" s="4" t="s">
        <v>5816</v>
      </c>
      <c r="C10" s="4" t="s">
        <v>5815</v>
      </c>
      <c r="D10" s="4" t="s">
        <v>5817</v>
      </c>
      <c r="E10" s="16" t="str">
        <f t="shared" si="0"/>
        <v>(8,'AUTH','Authentication','Authentication and session management'),</v>
      </c>
    </row>
    <row r="11" spans="1:5" ht="20.149999999999999" customHeight="1" x14ac:dyDescent="0.35">
      <c r="A11" s="3">
        <v>9</v>
      </c>
      <c r="B11" s="4" t="s">
        <v>5819</v>
      </c>
      <c r="C11" s="4" t="s">
        <v>5818</v>
      </c>
      <c r="D11" s="4" t="s">
        <v>5820</v>
      </c>
      <c r="E11" s="16" t="str">
        <f t="shared" si="0"/>
        <v>(9,'CONFIG','Configuration','System configuration settings'),</v>
      </c>
    </row>
    <row r="12" spans="1:5" ht="20.149999999999999" customHeight="1" x14ac:dyDescent="0.35">
      <c r="A12" s="3">
        <v>10</v>
      </c>
      <c r="B12" s="4" t="s">
        <v>5822</v>
      </c>
      <c r="C12" s="4" t="s">
        <v>5821</v>
      </c>
      <c r="D12" s="4" t="s">
        <v>5823</v>
      </c>
      <c r="E12" s="16" t="str">
        <f t="shared" si="0"/>
        <v>(10,'UTILITY','System Utility','System utilities and tools'),</v>
      </c>
    </row>
    <row r="13" spans="1:5" ht="20.149999999999999" customHeight="1" x14ac:dyDescent="0.35">
      <c r="A13" s="3">
        <v>11</v>
      </c>
      <c r="B13" s="4" t="s">
        <v>5825</v>
      </c>
      <c r="C13" s="4" t="s">
        <v>5824</v>
      </c>
      <c r="D13" s="4" t="s">
        <v>5826</v>
      </c>
      <c r="E13" s="16" t="str">
        <f t="shared" si="0"/>
        <v>(11,'ADMINISTRATION','Administration','Administrative operations'),</v>
      </c>
    </row>
    <row r="14" spans="1:5" ht="20.149999999999999" customHeight="1" x14ac:dyDescent="0.35">
      <c r="A14" s="3">
        <v>12</v>
      </c>
      <c r="B14" s="4" t="s">
        <v>5828</v>
      </c>
      <c r="C14" s="4" t="s">
        <v>5827</v>
      </c>
      <c r="D14" s="4" t="s">
        <v>5829</v>
      </c>
      <c r="E14" s="16" t="str">
        <f t="shared" si="0"/>
        <v>(12,'COMMUNICATION','Communication','Messaging and notifications'),</v>
      </c>
    </row>
    <row r="15" spans="1:5" ht="20.149999999999999" customHeight="1" x14ac:dyDescent="0.35">
      <c r="A15" s="3">
        <v>13</v>
      </c>
      <c r="B15" s="4" t="s">
        <v>5758</v>
      </c>
      <c r="C15" s="4" t="s">
        <v>5830</v>
      </c>
      <c r="D15" s="4" t="s">
        <v>5831</v>
      </c>
      <c r="E15" s="16" t="str">
        <f t="shared" si="0"/>
        <v>(13,'DOCUMENT','Document Management','Document handling and archiving'),</v>
      </c>
    </row>
    <row r="16" spans="1:5" ht="20.149999999999999" customHeight="1" x14ac:dyDescent="0.35">
      <c r="A16" s="3">
        <v>14</v>
      </c>
      <c r="B16" s="4" t="s">
        <v>5833</v>
      </c>
      <c r="C16" s="4" t="s">
        <v>5832</v>
      </c>
      <c r="D16" s="4" t="s">
        <v>5834</v>
      </c>
      <c r="E16" s="16" t="str">
        <f t="shared" si="0"/>
        <v>(14,'ENVIRONMENT','Environment Data','Geographic and location data'),</v>
      </c>
    </row>
    <row r="17" spans="1:5" ht="20.149999999999999" customHeight="1" x14ac:dyDescent="0.35">
      <c r="A17" s="3">
        <v>15</v>
      </c>
      <c r="B17" s="4" t="s">
        <v>5836</v>
      </c>
      <c r="C17" s="4" t="s">
        <v>5835</v>
      </c>
      <c r="D17" s="4" t="s">
        <v>5837</v>
      </c>
      <c r="E17" s="16" t="str">
        <f t="shared" si="0"/>
        <v>(15,'NETWORK','Network Management','Network infrastructure management'),</v>
      </c>
    </row>
    <row r="18" spans="1:5" ht="20.149999999999999" customHeight="1" x14ac:dyDescent="0.35">
      <c r="A18" s="3">
        <v>16</v>
      </c>
      <c r="B18" s="4" t="s">
        <v>5781</v>
      </c>
      <c r="C18" s="4" t="s">
        <v>5838</v>
      </c>
      <c r="D18" s="4" t="s">
        <v>5839</v>
      </c>
      <c r="E18" s="16" t="str">
        <f t="shared" si="0"/>
        <v>(16,'INFRASTRUCTURE','IT Infrastructure','IT infrastructure and services'),</v>
      </c>
    </row>
    <row r="19" spans="1:5" ht="20.149999999999999" customHeight="1" x14ac:dyDescent="0.35">
      <c r="A19" s="3">
        <v>17</v>
      </c>
      <c r="B19" s="4" t="s">
        <v>5841</v>
      </c>
      <c r="C19" s="4" t="s">
        <v>5840</v>
      </c>
      <c r="D19" s="4" t="s">
        <v>5842</v>
      </c>
      <c r="E19" s="16" t="str">
        <f t="shared" si="0"/>
        <v>(17,'REPORT','Reporting &amp; Analytics','Reports, dashboards, and analytics'),</v>
      </c>
    </row>
    <row r="20" spans="1:5" ht="20.149999999999999" customHeight="1" x14ac:dyDescent="0.35">
      <c r="A20" s="3">
        <v>18</v>
      </c>
      <c r="B20" s="4" t="s">
        <v>5844</v>
      </c>
      <c r="C20" s="4" t="s">
        <v>5843</v>
      </c>
      <c r="D20" s="4" t="s">
        <v>5845</v>
      </c>
      <c r="E20" s="16" t="str">
        <f t="shared" si="0"/>
        <v>(18,'WORKFLOW','Workflow Engine','Business process workflows'),</v>
      </c>
    </row>
    <row r="21" spans="1:5" ht="20.149999999999999" customHeight="1" x14ac:dyDescent="0.35">
      <c r="A21" s="3">
        <v>19</v>
      </c>
      <c r="B21" s="4" t="s">
        <v>5847</v>
      </c>
      <c r="C21" s="4" t="s">
        <v>5846</v>
      </c>
      <c r="D21" s="4" t="s">
        <v>5848</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5853</v>
      </c>
      <c r="E60" s="4" t="s">
        <v>5853</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5854</v>
      </c>
      <c r="E77" s="4" t="s">
        <v>5854</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5855</v>
      </c>
      <c r="E83" s="4" t="s">
        <v>5855</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5856</v>
      </c>
      <c r="E181" s="4" t="s">
        <v>5856</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5857</v>
      </c>
      <c r="E187" s="4" t="s">
        <v>5857</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5858</v>
      </c>
      <c r="E189" s="4" t="s">
        <v>5858</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5859</v>
      </c>
      <c r="E197" s="4" t="s">
        <v>5859</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5860</v>
      </c>
      <c r="E226" s="4" t="s">
        <v>5860</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5861</v>
      </c>
      <c r="E242" s="4" t="s">
        <v>5861</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5862</v>
      </c>
      <c r="E299" s="4" t="s">
        <v>5862</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5863</v>
      </c>
      <c r="E400" s="4" t="s">
        <v>5863</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5864</v>
      </c>
      <c r="E401" s="4" t="s">
        <v>5864</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5865</v>
      </c>
      <c r="E468" s="4" t="s">
        <v>5865</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5866</v>
      </c>
      <c r="E499" s="4" t="s">
        <v>5866</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5867</v>
      </c>
      <c r="E527" s="4" t="s">
        <v>5867</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5868</v>
      </c>
      <c r="E606" s="4" t="s">
        <v>5868</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5869</v>
      </c>
      <c r="E627" s="4" t="s">
        <v>5869</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5870</v>
      </c>
      <c r="E675" s="4" t="s">
        <v>5870</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5871</v>
      </c>
      <c r="E802" s="4" t="s">
        <v>5871</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5872</v>
      </c>
      <c r="E844" s="4" t="s">
        <v>5872</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5873</v>
      </c>
      <c r="E902" s="4" t="s">
        <v>5873</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5874</v>
      </c>
      <c r="E965" s="4" t="s">
        <v>5874</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5875</v>
      </c>
      <c r="E971" s="4" t="s">
        <v>5875</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5876</v>
      </c>
      <c r="E977" s="4" t="s">
        <v>5876</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5867</v>
      </c>
      <c r="E1007" s="4" t="s">
        <v>5867</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5877</v>
      </c>
      <c r="E1061" s="4" t="s">
        <v>5877</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5878</v>
      </c>
      <c r="E1127" s="4" t="s">
        <v>5878</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5879</v>
      </c>
      <c r="E1264" s="4" t="s">
        <v>5879</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5880</v>
      </c>
      <c r="E1267" s="4" t="s">
        <v>5880</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5881</v>
      </c>
      <c r="E1296" s="4" t="s">
        <v>5881</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5882</v>
      </c>
      <c r="E1454" s="4" t="s">
        <v>5882</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5883</v>
      </c>
      <c r="E1458" s="4" t="s">
        <v>5883</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5884</v>
      </c>
      <c r="E1472" s="4" t="s">
        <v>5884</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5885</v>
      </c>
      <c r="E1525" s="4" t="s">
        <v>5885</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5886</v>
      </c>
      <c r="E1533" s="4" t="s">
        <v>5886</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5887</v>
      </c>
      <c r="E1538" s="4" t="s">
        <v>5887</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5894</v>
      </c>
      <c r="E3" s="13" t="s">
        <v>5895</v>
      </c>
      <c r="F3" s="13">
        <v>2</v>
      </c>
      <c r="G3" s="7">
        <v>1075</v>
      </c>
      <c r="H3" s="16" t="str">
        <f>CONCATENATE("(",A3,",",B3,",'",C3,"',",D3,",",E3,",",F3,",",G3,"),")</f>
        <v>(1,0,'Ain El Bia 1',35*807,-0*343,2,1075),</v>
      </c>
    </row>
    <row r="4" spans="1:8" ht="20.149999999999999" customHeight="1" x14ac:dyDescent="0.35">
      <c r="A4" s="3">
        <v>2</v>
      </c>
      <c r="B4" s="15">
        <v>0</v>
      </c>
      <c r="C4" s="13" t="s">
        <v>5497</v>
      </c>
      <c r="D4" s="13" t="s">
        <v>5896</v>
      </c>
      <c r="E4" s="13" t="s">
        <v>5897</v>
      </c>
      <c r="F4" s="13">
        <v>5</v>
      </c>
      <c r="G4" s="7">
        <v>1075</v>
      </c>
      <c r="H4" s="16" t="str">
        <f t="shared" ref="H4:H67" si="0">CONCATENATE("(",A4,",",B4,",'",C4,"',",D4,",",E4,",",F4,",",G4,"),")</f>
        <v>(2,0,'Ain El Bia 2',35*835,-0*238,5,1075),</v>
      </c>
    </row>
    <row r="5" spans="1:8" ht="20.149999999999999" customHeight="1" x14ac:dyDescent="0.35">
      <c r="A5" s="3">
        <v>3</v>
      </c>
      <c r="B5" s="15">
        <v>0</v>
      </c>
      <c r="C5" s="13" t="s">
        <v>2377</v>
      </c>
      <c r="D5" s="13" t="s">
        <v>5898</v>
      </c>
      <c r="E5" s="13" t="s">
        <v>5899</v>
      </c>
      <c r="F5" s="13">
        <v>-2</v>
      </c>
      <c r="G5" s="7">
        <v>218</v>
      </c>
      <c r="H5" s="16" t="str">
        <f t="shared" si="0"/>
        <v>(3,0,'Ain Naga',34*686,6*094,-2,218),</v>
      </c>
    </row>
    <row r="6" spans="1:8" ht="20.149999999999999" customHeight="1" x14ac:dyDescent="0.35">
      <c r="A6" s="3">
        <v>4</v>
      </c>
      <c r="B6" s="15">
        <v>0</v>
      </c>
      <c r="C6" s="13" t="s">
        <v>5498</v>
      </c>
      <c r="D6" s="13" t="s">
        <v>5900</v>
      </c>
      <c r="E6" s="13" t="s">
        <v>5901</v>
      </c>
      <c r="F6" s="13">
        <v>350</v>
      </c>
      <c r="G6" s="7">
        <v>1113</v>
      </c>
      <c r="H6" s="16" t="str">
        <f t="shared" si="0"/>
        <v>(4,0,'Ain Tsila',27*2,10*5,350,1113),</v>
      </c>
    </row>
    <row r="7" spans="1:8" ht="20.149999999999999" customHeight="1" x14ac:dyDescent="0.35">
      <c r="A7" s="3">
        <v>5</v>
      </c>
      <c r="B7" s="15">
        <v>0</v>
      </c>
      <c r="C7" s="13" t="s">
        <v>5481</v>
      </c>
      <c r="D7" s="13" t="s">
        <v>5902</v>
      </c>
      <c r="E7" s="13" t="s">
        <v>5903</v>
      </c>
      <c r="F7" s="13">
        <v>650</v>
      </c>
      <c r="G7" s="7">
        <v>393</v>
      </c>
      <c r="H7" s="16" t="str">
        <f t="shared" si="0"/>
        <v>(5,0,'Al Aricha',33*82,1*9,650,393),</v>
      </c>
    </row>
    <row r="8" spans="1:8" ht="20.149999999999999" customHeight="1" x14ac:dyDescent="0.35">
      <c r="A8" s="3">
        <v>6</v>
      </c>
      <c r="B8" s="15">
        <v>0</v>
      </c>
      <c r="C8" s="13" t="s">
        <v>5499</v>
      </c>
      <c r="D8" s="13" t="s">
        <v>5904</v>
      </c>
      <c r="E8" s="13" t="s">
        <v>5905</v>
      </c>
      <c r="F8" s="13">
        <v>495</v>
      </c>
      <c r="G8" s="7">
        <v>1444</v>
      </c>
      <c r="H8" s="16" t="str">
        <f t="shared" si="0"/>
        <v>(6,0,'Al Atteuf',32*478,3*748,495,1444),</v>
      </c>
    </row>
    <row r="9" spans="1:8" ht="20.149999999999999" customHeight="1" x14ac:dyDescent="0.35">
      <c r="A9" s="3">
        <v>7</v>
      </c>
      <c r="B9" s="15">
        <v>0</v>
      </c>
      <c r="C9" s="13" t="s">
        <v>1002</v>
      </c>
      <c r="D9" s="13" t="s">
        <v>5906</v>
      </c>
      <c r="E9" s="13" t="s">
        <v>5907</v>
      </c>
      <c r="F9" s="13">
        <v>50</v>
      </c>
      <c r="G9" s="7">
        <v>544</v>
      </c>
      <c r="H9" s="16" t="str">
        <f t="shared" si="0"/>
        <v>(7,0,'Alger',36*45,3*2,50,544),</v>
      </c>
    </row>
    <row r="10" spans="1:8" ht="20.149999999999999" customHeight="1" x14ac:dyDescent="0.35">
      <c r="A10" s="3">
        <v>8</v>
      </c>
      <c r="B10" s="15">
        <v>0</v>
      </c>
      <c r="C10" s="13" t="s">
        <v>5392</v>
      </c>
      <c r="D10" s="13" t="s">
        <v>5908</v>
      </c>
      <c r="E10" s="13" t="s">
        <v>5909</v>
      </c>
      <c r="F10" s="13">
        <v>60</v>
      </c>
      <c r="G10" s="7">
        <v>1116</v>
      </c>
      <c r="H10" s="16" t="str">
        <f t="shared" si="0"/>
        <v>(8,0,'Alrar',35*4,0*45,60,1116),</v>
      </c>
    </row>
    <row r="11" spans="1:8" ht="20.149999999999999" customHeight="1" x14ac:dyDescent="0.35">
      <c r="A11" s="3">
        <v>9</v>
      </c>
      <c r="B11" s="15">
        <v>0</v>
      </c>
      <c r="C11" s="13" t="s">
        <v>1824</v>
      </c>
      <c r="D11" s="13" t="s">
        <v>5896</v>
      </c>
      <c r="E11" s="13" t="s">
        <v>5897</v>
      </c>
      <c r="F11" s="13">
        <v>5</v>
      </c>
      <c r="G11" s="7">
        <v>1075</v>
      </c>
      <c r="H11" s="16" t="str">
        <f t="shared" si="0"/>
        <v>(9,0,'Arzew',35*835,-0*238,5,1075),</v>
      </c>
    </row>
    <row r="12" spans="1:8" ht="20.149999999999999" customHeight="1" x14ac:dyDescent="0.35">
      <c r="A12" s="3">
        <v>10</v>
      </c>
      <c r="B12" s="15">
        <v>0</v>
      </c>
      <c r="C12" s="13" t="s">
        <v>1824</v>
      </c>
      <c r="D12" s="13" t="s">
        <v>5910</v>
      </c>
      <c r="E12" s="13" t="s">
        <v>5911</v>
      </c>
      <c r="F12" s="13">
        <v>2</v>
      </c>
      <c r="G12" s="7">
        <v>1065</v>
      </c>
      <c r="H12" s="16" t="str">
        <f t="shared" si="0"/>
        <v>(10,0,'Arzew',35*862,-0*345,2,1065),</v>
      </c>
    </row>
    <row r="13" spans="1:8" ht="20.149999999999999" customHeight="1" x14ac:dyDescent="0.35">
      <c r="A13" s="3">
        <v>11</v>
      </c>
      <c r="B13" s="15">
        <v>0</v>
      </c>
      <c r="C13" s="13" t="s">
        <v>983</v>
      </c>
      <c r="D13" s="13" t="s">
        <v>5912</v>
      </c>
      <c r="E13" s="13" t="s">
        <v>5913</v>
      </c>
      <c r="F13" s="13">
        <v>52</v>
      </c>
      <c r="G13" s="7">
        <v>166</v>
      </c>
      <c r="H13" s="16" t="str">
        <f t="shared" si="0"/>
        <v>(11,0,'Béjaïa',36*751,5*059,52,166),</v>
      </c>
    </row>
    <row r="14" spans="1:8" ht="20.149999999999999" customHeight="1" x14ac:dyDescent="0.35">
      <c r="A14" s="3">
        <v>12</v>
      </c>
      <c r="B14" s="15">
        <v>0</v>
      </c>
      <c r="C14" s="13" t="s">
        <v>5337</v>
      </c>
      <c r="D14" s="13" t="s">
        <v>5914</v>
      </c>
      <c r="E14" s="13" t="s">
        <v>5915</v>
      </c>
      <c r="F14" s="13">
        <v>450</v>
      </c>
      <c r="G14" s="7">
        <v>198</v>
      </c>
      <c r="H14" s="16" t="str">
        <f t="shared" si="0"/>
        <v>(12,0,'Beni Mensour',36*336,4*356,450,198),</v>
      </c>
    </row>
    <row r="15" spans="1:8" ht="20.149999999999999" customHeight="1" x14ac:dyDescent="0.35">
      <c r="A15" s="3">
        <v>13</v>
      </c>
      <c r="B15" s="15">
        <v>0</v>
      </c>
      <c r="C15" s="13" t="s">
        <v>5337</v>
      </c>
      <c r="D15" s="13" t="s">
        <v>5916</v>
      </c>
      <c r="E15" s="13" t="s">
        <v>5917</v>
      </c>
      <c r="F15" s="13">
        <v>750</v>
      </c>
      <c r="G15" s="7">
        <v>198</v>
      </c>
      <c r="H15" s="16" t="str">
        <f t="shared" si="0"/>
        <v>(13,0,'Beni Mensour',33*45,2*45,750,198),</v>
      </c>
    </row>
    <row r="16" spans="1:8" ht="20.149999999999999" customHeight="1" x14ac:dyDescent="0.35">
      <c r="A16" s="3">
        <v>14</v>
      </c>
      <c r="B16" s="15">
        <v>0</v>
      </c>
      <c r="C16" s="13" t="s">
        <v>2048</v>
      </c>
      <c r="D16" s="13" t="s">
        <v>5918</v>
      </c>
      <c r="E16" s="13" t="s">
        <v>5919</v>
      </c>
      <c r="F16" s="13">
        <v>10</v>
      </c>
      <c r="G16" s="7">
        <v>1431</v>
      </c>
      <c r="H16" s="16" t="str">
        <f t="shared" si="0"/>
        <v>(14,0,'Beni Saf',35*301,-1*382,10,1431),</v>
      </c>
    </row>
    <row r="17" spans="1:8" ht="20.149999999999999" customHeight="1" x14ac:dyDescent="0.35">
      <c r="A17" s="3">
        <v>15</v>
      </c>
      <c r="B17" s="15">
        <v>0</v>
      </c>
      <c r="C17" s="13" t="s">
        <v>5500</v>
      </c>
      <c r="D17" s="13" t="s">
        <v>5920</v>
      </c>
      <c r="E17" s="13" t="s">
        <v>5921</v>
      </c>
      <c r="F17" s="13">
        <v>380</v>
      </c>
      <c r="G17" s="7">
        <v>1057</v>
      </c>
      <c r="H17" s="16" t="str">
        <f t="shared" si="0"/>
        <v>(15,0,'Berkine',26*418,9*08,380,1057),</v>
      </c>
    </row>
    <row r="18" spans="1:8" ht="20.149999999999999" customHeight="1" x14ac:dyDescent="0.35">
      <c r="A18" s="3">
        <v>16</v>
      </c>
      <c r="B18" s="15">
        <v>0</v>
      </c>
      <c r="C18" s="13" t="s">
        <v>1818</v>
      </c>
      <c r="D18" s="13" t="s">
        <v>5922</v>
      </c>
      <c r="E18" s="13" t="s">
        <v>5923</v>
      </c>
      <c r="F18" s="13">
        <v>2</v>
      </c>
      <c r="G18" s="7">
        <v>1065</v>
      </c>
      <c r="H18" s="16" t="str">
        <f t="shared" si="0"/>
        <v>(16,0,'Bethioua',35*805,-0*241,2,1065),</v>
      </c>
    </row>
    <row r="19" spans="1:8" ht="20.149999999999999" customHeight="1" x14ac:dyDescent="0.35">
      <c r="A19" s="3">
        <v>17</v>
      </c>
      <c r="B19" s="15">
        <v>0</v>
      </c>
      <c r="C19" s="13" t="s">
        <v>5367</v>
      </c>
      <c r="D19" s="13" t="s">
        <v>5924</v>
      </c>
      <c r="E19" s="13" t="s">
        <v>5925</v>
      </c>
      <c r="F19" s="13">
        <v>185</v>
      </c>
      <c r="G19" s="7">
        <v>1062</v>
      </c>
      <c r="H19" s="16" t="str">
        <f t="shared" si="0"/>
        <v>(17,0,'Bir Rebaa North',31*85,5*973,185,1062),</v>
      </c>
    </row>
    <row r="20" spans="1:8" ht="20.149999999999999" customHeight="1" x14ac:dyDescent="0.35">
      <c r="A20" s="3">
        <v>18</v>
      </c>
      <c r="B20" s="15">
        <v>0</v>
      </c>
      <c r="C20" s="13" t="s">
        <v>5451</v>
      </c>
      <c r="D20" s="13" t="s">
        <v>5926</v>
      </c>
      <c r="E20" s="13" t="s">
        <v>5927</v>
      </c>
      <c r="F20" s="13">
        <v>100</v>
      </c>
      <c r="G20" s="7">
        <v>1159</v>
      </c>
      <c r="H20" s="16" t="str">
        <f t="shared" si="0"/>
        <v>(18,0,'Bord Menaiel',36*38,3*8,100,1159),</v>
      </c>
    </row>
    <row r="21" spans="1:8" ht="20.149999999999999" customHeight="1" x14ac:dyDescent="0.35">
      <c r="A21" s="3">
        <v>19</v>
      </c>
      <c r="B21" s="15">
        <v>0</v>
      </c>
      <c r="C21" s="13" t="s">
        <v>5501</v>
      </c>
      <c r="D21" s="13" t="s">
        <v>5928</v>
      </c>
      <c r="E21" s="13" t="s">
        <v>5929</v>
      </c>
      <c r="F21" s="13">
        <v>81</v>
      </c>
      <c r="G21" s="7">
        <v>1447</v>
      </c>
      <c r="H21" s="16" t="str">
        <f t="shared" si="0"/>
        <v>(19,0,'Bourmadia',35*732,0*613,81,1447),</v>
      </c>
    </row>
    <row r="22" spans="1:8" ht="20.149999999999999" customHeight="1" x14ac:dyDescent="0.35">
      <c r="A22" s="3">
        <v>20</v>
      </c>
      <c r="B22" s="15">
        <v>0</v>
      </c>
      <c r="C22" s="13" t="s">
        <v>3822</v>
      </c>
      <c r="D22" s="13" t="s">
        <v>5930</v>
      </c>
      <c r="E22" s="13" t="s">
        <v>5931</v>
      </c>
      <c r="F22" s="13">
        <v>389</v>
      </c>
      <c r="G22" s="7">
        <v>1498</v>
      </c>
      <c r="H22" s="16" t="str">
        <f t="shared" si="0"/>
        <v>(20,0,'Chaiba',34*5,5*25,389,1498),</v>
      </c>
    </row>
    <row r="23" spans="1:8" ht="20.149999999999999" customHeight="1" x14ac:dyDescent="0.35">
      <c r="A23" s="3">
        <v>21</v>
      </c>
      <c r="B23" s="15">
        <v>0</v>
      </c>
      <c r="C23" s="13" t="s">
        <v>5341</v>
      </c>
      <c r="D23" s="13" t="s">
        <v>5932</v>
      </c>
      <c r="E23" s="13" t="s">
        <v>5933</v>
      </c>
      <c r="F23" s="13">
        <v>350</v>
      </c>
      <c r="G23" s="7">
        <v>1115</v>
      </c>
      <c r="H23" s="16" t="str">
        <f t="shared" si="0"/>
        <v>(21,0,'Deb Deb',29*968,9*424,350,1115),</v>
      </c>
    </row>
    <row r="24" spans="1:8" ht="20.149999999999999" customHeight="1" x14ac:dyDescent="0.35">
      <c r="A24" s="3">
        <v>22</v>
      </c>
      <c r="B24" s="15">
        <v>0</v>
      </c>
      <c r="C24" s="13" t="s">
        <v>5534</v>
      </c>
      <c r="D24" s="13" t="s">
        <v>5934</v>
      </c>
      <c r="E24" s="13" t="s">
        <v>5935</v>
      </c>
      <c r="F24" s="13">
        <v>280</v>
      </c>
      <c r="G24" s="7">
        <v>1531</v>
      </c>
      <c r="H24" s="16" t="str">
        <f t="shared" si="0"/>
        <v>(22,0,'Djamaa1',33*933,5*93,280,1531),</v>
      </c>
    </row>
    <row r="25" spans="1:8" ht="20.149999999999999" customHeight="1" x14ac:dyDescent="0.35">
      <c r="A25" s="3">
        <v>23</v>
      </c>
      <c r="B25" s="15">
        <v>0</v>
      </c>
      <c r="C25" s="13" t="s">
        <v>5535</v>
      </c>
      <c r="D25" s="13" t="s">
        <v>5936</v>
      </c>
      <c r="E25" s="13" t="s">
        <v>5937</v>
      </c>
      <c r="F25" s="13">
        <v>850</v>
      </c>
      <c r="G25" s="7">
        <v>1535</v>
      </c>
      <c r="H25" s="16" t="str">
        <f t="shared" si="0"/>
        <v>(23,0,'Djamaa2',33*52,2*85,850,1535),</v>
      </c>
    </row>
    <row r="26" spans="1:8" ht="20.149999999999999" customHeight="1" x14ac:dyDescent="0.35">
      <c r="A26" s="3">
        <v>24</v>
      </c>
      <c r="B26" s="15">
        <v>0</v>
      </c>
      <c r="C26" s="13" t="s">
        <v>5502</v>
      </c>
      <c r="D26" s="13" t="s">
        <v>5938</v>
      </c>
      <c r="E26" s="13" t="s">
        <v>5939</v>
      </c>
      <c r="F26" s="13">
        <v>973</v>
      </c>
      <c r="G26" s="7">
        <v>413</v>
      </c>
      <c r="H26" s="16" t="str">
        <f t="shared" si="0"/>
        <v>(24,0,'Djebila',35*372,1*325,973,413),</v>
      </c>
    </row>
    <row r="27" spans="1:8" ht="20.149999999999999" customHeight="1" x14ac:dyDescent="0.35">
      <c r="A27" s="3">
        <v>25</v>
      </c>
      <c r="B27" s="15">
        <v>0</v>
      </c>
      <c r="C27" s="13" t="s">
        <v>1810</v>
      </c>
      <c r="D27" s="13" t="s">
        <v>5940</v>
      </c>
      <c r="E27" s="13" t="s">
        <v>5941</v>
      </c>
      <c r="F27" s="13">
        <v>246</v>
      </c>
      <c r="G27" s="7">
        <v>1064</v>
      </c>
      <c r="H27" s="16" t="str">
        <f t="shared" si="0"/>
        <v>(25,0,'El Borma',31*006,8*134,246,1064),</v>
      </c>
    </row>
    <row r="28" spans="1:8" ht="20.149999999999999" customHeight="1" x14ac:dyDescent="0.35">
      <c r="A28" s="3">
        <v>26</v>
      </c>
      <c r="B28" s="15">
        <v>0</v>
      </c>
      <c r="C28" s="13" t="s">
        <v>5503</v>
      </c>
      <c r="D28" s="13" t="s">
        <v>5920</v>
      </c>
      <c r="E28" s="13" t="s">
        <v>5921</v>
      </c>
      <c r="F28" s="13">
        <v>380</v>
      </c>
      <c r="G28" s="7">
        <v>1057</v>
      </c>
      <c r="H28" s="16" t="str">
        <f t="shared" si="0"/>
        <v>(26,0,'El Merk',26*418,9*08,380,1057),</v>
      </c>
    </row>
    <row r="29" spans="1:8" ht="20.149999999999999" customHeight="1" x14ac:dyDescent="0.35">
      <c r="A29" s="3">
        <v>27</v>
      </c>
      <c r="B29" s="15">
        <v>0</v>
      </c>
      <c r="C29" s="13" t="s">
        <v>5504</v>
      </c>
      <c r="D29" s="13" t="s">
        <v>5942</v>
      </c>
      <c r="E29" s="13" t="s">
        <v>5943</v>
      </c>
      <c r="F29" s="13">
        <v>185</v>
      </c>
      <c r="G29" s="7">
        <v>428</v>
      </c>
      <c r="H29" s="16" t="str">
        <f t="shared" si="0"/>
        <v>(27,0,'Faïdja',35*193,1*706,185,428),</v>
      </c>
    </row>
    <row r="30" spans="1:8" ht="20.149999999999999" customHeight="1" x14ac:dyDescent="0.35">
      <c r="A30" s="3">
        <v>28</v>
      </c>
      <c r="B30" s="15">
        <v>0</v>
      </c>
      <c r="C30" s="13" t="s">
        <v>5505</v>
      </c>
      <c r="D30" s="13" t="s">
        <v>5944</v>
      </c>
      <c r="E30" s="13" t="s">
        <v>5945</v>
      </c>
      <c r="F30" s="13">
        <v>495</v>
      </c>
      <c r="G30" s="7">
        <v>231</v>
      </c>
      <c r="H30" s="16" t="str">
        <f t="shared" si="0"/>
        <v>(28,0,'Ferme Omar Driss',35*034,5*595,495,231),</v>
      </c>
    </row>
    <row r="31" spans="1:8" ht="20.149999999999999" customHeight="1" x14ac:dyDescent="0.35">
      <c r="A31" s="3">
        <v>29</v>
      </c>
      <c r="B31" s="15">
        <v>0</v>
      </c>
      <c r="C31" s="13" t="s">
        <v>5506</v>
      </c>
      <c r="D31" s="13" t="s">
        <v>5946</v>
      </c>
      <c r="E31" s="13" t="s">
        <v>5947</v>
      </c>
      <c r="F31" s="13">
        <v>5</v>
      </c>
      <c r="G31" s="7">
        <v>721</v>
      </c>
      <c r="H31" s="16" t="str">
        <f t="shared" si="0"/>
        <v>(29,0,'Flifla',36*877,6*906,5,721),</v>
      </c>
    </row>
    <row r="32" spans="1:8" ht="20.149999999999999" customHeight="1" x14ac:dyDescent="0.35">
      <c r="A32" s="3">
        <v>30</v>
      </c>
      <c r="B32" s="15">
        <v>0</v>
      </c>
      <c r="C32" s="13" t="s">
        <v>5396</v>
      </c>
      <c r="D32" s="13" t="s">
        <v>5948</v>
      </c>
      <c r="E32" s="13" t="s">
        <v>5949</v>
      </c>
      <c r="F32" s="13">
        <v>267</v>
      </c>
      <c r="G32" s="7">
        <v>1060</v>
      </c>
      <c r="H32" s="16" t="str">
        <f t="shared" si="0"/>
        <v>(30,0,'Gassi Touil',30*271,6*416,267,1060),</v>
      </c>
    </row>
    <row r="33" spans="1:8" ht="20.149999999999999" customHeight="1" x14ac:dyDescent="0.35">
      <c r="A33" s="3">
        <v>31</v>
      </c>
      <c r="B33" s="15">
        <v>0</v>
      </c>
      <c r="C33" s="13" t="s">
        <v>5507</v>
      </c>
      <c r="D33" s="13" t="s">
        <v>5950</v>
      </c>
      <c r="E33" s="13" t="s">
        <v>5951</v>
      </c>
      <c r="F33" s="13">
        <v>156</v>
      </c>
      <c r="G33" s="7">
        <v>1060</v>
      </c>
      <c r="H33" s="16" t="str">
        <f t="shared" si="0"/>
        <v>(31,0,'Haoud El Hamra',31*941,6*071,156,1060),</v>
      </c>
    </row>
    <row r="34" spans="1:8" ht="20.149999999999999" customHeight="1" x14ac:dyDescent="0.35">
      <c r="A34" s="3">
        <v>32</v>
      </c>
      <c r="B34" s="15">
        <v>0</v>
      </c>
      <c r="C34" s="13" t="s">
        <v>5355</v>
      </c>
      <c r="D34" s="13" t="s">
        <v>5952</v>
      </c>
      <c r="E34" s="13" t="s">
        <v>5953</v>
      </c>
      <c r="F34" s="13">
        <v>185</v>
      </c>
      <c r="G34" s="7">
        <v>1060</v>
      </c>
      <c r="H34" s="16" t="str">
        <f t="shared" si="0"/>
        <v>(32,0,'Hassi Berkine',30*559,5*453,185,1060),</v>
      </c>
    </row>
    <row r="35" spans="1:8" ht="20.149999999999999" customHeight="1" x14ac:dyDescent="0.35">
      <c r="A35" s="3">
        <v>33</v>
      </c>
      <c r="B35" s="15">
        <v>0</v>
      </c>
      <c r="C35" s="13" t="s">
        <v>2166</v>
      </c>
      <c r="D35" s="13" t="s">
        <v>5954</v>
      </c>
      <c r="E35" s="13" t="s">
        <v>5955</v>
      </c>
      <c r="F35" s="13">
        <v>716</v>
      </c>
      <c r="G35" s="7">
        <v>58</v>
      </c>
      <c r="H35" s="16" t="str">
        <f t="shared" si="0"/>
        <v>(33,0,'Hassi Delaa',32*935,3*269,716,58),</v>
      </c>
    </row>
    <row r="36" spans="1:8" ht="20.149999999999999" customHeight="1" x14ac:dyDescent="0.35">
      <c r="A36" s="3">
        <v>34</v>
      </c>
      <c r="B36" s="15">
        <v>0</v>
      </c>
      <c r="C36" s="13" t="s">
        <v>1812</v>
      </c>
      <c r="D36" s="13" t="s">
        <v>5956</v>
      </c>
      <c r="E36" s="13" t="s">
        <v>5957</v>
      </c>
      <c r="F36" s="13">
        <v>85</v>
      </c>
      <c r="G36" s="7">
        <v>1060</v>
      </c>
      <c r="H36" s="16" t="str">
        <f t="shared" si="0"/>
        <v>(34,0,'Hassi Messaoud',31*97,6*265,85,1060),</v>
      </c>
    </row>
    <row r="37" spans="1:8" ht="20.149999999999999" customHeight="1" x14ac:dyDescent="0.35">
      <c r="A37" s="3">
        <v>35</v>
      </c>
      <c r="B37" s="15">
        <v>0</v>
      </c>
      <c r="C37" s="13" t="s">
        <v>5853</v>
      </c>
      <c r="D37" s="13" t="s">
        <v>5958</v>
      </c>
      <c r="E37" s="13" t="s">
        <v>5955</v>
      </c>
      <c r="F37" s="13">
        <v>777</v>
      </c>
      <c r="G37" s="7">
        <v>58</v>
      </c>
      <c r="H37" s="16" t="str">
        <f t="shared" si="0"/>
        <v>(35,0,'Hassi R\'mel',32*936,3*269,777,58),</v>
      </c>
    </row>
    <row r="38" spans="1:8" ht="20.149999999999999" customHeight="1" x14ac:dyDescent="0.35">
      <c r="A38" s="3">
        <v>36</v>
      </c>
      <c r="B38" s="15">
        <v>0</v>
      </c>
      <c r="C38" s="13" t="s">
        <v>5477</v>
      </c>
      <c r="D38" s="13">
        <v>31</v>
      </c>
      <c r="E38" s="13" t="s">
        <v>5959</v>
      </c>
      <c r="F38" s="13">
        <v>180</v>
      </c>
      <c r="G38" s="7">
        <v>1064</v>
      </c>
      <c r="H38" s="16" t="str">
        <f t="shared" si="0"/>
        <v>(36,0,'Hassi tedjirane',31,7*85,180,1064),</v>
      </c>
    </row>
    <row r="39" spans="1:8" ht="20.149999999999999" customHeight="1" x14ac:dyDescent="0.35">
      <c r="A39" s="3">
        <v>37</v>
      </c>
      <c r="B39" s="15">
        <v>0</v>
      </c>
      <c r="C39" s="13" t="s">
        <v>1848</v>
      </c>
      <c r="D39" s="13" t="s">
        <v>5960</v>
      </c>
      <c r="E39" s="13" t="s">
        <v>5961</v>
      </c>
      <c r="F39" s="13">
        <v>420</v>
      </c>
      <c r="G39" s="7">
        <v>1116</v>
      </c>
      <c r="H39" s="16" t="str">
        <f t="shared" si="0"/>
        <v>(37,0,'In Amenas',28*041,9*543,420,1116),</v>
      </c>
    </row>
    <row r="40" spans="1:8" ht="20.149999999999999" customHeight="1" x14ac:dyDescent="0.35">
      <c r="A40" s="3">
        <v>38</v>
      </c>
      <c r="B40" s="15">
        <v>0</v>
      </c>
      <c r="C40" s="13" t="s">
        <v>1076</v>
      </c>
      <c r="D40" s="13" t="s">
        <v>5962</v>
      </c>
      <c r="E40" s="13" t="s">
        <v>5963</v>
      </c>
      <c r="F40" s="13">
        <v>400</v>
      </c>
      <c r="G40" s="7">
        <v>1512</v>
      </c>
      <c r="H40" s="16" t="str">
        <f t="shared" si="0"/>
        <v>(38,0,'In Salah',28*62,8*62,400,1512),</v>
      </c>
    </row>
    <row r="41" spans="1:8" ht="20.149999999999999" customHeight="1" x14ac:dyDescent="0.35">
      <c r="A41" s="3">
        <v>39</v>
      </c>
      <c r="B41" s="15">
        <v>0</v>
      </c>
      <c r="C41" s="13" t="s">
        <v>1878</v>
      </c>
      <c r="D41" s="13" t="s">
        <v>5926</v>
      </c>
      <c r="E41" s="13" t="s">
        <v>5927</v>
      </c>
      <c r="F41" s="13">
        <v>100</v>
      </c>
      <c r="G41" s="7">
        <v>1169</v>
      </c>
      <c r="H41" s="16" t="str">
        <f t="shared" si="0"/>
        <v>(39,0,'Isser',36*38,3*8,100,1169),</v>
      </c>
    </row>
    <row r="42" spans="1:8" ht="20.149999999999999" customHeight="1" x14ac:dyDescent="0.35">
      <c r="A42" s="3">
        <v>40</v>
      </c>
      <c r="B42" s="15">
        <v>0</v>
      </c>
      <c r="C42" s="13" t="s">
        <v>5508</v>
      </c>
      <c r="D42" s="13" t="s">
        <v>5964</v>
      </c>
      <c r="E42" s="13" t="s">
        <v>5965</v>
      </c>
      <c r="F42" s="13">
        <v>2</v>
      </c>
      <c r="G42" s="7">
        <v>1075</v>
      </c>
      <c r="H42" s="16" t="str">
        <f t="shared" si="0"/>
        <v>(40,0,'Kenanda',35*737,0*556,2,1075),</v>
      </c>
    </row>
    <row r="43" spans="1:8" ht="20.149999999999999" customHeight="1" x14ac:dyDescent="0.35">
      <c r="A43" s="3">
        <v>41</v>
      </c>
      <c r="B43" s="15">
        <v>0</v>
      </c>
      <c r="C43" s="13" t="s">
        <v>5509</v>
      </c>
      <c r="D43" s="13" t="s">
        <v>5966</v>
      </c>
      <c r="E43" s="13" t="s">
        <v>5967</v>
      </c>
      <c r="F43" s="13">
        <v>600</v>
      </c>
      <c r="G43" s="7">
        <v>1512</v>
      </c>
      <c r="H43" s="16" t="str">
        <f t="shared" si="0"/>
        <v>(41,0,'Krechba',28*642,2*825,600,1512),</v>
      </c>
    </row>
    <row r="44" spans="1:8" ht="20.149999999999999" customHeight="1" x14ac:dyDescent="0.35">
      <c r="A44" s="3">
        <v>42</v>
      </c>
      <c r="B44" s="15">
        <v>0</v>
      </c>
      <c r="C44" s="13" t="s">
        <v>1834</v>
      </c>
      <c r="D44" s="13" t="s">
        <v>5968</v>
      </c>
      <c r="E44" s="13" t="s">
        <v>5969</v>
      </c>
      <c r="F44" s="13">
        <v>966</v>
      </c>
      <c r="G44" s="7">
        <v>1091</v>
      </c>
      <c r="H44" s="16" t="str">
        <f t="shared" si="0"/>
        <v>(42,0,'Labiodh Sidi Cheikh',32*91,0*545,966,1091),</v>
      </c>
    </row>
    <row r="45" spans="1:8" ht="20.149999999999999" customHeight="1" x14ac:dyDescent="0.35">
      <c r="A45" s="3">
        <v>43</v>
      </c>
      <c r="B45" s="15">
        <v>0</v>
      </c>
      <c r="C45" s="13" t="s">
        <v>5510</v>
      </c>
      <c r="D45" s="13" t="s">
        <v>5970</v>
      </c>
      <c r="E45" s="13" t="s">
        <v>5971</v>
      </c>
      <c r="F45" s="13">
        <v>926</v>
      </c>
      <c r="G45" s="7">
        <v>1329</v>
      </c>
      <c r="H45" s="16" t="str">
        <f t="shared" si="0"/>
        <v>(43,0,'Mechtatine',36*123,6*789,926,1329),</v>
      </c>
    </row>
    <row r="46" spans="1:8" ht="20.149999999999999" customHeight="1" x14ac:dyDescent="0.35">
      <c r="A46" s="3">
        <v>44</v>
      </c>
      <c r="B46" s="15">
        <v>0</v>
      </c>
      <c r="C46" s="13" t="s">
        <v>5511</v>
      </c>
      <c r="D46" s="13" t="s">
        <v>5972</v>
      </c>
      <c r="E46" s="13" t="s">
        <v>5973</v>
      </c>
      <c r="F46" s="13">
        <v>983</v>
      </c>
      <c r="G46" s="7">
        <v>421</v>
      </c>
      <c r="H46" s="16" t="str">
        <f t="shared" si="0"/>
        <v>(44,0,'Medarreg1',35*425,1*425,983,421),</v>
      </c>
    </row>
    <row r="47" spans="1:8" ht="20.149999999999999" customHeight="1" x14ac:dyDescent="0.35">
      <c r="A47" s="3">
        <v>45</v>
      </c>
      <c r="B47" s="15">
        <v>0</v>
      </c>
      <c r="C47" s="13" t="s">
        <v>5512</v>
      </c>
      <c r="D47" s="13" t="s">
        <v>5974</v>
      </c>
      <c r="E47" s="13" t="s">
        <v>5975</v>
      </c>
      <c r="F47" s="13">
        <v>1080</v>
      </c>
      <c r="G47" s="7">
        <v>430</v>
      </c>
      <c r="H47" s="16" t="str">
        <f t="shared" si="0"/>
        <v>(45,0,'Medarreg2',35*184,1*496,1080,430),</v>
      </c>
    </row>
    <row r="48" spans="1:8" ht="20.149999999999999" customHeight="1" x14ac:dyDescent="0.35">
      <c r="A48" s="3">
        <v>46</v>
      </c>
      <c r="B48" s="15">
        <v>0</v>
      </c>
      <c r="C48" s="13" t="s">
        <v>5513</v>
      </c>
      <c r="D48" s="13" t="s">
        <v>5976</v>
      </c>
      <c r="E48" s="13" t="s">
        <v>5943</v>
      </c>
      <c r="F48" s="13">
        <v>971</v>
      </c>
      <c r="G48" s="7">
        <v>428</v>
      </c>
      <c r="H48" s="16" t="str">
        <f t="shared" si="0"/>
        <v>(46,0,'Medarreg3',35*103,1*706,971,428),</v>
      </c>
    </row>
    <row r="49" spans="1:8" ht="20.149999999999999" customHeight="1" x14ac:dyDescent="0.35">
      <c r="A49" s="3">
        <v>47</v>
      </c>
      <c r="B49" s="15">
        <v>0</v>
      </c>
      <c r="C49" s="13" t="s">
        <v>5514</v>
      </c>
      <c r="D49" s="13">
        <v>27</v>
      </c>
      <c r="E49" s="13" t="s">
        <v>5977</v>
      </c>
      <c r="F49" s="13">
        <v>380</v>
      </c>
      <c r="G49" s="7">
        <v>1116</v>
      </c>
      <c r="H49" s="16" t="str">
        <f t="shared" si="0"/>
        <v>(47,0,'Mederba',27,8*5,380,1116),</v>
      </c>
    </row>
    <row r="50" spans="1:8" ht="20.149999999999999" customHeight="1" x14ac:dyDescent="0.35">
      <c r="A50" s="3">
        <v>48</v>
      </c>
      <c r="B50" s="15">
        <v>0</v>
      </c>
      <c r="C50" s="13" t="s">
        <v>1767</v>
      </c>
      <c r="D50" s="13" t="s">
        <v>5978</v>
      </c>
      <c r="E50" s="13" t="s">
        <v>5979</v>
      </c>
      <c r="F50" s="13">
        <v>710</v>
      </c>
      <c r="G50" s="7">
        <v>1006</v>
      </c>
      <c r="H50" s="16" t="str">
        <f t="shared" si="0"/>
        <v>(48,0,'Medjedel',35*15,3*683,710,1006),</v>
      </c>
    </row>
    <row r="51" spans="1:8" ht="20.149999999999999" customHeight="1" x14ac:dyDescent="0.35">
      <c r="A51" s="3">
        <v>49</v>
      </c>
      <c r="B51" s="15">
        <v>0</v>
      </c>
      <c r="C51" s="13" t="s">
        <v>5515</v>
      </c>
      <c r="D51" s="13" t="s">
        <v>5910</v>
      </c>
      <c r="E51" s="13" t="s">
        <v>5911</v>
      </c>
      <c r="F51" s="13">
        <v>2</v>
      </c>
      <c r="G51" s="7">
        <v>1065</v>
      </c>
      <c r="H51" s="16" t="str">
        <f t="shared" si="0"/>
        <v>(49,0,'Mers El Hadjadj',35*862,-0*345,2,1065),</v>
      </c>
    </row>
    <row r="52" spans="1:8" ht="20.149999999999999" customHeight="1" x14ac:dyDescent="0.35">
      <c r="A52" s="3">
        <v>50</v>
      </c>
      <c r="B52" s="15">
        <v>0</v>
      </c>
      <c r="C52" s="13" t="s">
        <v>5351</v>
      </c>
      <c r="D52" s="13" t="s">
        <v>5980</v>
      </c>
      <c r="E52" s="13" t="s">
        <v>5981</v>
      </c>
      <c r="F52" s="13">
        <v>172</v>
      </c>
      <c r="G52" s="7">
        <v>1064</v>
      </c>
      <c r="H52" s="16" t="str">
        <f t="shared" si="0"/>
        <v>(50,0,'Mesdar',31*192,6*794,172,1064),</v>
      </c>
    </row>
    <row r="53" spans="1:8" ht="20.149999999999999" customHeight="1" x14ac:dyDescent="0.35">
      <c r="A53" s="3">
        <v>51</v>
      </c>
      <c r="B53" s="15">
        <v>0</v>
      </c>
      <c r="C53" s="13" t="s">
        <v>5516</v>
      </c>
      <c r="D53" s="13" t="s">
        <v>5982</v>
      </c>
      <c r="E53" s="13" t="s">
        <v>5983</v>
      </c>
      <c r="F53" s="13">
        <v>885</v>
      </c>
      <c r="G53" s="7">
        <v>61</v>
      </c>
      <c r="H53" s="16" t="str">
        <f t="shared" si="0"/>
        <v>(51,0,'Milok1',33*481,2*523,885,61),</v>
      </c>
    </row>
    <row r="54" spans="1:8" ht="20.149999999999999" customHeight="1" x14ac:dyDescent="0.35">
      <c r="A54" s="3">
        <v>52</v>
      </c>
      <c r="B54" s="15">
        <v>0</v>
      </c>
      <c r="C54" s="13" t="s">
        <v>5517</v>
      </c>
      <c r="D54" s="13" t="s">
        <v>5984</v>
      </c>
      <c r="E54" s="13" t="s">
        <v>5985</v>
      </c>
      <c r="F54" s="13">
        <v>885</v>
      </c>
      <c r="G54" s="7">
        <v>52</v>
      </c>
      <c r="H54" s="16" t="str">
        <f t="shared" si="0"/>
        <v>(52,0,'Milok2',33*803,2*875,885,52),</v>
      </c>
    </row>
    <row r="55" spans="1:8" ht="20.149999999999999" customHeight="1" x14ac:dyDescent="0.35">
      <c r="A55" s="3">
        <v>53</v>
      </c>
      <c r="B55" s="15">
        <v>0</v>
      </c>
      <c r="C55" s="13" t="s">
        <v>5518</v>
      </c>
      <c r="D55" s="13" t="s">
        <v>5986</v>
      </c>
      <c r="E55" s="13" t="s">
        <v>5987</v>
      </c>
      <c r="F55" s="13">
        <v>10</v>
      </c>
      <c r="G55" s="7">
        <v>1065</v>
      </c>
      <c r="H55" s="16" t="str">
        <f t="shared" si="0"/>
        <v>(53,0,'Mohgoun plateau1',35*83,-0*324,10,1065),</v>
      </c>
    </row>
    <row r="56" spans="1:8" ht="20.149999999999999" customHeight="1" x14ac:dyDescent="0.35">
      <c r="A56" s="3">
        <v>54</v>
      </c>
      <c r="B56" s="15">
        <v>0</v>
      </c>
      <c r="C56" s="13" t="s">
        <v>5519</v>
      </c>
      <c r="D56" s="13" t="s">
        <v>5988</v>
      </c>
      <c r="E56" s="13" t="s">
        <v>5989</v>
      </c>
      <c r="F56" s="13">
        <v>5</v>
      </c>
      <c r="G56" s="7">
        <v>1065</v>
      </c>
      <c r="H56" s="16" t="str">
        <f t="shared" si="0"/>
        <v>(54,0,'Mohgoun plateau2',35*863,-0*331,5,1065),</v>
      </c>
    </row>
    <row r="57" spans="1:8" ht="20.149999999999999" customHeight="1" x14ac:dyDescent="0.35">
      <c r="A57" s="3">
        <v>55</v>
      </c>
      <c r="B57" s="15">
        <v>0</v>
      </c>
      <c r="C57" s="13" t="s">
        <v>2900</v>
      </c>
      <c r="D57" s="13" t="s">
        <v>5990</v>
      </c>
      <c r="E57" s="13" t="s">
        <v>5991</v>
      </c>
      <c r="F57" s="13">
        <v>1100</v>
      </c>
      <c r="G57" s="7">
        <v>579</v>
      </c>
      <c r="H57" s="16" t="str">
        <f t="shared" si="0"/>
        <v>(55,0,'Moudjebara',34*507,3*47,1100,579),</v>
      </c>
    </row>
    <row r="58" spans="1:8" ht="20.149999999999999" customHeight="1" x14ac:dyDescent="0.35">
      <c r="A58" s="3">
        <v>56</v>
      </c>
      <c r="B58" s="15">
        <v>0</v>
      </c>
      <c r="C58" s="13" t="s">
        <v>5888</v>
      </c>
      <c r="D58" s="13" t="s">
        <v>5992</v>
      </c>
      <c r="E58" s="13" t="s">
        <v>5993</v>
      </c>
      <c r="F58" s="13">
        <v>856</v>
      </c>
      <c r="G58" s="7">
        <v>52</v>
      </c>
      <c r="H58" s="16" t="str">
        <f t="shared" si="0"/>
        <v>(56,0,'M\'seka1',33*789,2*583,856,52),</v>
      </c>
    </row>
    <row r="59" spans="1:8" ht="20.149999999999999" customHeight="1" x14ac:dyDescent="0.35">
      <c r="A59" s="3">
        <v>57</v>
      </c>
      <c r="B59" s="15">
        <v>0</v>
      </c>
      <c r="C59" s="13" t="s">
        <v>5889</v>
      </c>
      <c r="D59" s="13" t="s">
        <v>5994</v>
      </c>
      <c r="E59" s="13" t="s">
        <v>5995</v>
      </c>
      <c r="F59" s="13">
        <v>875</v>
      </c>
      <c r="G59" s="7">
        <v>52</v>
      </c>
      <c r="H59" s="16" t="str">
        <f t="shared" si="0"/>
        <v>(57,0,'M\'seka2',33*809,2*59,875,52),</v>
      </c>
    </row>
    <row r="60" spans="1:8" ht="20.149999999999999" customHeight="1" x14ac:dyDescent="0.35">
      <c r="A60" s="3">
        <v>58</v>
      </c>
      <c r="B60" s="15">
        <v>0</v>
      </c>
      <c r="C60" s="13" t="s">
        <v>5890</v>
      </c>
      <c r="D60" s="13" t="s">
        <v>5996</v>
      </c>
      <c r="E60" s="13" t="s">
        <v>5997</v>
      </c>
      <c r="F60" s="13">
        <v>835</v>
      </c>
      <c r="G60" s="7">
        <v>52</v>
      </c>
      <c r="H60" s="16" t="str">
        <f t="shared" si="0"/>
        <v>(58,0,'M\'seka3',33*769,2*576,835,52),</v>
      </c>
    </row>
    <row r="61" spans="1:8" ht="20.149999999999999" customHeight="1" x14ac:dyDescent="0.35">
      <c r="A61" s="3">
        <v>59</v>
      </c>
      <c r="B61" s="15">
        <v>0</v>
      </c>
      <c r="C61" s="13" t="s">
        <v>5891</v>
      </c>
      <c r="D61" s="13" t="s">
        <v>5998</v>
      </c>
      <c r="E61" s="13" t="s">
        <v>5999</v>
      </c>
      <c r="F61" s="13">
        <v>600</v>
      </c>
      <c r="G61" s="7">
        <v>963</v>
      </c>
      <c r="H61" s="16" t="str">
        <f t="shared" si="0"/>
        <v>(59,0,'M\'Sila',35*719,4*523,600,963),</v>
      </c>
    </row>
    <row r="62" spans="1:8" ht="20.149999999999999" customHeight="1" x14ac:dyDescent="0.35">
      <c r="A62" s="3">
        <v>60</v>
      </c>
      <c r="B62" s="15">
        <v>0</v>
      </c>
      <c r="C62" s="13" t="s">
        <v>3792</v>
      </c>
      <c r="D62" s="13" t="s">
        <v>6000</v>
      </c>
      <c r="E62" s="13" t="s">
        <v>6001</v>
      </c>
      <c r="F62" s="13">
        <v>1018</v>
      </c>
      <c r="G62" s="7">
        <v>413</v>
      </c>
      <c r="H62" s="16" t="str">
        <f t="shared" si="0"/>
        <v>(60,0,'Nador',35*288,1*452,1018,413),</v>
      </c>
    </row>
    <row r="63" spans="1:8" ht="20.149999999999999" customHeight="1" x14ac:dyDescent="0.35">
      <c r="A63" s="3">
        <v>61</v>
      </c>
      <c r="B63" s="15">
        <v>0</v>
      </c>
      <c r="C63" s="13" t="s">
        <v>4044</v>
      </c>
      <c r="D63" s="13" t="s">
        <v>6002</v>
      </c>
      <c r="E63" s="13" t="s">
        <v>6003</v>
      </c>
      <c r="F63" s="13">
        <v>182</v>
      </c>
      <c r="G63" s="7">
        <v>1057</v>
      </c>
      <c r="H63" s="16" t="str">
        <f t="shared" si="0"/>
        <v>(61,0,'Nezla',33*083,6*051,182,1057),</v>
      </c>
    </row>
    <row r="64" spans="1:8" ht="20.149999999999999" customHeight="1" x14ac:dyDescent="0.35">
      <c r="A64" s="3">
        <v>62</v>
      </c>
      <c r="B64" s="15">
        <v>0</v>
      </c>
      <c r="C64" s="13" t="s">
        <v>5892</v>
      </c>
      <c r="D64" s="13" t="s">
        <v>6004</v>
      </c>
      <c r="E64" s="13" t="s">
        <v>6005</v>
      </c>
      <c r="F64" s="13">
        <v>580</v>
      </c>
      <c r="G64" s="7">
        <v>124</v>
      </c>
      <c r="H64" s="16" t="str">
        <f t="shared" si="0"/>
        <v>(62,0,'N\'Gaous',35*557,5*593,580,124),</v>
      </c>
    </row>
    <row r="65" spans="1:8" ht="20.149999999999999" customHeight="1" x14ac:dyDescent="0.35">
      <c r="A65" s="3">
        <v>63</v>
      </c>
      <c r="B65" s="15">
        <v>0</v>
      </c>
      <c r="C65" s="13" t="s">
        <v>5347</v>
      </c>
      <c r="D65" s="13" t="s">
        <v>6006</v>
      </c>
      <c r="E65" s="13" t="s">
        <v>6007</v>
      </c>
      <c r="F65" s="13">
        <v>600</v>
      </c>
      <c r="G65" s="7">
        <v>1113</v>
      </c>
      <c r="H65" s="16" t="str">
        <f t="shared" si="0"/>
        <v>(63,0,'Ohanet',28*68,8*873,600,1113),</v>
      </c>
    </row>
    <row r="66" spans="1:8" ht="20.149999999999999" customHeight="1" x14ac:dyDescent="0.35">
      <c r="A66" s="3">
        <v>64</v>
      </c>
      <c r="B66" s="15">
        <v>0</v>
      </c>
      <c r="C66" s="13" t="s">
        <v>5520</v>
      </c>
      <c r="D66" s="13" t="s">
        <v>6008</v>
      </c>
      <c r="E66" s="13" t="s">
        <v>6009</v>
      </c>
      <c r="F66" s="13">
        <v>256</v>
      </c>
      <c r="G66" s="7">
        <v>1057</v>
      </c>
      <c r="H66" s="16" t="str">
        <f t="shared" si="0"/>
        <v>(64,0,'Ouargla1',31*951,5*331,256,1057),</v>
      </c>
    </row>
    <row r="67" spans="1:8" ht="20.149999999999999" customHeight="1" x14ac:dyDescent="0.35">
      <c r="A67" s="3">
        <v>65</v>
      </c>
      <c r="B67" s="15">
        <v>0</v>
      </c>
      <c r="C67" s="13" t="s">
        <v>5521</v>
      </c>
      <c r="D67" s="13" t="s">
        <v>6010</v>
      </c>
      <c r="E67" s="13" t="s">
        <v>6011</v>
      </c>
      <c r="F67" s="13">
        <v>260</v>
      </c>
      <c r="G67" s="7">
        <v>1057</v>
      </c>
      <c r="H67" s="16" t="str">
        <f t="shared" si="0"/>
        <v>(65,0,'Ouargla2',31*933,5*327,260,1057),</v>
      </c>
    </row>
    <row r="68" spans="1:8" ht="20.149999999999999" customHeight="1" x14ac:dyDescent="0.35">
      <c r="A68" s="3">
        <v>66</v>
      </c>
      <c r="B68" s="15">
        <v>0</v>
      </c>
      <c r="C68" s="13" t="s">
        <v>5488</v>
      </c>
      <c r="D68" s="13" t="s">
        <v>6012</v>
      </c>
      <c r="E68" s="13" t="s">
        <v>6013</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6014</v>
      </c>
      <c r="E69" s="13" t="s">
        <v>6015</v>
      </c>
      <c r="F69" s="13">
        <v>397</v>
      </c>
      <c r="G69" s="7">
        <v>1498</v>
      </c>
      <c r="H69" s="16" t="str">
        <f t="shared" si="1"/>
        <v>(67,0,'Ouled Djellal',34*417,5*067,397,1498),</v>
      </c>
    </row>
    <row r="70" spans="1:8" ht="20.149999999999999" customHeight="1" x14ac:dyDescent="0.35">
      <c r="A70" s="3">
        <v>68</v>
      </c>
      <c r="B70" s="15">
        <v>0</v>
      </c>
      <c r="C70" s="13" t="s">
        <v>5522</v>
      </c>
      <c r="D70" s="13" t="s">
        <v>6016</v>
      </c>
      <c r="E70" s="13" t="s">
        <v>6017</v>
      </c>
      <c r="F70" s="13">
        <v>360</v>
      </c>
      <c r="G70" s="7">
        <v>1057</v>
      </c>
      <c r="H70" s="16" t="str">
        <f t="shared" si="1"/>
        <v>(68,0,'Ourhoud',31*7,5*85,360,1057),</v>
      </c>
    </row>
    <row r="71" spans="1:8" ht="20.149999999999999" customHeight="1" x14ac:dyDescent="0.35">
      <c r="A71" s="3">
        <v>69</v>
      </c>
      <c r="B71" s="15">
        <v>0</v>
      </c>
      <c r="C71" s="13" t="s">
        <v>1123</v>
      </c>
      <c r="D71" s="13" t="s">
        <v>6018</v>
      </c>
      <c r="E71" s="13" t="s">
        <v>6019</v>
      </c>
      <c r="F71" s="13">
        <v>200</v>
      </c>
      <c r="G71" s="7">
        <v>4</v>
      </c>
      <c r="H71" s="16" t="str">
        <f t="shared" si="1"/>
        <v>(69,0,'Reggane',26*8,-2*8,200,4),</v>
      </c>
    </row>
    <row r="72" spans="1:8" ht="20.149999999999999" customHeight="1" x14ac:dyDescent="0.35">
      <c r="A72" s="3">
        <v>70</v>
      </c>
      <c r="B72" s="15">
        <v>0</v>
      </c>
      <c r="C72" s="13" t="s">
        <v>5371</v>
      </c>
      <c r="D72" s="13" t="s">
        <v>6020</v>
      </c>
      <c r="E72" s="13" t="s">
        <v>6021</v>
      </c>
      <c r="F72" s="13">
        <v>300</v>
      </c>
      <c r="G72" s="7">
        <v>1064</v>
      </c>
      <c r="H72" s="16" t="str">
        <f t="shared" si="1"/>
        <v>(70,0,'Rhoude El Baguel',32*15,2*15,300,1064),</v>
      </c>
    </row>
    <row r="73" spans="1:8" ht="20.149999999999999" customHeight="1" x14ac:dyDescent="0.35">
      <c r="A73" s="3">
        <v>71</v>
      </c>
      <c r="B73" s="15">
        <v>0</v>
      </c>
      <c r="C73" s="13" t="s">
        <v>5523</v>
      </c>
      <c r="D73" s="13" t="s">
        <v>6022</v>
      </c>
      <c r="E73" s="13" t="s">
        <v>6023</v>
      </c>
      <c r="F73" s="13">
        <v>252</v>
      </c>
      <c r="G73" s="7">
        <v>1114</v>
      </c>
      <c r="H73" s="16" t="str">
        <f t="shared" si="1"/>
        <v>(71,0,'Rhourde Nouss',29*74,6*702,252,1114),</v>
      </c>
    </row>
    <row r="74" spans="1:8" ht="20.149999999999999" customHeight="1" x14ac:dyDescent="0.35">
      <c r="A74" s="3">
        <v>72</v>
      </c>
      <c r="B74" s="15">
        <v>0</v>
      </c>
      <c r="C74" s="13" t="s">
        <v>2103</v>
      </c>
      <c r="D74" s="13" t="s">
        <v>6024</v>
      </c>
      <c r="E74" s="13" t="s">
        <v>6025</v>
      </c>
      <c r="F74" s="13">
        <v>280</v>
      </c>
      <c r="G74" s="7">
        <v>1</v>
      </c>
      <c r="H74" s="16" t="str">
        <f t="shared" si="1"/>
        <v>(72,0,'Sebaa',28*21,-0*156,280,1),</v>
      </c>
    </row>
    <row r="75" spans="1:8" ht="20.149999999999999" customHeight="1" x14ac:dyDescent="0.35">
      <c r="A75" s="3">
        <v>73</v>
      </c>
      <c r="B75" s="15">
        <v>0</v>
      </c>
      <c r="C75" s="13" t="s">
        <v>2251</v>
      </c>
      <c r="D75" s="13" t="s">
        <v>6026</v>
      </c>
      <c r="E75" s="13" t="s">
        <v>6027</v>
      </c>
      <c r="F75" s="13">
        <v>575</v>
      </c>
      <c r="G75" s="7">
        <v>105</v>
      </c>
      <c r="H75" s="16" t="str">
        <f t="shared" si="1"/>
        <v>(73,0,'Sefiane',35*235,6*123,575,105),</v>
      </c>
    </row>
    <row r="76" spans="1:8" ht="20.149999999999999" customHeight="1" x14ac:dyDescent="0.35">
      <c r="A76" s="3">
        <v>74</v>
      </c>
      <c r="B76" s="15">
        <v>0</v>
      </c>
      <c r="C76" s="13" t="s">
        <v>5524</v>
      </c>
      <c r="D76" s="13" t="s">
        <v>5944</v>
      </c>
      <c r="E76" s="13" t="s">
        <v>5945</v>
      </c>
      <c r="F76" s="13">
        <v>185</v>
      </c>
      <c r="G76" s="7">
        <v>231</v>
      </c>
      <c r="H76" s="16" t="str">
        <f t="shared" si="1"/>
        <v>(74,0,'Selga/El Outaya',35*034,5*595,185,231),</v>
      </c>
    </row>
    <row r="77" spans="1:8" ht="20.149999999999999" customHeight="1" x14ac:dyDescent="0.35">
      <c r="A77" s="3">
        <v>75</v>
      </c>
      <c r="B77" s="15">
        <v>0</v>
      </c>
      <c r="C77" s="13" t="s">
        <v>5525</v>
      </c>
      <c r="D77" s="13" t="s">
        <v>6028</v>
      </c>
      <c r="E77" s="13" t="s">
        <v>6029</v>
      </c>
      <c r="F77" s="13">
        <v>80</v>
      </c>
      <c r="G77" s="7">
        <v>544</v>
      </c>
      <c r="H77" s="16" t="str">
        <f t="shared" si="1"/>
        <v>(75,0,'Sidi Arcine',36*754,3*059,80,544),</v>
      </c>
    </row>
    <row r="78" spans="1:8" ht="20.149999999999999" customHeight="1" x14ac:dyDescent="0.35">
      <c r="A78" s="3">
        <v>76</v>
      </c>
      <c r="B78" s="15">
        <v>0</v>
      </c>
      <c r="C78" s="13" t="s">
        <v>1012</v>
      </c>
      <c r="D78" s="13" t="s">
        <v>6030</v>
      </c>
      <c r="E78" s="13" t="s">
        <v>6031</v>
      </c>
      <c r="F78" s="13">
        <v>18</v>
      </c>
      <c r="G78" s="7">
        <v>721</v>
      </c>
      <c r="H78" s="16" t="str">
        <f t="shared" si="1"/>
        <v>(76,0,'Skikda',36*885,6*924,18,721),</v>
      </c>
    </row>
    <row r="79" spans="1:8" ht="20.149999999999999" customHeight="1" x14ac:dyDescent="0.35">
      <c r="A79" s="3">
        <v>77</v>
      </c>
      <c r="B79" s="15">
        <v>0</v>
      </c>
      <c r="C79" s="13" t="s">
        <v>5526</v>
      </c>
      <c r="D79" s="13" t="s">
        <v>6032</v>
      </c>
      <c r="E79" s="13" t="s">
        <v>6033</v>
      </c>
      <c r="F79" s="13">
        <v>890</v>
      </c>
      <c r="G79" s="7">
        <v>52</v>
      </c>
      <c r="H79" s="16" t="str">
        <f t="shared" si="1"/>
        <v>(77,0,'Timzhert 1',33*625,2*739,890,52),</v>
      </c>
    </row>
    <row r="80" spans="1:8" ht="20.149999999999999" customHeight="1" x14ac:dyDescent="0.35">
      <c r="A80" s="3">
        <v>78</v>
      </c>
      <c r="B80" s="15">
        <v>0</v>
      </c>
      <c r="C80" s="13" t="s">
        <v>5527</v>
      </c>
      <c r="D80" s="13" t="s">
        <v>6034</v>
      </c>
      <c r="E80" s="13" t="s">
        <v>6035</v>
      </c>
      <c r="F80" s="13">
        <v>912</v>
      </c>
      <c r="G80" s="7">
        <v>52</v>
      </c>
      <c r="H80" s="16" t="str">
        <f t="shared" si="1"/>
        <v>(78,0,'Timzhert 2',33*641,2*741,912,52),</v>
      </c>
    </row>
    <row r="81" spans="1:8" ht="20.149999999999999" customHeight="1" x14ac:dyDescent="0.35">
      <c r="A81" s="3">
        <v>79</v>
      </c>
      <c r="B81" s="15">
        <v>0</v>
      </c>
      <c r="C81" s="13" t="s">
        <v>5528</v>
      </c>
      <c r="D81" s="13" t="s">
        <v>6036</v>
      </c>
      <c r="E81" s="13" t="s">
        <v>6037</v>
      </c>
      <c r="F81" s="13">
        <v>875</v>
      </c>
      <c r="G81" s="7">
        <v>52</v>
      </c>
      <c r="H81" s="16" t="str">
        <f t="shared" si="1"/>
        <v>(79,0,'Timzhert 3',33*608,2*736,875,52),</v>
      </c>
    </row>
    <row r="82" spans="1:8" ht="20.149999999999999" customHeight="1" x14ac:dyDescent="0.35">
      <c r="A82" s="3">
        <v>80</v>
      </c>
      <c r="B82" s="15">
        <v>0</v>
      </c>
      <c r="C82" s="13" t="s">
        <v>5529</v>
      </c>
      <c r="D82" s="13" t="s">
        <v>6038</v>
      </c>
      <c r="E82" s="13" t="s">
        <v>6039</v>
      </c>
      <c r="F82" s="13">
        <v>470</v>
      </c>
      <c r="G82" s="7">
        <v>1113</v>
      </c>
      <c r="H82" s="16" t="str">
        <f t="shared" si="1"/>
        <v>(80,0,'Tin-Fouyé 1',28*146,6*826,470,1113),</v>
      </c>
    </row>
    <row r="83" spans="1:8" ht="20.149999999999999" customHeight="1" x14ac:dyDescent="0.35">
      <c r="A83" s="3">
        <v>81</v>
      </c>
      <c r="B83" s="15">
        <v>0</v>
      </c>
      <c r="C83" s="13" t="s">
        <v>5530</v>
      </c>
      <c r="D83" s="13" t="s">
        <v>6040</v>
      </c>
      <c r="E83" s="13" t="s">
        <v>6041</v>
      </c>
      <c r="F83" s="13">
        <v>400</v>
      </c>
      <c r="G83" s="7">
        <v>1113</v>
      </c>
      <c r="H83" s="16" t="str">
        <f t="shared" si="1"/>
        <v>(81,0,'Tin-Fouyé 2',27*5,10*2,400,1113),</v>
      </c>
    </row>
    <row r="84" spans="1:8" ht="20.149999999999999" customHeight="1" x14ac:dyDescent="0.35">
      <c r="A84" s="3">
        <v>82</v>
      </c>
      <c r="B84" s="15">
        <v>0</v>
      </c>
      <c r="C84" s="13" t="s">
        <v>1273</v>
      </c>
      <c r="D84" s="13" t="s">
        <v>5893</v>
      </c>
      <c r="E84" s="13" t="s">
        <v>5951</v>
      </c>
      <c r="F84" s="13">
        <v>495</v>
      </c>
      <c r="G84" s="7">
        <v>237</v>
      </c>
      <c r="H84" s="16" t="str">
        <f t="shared" si="1"/>
        <v>(82,0,'Tolga',34*833,6*071,495,237),</v>
      </c>
    </row>
    <row r="85" spans="1:8" ht="20.149999999999999" customHeight="1" x14ac:dyDescent="0.35">
      <c r="A85" s="3">
        <v>83</v>
      </c>
      <c r="B85" s="15">
        <v>0</v>
      </c>
      <c r="C85" s="13" t="s">
        <v>5531</v>
      </c>
      <c r="D85" s="13" t="s">
        <v>6042</v>
      </c>
      <c r="E85" s="13" t="s">
        <v>6043</v>
      </c>
      <c r="F85" s="13">
        <v>1032</v>
      </c>
      <c r="G85" s="7">
        <v>413</v>
      </c>
      <c r="H85" s="16" t="str">
        <f t="shared" si="1"/>
        <v>(83,0,'Zaaroura',35*345,1*319,1032,413),</v>
      </c>
    </row>
    <row r="86" spans="1:8" ht="20.149999999999999" customHeight="1" x14ac:dyDescent="0.35">
      <c r="A86" s="3">
        <v>84</v>
      </c>
      <c r="B86" s="15">
        <v>0</v>
      </c>
      <c r="C86" s="13" t="s">
        <v>5532</v>
      </c>
      <c r="D86" s="13" t="s">
        <v>6044</v>
      </c>
      <c r="E86" s="13" t="s">
        <v>6045</v>
      </c>
      <c r="F86" s="13">
        <v>166</v>
      </c>
      <c r="G86" s="7">
        <v>1057</v>
      </c>
      <c r="H86" s="16" t="str">
        <f t="shared" si="1"/>
        <v>(84,0,'Zina',31*788,6*052,166,1057),</v>
      </c>
    </row>
    <row r="87" spans="1:8" ht="20.149999999999999" customHeight="1" x14ac:dyDescent="0.35">
      <c r="A87" s="3">
        <v>85</v>
      </c>
      <c r="B87" s="15">
        <v>0</v>
      </c>
      <c r="C87" s="13" t="s">
        <v>5533</v>
      </c>
      <c r="D87" s="13" t="s">
        <v>6046</v>
      </c>
      <c r="E87" s="13" t="s">
        <v>6047</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6048</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6049</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6050</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6051</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6052</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6053</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5680</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1A0-1F0E-4C8C-AEC0-8A4659EAFBC9}">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5495</v>
      </c>
    </row>
    <row r="2" spans="1:7" ht="29" x14ac:dyDescent="0.35">
      <c r="A2" s="1"/>
      <c r="D2" s="39" t="s">
        <v>6261</v>
      </c>
      <c r="E2" s="39" t="s">
        <v>4573</v>
      </c>
      <c r="F2" s="39" t="s">
        <v>4574</v>
      </c>
      <c r="G2" s="39" t="s">
        <v>6262</v>
      </c>
    </row>
    <row r="3" spans="1:7" ht="58" x14ac:dyDescent="0.35">
      <c r="A3" s="5" t="s">
        <v>6247</v>
      </c>
      <c r="D3" s="40" t="s">
        <v>6273</v>
      </c>
      <c r="E3" s="40" t="s">
        <v>6190</v>
      </c>
      <c r="F3" s="40" t="s">
        <v>68</v>
      </c>
      <c r="G3" s="40" t="s">
        <v>6274</v>
      </c>
    </row>
    <row r="4" spans="1:7" ht="87" x14ac:dyDescent="0.35">
      <c r="A4" s="5" t="s">
        <v>6165</v>
      </c>
      <c r="D4" s="40" t="s">
        <v>6293</v>
      </c>
      <c r="E4" s="40" t="s">
        <v>6200</v>
      </c>
      <c r="F4" s="40" t="s">
        <v>68</v>
      </c>
      <c r="G4" s="40" t="s">
        <v>6294</v>
      </c>
    </row>
    <row r="5" spans="1:7" ht="58" x14ac:dyDescent="0.35">
      <c r="A5" s="30" t="s">
        <v>6245</v>
      </c>
      <c r="D5" s="40" t="s">
        <v>6257</v>
      </c>
      <c r="E5" s="40" t="s">
        <v>6257</v>
      </c>
      <c r="F5" s="40" t="s">
        <v>68</v>
      </c>
      <c r="G5" s="40" t="s">
        <v>6295</v>
      </c>
    </row>
    <row r="6" spans="1:7" ht="43.5" x14ac:dyDescent="0.35">
      <c r="A6" s="30" t="s">
        <v>6246</v>
      </c>
      <c r="D6" s="40" t="s">
        <v>6296</v>
      </c>
      <c r="E6" s="40" t="s">
        <v>6297</v>
      </c>
      <c r="F6" s="40" t="s">
        <v>68</v>
      </c>
      <c r="G6" s="40" t="s">
        <v>6298</v>
      </c>
    </row>
    <row r="7" spans="1:7" ht="87" x14ac:dyDescent="0.35">
      <c r="A7" s="30" t="s">
        <v>6244</v>
      </c>
      <c r="D7" s="40" t="s">
        <v>6308</v>
      </c>
      <c r="E7" s="40" t="s">
        <v>6254</v>
      </c>
      <c r="F7" s="40" t="s">
        <v>68</v>
      </c>
      <c r="G7" s="40" t="s">
        <v>6309</v>
      </c>
    </row>
    <row r="8" spans="1:7" ht="58" x14ac:dyDescent="0.35">
      <c r="A8" s="30" t="s">
        <v>6243</v>
      </c>
      <c r="D8" s="40" t="s">
        <v>6255</v>
      </c>
      <c r="E8" s="40" t="s">
        <v>6255</v>
      </c>
      <c r="F8" s="40" t="s">
        <v>68</v>
      </c>
      <c r="G8" s="40" t="s">
        <v>6310</v>
      </c>
    </row>
    <row r="9" spans="1:7" ht="58" x14ac:dyDescent="0.35">
      <c r="A9" s="5" t="s">
        <v>5643</v>
      </c>
      <c r="D9" s="40" t="s">
        <v>6169</v>
      </c>
      <c r="E9" s="40" t="s">
        <v>6169</v>
      </c>
      <c r="F9" s="40" t="s">
        <v>68</v>
      </c>
      <c r="G9" s="40" t="s">
        <v>6311</v>
      </c>
    </row>
    <row r="10" spans="1:7" ht="58" x14ac:dyDescent="0.35">
      <c r="A10" s="5" t="s">
        <v>5648</v>
      </c>
      <c r="D10" s="40" t="s">
        <v>6312</v>
      </c>
      <c r="E10" s="40" t="s">
        <v>6256</v>
      </c>
      <c r="F10" s="40" t="s">
        <v>68</v>
      </c>
      <c r="G10" s="40" t="s">
        <v>6307</v>
      </c>
    </row>
    <row r="11" spans="1:7" ht="58" x14ac:dyDescent="0.35">
      <c r="A11" s="5" t="s">
        <v>6242</v>
      </c>
      <c r="D11" s="40" t="s">
        <v>6233</v>
      </c>
      <c r="E11" s="40" t="s">
        <v>6233</v>
      </c>
      <c r="F11" s="40" t="s">
        <v>68</v>
      </c>
      <c r="G11" s="40" t="s">
        <v>6324</v>
      </c>
    </row>
    <row r="12" spans="1:7" ht="58" x14ac:dyDescent="0.35">
      <c r="A12" s="5" t="s">
        <v>4582</v>
      </c>
      <c r="D12" s="40" t="s">
        <v>6250</v>
      </c>
      <c r="E12" s="40" t="s">
        <v>6250</v>
      </c>
      <c r="F12" s="40" t="s">
        <v>68</v>
      </c>
      <c r="G12" s="40" t="s">
        <v>6325</v>
      </c>
    </row>
    <row r="13" spans="1:7" ht="58" x14ac:dyDescent="0.35">
      <c r="A13" s="5" t="s">
        <v>5659</v>
      </c>
      <c r="D13" s="40" t="s">
        <v>5643</v>
      </c>
      <c r="E13" s="40" t="s">
        <v>6280</v>
      </c>
      <c r="F13" s="40" t="s">
        <v>6281</v>
      </c>
      <c r="G13" s="40" t="s">
        <v>6282</v>
      </c>
    </row>
    <row r="14" spans="1:7" ht="58" x14ac:dyDescent="0.35">
      <c r="A14" s="5" t="s">
        <v>6248</v>
      </c>
      <c r="D14" s="40" t="s">
        <v>6263</v>
      </c>
      <c r="E14" s="40" t="s">
        <v>6247</v>
      </c>
      <c r="F14" s="40" t="s">
        <v>6264</v>
      </c>
      <c r="G14" s="40" t="s">
        <v>6265</v>
      </c>
    </row>
    <row r="15" spans="1:7" ht="58" x14ac:dyDescent="0.35">
      <c r="A15" s="5" t="s">
        <v>5682</v>
      </c>
      <c r="D15" s="40" t="s">
        <v>6306</v>
      </c>
      <c r="E15" s="40" t="s">
        <v>6306</v>
      </c>
      <c r="F15" s="40" t="s">
        <v>299</v>
      </c>
      <c r="G15" s="40" t="s">
        <v>6307</v>
      </c>
    </row>
    <row r="16" spans="1:7" ht="58" x14ac:dyDescent="0.35">
      <c r="A16" s="30" t="s">
        <v>6200</v>
      </c>
      <c r="D16" s="40" t="s">
        <v>6277</v>
      </c>
      <c r="E16" s="40" t="s">
        <v>6278</v>
      </c>
      <c r="F16" s="40" t="s">
        <v>341</v>
      </c>
      <c r="G16" s="40" t="s">
        <v>6279</v>
      </c>
    </row>
    <row r="17" spans="1:7" ht="72.5" x14ac:dyDescent="0.35">
      <c r="A17" s="30" t="s">
        <v>6257</v>
      </c>
      <c r="D17" s="40" t="s">
        <v>6283</v>
      </c>
      <c r="E17" s="40" t="s">
        <v>5648</v>
      </c>
      <c r="F17" s="40" t="s">
        <v>341</v>
      </c>
      <c r="G17" s="40" t="s">
        <v>6284</v>
      </c>
    </row>
    <row r="18" spans="1:7" ht="58" x14ac:dyDescent="0.35">
      <c r="A18" s="5" t="s">
        <v>6260</v>
      </c>
      <c r="D18" s="40" t="s">
        <v>6290</v>
      </c>
      <c r="E18" s="40" t="s">
        <v>6291</v>
      </c>
      <c r="F18" s="40" t="s">
        <v>367</v>
      </c>
      <c r="G18" s="40" t="s">
        <v>6292</v>
      </c>
    </row>
    <row r="19" spans="1:7" ht="29" x14ac:dyDescent="0.35">
      <c r="A19" s="5" t="s">
        <v>393</v>
      </c>
      <c r="D19" s="40" t="s">
        <v>6319</v>
      </c>
      <c r="E19" s="40" t="s">
        <v>6252</v>
      </c>
      <c r="F19" s="40" t="s">
        <v>367</v>
      </c>
      <c r="G19" s="40" t="s">
        <v>6320</v>
      </c>
    </row>
    <row r="20" spans="1:7" ht="87" x14ac:dyDescent="0.35">
      <c r="A20" s="5" t="s">
        <v>4702</v>
      </c>
      <c r="D20" s="40" t="s">
        <v>6287</v>
      </c>
      <c r="E20" s="40" t="s">
        <v>4582</v>
      </c>
      <c r="F20" s="40" t="s">
        <v>6288</v>
      </c>
      <c r="G20" s="40" t="s">
        <v>6289</v>
      </c>
    </row>
    <row r="21" spans="1:7" ht="72.5" x14ac:dyDescent="0.35">
      <c r="A21" s="30" t="s">
        <v>6259</v>
      </c>
      <c r="D21" s="40" t="s">
        <v>6299</v>
      </c>
      <c r="E21" s="40" t="s">
        <v>393</v>
      </c>
      <c r="F21" s="40" t="s">
        <v>6288</v>
      </c>
      <c r="G21" s="40" t="s">
        <v>6300</v>
      </c>
    </row>
    <row r="22" spans="1:7" ht="58" x14ac:dyDescent="0.35">
      <c r="A22" s="30" t="s">
        <v>6258</v>
      </c>
      <c r="D22" s="40" t="s">
        <v>6275</v>
      </c>
      <c r="E22" s="40" t="s">
        <v>6244</v>
      </c>
      <c r="F22" s="40" t="s">
        <v>466</v>
      </c>
      <c r="G22" s="40" t="s">
        <v>6276</v>
      </c>
    </row>
    <row r="23" spans="1:7" ht="87" x14ac:dyDescent="0.35">
      <c r="A23" s="5" t="s">
        <v>6106</v>
      </c>
      <c r="D23" s="40" t="s">
        <v>6301</v>
      </c>
      <c r="E23" s="40" t="s">
        <v>6259</v>
      </c>
      <c r="F23" s="40" t="s">
        <v>466</v>
      </c>
      <c r="G23" s="40" t="s">
        <v>6302</v>
      </c>
    </row>
    <row r="24" spans="1:7" ht="43.5" x14ac:dyDescent="0.35">
      <c r="A24" s="5" t="s">
        <v>6254</v>
      </c>
      <c r="D24" s="40" t="s">
        <v>6303</v>
      </c>
      <c r="E24" s="40" t="s">
        <v>6304</v>
      </c>
      <c r="F24" s="40" t="s">
        <v>466</v>
      </c>
      <c r="G24" s="40" t="s">
        <v>6305</v>
      </c>
    </row>
    <row r="25" spans="1:7" ht="43.5" x14ac:dyDescent="0.35">
      <c r="A25" s="5" t="s">
        <v>6255</v>
      </c>
      <c r="D25" s="40" t="s">
        <v>6317</v>
      </c>
      <c r="E25" s="40" t="s">
        <v>6205</v>
      </c>
      <c r="F25" s="40" t="s">
        <v>466</v>
      </c>
      <c r="G25" s="40" t="s">
        <v>6318</v>
      </c>
    </row>
    <row r="26" spans="1:7" ht="58" x14ac:dyDescent="0.35">
      <c r="A26" s="5" t="s">
        <v>6169</v>
      </c>
      <c r="D26" s="40" t="s">
        <v>6326</v>
      </c>
      <c r="E26" s="40" t="s">
        <v>6249</v>
      </c>
      <c r="F26" s="40" t="s">
        <v>474</v>
      </c>
      <c r="G26" s="40" t="s">
        <v>6327</v>
      </c>
    </row>
    <row r="27" spans="1:7" ht="116" x14ac:dyDescent="0.35">
      <c r="A27" s="5" t="s">
        <v>6256</v>
      </c>
      <c r="D27" s="40" t="s">
        <v>6315</v>
      </c>
      <c r="E27" s="40" t="s">
        <v>6253</v>
      </c>
      <c r="F27" s="40" t="s">
        <v>630</v>
      </c>
      <c r="G27" s="40" t="s">
        <v>6316</v>
      </c>
    </row>
    <row r="28" spans="1:7" ht="58" x14ac:dyDescent="0.35">
      <c r="A28" s="5" t="s">
        <v>361</v>
      </c>
      <c r="D28" s="40" t="s">
        <v>6270</v>
      </c>
      <c r="E28" s="40" t="s">
        <v>6271</v>
      </c>
      <c r="F28" s="40" t="s">
        <v>725</v>
      </c>
      <c r="G28" s="40" t="s">
        <v>6272</v>
      </c>
    </row>
    <row r="29" spans="1:7" ht="72.5" x14ac:dyDescent="0.35">
      <c r="A29" s="5" t="s">
        <v>6253</v>
      </c>
      <c r="D29" s="40" t="s">
        <v>6266</v>
      </c>
      <c r="E29" s="40" t="s">
        <v>6267</v>
      </c>
      <c r="F29" s="40" t="s">
        <v>6268</v>
      </c>
      <c r="G29" s="40" t="s">
        <v>6269</v>
      </c>
    </row>
    <row r="30" spans="1:7" ht="43.5" x14ac:dyDescent="0.35">
      <c r="A30" s="5" t="s">
        <v>6205</v>
      </c>
      <c r="D30" s="40" t="s">
        <v>6285</v>
      </c>
      <c r="E30" s="40" t="s">
        <v>6242</v>
      </c>
      <c r="F30" s="40" t="s">
        <v>6268</v>
      </c>
      <c r="G30" s="40" t="s">
        <v>6286</v>
      </c>
    </row>
    <row r="31" spans="1:7" ht="43.5" x14ac:dyDescent="0.35">
      <c r="A31" s="5" t="s">
        <v>6252</v>
      </c>
      <c r="D31" s="40" t="s">
        <v>6313</v>
      </c>
      <c r="E31" s="40" t="s">
        <v>361</v>
      </c>
      <c r="F31" s="40" t="s">
        <v>6268</v>
      </c>
      <c r="G31" s="40" t="s">
        <v>6314</v>
      </c>
    </row>
    <row r="32" spans="1:7" ht="72.5" x14ac:dyDescent="0.35">
      <c r="A32" s="5" t="s">
        <v>6251</v>
      </c>
      <c r="D32" s="40" t="s">
        <v>6321</v>
      </c>
      <c r="E32" s="40" t="s">
        <v>6322</v>
      </c>
      <c r="F32" s="40" t="s">
        <v>6268</v>
      </c>
      <c r="G32" s="40" t="s">
        <v>6323</v>
      </c>
    </row>
    <row r="33" spans="1:1" x14ac:dyDescent="0.35">
      <c r="A33" s="5" t="s">
        <v>6233</v>
      </c>
    </row>
    <row r="34" spans="1:1" x14ac:dyDescent="0.35">
      <c r="A34" s="5" t="s">
        <v>6250</v>
      </c>
    </row>
    <row r="35" spans="1:1" x14ac:dyDescent="0.35">
      <c r="A35" s="5" t="s">
        <v>6249</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C74081A0-1F0E-4C8C-AEC0-8A4659EAFBC9}">
    <sortState xmlns:xlrd2="http://schemas.microsoft.com/office/spreadsheetml/2017/richdata2" ref="D3:G32">
      <sortCondition ref="F2:F32"/>
    </sortState>
  </autoFilter>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E1" workbookViewId="0">
      <selection activeCell="I9" sqref="I9"/>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6054</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6055</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6056</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6057</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6057</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6057</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6058</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6072</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6073</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6074</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6075</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6076</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6077</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6078</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6079</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6080</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6059</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6060</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6061</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6062</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6063</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6064</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6065</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6066</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6067</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6068</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6069</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6070</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6071</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6091</v>
      </c>
      <c r="B1" s="1" t="s">
        <v>6092</v>
      </c>
      <c r="C1" s="1" t="s">
        <v>5603</v>
      </c>
    </row>
    <row r="2" spans="1:3" ht="20.149999999999999" customHeight="1" x14ac:dyDescent="0.35">
      <c r="A2" s="1" t="s">
        <v>41</v>
      </c>
      <c r="B2" s="1" t="s">
        <v>42</v>
      </c>
      <c r="C2" s="1" t="s">
        <v>6088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6093</v>
      </c>
      <c r="B1" s="1" t="s">
        <v>6094</v>
      </c>
      <c r="C1" s="1" t="s">
        <v>5603</v>
      </c>
    </row>
    <row r="2" spans="1:3" ht="20.149999999999999" customHeight="1" x14ac:dyDescent="0.35">
      <c r="A2" s="1" t="s">
        <v>41</v>
      </c>
      <c r="B2" s="1" t="s">
        <v>42</v>
      </c>
      <c r="C2" s="1" t="s">
        <v>6087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6093</v>
      </c>
      <c r="B1" s="1" t="s">
        <v>6092</v>
      </c>
      <c r="C1" s="1" t="s">
        <v>5603</v>
      </c>
    </row>
    <row r="2" spans="1:3" ht="20.149999999999999" customHeight="1" x14ac:dyDescent="0.35">
      <c r="A2" s="1" t="s">
        <v>41</v>
      </c>
      <c r="B2" s="1" t="s">
        <v>42</v>
      </c>
      <c r="C2" s="1" t="s">
        <v>6087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6098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6096</v>
      </c>
      <c r="C1" s="1" t="s">
        <v>5603</v>
      </c>
    </row>
    <row r="2" spans="1:3" ht="20.149999999999999" customHeight="1" x14ac:dyDescent="0.35">
      <c r="A2" s="1" t="s">
        <v>41</v>
      </c>
      <c r="B2" s="1" t="s">
        <v>42</v>
      </c>
      <c r="C2" s="1" t="s">
        <v>6097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6092</v>
      </c>
      <c r="C1" s="1" t="s">
        <v>5603</v>
      </c>
    </row>
    <row r="2" spans="1:3" ht="20.149999999999999" customHeight="1" x14ac:dyDescent="0.35">
      <c r="A2" s="1" t="s">
        <v>41</v>
      </c>
      <c r="B2" s="1" t="s">
        <v>42</v>
      </c>
      <c r="C2" s="1" t="s">
        <v>6095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5539</v>
      </c>
      <c r="C1" s="1" t="s">
        <v>5603</v>
      </c>
    </row>
    <row r="2" spans="1:3" ht="20.149999999999999" customHeight="1" x14ac:dyDescent="0.35">
      <c r="A2" s="1" t="s">
        <v>41</v>
      </c>
      <c r="B2" s="1" t="s">
        <v>42</v>
      </c>
      <c r="C2" s="1" t="s">
        <v>6099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6100</v>
      </c>
      <c r="B1" s="1" t="s">
        <v>6096</v>
      </c>
      <c r="C1" s="1" t="s">
        <v>5603</v>
      </c>
    </row>
    <row r="2" spans="1:3" ht="20.149999999999999" customHeight="1" x14ac:dyDescent="0.35">
      <c r="A2" s="1" t="s">
        <v>41</v>
      </c>
      <c r="B2" s="1" t="s">
        <v>42</v>
      </c>
      <c r="C2" s="1" t="s">
        <v>6101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13" workbookViewId="0">
      <selection activeCell="B20" sqref="B20"/>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AG59"/>
  <sheetViews>
    <sheetView topLeftCell="I1" workbookViewId="0">
      <selection activeCell="M3" sqref="M3"/>
    </sheetView>
  </sheetViews>
  <sheetFormatPr baseColWidth="10" defaultColWidth="10.81640625" defaultRowHeight="15.5" x14ac:dyDescent="0.35"/>
  <cols>
    <col min="1" max="1" width="5.54296875" style="2" customWidth="1"/>
    <col min="2" max="2" width="10.54296875" style="2" customWidth="1"/>
    <col min="3" max="7" width="12.7265625" style="2" customWidth="1"/>
    <col min="8" max="8" width="19.7265625" style="2" bestFit="1" customWidth="1"/>
    <col min="9" max="9" width="12.7265625" style="2" customWidth="1"/>
    <col min="10" max="10" width="36" style="2" bestFit="1" customWidth="1"/>
    <col min="11" max="29" width="12.7265625" style="2" customWidth="1"/>
    <col min="30" max="30" width="21.36328125" style="2" customWidth="1"/>
    <col min="31" max="31" width="12.7265625" style="2" customWidth="1"/>
    <col min="32" max="32" width="86.54296875" style="2" bestFit="1" customWidth="1"/>
    <col min="33" max="16384" width="10.81640625" style="2"/>
  </cols>
  <sheetData>
    <row r="1" spans="1:33" ht="20.149999999999999" customHeight="1" x14ac:dyDescent="0.35">
      <c r="A1" s="1" t="s">
        <v>37</v>
      </c>
      <c r="B1" s="26" t="s">
        <v>54</v>
      </c>
      <c r="C1" s="1" t="s">
        <v>5644</v>
      </c>
      <c r="D1" s="1" t="s">
        <v>4710</v>
      </c>
      <c r="E1" s="1" t="s">
        <v>6215</v>
      </c>
      <c r="F1" s="1" t="s">
        <v>6217</v>
      </c>
      <c r="G1" s="1" t="s">
        <v>6218</v>
      </c>
      <c r="H1" s="1" t="s">
        <v>5576</v>
      </c>
      <c r="I1" s="1" t="s">
        <v>5577</v>
      </c>
      <c r="J1" s="1" t="s">
        <v>5578</v>
      </c>
      <c r="K1" s="1" t="s">
        <v>5579</v>
      </c>
      <c r="L1" s="1" t="s">
        <v>5580</v>
      </c>
      <c r="M1" s="1" t="s">
        <v>5581</v>
      </c>
      <c r="N1" s="1" t="s">
        <v>5582</v>
      </c>
      <c r="O1" s="1" t="s">
        <v>5583</v>
      </c>
      <c r="P1" s="1" t="s">
        <v>5584</v>
      </c>
      <c r="Q1" s="1" t="s">
        <v>5585</v>
      </c>
      <c r="R1" s="1" t="s">
        <v>5586</v>
      </c>
      <c r="S1" s="1" t="s">
        <v>6229</v>
      </c>
      <c r="T1" s="1" t="s">
        <v>5587</v>
      </c>
      <c r="U1" s="1" t="s">
        <v>6228</v>
      </c>
      <c r="V1" s="1" t="s">
        <v>5588</v>
      </c>
      <c r="W1" s="1" t="s">
        <v>6227</v>
      </c>
      <c r="X1" s="1" t="s">
        <v>5536</v>
      </c>
      <c r="Y1" s="1" t="s">
        <v>6216</v>
      </c>
      <c r="Z1" s="1" t="s">
        <v>5589</v>
      </c>
      <c r="AA1" s="1" t="s">
        <v>6219</v>
      </c>
      <c r="AB1" s="1" t="s">
        <v>5590</v>
      </c>
      <c r="AC1" s="1" t="s">
        <v>6220</v>
      </c>
      <c r="AD1" s="1" t="s">
        <v>5495</v>
      </c>
      <c r="AE1" s="1" t="s">
        <v>6241</v>
      </c>
    </row>
    <row r="2" spans="1:33" ht="20.149999999999999" customHeight="1" x14ac:dyDescent="0.3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6328</v>
      </c>
      <c r="AF2" s="2" t="s">
        <v>6329</v>
      </c>
    </row>
    <row r="3" spans="1:33" ht="20.149999999999999" customHeight="1" x14ac:dyDescent="0.3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49999999999999" customHeight="1" x14ac:dyDescent="0.3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49999999999999" customHeight="1" x14ac:dyDescent="0.3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49999999999999" customHeight="1" x14ac:dyDescent="0.35">
      <c r="A6" s="3">
        <v>159</v>
      </c>
      <c r="B6" s="27" t="s">
        <v>5121</v>
      </c>
      <c r="C6" s="22">
        <v>21864</v>
      </c>
      <c r="D6" s="15">
        <v>1</v>
      </c>
      <c r="E6" s="5" t="s">
        <v>4141</v>
      </c>
      <c r="F6" s="5">
        <v>15</v>
      </c>
      <c r="G6" s="5">
        <v>12</v>
      </c>
      <c r="H6" s="7" t="s">
        <v>6213</v>
      </c>
      <c r="I6" s="31">
        <v>672</v>
      </c>
      <c r="J6" s="5" t="s">
        <v>5645</v>
      </c>
      <c r="K6" s="5"/>
      <c r="L6" s="5">
        <v>83</v>
      </c>
      <c r="M6" s="5">
        <v>0</v>
      </c>
      <c r="N6" s="5">
        <v>0</v>
      </c>
      <c r="O6" s="5">
        <v>0</v>
      </c>
      <c r="P6" s="5">
        <v>14</v>
      </c>
      <c r="Q6" s="5" t="s">
        <v>5649</v>
      </c>
      <c r="R6" s="5" t="s">
        <v>5646</v>
      </c>
      <c r="S6" s="5">
        <v>2</v>
      </c>
      <c r="T6" s="5" t="s">
        <v>5647</v>
      </c>
      <c r="U6" s="5">
        <v>14</v>
      </c>
      <c r="V6" s="5"/>
      <c r="W6" s="5" t="s">
        <v>972</v>
      </c>
      <c r="X6" s="5" t="s">
        <v>5543</v>
      </c>
      <c r="Y6" s="5">
        <v>3</v>
      </c>
      <c r="Z6" s="35" t="s">
        <v>4854</v>
      </c>
      <c r="AA6" s="5">
        <v>7</v>
      </c>
      <c r="AB6" s="35" t="s">
        <v>1091</v>
      </c>
      <c r="AC6" s="5">
        <v>22</v>
      </c>
      <c r="AD6" s="5" t="s">
        <v>5648</v>
      </c>
      <c r="AE6" s="5"/>
      <c r="AF6" s="37" t="str">
        <f t="shared" si="0"/>
        <v>(159*'24 / 22'*672*'2,7 / 9,52 / 9,0 / 8,73 / 7,92 / 7,13 / 6,35'*''*83*0*0*0*14*11.4*2*14*NULL*3*7*22)*</v>
      </c>
    </row>
    <row r="7" spans="1:33" ht="20.149999999999999" customHeight="1" x14ac:dyDescent="0.35">
      <c r="A7" s="3">
        <v>160</v>
      </c>
      <c r="B7" s="27" t="s">
        <v>5122</v>
      </c>
      <c r="C7" s="22">
        <v>44738</v>
      </c>
      <c r="D7" s="15">
        <v>1</v>
      </c>
      <c r="E7" s="5" t="s">
        <v>4141</v>
      </c>
      <c r="F7" s="5">
        <v>15</v>
      </c>
      <c r="G7" s="5">
        <v>12</v>
      </c>
      <c r="H7" s="7" t="s">
        <v>6213</v>
      </c>
      <c r="I7" s="31">
        <v>174</v>
      </c>
      <c r="J7" s="5" t="s">
        <v>5650</v>
      </c>
      <c r="K7" s="5">
        <v>4.5999999999999999E-2</v>
      </c>
      <c r="L7" s="5">
        <v>83</v>
      </c>
      <c r="M7" s="5">
        <v>0</v>
      </c>
      <c r="N7" s="5">
        <v>0</v>
      </c>
      <c r="O7" s="5">
        <v>0</v>
      </c>
      <c r="P7" s="5">
        <v>0</v>
      </c>
      <c r="Q7" s="5">
        <v>0</v>
      </c>
      <c r="R7" s="5" t="s">
        <v>5637</v>
      </c>
      <c r="S7" s="5">
        <v>4</v>
      </c>
      <c r="T7" s="5" t="s">
        <v>5653</v>
      </c>
      <c r="U7" s="5">
        <v>10</v>
      </c>
      <c r="V7" s="5"/>
      <c r="W7" s="5" t="s">
        <v>972</v>
      </c>
      <c r="X7" s="5" t="s">
        <v>5543</v>
      </c>
      <c r="Y7" s="5">
        <v>3</v>
      </c>
      <c r="Z7" s="35" t="s">
        <v>1026</v>
      </c>
      <c r="AA7" s="5">
        <v>10</v>
      </c>
      <c r="AB7" s="35" t="s">
        <v>1091</v>
      </c>
      <c r="AC7" s="5">
        <v>22</v>
      </c>
      <c r="AD7" s="5"/>
      <c r="AE7" s="5"/>
      <c r="AF7" s="37" t="str">
        <f t="shared" si="0"/>
        <v>(160*'24 / 22'*174*'8,74 / 9,53 / 11,3 / 12,7'*'0,046'*83*0*0*0*0*0*4*10*NULL*3*10*22)*</v>
      </c>
    </row>
    <row r="8" spans="1:33" ht="20.149999999999999" customHeight="1" x14ac:dyDescent="0.3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c r="W8" s="5" t="s">
        <v>972</v>
      </c>
      <c r="X8" s="5" t="s">
        <v>5543</v>
      </c>
      <c r="Y8" s="5">
        <v>3</v>
      </c>
      <c r="Z8" s="35" t="s">
        <v>4854</v>
      </c>
      <c r="AA8" s="5">
        <v>7</v>
      </c>
      <c r="AB8" s="35" t="s">
        <v>1916</v>
      </c>
      <c r="AC8" s="5">
        <v>11</v>
      </c>
      <c r="AD8" s="5"/>
      <c r="AE8" s="5"/>
      <c r="AF8" s="37" t="str">
        <f t="shared" si="0"/>
        <v>(161*'24'*504*'12,7 / 11,13 / 9,53 / 7,9'*'0,046'*0*0*0*0*0*0*4*21*NULL*3*7*11)*</v>
      </c>
    </row>
    <row r="9" spans="1:33" ht="20.149999999999999" customHeight="1" x14ac:dyDescent="0.35">
      <c r="A9" s="3">
        <v>162</v>
      </c>
      <c r="B9" s="27" t="s">
        <v>5124</v>
      </c>
      <c r="C9" s="22">
        <v>38537</v>
      </c>
      <c r="D9" s="15">
        <v>1</v>
      </c>
      <c r="E9" s="5" t="s">
        <v>4141</v>
      </c>
      <c r="F9" s="5">
        <v>15</v>
      </c>
      <c r="G9" s="5">
        <v>12</v>
      </c>
      <c r="H9" s="7">
        <v>20</v>
      </c>
      <c r="I9" s="31" t="s">
        <v>5654</v>
      </c>
      <c r="J9" s="5" t="s">
        <v>5655</v>
      </c>
      <c r="K9" s="5"/>
      <c r="L9" s="5">
        <v>72</v>
      </c>
      <c r="M9" s="5">
        <v>72</v>
      </c>
      <c r="N9" s="5">
        <v>0</v>
      </c>
      <c r="O9" s="5">
        <v>0</v>
      </c>
      <c r="P9" s="5">
        <v>4</v>
      </c>
      <c r="Q9" s="5">
        <v>4</v>
      </c>
      <c r="R9" s="5" t="s">
        <v>5637</v>
      </c>
      <c r="S9" s="5">
        <v>4</v>
      </c>
      <c r="T9" s="5" t="s">
        <v>5638</v>
      </c>
      <c r="U9" s="5">
        <v>11</v>
      </c>
      <c r="V9" s="5"/>
      <c r="W9" s="5" t="s">
        <v>972</v>
      </c>
      <c r="X9" s="5" t="s">
        <v>5543</v>
      </c>
      <c r="Y9" s="5">
        <v>3</v>
      </c>
      <c r="Z9" s="35" t="s">
        <v>5657</v>
      </c>
      <c r="AA9" s="5">
        <v>13</v>
      </c>
      <c r="AB9" s="35" t="s">
        <v>5525</v>
      </c>
      <c r="AC9" s="5">
        <v>128</v>
      </c>
      <c r="AD9" s="5" t="s">
        <v>5656</v>
      </c>
      <c r="AE9" s="5"/>
      <c r="AF9" s="37" t="str">
        <f t="shared" si="0"/>
        <v>(162*'20'*144.74*'8,74 / 10,31'*''*72*72*0*0*4*4*4*11*NULL*3*13*128)*</v>
      </c>
    </row>
    <row r="10" spans="1:33" ht="20.149999999999999" customHeight="1" x14ac:dyDescent="0.3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49999999999999" customHeight="1" x14ac:dyDescent="0.3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49999999999999" customHeight="1" x14ac:dyDescent="0.35">
      <c r="A12" s="3">
        <v>165</v>
      </c>
      <c r="B12" s="28" t="s">
        <v>5127</v>
      </c>
      <c r="C12" s="22">
        <v>38353</v>
      </c>
      <c r="D12" s="15">
        <v>1</v>
      </c>
      <c r="E12" s="5" t="s">
        <v>4137</v>
      </c>
      <c r="F12" s="5">
        <v>14</v>
      </c>
      <c r="G12" s="5">
        <v>12</v>
      </c>
      <c r="H12" s="7">
        <v>30</v>
      </c>
      <c r="I12" s="31" t="s">
        <v>5670</v>
      </c>
      <c r="J12" s="5" t="s">
        <v>5671</v>
      </c>
      <c r="K12" s="5"/>
      <c r="L12" s="5">
        <v>49</v>
      </c>
      <c r="M12" s="5">
        <v>0</v>
      </c>
      <c r="N12" s="5">
        <v>0</v>
      </c>
      <c r="O12" s="5">
        <v>0</v>
      </c>
      <c r="P12" s="5">
        <v>0</v>
      </c>
      <c r="Q12" s="5">
        <v>0</v>
      </c>
      <c r="R12" s="5" t="s">
        <v>5637</v>
      </c>
      <c r="S12" s="5">
        <v>4</v>
      </c>
      <c r="T12" s="5" t="s">
        <v>5672</v>
      </c>
      <c r="U12" s="5">
        <v>11</v>
      </c>
      <c r="V12" s="5"/>
      <c r="W12" s="5" t="s">
        <v>972</v>
      </c>
      <c r="X12" s="5" t="s">
        <v>5126</v>
      </c>
      <c r="Y12" s="5">
        <v>5</v>
      </c>
      <c r="Z12" s="35" t="s">
        <v>5673</v>
      </c>
      <c r="AA12" s="5" t="s">
        <v>5673</v>
      </c>
      <c r="AB12" s="35" t="s">
        <v>4044</v>
      </c>
      <c r="AC12" s="5" t="s">
        <v>4044</v>
      </c>
      <c r="AD12" s="5"/>
      <c r="AE12" s="5"/>
      <c r="AF12" s="37" t="str">
        <f t="shared" si="0"/>
        <v>(165*'30'*44.5*'10.31'*''*49*0*0*0*0*0*4*11*NULL*5*TFT*Nezla)*</v>
      </c>
    </row>
    <row r="13" spans="1:33" ht="20.149999999999999" customHeight="1" x14ac:dyDescent="0.35">
      <c r="A13" s="3">
        <v>166</v>
      </c>
      <c r="B13" s="27" t="s">
        <v>5128</v>
      </c>
      <c r="C13" s="22">
        <v>26399</v>
      </c>
      <c r="D13" s="15">
        <v>1</v>
      </c>
      <c r="E13" s="5" t="s">
        <v>5676</v>
      </c>
      <c r="F13" s="5">
        <v>12</v>
      </c>
      <c r="G13" s="5">
        <v>12</v>
      </c>
      <c r="H13" s="7">
        <v>26</v>
      </c>
      <c r="I13" s="31">
        <v>108.372</v>
      </c>
      <c r="J13" s="5" t="s">
        <v>6108</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49999999999999" customHeight="1" x14ac:dyDescent="0.3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6221</v>
      </c>
      <c r="AE14" s="30"/>
      <c r="AF14" s="37" t="str">
        <f t="shared" si="0"/>
        <v>(167*'30'*292*'10,31 - 12,7'*'0,0457'*70*70*0*0*30*30*3*11*NULL*7*27*7)*</v>
      </c>
    </row>
    <row r="15" spans="1:33" ht="20.149999999999999" customHeight="1" x14ac:dyDescent="0.3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6221</v>
      </c>
      <c r="AE15" s="30"/>
      <c r="AF15" s="37" t="str">
        <f t="shared" si="0"/>
        <v>(168*'30'*292*'10,31 - 12,7'*'0,0457'*70*70*0*0*30*30*4*11*NULL*7*27*7)*</v>
      </c>
    </row>
    <row r="16" spans="1:33" ht="20.149999999999999" customHeight="1" x14ac:dyDescent="0.35">
      <c r="A16" s="3">
        <v>169</v>
      </c>
      <c r="B16" s="27" t="s">
        <v>5131</v>
      </c>
      <c r="C16" s="22">
        <v>28207</v>
      </c>
      <c r="D16" s="15">
        <v>1</v>
      </c>
      <c r="E16" s="5" t="s">
        <v>5676</v>
      </c>
      <c r="F16" s="5">
        <v>12</v>
      </c>
      <c r="G16" s="5">
        <v>12</v>
      </c>
      <c r="H16" s="7">
        <v>20</v>
      </c>
      <c r="I16" s="31">
        <v>272.35000000000002</v>
      </c>
      <c r="J16" s="5" t="s">
        <v>6230</v>
      </c>
      <c r="K16" s="5">
        <v>4.5699999999999998E-2</v>
      </c>
      <c r="L16" s="5">
        <v>72</v>
      </c>
      <c r="M16" s="5">
        <v>12</v>
      </c>
      <c r="N16" s="5">
        <v>0</v>
      </c>
      <c r="O16" s="5">
        <v>0</v>
      </c>
      <c r="P16" s="5">
        <v>5</v>
      </c>
      <c r="Q16" s="5">
        <v>2</v>
      </c>
      <c r="R16" s="5" t="s">
        <v>5633</v>
      </c>
      <c r="S16" s="5">
        <v>3</v>
      </c>
      <c r="T16" s="5" t="s">
        <v>5674</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49999999999999" customHeight="1" x14ac:dyDescent="0.35">
      <c r="A17" s="3">
        <v>170</v>
      </c>
      <c r="B17" s="27" t="s">
        <v>5132</v>
      </c>
      <c r="C17" s="22">
        <v>45778</v>
      </c>
      <c r="D17" s="15">
        <v>1</v>
      </c>
      <c r="E17" s="5" t="s">
        <v>5676</v>
      </c>
      <c r="F17" s="5">
        <v>12</v>
      </c>
      <c r="G17" s="5">
        <v>12</v>
      </c>
      <c r="H17" s="7">
        <v>16</v>
      </c>
      <c r="I17" s="31">
        <v>271</v>
      </c>
      <c r="J17" s="5">
        <v>6.35</v>
      </c>
      <c r="K17" s="5"/>
      <c r="L17" s="5">
        <v>40</v>
      </c>
      <c r="M17" s="5">
        <v>0</v>
      </c>
      <c r="N17" s="5">
        <v>0</v>
      </c>
      <c r="O17" s="5">
        <v>0</v>
      </c>
      <c r="P17" s="5">
        <v>0</v>
      </c>
      <c r="Q17" s="5">
        <v>0</v>
      </c>
      <c r="R17" s="5" t="s">
        <v>5637</v>
      </c>
      <c r="S17" s="5">
        <v>4</v>
      </c>
      <c r="T17" s="5"/>
      <c r="U17" s="5" t="s">
        <v>972</v>
      </c>
      <c r="V17" s="5"/>
      <c r="W17" s="5" t="s">
        <v>972</v>
      </c>
      <c r="X17" s="5" t="s">
        <v>5679</v>
      </c>
      <c r="Y17" s="5">
        <v>6</v>
      </c>
      <c r="Z17" s="35" t="s">
        <v>5678</v>
      </c>
      <c r="AA17" s="5">
        <v>25</v>
      </c>
      <c r="AB17" s="35" t="s">
        <v>5677</v>
      </c>
      <c r="AC17" s="5">
        <v>15</v>
      </c>
      <c r="AD17" s="5"/>
      <c r="AE17" s="5"/>
      <c r="AF17" s="37" t="str">
        <f t="shared" si="0"/>
        <v>(170*'16'*271*'6,35'*''*40*0*0*0*0*0*4*NULL*NULL*6*25*15)*</v>
      </c>
    </row>
    <row r="18" spans="1:32" ht="20.149999999999999" customHeight="1" x14ac:dyDescent="0.35">
      <c r="A18" s="3">
        <v>171</v>
      </c>
      <c r="B18" s="27" t="s">
        <v>5133</v>
      </c>
      <c r="C18" s="22">
        <v>35431</v>
      </c>
      <c r="D18" s="15">
        <v>1</v>
      </c>
      <c r="E18" s="5"/>
      <c r="F18" s="5">
        <v>2</v>
      </c>
      <c r="G18" s="5">
        <v>2</v>
      </c>
      <c r="H18" s="7">
        <v>20</v>
      </c>
      <c r="I18" s="31">
        <v>230</v>
      </c>
      <c r="J18" s="5"/>
      <c r="K18" s="5"/>
      <c r="L18" s="5">
        <v>0</v>
      </c>
      <c r="M18" s="5">
        <v>0</v>
      </c>
      <c r="N18" s="5">
        <v>0</v>
      </c>
      <c r="O18" s="5">
        <v>0</v>
      </c>
      <c r="P18" s="5">
        <v>0</v>
      </c>
      <c r="Q18" s="5">
        <v>0</v>
      </c>
      <c r="R18" s="5"/>
      <c r="S18" s="5" t="s">
        <v>972</v>
      </c>
      <c r="T18" s="5"/>
      <c r="U18" s="5" t="s">
        <v>972</v>
      </c>
      <c r="V18" s="5"/>
      <c r="W18" s="5" t="s">
        <v>972</v>
      </c>
      <c r="X18" s="5"/>
      <c r="Y18" s="5"/>
      <c r="Z18" s="35"/>
      <c r="AA18" s="5"/>
      <c r="AB18" s="35"/>
      <c r="AC18" s="5"/>
      <c r="AD18" s="5"/>
      <c r="AE18" s="5"/>
      <c r="AF18" s="37" t="str">
        <f t="shared" si="0"/>
        <v>(171*'20'*230*''*''*0*0*0*0*0*0*NULL*NULL*NULL***)*</v>
      </c>
    </row>
    <row r="19" spans="1:32" ht="20.149999999999999" customHeight="1" x14ac:dyDescent="0.35">
      <c r="A19" s="3">
        <v>172</v>
      </c>
      <c r="B19" s="27" t="s">
        <v>5134</v>
      </c>
      <c r="C19" s="22">
        <v>36505</v>
      </c>
      <c r="D19" s="15">
        <v>1</v>
      </c>
      <c r="E19" s="5" t="s">
        <v>5676</v>
      </c>
      <c r="F19" s="5">
        <v>12</v>
      </c>
      <c r="G19" s="5">
        <v>12</v>
      </c>
      <c r="H19" s="7">
        <v>20</v>
      </c>
      <c r="I19" s="31">
        <v>33</v>
      </c>
      <c r="J19" s="5" t="s">
        <v>6231</v>
      </c>
      <c r="K19" s="5">
        <v>4.5999999999999999E-2</v>
      </c>
      <c r="L19" s="5">
        <v>55</v>
      </c>
      <c r="M19" s="5">
        <v>55</v>
      </c>
      <c r="N19" s="5">
        <v>0</v>
      </c>
      <c r="O19" s="5">
        <v>0</v>
      </c>
      <c r="P19" s="5">
        <v>5</v>
      </c>
      <c r="Q19" s="5">
        <v>5</v>
      </c>
      <c r="R19" s="5" t="s">
        <v>5633</v>
      </c>
      <c r="S19" s="5">
        <v>3</v>
      </c>
      <c r="T19" s="5" t="s">
        <v>5674</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49999999999999" customHeight="1" x14ac:dyDescent="0.35">
      <c r="A20" s="3">
        <v>173</v>
      </c>
      <c r="B20" s="27" t="s">
        <v>5135</v>
      </c>
      <c r="C20" s="22">
        <v>28795</v>
      </c>
      <c r="D20" s="15">
        <v>1</v>
      </c>
      <c r="E20" s="5" t="s">
        <v>4125</v>
      </c>
      <c r="F20" s="5">
        <v>11</v>
      </c>
      <c r="G20" s="5">
        <v>12</v>
      </c>
      <c r="H20" s="7">
        <v>28</v>
      </c>
      <c r="I20" s="31">
        <v>507</v>
      </c>
      <c r="J20" s="5" t="s">
        <v>6214</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6222</v>
      </c>
      <c r="AE20" s="30"/>
      <c r="AF20" s="37" t="str">
        <f t="shared" si="0"/>
        <v>(173*'28'*507*'6,35 / 7,14 / 7,22 / 8,74 / 9,25 / 12,7 / 14,27'*'0,0457'*66*66*0*0*21*13,6*3*14*NULL*8*8*21)*</v>
      </c>
    </row>
    <row r="21" spans="1:32" ht="20.149999999999999" customHeight="1" x14ac:dyDescent="0.35">
      <c r="A21" s="3">
        <v>174</v>
      </c>
      <c r="B21" s="27" t="s">
        <v>5136</v>
      </c>
      <c r="C21" s="22">
        <v>40029</v>
      </c>
      <c r="D21" s="15">
        <v>1</v>
      </c>
      <c r="E21" s="5" t="s">
        <v>4133</v>
      </c>
      <c r="F21" s="5">
        <v>13</v>
      </c>
      <c r="G21" s="5">
        <v>12</v>
      </c>
      <c r="H21" s="7">
        <v>30</v>
      </c>
      <c r="I21" s="31">
        <v>646</v>
      </c>
      <c r="J21" s="5" t="s">
        <v>6105</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6106</v>
      </c>
      <c r="AE21" s="5"/>
      <c r="AF21" s="37" t="str">
        <f t="shared" si="0"/>
        <v>(174*'30'*646*'7,92/ 8,74/ 9,53/ 10,31/ 11,91/ 14,27'*'0,0457'*82,9*82,9*0*0*11,41*11,41*4*11*NULL*9*8*34)*</v>
      </c>
    </row>
    <row r="22" spans="1:32" ht="20.149999999999999" customHeight="1" x14ac:dyDescent="0.35">
      <c r="A22" s="3">
        <v>175</v>
      </c>
      <c r="B22" s="27" t="s">
        <v>5137</v>
      </c>
      <c r="C22" s="22">
        <v>21916</v>
      </c>
      <c r="D22" s="15">
        <v>1</v>
      </c>
      <c r="E22" s="5" t="s">
        <v>4137</v>
      </c>
      <c r="F22" s="5">
        <v>14</v>
      </c>
      <c r="G22" s="5">
        <v>12</v>
      </c>
      <c r="H22" s="7" t="s">
        <v>6107</v>
      </c>
      <c r="I22" s="31">
        <v>565</v>
      </c>
      <c r="J22" s="5" t="s">
        <v>6108</v>
      </c>
      <c r="K22" s="5"/>
      <c r="L22" s="5">
        <v>49</v>
      </c>
      <c r="M22" s="5">
        <v>11</v>
      </c>
      <c r="N22" s="5">
        <v>0</v>
      </c>
      <c r="O22" s="5">
        <v>0</v>
      </c>
      <c r="P22" s="5">
        <v>7.9</v>
      </c>
      <c r="Q22" s="5">
        <v>7.9</v>
      </c>
      <c r="R22" s="5" t="s">
        <v>5633</v>
      </c>
      <c r="S22" s="5">
        <v>3</v>
      </c>
      <c r="T22" s="5" t="s">
        <v>5668</v>
      </c>
      <c r="U22" s="5">
        <v>14</v>
      </c>
      <c r="V22" s="5" t="s">
        <v>5660</v>
      </c>
      <c r="W22" s="5">
        <v>17</v>
      </c>
      <c r="X22" s="5" t="s">
        <v>5137</v>
      </c>
      <c r="Y22" s="5">
        <v>10</v>
      </c>
      <c r="Z22" s="35" t="s">
        <v>6110</v>
      </c>
      <c r="AA22" s="5">
        <v>29</v>
      </c>
      <c r="AB22" s="35" t="s">
        <v>4854</v>
      </c>
      <c r="AC22" s="5">
        <v>7</v>
      </c>
      <c r="AD22" s="5" t="s">
        <v>6109</v>
      </c>
      <c r="AE22" s="5"/>
      <c r="AF22" s="37" t="str">
        <f t="shared" si="0"/>
        <v>(175*'24/30'*565*'7,14 / 8,74'*''*49*11*0*0*7,9*7,9*3*14*17*10*29*7)*</v>
      </c>
    </row>
    <row r="23" spans="1:32" ht="20.149999999999999" customHeight="1" x14ac:dyDescent="0.35">
      <c r="A23" s="3">
        <v>176</v>
      </c>
      <c r="B23" s="27" t="s">
        <v>6172</v>
      </c>
      <c r="C23" s="22"/>
      <c r="D23" s="15">
        <v>1</v>
      </c>
      <c r="E23" s="5" t="s">
        <v>4125</v>
      </c>
      <c r="F23" s="5">
        <v>11</v>
      </c>
      <c r="G23" s="5">
        <v>12</v>
      </c>
      <c r="H23" s="29">
        <v>16</v>
      </c>
      <c r="I23" s="31"/>
      <c r="J23" s="5"/>
      <c r="K23" s="5"/>
      <c r="L23" s="5">
        <v>0</v>
      </c>
      <c r="M23" s="5">
        <v>0</v>
      </c>
      <c r="N23" s="5">
        <v>0</v>
      </c>
      <c r="O23" s="5">
        <v>0</v>
      </c>
      <c r="P23" s="5">
        <v>0</v>
      </c>
      <c r="Q23" s="5">
        <v>0</v>
      </c>
      <c r="R23" s="5"/>
      <c r="S23" s="5"/>
      <c r="T23" s="5"/>
      <c r="U23" s="5" t="s">
        <v>972</v>
      </c>
      <c r="V23" s="5"/>
      <c r="W23" s="5" t="s">
        <v>972</v>
      </c>
      <c r="X23" s="5"/>
      <c r="Y23" s="5"/>
      <c r="Z23" s="35" t="s">
        <v>4856</v>
      </c>
      <c r="AA23" s="5">
        <v>8</v>
      </c>
      <c r="AB23" s="35" t="s">
        <v>1824</v>
      </c>
      <c r="AC23" s="5">
        <v>21</v>
      </c>
      <c r="AD23" s="5"/>
      <c r="AE23" s="5"/>
      <c r="AF23" s="37" t="str">
        <f t="shared" si="0"/>
        <v>(176*'16'**''*''*0*0*0*0*0*0**NULL*NULL**8*21)*</v>
      </c>
    </row>
    <row r="24" spans="1:32" ht="20.149999999999999" customHeight="1" x14ac:dyDescent="0.35">
      <c r="A24" s="3">
        <v>177</v>
      </c>
      <c r="B24" s="27" t="s">
        <v>5139</v>
      </c>
      <c r="C24" s="22">
        <v>30720</v>
      </c>
      <c r="D24" s="15">
        <v>1</v>
      </c>
      <c r="E24" s="5" t="s">
        <v>4125</v>
      </c>
      <c r="F24" s="5">
        <v>11</v>
      </c>
      <c r="G24" s="5">
        <v>12</v>
      </c>
      <c r="H24" s="7">
        <v>24</v>
      </c>
      <c r="I24" s="31">
        <v>503.46</v>
      </c>
      <c r="J24" s="5" t="s">
        <v>6162</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6165</v>
      </c>
      <c r="AE24" s="5"/>
      <c r="AF24" s="37" t="str">
        <f t="shared" si="0"/>
        <v>(177*'24'*503,46*'9,52 / 11,91 '*'0,05'*84*84*0*0*9*9*3*14*NULL*11*8*21)*</v>
      </c>
    </row>
    <row r="25" spans="1:32" ht="20.149999999999999" customHeight="1" x14ac:dyDescent="0.35">
      <c r="A25" s="3">
        <v>178</v>
      </c>
      <c r="B25" s="27" t="s">
        <v>5140</v>
      </c>
      <c r="C25" s="22">
        <v>39814</v>
      </c>
      <c r="D25" s="15">
        <v>1</v>
      </c>
      <c r="E25" s="5" t="s">
        <v>4125</v>
      </c>
      <c r="F25" s="5">
        <v>11</v>
      </c>
      <c r="G25" s="5">
        <v>12</v>
      </c>
      <c r="H25" s="7">
        <v>24</v>
      </c>
      <c r="I25" s="31">
        <v>495</v>
      </c>
      <c r="J25" s="30" t="s">
        <v>6163</v>
      </c>
      <c r="K25" s="5">
        <v>0.05</v>
      </c>
      <c r="L25" s="5">
        <v>114.1</v>
      </c>
      <c r="M25" s="5">
        <v>114.1</v>
      </c>
      <c r="N25" s="5">
        <v>0</v>
      </c>
      <c r="O25" s="5">
        <v>0</v>
      </c>
      <c r="P25" s="5">
        <v>6</v>
      </c>
      <c r="Q25" s="5">
        <v>6</v>
      </c>
      <c r="R25" s="5" t="s">
        <v>6164</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49999999999999" customHeight="1" x14ac:dyDescent="0.35">
      <c r="A26" s="3">
        <v>179</v>
      </c>
      <c r="B26" s="27" t="s">
        <v>5141</v>
      </c>
      <c r="C26" s="22">
        <v>35065</v>
      </c>
      <c r="D26" s="15">
        <v>1</v>
      </c>
      <c r="E26" s="5" t="s">
        <v>5676</v>
      </c>
      <c r="F26" s="5">
        <v>12</v>
      </c>
      <c r="G26" s="5">
        <v>12</v>
      </c>
      <c r="H26" s="7" t="s">
        <v>6212</v>
      </c>
      <c r="I26" s="31">
        <v>989</v>
      </c>
      <c r="J26" s="5"/>
      <c r="K26" s="5"/>
      <c r="L26" s="5" t="s">
        <v>6167</v>
      </c>
      <c r="M26" s="5" t="s">
        <v>6167</v>
      </c>
      <c r="N26" s="5">
        <v>0</v>
      </c>
      <c r="O26" s="5">
        <v>0</v>
      </c>
      <c r="P26" s="5">
        <v>6.5</v>
      </c>
      <c r="Q26" s="5">
        <v>5.7</v>
      </c>
      <c r="R26" s="5"/>
      <c r="S26" s="5"/>
      <c r="T26" s="5" t="s">
        <v>5638</v>
      </c>
      <c r="U26" s="5">
        <v>11</v>
      </c>
      <c r="V26" s="5"/>
      <c r="W26" s="5" t="s">
        <v>972</v>
      </c>
      <c r="X26" s="5"/>
      <c r="Y26" s="5"/>
      <c r="Z26" s="35" t="s">
        <v>5392</v>
      </c>
      <c r="AA26" s="5">
        <v>20</v>
      </c>
      <c r="AB26" s="35" t="s">
        <v>4856</v>
      </c>
      <c r="AC26" s="5">
        <v>8</v>
      </c>
      <c r="AD26" s="5" t="s">
        <v>6166</v>
      </c>
      <c r="AE26" s="5"/>
      <c r="AF26" s="37" t="str">
        <f t="shared" si="0"/>
        <v>(179*'10 / 12 / 14 / 16 / 20 / 24'*989*''*''*91,7 - 81,7*91,7 - 81,7*0*0*6,5*5,7**11*NULL**20*8)*</v>
      </c>
    </row>
    <row r="27" spans="1:32" ht="20.149999999999999" customHeight="1" x14ac:dyDescent="0.35">
      <c r="A27" s="3">
        <v>179</v>
      </c>
      <c r="B27" s="27" t="s">
        <v>6173</v>
      </c>
      <c r="C27" s="22"/>
      <c r="D27" s="15">
        <v>1</v>
      </c>
      <c r="E27" s="5" t="s">
        <v>4125</v>
      </c>
      <c r="F27" s="5">
        <v>11</v>
      </c>
      <c r="G27" s="5">
        <v>12</v>
      </c>
      <c r="H27" s="29">
        <v>12</v>
      </c>
      <c r="I27" s="31"/>
      <c r="J27" s="5"/>
      <c r="K27" s="5"/>
      <c r="L27" s="5">
        <v>0</v>
      </c>
      <c r="M27" s="5">
        <v>0</v>
      </c>
      <c r="N27" s="5">
        <v>0</v>
      </c>
      <c r="O27" s="5">
        <v>0</v>
      </c>
      <c r="P27" s="5">
        <v>0</v>
      </c>
      <c r="Q27" s="5">
        <v>0</v>
      </c>
      <c r="R27" s="5"/>
      <c r="S27" s="5"/>
      <c r="T27" s="5"/>
      <c r="U27" s="5" t="s">
        <v>972</v>
      </c>
      <c r="V27" s="5"/>
      <c r="W27" s="5" t="s">
        <v>972</v>
      </c>
      <c r="X27" s="5"/>
      <c r="Y27" s="5"/>
      <c r="Z27" s="35" t="s">
        <v>4856</v>
      </c>
      <c r="AA27" s="5">
        <v>8</v>
      </c>
      <c r="AB27" s="35" t="s">
        <v>1824</v>
      </c>
      <c r="AC27" s="5">
        <v>21</v>
      </c>
      <c r="AD27" s="5"/>
      <c r="AE27" s="5"/>
      <c r="AF27" s="37" t="str">
        <f t="shared" si="0"/>
        <v>(179*'12'**''*''*0*0*0*0*0*0**NULL*NULL**8*21)*</v>
      </c>
    </row>
    <row r="28" spans="1:32" ht="20.149999999999999" customHeight="1" x14ac:dyDescent="0.35">
      <c r="A28" s="3">
        <v>180</v>
      </c>
      <c r="B28" s="27" t="s">
        <v>5142</v>
      </c>
      <c r="C28" s="22">
        <v>38264</v>
      </c>
      <c r="D28" s="15">
        <v>1</v>
      </c>
      <c r="E28" s="5" t="s">
        <v>5676</v>
      </c>
      <c r="F28" s="5">
        <v>12</v>
      </c>
      <c r="G28" s="5">
        <v>12</v>
      </c>
      <c r="H28" s="7">
        <v>16</v>
      </c>
      <c r="I28" s="31">
        <v>404</v>
      </c>
      <c r="J28" s="5" t="s">
        <v>6168</v>
      </c>
      <c r="K28" s="5">
        <v>4.5999999999999999E-2</v>
      </c>
      <c r="L28" s="5">
        <v>89.2</v>
      </c>
      <c r="M28" s="5">
        <v>89.2</v>
      </c>
      <c r="N28" s="5">
        <v>0</v>
      </c>
      <c r="O28" s="5">
        <v>0</v>
      </c>
      <c r="P28" s="5">
        <v>3.26</v>
      </c>
      <c r="Q28" s="5">
        <v>3.26</v>
      </c>
      <c r="R28" s="5" t="s">
        <v>5637</v>
      </c>
      <c r="S28" s="5">
        <v>4</v>
      </c>
      <c r="T28" s="5" t="s">
        <v>5638</v>
      </c>
      <c r="U28" s="5">
        <v>11</v>
      </c>
      <c r="V28" s="5" t="s">
        <v>972</v>
      </c>
      <c r="W28" s="5" t="s">
        <v>972</v>
      </c>
      <c r="X28" s="5"/>
      <c r="Y28" s="5"/>
      <c r="Z28" s="35" t="s">
        <v>5347</v>
      </c>
      <c r="AA28" s="5">
        <v>16</v>
      </c>
      <c r="AB28" s="35" t="s">
        <v>5396</v>
      </c>
      <c r="AC28" s="5">
        <v>26</v>
      </c>
      <c r="AD28" s="5" t="s">
        <v>6169</v>
      </c>
      <c r="AE28" s="5"/>
      <c r="AF28" s="37" t="str">
        <f t="shared" si="0"/>
        <v>(180*'16'*404*'7,92 / 11,13'*'0,046'*89,2*89,2*0*0*3,26*3,26*4*11*NULL**16*26)*</v>
      </c>
    </row>
    <row r="29" spans="1:32" ht="20.149999999999999" customHeight="1" x14ac:dyDescent="0.35">
      <c r="A29" s="3">
        <v>181</v>
      </c>
      <c r="B29" s="27" t="s">
        <v>5143</v>
      </c>
      <c r="C29" s="22">
        <v>41640</v>
      </c>
      <c r="D29" s="15">
        <v>1</v>
      </c>
      <c r="E29" s="5" t="s">
        <v>5676</v>
      </c>
      <c r="F29" s="5">
        <v>12</v>
      </c>
      <c r="G29" s="5">
        <v>12</v>
      </c>
      <c r="H29" s="7">
        <v>24</v>
      </c>
      <c r="I29" s="31">
        <v>336</v>
      </c>
      <c r="J29" s="5" t="s">
        <v>6170</v>
      </c>
      <c r="K29" s="5">
        <v>4.5999999999999999E-2</v>
      </c>
      <c r="L29" s="5">
        <v>77</v>
      </c>
      <c r="M29" s="5">
        <v>77</v>
      </c>
      <c r="N29" s="5">
        <v>0</v>
      </c>
      <c r="O29" s="5">
        <v>0</v>
      </c>
      <c r="P29" s="5">
        <v>4.5</v>
      </c>
      <c r="Q29" s="5">
        <v>4.5</v>
      </c>
      <c r="R29" s="5" t="s">
        <v>5637</v>
      </c>
      <c r="S29" s="5">
        <v>4</v>
      </c>
      <c r="T29" s="5" t="s">
        <v>5652</v>
      </c>
      <c r="U29" s="5">
        <v>21</v>
      </c>
      <c r="V29" s="5" t="s">
        <v>972</v>
      </c>
      <c r="W29" s="5" t="s">
        <v>972</v>
      </c>
      <c r="X29" s="5"/>
      <c r="Y29" s="5"/>
      <c r="Z29" s="35" t="s">
        <v>1812</v>
      </c>
      <c r="AA29" s="5">
        <v>14</v>
      </c>
      <c r="AB29" s="35" t="s">
        <v>4856</v>
      </c>
      <c r="AC29" s="5">
        <v>8</v>
      </c>
      <c r="AD29" s="5" t="s">
        <v>6171</v>
      </c>
      <c r="AE29" s="5"/>
      <c r="AF29" s="37" t="str">
        <f t="shared" si="0"/>
        <v>(181*'24'*336*'14,3 / 9,52 / 11,13 / 15,88 / 10,31'*'0,046'*77*77*0*0*4,5*4,5*4*21*NULL**14*8)*</v>
      </c>
    </row>
    <row r="30" spans="1:32" ht="20.149999999999999" customHeight="1" x14ac:dyDescent="0.35">
      <c r="A30" s="3">
        <v>182</v>
      </c>
      <c r="B30" s="27" t="s">
        <v>5144</v>
      </c>
      <c r="C30" s="22">
        <v>22282</v>
      </c>
      <c r="D30" s="15">
        <v>1</v>
      </c>
      <c r="E30" s="5" t="s">
        <v>4125</v>
      </c>
      <c r="F30" s="5">
        <v>11</v>
      </c>
      <c r="G30" s="5">
        <v>16</v>
      </c>
      <c r="H30" s="7" t="s">
        <v>6177</v>
      </c>
      <c r="I30" s="31">
        <v>509</v>
      </c>
      <c r="J30" s="5" t="s">
        <v>6176</v>
      </c>
      <c r="K30" s="5">
        <v>1.4999999999999999E-2</v>
      </c>
      <c r="L30" s="5">
        <v>65</v>
      </c>
      <c r="M30" s="5">
        <v>0</v>
      </c>
      <c r="N30" s="5">
        <v>0</v>
      </c>
      <c r="O30" s="5">
        <v>0</v>
      </c>
      <c r="P30" s="5">
        <v>3.56</v>
      </c>
      <c r="Q30" s="5">
        <v>0</v>
      </c>
      <c r="R30" s="5" t="s">
        <v>5641</v>
      </c>
      <c r="S30" s="5">
        <v>3</v>
      </c>
      <c r="T30" s="5" t="s">
        <v>6175</v>
      </c>
      <c r="U30" s="5">
        <v>14</v>
      </c>
      <c r="V30" s="5" t="s">
        <v>6174</v>
      </c>
      <c r="W30" s="5">
        <v>17</v>
      </c>
      <c r="X30" s="5" t="s">
        <v>5144</v>
      </c>
      <c r="Y30" s="5">
        <v>13</v>
      </c>
      <c r="Z30" s="35" t="s">
        <v>4856</v>
      </c>
      <c r="AA30" s="5">
        <v>8</v>
      </c>
      <c r="AB30" s="35" t="s">
        <v>1824</v>
      </c>
      <c r="AC30" s="5">
        <v>21</v>
      </c>
      <c r="AD30" s="5" t="s">
        <v>6178</v>
      </c>
      <c r="AE30" s="5"/>
      <c r="AF30" s="37" t="str">
        <f t="shared" si="0"/>
        <v>(182*'20 / 24'*509*'8,74 - 12,7 - 10,31 - 15,9'*'0,015'*65*0*0*0*3,56*0*3*14*17*13*8*21)*</v>
      </c>
    </row>
    <row r="31" spans="1:32" ht="20.149999999999999" customHeight="1" x14ac:dyDescent="0.3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6174</v>
      </c>
      <c r="W31" s="5">
        <v>17</v>
      </c>
      <c r="X31" s="5" t="s">
        <v>5559</v>
      </c>
      <c r="Y31" s="5">
        <v>14</v>
      </c>
      <c r="Z31" s="35" t="s">
        <v>1824</v>
      </c>
      <c r="AA31" s="5">
        <v>21</v>
      </c>
      <c r="AB31" s="35" t="s">
        <v>6179</v>
      </c>
      <c r="AC31" s="5">
        <v>122</v>
      </c>
      <c r="AD31" s="5"/>
      <c r="AE31" s="5"/>
      <c r="AF31" s="37" t="str">
        <f t="shared" si="0"/>
        <v>(183*'20'*3,6*'11,13'*'0,015'*70*70*0*0*0*0*4*21*17*14*21*122)*</v>
      </c>
    </row>
    <row r="32" spans="1:32" ht="20.149999999999999" customHeight="1" x14ac:dyDescent="0.35">
      <c r="A32" s="3">
        <v>184</v>
      </c>
      <c r="B32" s="27" t="s">
        <v>5146</v>
      </c>
      <c r="C32" s="22">
        <v>27760</v>
      </c>
      <c r="D32" s="15">
        <v>1</v>
      </c>
      <c r="E32" s="5" t="s">
        <v>4125</v>
      </c>
      <c r="F32" s="5">
        <v>11</v>
      </c>
      <c r="G32" s="5">
        <v>16</v>
      </c>
      <c r="H32" s="7">
        <v>40</v>
      </c>
      <c r="I32" s="31">
        <v>507</v>
      </c>
      <c r="J32" s="5" t="s">
        <v>6181</v>
      </c>
      <c r="K32" s="5">
        <v>1.4999999999999999E-2</v>
      </c>
      <c r="L32" s="5">
        <v>69.8</v>
      </c>
      <c r="M32" s="5">
        <v>69.8</v>
      </c>
      <c r="N32" s="5">
        <v>0</v>
      </c>
      <c r="O32" s="5">
        <v>0</v>
      </c>
      <c r="P32" s="5">
        <v>13.679</v>
      </c>
      <c r="Q32" s="5">
        <v>13.679</v>
      </c>
      <c r="R32" s="5" t="s">
        <v>5641</v>
      </c>
      <c r="S32" s="5">
        <v>3</v>
      </c>
      <c r="T32" s="5" t="s">
        <v>6175</v>
      </c>
      <c r="U32" s="5">
        <v>14</v>
      </c>
      <c r="V32" s="5" t="s">
        <v>6174</v>
      </c>
      <c r="W32" s="5">
        <v>17</v>
      </c>
      <c r="X32" s="5" t="s">
        <v>5559</v>
      </c>
      <c r="Y32" s="5">
        <v>14</v>
      </c>
      <c r="Z32" s="35" t="s">
        <v>4856</v>
      </c>
      <c r="AA32" s="5">
        <v>8</v>
      </c>
      <c r="AB32" s="35" t="s">
        <v>1824</v>
      </c>
      <c r="AC32" s="5">
        <v>21</v>
      </c>
      <c r="AD32" s="5" t="s">
        <v>6180</v>
      </c>
      <c r="AE32" s="5"/>
      <c r="AF32" s="37" t="str">
        <f t="shared" si="0"/>
        <v>(184*'40'*507*'11,13 - 12,7 - 19,05'*'0,015'*69,8*69,8*0*0*13,679*13,679*3*14*17*14*8*21)*</v>
      </c>
    </row>
    <row r="33" spans="1:32" ht="20.149999999999999" customHeight="1" x14ac:dyDescent="0.35">
      <c r="A33" s="3">
        <v>185</v>
      </c>
      <c r="B33" s="27" t="s">
        <v>5147</v>
      </c>
      <c r="C33" s="22">
        <v>29952</v>
      </c>
      <c r="D33" s="15">
        <v>1</v>
      </c>
      <c r="E33" s="5" t="s">
        <v>4125</v>
      </c>
      <c r="F33" s="5">
        <v>11</v>
      </c>
      <c r="G33" s="5">
        <v>16</v>
      </c>
      <c r="H33" s="7">
        <v>40</v>
      </c>
      <c r="I33" s="31">
        <v>511</v>
      </c>
      <c r="J33" s="5" t="s">
        <v>6181</v>
      </c>
      <c r="K33" s="5">
        <v>1.4999999999999999E-2</v>
      </c>
      <c r="L33" s="5">
        <v>67</v>
      </c>
      <c r="M33" s="5">
        <v>67</v>
      </c>
      <c r="N33" s="5">
        <v>0</v>
      </c>
      <c r="O33" s="5">
        <v>0</v>
      </c>
      <c r="P33" s="5">
        <v>12.507</v>
      </c>
      <c r="Q33" s="5">
        <v>12.507</v>
      </c>
      <c r="R33" s="5" t="s">
        <v>5641</v>
      </c>
      <c r="S33" s="5">
        <v>3</v>
      </c>
      <c r="T33" s="5" t="s">
        <v>6175</v>
      </c>
      <c r="U33" s="5">
        <v>14</v>
      </c>
      <c r="V33" s="5" t="s">
        <v>6174</v>
      </c>
      <c r="W33" s="5">
        <v>17</v>
      </c>
      <c r="X33" s="5" t="s">
        <v>5559</v>
      </c>
      <c r="Y33" s="5">
        <v>14</v>
      </c>
      <c r="Z33" s="35" t="s">
        <v>4856</v>
      </c>
      <c r="AA33" s="5">
        <v>8</v>
      </c>
      <c r="AB33" s="35" t="s">
        <v>1824</v>
      </c>
      <c r="AC33" s="5">
        <v>21</v>
      </c>
      <c r="AD33" s="5" t="s">
        <v>6223</v>
      </c>
      <c r="AE33" s="5"/>
      <c r="AF33" s="37" t="str">
        <f t="shared" si="0"/>
        <v>(185*'40'*511*'11,13 - 12,7 - 19,05'*'0,015'*67*67*0*0*12,507*12,507*3*14*17*14*8*21)*</v>
      </c>
    </row>
    <row r="34" spans="1:32" ht="20.149999999999999" customHeight="1" x14ac:dyDescent="0.35">
      <c r="A34" s="3">
        <v>186</v>
      </c>
      <c r="B34" s="27" t="s">
        <v>5148</v>
      </c>
      <c r="C34" s="22"/>
      <c r="D34" s="15">
        <v>1</v>
      </c>
      <c r="E34" s="5"/>
      <c r="F34" s="5">
        <v>11</v>
      </c>
      <c r="G34" s="5">
        <v>16</v>
      </c>
      <c r="H34" s="7">
        <v>40</v>
      </c>
      <c r="I34" s="31">
        <v>221</v>
      </c>
      <c r="J34" s="5" t="s">
        <v>6182</v>
      </c>
      <c r="K34" s="5"/>
      <c r="L34" s="5">
        <v>67</v>
      </c>
      <c r="M34" s="5">
        <v>0</v>
      </c>
      <c r="N34" s="5">
        <v>0</v>
      </c>
      <c r="O34" s="5">
        <v>0</v>
      </c>
      <c r="P34" s="5">
        <v>0</v>
      </c>
      <c r="Q34" s="5">
        <v>0</v>
      </c>
      <c r="R34" s="5"/>
      <c r="S34" s="5"/>
      <c r="T34" s="5"/>
      <c r="U34" s="5" t="s">
        <v>972</v>
      </c>
      <c r="V34" s="5"/>
      <c r="W34" s="5" t="s">
        <v>972</v>
      </c>
      <c r="X34" s="5"/>
      <c r="Y34" s="5"/>
      <c r="Z34" s="35"/>
      <c r="AA34" s="5"/>
      <c r="AB34" s="35"/>
      <c r="AC34" s="5"/>
      <c r="AD34" s="5"/>
      <c r="AE34" s="5"/>
      <c r="AF34" s="37" t="str">
        <f t="shared" si="0"/>
        <v>(186*'40'*221*'11,91 / 12,7 / 14,25 / 19,05'*''*67*0*0*0*0*0**NULL*NULL***)*</v>
      </c>
    </row>
    <row r="35" spans="1:32" ht="20.149999999999999" customHeight="1" x14ac:dyDescent="0.35">
      <c r="A35" s="3">
        <v>187</v>
      </c>
      <c r="B35" s="27" t="s">
        <v>5149</v>
      </c>
      <c r="C35" s="22">
        <v>32509</v>
      </c>
      <c r="D35" s="15">
        <v>1</v>
      </c>
      <c r="E35" s="5" t="s">
        <v>4125</v>
      </c>
      <c r="F35" s="5">
        <v>11</v>
      </c>
      <c r="G35" s="5">
        <v>16</v>
      </c>
      <c r="H35" s="7">
        <v>42</v>
      </c>
      <c r="I35" s="31">
        <v>517</v>
      </c>
      <c r="J35" s="5" t="s">
        <v>6183</v>
      </c>
      <c r="K35" s="5">
        <v>1.4999999999999999E-2</v>
      </c>
      <c r="L35" s="5">
        <v>65</v>
      </c>
      <c r="M35" s="5">
        <v>65</v>
      </c>
      <c r="N35" s="5">
        <v>0</v>
      </c>
      <c r="O35" s="5">
        <v>0</v>
      </c>
      <c r="P35" s="5">
        <v>14.462</v>
      </c>
      <c r="Q35" s="5">
        <v>14.462</v>
      </c>
      <c r="R35" s="5" t="s">
        <v>6184</v>
      </c>
      <c r="S35" s="5">
        <v>4</v>
      </c>
      <c r="T35" s="5" t="s">
        <v>6185</v>
      </c>
      <c r="U35" s="5">
        <v>14</v>
      </c>
      <c r="V35" s="5" t="s">
        <v>6174</v>
      </c>
      <c r="W35" s="5">
        <v>17</v>
      </c>
      <c r="X35" s="5" t="s">
        <v>5559</v>
      </c>
      <c r="Y35" s="5">
        <v>14</v>
      </c>
      <c r="Z35" s="35" t="s">
        <v>4856</v>
      </c>
      <c r="AA35" s="5">
        <v>8</v>
      </c>
      <c r="AB35" s="35" t="s">
        <v>1824</v>
      </c>
      <c r="AC35" s="5">
        <v>21</v>
      </c>
      <c r="AD35" s="5" t="s">
        <v>6186</v>
      </c>
      <c r="AE35" s="5"/>
      <c r="AF35" s="37" t="str">
        <f t="shared" si="0"/>
        <v>(187*'42'*517*'11,13 / 12,7 / 14,3 / 0,6 '*'0,015'*65*65*0*0*14,462*14,462*4*14*17*14*8*21)*</v>
      </c>
    </row>
    <row r="36" spans="1:32" ht="20.149999999999999" customHeight="1" x14ac:dyDescent="0.35">
      <c r="A36" s="3">
        <v>188</v>
      </c>
      <c r="B36" s="27" t="s">
        <v>5150</v>
      </c>
      <c r="C36" s="22"/>
      <c r="D36" s="15">
        <v>1</v>
      </c>
      <c r="E36" s="5"/>
      <c r="F36" s="5">
        <v>11</v>
      </c>
      <c r="G36" s="5">
        <v>16</v>
      </c>
      <c r="H36" s="7"/>
      <c r="I36" s="31"/>
      <c r="J36" s="5"/>
      <c r="K36" s="5"/>
      <c r="L36" s="5">
        <v>0</v>
      </c>
      <c r="M36" s="5">
        <v>0</v>
      </c>
      <c r="N36" s="5">
        <v>0</v>
      </c>
      <c r="O36" s="5">
        <v>0</v>
      </c>
      <c r="P36" s="5">
        <v>0</v>
      </c>
      <c r="Q36" s="5">
        <v>0</v>
      </c>
      <c r="R36" s="5"/>
      <c r="S36" s="5"/>
      <c r="T36" s="5"/>
      <c r="U36" s="5" t="s">
        <v>972</v>
      </c>
      <c r="V36" s="5"/>
      <c r="W36" s="5" t="s">
        <v>972</v>
      </c>
      <c r="X36" s="5"/>
      <c r="Y36" s="5"/>
      <c r="Z36" s="35"/>
      <c r="AA36" s="5"/>
      <c r="AB36" s="35"/>
      <c r="AC36" s="5"/>
      <c r="AD36" s="5"/>
      <c r="AE36" s="5"/>
      <c r="AF36" s="37" t="str">
        <f t="shared" si="0"/>
        <v>(188*''**''*''*0*0*0*0*0*0**NULL*NULL***)*</v>
      </c>
    </row>
    <row r="37" spans="1:32" ht="20.149999999999999" customHeight="1" x14ac:dyDescent="0.35">
      <c r="A37" s="3">
        <v>189</v>
      </c>
      <c r="B37" s="27" t="s">
        <v>5151</v>
      </c>
      <c r="C37" s="22"/>
      <c r="D37" s="15">
        <v>1</v>
      </c>
      <c r="E37" s="5"/>
      <c r="F37" s="5">
        <v>11</v>
      </c>
      <c r="G37" s="5">
        <v>16</v>
      </c>
      <c r="H37" s="7"/>
      <c r="I37" s="31"/>
      <c r="J37" s="5"/>
      <c r="K37" s="5"/>
      <c r="L37" s="5">
        <v>0</v>
      </c>
      <c r="M37" s="5">
        <v>0</v>
      </c>
      <c r="N37" s="5">
        <v>0</v>
      </c>
      <c r="O37" s="5">
        <v>0</v>
      </c>
      <c r="P37" s="5">
        <v>0</v>
      </c>
      <c r="Q37" s="5">
        <v>0</v>
      </c>
      <c r="R37" s="5"/>
      <c r="S37" s="5"/>
      <c r="T37" s="5"/>
      <c r="U37" s="5" t="s">
        <v>972</v>
      </c>
      <c r="V37" s="5"/>
      <c r="W37" s="5" t="s">
        <v>972</v>
      </c>
      <c r="X37" s="5"/>
      <c r="Y37" s="5"/>
      <c r="Z37" s="35"/>
      <c r="AA37" s="5"/>
      <c r="AB37" s="35"/>
      <c r="AC37" s="5"/>
      <c r="AD37" s="5"/>
      <c r="AE37" s="5"/>
      <c r="AF37" s="37" t="str">
        <f t="shared" si="0"/>
        <v>(189*''**''*''*0*0*0*0*0*0**NULL*NULL***)*</v>
      </c>
    </row>
    <row r="38" spans="1:32" ht="20.149999999999999" customHeight="1" x14ac:dyDescent="0.35">
      <c r="A38" s="3">
        <v>190</v>
      </c>
      <c r="B38" s="27" t="s">
        <v>5152</v>
      </c>
      <c r="C38" s="22">
        <v>39841</v>
      </c>
      <c r="D38" s="15">
        <v>1</v>
      </c>
      <c r="E38" s="5" t="s">
        <v>4125</v>
      </c>
      <c r="F38" s="5">
        <v>11</v>
      </c>
      <c r="G38" s="5">
        <v>16</v>
      </c>
      <c r="H38" s="7">
        <v>48</v>
      </c>
      <c r="I38" s="31">
        <v>513.17200000000003</v>
      </c>
      <c r="J38" s="7" t="s">
        <v>6187</v>
      </c>
      <c r="K38" s="5">
        <v>1.4999999999999999E-2</v>
      </c>
      <c r="L38" s="5">
        <v>70</v>
      </c>
      <c r="M38" s="5">
        <v>70</v>
      </c>
      <c r="N38" s="5">
        <v>0</v>
      </c>
      <c r="O38" s="5">
        <v>0</v>
      </c>
      <c r="P38" s="5">
        <v>0</v>
      </c>
      <c r="Q38" s="5">
        <v>0</v>
      </c>
      <c r="R38" s="5" t="s">
        <v>6189</v>
      </c>
      <c r="S38" s="5">
        <v>6</v>
      </c>
      <c r="T38" s="5" t="s">
        <v>5638</v>
      </c>
      <c r="U38" s="5">
        <v>11</v>
      </c>
      <c r="V38" s="5"/>
      <c r="W38" s="5" t="s">
        <v>972</v>
      </c>
      <c r="X38" s="5" t="s">
        <v>5265</v>
      </c>
      <c r="Y38" s="5">
        <v>15</v>
      </c>
      <c r="Z38" s="35" t="s">
        <v>4856</v>
      </c>
      <c r="AA38" s="5">
        <v>8</v>
      </c>
      <c r="AB38" s="35" t="s">
        <v>1824</v>
      </c>
      <c r="AC38" s="5">
        <v>21</v>
      </c>
      <c r="AD38" s="5" t="s">
        <v>6188</v>
      </c>
      <c r="AE38" s="5"/>
      <c r="AF38" s="37" t="str">
        <f t="shared" si="0"/>
        <v>(190*'48'*513,172*'11,91 - 22,22'*'0,015'*70*70*0*0*0*0*6*11*NULL*15*8*21)*</v>
      </c>
    </row>
    <row r="39" spans="1:32" ht="20.149999999999999" customHeight="1" x14ac:dyDescent="0.35">
      <c r="A39" s="3">
        <v>191</v>
      </c>
      <c r="B39" s="27" t="s">
        <v>5153</v>
      </c>
      <c r="C39" s="22">
        <v>40284</v>
      </c>
      <c r="D39" s="15">
        <v>1</v>
      </c>
      <c r="E39" s="5" t="s">
        <v>4125</v>
      </c>
      <c r="F39" s="5">
        <v>11</v>
      </c>
      <c r="G39" s="5">
        <v>16</v>
      </c>
      <c r="H39" s="7">
        <v>48</v>
      </c>
      <c r="I39" s="31">
        <v>120.37</v>
      </c>
      <c r="J39" s="7" t="s">
        <v>6187</v>
      </c>
      <c r="K39" s="5">
        <v>1.4999999999999999E-2</v>
      </c>
      <c r="L39" s="5">
        <v>70</v>
      </c>
      <c r="M39" s="5">
        <v>45</v>
      </c>
      <c r="N39" s="5">
        <v>0</v>
      </c>
      <c r="O39" s="5">
        <v>0</v>
      </c>
      <c r="P39" s="5">
        <v>0</v>
      </c>
      <c r="Q39" s="5">
        <v>0</v>
      </c>
      <c r="R39" s="5" t="s">
        <v>6189</v>
      </c>
      <c r="S39" s="5">
        <v>6</v>
      </c>
      <c r="T39" s="5" t="s">
        <v>5638</v>
      </c>
      <c r="U39" s="5">
        <v>11</v>
      </c>
      <c r="V39" s="5"/>
      <c r="W39" s="5" t="s">
        <v>972</v>
      </c>
      <c r="X39" s="5" t="s">
        <v>5265</v>
      </c>
      <c r="Y39" s="5">
        <v>15</v>
      </c>
      <c r="Z39" s="35" t="s">
        <v>6191</v>
      </c>
      <c r="AA39" s="5" t="s">
        <v>6191</v>
      </c>
      <c r="AB39" s="35" t="s">
        <v>2048</v>
      </c>
      <c r="AC39" s="5">
        <v>3</v>
      </c>
      <c r="AD39" s="5" t="s">
        <v>6190</v>
      </c>
      <c r="AE39" s="5"/>
      <c r="AF39" s="37" t="str">
        <f t="shared" si="0"/>
        <v>(191*'48'*120,37*'11,91 - 22,22'*'0,015'*70*45*0*0*0*0*6*11*NULL*15*Mactaa Douz*3)*</v>
      </c>
    </row>
    <row r="40" spans="1:32" ht="20.149999999999999" customHeight="1" x14ac:dyDescent="0.35">
      <c r="A40" s="3">
        <v>192</v>
      </c>
      <c r="B40" s="27" t="s">
        <v>5154</v>
      </c>
      <c r="C40" s="22"/>
      <c r="D40" s="15">
        <v>1</v>
      </c>
      <c r="E40" s="5"/>
      <c r="F40" s="5">
        <v>11</v>
      </c>
      <c r="G40" s="5">
        <v>16</v>
      </c>
      <c r="H40" s="7"/>
      <c r="I40" s="31"/>
      <c r="J40" s="5"/>
      <c r="K40" s="5"/>
      <c r="L40" s="5">
        <v>0</v>
      </c>
      <c r="M40" s="5">
        <v>0</v>
      </c>
      <c r="N40" s="5">
        <v>0</v>
      </c>
      <c r="O40" s="5">
        <v>0</v>
      </c>
      <c r="P40" s="5">
        <v>0</v>
      </c>
      <c r="Q40" s="5">
        <v>0</v>
      </c>
      <c r="R40" s="5"/>
      <c r="S40" s="5"/>
      <c r="T40" s="5"/>
      <c r="U40" s="5" t="s">
        <v>972</v>
      </c>
      <c r="V40" s="5"/>
      <c r="W40" s="5" t="s">
        <v>972</v>
      </c>
      <c r="X40" s="5"/>
      <c r="Y40" s="5"/>
      <c r="Z40" s="35"/>
      <c r="AA40" s="5"/>
      <c r="AB40" s="35"/>
      <c r="AC40" s="5"/>
      <c r="AD40" s="5"/>
      <c r="AE40" s="5"/>
      <c r="AF40" s="37" t="str">
        <f t="shared" si="0"/>
        <v>(192*''**''*''*0*0*0*0*0*0**NULL*NULL***)*</v>
      </c>
    </row>
    <row r="41" spans="1:32" ht="20.149999999999999" customHeight="1" x14ac:dyDescent="0.35">
      <c r="A41" s="3">
        <v>193</v>
      </c>
      <c r="B41" s="27" t="s">
        <v>5155</v>
      </c>
      <c r="C41" s="22">
        <v>25934</v>
      </c>
      <c r="D41" s="15">
        <v>1</v>
      </c>
      <c r="E41" s="5" t="s">
        <v>4133</v>
      </c>
      <c r="F41" s="5">
        <v>13</v>
      </c>
      <c r="G41" s="5">
        <v>16</v>
      </c>
      <c r="H41" s="7">
        <v>40</v>
      </c>
      <c r="I41" s="31">
        <v>574.87</v>
      </c>
      <c r="J41" s="5" t="s">
        <v>6202</v>
      </c>
      <c r="K41" s="5">
        <v>3.5000000000000003E-2</v>
      </c>
      <c r="L41" s="5">
        <v>70</v>
      </c>
      <c r="M41" s="5">
        <v>70</v>
      </c>
      <c r="N41" s="5">
        <v>0</v>
      </c>
      <c r="O41" s="5">
        <v>0</v>
      </c>
      <c r="P41" s="5">
        <v>20.47</v>
      </c>
      <c r="Q41" s="5">
        <v>20.47</v>
      </c>
      <c r="R41" s="5" t="s">
        <v>6201</v>
      </c>
      <c r="S41" s="5">
        <v>4</v>
      </c>
      <c r="T41" s="5" t="s">
        <v>6198</v>
      </c>
      <c r="U41" s="5">
        <v>14</v>
      </c>
      <c r="V41" s="5" t="s">
        <v>6174</v>
      </c>
      <c r="W41" s="5">
        <v>17</v>
      </c>
      <c r="X41" s="5" t="s">
        <v>5563</v>
      </c>
      <c r="Y41" s="5">
        <v>17</v>
      </c>
      <c r="Z41" s="35" t="s">
        <v>4856</v>
      </c>
      <c r="AA41" s="5">
        <v>8</v>
      </c>
      <c r="AB41" s="35" t="s">
        <v>1012</v>
      </c>
      <c r="AC41" s="5">
        <v>34</v>
      </c>
      <c r="AD41" s="5" t="s">
        <v>6224</v>
      </c>
      <c r="AE41" s="5"/>
      <c r="AF41" s="37" t="str">
        <f t="shared" si="0"/>
        <v>(193*'40'*574,87*'12,7 / 15,88 / 19,43 / 19,05 '*'0,035'*70*70*0*0*20,47*20,47*4*14*17*17*8*34)*</v>
      </c>
    </row>
    <row r="42" spans="1:32" ht="20.149999999999999" customHeight="1" x14ac:dyDescent="0.35">
      <c r="A42" s="3">
        <v>194</v>
      </c>
      <c r="B42" s="27" t="s">
        <v>5156</v>
      </c>
      <c r="C42" s="22">
        <v>35796</v>
      </c>
      <c r="D42" s="15">
        <v>1</v>
      </c>
      <c r="E42" s="5" t="s">
        <v>4133</v>
      </c>
      <c r="F42" s="5">
        <v>13</v>
      </c>
      <c r="G42" s="5">
        <v>16</v>
      </c>
      <c r="H42" s="7">
        <v>42</v>
      </c>
      <c r="I42" s="31">
        <v>575.54499999999996</v>
      </c>
      <c r="J42" s="5"/>
      <c r="K42" s="5">
        <v>1.4999999999999999E-2</v>
      </c>
      <c r="L42" s="5">
        <v>70</v>
      </c>
      <c r="M42" s="5">
        <v>70</v>
      </c>
      <c r="N42" s="5">
        <v>0</v>
      </c>
      <c r="O42" s="5">
        <v>0</v>
      </c>
      <c r="P42" s="5">
        <v>20.47</v>
      </c>
      <c r="Q42" s="5">
        <v>20.47</v>
      </c>
      <c r="R42" s="5" t="s">
        <v>6199</v>
      </c>
      <c r="S42" s="5">
        <v>4</v>
      </c>
      <c r="T42" s="5" t="s">
        <v>6198</v>
      </c>
      <c r="U42" s="5">
        <v>14</v>
      </c>
      <c r="V42" s="5" t="s">
        <v>6174</v>
      </c>
      <c r="W42" s="5">
        <v>17</v>
      </c>
      <c r="X42" s="5" t="s">
        <v>5563</v>
      </c>
      <c r="Y42" s="5">
        <v>17</v>
      </c>
      <c r="Z42" s="35" t="s">
        <v>4856</v>
      </c>
      <c r="AA42" s="5">
        <v>8</v>
      </c>
      <c r="AB42" s="35" t="s">
        <v>1012</v>
      </c>
      <c r="AC42" s="5">
        <v>34</v>
      </c>
      <c r="AD42" s="5" t="s">
        <v>6200</v>
      </c>
      <c r="AE42" s="5"/>
      <c r="AF42" s="37" t="str">
        <f t="shared" si="0"/>
        <v>(194*'42'*575,545*''*'0,015'*70*70*0*0*20,47*20,47*4*14*17*17*8*34)*</v>
      </c>
    </row>
    <row r="43" spans="1:32" ht="20.149999999999999" customHeight="1" x14ac:dyDescent="0.35">
      <c r="A43" s="3">
        <v>195</v>
      </c>
      <c r="B43" s="27" t="s">
        <v>5157</v>
      </c>
      <c r="C43" s="22"/>
      <c r="D43" s="15">
        <v>1</v>
      </c>
      <c r="E43" s="5"/>
      <c r="F43" s="5">
        <v>13</v>
      </c>
      <c r="G43" s="5">
        <v>16</v>
      </c>
      <c r="H43" s="7"/>
      <c r="I43" s="31"/>
      <c r="J43" s="5"/>
      <c r="K43" s="5"/>
      <c r="L43" s="5">
        <v>0</v>
      </c>
      <c r="M43" s="5">
        <v>0</v>
      </c>
      <c r="N43" s="5">
        <v>0</v>
      </c>
      <c r="O43" s="5">
        <v>0</v>
      </c>
      <c r="P43" s="5">
        <v>9.66</v>
      </c>
      <c r="Q43" s="5">
        <v>9.66</v>
      </c>
      <c r="R43" s="5"/>
      <c r="S43" s="5"/>
      <c r="T43" s="5"/>
      <c r="U43" s="5" t="s">
        <v>972</v>
      </c>
      <c r="V43" s="5"/>
      <c r="W43" s="5" t="s">
        <v>972</v>
      </c>
      <c r="X43" s="5" t="s">
        <v>5266</v>
      </c>
      <c r="Y43" s="5">
        <v>18</v>
      </c>
      <c r="Z43" s="35"/>
      <c r="AA43" s="5"/>
      <c r="AB43" s="35"/>
      <c r="AC43" s="5"/>
      <c r="AD43" s="5"/>
      <c r="AE43" s="5"/>
      <c r="AF43" s="37" t="str">
        <f t="shared" si="0"/>
        <v>(195*''**''*''*0*0*0*0*9,66*9,66**NULL*NULL*18**)*</v>
      </c>
    </row>
    <row r="44" spans="1:32" ht="20.149999999999999" customHeight="1" x14ac:dyDescent="0.35">
      <c r="A44" s="3">
        <v>196</v>
      </c>
      <c r="B44" s="27" t="s">
        <v>5158</v>
      </c>
      <c r="C44" s="22"/>
      <c r="D44" s="15">
        <v>1</v>
      </c>
      <c r="E44" s="5"/>
      <c r="F44" s="5">
        <v>13</v>
      </c>
      <c r="G44" s="5">
        <v>16</v>
      </c>
      <c r="H44" s="7">
        <v>48</v>
      </c>
      <c r="I44" s="31">
        <v>87</v>
      </c>
      <c r="J44" s="5" t="s">
        <v>6203</v>
      </c>
      <c r="K44" s="5">
        <v>1.4999999999999999E-2</v>
      </c>
      <c r="L44" s="5">
        <v>71.5</v>
      </c>
      <c r="M44" s="5">
        <v>0</v>
      </c>
      <c r="N44" s="5">
        <v>0</v>
      </c>
      <c r="O44" s="5">
        <v>0</v>
      </c>
      <c r="P44" s="5">
        <v>0</v>
      </c>
      <c r="Q44" s="5">
        <v>0</v>
      </c>
      <c r="R44" s="5" t="s">
        <v>6193</v>
      </c>
      <c r="S44" s="5">
        <v>6</v>
      </c>
      <c r="T44" s="5"/>
      <c r="U44" s="5" t="s">
        <v>972</v>
      </c>
      <c r="V44" s="5"/>
      <c r="W44" s="5" t="s">
        <v>972</v>
      </c>
      <c r="X44" s="5" t="s">
        <v>5266</v>
      </c>
      <c r="Y44" s="5">
        <v>18</v>
      </c>
      <c r="Z44" s="35"/>
      <c r="AA44" s="5"/>
      <c r="AB44" s="35"/>
      <c r="AC44" s="5"/>
      <c r="AD44" s="5"/>
      <c r="AE44" s="5"/>
      <c r="AF44" s="37" t="str">
        <f t="shared" si="0"/>
        <v>(196*'48'*87*'14,3 / 22,22'*'0,015'*71,5*0*0*0*0*0*6*NULL*NULL*18**)*</v>
      </c>
    </row>
    <row r="45" spans="1:32" ht="20.149999999999999" customHeight="1" x14ac:dyDescent="0.35">
      <c r="A45" s="3">
        <v>197</v>
      </c>
      <c r="B45" s="27" t="s">
        <v>5159</v>
      </c>
      <c r="C45" s="22">
        <v>29587</v>
      </c>
      <c r="D45" s="15">
        <v>1</v>
      </c>
      <c r="E45" s="5" t="s">
        <v>4141</v>
      </c>
      <c r="F45" s="5">
        <v>15</v>
      </c>
      <c r="G45" s="5">
        <v>16</v>
      </c>
      <c r="H45" s="7">
        <v>42</v>
      </c>
      <c r="I45" s="31">
        <v>437</v>
      </c>
      <c r="J45" s="5" t="s">
        <v>6232</v>
      </c>
      <c r="K45" s="5">
        <v>1.4999999999999999E-2</v>
      </c>
      <c r="L45" s="5">
        <v>70</v>
      </c>
      <c r="M45" s="5">
        <v>70</v>
      </c>
      <c r="N45" s="5">
        <v>0</v>
      </c>
      <c r="O45" s="5">
        <v>0</v>
      </c>
      <c r="P45" s="5">
        <v>11.3</v>
      </c>
      <c r="Q45" s="5">
        <v>11.3</v>
      </c>
      <c r="R45" s="5" t="s">
        <v>5637</v>
      </c>
      <c r="S45" s="5">
        <v>4</v>
      </c>
      <c r="T45" s="5">
        <v>11.3</v>
      </c>
      <c r="U45" s="5">
        <v>14</v>
      </c>
      <c r="V45" s="5"/>
      <c r="W45" s="5" t="s">
        <v>972</v>
      </c>
      <c r="X45" s="5" t="s">
        <v>5159</v>
      </c>
      <c r="Y45" s="5">
        <v>20</v>
      </c>
      <c r="Z45" s="35" t="s">
        <v>4856</v>
      </c>
      <c r="AA45" s="5">
        <v>8</v>
      </c>
      <c r="AB45" s="35" t="s">
        <v>6235</v>
      </c>
      <c r="AC45" s="5">
        <v>24</v>
      </c>
      <c r="AD45" s="5" t="s">
        <v>6233</v>
      </c>
      <c r="AE45" s="5"/>
      <c r="AF45" s="37" t="str">
        <f t="shared" si="0"/>
        <v>(197*'42'*437*'11,91 / 12,7 / 19,05'*'0,015'*70*70*0*0*11,3*11,3*4*14*NULL*20*8*24)*</v>
      </c>
    </row>
    <row r="46" spans="1:32" ht="20.149999999999999" customHeight="1" x14ac:dyDescent="0.35">
      <c r="A46" s="3">
        <v>198</v>
      </c>
      <c r="B46" s="27" t="s">
        <v>5160</v>
      </c>
      <c r="C46" s="22">
        <v>43800</v>
      </c>
      <c r="D46" s="15">
        <v>1</v>
      </c>
      <c r="E46" s="5" t="s">
        <v>4141</v>
      </c>
      <c r="F46" s="5">
        <v>15</v>
      </c>
      <c r="G46" s="5">
        <v>16</v>
      </c>
      <c r="H46" s="7">
        <v>42</v>
      </c>
      <c r="I46" s="31">
        <v>207</v>
      </c>
      <c r="J46" s="5" t="s">
        <v>6234</v>
      </c>
      <c r="K46" s="5"/>
      <c r="L46" s="5">
        <v>70</v>
      </c>
      <c r="M46" s="5">
        <v>70</v>
      </c>
      <c r="N46" s="5">
        <v>0</v>
      </c>
      <c r="O46" s="5">
        <v>0</v>
      </c>
      <c r="P46" s="5">
        <v>0</v>
      </c>
      <c r="Q46" s="5">
        <v>0</v>
      </c>
      <c r="R46" s="5" t="s">
        <v>6193</v>
      </c>
      <c r="S46" s="5">
        <v>6</v>
      </c>
      <c r="T46" s="5" t="s">
        <v>5652</v>
      </c>
      <c r="U46" s="5" t="s">
        <v>972</v>
      </c>
      <c r="V46" s="5"/>
      <c r="W46" s="5" t="s">
        <v>972</v>
      </c>
      <c r="X46" s="5" t="s">
        <v>5159</v>
      </c>
      <c r="Y46" s="5">
        <v>20</v>
      </c>
      <c r="Z46" s="35" t="s">
        <v>6236</v>
      </c>
      <c r="AA46" s="5">
        <v>9</v>
      </c>
      <c r="AB46" s="35" t="s">
        <v>6235</v>
      </c>
      <c r="AC46" s="5">
        <v>24</v>
      </c>
      <c r="AD46" s="5"/>
      <c r="AE46" s="5"/>
      <c r="AF46" s="37" t="str">
        <f t="shared" si="0"/>
        <v>(198*'42'*207*'20,62 / 14,27'*''*70*70*0*0*0*0*6*NULL*NULL*20*9*24)*</v>
      </c>
    </row>
    <row r="47" spans="1:32" ht="20.149999999999999" customHeight="1" x14ac:dyDescent="0.35">
      <c r="A47" s="3">
        <v>199</v>
      </c>
      <c r="B47" s="27" t="s">
        <v>5161</v>
      </c>
      <c r="C47" s="22"/>
      <c r="D47" s="15">
        <v>1</v>
      </c>
      <c r="E47" s="5"/>
      <c r="F47" s="5"/>
      <c r="G47" s="5">
        <v>16</v>
      </c>
      <c r="H47" s="7"/>
      <c r="I47" s="31"/>
      <c r="J47" s="5"/>
      <c r="K47" s="5"/>
      <c r="L47" s="5">
        <v>0</v>
      </c>
      <c r="M47" s="5">
        <v>0</v>
      </c>
      <c r="N47" s="5">
        <v>0</v>
      </c>
      <c r="O47" s="5">
        <v>0</v>
      </c>
      <c r="P47" s="5">
        <v>0</v>
      </c>
      <c r="Q47" s="5">
        <v>0</v>
      </c>
      <c r="R47" s="5"/>
      <c r="S47" s="5"/>
      <c r="T47" s="5"/>
      <c r="U47" s="5" t="s">
        <v>972</v>
      </c>
      <c r="V47" s="5"/>
      <c r="W47" s="5" t="s">
        <v>972</v>
      </c>
      <c r="X47" s="5"/>
      <c r="Y47" s="5"/>
      <c r="Z47" s="35"/>
      <c r="AA47" s="5"/>
      <c r="AB47" s="35"/>
      <c r="AC47" s="5"/>
      <c r="AD47" s="5"/>
      <c r="AE47" s="5"/>
      <c r="AF47" s="37" t="str">
        <f t="shared" si="0"/>
        <v>(199*''**''*''*0*0*0*0*0*0**NULL*NULL***)*</v>
      </c>
    </row>
    <row r="48" spans="1:32" ht="20.149999999999999" customHeight="1" x14ac:dyDescent="0.35">
      <c r="A48" s="3">
        <v>200</v>
      </c>
      <c r="B48" s="27" t="s">
        <v>5162</v>
      </c>
      <c r="C48" s="22">
        <v>31413</v>
      </c>
      <c r="D48" s="15">
        <v>1</v>
      </c>
      <c r="E48" s="5" t="s">
        <v>4137</v>
      </c>
      <c r="F48" s="5">
        <v>14</v>
      </c>
      <c r="G48" s="5">
        <v>16</v>
      </c>
      <c r="H48" s="7" t="s">
        <v>6207</v>
      </c>
      <c r="I48" s="31">
        <v>966</v>
      </c>
      <c r="J48" s="5" t="s">
        <v>6209</v>
      </c>
      <c r="K48" s="5">
        <v>1.4999999999999999E-2</v>
      </c>
      <c r="L48" s="5">
        <v>71</v>
      </c>
      <c r="M48" s="5">
        <v>71</v>
      </c>
      <c r="N48" s="5">
        <v>0</v>
      </c>
      <c r="O48" s="5">
        <v>0</v>
      </c>
      <c r="P48" s="5">
        <v>15.76</v>
      </c>
      <c r="Q48" s="5">
        <v>15.76</v>
      </c>
      <c r="R48" s="5" t="s">
        <v>6208</v>
      </c>
      <c r="S48" s="5">
        <v>6</v>
      </c>
      <c r="T48" s="5" t="s">
        <v>5668</v>
      </c>
      <c r="U48" s="5">
        <v>14</v>
      </c>
      <c r="V48" s="5" t="s">
        <v>6174</v>
      </c>
      <c r="W48" s="5">
        <v>17</v>
      </c>
      <c r="X48" s="5" t="s">
        <v>5569</v>
      </c>
      <c r="Y48" s="5">
        <v>21</v>
      </c>
      <c r="Z48" s="35" t="s">
        <v>5392</v>
      </c>
      <c r="AA48" s="5">
        <v>20</v>
      </c>
      <c r="AB48" s="35" t="s">
        <v>4856</v>
      </c>
      <c r="AC48" s="5">
        <v>8</v>
      </c>
      <c r="AD48" s="5" t="s">
        <v>6225</v>
      </c>
      <c r="AE48" s="5"/>
      <c r="AF48" s="37" t="str">
        <f t="shared" si="0"/>
        <v>(200*'42 / 48'*966*'11,92 / 12,7 / 13,35 / 14,27 / 15,88 / 22,22'*'0,015'*71*71*0*0*15,76*15,76*6*14*17*21*20*8)*</v>
      </c>
    </row>
    <row r="49" spans="1:32" ht="20.149999999999999" customHeight="1" x14ac:dyDescent="0.35">
      <c r="A49" s="3">
        <v>201</v>
      </c>
      <c r="B49" s="27" t="s">
        <v>5163</v>
      </c>
      <c r="C49" s="22">
        <v>36161</v>
      </c>
      <c r="D49" s="15">
        <v>1</v>
      </c>
      <c r="E49" s="5" t="s">
        <v>4137</v>
      </c>
      <c r="F49" s="5">
        <v>14</v>
      </c>
      <c r="G49" s="5">
        <v>16</v>
      </c>
      <c r="H49" s="7" t="s">
        <v>6207</v>
      </c>
      <c r="I49" s="31">
        <v>966</v>
      </c>
      <c r="J49" s="5" t="s">
        <v>6210</v>
      </c>
      <c r="K49" s="5">
        <v>1.4999999999999999E-2</v>
      </c>
      <c r="L49" s="5">
        <v>71</v>
      </c>
      <c r="M49" s="5">
        <v>71</v>
      </c>
      <c r="N49" s="5">
        <v>0</v>
      </c>
      <c r="O49" s="5">
        <v>0</v>
      </c>
      <c r="P49" s="5">
        <v>15.77</v>
      </c>
      <c r="Q49" s="5">
        <v>15.77</v>
      </c>
      <c r="R49" s="5" t="s">
        <v>6193</v>
      </c>
      <c r="S49" s="5">
        <v>6</v>
      </c>
      <c r="T49" s="5" t="s">
        <v>5638</v>
      </c>
      <c r="U49" s="5">
        <v>11</v>
      </c>
      <c r="V49" s="5" t="s">
        <v>6174</v>
      </c>
      <c r="W49" s="5">
        <v>17</v>
      </c>
      <c r="X49" s="5" t="s">
        <v>5569</v>
      </c>
      <c r="Y49" s="5">
        <v>21</v>
      </c>
      <c r="Z49" s="35" t="s">
        <v>5392</v>
      </c>
      <c r="AA49" s="5">
        <v>20</v>
      </c>
      <c r="AB49" s="35" t="s">
        <v>4856</v>
      </c>
      <c r="AC49" s="5">
        <v>8</v>
      </c>
      <c r="AD49" s="5" t="s">
        <v>6226</v>
      </c>
      <c r="AE49" s="5"/>
      <c r="AF49" s="37" t="str">
        <f t="shared" si="0"/>
        <v>(201*'42 / 48'*966*'11,91 / 12,7 / 14,27 / 19,05 / 22,22'*'0,015'*71*71*0*0*15,77*15,77*6*11*17*21*20*8)*</v>
      </c>
    </row>
    <row r="50" spans="1:32" ht="20.149999999999999" customHeight="1" x14ac:dyDescent="0.35">
      <c r="A50" s="3">
        <v>202</v>
      </c>
      <c r="B50" s="27" t="s">
        <v>5164</v>
      </c>
      <c r="C50" s="22">
        <v>37622</v>
      </c>
      <c r="D50" s="15">
        <v>1</v>
      </c>
      <c r="E50" s="5" t="s">
        <v>4089</v>
      </c>
      <c r="F50" s="5">
        <v>2</v>
      </c>
      <c r="G50" s="5">
        <v>2</v>
      </c>
      <c r="H50" s="7">
        <v>48</v>
      </c>
      <c r="I50" s="31">
        <v>520</v>
      </c>
      <c r="J50" s="5"/>
      <c r="K50" s="5"/>
      <c r="L50" s="5">
        <v>0</v>
      </c>
      <c r="M50" s="5">
        <v>0</v>
      </c>
      <c r="N50" s="5">
        <v>0</v>
      </c>
      <c r="O50" s="5">
        <v>0</v>
      </c>
      <c r="P50" s="5">
        <v>0</v>
      </c>
      <c r="Q50" s="5">
        <v>0</v>
      </c>
      <c r="R50" s="5"/>
      <c r="S50" s="5"/>
      <c r="T50" s="5"/>
      <c r="U50" s="5" t="s">
        <v>972</v>
      </c>
      <c r="V50" s="5"/>
      <c r="W50" s="5" t="s">
        <v>972</v>
      </c>
      <c r="X50" s="5"/>
      <c r="Y50" s="5"/>
      <c r="Z50" s="35"/>
      <c r="AA50" s="5"/>
      <c r="AB50" s="35"/>
      <c r="AC50" s="5"/>
      <c r="AD50" s="5"/>
      <c r="AE50" s="5"/>
      <c r="AF50" s="37" t="str">
        <f t="shared" si="0"/>
        <v>(202*'48'*520*''*''*0*0*0*0*0*0**NULL*NULL***)*</v>
      </c>
    </row>
    <row r="51" spans="1:32" ht="20.149999999999999" customHeight="1" x14ac:dyDescent="0.35">
      <c r="A51" s="3">
        <v>203</v>
      </c>
      <c r="B51" s="27" t="s">
        <v>5165</v>
      </c>
      <c r="C51" s="22">
        <v>41640</v>
      </c>
      <c r="D51" s="15">
        <v>1</v>
      </c>
      <c r="E51" s="5" t="s">
        <v>4137</v>
      </c>
      <c r="F51" s="5">
        <v>14</v>
      </c>
      <c r="G51" s="5">
        <v>16</v>
      </c>
      <c r="H51" s="7">
        <v>48</v>
      </c>
      <c r="I51" s="31">
        <v>535</v>
      </c>
      <c r="J51" s="5" t="s">
        <v>6192</v>
      </c>
      <c r="K51" s="5">
        <v>1.4999999999999999E-2</v>
      </c>
      <c r="L51" s="5">
        <v>71</v>
      </c>
      <c r="M51" s="5">
        <v>71</v>
      </c>
      <c r="N51" s="5">
        <v>0</v>
      </c>
      <c r="O51" s="5">
        <v>0</v>
      </c>
      <c r="P51" s="5">
        <v>11.05</v>
      </c>
      <c r="Q51" s="5">
        <v>11.05</v>
      </c>
      <c r="R51" s="5" t="s">
        <v>6193</v>
      </c>
      <c r="S51" s="5">
        <v>6</v>
      </c>
      <c r="T51" s="5"/>
      <c r="U51" s="5" t="s">
        <v>972</v>
      </c>
      <c r="V51" s="5" t="s">
        <v>972</v>
      </c>
      <c r="W51" s="5" t="s">
        <v>972</v>
      </c>
      <c r="X51" s="5" t="s">
        <v>5569</v>
      </c>
      <c r="Y51" s="5">
        <v>21</v>
      </c>
      <c r="Z51" s="35" t="s">
        <v>6211</v>
      </c>
      <c r="AA51" s="5">
        <v>18</v>
      </c>
      <c r="AB51" s="35" t="s">
        <v>4856</v>
      </c>
      <c r="AC51" s="5">
        <v>8</v>
      </c>
      <c r="AD51" s="5" t="s">
        <v>6190</v>
      </c>
      <c r="AE51" s="5"/>
      <c r="AF51" s="37" t="str">
        <f t="shared" si="0"/>
        <v>(203*'48'*535*'12,7 / 14,27 / 22,22'*'0,015'*71*71*0*0*11,05*11,05*6*NULL*NULL*21*18*8)*</v>
      </c>
    </row>
    <row r="52" spans="1:32" ht="20.149999999999999" customHeight="1" x14ac:dyDescent="0.35">
      <c r="A52" s="3">
        <v>204</v>
      </c>
      <c r="B52" s="27" t="s">
        <v>5166</v>
      </c>
      <c r="C52" s="22">
        <v>42887</v>
      </c>
      <c r="D52" s="15">
        <v>1</v>
      </c>
      <c r="E52" s="5" t="s">
        <v>4145</v>
      </c>
      <c r="F52" s="5">
        <v>16</v>
      </c>
      <c r="G52" s="5">
        <v>16</v>
      </c>
      <c r="H52" s="7">
        <v>48</v>
      </c>
      <c r="I52" s="31">
        <v>770</v>
      </c>
      <c r="J52" s="30" t="s">
        <v>6237</v>
      </c>
      <c r="K52" s="5">
        <v>1.4999999999999999E-2</v>
      </c>
      <c r="L52" s="5">
        <v>70</v>
      </c>
      <c r="M52" s="5">
        <v>70</v>
      </c>
      <c r="N52" s="5">
        <v>45</v>
      </c>
      <c r="O52" s="5">
        <v>45</v>
      </c>
      <c r="P52" s="5">
        <v>0</v>
      </c>
      <c r="Q52" s="5">
        <v>0</v>
      </c>
      <c r="R52" s="5" t="s">
        <v>6193</v>
      </c>
      <c r="S52" s="5">
        <v>6</v>
      </c>
      <c r="T52" s="5"/>
      <c r="U52" s="5" t="s">
        <v>972</v>
      </c>
      <c r="V52" s="5"/>
      <c r="W52" s="5" t="s">
        <v>972</v>
      </c>
      <c r="X52" s="5" t="s">
        <v>5572</v>
      </c>
      <c r="Y52" s="5">
        <v>22</v>
      </c>
      <c r="Z52" s="35" t="s">
        <v>1123</v>
      </c>
      <c r="AA52" s="5">
        <v>32</v>
      </c>
      <c r="AB52" s="35" t="s">
        <v>4856</v>
      </c>
      <c r="AC52" s="5">
        <v>8</v>
      </c>
      <c r="AD52" s="5" t="s">
        <v>6238</v>
      </c>
      <c r="AE52" s="5"/>
      <c r="AF52" s="37" t="str">
        <f t="shared" si="0"/>
        <v>(204*'48'*770*'12,48 / 13,61 / 20,79 / 24,26'*'0,015'*70*70*45*45*0*0*6*NULL*NULL*22*32*8)*</v>
      </c>
    </row>
    <row r="53" spans="1:32" ht="20.149999999999999" customHeight="1" x14ac:dyDescent="0.35">
      <c r="A53" s="3">
        <v>205</v>
      </c>
      <c r="B53" s="27" t="s">
        <v>5167</v>
      </c>
      <c r="C53" s="22">
        <v>42736</v>
      </c>
      <c r="D53" s="15">
        <v>1</v>
      </c>
      <c r="E53" s="5" t="s">
        <v>4137</v>
      </c>
      <c r="F53" s="5">
        <v>14</v>
      </c>
      <c r="G53" s="5">
        <v>16</v>
      </c>
      <c r="H53" s="7">
        <v>48</v>
      </c>
      <c r="I53" s="31">
        <v>531</v>
      </c>
      <c r="J53" s="5" t="s">
        <v>6192</v>
      </c>
      <c r="K53" s="5">
        <v>1.4999999999999999E-2</v>
      </c>
      <c r="L53" s="5">
        <v>71</v>
      </c>
      <c r="M53" s="5">
        <v>71</v>
      </c>
      <c r="N53" s="5">
        <v>0</v>
      </c>
      <c r="O53" s="5">
        <v>0</v>
      </c>
      <c r="P53" s="5">
        <v>8.52</v>
      </c>
      <c r="Q53" s="5">
        <v>8.52</v>
      </c>
      <c r="R53" s="5" t="s">
        <v>6193</v>
      </c>
      <c r="S53" s="5">
        <v>6</v>
      </c>
      <c r="T53" s="5"/>
      <c r="U53" s="5" t="s">
        <v>972</v>
      </c>
      <c r="V53" s="5"/>
      <c r="W53" s="5" t="s">
        <v>972</v>
      </c>
      <c r="X53" s="5" t="s">
        <v>5569</v>
      </c>
      <c r="Y53" s="5">
        <v>21</v>
      </c>
      <c r="Z53" s="35" t="s">
        <v>6211</v>
      </c>
      <c r="AA53" s="5">
        <v>18</v>
      </c>
      <c r="AB53" s="35" t="s">
        <v>4856</v>
      </c>
      <c r="AC53" s="5">
        <v>8</v>
      </c>
      <c r="AD53" s="5" t="s">
        <v>6190</v>
      </c>
      <c r="AE53" s="5"/>
      <c r="AF53" s="37" t="str">
        <f t="shared" si="0"/>
        <v>(205*'48'*531*'12,7 / 14,27 / 22,22'*'0,015'*71*71*0*0*8,52*8,52*6*NULL*NULL*21*18*8)*</v>
      </c>
    </row>
    <row r="54" spans="1:32" ht="20.149999999999999" customHeight="1" x14ac:dyDescent="0.35">
      <c r="A54" s="3">
        <v>206</v>
      </c>
      <c r="B54" s="27" t="s">
        <v>5168</v>
      </c>
      <c r="C54" s="22">
        <v>43800</v>
      </c>
      <c r="D54" s="15">
        <v>1</v>
      </c>
      <c r="E54" s="5" t="s">
        <v>4145</v>
      </c>
      <c r="F54" s="5">
        <v>16</v>
      </c>
      <c r="G54" s="5">
        <v>16</v>
      </c>
      <c r="H54" s="7">
        <v>48</v>
      </c>
      <c r="I54" s="31">
        <v>345</v>
      </c>
      <c r="J54" s="5" t="s">
        <v>6239</v>
      </c>
      <c r="K54" s="5">
        <v>1.4999999999999999E-2</v>
      </c>
      <c r="L54" s="5">
        <v>70</v>
      </c>
      <c r="M54" s="5">
        <v>70</v>
      </c>
      <c r="N54" s="5">
        <v>45</v>
      </c>
      <c r="O54" s="5">
        <v>45</v>
      </c>
      <c r="P54" s="5">
        <v>0</v>
      </c>
      <c r="Q54" s="5">
        <v>0</v>
      </c>
      <c r="R54" s="5" t="s">
        <v>6193</v>
      </c>
      <c r="S54" s="5">
        <v>6</v>
      </c>
      <c r="T54" s="5"/>
      <c r="U54" s="5" t="s">
        <v>972</v>
      </c>
      <c r="V54" s="5"/>
      <c r="W54" s="5" t="s">
        <v>972</v>
      </c>
      <c r="X54" s="5" t="s">
        <v>5572</v>
      </c>
      <c r="Y54" s="5">
        <v>22</v>
      </c>
      <c r="Z54" s="35" t="s">
        <v>6240</v>
      </c>
      <c r="AA54" s="5"/>
      <c r="AB54" s="35" t="s">
        <v>4856</v>
      </c>
      <c r="AC54" s="5">
        <v>8</v>
      </c>
      <c r="AD54" s="5"/>
      <c r="AE54" s="5"/>
      <c r="AF54" s="37" t="str">
        <f t="shared" si="0"/>
        <v>(206*'48'*345*'12,95 / 14,27 / 22,23'*'0,015'*70*70*45*45*0*0*6*NULL*NULL*22**8)*</v>
      </c>
    </row>
    <row r="55" spans="1:32" ht="20.149999999999999" customHeight="1" x14ac:dyDescent="0.35">
      <c r="A55" s="3">
        <v>207</v>
      </c>
      <c r="B55" s="27" t="s">
        <v>4153</v>
      </c>
      <c r="C55" s="22">
        <v>35065</v>
      </c>
      <c r="D55" s="15">
        <v>1</v>
      </c>
      <c r="E55" s="5" t="s">
        <v>4153</v>
      </c>
      <c r="F55" s="5">
        <v>18</v>
      </c>
      <c r="G55" s="5">
        <v>16</v>
      </c>
      <c r="H55" s="7">
        <v>48</v>
      </c>
      <c r="I55" s="31">
        <v>521</v>
      </c>
      <c r="J55" s="5" t="s">
        <v>6192</v>
      </c>
      <c r="K55" s="5">
        <v>1.4999999999999999E-2</v>
      </c>
      <c r="L55" s="5">
        <v>71</v>
      </c>
      <c r="M55" s="5">
        <v>50.81</v>
      </c>
      <c r="N55" s="5">
        <v>0</v>
      </c>
      <c r="O55" s="5">
        <v>0</v>
      </c>
      <c r="P55" s="5">
        <v>11.47</v>
      </c>
      <c r="Q55" s="5">
        <v>11.47</v>
      </c>
      <c r="R55" s="5" t="s">
        <v>6193</v>
      </c>
      <c r="S55" s="5">
        <v>6</v>
      </c>
      <c r="T55" s="5" t="s">
        <v>6194</v>
      </c>
      <c r="U55" s="5">
        <v>9</v>
      </c>
      <c r="V55" s="5" t="s">
        <v>6174</v>
      </c>
      <c r="W55" s="5">
        <v>17</v>
      </c>
      <c r="X55" s="5" t="s">
        <v>6195</v>
      </c>
      <c r="Y55" s="5">
        <v>16</v>
      </c>
      <c r="Z55" s="35" t="s">
        <v>4856</v>
      </c>
      <c r="AA55" s="5">
        <v>8</v>
      </c>
      <c r="AB55" s="35" t="s">
        <v>6196</v>
      </c>
      <c r="AC55" s="5">
        <v>12</v>
      </c>
      <c r="AD55" s="5" t="s">
        <v>6165</v>
      </c>
      <c r="AE55" s="5"/>
      <c r="AF55" s="37" t="str">
        <f t="shared" si="0"/>
        <v>(207*'48'*521*'12,7 / 14,27 / 22,22'*'0,015'*71*50,81*0*0*11,47*11,47*6*9*17*16*8*12)*</v>
      </c>
    </row>
    <row r="56" spans="1:32" ht="20.149999999999999" customHeight="1" x14ac:dyDescent="0.35">
      <c r="A56" s="3">
        <v>208</v>
      </c>
      <c r="B56" s="27" t="s">
        <v>5169</v>
      </c>
      <c r="C56" s="22">
        <v>44197</v>
      </c>
      <c r="D56" s="15">
        <v>1</v>
      </c>
      <c r="E56" s="5" t="s">
        <v>4153</v>
      </c>
      <c r="F56" s="5">
        <v>18</v>
      </c>
      <c r="G56" s="5">
        <v>16</v>
      </c>
      <c r="H56" s="7">
        <v>48</v>
      </c>
      <c r="I56" s="31">
        <v>198</v>
      </c>
      <c r="J56" s="5" t="s">
        <v>6197</v>
      </c>
      <c r="K56" s="5"/>
      <c r="L56" s="5">
        <v>70</v>
      </c>
      <c r="M56" s="5">
        <v>0</v>
      </c>
      <c r="N56" s="5">
        <v>0</v>
      </c>
      <c r="O56" s="5">
        <v>0</v>
      </c>
      <c r="P56" s="5">
        <v>9</v>
      </c>
      <c r="Q56" s="5">
        <v>9</v>
      </c>
      <c r="R56" s="5"/>
      <c r="S56" s="5"/>
      <c r="T56" s="5"/>
      <c r="U56" s="5" t="s">
        <v>972</v>
      </c>
      <c r="V56" s="5"/>
      <c r="W56" s="5" t="s">
        <v>972</v>
      </c>
      <c r="X56" s="5" t="s">
        <v>6195</v>
      </c>
      <c r="Y56" s="5">
        <v>16</v>
      </c>
      <c r="Z56" s="35" t="s">
        <v>6196</v>
      </c>
      <c r="AA56" s="5">
        <v>12</v>
      </c>
      <c r="AB56" s="35" t="s">
        <v>2048</v>
      </c>
      <c r="AC56" s="5">
        <v>3</v>
      </c>
      <c r="AD56" s="5" t="s">
        <v>6171</v>
      </c>
      <c r="AE56" s="5"/>
      <c r="AF56" s="37" t="str">
        <f t="shared" si="0"/>
        <v>(208*'48'*198*'13,61/  14,27 / 20,79 / 22,23'*''*70*0*0*0*9*9**NULL*NULL*16*12*3)*</v>
      </c>
    </row>
    <row r="57" spans="1:32" ht="20.149999999999999" customHeight="1" x14ac:dyDescent="0.35">
      <c r="A57" s="3">
        <v>209</v>
      </c>
      <c r="B57" s="27" t="s">
        <v>5170</v>
      </c>
      <c r="C57" s="22">
        <v>29952</v>
      </c>
      <c r="D57" s="15">
        <v>1</v>
      </c>
      <c r="E57" s="5" t="s">
        <v>4149</v>
      </c>
      <c r="F57" s="5">
        <v>17</v>
      </c>
      <c r="G57" s="5">
        <v>16</v>
      </c>
      <c r="H57" s="7">
        <v>48</v>
      </c>
      <c r="I57" s="31">
        <v>548.28499999999997</v>
      </c>
      <c r="J57" s="5" t="s">
        <v>6192</v>
      </c>
      <c r="K57" s="5">
        <v>1.4999999999999999E-2</v>
      </c>
      <c r="L57" s="5">
        <v>70</v>
      </c>
      <c r="M57" s="5">
        <v>70</v>
      </c>
      <c r="N57" s="5">
        <v>0</v>
      </c>
      <c r="O57" s="5">
        <v>0</v>
      </c>
      <c r="P57" s="5">
        <v>11.99</v>
      </c>
      <c r="Q57" s="5">
        <v>11.99</v>
      </c>
      <c r="R57" s="5" t="s">
        <v>6164</v>
      </c>
      <c r="S57" s="5">
        <v>4</v>
      </c>
      <c r="T57" s="5" t="s">
        <v>5661</v>
      </c>
      <c r="U57" s="5">
        <v>14</v>
      </c>
      <c r="V57" s="5" t="s">
        <v>6174</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49999999999999" customHeight="1" x14ac:dyDescent="0.35">
      <c r="A58" s="3">
        <v>210</v>
      </c>
      <c r="B58" s="27" t="s">
        <v>5171</v>
      </c>
      <c r="C58" s="22">
        <v>31778</v>
      </c>
      <c r="D58" s="15">
        <v>1</v>
      </c>
      <c r="E58" s="5" t="s">
        <v>4149</v>
      </c>
      <c r="F58" s="5">
        <v>17</v>
      </c>
      <c r="G58" s="5">
        <v>16</v>
      </c>
      <c r="H58" s="7">
        <v>48</v>
      </c>
      <c r="I58" s="31">
        <v>548.28499999999997</v>
      </c>
      <c r="J58" s="5" t="s">
        <v>6192</v>
      </c>
      <c r="K58" s="5">
        <v>1.4999999999999999E-2</v>
      </c>
      <c r="L58" s="5">
        <v>70</v>
      </c>
      <c r="M58" s="5">
        <v>70</v>
      </c>
      <c r="N58" s="5">
        <v>0</v>
      </c>
      <c r="O58" s="5">
        <v>0</v>
      </c>
      <c r="P58" s="5">
        <v>11.99</v>
      </c>
      <c r="Q58" s="5">
        <v>11.99</v>
      </c>
      <c r="R58" s="5" t="s">
        <v>6164</v>
      </c>
      <c r="S58" s="5">
        <v>4</v>
      </c>
      <c r="T58" s="5" t="s">
        <v>5661</v>
      </c>
      <c r="U58" s="5">
        <v>14</v>
      </c>
      <c r="V58" s="5" t="s">
        <v>6174</v>
      </c>
      <c r="W58" s="5">
        <v>17</v>
      </c>
      <c r="X58" s="5" t="s">
        <v>5566</v>
      </c>
      <c r="Y58" s="5">
        <v>19</v>
      </c>
      <c r="Z58" s="35" t="s">
        <v>4856</v>
      </c>
      <c r="AA58" s="5">
        <v>8</v>
      </c>
      <c r="AB58" s="35" t="s">
        <v>5488</v>
      </c>
      <c r="AC58" s="5">
        <v>2</v>
      </c>
      <c r="AD58" s="5" t="s">
        <v>6205</v>
      </c>
      <c r="AE58" s="5"/>
      <c r="AF58" s="37" t="str">
        <f t="shared" si="0"/>
        <v>(210*'48'*548,285*'12,7 / 14,27 / 22,22'*'0,015'*70*70*0*0*11,99*11,99*4*14*17*19*8*2)*</v>
      </c>
    </row>
    <row r="59" spans="1:32" ht="20.149999999999999" customHeight="1" x14ac:dyDescent="0.35">
      <c r="A59" s="3">
        <v>211</v>
      </c>
      <c r="B59" s="27" t="s">
        <v>5172</v>
      </c>
      <c r="C59" s="22">
        <v>39448</v>
      </c>
      <c r="D59" s="15">
        <v>1</v>
      </c>
      <c r="E59" s="5" t="s">
        <v>4149</v>
      </c>
      <c r="F59" s="5">
        <v>17</v>
      </c>
      <c r="G59" s="5">
        <v>16</v>
      </c>
      <c r="H59" s="7">
        <v>48</v>
      </c>
      <c r="I59" s="31">
        <v>548.28499999999997</v>
      </c>
      <c r="J59" s="5" t="s">
        <v>6192</v>
      </c>
      <c r="K59" s="5">
        <v>1.4999999999999999E-2</v>
      </c>
      <c r="L59" s="5">
        <v>70</v>
      </c>
      <c r="M59" s="5">
        <v>70</v>
      </c>
      <c r="N59" s="5">
        <v>0</v>
      </c>
      <c r="O59" s="5">
        <v>0</v>
      </c>
      <c r="P59" s="5">
        <v>8.74</v>
      </c>
      <c r="Q59" s="5">
        <v>8.74</v>
      </c>
      <c r="R59" s="5" t="s">
        <v>6164</v>
      </c>
      <c r="S59" s="5">
        <v>4</v>
      </c>
      <c r="T59" s="5" t="s">
        <v>6204</v>
      </c>
      <c r="U59" s="5">
        <v>11</v>
      </c>
      <c r="V59" s="5" t="s">
        <v>6174</v>
      </c>
      <c r="W59" s="5">
        <v>17</v>
      </c>
      <c r="X59" s="5" t="s">
        <v>5566</v>
      </c>
      <c r="Y59" s="5">
        <v>19</v>
      </c>
      <c r="Z59" s="35" t="s">
        <v>4856</v>
      </c>
      <c r="AA59" s="5">
        <v>8</v>
      </c>
      <c r="AB59" s="35" t="s">
        <v>5488</v>
      </c>
      <c r="AC59" s="5">
        <v>2</v>
      </c>
      <c r="AD59" s="5" t="s">
        <v>6206</v>
      </c>
      <c r="AE59" s="5"/>
      <c r="AF59" s="37" t="str">
        <f t="shared" si="0"/>
        <v>(211*'48'*548,285*'12,7 / 14,27 / 22,22'*'0,015'*70*70*0*0*8,74*8,74*4*11*17*19*8*2)*</v>
      </c>
    </row>
  </sheetData>
  <autoFilter ref="A1:AC59" xr:uid="{00000000-0001-0000-2200-000000000000}"/>
  <phoneticPr fontId="2"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4798</v>
      </c>
      <c r="C1" s="1" t="s">
        <v>5603</v>
      </c>
    </row>
    <row r="2" spans="1:3" ht="20.149999999999999" customHeight="1" x14ac:dyDescent="0.35">
      <c r="A2" s="1" t="s">
        <v>41</v>
      </c>
      <c r="B2" s="1" t="s">
        <v>42</v>
      </c>
      <c r="C2" s="1" t="s">
        <v>6102</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6111</v>
      </c>
      <c r="B1" s="32" t="s">
        <v>6112</v>
      </c>
      <c r="C1" s="32" t="s">
        <v>6113</v>
      </c>
      <c r="D1" s="32" t="s">
        <v>6114</v>
      </c>
      <c r="E1" s="32" t="s">
        <v>6115</v>
      </c>
      <c r="F1" s="32" t="s">
        <v>6116</v>
      </c>
      <c r="G1" s="32" t="s">
        <v>6117</v>
      </c>
      <c r="H1" s="32" t="s">
        <v>6118</v>
      </c>
    </row>
    <row r="2" spans="1:8" ht="15" thickBot="1" x14ac:dyDescent="0.4">
      <c r="A2" s="33" t="s">
        <v>6119</v>
      </c>
      <c r="B2" s="34" t="s">
        <v>6093</v>
      </c>
      <c r="C2" s="34" t="s">
        <v>6120</v>
      </c>
      <c r="D2" s="34" t="s">
        <v>6121</v>
      </c>
      <c r="E2" s="34" t="s">
        <v>6122</v>
      </c>
      <c r="F2" s="34" t="s">
        <v>6123</v>
      </c>
      <c r="G2" s="34" t="s">
        <v>6124</v>
      </c>
      <c r="H2" s="34" t="s">
        <v>6125</v>
      </c>
    </row>
    <row r="3" spans="1:8" ht="15" thickBot="1" x14ac:dyDescent="0.4">
      <c r="A3" s="33" t="s">
        <v>6119</v>
      </c>
      <c r="B3" s="34" t="s">
        <v>6092</v>
      </c>
      <c r="C3" s="34" t="s">
        <v>6126</v>
      </c>
      <c r="D3" s="34" t="s">
        <v>6127</v>
      </c>
      <c r="E3" s="34" t="s">
        <v>6122</v>
      </c>
      <c r="F3" s="34" t="s">
        <v>6123</v>
      </c>
      <c r="G3" s="34" t="s">
        <v>6124</v>
      </c>
      <c r="H3" s="34" t="s">
        <v>6125</v>
      </c>
    </row>
    <row r="4" spans="1:8" ht="28.5" thickBot="1" x14ac:dyDescent="0.4">
      <c r="A4" s="33" t="s">
        <v>6119</v>
      </c>
      <c r="B4" s="34" t="s">
        <v>6128</v>
      </c>
      <c r="C4" s="34" t="s">
        <v>6129</v>
      </c>
      <c r="D4" s="34" t="s">
        <v>6130</v>
      </c>
      <c r="E4" s="34" t="s">
        <v>6122</v>
      </c>
      <c r="F4" s="34" t="s">
        <v>6123</v>
      </c>
      <c r="G4" s="34" t="s">
        <v>6124</v>
      </c>
      <c r="H4" s="34" t="s">
        <v>6125</v>
      </c>
    </row>
    <row r="5" spans="1:8" ht="15" thickBot="1" x14ac:dyDescent="0.4">
      <c r="A5" s="33" t="s">
        <v>6119</v>
      </c>
      <c r="B5" s="34" t="s">
        <v>6091</v>
      </c>
      <c r="C5" s="34" t="s">
        <v>6131</v>
      </c>
      <c r="D5" s="34" t="s">
        <v>6121</v>
      </c>
      <c r="E5" s="34" t="s">
        <v>6122</v>
      </c>
      <c r="F5" s="34" t="s">
        <v>6123</v>
      </c>
      <c r="G5" s="34" t="s">
        <v>6124</v>
      </c>
      <c r="H5" s="34" t="s">
        <v>6125</v>
      </c>
    </row>
    <row r="6" spans="1:8" ht="28.5" thickBot="1" x14ac:dyDescent="0.4">
      <c r="A6" s="33" t="s">
        <v>6119</v>
      </c>
      <c r="B6" s="34" t="s">
        <v>6132</v>
      </c>
      <c r="C6" s="34" t="s">
        <v>6133</v>
      </c>
      <c r="D6" s="34" t="s">
        <v>6134</v>
      </c>
      <c r="E6" s="34" t="s">
        <v>6122</v>
      </c>
      <c r="F6" s="34" t="s">
        <v>6135</v>
      </c>
      <c r="G6" s="34" t="s">
        <v>6124</v>
      </c>
      <c r="H6" s="34" t="s">
        <v>6125</v>
      </c>
    </row>
    <row r="7" spans="1:8" ht="28.5" thickBot="1" x14ac:dyDescent="0.4">
      <c r="A7" s="33" t="s">
        <v>6119</v>
      </c>
      <c r="B7" s="34" t="s">
        <v>6136</v>
      </c>
      <c r="C7" s="34" t="s">
        <v>6137</v>
      </c>
      <c r="D7" s="34" t="s">
        <v>6134</v>
      </c>
      <c r="E7" s="34" t="s">
        <v>6122</v>
      </c>
      <c r="F7" s="34" t="s">
        <v>6135</v>
      </c>
      <c r="G7" s="34" t="s">
        <v>6124</v>
      </c>
      <c r="H7" s="34" t="s">
        <v>6125</v>
      </c>
    </row>
    <row r="8" spans="1:8" ht="15" thickBot="1" x14ac:dyDescent="0.4">
      <c r="A8" s="33" t="s">
        <v>6138</v>
      </c>
      <c r="B8" s="34" t="s">
        <v>6096</v>
      </c>
      <c r="C8" s="34" t="s">
        <v>6139</v>
      </c>
      <c r="D8" s="34" t="s">
        <v>6140</v>
      </c>
      <c r="E8" s="34" t="s">
        <v>6122</v>
      </c>
      <c r="F8" s="34" t="s">
        <v>6123</v>
      </c>
      <c r="G8" s="34" t="s">
        <v>6124</v>
      </c>
      <c r="H8" s="34" t="s">
        <v>6141</v>
      </c>
    </row>
    <row r="9" spans="1:8" ht="15" thickBot="1" x14ac:dyDescent="0.4">
      <c r="A9" s="33" t="s">
        <v>6138</v>
      </c>
      <c r="B9" s="34" t="s">
        <v>5539</v>
      </c>
      <c r="C9" s="34" t="s">
        <v>6142</v>
      </c>
      <c r="D9" s="34" t="s">
        <v>6143</v>
      </c>
      <c r="E9" s="34" t="s">
        <v>6122</v>
      </c>
      <c r="F9" s="34" t="s">
        <v>6123</v>
      </c>
      <c r="G9" s="34" t="s">
        <v>6124</v>
      </c>
      <c r="H9" s="34" t="s">
        <v>6141</v>
      </c>
    </row>
    <row r="10" spans="1:8" ht="15" thickBot="1" x14ac:dyDescent="0.4">
      <c r="A10" s="33" t="s">
        <v>6138</v>
      </c>
      <c r="B10" s="34" t="s">
        <v>5495</v>
      </c>
      <c r="C10" s="34" t="s">
        <v>6144</v>
      </c>
      <c r="D10" s="34" t="s">
        <v>6145</v>
      </c>
      <c r="E10" s="34" t="s">
        <v>6122</v>
      </c>
      <c r="F10" s="34" t="s">
        <v>6123</v>
      </c>
      <c r="G10" s="34" t="s">
        <v>6124</v>
      </c>
      <c r="H10" s="34" t="s">
        <v>6141</v>
      </c>
    </row>
    <row r="11" spans="1:8" ht="15" thickBot="1" x14ac:dyDescent="0.4">
      <c r="A11" s="33" t="s">
        <v>6146</v>
      </c>
      <c r="B11" s="34" t="s">
        <v>6089</v>
      </c>
      <c r="C11" s="34" t="s">
        <v>6147</v>
      </c>
      <c r="D11" s="34" t="s">
        <v>6148</v>
      </c>
      <c r="E11" s="34" t="s">
        <v>6122</v>
      </c>
      <c r="F11" s="34" t="s">
        <v>6123</v>
      </c>
      <c r="G11" s="34" t="s">
        <v>6149</v>
      </c>
      <c r="H11" s="33" t="s">
        <v>6150</v>
      </c>
    </row>
    <row r="12" spans="1:8" ht="15" thickBot="1" x14ac:dyDescent="0.4">
      <c r="A12" s="33" t="s">
        <v>6146</v>
      </c>
      <c r="B12" s="34" t="s">
        <v>6082</v>
      </c>
      <c r="C12" s="34" t="s">
        <v>6151</v>
      </c>
      <c r="D12" s="34" t="s">
        <v>6152</v>
      </c>
      <c r="E12" s="34" t="s">
        <v>6122</v>
      </c>
      <c r="F12" s="34" t="s">
        <v>6123</v>
      </c>
      <c r="G12" s="34" t="s">
        <v>6124</v>
      </c>
      <c r="H12" s="34" t="s">
        <v>6125</v>
      </c>
    </row>
    <row r="13" spans="1:8" ht="15" thickBot="1" x14ac:dyDescent="0.4">
      <c r="A13" s="33" t="s">
        <v>6146</v>
      </c>
      <c r="B13" s="34" t="s">
        <v>6081</v>
      </c>
      <c r="C13" s="34" t="s">
        <v>6153</v>
      </c>
      <c r="D13" s="34" t="s">
        <v>6152</v>
      </c>
      <c r="E13" s="34" t="s">
        <v>6122</v>
      </c>
      <c r="F13" s="34" t="s">
        <v>6123</v>
      </c>
      <c r="G13" s="34" t="s">
        <v>6124</v>
      </c>
      <c r="H13" s="34" t="s">
        <v>6125</v>
      </c>
    </row>
    <row r="14" spans="1:8" ht="15" thickBot="1" x14ac:dyDescent="0.4">
      <c r="A14" s="33" t="s">
        <v>6154</v>
      </c>
      <c r="B14" s="34" t="s">
        <v>4711</v>
      </c>
      <c r="C14" s="34" t="s">
        <v>6155</v>
      </c>
      <c r="D14" s="34" t="s">
        <v>6156</v>
      </c>
      <c r="E14" s="34" t="s">
        <v>6122</v>
      </c>
      <c r="F14" s="34" t="s">
        <v>6123</v>
      </c>
      <c r="G14" s="34" t="s">
        <v>6149</v>
      </c>
      <c r="H14" s="33" t="s">
        <v>6150</v>
      </c>
    </row>
    <row r="15" spans="1:8" ht="15" thickBot="1" x14ac:dyDescent="0.4">
      <c r="A15" s="33" t="s">
        <v>6154</v>
      </c>
      <c r="B15" s="34" t="s">
        <v>5740</v>
      </c>
      <c r="C15" s="34" t="s">
        <v>6157</v>
      </c>
      <c r="D15" s="34" t="s">
        <v>6158</v>
      </c>
      <c r="E15" s="34" t="s">
        <v>6122</v>
      </c>
      <c r="F15" s="34" t="s">
        <v>6123</v>
      </c>
      <c r="G15" s="34" t="s">
        <v>6124</v>
      </c>
      <c r="H15" s="34" t="s">
        <v>6159</v>
      </c>
    </row>
    <row r="16" spans="1:8" ht="15" thickBot="1" x14ac:dyDescent="0.4">
      <c r="A16" s="33" t="s">
        <v>6154</v>
      </c>
      <c r="B16" s="34" t="s">
        <v>6160</v>
      </c>
      <c r="C16" s="34" t="s">
        <v>6161</v>
      </c>
      <c r="D16" s="34" t="s">
        <v>6140</v>
      </c>
      <c r="E16" s="34" t="s">
        <v>6122</v>
      </c>
      <c r="F16" s="34" t="s">
        <v>6123</v>
      </c>
      <c r="G16" s="34" t="s">
        <v>6124</v>
      </c>
      <c r="H16" s="34" t="s">
        <v>6141</v>
      </c>
    </row>
  </sheetData>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D3E26-0BD8-4E7C-AE53-C6225B66BC69}">
  <sheetPr>
    <tabColor rgb="FFFFFF00"/>
  </sheetPr>
  <dimension ref="A1:H14"/>
  <sheetViews>
    <sheetView topLeftCell="D1" workbookViewId="0">
      <selection activeCell="G2" sqref="D2:G14"/>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6328125" style="2" customWidth="1"/>
    <col min="8" max="8" width="65.453125" style="2" bestFit="1" customWidth="1"/>
    <col min="9" max="16384" width="10.81640625" style="2"/>
  </cols>
  <sheetData>
    <row r="1" spans="1:8" ht="20.149999999999999" customHeight="1" x14ac:dyDescent="0.35">
      <c r="A1" s="1" t="s">
        <v>37</v>
      </c>
      <c r="B1" s="1" t="s">
        <v>54</v>
      </c>
      <c r="C1" s="1" t="s">
        <v>6333</v>
      </c>
      <c r="D1" s="1" t="s">
        <v>6334</v>
      </c>
      <c r="E1" s="1" t="s">
        <v>6330</v>
      </c>
      <c r="F1" s="1" t="s">
        <v>6331</v>
      </c>
      <c r="G1" s="1" t="s">
        <v>6332</v>
      </c>
      <c r="H1" s="1" t="s">
        <v>5603</v>
      </c>
    </row>
    <row r="2" spans="1:8" ht="20.149999999999999" customHeight="1" x14ac:dyDescent="0.35">
      <c r="A2" s="41" t="s">
        <v>44</v>
      </c>
      <c r="B2" s="41" t="s">
        <v>41</v>
      </c>
      <c r="C2" s="41" t="s">
        <v>42</v>
      </c>
      <c r="D2" s="41" t="s">
        <v>43</v>
      </c>
      <c r="E2" s="41" t="s">
        <v>53</v>
      </c>
      <c r="F2" s="41" t="s">
        <v>2094</v>
      </c>
      <c r="G2" s="41" t="s">
        <v>4077</v>
      </c>
      <c r="H2" s="1" t="s">
        <v>6383</v>
      </c>
    </row>
    <row r="3" spans="1:8" ht="20.149999999999999" customHeight="1" x14ac:dyDescent="0.35">
      <c r="A3" s="3">
        <v>1</v>
      </c>
      <c r="B3" s="18" t="s">
        <v>6373</v>
      </c>
      <c r="C3" s="42">
        <v>0.33333333333333331</v>
      </c>
      <c r="D3" s="42">
        <v>0.41666666666666669</v>
      </c>
      <c r="E3" s="4" t="s">
        <v>6336</v>
      </c>
      <c r="F3" s="4" t="s">
        <v>6335</v>
      </c>
      <c r="G3" s="4" t="s">
        <v>6337</v>
      </c>
      <c r="H3" s="4" t="str">
        <f>CONCATENATE("(",A3,",'",B3,"','",TEXT(C3,"HH:MM:SS"),"','",TEXT(D3,"HH:MM:SS"),"','",E3,"','",F3,"','",G3,"'),")</f>
        <v>(1,'SLOT_01','08:00:00','10:00:00','الصباح المبكر','Morning Early','Matinée tôt'),</v>
      </c>
    </row>
    <row r="4" spans="1:8" ht="20.149999999999999" customHeight="1" x14ac:dyDescent="0.35">
      <c r="A4" s="3">
        <v>2</v>
      </c>
      <c r="B4" s="17" t="s">
        <v>6374</v>
      </c>
      <c r="C4" s="42">
        <v>0.41666666666666669</v>
      </c>
      <c r="D4" s="42">
        <v>0.5</v>
      </c>
      <c r="E4" s="4" t="s">
        <v>6339</v>
      </c>
      <c r="F4" s="4" t="s">
        <v>6338</v>
      </c>
      <c r="G4" s="4" t="s">
        <v>6340</v>
      </c>
      <c r="H4" s="4" t="str">
        <f t="shared" ref="H4:H14" si="0">CONCATENATE("(",A4,",'",B4,"','",TEXT(C4,"HH:MM:SS"),"','",TEXT(D4,"HH:MM:SS"),"','",E4,"','",F4,"','",G4,"'),")</f>
        <v>(2,'SLOT_02','10:00:00','12:00:00','الصباح المتأخر','Late Morning','Fin de matinée'),</v>
      </c>
    </row>
    <row r="5" spans="1:8" ht="20.149999999999999" customHeight="1" x14ac:dyDescent="0.35">
      <c r="A5" s="3">
        <v>3</v>
      </c>
      <c r="B5" s="18" t="s">
        <v>6375</v>
      </c>
      <c r="C5" s="42">
        <v>0.5</v>
      </c>
      <c r="D5" s="42">
        <v>0.58333333333333337</v>
      </c>
      <c r="E5" s="4" t="s">
        <v>6342</v>
      </c>
      <c r="F5" s="4" t="s">
        <v>6341</v>
      </c>
      <c r="G5" s="4" t="s">
        <v>6343</v>
      </c>
      <c r="H5" s="4" t="str">
        <f t="shared" si="0"/>
        <v>(3,'SLOT_03','12:00:00','14:00:00','الظهيرة','Midday','Midi'),</v>
      </c>
    </row>
    <row r="6" spans="1:8" ht="20.149999999999999" customHeight="1" x14ac:dyDescent="0.35">
      <c r="A6" s="3">
        <v>4</v>
      </c>
      <c r="B6" s="17" t="s">
        <v>6376</v>
      </c>
      <c r="C6" s="42">
        <v>0.58333333333333337</v>
      </c>
      <c r="D6" s="42">
        <v>0.66666666666666663</v>
      </c>
      <c r="E6" s="4" t="s">
        <v>6382</v>
      </c>
      <c r="F6" s="4" t="s">
        <v>6344</v>
      </c>
      <c r="G6" s="4" t="s">
        <v>6345</v>
      </c>
      <c r="H6" s="4" t="str">
        <f t="shared" si="0"/>
        <v>(4,'SLOT_04','14:00:00','16:00:00','بعد الظهر','Early Afternoon','Début d'après-midi'),</v>
      </c>
    </row>
    <row r="7" spans="1:8" ht="20.149999999999999" customHeight="1" x14ac:dyDescent="0.35">
      <c r="A7" s="3">
        <v>5</v>
      </c>
      <c r="B7" s="18" t="s">
        <v>6377</v>
      </c>
      <c r="C7" s="42">
        <v>0.66666666666666663</v>
      </c>
      <c r="D7" s="42">
        <v>0.75</v>
      </c>
      <c r="E7" s="4" t="s">
        <v>6347</v>
      </c>
      <c r="F7" s="4" t="s">
        <v>6346</v>
      </c>
      <c r="G7" s="4" t="s">
        <v>6348</v>
      </c>
      <c r="H7" s="4" t="str">
        <f t="shared" si="0"/>
        <v>(5,'SLOT_05','16:00:00','18:00:00','بعد الظهر المتأخر','Late Afternoon','Fin d'après-midi'),</v>
      </c>
    </row>
    <row r="8" spans="1:8" ht="20.149999999999999" customHeight="1" x14ac:dyDescent="0.35">
      <c r="A8" s="3">
        <v>6</v>
      </c>
      <c r="B8" s="17" t="s">
        <v>6378</v>
      </c>
      <c r="C8" s="42">
        <v>0.75</v>
      </c>
      <c r="D8" s="42">
        <v>0.83333333333333337</v>
      </c>
      <c r="E8" s="4" t="s">
        <v>6350</v>
      </c>
      <c r="F8" s="4" t="s">
        <v>6349</v>
      </c>
      <c r="G8" s="4" t="s">
        <v>6351</v>
      </c>
      <c r="H8" s="4" t="str">
        <f t="shared" si="0"/>
        <v>(6,'SLOT_06','18:00:00','20:00:00','المساء','Evening','Soirée'),</v>
      </c>
    </row>
    <row r="9" spans="1:8" ht="20.149999999999999" customHeight="1" x14ac:dyDescent="0.35">
      <c r="A9" s="3">
        <v>7</v>
      </c>
      <c r="B9" s="18" t="s">
        <v>6379</v>
      </c>
      <c r="C9" s="42">
        <v>0.83333333333333337</v>
      </c>
      <c r="D9" s="42">
        <v>0.91666666666666663</v>
      </c>
      <c r="E9" s="4" t="s">
        <v>6353</v>
      </c>
      <c r="F9" s="4" t="s">
        <v>6352</v>
      </c>
      <c r="G9" s="4" t="s">
        <v>6354</v>
      </c>
      <c r="H9" s="4" t="str">
        <f t="shared" si="0"/>
        <v>(7,'SLOT_07','20:00:00','22:00:00','المساء المتأخر','Late Evening','Fin de soirée'),</v>
      </c>
    </row>
    <row r="10" spans="1:8" ht="20.149999999999999" customHeight="1" x14ac:dyDescent="0.35">
      <c r="A10" s="3">
        <v>8</v>
      </c>
      <c r="B10" s="17" t="s">
        <v>6380</v>
      </c>
      <c r="C10" s="42">
        <v>0.91666666666666663</v>
      </c>
      <c r="D10" s="42">
        <v>0</v>
      </c>
      <c r="E10" s="4" t="s">
        <v>6356</v>
      </c>
      <c r="F10" s="4" t="s">
        <v>6355</v>
      </c>
      <c r="G10" s="4" t="s">
        <v>6357</v>
      </c>
      <c r="H10" s="4" t="str">
        <f t="shared" si="0"/>
        <v>(8,'SLOT_08','22:00:00','00:00:00','الليل','Night','Nuit'),</v>
      </c>
    </row>
    <row r="11" spans="1:8" ht="20.149999999999999" customHeight="1" x14ac:dyDescent="0.35">
      <c r="A11" s="3">
        <v>9</v>
      </c>
      <c r="B11" s="18" t="s">
        <v>6381</v>
      </c>
      <c r="C11" s="42">
        <v>0</v>
      </c>
      <c r="D11" s="42">
        <v>8.3333333333333329E-2</v>
      </c>
      <c r="E11" s="4" t="s">
        <v>6359</v>
      </c>
      <c r="F11" s="4" t="s">
        <v>6358</v>
      </c>
      <c r="G11" s="4" t="s">
        <v>6360</v>
      </c>
      <c r="H11" s="4" t="str">
        <f t="shared" si="0"/>
        <v>(9,'SLOT_09','00:00:00','02:00:00','منتصف الليل','Midnight','Minuit'),</v>
      </c>
    </row>
    <row r="12" spans="1:8" ht="20.149999999999999" customHeight="1" x14ac:dyDescent="0.35">
      <c r="A12" s="3">
        <v>10</v>
      </c>
      <c r="B12" s="17" t="s">
        <v>6361</v>
      </c>
      <c r="C12" s="42">
        <v>8.3333333333333329E-2</v>
      </c>
      <c r="D12" s="42">
        <v>0.16666666666666666</v>
      </c>
      <c r="E12" s="4" t="s">
        <v>6363</v>
      </c>
      <c r="F12" s="4" t="s">
        <v>6362</v>
      </c>
      <c r="G12" s="4" t="s">
        <v>6364</v>
      </c>
      <c r="H12" s="4" t="str">
        <f t="shared" si="0"/>
        <v>(10,'SLOT_10','02:00:00','04:00:00','الليل المتأخر','Late Night','Fin de nuit'),</v>
      </c>
    </row>
    <row r="13" spans="1:8" ht="20.149999999999999" customHeight="1" x14ac:dyDescent="0.35">
      <c r="A13" s="3">
        <v>11</v>
      </c>
      <c r="B13" s="18" t="s">
        <v>6365</v>
      </c>
      <c r="C13" s="42">
        <v>0.16666666666666666</v>
      </c>
      <c r="D13" s="42">
        <v>0.25</v>
      </c>
      <c r="E13" s="4" t="s">
        <v>6367</v>
      </c>
      <c r="F13" s="4" t="s">
        <v>6366</v>
      </c>
      <c r="G13" s="4" t="s">
        <v>6368</v>
      </c>
      <c r="H13" s="4" t="str">
        <f t="shared" si="0"/>
        <v>(11,'SLOT_11','04:00:00','06:00:00','الفجر المبكر','Early Dawn','Aube'),</v>
      </c>
    </row>
    <row r="14" spans="1:8" ht="20.149999999999999" customHeight="1" x14ac:dyDescent="0.35">
      <c r="A14" s="3">
        <v>12</v>
      </c>
      <c r="B14" s="17" t="s">
        <v>6369</v>
      </c>
      <c r="C14" s="42">
        <v>0.25</v>
      </c>
      <c r="D14" s="42">
        <v>0.33333333333333331</v>
      </c>
      <c r="E14" s="4" t="s">
        <v>6371</v>
      </c>
      <c r="F14" s="4" t="s">
        <v>6370</v>
      </c>
      <c r="G14" s="4" t="s">
        <v>6372</v>
      </c>
      <c r="H14" s="4" t="str">
        <f t="shared" si="0"/>
        <v>(12,'SLOT_12','06:00:00','08:00:00','الفجر','Dawn','Petit matin'),</v>
      </c>
    </row>
  </sheetData>
  <autoFilter ref="A2:G14" xr:uid="{00000000-0009-0000-0000-000021000000}"/>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53</vt:i4>
      </vt:variant>
      <vt:variant>
        <vt:lpstr>Plages nommées</vt:lpstr>
      </vt:variant>
      <vt:variant>
        <vt:i4>1</vt:i4>
      </vt:variant>
    </vt:vector>
  </HeadingPairs>
  <TitlesOfParts>
    <vt:vector size="54"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Feuil3</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03-02-07</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2026-01-28T15:34:03Z</dcterms:modified>
</cp:coreProperties>
</file>