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ev Framework\Workspace\Backend\HyFloAPI\src\main\resources\data\"/>
    </mc:Choice>
  </mc:AlternateContent>
  <bookViews>
    <workbookView xWindow="0" yWindow="0" windowWidth="28800" windowHeight="13125" activeTab="2"/>
  </bookViews>
  <sheets>
    <sheet name="02-03-01" sheetId="1" r:id="rId1"/>
    <sheet name="02-03-08" sheetId="2" r:id="rId2"/>
    <sheet name="02-03-09" sheetId="3" r:id="rId3"/>
  </sheets>
  <definedNames>
    <definedName name="_xlnm._FilterDatabase" localSheetId="0" hidden="1">'02-03-01'!$A$2:$H$179</definedName>
    <definedName name="_xlnm._FilterDatabase" localSheetId="1" hidden="1">'02-03-08'!$A$1:$AC$59</definedName>
    <definedName name="_xlnm._FilterDatabase" localSheetId="2" hidden="1">'02-03-09'!$A$1:$Z$82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2" i="3" l="1"/>
  <c r="AD23" i="3"/>
  <c r="AD24" i="3"/>
  <c r="AD25" i="3"/>
  <c r="J25" i="3"/>
  <c r="J22" i="3"/>
  <c r="J23" i="3"/>
  <c r="J24" i="3"/>
  <c r="J21" i="3"/>
  <c r="AD82" i="3" l="1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26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<sst xmlns="http://schemas.openxmlformats.org/spreadsheetml/2006/main" count="2316" uniqueCount="752">
  <si>
    <t>Id</t>
  </si>
  <si>
    <t>Code</t>
  </si>
  <si>
    <t>Name</t>
  </si>
  <si>
    <t>Installing</t>
  </si>
  <si>
    <t>Commissioning</t>
  </si>
  <si>
    <t>Decommissioning</t>
  </si>
  <si>
    <t>Status</t>
  </si>
  <si>
    <t>Structure</t>
  </si>
  <si>
    <t>SQL Insert Request</t>
  </si>
  <si>
    <t>F_00</t>
  </si>
  <si>
    <t>F_01</t>
  </si>
  <si>
    <t>F_02</t>
  </si>
  <si>
    <t>F_03</t>
  </si>
  <si>
    <t>F_04</t>
  </si>
  <si>
    <t>F_05</t>
  </si>
  <si>
    <t>F_06</t>
  </si>
  <si>
    <t>F_07</t>
  </si>
  <si>
    <t>INSERT INTO T_02_03_01 (F_00, F_01, F_02, F_03, F_04, F_05, F_06, F_07) VALUES</t>
  </si>
  <si>
    <t>ONET-DD</t>
  </si>
  <si>
    <t>Terminal d\'Exportation Terrestre Deb Deb</t>
  </si>
  <si>
    <t>NULL</t>
  </si>
  <si>
    <t>ONET-OSS</t>
  </si>
  <si>
    <t>Terminal d\'Exportation Terrestre Oued Saf Saf</t>
  </si>
  <si>
    <t>ONET-BS</t>
  </si>
  <si>
    <t>Terminal d\'Exportation Terrestre Beni Saf</t>
  </si>
  <si>
    <t>ONET-KL</t>
  </si>
  <si>
    <t>Terminal d\'Exportation Terrestre El Kala</t>
  </si>
  <si>
    <t>DZAZW</t>
  </si>
  <si>
    <t>Terminal d\'Exportation Maritime Export port</t>
  </si>
  <si>
    <t>DZSKI</t>
  </si>
  <si>
    <t>DZBJA</t>
  </si>
  <si>
    <t>CDHL</t>
  </si>
  <si>
    <t>Terminal de Distribution CDHL</t>
  </si>
  <si>
    <t>CNDG</t>
  </si>
  <si>
    <t>Terminal de Distribution CNDG</t>
  </si>
  <si>
    <t>DT-MED</t>
  </si>
  <si>
    <t>Terminal de Distribution Medjedel</t>
  </si>
  <si>
    <t>DT-MSL</t>
  </si>
  <si>
    <t>Terminal de Distribution M\'Sila</t>
  </si>
  <si>
    <t>DT-DJM</t>
  </si>
  <si>
    <t>Terminal de Distribution SP1 Bis Djamaa</t>
  </si>
  <si>
    <t>DT-MDZ</t>
  </si>
  <si>
    <t>Terminal de Distribution Mocta Douz</t>
  </si>
  <si>
    <t>TT-ARH</t>
  </si>
  <si>
    <t>Terminal de Transfert Al Aricha</t>
  </si>
  <si>
    <t>TT-BNM</t>
  </si>
  <si>
    <t>Terminal de Transfert Beni Mensour</t>
  </si>
  <si>
    <t>TT-HMD</t>
  </si>
  <si>
    <t>Terminal de Transfert Hassi Messaoud</t>
  </si>
  <si>
    <t>TT-MSD</t>
  </si>
  <si>
    <t>Terminal de Transfert Mesdar</t>
  </si>
  <si>
    <t>TT-OHT</t>
  </si>
  <si>
    <t>Terminal de Transfert Ohanet</t>
  </si>
  <si>
    <t>TT-137</t>
  </si>
  <si>
    <t>Terminal de Transfert PC1/PK137</t>
  </si>
  <si>
    <t>TT-RDN</t>
  </si>
  <si>
    <t>Terminal de Transfert Rhoude Nouss</t>
  </si>
  <si>
    <t>PT-ALG</t>
  </si>
  <si>
    <t>Terminal de Pipeline Alger</t>
  </si>
  <si>
    <t>PT-ALR</t>
  </si>
  <si>
    <t>Terminal de Pipeline Alrar</t>
  </si>
  <si>
    <t>PR-ARZ</t>
  </si>
  <si>
    <t>Terminal de Pipeline Arzew</t>
  </si>
  <si>
    <t>PT-BJA</t>
  </si>
  <si>
    <t>Terminal de Pipeline Bejaia</t>
  </si>
  <si>
    <t>PT-BRN</t>
  </si>
  <si>
    <t>Terminal de Pipeline Bir Rebaa North</t>
  </si>
  <si>
    <t>PT-BMN</t>
  </si>
  <si>
    <t>Terminal de Pipeline Bord Menaiel</t>
  </si>
  <si>
    <t>PT-BRM</t>
  </si>
  <si>
    <t>Terminal de Pipeline El Borma</t>
  </si>
  <si>
    <t>PT-GST</t>
  </si>
  <si>
    <t>Terminal de Pipeline Gassi Touil</t>
  </si>
  <si>
    <t>PT-HBK</t>
  </si>
  <si>
    <t>Terminal de Pipeline Hassi Berkine</t>
  </si>
  <si>
    <t>PT-HTJ</t>
  </si>
  <si>
    <t>Terminal de Pipeline Hassi tedjirane</t>
  </si>
  <si>
    <t>PT-NMS</t>
  </si>
  <si>
    <t>Terminal de Pipeline In Amenas</t>
  </si>
  <si>
    <t>PT-NSL</t>
  </si>
  <si>
    <t>Terminal de Pipeline In Salah</t>
  </si>
  <si>
    <t>PT-ISR</t>
  </si>
  <si>
    <t>Terminal de Pipeline Isser</t>
  </si>
  <si>
    <t>PT-RGN</t>
  </si>
  <si>
    <t>Terminal de Pipeline Reggane</t>
  </si>
  <si>
    <t>PT-RBL</t>
  </si>
  <si>
    <t>Terminal de Pipeline Rhoude El Baguel</t>
  </si>
  <si>
    <t>PT-SKD</t>
  </si>
  <si>
    <t>Terminal de Pipeline Skikda</t>
  </si>
  <si>
    <t>SP1-OZ1/OZ2</t>
  </si>
  <si>
    <t>Station de Pompage SP1-OZ1/OZ2</t>
  </si>
  <si>
    <t>SP1-OZ2</t>
  </si>
  <si>
    <t>Station de Pompage SP1-OZ2</t>
  </si>
  <si>
    <t>SP2-OZ1/OZ2</t>
  </si>
  <si>
    <t>Station de Pompage SP2-OZ1/OZ2</t>
  </si>
  <si>
    <t>SP2-OZ2</t>
  </si>
  <si>
    <t>Station de Pompage SP2-OZ2</t>
  </si>
  <si>
    <t>SP3-OZ1/OZ2</t>
  </si>
  <si>
    <t>SP3-OZ2</t>
  </si>
  <si>
    <t>SP4-OZ1/OZ2</t>
  </si>
  <si>
    <t>SP4-OZ2</t>
  </si>
  <si>
    <t>SP5-OZ1/OZ2</t>
  </si>
  <si>
    <t>SP5-OZ2</t>
  </si>
  <si>
    <t>SP6-OZ1/OZ2</t>
  </si>
  <si>
    <t>SP6-OZ2</t>
  </si>
  <si>
    <t>PRS-OZ1/OZ2</t>
  </si>
  <si>
    <t>Station de Pompage PRS-OZ1/OZ2</t>
  </si>
  <si>
    <t>PRS-OZ2</t>
  </si>
  <si>
    <t>Station de Régulation PRS-OZ2</t>
  </si>
  <si>
    <t>SP1-OK1</t>
  </si>
  <si>
    <t>Station de Pompage SP1-OK1</t>
  </si>
  <si>
    <t>SP1-OK1-NEW</t>
  </si>
  <si>
    <t>Station de Pompage SP1-OK1-NEW</t>
  </si>
  <si>
    <t>SP2-OK1</t>
  </si>
  <si>
    <t>Station de Pompage SP2-OK1</t>
  </si>
  <si>
    <t>SP3-OK1</t>
  </si>
  <si>
    <t>Station de Pompage SP3-OK1</t>
  </si>
  <si>
    <t>SP3-OK1-BIS</t>
  </si>
  <si>
    <t>Station de Pompage SP3-OK1-BIS</t>
  </si>
  <si>
    <t>SP4-OK1</t>
  </si>
  <si>
    <t>Station de Pompage SP4-OK1</t>
  </si>
  <si>
    <t>SP1-OB1</t>
  </si>
  <si>
    <t>Station de Pompage SP1-OB1</t>
  </si>
  <si>
    <t>SP1-BIS-OB1</t>
  </si>
  <si>
    <t>Station de Pompage SP1-BIS-OB1</t>
  </si>
  <si>
    <t>SP2-OB1</t>
  </si>
  <si>
    <t>Station de Pompage SP2-OB1</t>
  </si>
  <si>
    <t>SP3-OB1</t>
  </si>
  <si>
    <t>Station de Pompage SP3-OB1</t>
  </si>
  <si>
    <t>SP1-BIS-OG1</t>
  </si>
  <si>
    <t>Station de Pompage SP1-BIS-OG1</t>
  </si>
  <si>
    <t>SP1-OT1</t>
  </si>
  <si>
    <t>Station de Pompage SP1-OT1</t>
  </si>
  <si>
    <t>SP2-OT1</t>
  </si>
  <si>
    <t>Station de Pompage SP2-OT1</t>
  </si>
  <si>
    <t>SP1-OH1</t>
  </si>
  <si>
    <t>Station de Pompage SP1-OH1</t>
  </si>
  <si>
    <t>SP2-OH1</t>
  </si>
  <si>
    <t>Station de Pompage SP2-OH1</t>
  </si>
  <si>
    <t>SP3-OH1</t>
  </si>
  <si>
    <t>Station de Pompage SP3-OH1</t>
  </si>
  <si>
    <t>SP4-OH1</t>
  </si>
  <si>
    <t>Station de Pompage SP4-OH1</t>
  </si>
  <si>
    <t>SP1-OD1</t>
  </si>
  <si>
    <t>Station de Pompage SP1-OD1</t>
  </si>
  <si>
    <t>SP1-OH2</t>
  </si>
  <si>
    <t>Station de Pompage SP1-OH2</t>
  </si>
  <si>
    <t>SP1-OH3/OH4</t>
  </si>
  <si>
    <t>Station de Pompage SP1-OH3/OH4</t>
  </si>
  <si>
    <t>SP2-OH3/OH4</t>
  </si>
  <si>
    <t>Station de Pompage SP2-OH3/OH4</t>
  </si>
  <si>
    <t>SP4-NZ1</t>
  </si>
  <si>
    <t>Station de Pompage SP4-NZ1</t>
  </si>
  <si>
    <t>SP5-NZ1</t>
  </si>
  <si>
    <t>Station de Pompage SP5-NZ1</t>
  </si>
  <si>
    <t>SP6-NZ1</t>
  </si>
  <si>
    <t>Station de Pompage SP6-NZ1</t>
  </si>
  <si>
    <t>PRS-NZ1</t>
  </si>
  <si>
    <t>Station de Régulation PRS-NZ1</t>
  </si>
  <si>
    <t>SP1-NK1</t>
  </si>
  <si>
    <t>Station de Pompage SP1-NK1</t>
  </si>
  <si>
    <t>SP3-NK1</t>
  </si>
  <si>
    <t>Station de Pompage SP3-NK1</t>
  </si>
  <si>
    <t>SP4-LNZ1</t>
  </si>
  <si>
    <t>Station de Pompage SP4-LNZ1</t>
  </si>
  <si>
    <t>SP5-LNZ1</t>
  </si>
  <si>
    <t>Station de Pompage SP5-LNZ1</t>
  </si>
  <si>
    <t>SP6-LNZ1</t>
  </si>
  <si>
    <t>Station de Pompage SP6-LNZ1</t>
  </si>
  <si>
    <t>SP0-LZ1</t>
  </si>
  <si>
    <t>Station de Pompage SP0-LZ1</t>
  </si>
  <si>
    <t>SP1-LZ1</t>
  </si>
  <si>
    <t>Station de Pompage SP1-LZ1</t>
  </si>
  <si>
    <t>SP1-LZ2</t>
  </si>
  <si>
    <t>Station de Pompage SP1-LZ2</t>
  </si>
  <si>
    <t>PRS-LZ1/LZ2</t>
  </si>
  <si>
    <t>Station de Régulation PRS-LZ1/LZ2</t>
  </si>
  <si>
    <t>SPRN-LR1</t>
  </si>
  <si>
    <t>Station de Pompage SPRN-LR1</t>
  </si>
  <si>
    <t>SP0-LR1</t>
  </si>
  <si>
    <t>Station de Pompage SP1-LR1</t>
  </si>
  <si>
    <t>SP1-LR1</t>
  </si>
  <si>
    <t>SP2-LR1</t>
  </si>
  <si>
    <t>Station de Pompage SP2-LR1</t>
  </si>
  <si>
    <t>SP1-LNZ1</t>
  </si>
  <si>
    <t>Station de Pompage SP1-LNZ1</t>
  </si>
  <si>
    <t>SP3-LNZ1</t>
  </si>
  <si>
    <t>Station de Pompage SP3-LNZ1</t>
  </si>
  <si>
    <t>SC1-GZ0</t>
  </si>
  <si>
    <t>Station de Compression SC1-GZ0</t>
  </si>
  <si>
    <t>SC2-GZ0</t>
  </si>
  <si>
    <t>Station de Compression SC2-GZ0</t>
  </si>
  <si>
    <t>SC3-GZ0</t>
  </si>
  <si>
    <t>Station de Compression SC3-GZ0</t>
  </si>
  <si>
    <t>SC4-GZ0</t>
  </si>
  <si>
    <t>Station de Compression SC4-GZ0</t>
  </si>
  <si>
    <t>SC1-GZ1</t>
  </si>
  <si>
    <t>Station de Compression SC1-GZ1</t>
  </si>
  <si>
    <t>SC1-GZ2</t>
  </si>
  <si>
    <t>Station de Compression SC1-GZ2</t>
  </si>
  <si>
    <t>SC1-GZ3</t>
  </si>
  <si>
    <t>Station de Compression SC1-GZ3</t>
  </si>
  <si>
    <t>SC2-GZ1</t>
  </si>
  <si>
    <t>Station de Compression SC2-GZ1</t>
  </si>
  <si>
    <t>SC2-GZ2</t>
  </si>
  <si>
    <t>Station de Compression SC2-GZ2</t>
  </si>
  <si>
    <t>SC2-GZ3</t>
  </si>
  <si>
    <t>Station de Compression SC2-GZ3</t>
  </si>
  <si>
    <t>SC3-GZ1</t>
  </si>
  <si>
    <t>Station de Compression SC3-GZ1</t>
  </si>
  <si>
    <t>SC3-GZ2</t>
  </si>
  <si>
    <t>Station de Compression SC3-GZ2</t>
  </si>
  <si>
    <t>SC3-GZ3</t>
  </si>
  <si>
    <t>Station de Compression SC3-GZ3</t>
  </si>
  <si>
    <t>SC4-GZ1</t>
  </si>
  <si>
    <t>Station de Compression SC4-GZ1</t>
  </si>
  <si>
    <t>SC4-GZ2</t>
  </si>
  <si>
    <t>Station de Compression SC4-GZ2</t>
  </si>
  <si>
    <t>SC4-GZ3</t>
  </si>
  <si>
    <t>Station de Compression SC4-GZ3</t>
  </si>
  <si>
    <t>SC5-GZ1</t>
  </si>
  <si>
    <t>Station de Compression SC5-GZ1</t>
  </si>
  <si>
    <t>SC5-GZ2</t>
  </si>
  <si>
    <t>Station de Compression SC5-GZ2</t>
  </si>
  <si>
    <t>SC5-GZ3</t>
  </si>
  <si>
    <t>Station de Compression SC5-GZ3</t>
  </si>
  <si>
    <t>SC3-GPDF</t>
  </si>
  <si>
    <t>Station de Compression SC3-GPDF</t>
  </si>
  <si>
    <t>SC1-GK1</t>
  </si>
  <si>
    <t>Station de Compression SC1-GK1</t>
  </si>
  <si>
    <t>SC2-GK1</t>
  </si>
  <si>
    <t>Station de Compression SC2-GK1</t>
  </si>
  <si>
    <t>SC3-GK1</t>
  </si>
  <si>
    <t>Station de Compression SC3-GK1</t>
  </si>
  <si>
    <t>SC4-GK1</t>
  </si>
  <si>
    <t>Station de Compression SC4-GK1</t>
  </si>
  <si>
    <t>SC5-GK1</t>
  </si>
  <si>
    <t>Station de Compression SC5-GK1</t>
  </si>
  <si>
    <t>S01-GO2</t>
  </si>
  <si>
    <t>Station de Compression S01-GO2</t>
  </si>
  <si>
    <t>S01-GG1</t>
  </si>
  <si>
    <t>Station de Compression S01-GG1</t>
  </si>
  <si>
    <t>S01-GR5</t>
  </si>
  <si>
    <t>Station de Compression S01-GR5</t>
  </si>
  <si>
    <t>S01-GR7</t>
  </si>
  <si>
    <t>Station de Compression S01-GR7</t>
  </si>
  <si>
    <t>SC-TFT</t>
  </si>
  <si>
    <t>Station de Compression SC-TFT</t>
  </si>
  <si>
    <t>SC1-GR2</t>
  </si>
  <si>
    <t>Station de Compression SC1-GR2</t>
  </si>
  <si>
    <t>SC2-GR2</t>
  </si>
  <si>
    <t>Station de Compression SC2-GR2</t>
  </si>
  <si>
    <t>SC3-GR2</t>
  </si>
  <si>
    <t>Station de Compression SC3-GR2</t>
  </si>
  <si>
    <t>SC4-GR2</t>
  </si>
  <si>
    <t>Station de Compression SC4-GR2</t>
  </si>
  <si>
    <t>GL1Z</t>
  </si>
  <si>
    <t>Complexe GNL GL1Z</t>
  </si>
  <si>
    <t>GL2Z</t>
  </si>
  <si>
    <t>Complexe GNL GL2Z</t>
  </si>
  <si>
    <t>GL3Z</t>
  </si>
  <si>
    <t>Complexe GNL GL3Z</t>
  </si>
  <si>
    <t>GL1K</t>
  </si>
  <si>
    <t>Complexe GNL GL1K</t>
  </si>
  <si>
    <t>GP1Z</t>
  </si>
  <si>
    <t>Usine GPL GP1Z</t>
  </si>
  <si>
    <t>GP2Z</t>
  </si>
  <si>
    <t>Usine GPL GP2Z</t>
  </si>
  <si>
    <t>RA1G</t>
  </si>
  <si>
    <t>Raffinerie RA1G</t>
  </si>
  <si>
    <t>RA1Z</t>
  </si>
  <si>
    <t>Raffinerie RA1Z</t>
  </si>
  <si>
    <t>RHM2</t>
  </si>
  <si>
    <t>Raffinerie RHM2</t>
  </si>
  <si>
    <t>RA1K</t>
  </si>
  <si>
    <t>Raffinerie RA1K</t>
  </si>
  <si>
    <t>RA2K</t>
  </si>
  <si>
    <t>Raffinerie RA2K</t>
  </si>
  <si>
    <t>RA1D</t>
  </si>
  <si>
    <t>Raffinerie RA1D</t>
  </si>
  <si>
    <t>CP1Z</t>
  </si>
  <si>
    <t>Usine de Condensats CP1Z</t>
  </si>
  <si>
    <t>CP2K</t>
  </si>
  <si>
    <t>Usine de Condensats CP2K</t>
  </si>
  <si>
    <t>SORFERT</t>
  </si>
  <si>
    <t>Complexe Pétrochimique SORFERT</t>
  </si>
  <si>
    <t>AOA</t>
  </si>
  <si>
    <t>Complexe Pétrochimique AOA</t>
  </si>
  <si>
    <t>CPF-OHD</t>
  </si>
  <si>
    <t>Usine d\'Ourhoud</t>
  </si>
  <si>
    <t>CPF-MNS</t>
  </si>
  <si>
    <t>Unité de Traitement Central d\'In Amenas</t>
  </si>
  <si>
    <t>CPF-BBK</t>
  </si>
  <si>
    <t>Unité de Traitement Central de Berkine (El Merk)</t>
  </si>
  <si>
    <t>GPC-HRM</t>
  </si>
  <si>
    <t>Station Centrale de Hassi R\'Mel</t>
  </si>
  <si>
    <t>GPC-OHT</t>
  </si>
  <si>
    <t>Unité de Traitement Central d\'Ohanet - Train de Gaz</t>
  </si>
  <si>
    <t>GPC-TFT</t>
  </si>
  <si>
    <t>Unité de Traitement Central de Tin-Fouyé-Tabenkort</t>
  </si>
  <si>
    <t>GPC-TSL</t>
  </si>
  <si>
    <t>Complexe Gazier d\'Ain Tsila</t>
  </si>
  <si>
    <t>GPC-RGN</t>
  </si>
  <si>
    <t>Traitement du Gaz du Bassin de Reggane</t>
  </si>
  <si>
    <t>CRP-OHT</t>
  </si>
  <si>
    <t>Unité de Condensats d\'Ohanet</t>
  </si>
  <si>
    <t>CRP-TFT</t>
  </si>
  <si>
    <t>Unité de Condensats de Tin-Fouyé</t>
  </si>
  <si>
    <t>CRP-TSL</t>
  </si>
  <si>
    <t>Usine de récupération des Condensats d\'Ain Tsila</t>
  </si>
  <si>
    <t>CRP-MRK</t>
  </si>
  <si>
    <t>Unité de Condensats d\'El Merk</t>
  </si>
  <si>
    <t>CRP-MNS</t>
  </si>
  <si>
    <t>Usine de récupération des Condensats d\'In Amenas</t>
  </si>
  <si>
    <t>LPG1-HRM</t>
  </si>
  <si>
    <t>Unités GPL/Condensats de Hassi R\'Mel</t>
  </si>
  <si>
    <t>LPG2-HRM</t>
  </si>
  <si>
    <t>Complexe de récupération Centrale GPL de Hassi R\'Mel</t>
  </si>
  <si>
    <t>LPGE-HRM</t>
  </si>
  <si>
    <t>Complexe de récupération d\'Éthane de Hassi R\'Mel</t>
  </si>
  <si>
    <t>LPG-TFT</t>
  </si>
  <si>
    <t>Complexe de récupération GPL de Tin-Fouyé</t>
  </si>
  <si>
    <t>LPG-TSL</t>
  </si>
  <si>
    <t>Complexe de récupération GPL d\'Ain Tsila</t>
  </si>
  <si>
    <t>OZ1</t>
  </si>
  <si>
    <t>Pipeline OZ1</t>
  </si>
  <si>
    <t>OZ2</t>
  </si>
  <si>
    <t>Pipeline OZ2</t>
  </si>
  <si>
    <t>2003-08-18</t>
  </si>
  <si>
    <t>OK1</t>
  </si>
  <si>
    <t>Pipeline OK1</t>
  </si>
  <si>
    <t>1972-01-01</t>
  </si>
  <si>
    <t>OB1</t>
  </si>
  <si>
    <t>Pipeline OB1</t>
  </si>
  <si>
    <t>ROB1-01</t>
  </si>
  <si>
    <t>Pipeline ROB1-01</t>
  </si>
  <si>
    <t>ROB1-02</t>
  </si>
  <si>
    <t>Pipeline ROB1-02</t>
  </si>
  <si>
    <t>OG1</t>
  </si>
  <si>
    <t>Pipeline OG1</t>
  </si>
  <si>
    <t>2005-07-04</t>
  </si>
  <si>
    <t>OT1</t>
  </si>
  <si>
    <t>Pipeline OT1</t>
  </si>
  <si>
    <t>OH1</t>
  </si>
  <si>
    <t>Pipeline OH1</t>
  </si>
  <si>
    <t>1982-01-01</t>
  </si>
  <si>
    <t>ROH1</t>
  </si>
  <si>
    <t>Pipeline ROH1</t>
  </si>
  <si>
    <t>OH2</t>
  </si>
  <si>
    <t>Pipeline OH2</t>
  </si>
  <si>
    <t>1972-04-10</t>
  </si>
  <si>
    <t>OH3</t>
  </si>
  <si>
    <t>Pipeline OH3</t>
  </si>
  <si>
    <t>OH4</t>
  </si>
  <si>
    <t>Pipeline OH4</t>
  </si>
  <si>
    <t>2006-01-01</t>
  </si>
  <si>
    <t>OD1</t>
  </si>
  <si>
    <t>Pipeline OD1</t>
  </si>
  <si>
    <t>1977-03-23</t>
  </si>
  <si>
    <t>ROD1</t>
  </si>
  <si>
    <t>Pipeline ROD1</t>
  </si>
  <si>
    <t>OD2</t>
  </si>
  <si>
    <t>Pipeline OD2</t>
  </si>
  <si>
    <t>OD3</t>
  </si>
  <si>
    <t>Pipeline OD3</t>
  </si>
  <si>
    <t>NZ1</t>
  </si>
  <si>
    <t>Pipeline NZ1</t>
  </si>
  <si>
    <t>1978-11-01</t>
  </si>
  <si>
    <t>NK1</t>
  </si>
  <si>
    <t>Pipeline NK1</t>
  </si>
  <si>
    <t>2009-08-04</t>
  </si>
  <si>
    <t>NH2</t>
  </si>
  <si>
    <t>Pipeline NH2</t>
  </si>
  <si>
    <t>1960-01-01</t>
  </si>
  <si>
    <t>LNZ1</t>
  </si>
  <si>
    <t>Pipeline LNZ1</t>
  </si>
  <si>
    <t>LZ1</t>
  </si>
  <si>
    <t>Pipeline LZ1</t>
  </si>
  <si>
    <t>1984-02-08</t>
  </si>
  <si>
    <t>LZ2</t>
  </si>
  <si>
    <t>Pipeline LZ2</t>
  </si>
  <si>
    <t>2010-11-01</t>
  </si>
  <si>
    <t>LR1</t>
  </si>
  <si>
    <t>Pipeline LR1</t>
  </si>
  <si>
    <t>1996-01-01</t>
  </si>
  <si>
    <t>DLR1</t>
  </si>
  <si>
    <t>Pipeline DLR1</t>
  </si>
  <si>
    <t>2004-10-04</t>
  </si>
  <si>
    <t>ELR1</t>
  </si>
  <si>
    <t>Pipeline ELR1</t>
  </si>
  <si>
    <t>2014-01-01</t>
  </si>
  <si>
    <t>GZ0</t>
  </si>
  <si>
    <t>Pipeline GZ0</t>
  </si>
  <si>
    <t>GZ0 Bis</t>
  </si>
  <si>
    <t>Pipeline GZ0 Bis</t>
  </si>
  <si>
    <t>2022-09-01</t>
  </si>
  <si>
    <t>GZ1</t>
  </si>
  <si>
    <t>Pipeline GZ1</t>
  </si>
  <si>
    <t>1976-01-01</t>
  </si>
  <si>
    <t>GZ2</t>
  </si>
  <si>
    <t>Pipeline GZ2</t>
  </si>
  <si>
    <t>RGZ2</t>
  </si>
  <si>
    <t>Pipeline RGZ2</t>
  </si>
  <si>
    <t>GZ3</t>
  </si>
  <si>
    <t>Pipeline GZ3</t>
  </si>
  <si>
    <t>1989-01-01</t>
  </si>
  <si>
    <t>RGZ3-01</t>
  </si>
  <si>
    <t>Pipeline RGZ3-01</t>
  </si>
  <si>
    <t>2018-01-01</t>
  </si>
  <si>
    <t>RGZ3-02</t>
  </si>
  <si>
    <t>Pipeline RGZ3-02</t>
  </si>
  <si>
    <t>GZ4-01</t>
  </si>
  <si>
    <t>Pipeline GZ4-01</t>
  </si>
  <si>
    <t>2010-04-16</t>
  </si>
  <si>
    <t>GZ4-02</t>
  </si>
  <si>
    <t>Pipeline GZ4-02</t>
  </si>
  <si>
    <t>GZ4-03</t>
  </si>
  <si>
    <t>Pipeline GZ4-03</t>
  </si>
  <si>
    <t>GK1</t>
  </si>
  <si>
    <t>Pipeline GK1</t>
  </si>
  <si>
    <t>1971-01-01</t>
  </si>
  <si>
    <t>1978-01-01</t>
  </si>
  <si>
    <t>GK2</t>
  </si>
  <si>
    <t>Pipeline GK2</t>
  </si>
  <si>
    <t>1998-01-01</t>
  </si>
  <si>
    <t>2001-01-01</t>
  </si>
  <si>
    <t>GK3-01</t>
  </si>
  <si>
    <t>Pipeline GK3-01</t>
  </si>
  <si>
    <t>2012-01-01</t>
  </si>
  <si>
    <t>GK3-02</t>
  </si>
  <si>
    <t>Pipeline GK3-02</t>
  </si>
  <si>
    <t>GG1</t>
  </si>
  <si>
    <t>Pipeline GG1</t>
  </si>
  <si>
    <t>1981-01-01</t>
  </si>
  <si>
    <t>RGG1</t>
  </si>
  <si>
    <t>Pipeline RGG1</t>
  </si>
  <si>
    <t>2019-01-01</t>
  </si>
  <si>
    <t>GM1</t>
  </si>
  <si>
    <t>Pipeline GM1</t>
  </si>
  <si>
    <t>GR1</t>
  </si>
  <si>
    <t>Pipeline GR1</t>
  </si>
  <si>
    <t>1986-01-01</t>
  </si>
  <si>
    <t>GR2</t>
  </si>
  <si>
    <t>Pipeline GR2</t>
  </si>
  <si>
    <t>1999-01-01</t>
  </si>
  <si>
    <t>GR3</t>
  </si>
  <si>
    <t>Pipeline GR3</t>
  </si>
  <si>
    <t>GR4</t>
  </si>
  <si>
    <t>Pipeline GR4</t>
  </si>
  <si>
    <t>GR5</t>
  </si>
  <si>
    <t>Pipeline GR5</t>
  </si>
  <si>
    <t>2017-06-01</t>
  </si>
  <si>
    <t>GR6</t>
  </si>
  <si>
    <t>Pipeline GR6</t>
  </si>
  <si>
    <t>2017-01-01</t>
  </si>
  <si>
    <t>GR7</t>
  </si>
  <si>
    <t>Pipeline GR7</t>
  </si>
  <si>
    <t>2019-12-01</t>
  </si>
  <si>
    <t>GPDF</t>
  </si>
  <si>
    <t>Pipeline GPDF</t>
  </si>
  <si>
    <t>EGPDF</t>
  </si>
  <si>
    <t>Pipeline EGPDF</t>
  </si>
  <si>
    <t>2021-01-01</t>
  </si>
  <si>
    <t>GO1</t>
  </si>
  <si>
    <t>Pipeline GO1</t>
  </si>
  <si>
    <t>GO2</t>
  </si>
  <si>
    <t>Pipeline GO2</t>
  </si>
  <si>
    <t>1987-01-01</t>
  </si>
  <si>
    <t>GO3</t>
  </si>
  <si>
    <t>Pipeline GO3</t>
  </si>
  <si>
    <t>2008-01-01</t>
  </si>
  <si>
    <t>2010-01-01</t>
  </si>
  <si>
    <t>S01-OZ1</t>
  </si>
  <si>
    <t>Segment 01-OZ1</t>
  </si>
  <si>
    <t>S02-OZ1</t>
  </si>
  <si>
    <t>Segment 02-OZ1</t>
  </si>
  <si>
    <t>S03-OZ1</t>
  </si>
  <si>
    <t>Segment 03-OZ1</t>
  </si>
  <si>
    <t>S04-OZ1</t>
  </si>
  <si>
    <t>Segment 04-OZ1</t>
  </si>
  <si>
    <t>S05-OZ1</t>
  </si>
  <si>
    <t>Segment 05-OZ1</t>
  </si>
  <si>
    <t>S06-OZ1</t>
  </si>
  <si>
    <t>Segment 06-OZ1</t>
  </si>
  <si>
    <t>S07-OZ1</t>
  </si>
  <si>
    <t>Segment 07-OZ1</t>
  </si>
  <si>
    <t>S01-OZ2</t>
  </si>
  <si>
    <t>Segment 01-OZ2</t>
  </si>
  <si>
    <t>S02-OZ2</t>
  </si>
  <si>
    <t>Segment 02-OZ2</t>
  </si>
  <si>
    <t>S03-OZ2</t>
  </si>
  <si>
    <t>Segment 03-OZ2</t>
  </si>
  <si>
    <t>S04-OZ2</t>
  </si>
  <si>
    <t>Segment 04-OZ2</t>
  </si>
  <si>
    <t>S05-OZ2</t>
  </si>
  <si>
    <t>Segment 05-OZ2</t>
  </si>
  <si>
    <t>S06-OZ2</t>
  </si>
  <si>
    <t>Segment 06-OZ2</t>
  </si>
  <si>
    <t>S07-OZ2</t>
  </si>
  <si>
    <t>Segment 07-OZ2</t>
  </si>
  <si>
    <t>Date</t>
  </si>
  <si>
    <t>Owner</t>
  </si>
  <si>
    <t>OwnerId</t>
  </si>
  <si>
    <t>ManagerId</t>
  </si>
  <si>
    <t>Diameter</t>
  </si>
  <si>
    <t>Length</t>
  </si>
  <si>
    <t>Thickness</t>
  </si>
  <si>
    <t>Roughness</t>
  </si>
  <si>
    <t>DMaxSP</t>
  </si>
  <si>
    <t>OMaxSP</t>
  </si>
  <si>
    <t>DMinSP</t>
  </si>
  <si>
    <t>OMinSP</t>
  </si>
  <si>
    <t>DCapacity</t>
  </si>
  <si>
    <t>OCapacity</t>
  </si>
  <si>
    <t>Material</t>
  </si>
  <si>
    <t>MaterialId</t>
  </si>
  <si>
    <t>ECoating</t>
  </si>
  <si>
    <t>ECoatingId</t>
  </si>
  <si>
    <t>ICoating</t>
  </si>
  <si>
    <t>ICoatingId</t>
  </si>
  <si>
    <t>System</t>
  </si>
  <si>
    <t>SystemId</t>
  </si>
  <si>
    <t>Departure</t>
  </si>
  <si>
    <t>DepartureId</t>
  </si>
  <si>
    <t>Arrival</t>
  </si>
  <si>
    <t>ArrivalId</t>
  </si>
  <si>
    <t>Manager</t>
  </si>
  <si>
    <t>Vendor</t>
  </si>
  <si>
    <t>VendorId</t>
  </si>
  <si>
    <t>F_24</t>
  </si>
  <si>
    <t>F_08</t>
  </si>
  <si>
    <t>F_09</t>
  </si>
  <si>
    <t>F_10</t>
  </si>
  <si>
    <t>F_11</t>
  </si>
  <si>
    <t>F_12</t>
  </si>
  <si>
    <t>F_13</t>
  </si>
  <si>
    <t>F_14</t>
  </si>
  <si>
    <t>F_15</t>
  </si>
  <si>
    <t>F_16</t>
  </si>
  <si>
    <t>F_17</t>
  </si>
  <si>
    <t>F_18</t>
  </si>
  <si>
    <t>F_19</t>
  </si>
  <si>
    <t>F_20</t>
  </si>
  <si>
    <t>F_21</t>
  </si>
  <si>
    <t>F_22</t>
  </si>
  <si>
    <t>F_23</t>
  </si>
  <si>
    <t>x</t>
  </si>
  <si>
    <t>INSERT INTO T_02_03_08 (F_00, F_08, F_09, F_10, F_11, F_12, F_13, F_14, F_15, F_16, F_17, F_18, F_19, F_20, F_21, F_22, F_23, F_24) VALUES</t>
  </si>
  <si>
    <t>RTO</t>
  </si>
  <si>
    <t>801.478</t>
  </si>
  <si>
    <t>6.35 / 7.14 / 7.92 / 8.74 / 9.52 /  11.91 / 12.70</t>
  </si>
  <si>
    <t>X52</t>
  </si>
  <si>
    <t>Brai de huile</t>
  </si>
  <si>
    <t>OZ1/OZ2</t>
  </si>
  <si>
    <t>Arzew</t>
  </si>
  <si>
    <t>CJB / BECHTEL</t>
  </si>
  <si>
    <t>7.92 - 17.48</t>
  </si>
  <si>
    <t>X60</t>
  </si>
  <si>
    <t>Polyéthylène</t>
  </si>
  <si>
    <t>Stroystransgas
Cosider
Saipem/Spie-Capag</t>
  </si>
  <si>
    <t>RTE</t>
  </si>
  <si>
    <t>7,92 / 8,74 / 9,52 / 10,31 / 11,13 / 11,91 / 12,70 / 14,27 / 15,88 / 17,48 / 22,22</t>
  </si>
  <si>
    <t>X52 / X60</t>
  </si>
  <si>
    <t>Brai de houille et 
Polyéthylène</t>
  </si>
  <si>
    <t>Skikda</t>
  </si>
  <si>
    <t>SOCEA-GRESS</t>
  </si>
  <si>
    <t>RTC</t>
  </si>
  <si>
    <t>24 / 22</t>
  </si>
  <si>
    <t>2,7 / 9,52 / 9,0 / 8,73 / 7,92 / 7,13 / 6,35</t>
  </si>
  <si>
    <t>11.4</t>
  </si>
  <si>
    <t>X42 et X52</t>
  </si>
  <si>
    <t>Brai de houille et Polyéthylène</t>
  </si>
  <si>
    <t>OB1/OG1</t>
  </si>
  <si>
    <t>Bejaia</t>
  </si>
  <si>
    <t>TRAPIL</t>
  </si>
  <si>
    <t>8,74 / 9,53 / 11,3 / 12,7</t>
  </si>
  <si>
    <t>’ ROB1-RE-L-SG-DET-000002</t>
  </si>
  <si>
    <t>M'Sila</t>
  </si>
  <si>
    <t>12,7 / 11,13 / 9,53 / 7,9</t>
  </si>
  <si>
    <t>PEHD Tri couche</t>
  </si>
  <si>
    <t>Djamaa</t>
  </si>
  <si>
    <t>144.74</t>
  </si>
  <si>
    <t>8,74 / 10,31</t>
  </si>
  <si>
    <t>Beni Mansour</t>
  </si>
  <si>
    <t>Sidi Arcine</t>
  </si>
  <si>
    <t>BRC / GTP</t>
  </si>
  <si>
    <t>RTI</t>
  </si>
  <si>
    <t>7,94 / 8,74 / 10,31</t>
  </si>
  <si>
    <t>13.9</t>
  </si>
  <si>
    <t>7.8</t>
  </si>
  <si>
    <t>brai de houille</t>
  </si>
  <si>
    <t>Résine Epoxyde</t>
  </si>
  <si>
    <t>In Amenas</t>
  </si>
  <si>
    <t>DEB DEB</t>
  </si>
  <si>
    <t>BECHETEL</t>
  </si>
  <si>
    <t>7,14 / 7,92</t>
  </si>
  <si>
    <t>1.4</t>
  </si>
  <si>
    <t>8.9</t>
  </si>
  <si>
    <t>Brai de houille</t>
  </si>
  <si>
    <t>SAIPEM / MANNESSMAN</t>
  </si>
  <si>
    <t>44.5</t>
  </si>
  <si>
    <t>10.31</t>
  </si>
  <si>
    <t>Polyéthylène tri couches</t>
  </si>
  <si>
    <t>TFT</t>
  </si>
  <si>
    <t>Nezla</t>
  </si>
  <si>
    <t>RTH</t>
  </si>
  <si>
    <t>7,14 / 8,74</t>
  </si>
  <si>
    <t xml:space="preserve"> OD1/OD3/OH2</t>
  </si>
  <si>
    <t>Mesdar</t>
  </si>
  <si>
    <t>SOCEA GRESS</t>
  </si>
  <si>
    <t>10,31 - 12,7</t>
  </si>
  <si>
    <t>Polyethylene</t>
  </si>
  <si>
    <t>OH3/OH4</t>
  </si>
  <si>
    <t>Hassi Berkine</t>
  </si>
  <si>
    <t>ENAC / KANAGAZ</t>
  </si>
  <si>
    <t>6,35 - 8,74</t>
  </si>
  <si>
    <t>EL BORMA</t>
  </si>
  <si>
    <t>MESDAR</t>
  </si>
  <si>
    <t>CJB / SH-DTC / GT</t>
  </si>
  <si>
    <t>EP</t>
  </si>
  <si>
    <t>7,14 - 8,74</t>
  </si>
  <si>
    <t>Rhourde El Baguel</t>
  </si>
  <si>
    <t>KANAGHAZ</t>
  </si>
  <si>
    <t>6,35 / 7,14 / 7,22 / 8,74 / 9,25 / 12,7 / 14,27</t>
  </si>
  <si>
    <t>AIPEM / SNAMPROGETTI</t>
  </si>
  <si>
    <t>7,92/ 8,74/ 9,53/ 10,31/ 11,91/ 14,27</t>
  </si>
  <si>
    <t>Petro jet</t>
  </si>
  <si>
    <t>24/30</t>
  </si>
  <si>
    <t>In Aménas</t>
  </si>
  <si>
    <t>GREP / SOCOMAN</t>
  </si>
  <si>
    <t>LNZ1-16</t>
  </si>
  <si>
    <t>LZ1/LZ2</t>
  </si>
  <si>
    <t xml:space="preserve">9,52 / 11,91 </t>
  </si>
  <si>
    <t>BECHTEL</t>
  </si>
  <si>
    <t>8,74 / 9,52 / 10,31 / 12,70 / 14,27 / 15,88 / 19,05 / 17,5</t>
  </si>
  <si>
    <t>X60 / X70</t>
  </si>
  <si>
    <t>SAIPEM</t>
  </si>
  <si>
    <t>10 / 12 / 14 / 16 / 20 / 24</t>
  </si>
  <si>
    <t>LR1/DLR1</t>
  </si>
  <si>
    <t>Alrar</t>
  </si>
  <si>
    <t>:GTP/KANAGAZ/GCB/COSIDER</t>
  </si>
  <si>
    <t>LNZ1-12</t>
  </si>
  <si>
    <t>11,91 / 12,7 / 14,25 / 19,05</t>
  </si>
  <si>
    <t>7,92 / 11,13</t>
  </si>
  <si>
    <t>Ohanet</t>
  </si>
  <si>
    <t>Gassi Touil</t>
  </si>
  <si>
    <t>TMCA</t>
  </si>
  <si>
    <t>14,3 / 9,52 / 11,13 / 15,88 / 10,31</t>
  </si>
  <si>
    <t>Hassi Messaoud</t>
  </si>
  <si>
    <t>COSIDER/ENAC</t>
  </si>
  <si>
    <t>20 / 24</t>
  </si>
  <si>
    <t>8,74 - 12,7 - 10,31 - 15,9</t>
  </si>
  <si>
    <t>Brai de Houille</t>
  </si>
  <si>
    <t>Epoxy</t>
  </si>
  <si>
    <t>SOCOMAN-GREP</t>
  </si>
  <si>
    <t>GZ1/GZ2/GZ3</t>
  </si>
  <si>
    <t>Ain El Bya</t>
  </si>
  <si>
    <t>11,13 - 12,7 - 19,05</t>
  </si>
  <si>
    <t>SAIPEM / GE</t>
  </si>
  <si>
    <t>NACAP / SADELMI</t>
  </si>
  <si>
    <t xml:space="preserve">11,13 / 12,7 / 14,3 / 0,6 </t>
  </si>
  <si>
    <t xml:space="preserve">X52/X60/X70 </t>
  </si>
  <si>
    <t>Brai de Houille / PE</t>
  </si>
  <si>
    <t xml:space="preserve">NACAP / ENAC-SADELMI </t>
  </si>
  <si>
    <t>11,91 - 22,22</t>
  </si>
  <si>
    <t xml:space="preserve">X70 </t>
  </si>
  <si>
    <t>GZ4</t>
  </si>
  <si>
    <t>COSIDER / MASA</t>
  </si>
  <si>
    <t>Mactaa Douz</t>
  </si>
  <si>
    <t>Beni Saf</t>
  </si>
  <si>
    <t>COSIDER</t>
  </si>
  <si>
    <t xml:space="preserve">12,7 / 15,88 / 19,43 / 19,05 </t>
  </si>
  <si>
    <t>X52/X60/X70</t>
  </si>
  <si>
    <t>Brai de houille + Polyéthylène</t>
  </si>
  <si>
    <t>GK1/GK2</t>
  </si>
  <si>
    <t>SAIPEM / CJB/WILLBROS</t>
  </si>
  <si>
    <t>X60/X60A</t>
  </si>
  <si>
    <t>ENAC</t>
  </si>
  <si>
    <t>14,3 / 22,22</t>
  </si>
  <si>
    <t>GK3</t>
  </si>
  <si>
    <t>EL Kala</t>
  </si>
  <si>
    <t>X70</t>
  </si>
  <si>
    <t>11,91 / 12,7 / 19,05</t>
  </si>
  <si>
    <t>Bordj Menail</t>
  </si>
  <si>
    <t>DTC-GIP</t>
  </si>
  <si>
    <t>20,62 / 14,27</t>
  </si>
  <si>
    <t>Mejedel</t>
  </si>
  <si>
    <t>HEH</t>
  </si>
  <si>
    <t>GR1/GR2/GR4/GR6</t>
  </si>
  <si>
    <t>42 / 48</t>
  </si>
  <si>
    <t>11,92 / 12,7 / 13,35 / 14,27 / 15,88 / 22,22</t>
  </si>
  <si>
    <t>X70 / X60</t>
  </si>
  <si>
    <t>JGC / TMPE</t>
  </si>
  <si>
    <t>11,91 / 12,7 / 14,27 / 19,05 / 22,22</t>
  </si>
  <si>
    <t>BECHTEL / COSIDER</t>
  </si>
  <si>
    <t>12,7 / 14,27 / 22,22</t>
  </si>
  <si>
    <t>Rhoud Nouss</t>
  </si>
  <si>
    <t>HRM</t>
  </si>
  <si>
    <t>12,48 / 13,61 / 20,79 / 24,26</t>
  </si>
  <si>
    <t>GR5/GR7</t>
  </si>
  <si>
    <t>Reggane</t>
  </si>
  <si>
    <t>Cosider/ENAC</t>
  </si>
  <si>
    <t>12,95 / 14,27 / 22,23</t>
  </si>
  <si>
    <t>Hassi El Gara</t>
  </si>
  <si>
    <t>Extrudé tri couche</t>
  </si>
  <si>
    <t>GPDF/EGPDF</t>
  </si>
  <si>
    <t>AL Aricha</t>
  </si>
  <si>
    <t>13,61/  14,27 / 20,79 / 22,23</t>
  </si>
  <si>
    <t>GEM</t>
  </si>
  <si>
    <t>GO1/GO2/GO3</t>
  </si>
  <si>
    <t>Oued Saf Saf</t>
  </si>
  <si>
    <t>SADELMI</t>
  </si>
  <si>
    <t>polyethylene</t>
  </si>
  <si>
    <t>BRC / COSIDER</t>
  </si>
  <si>
    <t>Start</t>
  </si>
  <si>
    <t>End</t>
  </si>
  <si>
    <t>Pipeline</t>
  </si>
  <si>
    <t>PipelineId</t>
  </si>
  <si>
    <t>INSERT INTO T_02_03_09 (F_00, F_08, F_09, F_10, F_11, F_12, F_13, F_14, F_15, F_16, F_17, F_18, F_19) VALUES</t>
  </si>
  <si>
    <t>8.74</t>
  </si>
  <si>
    <t>7.92</t>
  </si>
  <si>
    <t>7.93</t>
  </si>
  <si>
    <t>7.94</t>
  </si>
  <si>
    <t>7.95</t>
  </si>
  <si>
    <t>7.96</t>
  </si>
  <si>
    <t>7.97</t>
  </si>
  <si>
    <t>7.98</t>
  </si>
  <si>
    <t>S01-OK1</t>
  </si>
  <si>
    <t>Segment 01-OK1</t>
  </si>
  <si>
    <t>S02-OK1</t>
  </si>
  <si>
    <t>Segment 02-OK1</t>
  </si>
  <si>
    <t>S03-OK1</t>
  </si>
  <si>
    <t>Segment 03-OK1</t>
  </si>
  <si>
    <t>S04-OK1</t>
  </si>
  <si>
    <t>Segment 04-OK1</t>
  </si>
  <si>
    <t>Segment 01-OB1</t>
  </si>
  <si>
    <t>Segment 02-OB1</t>
  </si>
  <si>
    <t>Segment 03-OB1</t>
  </si>
  <si>
    <t>Segment 04-OB1</t>
  </si>
  <si>
    <t>Segment 05-OB1</t>
  </si>
  <si>
    <t>X42</t>
  </si>
  <si>
    <t xml:space="preserve">PS N°3 Bis </t>
  </si>
  <si>
    <t>S01-OB1</t>
  </si>
  <si>
    <t>S02-OB1</t>
  </si>
  <si>
    <t>S03-OB1</t>
  </si>
  <si>
    <t>S04-OB1</t>
  </si>
  <si>
    <t>S05-OB1</t>
  </si>
  <si>
    <t>S01-ROB1</t>
  </si>
  <si>
    <t>S02-ROB1</t>
  </si>
  <si>
    <t>S03-ROB1</t>
  </si>
  <si>
    <t>S04-ROB1</t>
  </si>
  <si>
    <t>S05-ROB1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</si>
</sst>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0"/>
    <numFmt numFmtId="165" formatCode="0000"/>
    <numFmt numFmtId="166" formatCode="yyyy\-mm\-dd;@"/>
    <numFmt numFmtId="167" formatCode="0.000"/>
    <numFmt numFmtId="168" formatCode="[$-12C0C]dd/mm/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5" fontId="2" fillId="5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8" fontId="2" fillId="0" borderId="1" xfId="0" applyNumberFormat="1" applyFont="1" applyFill="1" applyBorder="1" applyAlignment="1">
      <alignment horizontal="left" vertical="center"/>
    </xf>
    <xf numFmtId="14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164" fontId="2" fillId="6" borderId="1" xfId="0" applyNumberFormat="1" applyFont="1" applyFill="1" applyBorder="1" applyAlignment="1">
      <alignment horizontal="center" vertical="center"/>
    </xf>
    <xf numFmtId="166" fontId="2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167" fontId="2" fillId="6" borderId="1" xfId="0" applyNumberFormat="1" applyFont="1" applyFill="1" applyBorder="1" applyAlignment="1">
      <alignment horizontal="center" vertical="center"/>
    </xf>
    <xf numFmtId="168" fontId="2" fillId="6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232"/>
  <sheetViews>
    <sheetView topLeftCell="A33" workbookViewId="0">
      <selection activeCell="B63" sqref="B63"/>
    </sheetView>
  </sheetViews>
  <sheetFormatPr baseColWidth="10" defaultColWidth="10.85546875" defaultRowHeight="15.75" x14ac:dyDescent="0.25"/>
  <cols>
    <col min="1" max="1" width="5.5703125" style="2" customWidth="1"/>
    <col min="2" max="2" width="13.140625" style="2" bestFit="1" customWidth="1"/>
    <col min="3" max="3" width="75.7109375" style="2" customWidth="1"/>
    <col min="4" max="5" width="15.5703125" style="2" customWidth="1"/>
    <col min="6" max="6" width="17.28515625" style="2" bestFit="1" customWidth="1"/>
    <col min="7" max="8" width="15.5703125" style="2" customWidth="1"/>
    <col min="9" max="9" width="89.5703125" style="2" bestFit="1" customWidth="1"/>
    <col min="10" max="16384" width="10.85546875" style="2"/>
  </cols>
  <sheetData>
    <row r="1" spans="1: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20.100000000000001" customHeight="1" x14ac:dyDescent="0.25">
      <c r="A3" s="3">
        <v>1</v>
      </c>
      <c r="B3" s="4" t="s">
        <v>18</v>
      </c>
      <c r="C3" s="5" t="s">
        <v>19</v>
      </c>
      <c r="D3" s="6">
        <v>38426</v>
      </c>
      <c r="E3" s="6">
        <v>39406</v>
      </c>
      <c r="F3" s="7" t="s">
        <v>20</v>
      </c>
      <c r="G3" s="7">
        <v>1</v>
      </c>
      <c r="H3" s="7">
        <v>10</v>
      </c>
      <c r="I3" s="5" t="str">
        <f t="shared" ref="I3:I14" si="0">CONCATENATE("(",A3,",'",B3,"','",C3,"','",TEXT(D3,"aaaa-mm-jj"),"','",TEXT(E3,"aaaa-mm-jj"),"',",F3,",",G3,",",H3,"),")</f>
        <v>(1,'ONET-DD','Terminal d\'Exportation Terrestre Deb Deb','Tuesday-03-jj','Tuesday-11-jj',NULL,1,10),</v>
      </c>
    </row>
    <row r="4" spans="1:9" ht="20.100000000000001" customHeight="1" x14ac:dyDescent="0.25">
      <c r="A4" s="3">
        <v>2</v>
      </c>
      <c r="B4" s="8" t="s">
        <v>21</v>
      </c>
      <c r="C4" s="5" t="s">
        <v>22</v>
      </c>
      <c r="D4" s="6">
        <v>39609</v>
      </c>
      <c r="E4" s="6">
        <v>40436</v>
      </c>
      <c r="F4" s="7" t="s">
        <v>20</v>
      </c>
      <c r="G4" s="7">
        <v>1</v>
      </c>
      <c r="H4" s="7">
        <v>10</v>
      </c>
      <c r="I4" s="5" t="str">
        <f t="shared" si="0"/>
        <v>(2,'ONET-OSS','Terminal d\'Exportation Terrestre Oued Saf Saf','Tuesday-06-jj','Wednesday-09-jj',NULL,1,10),</v>
      </c>
    </row>
    <row r="5" spans="1:9" ht="20.100000000000001" customHeight="1" x14ac:dyDescent="0.25">
      <c r="A5" s="3">
        <v>3</v>
      </c>
      <c r="B5" s="8" t="s">
        <v>23</v>
      </c>
      <c r="C5" s="5" t="s">
        <v>24</v>
      </c>
      <c r="D5" s="6">
        <v>38827</v>
      </c>
      <c r="E5" s="6">
        <v>39792</v>
      </c>
      <c r="F5" s="7" t="s">
        <v>20</v>
      </c>
      <c r="G5" s="7">
        <v>1</v>
      </c>
      <c r="H5" s="7">
        <v>10</v>
      </c>
      <c r="I5" s="5" t="str">
        <f t="shared" si="0"/>
        <v>(3,'ONET-BS','Terminal d\'Exportation Terrestre Beni Saf','Thursday-04-jj','Wednesday-12-jj',NULL,1,10),</v>
      </c>
    </row>
    <row r="6" spans="1:9" ht="20.100000000000001" customHeight="1" x14ac:dyDescent="0.25">
      <c r="A6" s="3">
        <v>4</v>
      </c>
      <c r="B6" s="8" t="s">
        <v>25</v>
      </c>
      <c r="C6" s="9" t="s">
        <v>26</v>
      </c>
      <c r="D6" s="6">
        <v>40909</v>
      </c>
      <c r="E6" s="6">
        <v>40909</v>
      </c>
      <c r="F6" s="7" t="s">
        <v>20</v>
      </c>
      <c r="G6" s="7">
        <v>1</v>
      </c>
      <c r="H6" s="7">
        <v>10</v>
      </c>
      <c r="I6" s="5" t="str">
        <f t="shared" si="0"/>
        <v>(4,'ONET-KL','Terminal d\'Exportation Terrestre El Kala','Sunday-01-jj','Sunday-01-jj',NULL,1,10),</v>
      </c>
    </row>
    <row r="7" spans="1:9" ht="20.100000000000001" customHeight="1" x14ac:dyDescent="0.25">
      <c r="A7" s="3">
        <v>5</v>
      </c>
      <c r="B7" s="8" t="s">
        <v>27</v>
      </c>
      <c r="C7" s="5" t="s">
        <v>28</v>
      </c>
      <c r="D7" s="6">
        <v>28505</v>
      </c>
      <c r="E7" s="6">
        <v>29757</v>
      </c>
      <c r="F7" s="7" t="s">
        <v>20</v>
      </c>
      <c r="G7" s="7">
        <v>1</v>
      </c>
      <c r="H7" s="7">
        <v>10</v>
      </c>
      <c r="I7" s="5" t="str">
        <f t="shared" si="0"/>
        <v>(5,'DZAZW','Terminal d\'Exportation Maritime Export port','Sunday-01-jj','Saturday-06-jj',NULL,1,10),</v>
      </c>
    </row>
    <row r="8" spans="1:9" ht="20.100000000000001" customHeight="1" x14ac:dyDescent="0.25">
      <c r="A8" s="3">
        <v>6</v>
      </c>
      <c r="B8" s="8" t="s">
        <v>29</v>
      </c>
      <c r="C8" s="5" t="s">
        <v>28</v>
      </c>
      <c r="D8" s="6">
        <v>26368</v>
      </c>
      <c r="E8" s="6">
        <v>27662</v>
      </c>
      <c r="F8" s="7" t="s">
        <v>20</v>
      </c>
      <c r="G8" s="7">
        <v>1</v>
      </c>
      <c r="H8" s="7">
        <v>10</v>
      </c>
      <c r="I8" s="5" t="str">
        <f t="shared" si="0"/>
        <v>(6,'DZSKI','Terminal d\'Exportation Maritime Export port','Friday-03-jj','Thursday-09-jj',NULL,1,10),</v>
      </c>
    </row>
    <row r="9" spans="1:9" ht="20.100000000000001" customHeight="1" x14ac:dyDescent="0.25">
      <c r="A9" s="3">
        <v>7</v>
      </c>
      <c r="B9" s="8" t="s">
        <v>30</v>
      </c>
      <c r="C9" s="5" t="s">
        <v>28</v>
      </c>
      <c r="D9" s="6">
        <v>35927</v>
      </c>
      <c r="E9" s="6">
        <v>36968</v>
      </c>
      <c r="F9" s="7" t="s">
        <v>20</v>
      </c>
      <c r="G9" s="7">
        <v>1</v>
      </c>
      <c r="H9" s="7">
        <v>10</v>
      </c>
      <c r="I9" s="5" t="str">
        <f t="shared" si="0"/>
        <v>(7,'DZBJA','Terminal d\'Exportation Maritime Export port','Tuesday-05-jj','Sunday-03-jj',NULL,1,10),</v>
      </c>
    </row>
    <row r="10" spans="1:9" ht="20.100000000000001" customHeight="1" x14ac:dyDescent="0.25">
      <c r="A10" s="3">
        <v>8</v>
      </c>
      <c r="B10" s="8" t="s">
        <v>31</v>
      </c>
      <c r="C10" s="5" t="s">
        <v>32</v>
      </c>
      <c r="D10" s="6">
        <v>37660</v>
      </c>
      <c r="E10" s="6">
        <v>38640</v>
      </c>
      <c r="F10" s="7" t="s">
        <v>20</v>
      </c>
      <c r="G10" s="7">
        <v>1</v>
      </c>
      <c r="H10" s="7">
        <v>10</v>
      </c>
      <c r="I10" s="5" t="str">
        <f t="shared" si="0"/>
        <v>(8,'CDHL','Terminal de Distribution CDHL','Saturday-02-jj','Saturday-10-jj',NULL,1,10),</v>
      </c>
    </row>
    <row r="11" spans="1:9" ht="20.100000000000001" customHeight="1" x14ac:dyDescent="0.25">
      <c r="A11" s="3">
        <v>9</v>
      </c>
      <c r="B11" s="8" t="s">
        <v>33</v>
      </c>
      <c r="C11" s="5" t="s">
        <v>34</v>
      </c>
      <c r="D11" s="6">
        <v>38188</v>
      </c>
      <c r="E11" s="6">
        <v>39051</v>
      </c>
      <c r="F11" s="7" t="s">
        <v>20</v>
      </c>
      <c r="G11" s="7">
        <v>1</v>
      </c>
      <c r="H11" s="7">
        <v>10</v>
      </c>
      <c r="I11" s="5" t="str">
        <f t="shared" si="0"/>
        <v>(9,'CNDG','Terminal de Distribution CNDG','Tuesday-07-jj','Thursday-11-jj',NULL,1,10),</v>
      </c>
    </row>
    <row r="12" spans="1:9" ht="20.100000000000001" customHeight="1" x14ac:dyDescent="0.25">
      <c r="A12" s="3">
        <v>10</v>
      </c>
      <c r="B12" s="8" t="s">
        <v>35</v>
      </c>
      <c r="C12" s="5" t="s">
        <v>36</v>
      </c>
      <c r="D12" s="6">
        <v>39340</v>
      </c>
      <c r="E12" s="6">
        <v>40047</v>
      </c>
      <c r="F12" s="7" t="s">
        <v>20</v>
      </c>
      <c r="G12" s="7">
        <v>1</v>
      </c>
      <c r="H12" s="7">
        <v>10</v>
      </c>
      <c r="I12" s="5" t="str">
        <f t="shared" si="0"/>
        <v>(10,'DT-MED','Terminal de Distribution Medjedel','Saturday-09-jj','Saturday-08-jj',NULL,1,10),</v>
      </c>
    </row>
    <row r="13" spans="1:9" ht="20.100000000000001" customHeight="1" x14ac:dyDescent="0.25">
      <c r="A13" s="3">
        <v>11</v>
      </c>
      <c r="B13" s="8" t="s">
        <v>37</v>
      </c>
      <c r="C13" s="5" t="s">
        <v>38</v>
      </c>
      <c r="D13" s="6">
        <v>39556</v>
      </c>
      <c r="E13" s="6">
        <v>40371</v>
      </c>
      <c r="F13" s="7" t="s">
        <v>20</v>
      </c>
      <c r="G13" s="7">
        <v>1</v>
      </c>
      <c r="H13" s="7">
        <v>10</v>
      </c>
      <c r="I13" s="5" t="str">
        <f t="shared" si="0"/>
        <v>(11,'DT-MSL','Terminal de Distribution M\'Sila','Friday-04-jj','Monday-07-jj',NULL,1,10),</v>
      </c>
    </row>
    <row r="14" spans="1:9" ht="20.100000000000001" customHeight="1" x14ac:dyDescent="0.25">
      <c r="A14" s="3">
        <v>12</v>
      </c>
      <c r="B14" s="8" t="s">
        <v>39</v>
      </c>
      <c r="C14" s="5" t="s">
        <v>40</v>
      </c>
      <c r="D14" s="6">
        <v>40122</v>
      </c>
      <c r="E14" s="6">
        <v>40719</v>
      </c>
      <c r="F14" s="7" t="s">
        <v>20</v>
      </c>
      <c r="G14" s="7">
        <v>1</v>
      </c>
      <c r="H14" s="7">
        <v>10</v>
      </c>
      <c r="I14" s="5" t="str">
        <f t="shared" si="0"/>
        <v>(12,'DT-DJM','Terminal de Distribution SP1 Bis Djamaa','Thursday-11-jj','Saturday-06-jj',NULL,1,10),</v>
      </c>
    </row>
    <row r="15" spans="1:9" ht="20.100000000000001" customHeight="1" x14ac:dyDescent="0.25">
      <c r="A15" s="3">
        <v>13</v>
      </c>
      <c r="B15" s="8" t="s">
        <v>41</v>
      </c>
      <c r="C15" s="9" t="s">
        <v>42</v>
      </c>
      <c r="D15" s="6">
        <v>40179</v>
      </c>
      <c r="E15" s="6">
        <v>40179</v>
      </c>
      <c r="F15" s="7" t="s">
        <v>20</v>
      </c>
      <c r="G15" s="7">
        <v>1</v>
      </c>
      <c r="H15" s="7">
        <v>10</v>
      </c>
      <c r="I15" s="5"/>
    </row>
    <row r="16" spans="1:9" ht="20.100000000000001" customHeight="1" x14ac:dyDescent="0.25">
      <c r="A16" s="3">
        <v>14</v>
      </c>
      <c r="B16" s="8" t="s">
        <v>43</v>
      </c>
      <c r="C16" s="5" t="s">
        <v>44</v>
      </c>
      <c r="D16" s="6">
        <v>40249</v>
      </c>
      <c r="E16" s="6">
        <v>41160</v>
      </c>
      <c r="F16" s="7" t="s">
        <v>20</v>
      </c>
      <c r="G16" s="7">
        <v>1</v>
      </c>
      <c r="H16" s="7">
        <v>10</v>
      </c>
      <c r="I16" s="5" t="str">
        <f t="shared" ref="I16:I79" si="1">CONCATENATE("(",A16,",'",B16,"','",C16,"','",TEXT(D16,"aaaa-mm-jj"),"','",TEXT(E16,"aaaa-mm-jj"),"',",F16,",",G16,",",H16,"),")</f>
        <v>(14,'TT-ARH','Terminal de Transfert Al Aricha','Friday-03-jj','Saturday-09-jj',NULL,1,10),</v>
      </c>
    </row>
    <row r="17" spans="1:9" ht="20.100000000000001" customHeight="1" x14ac:dyDescent="0.25">
      <c r="A17" s="3">
        <v>15</v>
      </c>
      <c r="B17" s="8" t="s">
        <v>45</v>
      </c>
      <c r="C17" s="5" t="s">
        <v>46</v>
      </c>
      <c r="D17" s="6">
        <v>40683</v>
      </c>
      <c r="E17" s="6">
        <v>41593</v>
      </c>
      <c r="F17" s="7" t="s">
        <v>20</v>
      </c>
      <c r="G17" s="7">
        <v>1</v>
      </c>
      <c r="H17" s="7">
        <v>10</v>
      </c>
      <c r="I17" s="5" t="str">
        <f t="shared" si="1"/>
        <v>(15,'TT-BNM','Terminal de Transfert Beni Mensour','Friday-05-jj','Friday-11-jj',NULL,1,10),</v>
      </c>
    </row>
    <row r="18" spans="1:9" ht="20.100000000000001" customHeight="1" x14ac:dyDescent="0.25">
      <c r="A18" s="3">
        <v>16</v>
      </c>
      <c r="B18" s="8" t="s">
        <v>47</v>
      </c>
      <c r="C18" s="5" t="s">
        <v>48</v>
      </c>
      <c r="D18" s="6">
        <v>37478</v>
      </c>
      <c r="E18" s="6">
        <v>38341</v>
      </c>
      <c r="F18" s="7" t="s">
        <v>20</v>
      </c>
      <c r="G18" s="7">
        <v>1</v>
      </c>
      <c r="H18" s="7">
        <v>10</v>
      </c>
      <c r="I18" s="5" t="str">
        <f t="shared" si="1"/>
        <v>(16,'TT-HMD','Terminal de Transfert Hassi Messaoud','Saturday-08-jj','Monday-12-jj',NULL,1,10),</v>
      </c>
    </row>
    <row r="19" spans="1:9" ht="20.100000000000001" customHeight="1" x14ac:dyDescent="0.25">
      <c r="A19" s="3">
        <v>17</v>
      </c>
      <c r="B19" s="8" t="s">
        <v>49</v>
      </c>
      <c r="C19" s="5" t="s">
        <v>50</v>
      </c>
      <c r="D19" s="6">
        <v>38518</v>
      </c>
      <c r="E19" s="6">
        <v>39385</v>
      </c>
      <c r="F19" s="7" t="s">
        <v>20</v>
      </c>
      <c r="G19" s="7">
        <v>1</v>
      </c>
      <c r="H19" s="7">
        <v>10</v>
      </c>
      <c r="I19" s="5" t="str">
        <f t="shared" si="1"/>
        <v>(17,'TT-MSD','Terminal de Transfert Mesdar','Wednesday-06-jj','Tuesday-10-jj',NULL,1,10),</v>
      </c>
    </row>
    <row r="20" spans="1:9" ht="20.100000000000001" customHeight="1" x14ac:dyDescent="0.25">
      <c r="A20" s="3">
        <v>18</v>
      </c>
      <c r="B20" s="8" t="s">
        <v>51</v>
      </c>
      <c r="C20" s="5" t="s">
        <v>52</v>
      </c>
      <c r="D20" s="6">
        <v>38982</v>
      </c>
      <c r="E20" s="6">
        <v>39678</v>
      </c>
      <c r="F20" s="7" t="s">
        <v>20</v>
      </c>
      <c r="G20" s="7">
        <v>1</v>
      </c>
      <c r="H20" s="7">
        <v>10</v>
      </c>
      <c r="I20" s="5" t="str">
        <f t="shared" si="1"/>
        <v>(18,'TT-OHT','Terminal de Transfert Ohanet','Friday-09-jj','Monday-08-jj',NULL,1,10),</v>
      </c>
    </row>
    <row r="21" spans="1:9" ht="20.100000000000001" customHeight="1" x14ac:dyDescent="0.25">
      <c r="A21" s="3">
        <v>19</v>
      </c>
      <c r="B21" s="8" t="s">
        <v>53</v>
      </c>
      <c r="C21" s="5" t="s">
        <v>54</v>
      </c>
      <c r="D21" s="6">
        <v>39421</v>
      </c>
      <c r="E21" s="6">
        <v>40014</v>
      </c>
      <c r="F21" s="7" t="s">
        <v>20</v>
      </c>
      <c r="G21" s="7">
        <v>1</v>
      </c>
      <c r="H21" s="7">
        <v>10</v>
      </c>
      <c r="I21" s="5" t="str">
        <f t="shared" si="1"/>
        <v>(19,'TT-137','Terminal de Transfert PC1/PK137','Wednesday-12-jj','Monday-07-jj',NULL,1,10),</v>
      </c>
    </row>
    <row r="22" spans="1:9" ht="20.100000000000001" customHeight="1" x14ac:dyDescent="0.25">
      <c r="A22" s="3">
        <v>20</v>
      </c>
      <c r="B22" s="8" t="s">
        <v>55</v>
      </c>
      <c r="C22" s="5" t="s">
        <v>56</v>
      </c>
      <c r="D22" s="6">
        <v>39525</v>
      </c>
      <c r="E22" s="6">
        <v>40323</v>
      </c>
      <c r="F22" s="7" t="s">
        <v>20</v>
      </c>
      <c r="G22" s="7">
        <v>1</v>
      </c>
      <c r="H22" s="7">
        <v>10</v>
      </c>
      <c r="I22" s="5" t="str">
        <f t="shared" si="1"/>
        <v>(20,'TT-RDN','Terminal de Transfert Rhoude Nouss','Tuesday-03-jj','Tuesday-05-jj',NULL,1,10),</v>
      </c>
    </row>
    <row r="23" spans="1:9" ht="20.100000000000001" customHeight="1" x14ac:dyDescent="0.25">
      <c r="A23" s="3">
        <v>21</v>
      </c>
      <c r="B23" s="8" t="s">
        <v>57</v>
      </c>
      <c r="C23" s="5" t="s">
        <v>58</v>
      </c>
      <c r="D23" s="6">
        <v>34709</v>
      </c>
      <c r="E23" s="6">
        <v>35688</v>
      </c>
      <c r="F23" s="7" t="s">
        <v>20</v>
      </c>
      <c r="G23" s="7">
        <v>1</v>
      </c>
      <c r="H23" s="7">
        <v>10</v>
      </c>
      <c r="I23" s="5" t="str">
        <f t="shared" si="1"/>
        <v>(21,'PT-ALG','Terminal de Pipeline Alger','Tuesday-01-jj','Monday-09-jj',NULL,1,10),</v>
      </c>
    </row>
    <row r="24" spans="1:9" ht="20.100000000000001" customHeight="1" x14ac:dyDescent="0.25">
      <c r="A24" s="3">
        <v>22</v>
      </c>
      <c r="B24" s="8" t="s">
        <v>59</v>
      </c>
      <c r="C24" s="5" t="s">
        <v>60</v>
      </c>
      <c r="D24" s="6">
        <v>35907</v>
      </c>
      <c r="E24" s="6">
        <v>36860</v>
      </c>
      <c r="F24" s="7" t="s">
        <v>20</v>
      </c>
      <c r="G24" s="7">
        <v>1</v>
      </c>
      <c r="H24" s="7">
        <v>10</v>
      </c>
      <c r="I24" s="5" t="str">
        <f t="shared" si="1"/>
        <v>(22,'PT-ALR','Terminal de Pipeline Alrar','Wednesday-04-jj','Thursday-11-jj',NULL,1,10),</v>
      </c>
    </row>
    <row r="25" spans="1:9" ht="20.100000000000001" customHeight="1" x14ac:dyDescent="0.25">
      <c r="A25" s="3">
        <v>23</v>
      </c>
      <c r="B25" s="8" t="s">
        <v>61</v>
      </c>
      <c r="C25" s="5" t="s">
        <v>62</v>
      </c>
      <c r="D25" s="6">
        <v>29387</v>
      </c>
      <c r="E25" s="6">
        <v>30375</v>
      </c>
      <c r="F25" s="7" t="s">
        <v>20</v>
      </c>
      <c r="G25" s="7">
        <v>1</v>
      </c>
      <c r="H25" s="7">
        <v>10</v>
      </c>
      <c r="I25" s="5" t="str">
        <f t="shared" si="1"/>
        <v>(23,'PR-ARZ','Terminal de Pipeline Arzew','Sunday-06-jj','Monday-02-jj',NULL,1,10),</v>
      </c>
    </row>
    <row r="26" spans="1:9" ht="20.100000000000001" customHeight="1" x14ac:dyDescent="0.25">
      <c r="A26" s="3">
        <v>24</v>
      </c>
      <c r="B26" s="8" t="s">
        <v>63</v>
      </c>
      <c r="C26" s="5" t="s">
        <v>64</v>
      </c>
      <c r="D26" s="6">
        <v>35662</v>
      </c>
      <c r="E26" s="6">
        <v>36504</v>
      </c>
      <c r="F26" s="7" t="s">
        <v>20</v>
      </c>
      <c r="G26" s="7">
        <v>1</v>
      </c>
      <c r="H26" s="7">
        <v>10</v>
      </c>
      <c r="I26" s="5" t="str">
        <f t="shared" si="1"/>
        <v>(24,'PT-BJA','Terminal de Pipeline Bejaia','Wednesday-08-jj','Friday-12-jj',NULL,1,10),</v>
      </c>
    </row>
    <row r="27" spans="1:9" ht="20.100000000000001" customHeight="1" x14ac:dyDescent="0.25">
      <c r="A27" s="3">
        <v>25</v>
      </c>
      <c r="B27" s="8" t="s">
        <v>65</v>
      </c>
      <c r="C27" s="5" t="s">
        <v>66</v>
      </c>
      <c r="D27" s="6">
        <v>36965</v>
      </c>
      <c r="E27" s="6">
        <v>37827</v>
      </c>
      <c r="F27" s="7" t="s">
        <v>20</v>
      </c>
      <c r="G27" s="7">
        <v>1</v>
      </c>
      <c r="H27" s="7">
        <v>10</v>
      </c>
      <c r="I27" s="5" t="str">
        <f t="shared" si="1"/>
        <v>(25,'PT-BRN','Terminal de Pipeline Bir Rebaa North','Thursday-03-jj','Friday-07-jj',NULL,1,10),</v>
      </c>
    </row>
    <row r="28" spans="1:9" ht="20.100000000000001" customHeight="1" x14ac:dyDescent="0.25">
      <c r="A28" s="3">
        <v>26</v>
      </c>
      <c r="B28" s="8" t="s">
        <v>67</v>
      </c>
      <c r="C28" s="5" t="s">
        <v>68</v>
      </c>
      <c r="D28" s="6">
        <v>35377</v>
      </c>
      <c r="E28" s="6">
        <v>36029</v>
      </c>
      <c r="F28" s="7" t="s">
        <v>20</v>
      </c>
      <c r="G28" s="7">
        <v>1</v>
      </c>
      <c r="H28" s="7">
        <v>10</v>
      </c>
      <c r="I28" s="5" t="str">
        <f t="shared" si="1"/>
        <v>(26,'PT-BMN','Terminal de Pipeline Bord Menaiel','Friday-11-jj','Saturday-08-jj',NULL,1,10),</v>
      </c>
    </row>
    <row r="29" spans="1:9" ht="20.100000000000001" customHeight="1" x14ac:dyDescent="0.25">
      <c r="A29" s="3">
        <v>27</v>
      </c>
      <c r="B29" s="8" t="s">
        <v>69</v>
      </c>
      <c r="C29" s="5" t="s">
        <v>70</v>
      </c>
      <c r="D29" s="6">
        <v>36658</v>
      </c>
      <c r="E29" s="6">
        <v>37547</v>
      </c>
      <c r="F29" s="7" t="s">
        <v>20</v>
      </c>
      <c r="G29" s="7">
        <v>1</v>
      </c>
      <c r="H29" s="7">
        <v>10</v>
      </c>
      <c r="I29" s="5" t="str">
        <f t="shared" si="1"/>
        <v>(27,'PT-BRM','Terminal de Pipeline El Borma','Friday-05-jj','Friday-10-jj',NULL,1,10),</v>
      </c>
    </row>
    <row r="30" spans="1:9" ht="20.100000000000001" customHeight="1" x14ac:dyDescent="0.25">
      <c r="A30" s="3">
        <v>28</v>
      </c>
      <c r="B30" s="8" t="s">
        <v>71</v>
      </c>
      <c r="C30" s="5" t="s">
        <v>72</v>
      </c>
      <c r="D30" s="6">
        <v>37869</v>
      </c>
      <c r="E30" s="6">
        <v>38523</v>
      </c>
      <c r="F30" s="7" t="s">
        <v>20</v>
      </c>
      <c r="G30" s="7">
        <v>1</v>
      </c>
      <c r="H30" s="7">
        <v>10</v>
      </c>
      <c r="I30" s="5" t="str">
        <f t="shared" si="1"/>
        <v>(28,'PT-GST','Terminal de Pipeline Gassi Touil','Friday-09-jj','Monday-06-jj',NULL,1,10),</v>
      </c>
    </row>
    <row r="31" spans="1:9" ht="20.100000000000001" customHeight="1" x14ac:dyDescent="0.25">
      <c r="A31" s="3">
        <v>29</v>
      </c>
      <c r="B31" s="8" t="s">
        <v>73</v>
      </c>
      <c r="C31" s="5" t="s">
        <v>74</v>
      </c>
      <c r="D31" s="6">
        <v>38035</v>
      </c>
      <c r="E31" s="6">
        <v>38837</v>
      </c>
      <c r="F31" s="7" t="s">
        <v>20</v>
      </c>
      <c r="G31" s="7">
        <v>1</v>
      </c>
      <c r="H31" s="7">
        <v>10</v>
      </c>
      <c r="I31" s="5" t="str">
        <f t="shared" si="1"/>
        <v>(29,'PT-HBK','Terminal de Pipeline Hassi Berkine','Wednesday-02-jj','Sunday-04-jj',NULL,1,10),</v>
      </c>
    </row>
    <row r="32" spans="1:9" ht="20.100000000000001" customHeight="1" x14ac:dyDescent="0.25">
      <c r="A32" s="3">
        <v>30</v>
      </c>
      <c r="B32" s="8" t="s">
        <v>75</v>
      </c>
      <c r="C32" s="5" t="s">
        <v>76</v>
      </c>
      <c r="D32" s="6">
        <v>38555</v>
      </c>
      <c r="E32" s="6">
        <v>39340</v>
      </c>
      <c r="F32" s="7" t="s">
        <v>20</v>
      </c>
      <c r="G32" s="7">
        <v>1</v>
      </c>
      <c r="H32" s="7">
        <v>10</v>
      </c>
      <c r="I32" s="5" t="str">
        <f t="shared" si="1"/>
        <v>(30,'PT-HTJ','Terminal de Pipeline Hassi tedjirane','Friday-07-jj','Saturday-09-jj',NULL,1,10),</v>
      </c>
    </row>
    <row r="33" spans="1:9" ht="20.100000000000001" customHeight="1" x14ac:dyDescent="0.25">
      <c r="A33" s="3">
        <v>31</v>
      </c>
      <c r="B33" s="8" t="s">
        <v>77</v>
      </c>
      <c r="C33" s="5" t="s">
        <v>78</v>
      </c>
      <c r="D33" s="6">
        <v>37537</v>
      </c>
      <c r="E33" s="6">
        <v>38224</v>
      </c>
      <c r="F33" s="7" t="s">
        <v>20</v>
      </c>
      <c r="G33" s="7">
        <v>1</v>
      </c>
      <c r="H33" s="7">
        <v>10</v>
      </c>
      <c r="I33" s="5" t="str">
        <f t="shared" si="1"/>
        <v>(31,'PT-NMS','Terminal de Pipeline In Amenas','Tuesday-10-jj','Wednesday-08-jj',NULL,1,10),</v>
      </c>
    </row>
    <row r="34" spans="1:9" ht="20.100000000000001" customHeight="1" x14ac:dyDescent="0.25">
      <c r="A34" s="3">
        <v>32</v>
      </c>
      <c r="B34" s="8" t="s">
        <v>79</v>
      </c>
      <c r="C34" s="5" t="s">
        <v>80</v>
      </c>
      <c r="D34" s="6">
        <v>39066</v>
      </c>
      <c r="E34" s="6">
        <v>39772</v>
      </c>
      <c r="F34" s="7" t="s">
        <v>20</v>
      </c>
      <c r="G34" s="7">
        <v>1</v>
      </c>
      <c r="H34" s="7">
        <v>10</v>
      </c>
      <c r="I34" s="5" t="str">
        <f t="shared" si="1"/>
        <v>(32,'PT-NSL','Terminal de Pipeline In Salah','Friday-12-jj','Thursday-11-jj',NULL,1,10),</v>
      </c>
    </row>
    <row r="35" spans="1:9" ht="20.100000000000001" customHeight="1" x14ac:dyDescent="0.25">
      <c r="A35" s="3">
        <v>33</v>
      </c>
      <c r="B35" s="8" t="s">
        <v>81</v>
      </c>
      <c r="C35" s="5" t="s">
        <v>82</v>
      </c>
      <c r="D35" s="6">
        <v>35509</v>
      </c>
      <c r="E35" s="6">
        <v>36290</v>
      </c>
      <c r="F35" s="7" t="s">
        <v>20</v>
      </c>
      <c r="G35" s="7">
        <v>1</v>
      </c>
      <c r="H35" s="7">
        <v>10</v>
      </c>
      <c r="I35" s="5" t="str">
        <f t="shared" si="1"/>
        <v>(33,'PT-ISR','Terminal de Pipeline Isser','Thursday-03-jj','Monday-05-jj',NULL,1,10),</v>
      </c>
    </row>
    <row r="36" spans="1:9" ht="20.100000000000001" customHeight="1" x14ac:dyDescent="0.25">
      <c r="A36" s="3">
        <v>34</v>
      </c>
      <c r="B36" s="8" t="s">
        <v>83</v>
      </c>
      <c r="C36" s="5" t="s">
        <v>84</v>
      </c>
      <c r="D36" s="6">
        <v>40341</v>
      </c>
      <c r="E36" s="6">
        <v>41212</v>
      </c>
      <c r="F36" s="7" t="s">
        <v>20</v>
      </c>
      <c r="G36" s="7">
        <v>1</v>
      </c>
      <c r="H36" s="7">
        <v>10</v>
      </c>
      <c r="I36" s="5" t="str">
        <f t="shared" si="1"/>
        <v>(34,'PT-RGN','Terminal de Pipeline Reggane','Saturday-06-jj','Tuesday-10-jj',NULL,1,10),</v>
      </c>
    </row>
    <row r="37" spans="1:9" ht="20.100000000000001" customHeight="1" x14ac:dyDescent="0.25">
      <c r="A37" s="3">
        <v>35</v>
      </c>
      <c r="B37" s="8" t="s">
        <v>85</v>
      </c>
      <c r="C37" s="5" t="s">
        <v>86</v>
      </c>
      <c r="D37" s="6">
        <v>37152</v>
      </c>
      <c r="E37" s="6">
        <v>37977</v>
      </c>
      <c r="F37" s="7" t="s">
        <v>20</v>
      </c>
      <c r="G37" s="7">
        <v>1</v>
      </c>
      <c r="H37" s="7">
        <v>10</v>
      </c>
      <c r="I37" s="5" t="str">
        <f t="shared" si="1"/>
        <v>(35,'PT-RBL','Terminal de Pipeline Rhoude El Baguel','Tuesday-09-jj','Monday-12-jj',NULL,1,10),</v>
      </c>
    </row>
    <row r="38" spans="1:9" ht="20.100000000000001" customHeight="1" x14ac:dyDescent="0.25">
      <c r="A38" s="3">
        <v>36</v>
      </c>
      <c r="B38" s="8" t="s">
        <v>87</v>
      </c>
      <c r="C38" s="5" t="s">
        <v>88</v>
      </c>
      <c r="D38" s="6">
        <v>27494</v>
      </c>
      <c r="E38" s="6">
        <v>28505</v>
      </c>
      <c r="F38" s="7" t="s">
        <v>20</v>
      </c>
      <c r="G38" s="7">
        <v>1</v>
      </c>
      <c r="H38" s="7">
        <v>10</v>
      </c>
      <c r="I38" s="5" t="str">
        <f t="shared" si="1"/>
        <v>(36,'PT-SKD','Terminal de Pipeline Skikda','Thursday-04-jj','Sunday-01-jj',NULL,1,10),</v>
      </c>
    </row>
    <row r="39" spans="1:9" ht="20.100000000000001" customHeight="1" x14ac:dyDescent="0.25">
      <c r="A39" s="3">
        <v>37</v>
      </c>
      <c r="B39" s="8" t="s">
        <v>89</v>
      </c>
      <c r="C39" s="5" t="s">
        <v>90</v>
      </c>
      <c r="D39" s="6">
        <v>36540</v>
      </c>
      <c r="E39" s="6">
        <v>37154</v>
      </c>
      <c r="F39" s="7" t="s">
        <v>20</v>
      </c>
      <c r="G39" s="7">
        <v>1</v>
      </c>
      <c r="H39" s="7">
        <v>10</v>
      </c>
      <c r="I39" s="5" t="str">
        <f t="shared" si="1"/>
        <v>(37,'SP1-OZ1/OZ2','Station de Pompage SP1-OZ1/OZ2','Saturday-01-jj','Thursday-09-jj',NULL,1,10),</v>
      </c>
    </row>
    <row r="40" spans="1:9" ht="20.100000000000001" customHeight="1" x14ac:dyDescent="0.25">
      <c r="A40" s="10">
        <v>38</v>
      </c>
      <c r="B40" s="11" t="s">
        <v>91</v>
      </c>
      <c r="C40" s="9" t="s">
        <v>92</v>
      </c>
      <c r="D40" s="12">
        <v>36540</v>
      </c>
      <c r="E40" s="12">
        <v>37154</v>
      </c>
      <c r="F40" s="13" t="s">
        <v>20</v>
      </c>
      <c r="G40" s="13">
        <v>1</v>
      </c>
      <c r="H40" s="13">
        <v>10</v>
      </c>
      <c r="I40" s="9" t="str">
        <f t="shared" si="1"/>
        <v>(38,'SP1-OZ2','Station de Pompage SP1-OZ2','Saturday-01-jj','Thursday-09-jj',NULL,1,10),</v>
      </c>
    </row>
    <row r="41" spans="1:9" ht="20.100000000000001" customHeight="1" x14ac:dyDescent="0.25">
      <c r="A41" s="3">
        <v>39</v>
      </c>
      <c r="B41" s="8" t="s">
        <v>93</v>
      </c>
      <c r="C41" s="5" t="s">
        <v>94</v>
      </c>
      <c r="D41" s="6">
        <v>36960</v>
      </c>
      <c r="E41" s="6">
        <v>37575</v>
      </c>
      <c r="F41" s="7" t="s">
        <v>20</v>
      </c>
      <c r="G41" s="7">
        <v>1</v>
      </c>
      <c r="H41" s="7">
        <v>10</v>
      </c>
      <c r="I41" s="5" t="str">
        <f t="shared" si="1"/>
        <v>(39,'SP2-OZ1/OZ2','Station de Pompage SP2-OZ1/OZ2','Saturday-03-jj','Friday-11-jj',NULL,1,10),</v>
      </c>
    </row>
    <row r="42" spans="1:9" ht="20.100000000000001" customHeight="1" x14ac:dyDescent="0.25">
      <c r="A42" s="10">
        <v>40</v>
      </c>
      <c r="B42" s="11" t="s">
        <v>95</v>
      </c>
      <c r="C42" s="9" t="s">
        <v>96</v>
      </c>
      <c r="D42" s="12">
        <v>36960</v>
      </c>
      <c r="E42" s="12">
        <v>37575</v>
      </c>
      <c r="F42" s="13" t="s">
        <v>20</v>
      </c>
      <c r="G42" s="13">
        <v>1</v>
      </c>
      <c r="H42" s="13">
        <v>10</v>
      </c>
      <c r="I42" s="9" t="str">
        <f t="shared" si="1"/>
        <v>(40,'SP2-OZ2','Station de Pompage SP2-OZ2','Saturday-03-jj','Friday-11-jj',NULL,1,10),</v>
      </c>
    </row>
    <row r="43" spans="1:9" ht="20.100000000000001" customHeight="1" x14ac:dyDescent="0.25">
      <c r="A43" s="3">
        <v>41</v>
      </c>
      <c r="B43" s="8" t="s">
        <v>97</v>
      </c>
      <c r="C43" s="5" t="s">
        <v>94</v>
      </c>
      <c r="D43" s="6">
        <v>37396</v>
      </c>
      <c r="E43" s="6">
        <v>37985</v>
      </c>
      <c r="F43" s="7" t="s">
        <v>20</v>
      </c>
      <c r="G43" s="7">
        <v>1</v>
      </c>
      <c r="H43" s="7">
        <v>10</v>
      </c>
      <c r="I43" s="5" t="str">
        <f t="shared" si="1"/>
        <v>(41,'SP3-OZ1/OZ2','Station de Pompage SP2-OZ1/OZ2','Monday-05-jj','Tuesday-12-jj',NULL,1,10),</v>
      </c>
    </row>
    <row r="44" spans="1:9" ht="20.100000000000001" customHeight="1" x14ac:dyDescent="0.25">
      <c r="A44" s="10">
        <v>42</v>
      </c>
      <c r="B44" s="11" t="s">
        <v>98</v>
      </c>
      <c r="C44" s="9" t="s">
        <v>96</v>
      </c>
      <c r="D44" s="12">
        <v>37396</v>
      </c>
      <c r="E44" s="12">
        <v>37985</v>
      </c>
      <c r="F44" s="13" t="s">
        <v>20</v>
      </c>
      <c r="G44" s="13">
        <v>1</v>
      </c>
      <c r="H44" s="13">
        <v>10</v>
      </c>
      <c r="I44" s="9" t="str">
        <f t="shared" si="1"/>
        <v>(42,'SP3-OZ2','Station de Pompage SP2-OZ2','Monday-05-jj','Tuesday-12-jj',NULL,1,10),</v>
      </c>
    </row>
    <row r="45" spans="1:9" ht="20.100000000000001" customHeight="1" x14ac:dyDescent="0.25">
      <c r="A45" s="3">
        <v>43</v>
      </c>
      <c r="B45" s="8" t="s">
        <v>99</v>
      </c>
      <c r="C45" s="5" t="s">
        <v>94</v>
      </c>
      <c r="D45" s="6">
        <v>37848</v>
      </c>
      <c r="E45" s="6">
        <v>38433</v>
      </c>
      <c r="F45" s="7" t="s">
        <v>20</v>
      </c>
      <c r="G45" s="7">
        <v>1</v>
      </c>
      <c r="H45" s="7">
        <v>10</v>
      </c>
      <c r="I45" s="5" t="str">
        <f t="shared" si="1"/>
        <v>(43,'SP4-OZ1/OZ2','Station de Pompage SP2-OZ1/OZ2','Friday-08-jj','Tuesday-03-jj',NULL,1,10),</v>
      </c>
    </row>
    <row r="46" spans="1:9" ht="20.100000000000001" customHeight="1" x14ac:dyDescent="0.25">
      <c r="A46" s="10">
        <v>44</v>
      </c>
      <c r="B46" s="11" t="s">
        <v>100</v>
      </c>
      <c r="C46" s="9" t="s">
        <v>96</v>
      </c>
      <c r="D46" s="12">
        <v>37848</v>
      </c>
      <c r="E46" s="12">
        <v>38433</v>
      </c>
      <c r="F46" s="13" t="s">
        <v>20</v>
      </c>
      <c r="G46" s="13">
        <v>1</v>
      </c>
      <c r="H46" s="13">
        <v>10</v>
      </c>
      <c r="I46" s="9" t="str">
        <f t="shared" si="1"/>
        <v>(44,'SP4-OZ2','Station de Pompage SP2-OZ2','Friday-08-jj','Tuesday-03-jj',NULL,1,10),</v>
      </c>
    </row>
    <row r="47" spans="1:9" ht="20.100000000000001" customHeight="1" x14ac:dyDescent="0.25">
      <c r="A47" s="3">
        <v>45</v>
      </c>
      <c r="B47" s="8" t="s">
        <v>101</v>
      </c>
      <c r="C47" s="5" t="s">
        <v>94</v>
      </c>
      <c r="D47" s="6">
        <v>38265</v>
      </c>
      <c r="E47" s="6">
        <v>38886</v>
      </c>
      <c r="F47" s="7" t="s">
        <v>20</v>
      </c>
      <c r="G47" s="7">
        <v>1</v>
      </c>
      <c r="H47" s="7">
        <v>10</v>
      </c>
      <c r="I47" s="5" t="str">
        <f t="shared" si="1"/>
        <v>(45,'SP5-OZ1/OZ2','Station de Pompage SP2-OZ1/OZ2','Tuesday-10-jj','Sunday-06-jj',NULL,1,10),</v>
      </c>
    </row>
    <row r="48" spans="1:9" ht="20.100000000000001" customHeight="1" x14ac:dyDescent="0.25">
      <c r="A48" s="10">
        <v>46</v>
      </c>
      <c r="B48" s="11" t="s">
        <v>102</v>
      </c>
      <c r="C48" s="9" t="s">
        <v>96</v>
      </c>
      <c r="D48" s="12">
        <v>38265</v>
      </c>
      <c r="E48" s="12">
        <v>38886</v>
      </c>
      <c r="F48" s="13" t="s">
        <v>20</v>
      </c>
      <c r="G48" s="13">
        <v>1</v>
      </c>
      <c r="H48" s="13">
        <v>10</v>
      </c>
      <c r="I48" s="9" t="str">
        <f t="shared" si="1"/>
        <v>(46,'SP5-OZ2','Station de Pompage SP2-OZ2','Tuesday-10-jj','Sunday-06-jj',NULL,1,10),</v>
      </c>
    </row>
    <row r="49" spans="1:9" ht="20.100000000000001" customHeight="1" x14ac:dyDescent="0.25">
      <c r="A49" s="3">
        <v>47</v>
      </c>
      <c r="B49" s="8" t="s">
        <v>103</v>
      </c>
      <c r="C49" s="5" t="s">
        <v>94</v>
      </c>
      <c r="D49" s="6">
        <v>38698</v>
      </c>
      <c r="E49" s="6">
        <v>39319</v>
      </c>
      <c r="F49" s="7" t="s">
        <v>20</v>
      </c>
      <c r="G49" s="7">
        <v>1</v>
      </c>
      <c r="H49" s="7">
        <v>10</v>
      </c>
      <c r="I49" s="5" t="str">
        <f t="shared" si="1"/>
        <v>(47,'SP6-OZ1/OZ2','Station de Pompage SP2-OZ1/OZ2','Monday-12-jj','Saturday-08-jj',NULL,1,10),</v>
      </c>
    </row>
    <row r="50" spans="1:9" ht="20.100000000000001" customHeight="1" x14ac:dyDescent="0.25">
      <c r="A50" s="10">
        <v>48</v>
      </c>
      <c r="B50" s="11" t="s">
        <v>104</v>
      </c>
      <c r="C50" s="9" t="s">
        <v>96</v>
      </c>
      <c r="D50" s="12">
        <v>38698</v>
      </c>
      <c r="E50" s="12">
        <v>39319</v>
      </c>
      <c r="F50" s="13" t="s">
        <v>20</v>
      </c>
      <c r="G50" s="13">
        <v>1</v>
      </c>
      <c r="H50" s="13">
        <v>10</v>
      </c>
      <c r="I50" s="9" t="str">
        <f t="shared" si="1"/>
        <v>(48,'SP6-OZ2','Station de Pompage SP2-OZ2','Monday-12-jj','Saturday-08-jj',NULL,1,10),</v>
      </c>
    </row>
    <row r="51" spans="1:9" ht="20.100000000000001" customHeight="1" x14ac:dyDescent="0.25">
      <c r="A51" s="3">
        <v>49</v>
      </c>
      <c r="B51" s="8" t="s">
        <v>105</v>
      </c>
      <c r="C51" s="5" t="s">
        <v>106</v>
      </c>
      <c r="D51" s="6">
        <v>38796</v>
      </c>
      <c r="E51" s="6">
        <v>39396</v>
      </c>
      <c r="F51" s="7" t="s">
        <v>20</v>
      </c>
      <c r="G51" s="7">
        <v>1</v>
      </c>
      <c r="H51" s="7">
        <v>10</v>
      </c>
      <c r="I51" s="5" t="str">
        <f t="shared" si="1"/>
        <v>(49,'PRS-OZ1/OZ2','Station de Pompage PRS-OZ1/OZ2','Monday-03-jj','Saturday-11-jj',NULL,1,10),</v>
      </c>
    </row>
    <row r="52" spans="1:9" ht="20.100000000000001" customHeight="1" x14ac:dyDescent="0.25">
      <c r="A52" s="10">
        <v>50</v>
      </c>
      <c r="B52" s="11" t="s">
        <v>107</v>
      </c>
      <c r="C52" s="9" t="s">
        <v>108</v>
      </c>
      <c r="D52" s="12">
        <v>38796</v>
      </c>
      <c r="E52" s="12">
        <v>39396</v>
      </c>
      <c r="F52" s="13" t="s">
        <v>20</v>
      </c>
      <c r="G52" s="13">
        <v>1</v>
      </c>
      <c r="H52" s="13">
        <v>10</v>
      </c>
      <c r="I52" s="9" t="str">
        <f t="shared" si="1"/>
        <v>(50,'PRS-OZ2','Station de Régulation PRS-OZ2','Monday-03-jj','Saturday-11-jj',NULL,1,10),</v>
      </c>
    </row>
    <row r="53" spans="1:9" ht="20.100000000000001" customHeight="1" x14ac:dyDescent="0.25">
      <c r="A53" s="3">
        <v>51</v>
      </c>
      <c r="B53" s="8" t="s">
        <v>109</v>
      </c>
      <c r="C53" s="5" t="s">
        <v>110</v>
      </c>
      <c r="D53" s="6">
        <v>37057</v>
      </c>
      <c r="E53" s="6">
        <v>37672</v>
      </c>
      <c r="F53" s="7" t="s">
        <v>20</v>
      </c>
      <c r="G53" s="7">
        <v>1</v>
      </c>
      <c r="H53" s="7">
        <v>10</v>
      </c>
      <c r="I53" s="5" t="str">
        <f t="shared" si="1"/>
        <v>(51,'SP1-OK1','Station de Pompage SP1-OK1','Friday-06-jj','Thursday-02-jj',NULL,1,10),</v>
      </c>
    </row>
    <row r="54" spans="1:9" ht="20.100000000000001" customHeight="1" x14ac:dyDescent="0.25">
      <c r="A54" s="3">
        <v>52</v>
      </c>
      <c r="B54" s="8" t="s">
        <v>111</v>
      </c>
      <c r="C54" s="5" t="s">
        <v>112</v>
      </c>
      <c r="D54" s="6">
        <v>40278</v>
      </c>
      <c r="E54" s="6">
        <v>40923</v>
      </c>
      <c r="F54" s="7" t="s">
        <v>20</v>
      </c>
      <c r="G54" s="7">
        <v>1</v>
      </c>
      <c r="H54" s="7">
        <v>10</v>
      </c>
      <c r="I54" s="5" t="str">
        <f t="shared" si="1"/>
        <v>(52,'SP1-OK1-NEW','Station de Pompage SP1-OK1-NEW','Saturday-04-jj','Sunday-01-jj',NULL,1,10),</v>
      </c>
    </row>
    <row r="55" spans="1:9" ht="20.100000000000001" customHeight="1" x14ac:dyDescent="0.25">
      <c r="A55" s="3">
        <v>53</v>
      </c>
      <c r="B55" s="8" t="s">
        <v>113</v>
      </c>
      <c r="C55" s="5" t="s">
        <v>114</v>
      </c>
      <c r="D55" s="6">
        <v>37490</v>
      </c>
      <c r="E55" s="6">
        <v>38137</v>
      </c>
      <c r="F55" s="7" t="s">
        <v>20</v>
      </c>
      <c r="G55" s="7">
        <v>1</v>
      </c>
      <c r="H55" s="7">
        <v>10</v>
      </c>
      <c r="I55" s="5" t="str">
        <f t="shared" si="1"/>
        <v>(53,'SP2-OK1','Station de Pompage SP2-OK1','Thursday-08-jj','Sunday-05-jj',NULL,1,10),</v>
      </c>
    </row>
    <row r="56" spans="1:9" ht="20.100000000000001" customHeight="1" x14ac:dyDescent="0.25">
      <c r="A56" s="3">
        <v>54</v>
      </c>
      <c r="B56" s="8" t="s">
        <v>115</v>
      </c>
      <c r="C56" s="5" t="s">
        <v>116</v>
      </c>
      <c r="D56" s="6">
        <v>37930</v>
      </c>
      <c r="E56" s="6">
        <v>38551</v>
      </c>
      <c r="F56" s="7" t="s">
        <v>20</v>
      </c>
      <c r="G56" s="7">
        <v>1</v>
      </c>
      <c r="H56" s="7">
        <v>10</v>
      </c>
      <c r="I56" s="5" t="str">
        <f t="shared" si="1"/>
        <v>(54,'SP3-OK1','Station de Pompage SP3-OK1','Wednesday-11-jj','Monday-07-jj',NULL,1,10),</v>
      </c>
    </row>
    <row r="57" spans="1:9" ht="20.100000000000001" customHeight="1" x14ac:dyDescent="0.25">
      <c r="A57" s="3">
        <v>55</v>
      </c>
      <c r="B57" s="8" t="s">
        <v>117</v>
      </c>
      <c r="C57" s="5" t="s">
        <v>118</v>
      </c>
      <c r="D57" s="6">
        <v>39859</v>
      </c>
      <c r="E57" s="6">
        <v>40479</v>
      </c>
      <c r="F57" s="7" t="s">
        <v>20</v>
      </c>
      <c r="G57" s="7">
        <v>1</v>
      </c>
      <c r="H57" s="7">
        <v>10</v>
      </c>
      <c r="I57" s="5" t="str">
        <f t="shared" si="1"/>
        <v>(55,'SP3-OK1-BIS','Station de Pompage SP3-OK1-BIS','Sunday-02-jj','Thursday-10-jj',NULL,1,10),</v>
      </c>
    </row>
    <row r="58" spans="1:9" ht="20.100000000000001" customHeight="1" x14ac:dyDescent="0.25">
      <c r="A58" s="3">
        <v>56</v>
      </c>
      <c r="B58" s="8" t="s">
        <v>119</v>
      </c>
      <c r="C58" s="5" t="s">
        <v>120</v>
      </c>
      <c r="D58" s="6">
        <v>38125</v>
      </c>
      <c r="E58" s="6">
        <v>38739</v>
      </c>
      <c r="F58" s="7" t="s">
        <v>20</v>
      </c>
      <c r="G58" s="7">
        <v>1</v>
      </c>
      <c r="H58" s="7">
        <v>10</v>
      </c>
      <c r="I58" s="5" t="str">
        <f t="shared" si="1"/>
        <v>(56,'SP4-OK1','Station de Pompage SP4-OK1','Tuesday-05-jj','Sunday-01-jj',NULL,1,10),</v>
      </c>
    </row>
    <row r="59" spans="1:9" ht="20.100000000000001" customHeight="1" x14ac:dyDescent="0.25">
      <c r="A59" s="3">
        <v>57</v>
      </c>
      <c r="B59" s="8" t="s">
        <v>121</v>
      </c>
      <c r="C59" s="5" t="s">
        <v>122</v>
      </c>
      <c r="D59" s="6">
        <v>37327</v>
      </c>
      <c r="E59" s="6">
        <v>37950</v>
      </c>
      <c r="F59" s="7" t="s">
        <v>20</v>
      </c>
      <c r="G59" s="7">
        <v>1</v>
      </c>
      <c r="H59" s="7">
        <v>10</v>
      </c>
      <c r="I59" s="5" t="str">
        <f t="shared" si="1"/>
        <v>(57,'SP1-OB1','Station de Pompage SP1-OB1','Tuesday-03-jj','Tuesday-11-jj',NULL,1,10),</v>
      </c>
    </row>
    <row r="60" spans="1:9" ht="20.100000000000001" customHeight="1" x14ac:dyDescent="0.25">
      <c r="A60" s="3">
        <v>58</v>
      </c>
      <c r="B60" s="8" t="s">
        <v>123</v>
      </c>
      <c r="C60" s="5" t="s">
        <v>124</v>
      </c>
      <c r="D60" s="6">
        <v>39649</v>
      </c>
      <c r="E60" s="6">
        <v>40283</v>
      </c>
      <c r="F60" s="7" t="s">
        <v>20</v>
      </c>
      <c r="G60" s="7">
        <v>1</v>
      </c>
      <c r="H60" s="7">
        <v>10</v>
      </c>
      <c r="I60" s="5" t="str">
        <f t="shared" si="1"/>
        <v>(58,'SP1-BIS-OB1','Station de Pompage SP1-BIS-OB1','Sunday-07-jj','Thursday-04-jj',NULL,1,10),</v>
      </c>
    </row>
    <row r="61" spans="1:9" ht="20.100000000000001" customHeight="1" x14ac:dyDescent="0.25">
      <c r="A61" s="3">
        <v>59</v>
      </c>
      <c r="B61" s="8" t="s">
        <v>125</v>
      </c>
      <c r="C61" s="5" t="s">
        <v>126</v>
      </c>
      <c r="D61" s="6">
        <v>37874</v>
      </c>
      <c r="E61" s="6">
        <v>38521</v>
      </c>
      <c r="F61" s="7" t="s">
        <v>20</v>
      </c>
      <c r="G61" s="7">
        <v>1</v>
      </c>
      <c r="H61" s="7">
        <v>10</v>
      </c>
      <c r="I61" s="5" t="str">
        <f t="shared" si="1"/>
        <v>(59,'SP2-OB1','Station de Pompage SP2-OB1','Wednesday-09-jj','Saturday-06-jj',NULL,1,10),</v>
      </c>
    </row>
    <row r="62" spans="1:9" ht="20.100000000000001" customHeight="1" x14ac:dyDescent="0.25">
      <c r="A62" s="3">
        <v>60</v>
      </c>
      <c r="B62" s="8" t="s">
        <v>127</v>
      </c>
      <c r="C62" s="5" t="s">
        <v>128</v>
      </c>
      <c r="D62" s="6">
        <v>38326</v>
      </c>
      <c r="E62" s="6">
        <v>38951</v>
      </c>
      <c r="F62" s="7" t="s">
        <v>20</v>
      </c>
      <c r="G62" s="7">
        <v>1</v>
      </c>
      <c r="H62" s="7">
        <v>10</v>
      </c>
      <c r="I62" s="5" t="str">
        <f t="shared" si="1"/>
        <v>(60,'SP3-OB1','Station de Pompage SP3-OB1','Sunday-12-jj','Tuesday-08-jj',NULL,1,10),</v>
      </c>
    </row>
    <row r="63" spans="1:9" ht="20.100000000000001" customHeight="1" x14ac:dyDescent="0.25">
      <c r="A63" s="3">
        <v>61</v>
      </c>
      <c r="B63" s="8" t="s">
        <v>129</v>
      </c>
      <c r="C63" s="5" t="s">
        <v>130</v>
      </c>
      <c r="D63" s="6">
        <v>39190</v>
      </c>
      <c r="E63" s="6">
        <v>39843</v>
      </c>
      <c r="F63" s="7" t="s">
        <v>20</v>
      </c>
      <c r="G63" s="7">
        <v>1</v>
      </c>
      <c r="H63" s="7">
        <v>10</v>
      </c>
      <c r="I63" s="5" t="str">
        <f t="shared" si="1"/>
        <v>(61,'SP1-BIS-OG1','Station de Pompage SP1-BIS-OG1','Wednesday-04-jj','Friday-01-jj',NULL,1,10),</v>
      </c>
    </row>
    <row r="64" spans="1:9" ht="20.100000000000001" customHeight="1" x14ac:dyDescent="0.25">
      <c r="A64" s="3">
        <v>62</v>
      </c>
      <c r="B64" s="8" t="s">
        <v>131</v>
      </c>
      <c r="C64" s="5" t="s">
        <v>132</v>
      </c>
      <c r="D64" s="6">
        <v>38405</v>
      </c>
      <c r="E64" s="6">
        <v>39005</v>
      </c>
      <c r="F64" s="7" t="s">
        <v>20</v>
      </c>
      <c r="G64" s="7">
        <v>1</v>
      </c>
      <c r="H64" s="7">
        <v>10</v>
      </c>
      <c r="I64" s="5" t="str">
        <f t="shared" si="1"/>
        <v>(62,'SP1-OT1','Station de Pompage SP1-OT1','Tuesday-02-jj','Sunday-10-jj',NULL,1,10),</v>
      </c>
    </row>
    <row r="65" spans="1:9" ht="20.100000000000001" customHeight="1" x14ac:dyDescent="0.25">
      <c r="A65" s="3">
        <v>63</v>
      </c>
      <c r="B65" s="8" t="s">
        <v>133</v>
      </c>
      <c r="C65" s="5" t="s">
        <v>134</v>
      </c>
      <c r="D65" s="6">
        <v>38405</v>
      </c>
      <c r="E65" s="6">
        <v>39005</v>
      </c>
      <c r="F65" s="7" t="s">
        <v>20</v>
      </c>
      <c r="G65" s="7">
        <v>1</v>
      </c>
      <c r="H65" s="7">
        <v>10</v>
      </c>
      <c r="I65" s="5" t="str">
        <f t="shared" si="1"/>
        <v>(63,'SP2-OT1','Station de Pompage SP2-OT1','Tuesday-02-jj','Sunday-10-jj',NULL,1,10),</v>
      </c>
    </row>
    <row r="66" spans="1:9" ht="20.100000000000001" customHeight="1" x14ac:dyDescent="0.25">
      <c r="A66" s="3">
        <v>64</v>
      </c>
      <c r="B66" s="8" t="s">
        <v>135</v>
      </c>
      <c r="C66" s="5" t="s">
        <v>136</v>
      </c>
      <c r="D66" s="6">
        <v>38852</v>
      </c>
      <c r="E66" s="6">
        <v>39467</v>
      </c>
      <c r="F66" s="7" t="s">
        <v>20</v>
      </c>
      <c r="G66" s="7">
        <v>1</v>
      </c>
      <c r="H66" s="7">
        <v>10</v>
      </c>
      <c r="I66" s="5" t="str">
        <f t="shared" si="1"/>
        <v>(64,'SP1-OH1','Station de Pompage SP1-OH1','Monday-05-jj','Sunday-01-jj',NULL,1,10),</v>
      </c>
    </row>
    <row r="67" spans="1:9" ht="20.100000000000001" customHeight="1" x14ac:dyDescent="0.25">
      <c r="A67" s="3">
        <v>65</v>
      </c>
      <c r="B67" s="8" t="s">
        <v>137</v>
      </c>
      <c r="C67" s="5" t="s">
        <v>138</v>
      </c>
      <c r="D67" s="6">
        <v>38852</v>
      </c>
      <c r="E67" s="6">
        <v>39467</v>
      </c>
      <c r="F67" s="7" t="s">
        <v>20</v>
      </c>
      <c r="G67" s="7">
        <v>1</v>
      </c>
      <c r="H67" s="7">
        <v>10</v>
      </c>
      <c r="I67" s="5" t="str">
        <f t="shared" si="1"/>
        <v>(65,'SP2-OH1','Station de Pompage SP2-OH1','Monday-05-jj','Sunday-01-jj',NULL,1,10),</v>
      </c>
    </row>
    <row r="68" spans="1:9" ht="20.100000000000001" customHeight="1" x14ac:dyDescent="0.25">
      <c r="A68" s="3">
        <v>66</v>
      </c>
      <c r="B68" s="8" t="s">
        <v>139</v>
      </c>
      <c r="C68" s="5" t="s">
        <v>140</v>
      </c>
      <c r="D68" s="6">
        <v>38852</v>
      </c>
      <c r="E68" s="6">
        <v>39467</v>
      </c>
      <c r="F68" s="7" t="s">
        <v>20</v>
      </c>
      <c r="G68" s="7">
        <v>1</v>
      </c>
      <c r="H68" s="7">
        <v>10</v>
      </c>
      <c r="I68" s="5" t="str">
        <f t="shared" si="1"/>
        <v>(66,'SP3-OH1','Station de Pompage SP3-OH1','Monday-05-jj','Sunday-01-jj',NULL,1,10),</v>
      </c>
    </row>
    <row r="69" spans="1:9" ht="20.100000000000001" customHeight="1" x14ac:dyDescent="0.25">
      <c r="A69" s="14">
        <v>66</v>
      </c>
      <c r="B69" s="15" t="s">
        <v>141</v>
      </c>
      <c r="C69" s="16" t="s">
        <v>142</v>
      </c>
      <c r="D69" s="17">
        <v>38852</v>
      </c>
      <c r="E69" s="17">
        <v>39467</v>
      </c>
      <c r="F69" s="18" t="s">
        <v>20</v>
      </c>
      <c r="G69" s="18">
        <v>1</v>
      </c>
      <c r="H69" s="18">
        <v>10</v>
      </c>
      <c r="I69" s="16" t="str">
        <f t="shared" si="1"/>
        <v>(66,'SP4-OH1','Station de Pompage SP4-OH1','Monday-05-jj','Sunday-01-jj',NULL,1,10),</v>
      </c>
    </row>
    <row r="70" spans="1:9" ht="20.100000000000001" customHeight="1" x14ac:dyDescent="0.25">
      <c r="A70" s="3">
        <v>67</v>
      </c>
      <c r="B70" s="8" t="s">
        <v>143</v>
      </c>
      <c r="C70" s="5" t="s">
        <v>144</v>
      </c>
      <c r="D70" s="6">
        <v>39304</v>
      </c>
      <c r="E70" s="6">
        <v>39928</v>
      </c>
      <c r="F70" s="7" t="s">
        <v>20</v>
      </c>
      <c r="G70" s="7">
        <v>1</v>
      </c>
      <c r="H70" s="7">
        <v>10</v>
      </c>
      <c r="I70" s="5" t="str">
        <f t="shared" si="1"/>
        <v>(67,'SP1-OD1','Station de Pompage SP1-OD1','Friday-08-jj','Saturday-04-jj',NULL,1,10),</v>
      </c>
    </row>
    <row r="71" spans="1:9" ht="20.100000000000001" customHeight="1" x14ac:dyDescent="0.25">
      <c r="A71" s="3">
        <v>68</v>
      </c>
      <c r="B71" s="8" t="s">
        <v>145</v>
      </c>
      <c r="C71" s="5" t="s">
        <v>146</v>
      </c>
      <c r="D71" s="6">
        <v>39767</v>
      </c>
      <c r="E71" s="6">
        <v>40389</v>
      </c>
      <c r="F71" s="7" t="s">
        <v>20</v>
      </c>
      <c r="G71" s="7">
        <v>1</v>
      </c>
      <c r="H71" s="7">
        <v>10</v>
      </c>
      <c r="I71" s="5" t="str">
        <f t="shared" si="1"/>
        <v>(68,'SP1-OH2','Station de Pompage SP1-OH2','Saturday-11-jj','Friday-07-jj',NULL,1,10),</v>
      </c>
    </row>
    <row r="72" spans="1:9" ht="20.100000000000001" customHeight="1" x14ac:dyDescent="0.25">
      <c r="A72" s="3">
        <v>69</v>
      </c>
      <c r="B72" s="8" t="s">
        <v>147</v>
      </c>
      <c r="C72" s="5" t="s">
        <v>148</v>
      </c>
      <c r="D72" s="6">
        <v>39892</v>
      </c>
      <c r="E72" s="6">
        <v>40558</v>
      </c>
      <c r="F72" s="7" t="s">
        <v>20</v>
      </c>
      <c r="G72" s="7">
        <v>1</v>
      </c>
      <c r="H72" s="7">
        <v>10</v>
      </c>
      <c r="I72" s="5" t="str">
        <f t="shared" si="1"/>
        <v>(69,'SP1-OH3/OH4','Station de Pompage SP1-OH3/OH4','Friday-03-jj','Saturday-01-jj',NULL,1,10),</v>
      </c>
    </row>
    <row r="73" spans="1:9" ht="20.100000000000001" customHeight="1" x14ac:dyDescent="0.25">
      <c r="A73" s="3">
        <v>70</v>
      </c>
      <c r="B73" s="8" t="s">
        <v>149</v>
      </c>
      <c r="C73" s="5" t="s">
        <v>150</v>
      </c>
      <c r="D73" s="6">
        <v>39892</v>
      </c>
      <c r="E73" s="6">
        <v>40558</v>
      </c>
      <c r="F73" s="7" t="s">
        <v>20</v>
      </c>
      <c r="G73" s="7">
        <v>1</v>
      </c>
      <c r="H73" s="7">
        <v>10</v>
      </c>
      <c r="I73" s="5" t="str">
        <f t="shared" si="1"/>
        <v>(70,'SP2-OH3/OH4','Station de Pompage SP2-OH3/OH4','Friday-03-jj','Saturday-01-jj',NULL,1,10),</v>
      </c>
    </row>
    <row r="74" spans="1:9" ht="20.100000000000001" customHeight="1" x14ac:dyDescent="0.25">
      <c r="A74" s="3">
        <v>71</v>
      </c>
      <c r="B74" s="8" t="s">
        <v>151</v>
      </c>
      <c r="C74" s="5" t="s">
        <v>152</v>
      </c>
      <c r="D74" s="6">
        <v>40337</v>
      </c>
      <c r="E74" s="6">
        <v>40990</v>
      </c>
      <c r="F74" s="7" t="s">
        <v>20</v>
      </c>
      <c r="G74" s="7">
        <v>1</v>
      </c>
      <c r="H74" s="7">
        <v>10</v>
      </c>
      <c r="I74" s="5" t="str">
        <f t="shared" si="1"/>
        <v>(71,'SP4-NZ1','Station de Pompage SP4-NZ1','Tuesday-06-jj','Thursday-03-jj',NULL,1,10),</v>
      </c>
    </row>
    <row r="75" spans="1:9" ht="20.100000000000001" customHeight="1" x14ac:dyDescent="0.25">
      <c r="A75" s="3">
        <v>72</v>
      </c>
      <c r="B75" s="8" t="s">
        <v>153</v>
      </c>
      <c r="C75" s="5" t="s">
        <v>154</v>
      </c>
      <c r="D75" s="6">
        <v>40337</v>
      </c>
      <c r="E75" s="6">
        <v>40990</v>
      </c>
      <c r="F75" s="7" t="s">
        <v>20</v>
      </c>
      <c r="G75" s="7">
        <v>1</v>
      </c>
      <c r="H75" s="7">
        <v>10</v>
      </c>
      <c r="I75" s="5" t="str">
        <f t="shared" si="1"/>
        <v>(72,'SP5-NZ1','Station de Pompage SP5-NZ1','Tuesday-06-jj','Thursday-03-jj',NULL,1,10),</v>
      </c>
    </row>
    <row r="76" spans="1:9" ht="20.100000000000001" customHeight="1" x14ac:dyDescent="0.25">
      <c r="A76" s="3">
        <v>73</v>
      </c>
      <c r="B76" s="8" t="s">
        <v>155</v>
      </c>
      <c r="C76" s="5" t="s">
        <v>156</v>
      </c>
      <c r="D76" s="6">
        <v>40337</v>
      </c>
      <c r="E76" s="6">
        <v>40990</v>
      </c>
      <c r="F76" s="7" t="s">
        <v>20</v>
      </c>
      <c r="G76" s="7">
        <v>1</v>
      </c>
      <c r="H76" s="7">
        <v>10</v>
      </c>
      <c r="I76" s="5" t="str">
        <f t="shared" si="1"/>
        <v>(73,'SP6-NZ1','Station de Pompage SP6-NZ1','Tuesday-06-jj','Thursday-03-jj',NULL,1,10),</v>
      </c>
    </row>
    <row r="77" spans="1:9" ht="20.100000000000001" customHeight="1" x14ac:dyDescent="0.25">
      <c r="A77" s="3">
        <v>74</v>
      </c>
      <c r="B77" s="8" t="s">
        <v>157</v>
      </c>
      <c r="C77" s="5" t="s">
        <v>158</v>
      </c>
      <c r="D77" s="6">
        <v>40337</v>
      </c>
      <c r="E77" s="6">
        <v>40990</v>
      </c>
      <c r="F77" s="7" t="s">
        <v>20</v>
      </c>
      <c r="G77" s="7">
        <v>1</v>
      </c>
      <c r="H77" s="7">
        <v>10</v>
      </c>
      <c r="I77" s="5" t="str">
        <f t="shared" si="1"/>
        <v>(74,'PRS-NZ1','Station de Régulation PRS-NZ1','Tuesday-06-jj','Thursday-03-jj',NULL,1,10),</v>
      </c>
    </row>
    <row r="78" spans="1:9" ht="20.100000000000001" customHeight="1" x14ac:dyDescent="0.25">
      <c r="A78" s="3">
        <v>75</v>
      </c>
      <c r="B78" s="8" t="s">
        <v>159</v>
      </c>
      <c r="C78" s="5" t="s">
        <v>160</v>
      </c>
      <c r="D78" s="6">
        <v>40798</v>
      </c>
      <c r="E78" s="6">
        <v>41443</v>
      </c>
      <c r="F78" s="7" t="s">
        <v>20</v>
      </c>
      <c r="G78" s="7">
        <v>1</v>
      </c>
      <c r="H78" s="7">
        <v>10</v>
      </c>
      <c r="I78" s="5" t="str">
        <f t="shared" si="1"/>
        <v>(75,'SP1-NK1','Station de Pompage SP1-NK1','Monday-09-jj','Tuesday-06-jj',NULL,1,10),</v>
      </c>
    </row>
    <row r="79" spans="1:9" ht="20.100000000000001" customHeight="1" x14ac:dyDescent="0.25">
      <c r="A79" s="3">
        <v>76</v>
      </c>
      <c r="B79" s="8" t="s">
        <v>161</v>
      </c>
      <c r="C79" s="5" t="s">
        <v>162</v>
      </c>
      <c r="D79" s="6">
        <v>40798</v>
      </c>
      <c r="E79" s="6">
        <v>41443</v>
      </c>
      <c r="F79" s="7" t="s">
        <v>20</v>
      </c>
      <c r="G79" s="7">
        <v>1</v>
      </c>
      <c r="H79" s="7">
        <v>10</v>
      </c>
      <c r="I79" s="5" t="str">
        <f t="shared" si="1"/>
        <v>(76,'SP3-NK1','Station de Pompage SP3-NK1','Monday-09-jj','Tuesday-06-jj',NULL,1,10),</v>
      </c>
    </row>
    <row r="80" spans="1:9" ht="20.100000000000001" customHeight="1" x14ac:dyDescent="0.25">
      <c r="A80" s="3">
        <v>77</v>
      </c>
      <c r="B80" s="8" t="s">
        <v>163</v>
      </c>
      <c r="C80" s="5" t="s">
        <v>164</v>
      </c>
      <c r="D80" s="6">
        <v>40954</v>
      </c>
      <c r="E80" s="6">
        <v>41598</v>
      </c>
      <c r="F80" s="7" t="s">
        <v>20</v>
      </c>
      <c r="G80" s="7">
        <v>1</v>
      </c>
      <c r="H80" s="7">
        <v>10</v>
      </c>
      <c r="I80" s="5" t="str">
        <f t="shared" ref="I80:I143" si="2">CONCATENATE("(",A80,",'",B80,"','",C80,"','",TEXT(D80,"aaaa-mm-jj"),"','",TEXT(E80,"aaaa-mm-jj"),"',",F80,",",G80,",",H80,"),")</f>
        <v>(77,'SP4-LNZ1','Station de Pompage SP4-LNZ1','Wednesday-02-jj','Wednesday-11-jj',NULL,1,10),</v>
      </c>
    </row>
    <row r="81" spans="1:9" ht="20.100000000000001" customHeight="1" x14ac:dyDescent="0.25">
      <c r="A81" s="3">
        <v>78</v>
      </c>
      <c r="B81" s="8" t="s">
        <v>165</v>
      </c>
      <c r="C81" s="5" t="s">
        <v>166</v>
      </c>
      <c r="D81" s="6">
        <v>40954</v>
      </c>
      <c r="E81" s="6">
        <v>41598</v>
      </c>
      <c r="F81" s="7" t="s">
        <v>20</v>
      </c>
      <c r="G81" s="7">
        <v>1</v>
      </c>
      <c r="H81" s="7">
        <v>10</v>
      </c>
      <c r="I81" s="5" t="str">
        <f t="shared" si="2"/>
        <v>(78,'SP5-LNZ1','Station de Pompage SP5-LNZ1','Wednesday-02-jj','Wednesday-11-jj',NULL,1,10),</v>
      </c>
    </row>
    <row r="82" spans="1:9" ht="20.100000000000001" customHeight="1" x14ac:dyDescent="0.25">
      <c r="A82" s="3">
        <v>79</v>
      </c>
      <c r="B82" s="8" t="s">
        <v>167</v>
      </c>
      <c r="C82" s="5" t="s">
        <v>168</v>
      </c>
      <c r="D82" s="6">
        <v>40954</v>
      </c>
      <c r="E82" s="6">
        <v>41598</v>
      </c>
      <c r="F82" s="7" t="s">
        <v>20</v>
      </c>
      <c r="G82" s="7">
        <v>1</v>
      </c>
      <c r="H82" s="7">
        <v>10</v>
      </c>
      <c r="I82" s="5" t="str">
        <f t="shared" si="2"/>
        <v>(79,'SP6-LNZ1','Station de Pompage SP6-LNZ1','Wednesday-02-jj','Wednesday-11-jj',NULL,1,10),</v>
      </c>
    </row>
    <row r="83" spans="1:9" ht="20.100000000000001" customHeight="1" x14ac:dyDescent="0.25">
      <c r="A83" s="3">
        <v>80</v>
      </c>
      <c r="B83" s="8" t="s">
        <v>169</v>
      </c>
      <c r="C83" s="5" t="s">
        <v>170</v>
      </c>
      <c r="D83" s="6">
        <v>41374</v>
      </c>
      <c r="E83" s="6">
        <v>42029</v>
      </c>
      <c r="F83" s="7" t="s">
        <v>20</v>
      </c>
      <c r="G83" s="7">
        <v>1</v>
      </c>
      <c r="H83" s="7">
        <v>10</v>
      </c>
      <c r="I83" s="5" t="str">
        <f t="shared" si="2"/>
        <v>(80,'SP0-LZ1','Station de Pompage SP0-LZ1','Wednesday-04-jj','Sunday-01-jj',NULL,1,10),</v>
      </c>
    </row>
    <row r="84" spans="1:9" ht="20.100000000000001" customHeight="1" x14ac:dyDescent="0.25">
      <c r="A84" s="3">
        <v>81</v>
      </c>
      <c r="B84" s="8" t="s">
        <v>171</v>
      </c>
      <c r="C84" s="5" t="s">
        <v>172</v>
      </c>
      <c r="D84" s="6">
        <v>41374</v>
      </c>
      <c r="E84" s="6">
        <v>42029</v>
      </c>
      <c r="F84" s="7" t="s">
        <v>20</v>
      </c>
      <c r="G84" s="7">
        <v>1</v>
      </c>
      <c r="H84" s="7">
        <v>10</v>
      </c>
      <c r="I84" s="5" t="str">
        <f t="shared" si="2"/>
        <v>(81,'SP1-LZ1','Station de Pompage SP1-LZ1','Wednesday-04-jj','Sunday-01-jj',NULL,1,10),</v>
      </c>
    </row>
    <row r="85" spans="1:9" ht="20.100000000000001" customHeight="1" x14ac:dyDescent="0.25">
      <c r="A85" s="3">
        <v>82</v>
      </c>
      <c r="B85" s="8" t="s">
        <v>173</v>
      </c>
      <c r="C85" s="5" t="s">
        <v>174</v>
      </c>
      <c r="D85" s="6">
        <v>41374</v>
      </c>
      <c r="E85" s="6">
        <v>42029</v>
      </c>
      <c r="F85" s="7" t="s">
        <v>20</v>
      </c>
      <c r="G85" s="7">
        <v>1</v>
      </c>
      <c r="H85" s="7">
        <v>10</v>
      </c>
      <c r="I85" s="5" t="str">
        <f t="shared" si="2"/>
        <v>(82,'SP1-LZ2','Station de Pompage SP1-LZ2','Wednesday-04-jj','Sunday-01-jj',NULL,1,10),</v>
      </c>
    </row>
    <row r="86" spans="1:9" ht="20.100000000000001" customHeight="1" x14ac:dyDescent="0.25">
      <c r="A86" s="3">
        <v>83</v>
      </c>
      <c r="B86" s="8" t="s">
        <v>175</v>
      </c>
      <c r="C86" s="5" t="s">
        <v>176</v>
      </c>
      <c r="D86" s="6">
        <v>41374</v>
      </c>
      <c r="E86" s="6">
        <v>42029</v>
      </c>
      <c r="F86" s="7" t="s">
        <v>20</v>
      </c>
      <c r="G86" s="7">
        <v>1</v>
      </c>
      <c r="H86" s="7">
        <v>10</v>
      </c>
      <c r="I86" s="5" t="str">
        <f t="shared" si="2"/>
        <v>(83,'PRS-LZ1/LZ2','Station de Régulation PRS-LZ1/LZ2','Wednesday-04-jj','Sunday-01-jj',NULL,1,10),</v>
      </c>
    </row>
    <row r="87" spans="1:9" ht="20.100000000000001" customHeight="1" x14ac:dyDescent="0.25">
      <c r="A87" s="3">
        <v>84</v>
      </c>
      <c r="B87" s="8" t="s">
        <v>177</v>
      </c>
      <c r="C87" s="5" t="s">
        <v>178</v>
      </c>
      <c r="D87" s="6">
        <v>41838</v>
      </c>
      <c r="E87" s="6">
        <v>42490</v>
      </c>
      <c r="F87" s="7" t="s">
        <v>20</v>
      </c>
      <c r="G87" s="7">
        <v>1</v>
      </c>
      <c r="H87" s="7">
        <v>10</v>
      </c>
      <c r="I87" s="5" t="str">
        <f t="shared" si="2"/>
        <v>(84,'SPRN-LR1','Station de Pompage SPRN-LR1','Friday-07-jj','Saturday-04-jj',NULL,1,10),</v>
      </c>
    </row>
    <row r="88" spans="1:9" ht="20.100000000000001" customHeight="1" x14ac:dyDescent="0.25">
      <c r="A88" s="3">
        <v>85</v>
      </c>
      <c r="B88" s="8" t="s">
        <v>179</v>
      </c>
      <c r="C88" s="5" t="s">
        <v>180</v>
      </c>
      <c r="D88" s="6">
        <v>41838</v>
      </c>
      <c r="E88" s="6">
        <v>42490</v>
      </c>
      <c r="F88" s="7" t="s">
        <v>20</v>
      </c>
      <c r="G88" s="7">
        <v>1</v>
      </c>
      <c r="H88" s="7">
        <v>10</v>
      </c>
      <c r="I88" s="5" t="str">
        <f t="shared" si="2"/>
        <v>(85,'SP0-LR1','Station de Pompage SP1-LR1','Friday-07-jj','Saturday-04-jj',NULL,1,10),</v>
      </c>
    </row>
    <row r="89" spans="1:9" ht="20.100000000000001" customHeight="1" x14ac:dyDescent="0.25">
      <c r="A89" s="3">
        <v>86</v>
      </c>
      <c r="B89" s="8" t="s">
        <v>181</v>
      </c>
      <c r="C89" s="5" t="s">
        <v>180</v>
      </c>
      <c r="D89" s="6">
        <v>41838</v>
      </c>
      <c r="E89" s="6">
        <v>42490</v>
      </c>
      <c r="F89" s="7" t="s">
        <v>20</v>
      </c>
      <c r="G89" s="7">
        <v>1</v>
      </c>
      <c r="H89" s="7">
        <v>10</v>
      </c>
      <c r="I89" s="5" t="str">
        <f t="shared" si="2"/>
        <v>(86,'SP1-LR1','Station de Pompage SP1-LR1','Friday-07-jj','Saturday-04-jj',NULL,1,10),</v>
      </c>
    </row>
    <row r="90" spans="1:9" ht="20.100000000000001" customHeight="1" x14ac:dyDescent="0.25">
      <c r="A90" s="3">
        <v>87</v>
      </c>
      <c r="B90" s="8" t="s">
        <v>182</v>
      </c>
      <c r="C90" s="5" t="s">
        <v>183</v>
      </c>
      <c r="D90" s="6">
        <v>41838</v>
      </c>
      <c r="E90" s="6">
        <v>42490</v>
      </c>
      <c r="F90" s="7" t="s">
        <v>20</v>
      </c>
      <c r="G90" s="7">
        <v>1</v>
      </c>
      <c r="H90" s="7">
        <v>10</v>
      </c>
      <c r="I90" s="5" t="str">
        <f t="shared" si="2"/>
        <v>(87,'SP2-LR1','Station de Pompage SP2-LR1','Friday-07-jj','Saturday-04-jj',NULL,1,10),</v>
      </c>
    </row>
    <row r="91" spans="1:9" ht="20.100000000000001" customHeight="1" x14ac:dyDescent="0.25">
      <c r="A91" s="3">
        <v>88</v>
      </c>
      <c r="B91" s="8" t="s">
        <v>184</v>
      </c>
      <c r="C91" s="5" t="s">
        <v>185</v>
      </c>
      <c r="D91" s="6">
        <v>42299</v>
      </c>
      <c r="E91" s="6">
        <v>42962</v>
      </c>
      <c r="F91" s="7" t="s">
        <v>20</v>
      </c>
      <c r="G91" s="7">
        <v>1</v>
      </c>
      <c r="H91" s="7">
        <v>10</v>
      </c>
      <c r="I91" s="5" t="str">
        <f t="shared" si="2"/>
        <v>(88,'SP1-LNZ1','Station de Pompage SP1-LNZ1','Thursday-10-jj','Tuesday-08-jj',NULL,1,10),</v>
      </c>
    </row>
    <row r="92" spans="1:9" ht="20.100000000000001" customHeight="1" x14ac:dyDescent="0.25">
      <c r="A92" s="3">
        <v>89</v>
      </c>
      <c r="B92" s="8" t="s">
        <v>186</v>
      </c>
      <c r="C92" s="5" t="s">
        <v>187</v>
      </c>
      <c r="D92" s="6">
        <v>42299</v>
      </c>
      <c r="E92" s="6">
        <v>42962</v>
      </c>
      <c r="F92" s="7" t="s">
        <v>20</v>
      </c>
      <c r="G92" s="7">
        <v>1</v>
      </c>
      <c r="H92" s="7">
        <v>10</v>
      </c>
      <c r="I92" s="5" t="str">
        <f t="shared" si="2"/>
        <v>(89,'SP3-LNZ1','Station de Pompage SP3-LNZ1','Thursday-10-jj','Tuesday-08-jj',NULL,1,10),</v>
      </c>
    </row>
    <row r="93" spans="1:9" ht="20.100000000000001" customHeight="1" x14ac:dyDescent="0.25">
      <c r="A93" s="3">
        <v>90</v>
      </c>
      <c r="B93" s="8" t="s">
        <v>188</v>
      </c>
      <c r="C93" s="5" t="s">
        <v>189</v>
      </c>
      <c r="D93" s="6">
        <v>36566</v>
      </c>
      <c r="E93" s="6">
        <v>37271</v>
      </c>
      <c r="F93" s="7" t="s">
        <v>20</v>
      </c>
      <c r="G93" s="7">
        <v>1</v>
      </c>
      <c r="H93" s="7">
        <v>10</v>
      </c>
      <c r="I93" s="5" t="str">
        <f t="shared" si="2"/>
        <v>(90,'SC1-GZ0','Station de Compression SC1-GZ0','Thursday-02-jj','Tuesday-01-jj',NULL,1,10),</v>
      </c>
    </row>
    <row r="94" spans="1:9" ht="20.100000000000001" customHeight="1" x14ac:dyDescent="0.25">
      <c r="A94" s="3">
        <v>91</v>
      </c>
      <c r="B94" s="8" t="s">
        <v>190</v>
      </c>
      <c r="C94" s="5" t="s">
        <v>191</v>
      </c>
      <c r="D94" s="6">
        <v>36566</v>
      </c>
      <c r="E94" s="6">
        <v>37271</v>
      </c>
      <c r="F94" s="7" t="s">
        <v>20</v>
      </c>
      <c r="G94" s="7">
        <v>1</v>
      </c>
      <c r="H94" s="7">
        <v>10</v>
      </c>
      <c r="I94" s="5" t="str">
        <f t="shared" si="2"/>
        <v>(91,'SC2-GZ0','Station de Compression SC2-GZ0','Thursday-02-jj','Tuesday-01-jj',NULL,1,10),</v>
      </c>
    </row>
    <row r="95" spans="1:9" ht="20.100000000000001" customHeight="1" x14ac:dyDescent="0.25">
      <c r="A95" s="3">
        <v>92</v>
      </c>
      <c r="B95" s="8" t="s">
        <v>192</v>
      </c>
      <c r="C95" s="5" t="s">
        <v>193</v>
      </c>
      <c r="D95" s="6">
        <v>36566</v>
      </c>
      <c r="E95" s="6">
        <v>37271</v>
      </c>
      <c r="F95" s="7" t="s">
        <v>20</v>
      </c>
      <c r="G95" s="7">
        <v>1</v>
      </c>
      <c r="H95" s="7">
        <v>10</v>
      </c>
      <c r="I95" s="5" t="str">
        <f t="shared" si="2"/>
        <v>(92,'SC3-GZ0','Station de Compression SC3-GZ0','Thursday-02-jj','Tuesday-01-jj',NULL,1,10),</v>
      </c>
    </row>
    <row r="96" spans="1:9" ht="20.100000000000001" customHeight="1" x14ac:dyDescent="0.25">
      <c r="A96" s="3">
        <v>93</v>
      </c>
      <c r="B96" s="8" t="s">
        <v>194</v>
      </c>
      <c r="C96" s="5" t="s">
        <v>195</v>
      </c>
      <c r="D96" s="6">
        <v>36566</v>
      </c>
      <c r="E96" s="6">
        <v>37271</v>
      </c>
      <c r="F96" s="7" t="s">
        <v>20</v>
      </c>
      <c r="G96" s="7">
        <v>1</v>
      </c>
      <c r="H96" s="7">
        <v>10</v>
      </c>
      <c r="I96" s="5" t="str">
        <f t="shared" si="2"/>
        <v>(93,'SC4-GZ0','Station de Compression SC4-GZ0','Thursday-02-jj','Tuesday-01-jj',NULL,1,10),</v>
      </c>
    </row>
    <row r="97" spans="1:9" ht="20.100000000000001" customHeight="1" x14ac:dyDescent="0.25">
      <c r="A97" s="3">
        <v>94</v>
      </c>
      <c r="B97" s="8" t="s">
        <v>196</v>
      </c>
      <c r="C97" s="5" t="s">
        <v>197</v>
      </c>
      <c r="D97" s="6">
        <v>37756</v>
      </c>
      <c r="E97" s="6">
        <v>38462</v>
      </c>
      <c r="F97" s="7" t="s">
        <v>20</v>
      </c>
      <c r="G97" s="7">
        <v>1</v>
      </c>
      <c r="H97" s="7">
        <v>10</v>
      </c>
      <c r="I97" s="5" t="str">
        <f t="shared" si="2"/>
        <v>(94,'SC1-GZ1','Station de Compression SC1-GZ1','Thursday-05-jj','Wednesday-04-jj',NULL,1,10),</v>
      </c>
    </row>
    <row r="98" spans="1:9" ht="20.100000000000001" customHeight="1" x14ac:dyDescent="0.25">
      <c r="A98" s="3">
        <v>95</v>
      </c>
      <c r="B98" s="8" t="s">
        <v>198</v>
      </c>
      <c r="C98" s="5" t="s">
        <v>199</v>
      </c>
      <c r="D98" s="6">
        <v>37756</v>
      </c>
      <c r="E98" s="6">
        <v>38462</v>
      </c>
      <c r="F98" s="7" t="s">
        <v>20</v>
      </c>
      <c r="G98" s="7">
        <v>1</v>
      </c>
      <c r="H98" s="7">
        <v>10</v>
      </c>
      <c r="I98" s="5" t="str">
        <f t="shared" si="2"/>
        <v>(95,'SC1-GZ2','Station de Compression SC1-GZ2','Thursday-05-jj','Wednesday-04-jj',NULL,1,10),</v>
      </c>
    </row>
    <row r="99" spans="1:9" ht="20.100000000000001" customHeight="1" x14ac:dyDescent="0.25">
      <c r="A99" s="3">
        <v>96</v>
      </c>
      <c r="B99" s="8" t="s">
        <v>200</v>
      </c>
      <c r="C99" s="5" t="s">
        <v>201</v>
      </c>
      <c r="D99" s="6">
        <v>37756</v>
      </c>
      <c r="E99" s="6">
        <v>38462</v>
      </c>
      <c r="F99" s="7" t="s">
        <v>20</v>
      </c>
      <c r="G99" s="7">
        <v>1</v>
      </c>
      <c r="H99" s="7">
        <v>10</v>
      </c>
      <c r="I99" s="5" t="str">
        <f t="shared" si="2"/>
        <v>(96,'SC1-GZ3','Station de Compression SC1-GZ3','Thursday-05-jj','Wednesday-04-jj',NULL,1,10),</v>
      </c>
    </row>
    <row r="100" spans="1:9" ht="20.100000000000001" customHeight="1" x14ac:dyDescent="0.25">
      <c r="A100" s="3">
        <v>97</v>
      </c>
      <c r="B100" s="8" t="s">
        <v>202</v>
      </c>
      <c r="C100" s="5" t="s">
        <v>203</v>
      </c>
      <c r="D100" s="6">
        <v>38219</v>
      </c>
      <c r="E100" s="6">
        <v>38923</v>
      </c>
      <c r="F100" s="7" t="s">
        <v>20</v>
      </c>
      <c r="G100" s="7">
        <v>1</v>
      </c>
      <c r="H100" s="7">
        <v>10</v>
      </c>
      <c r="I100" s="5" t="str">
        <f t="shared" si="2"/>
        <v>(97,'SC2-GZ1','Station de Compression SC2-GZ1','Friday-08-jj','Tuesday-07-jj',NULL,1,10),</v>
      </c>
    </row>
    <row r="101" spans="1:9" ht="20.100000000000001" customHeight="1" x14ac:dyDescent="0.25">
      <c r="A101" s="3">
        <v>98</v>
      </c>
      <c r="B101" s="8" t="s">
        <v>204</v>
      </c>
      <c r="C101" s="5" t="s">
        <v>205</v>
      </c>
      <c r="D101" s="6">
        <v>38219</v>
      </c>
      <c r="E101" s="6">
        <v>38923</v>
      </c>
      <c r="F101" s="7" t="s">
        <v>20</v>
      </c>
      <c r="G101" s="7">
        <v>1</v>
      </c>
      <c r="H101" s="7">
        <v>10</v>
      </c>
      <c r="I101" s="5" t="str">
        <f t="shared" si="2"/>
        <v>(98,'SC2-GZ2','Station de Compression SC2-GZ2','Friday-08-jj','Tuesday-07-jj',NULL,1,10),</v>
      </c>
    </row>
    <row r="102" spans="1:9" ht="20.100000000000001" customHeight="1" x14ac:dyDescent="0.25">
      <c r="A102" s="3">
        <v>99</v>
      </c>
      <c r="B102" s="8" t="s">
        <v>206</v>
      </c>
      <c r="C102" s="5" t="s">
        <v>207</v>
      </c>
      <c r="D102" s="6">
        <v>38219</v>
      </c>
      <c r="E102" s="6">
        <v>38923</v>
      </c>
      <c r="F102" s="7" t="s">
        <v>20</v>
      </c>
      <c r="G102" s="7">
        <v>1</v>
      </c>
      <c r="H102" s="7">
        <v>10</v>
      </c>
      <c r="I102" s="5" t="str">
        <f t="shared" si="2"/>
        <v>(99,'SC2-GZ3','Station de Compression SC2-GZ3','Friday-08-jj','Tuesday-07-jj',NULL,1,10),</v>
      </c>
    </row>
    <row r="103" spans="1:9" ht="20.100000000000001" customHeight="1" x14ac:dyDescent="0.25">
      <c r="A103" s="3">
        <v>100</v>
      </c>
      <c r="B103" s="8" t="s">
        <v>208</v>
      </c>
      <c r="C103" s="5" t="s">
        <v>209</v>
      </c>
      <c r="D103" s="6">
        <v>38666</v>
      </c>
      <c r="E103" s="6">
        <v>39370</v>
      </c>
      <c r="F103" s="7" t="s">
        <v>20</v>
      </c>
      <c r="G103" s="7">
        <v>1</v>
      </c>
      <c r="H103" s="7">
        <v>10</v>
      </c>
      <c r="I103" s="5" t="str">
        <f t="shared" si="2"/>
        <v>(100,'SC3-GZ1','Station de Compression SC3-GZ1','Thursday-11-jj','Monday-10-jj',NULL,1,10),</v>
      </c>
    </row>
    <row r="104" spans="1:9" ht="20.100000000000001" customHeight="1" x14ac:dyDescent="0.25">
      <c r="A104" s="3">
        <v>101</v>
      </c>
      <c r="B104" s="8" t="s">
        <v>210</v>
      </c>
      <c r="C104" s="5" t="s">
        <v>211</v>
      </c>
      <c r="D104" s="6">
        <v>38666</v>
      </c>
      <c r="E104" s="6">
        <v>39370</v>
      </c>
      <c r="F104" s="7" t="s">
        <v>20</v>
      </c>
      <c r="G104" s="7">
        <v>1</v>
      </c>
      <c r="H104" s="7">
        <v>10</v>
      </c>
      <c r="I104" s="5" t="str">
        <f t="shared" si="2"/>
        <v>(101,'SC3-GZ2','Station de Compression SC3-GZ2','Thursday-11-jj','Monday-10-jj',NULL,1,10),</v>
      </c>
    </row>
    <row r="105" spans="1:9" ht="20.100000000000001" customHeight="1" x14ac:dyDescent="0.25">
      <c r="A105" s="3">
        <v>102</v>
      </c>
      <c r="B105" s="8" t="s">
        <v>212</v>
      </c>
      <c r="C105" s="5" t="s">
        <v>213</v>
      </c>
      <c r="D105" s="6">
        <v>38666</v>
      </c>
      <c r="E105" s="6">
        <v>39370</v>
      </c>
      <c r="F105" s="7" t="s">
        <v>20</v>
      </c>
      <c r="G105" s="7">
        <v>1</v>
      </c>
      <c r="H105" s="7">
        <v>10</v>
      </c>
      <c r="I105" s="5" t="str">
        <f t="shared" si="2"/>
        <v>(102,'SC3-GZ3','Station de Compression SC3-GZ3','Thursday-11-jj','Monday-10-jj',NULL,1,10),</v>
      </c>
    </row>
    <row r="106" spans="1:9" ht="20.100000000000001" customHeight="1" x14ac:dyDescent="0.25">
      <c r="A106" s="3">
        <v>103</v>
      </c>
      <c r="B106" s="8" t="s">
        <v>214</v>
      </c>
      <c r="C106" s="5" t="s">
        <v>215</v>
      </c>
      <c r="D106" s="6">
        <v>38791</v>
      </c>
      <c r="E106" s="6">
        <v>39498</v>
      </c>
      <c r="F106" s="7" t="s">
        <v>20</v>
      </c>
      <c r="G106" s="7">
        <v>1</v>
      </c>
      <c r="H106" s="7">
        <v>10</v>
      </c>
      <c r="I106" s="5" t="str">
        <f t="shared" si="2"/>
        <v>(103,'SC4-GZ1','Station de Compression SC4-GZ1','Wednesday-03-jj','Wednesday-02-jj',NULL,1,10),</v>
      </c>
    </row>
    <row r="107" spans="1:9" ht="20.100000000000001" customHeight="1" x14ac:dyDescent="0.25">
      <c r="A107" s="3">
        <v>104</v>
      </c>
      <c r="B107" s="8" t="s">
        <v>216</v>
      </c>
      <c r="C107" s="5" t="s">
        <v>217</v>
      </c>
      <c r="D107" s="6">
        <v>38791</v>
      </c>
      <c r="E107" s="6">
        <v>39498</v>
      </c>
      <c r="F107" s="7" t="s">
        <v>20</v>
      </c>
      <c r="G107" s="7">
        <v>1</v>
      </c>
      <c r="H107" s="7">
        <v>10</v>
      </c>
      <c r="I107" s="5" t="str">
        <f t="shared" si="2"/>
        <v>(104,'SC4-GZ2','Station de Compression SC4-GZ2','Wednesday-03-jj','Wednesday-02-jj',NULL,1,10),</v>
      </c>
    </row>
    <row r="108" spans="1:9" ht="20.100000000000001" customHeight="1" x14ac:dyDescent="0.25">
      <c r="A108" s="3">
        <v>105</v>
      </c>
      <c r="B108" s="8" t="s">
        <v>218</v>
      </c>
      <c r="C108" s="5" t="s">
        <v>219</v>
      </c>
      <c r="D108" s="6">
        <v>38791</v>
      </c>
      <c r="E108" s="6">
        <v>39498</v>
      </c>
      <c r="F108" s="7" t="s">
        <v>20</v>
      </c>
      <c r="G108" s="7">
        <v>1</v>
      </c>
      <c r="H108" s="7">
        <v>10</v>
      </c>
      <c r="I108" s="5" t="str">
        <f t="shared" si="2"/>
        <v>(105,'SC4-GZ3','Station de Compression SC4-GZ3','Wednesday-03-jj','Wednesday-02-jj',NULL,1,10),</v>
      </c>
    </row>
    <row r="109" spans="1:9" ht="20.100000000000001" customHeight="1" x14ac:dyDescent="0.25">
      <c r="A109" s="3">
        <v>106</v>
      </c>
      <c r="B109" s="8" t="s">
        <v>220</v>
      </c>
      <c r="C109" s="5" t="s">
        <v>221</v>
      </c>
      <c r="D109" s="6">
        <v>39253</v>
      </c>
      <c r="E109" s="6">
        <v>39958</v>
      </c>
      <c r="F109" s="7" t="s">
        <v>20</v>
      </c>
      <c r="G109" s="7">
        <v>1</v>
      </c>
      <c r="H109" s="7">
        <v>10</v>
      </c>
      <c r="I109" s="5" t="str">
        <f t="shared" si="2"/>
        <v>(106,'SC5-GZ1','Station de Compression SC5-GZ1','Wednesday-06-jj','Monday-05-jj',NULL,1,10),</v>
      </c>
    </row>
    <row r="110" spans="1:9" ht="20.100000000000001" customHeight="1" x14ac:dyDescent="0.25">
      <c r="A110" s="3">
        <v>107</v>
      </c>
      <c r="B110" s="8" t="s">
        <v>222</v>
      </c>
      <c r="C110" s="5" t="s">
        <v>223</v>
      </c>
      <c r="D110" s="6">
        <v>39253</v>
      </c>
      <c r="E110" s="6">
        <v>39958</v>
      </c>
      <c r="F110" s="7" t="s">
        <v>20</v>
      </c>
      <c r="G110" s="7">
        <v>1</v>
      </c>
      <c r="H110" s="7">
        <v>10</v>
      </c>
      <c r="I110" s="5" t="str">
        <f t="shared" si="2"/>
        <v>(107,'SC5-GZ2','Station de Compression SC5-GZ2','Wednesday-06-jj','Monday-05-jj',NULL,1,10),</v>
      </c>
    </row>
    <row r="111" spans="1:9" ht="20.100000000000001" customHeight="1" x14ac:dyDescent="0.25">
      <c r="A111" s="3">
        <v>108</v>
      </c>
      <c r="B111" s="8" t="s">
        <v>224</v>
      </c>
      <c r="C111" s="5" t="s">
        <v>225</v>
      </c>
      <c r="D111" s="6">
        <v>39253</v>
      </c>
      <c r="E111" s="6">
        <v>39958</v>
      </c>
      <c r="F111" s="7" t="s">
        <v>20</v>
      </c>
      <c r="G111" s="7">
        <v>1</v>
      </c>
      <c r="H111" s="7">
        <v>10</v>
      </c>
      <c r="I111" s="5" t="str">
        <f t="shared" si="2"/>
        <v>(108,'SC5-GZ3','Station de Compression SC5-GZ3','Wednesday-06-jj','Monday-05-jj',NULL,1,10),</v>
      </c>
    </row>
    <row r="112" spans="1:9" ht="20.100000000000001" customHeight="1" x14ac:dyDescent="0.25">
      <c r="A112" s="3">
        <v>109</v>
      </c>
      <c r="B112" s="8" t="s">
        <v>226</v>
      </c>
      <c r="C112" s="5" t="s">
        <v>227</v>
      </c>
      <c r="D112" s="6">
        <v>39703</v>
      </c>
      <c r="E112" s="6">
        <v>40408</v>
      </c>
      <c r="F112" s="7" t="s">
        <v>20</v>
      </c>
      <c r="G112" s="7">
        <v>1</v>
      </c>
      <c r="H112" s="7">
        <v>10</v>
      </c>
      <c r="I112" s="5" t="str">
        <f t="shared" si="2"/>
        <v>(109,'SC3-GPDF','Station de Compression SC3-GPDF','Friday-09-jj','Wednesday-08-jj',NULL,1,10),</v>
      </c>
    </row>
    <row r="113" spans="1:9" ht="20.100000000000001" customHeight="1" x14ac:dyDescent="0.25">
      <c r="A113" s="3">
        <v>110</v>
      </c>
      <c r="B113" s="8" t="s">
        <v>228</v>
      </c>
      <c r="C113" s="5" t="s">
        <v>229</v>
      </c>
      <c r="D113" s="6">
        <v>40152</v>
      </c>
      <c r="E113" s="6">
        <v>40857</v>
      </c>
      <c r="F113" s="7" t="s">
        <v>20</v>
      </c>
      <c r="G113" s="7">
        <v>1</v>
      </c>
      <c r="H113" s="7">
        <v>10</v>
      </c>
      <c r="I113" s="5" t="str">
        <f t="shared" si="2"/>
        <v>(110,'SC1-GK1','Station de Compression SC1-GK1','Saturday-12-jj','Thursday-11-jj',NULL,1,10),</v>
      </c>
    </row>
    <row r="114" spans="1:9" ht="20.100000000000001" customHeight="1" x14ac:dyDescent="0.25">
      <c r="A114" s="3">
        <v>111</v>
      </c>
      <c r="B114" s="8" t="s">
        <v>230</v>
      </c>
      <c r="C114" s="5" t="s">
        <v>231</v>
      </c>
      <c r="D114" s="6">
        <v>40152</v>
      </c>
      <c r="E114" s="6">
        <v>40857</v>
      </c>
      <c r="F114" s="7" t="s">
        <v>20</v>
      </c>
      <c r="G114" s="7">
        <v>1</v>
      </c>
      <c r="H114" s="7">
        <v>10</v>
      </c>
      <c r="I114" s="5" t="str">
        <f t="shared" si="2"/>
        <v>(111,'SC2-GK1','Station de Compression SC2-GK1','Saturday-12-jj','Thursday-11-jj',NULL,1,10),</v>
      </c>
    </row>
    <row r="115" spans="1:9" ht="20.100000000000001" customHeight="1" x14ac:dyDescent="0.25">
      <c r="A115" s="3">
        <v>112</v>
      </c>
      <c r="B115" s="8" t="s">
        <v>232</v>
      </c>
      <c r="C115" s="5" t="s">
        <v>233</v>
      </c>
      <c r="D115" s="6">
        <v>40152</v>
      </c>
      <c r="E115" s="6">
        <v>40857</v>
      </c>
      <c r="F115" s="7" t="s">
        <v>20</v>
      </c>
      <c r="G115" s="7">
        <v>1</v>
      </c>
      <c r="H115" s="7">
        <v>10</v>
      </c>
      <c r="I115" s="5" t="str">
        <f t="shared" si="2"/>
        <v>(112,'SC3-GK1','Station de Compression SC3-GK1','Saturday-12-jj','Thursday-11-jj',NULL,1,10),</v>
      </c>
    </row>
    <row r="116" spans="1:9" ht="20.100000000000001" customHeight="1" x14ac:dyDescent="0.25">
      <c r="A116" s="3">
        <v>113</v>
      </c>
      <c r="B116" s="8" t="s">
        <v>234</v>
      </c>
      <c r="C116" s="5" t="s">
        <v>235</v>
      </c>
      <c r="D116" s="6">
        <v>40152</v>
      </c>
      <c r="E116" s="6">
        <v>40857</v>
      </c>
      <c r="F116" s="7" t="s">
        <v>20</v>
      </c>
      <c r="G116" s="7">
        <v>1</v>
      </c>
      <c r="H116" s="7">
        <v>10</v>
      </c>
      <c r="I116" s="5" t="str">
        <f t="shared" si="2"/>
        <v>(113,'SC4-GK1','Station de Compression SC4-GK1','Saturday-12-jj','Thursday-11-jj',NULL,1,10),</v>
      </c>
    </row>
    <row r="117" spans="1:9" ht="20.100000000000001" customHeight="1" x14ac:dyDescent="0.25">
      <c r="A117" s="3">
        <v>114</v>
      </c>
      <c r="B117" s="8" t="s">
        <v>236</v>
      </c>
      <c r="C117" s="5" t="s">
        <v>237</v>
      </c>
      <c r="D117" s="6">
        <v>40152</v>
      </c>
      <c r="E117" s="6">
        <v>40857</v>
      </c>
      <c r="F117" s="7" t="s">
        <v>20</v>
      </c>
      <c r="G117" s="7">
        <v>1</v>
      </c>
      <c r="H117" s="7">
        <v>10</v>
      </c>
      <c r="I117" s="5" t="str">
        <f t="shared" si="2"/>
        <v>(114,'SC5-GK1','Station de Compression SC5-GK1','Saturday-12-jj','Thursday-11-jj',NULL,1,10),</v>
      </c>
    </row>
    <row r="118" spans="1:9" ht="20.100000000000001" customHeight="1" x14ac:dyDescent="0.25">
      <c r="A118" s="3">
        <v>115</v>
      </c>
      <c r="B118" s="8" t="s">
        <v>238</v>
      </c>
      <c r="C118" s="5" t="s">
        <v>239</v>
      </c>
      <c r="D118" s="6">
        <v>40283</v>
      </c>
      <c r="E118" s="6">
        <v>40988</v>
      </c>
      <c r="F118" s="7" t="s">
        <v>20</v>
      </c>
      <c r="G118" s="7">
        <v>1</v>
      </c>
      <c r="H118" s="7">
        <v>10</v>
      </c>
      <c r="I118" s="5" t="str">
        <f t="shared" si="2"/>
        <v>(115,'S01-GO2','Station de Compression S01-GO2','Thursday-04-jj','Tuesday-03-jj',NULL,1,10),</v>
      </c>
    </row>
    <row r="119" spans="1:9" ht="20.100000000000001" customHeight="1" x14ac:dyDescent="0.25">
      <c r="A119" s="3">
        <v>116</v>
      </c>
      <c r="B119" s="8" t="s">
        <v>240</v>
      </c>
      <c r="C119" s="5" t="s">
        <v>241</v>
      </c>
      <c r="D119" s="6">
        <v>40744</v>
      </c>
      <c r="E119" s="6">
        <v>41450</v>
      </c>
      <c r="F119" s="7" t="s">
        <v>20</v>
      </c>
      <c r="G119" s="7">
        <v>1</v>
      </c>
      <c r="H119" s="7">
        <v>10</v>
      </c>
      <c r="I119" s="5" t="str">
        <f t="shared" si="2"/>
        <v>(116,'S01-GG1','Station de Compression S01-GG1','Wednesday-07-jj','Tuesday-06-jj',NULL,1,10),</v>
      </c>
    </row>
    <row r="120" spans="1:9" ht="20.100000000000001" customHeight="1" x14ac:dyDescent="0.25">
      <c r="A120" s="3">
        <v>117</v>
      </c>
      <c r="B120" s="8" t="s">
        <v>242</v>
      </c>
      <c r="C120" s="5" t="s">
        <v>243</v>
      </c>
      <c r="D120" s="6">
        <v>41192</v>
      </c>
      <c r="E120" s="6">
        <v>41897</v>
      </c>
      <c r="F120" s="7" t="s">
        <v>20</v>
      </c>
      <c r="G120" s="7">
        <v>1</v>
      </c>
      <c r="H120" s="7">
        <v>10</v>
      </c>
      <c r="I120" s="5" t="str">
        <f t="shared" si="2"/>
        <v>(117,'S01-GR5','Station de Compression S01-GR5','Wednesday-10-jj','Monday-09-jj',NULL,1,10),</v>
      </c>
    </row>
    <row r="121" spans="1:9" ht="20.100000000000001" customHeight="1" x14ac:dyDescent="0.25">
      <c r="A121" s="3">
        <v>118</v>
      </c>
      <c r="B121" s="8" t="s">
        <v>244</v>
      </c>
      <c r="C121" s="5" t="s">
        <v>245</v>
      </c>
      <c r="D121" s="6">
        <v>41323</v>
      </c>
      <c r="E121" s="6">
        <v>42026</v>
      </c>
      <c r="F121" s="7" t="s">
        <v>20</v>
      </c>
      <c r="G121" s="7">
        <v>1</v>
      </c>
      <c r="H121" s="7">
        <v>10</v>
      </c>
      <c r="I121" s="5" t="str">
        <f t="shared" si="2"/>
        <v>(118,'S01-GR7','Station de Compression S01-GR7','Monday-02-jj','Thursday-01-jj',NULL,1,10),</v>
      </c>
    </row>
    <row r="122" spans="1:9" ht="20.100000000000001" customHeight="1" x14ac:dyDescent="0.25">
      <c r="A122" s="3">
        <v>119</v>
      </c>
      <c r="B122" s="8" t="s">
        <v>246</v>
      </c>
      <c r="C122" s="5" t="s">
        <v>247</v>
      </c>
      <c r="D122" s="6">
        <v>41781</v>
      </c>
      <c r="E122" s="6">
        <v>42488</v>
      </c>
      <c r="F122" s="7" t="s">
        <v>20</v>
      </c>
      <c r="G122" s="7">
        <v>1</v>
      </c>
      <c r="H122" s="7">
        <v>10</v>
      </c>
      <c r="I122" s="5" t="str">
        <f t="shared" si="2"/>
        <v>(119,'SC-TFT','Station de Compression SC-TFT','Thursday-05-jj','Thursday-04-jj',NULL,1,10),</v>
      </c>
    </row>
    <row r="123" spans="1:9" ht="20.100000000000001" customHeight="1" x14ac:dyDescent="0.25">
      <c r="A123" s="3">
        <v>120</v>
      </c>
      <c r="B123" s="8" t="s">
        <v>248</v>
      </c>
      <c r="C123" s="5" t="s">
        <v>249</v>
      </c>
      <c r="D123" s="6">
        <v>42228</v>
      </c>
      <c r="E123" s="6">
        <v>42934</v>
      </c>
      <c r="F123" s="7" t="s">
        <v>20</v>
      </c>
      <c r="G123" s="7">
        <v>1</v>
      </c>
      <c r="H123" s="7">
        <v>10</v>
      </c>
      <c r="I123" s="5" t="str">
        <f t="shared" si="2"/>
        <v>(120,'SC1-GR2','Station de Compression SC1-GR2','Wednesday-08-jj','Tuesday-07-jj',NULL,1,10),</v>
      </c>
    </row>
    <row r="124" spans="1:9" ht="20.100000000000001" customHeight="1" x14ac:dyDescent="0.25">
      <c r="A124" s="3">
        <v>121</v>
      </c>
      <c r="B124" s="8" t="s">
        <v>250</v>
      </c>
      <c r="C124" s="5" t="s">
        <v>251</v>
      </c>
      <c r="D124" s="6">
        <v>42228</v>
      </c>
      <c r="E124" s="6">
        <v>42934</v>
      </c>
      <c r="F124" s="7" t="s">
        <v>20</v>
      </c>
      <c r="G124" s="7">
        <v>1</v>
      </c>
      <c r="H124" s="7">
        <v>10</v>
      </c>
      <c r="I124" s="5" t="str">
        <f t="shared" si="2"/>
        <v>(121,'SC2-GR2','Station de Compression SC2-GR2','Wednesday-08-jj','Tuesday-07-jj',NULL,1,10),</v>
      </c>
    </row>
    <row r="125" spans="1:9" ht="20.100000000000001" customHeight="1" x14ac:dyDescent="0.25">
      <c r="A125" s="3">
        <v>122</v>
      </c>
      <c r="B125" s="8" t="s">
        <v>252</v>
      </c>
      <c r="C125" s="5" t="s">
        <v>253</v>
      </c>
      <c r="D125" s="6">
        <v>42228</v>
      </c>
      <c r="E125" s="6">
        <v>42934</v>
      </c>
      <c r="F125" s="7" t="s">
        <v>20</v>
      </c>
      <c r="G125" s="7">
        <v>1</v>
      </c>
      <c r="H125" s="7">
        <v>10</v>
      </c>
      <c r="I125" s="5" t="str">
        <f t="shared" si="2"/>
        <v>(122,'SC3-GR2','Station de Compression SC3-GR2','Wednesday-08-jj','Tuesday-07-jj',NULL,1,10),</v>
      </c>
    </row>
    <row r="126" spans="1:9" ht="20.100000000000001" customHeight="1" x14ac:dyDescent="0.25">
      <c r="A126" s="3">
        <v>123</v>
      </c>
      <c r="B126" s="8" t="s">
        <v>254</v>
      </c>
      <c r="C126" s="5" t="s">
        <v>255</v>
      </c>
      <c r="D126" s="6">
        <v>42228</v>
      </c>
      <c r="E126" s="6">
        <v>42934</v>
      </c>
      <c r="F126" s="7" t="s">
        <v>20</v>
      </c>
      <c r="G126" s="7">
        <v>1</v>
      </c>
      <c r="H126" s="7">
        <v>10</v>
      </c>
      <c r="I126" s="5" t="str">
        <f t="shared" si="2"/>
        <v>(123,'SC4-GR2','Station de Compression SC4-GR2','Wednesday-08-jj','Tuesday-07-jj',NULL,1,10),</v>
      </c>
    </row>
    <row r="127" spans="1:9" ht="20.100000000000001" customHeight="1" x14ac:dyDescent="0.25">
      <c r="A127" s="3">
        <v>124</v>
      </c>
      <c r="B127" s="8" t="s">
        <v>256</v>
      </c>
      <c r="C127" s="5" t="s">
        <v>257</v>
      </c>
      <c r="D127" s="6">
        <v>22903</v>
      </c>
      <c r="E127" s="6">
        <v>23652</v>
      </c>
      <c r="F127" s="7" t="s">
        <v>20</v>
      </c>
      <c r="G127" s="7">
        <v>1</v>
      </c>
      <c r="H127" s="7">
        <v>4</v>
      </c>
      <c r="I127" s="5" t="str">
        <f t="shared" si="2"/>
        <v>(124,'GL1Z','Complexe GNL GL1Z','Friday-09-jj','Friday-10-jj',NULL,1,4),</v>
      </c>
    </row>
    <row r="128" spans="1:9" ht="20.100000000000001" customHeight="1" x14ac:dyDescent="0.25">
      <c r="A128" s="3">
        <v>125</v>
      </c>
      <c r="B128" s="8" t="s">
        <v>258</v>
      </c>
      <c r="C128" s="5" t="s">
        <v>259</v>
      </c>
      <c r="D128" s="6">
        <v>28564</v>
      </c>
      <c r="E128" s="6">
        <v>29849</v>
      </c>
      <c r="F128" s="7" t="s">
        <v>20</v>
      </c>
      <c r="G128" s="7">
        <v>1</v>
      </c>
      <c r="H128" s="7">
        <v>4</v>
      </c>
      <c r="I128" s="5" t="str">
        <f t="shared" si="2"/>
        <v>(125,'GL2Z','Complexe GNL GL2Z','Wednesday-03-jj','Sunday-09-jj',NULL,1,4),</v>
      </c>
    </row>
    <row r="129" spans="1:9" ht="20.100000000000001" customHeight="1" x14ac:dyDescent="0.25">
      <c r="A129" s="3">
        <v>126</v>
      </c>
      <c r="B129" s="8" t="s">
        <v>260</v>
      </c>
      <c r="C129" s="5" t="s">
        <v>261</v>
      </c>
      <c r="D129" s="6">
        <v>40318</v>
      </c>
      <c r="E129" s="6">
        <v>41618</v>
      </c>
      <c r="F129" s="7" t="s">
        <v>20</v>
      </c>
      <c r="G129" s="7">
        <v>1</v>
      </c>
      <c r="H129" s="7">
        <v>4</v>
      </c>
      <c r="I129" s="5" t="str">
        <f t="shared" si="2"/>
        <v>(126,'GL3Z','Complexe GNL GL3Z','Thursday-05-jj','Tuesday-12-jj',NULL,1,4),</v>
      </c>
    </row>
    <row r="130" spans="1:9" ht="20.100000000000001" customHeight="1" x14ac:dyDescent="0.25">
      <c r="A130" s="3">
        <v>127</v>
      </c>
      <c r="B130" s="8" t="s">
        <v>262</v>
      </c>
      <c r="C130" s="5" t="s">
        <v>263</v>
      </c>
      <c r="D130" s="6">
        <v>24473</v>
      </c>
      <c r="E130" s="6">
        <v>26495</v>
      </c>
      <c r="F130" s="7" t="s">
        <v>20</v>
      </c>
      <c r="G130" s="7">
        <v>1</v>
      </c>
      <c r="H130" s="7">
        <v>4</v>
      </c>
      <c r="I130" s="5" t="str">
        <f t="shared" si="2"/>
        <v>(127,'GL1K','Complexe GNL GL1K','Sunday-01-jj','Saturday-07-jj',NULL,1,4),</v>
      </c>
    </row>
    <row r="131" spans="1:9" ht="20.100000000000001" customHeight="1" x14ac:dyDescent="0.25">
      <c r="A131" s="3">
        <v>128</v>
      </c>
      <c r="B131" s="8" t="s">
        <v>264</v>
      </c>
      <c r="C131" s="5" t="s">
        <v>265</v>
      </c>
      <c r="D131" s="6">
        <v>25617</v>
      </c>
      <c r="E131" s="6">
        <v>27240</v>
      </c>
      <c r="F131" s="7" t="s">
        <v>20</v>
      </c>
      <c r="G131" s="7">
        <v>1</v>
      </c>
      <c r="H131" s="7">
        <v>4</v>
      </c>
      <c r="I131" s="5" t="str">
        <f t="shared" si="2"/>
        <v>(128,'GP1Z','Usine GPL GP1Z','Wednesday-02-jj','Tuesday-07-jj',NULL,1,4),</v>
      </c>
    </row>
    <row r="132" spans="1:9" ht="20.100000000000001" customHeight="1" x14ac:dyDescent="0.25">
      <c r="A132" s="3">
        <v>129</v>
      </c>
      <c r="B132" s="8" t="s">
        <v>266</v>
      </c>
      <c r="C132" s="5" t="s">
        <v>267</v>
      </c>
      <c r="D132" s="6">
        <v>27872</v>
      </c>
      <c r="E132" s="6">
        <v>29509</v>
      </c>
      <c r="F132" s="7" t="s">
        <v>20</v>
      </c>
      <c r="G132" s="7">
        <v>1</v>
      </c>
      <c r="H132" s="7">
        <v>4</v>
      </c>
      <c r="I132" s="5" t="str">
        <f t="shared" si="2"/>
        <v>(129,'GP2Z','Usine GPL GP2Z','Thursday-04-jj','Wednesday-10-jj',NULL,1,4),</v>
      </c>
    </row>
    <row r="133" spans="1:9" ht="20.100000000000001" customHeight="1" x14ac:dyDescent="0.25">
      <c r="A133" s="3">
        <v>130</v>
      </c>
      <c r="B133" s="8" t="s">
        <v>268</v>
      </c>
      <c r="C133" s="5" t="s">
        <v>269</v>
      </c>
      <c r="D133" s="6">
        <v>22442</v>
      </c>
      <c r="E133" s="6">
        <v>23456</v>
      </c>
      <c r="F133" s="7" t="s">
        <v>20</v>
      </c>
      <c r="G133" s="7">
        <v>1</v>
      </c>
      <c r="H133" s="7">
        <v>5</v>
      </c>
      <c r="I133" s="5" t="str">
        <f t="shared" si="2"/>
        <v>(130,'RA1G','Raffinerie RA1G','Saturday-06-jj','Friday-03-jj',NULL,1,5),</v>
      </c>
    </row>
    <row r="134" spans="1:9" ht="20.100000000000001" customHeight="1" x14ac:dyDescent="0.25">
      <c r="A134" s="3">
        <v>131</v>
      </c>
      <c r="B134" s="8" t="s">
        <v>270</v>
      </c>
      <c r="C134" s="5" t="s">
        <v>271</v>
      </c>
      <c r="D134" s="6">
        <v>26191</v>
      </c>
      <c r="E134" s="6">
        <v>27539</v>
      </c>
      <c r="F134" s="7" t="s">
        <v>20</v>
      </c>
      <c r="G134" s="7">
        <v>1</v>
      </c>
      <c r="H134" s="7">
        <v>5</v>
      </c>
      <c r="I134" s="5" t="str">
        <f t="shared" si="2"/>
        <v>(131,'RA1Z','Raffinerie RA1Z','Wednesday-09-jj','Sunday-05-jj',NULL,1,5),</v>
      </c>
    </row>
    <row r="135" spans="1:9" ht="20.100000000000001" customHeight="1" x14ac:dyDescent="0.25">
      <c r="A135" s="3">
        <v>132</v>
      </c>
      <c r="B135" s="8" t="s">
        <v>272</v>
      </c>
      <c r="C135" s="5" t="s">
        <v>273</v>
      </c>
      <c r="D135" s="6">
        <v>35023</v>
      </c>
      <c r="E135" s="6">
        <v>36037</v>
      </c>
      <c r="F135" s="7" t="s">
        <v>20</v>
      </c>
      <c r="G135" s="7">
        <v>1</v>
      </c>
      <c r="H135" s="7">
        <v>5</v>
      </c>
      <c r="I135" s="5" t="str">
        <f t="shared" si="2"/>
        <v>(132,'RHM2','Raffinerie RHM2','Monday-11-jj','Sunday-08-jj',NULL,1,5),</v>
      </c>
    </row>
    <row r="136" spans="1:9" ht="20.100000000000001" customHeight="1" x14ac:dyDescent="0.25">
      <c r="A136" s="3">
        <v>133</v>
      </c>
      <c r="B136" s="8" t="s">
        <v>274</v>
      </c>
      <c r="C136" s="5" t="s">
        <v>275</v>
      </c>
      <c r="D136" s="6">
        <v>28196</v>
      </c>
      <c r="E136" s="6">
        <v>29573</v>
      </c>
      <c r="F136" s="7" t="s">
        <v>20</v>
      </c>
      <c r="G136" s="7">
        <v>1</v>
      </c>
      <c r="H136" s="7">
        <v>5</v>
      </c>
      <c r="I136" s="5" t="str">
        <f t="shared" si="2"/>
        <v>(133,'RA1K','Raffinerie RA1K','Saturday-03-jj','Thursday-12-jj',NULL,1,5),</v>
      </c>
    </row>
    <row r="137" spans="1:9" ht="20.100000000000001" customHeight="1" x14ac:dyDescent="0.25">
      <c r="A137" s="3">
        <v>134</v>
      </c>
      <c r="B137" s="8" t="s">
        <v>276</v>
      </c>
      <c r="C137" s="5" t="s">
        <v>277</v>
      </c>
      <c r="D137" s="6">
        <v>28196</v>
      </c>
      <c r="E137" s="6">
        <v>29573</v>
      </c>
      <c r="F137" s="7" t="s">
        <v>20</v>
      </c>
      <c r="G137" s="7">
        <v>1</v>
      </c>
      <c r="H137" s="7">
        <v>5</v>
      </c>
      <c r="I137" s="5" t="str">
        <f t="shared" si="2"/>
        <v>(134,'RA2K','Raffinerie RA2K','Saturday-03-jj','Thursday-12-jj',NULL,1,5),</v>
      </c>
    </row>
    <row r="138" spans="1:9" ht="20.100000000000001" customHeight="1" x14ac:dyDescent="0.25">
      <c r="A138" s="3">
        <v>135</v>
      </c>
      <c r="B138" s="8" t="s">
        <v>278</v>
      </c>
      <c r="C138" s="5" t="s">
        <v>279</v>
      </c>
      <c r="D138" s="6">
        <v>24966</v>
      </c>
      <c r="E138" s="6">
        <v>26710</v>
      </c>
      <c r="F138" s="7" t="s">
        <v>20</v>
      </c>
      <c r="G138" s="7">
        <v>1</v>
      </c>
      <c r="H138" s="7">
        <v>5</v>
      </c>
      <c r="I138" s="5" t="str">
        <f t="shared" si="2"/>
        <v>(135,'RA1D','Raffinerie RA1D','Wednesday-05-jj','Thursday-02-jj',NULL,1,5),</v>
      </c>
    </row>
    <row r="139" spans="1:9" ht="20.100000000000001" customHeight="1" x14ac:dyDescent="0.25">
      <c r="A139" s="3">
        <v>136</v>
      </c>
      <c r="B139" s="8" t="s">
        <v>280</v>
      </c>
      <c r="C139" s="5" t="s">
        <v>281</v>
      </c>
      <c r="D139" s="6">
        <v>29054</v>
      </c>
      <c r="E139" s="6">
        <v>30277</v>
      </c>
      <c r="F139" s="7" t="s">
        <v>20</v>
      </c>
      <c r="G139" s="7">
        <v>1</v>
      </c>
      <c r="H139" s="7">
        <v>4</v>
      </c>
      <c r="I139" s="5" t="str">
        <f t="shared" si="2"/>
        <v>(136,'CP1Z','Usine de Condensats CP1Z','Wednesday-07-jj','Monday-11-jj',NULL,1,4),</v>
      </c>
    </row>
    <row r="140" spans="1:9" ht="20.100000000000001" customHeight="1" x14ac:dyDescent="0.25">
      <c r="A140" s="3">
        <v>137</v>
      </c>
      <c r="B140" s="8" t="s">
        <v>282</v>
      </c>
      <c r="C140" s="5" t="s">
        <v>283</v>
      </c>
      <c r="D140" s="6">
        <v>29519</v>
      </c>
      <c r="E140" s="6">
        <v>30863</v>
      </c>
      <c r="F140" s="7" t="s">
        <v>20</v>
      </c>
      <c r="G140" s="7">
        <v>1</v>
      </c>
      <c r="H140" s="7">
        <v>4</v>
      </c>
      <c r="I140" s="5" t="str">
        <f t="shared" si="2"/>
        <v>(137,'CP2K','Usine de Condensats CP2K','Saturday-10-jj','Saturday-06-jj',NULL,1,4),</v>
      </c>
    </row>
    <row r="141" spans="1:9" ht="20.100000000000001" customHeight="1" x14ac:dyDescent="0.25">
      <c r="A141" s="3">
        <v>138</v>
      </c>
      <c r="B141" s="8" t="s">
        <v>284</v>
      </c>
      <c r="C141" s="5" t="s">
        <v>285</v>
      </c>
      <c r="D141" s="6">
        <v>25583</v>
      </c>
      <c r="E141" s="6">
        <v>27657</v>
      </c>
      <c r="F141" s="7" t="s">
        <v>20</v>
      </c>
      <c r="G141" s="7">
        <v>1</v>
      </c>
      <c r="H141" s="7">
        <v>5</v>
      </c>
      <c r="I141" s="5" t="str">
        <f t="shared" si="2"/>
        <v>(138,'SORFERT','Complexe Pétrochimique SORFERT','Thursday-01-jj','Saturday-09-jj',NULL,1,5),</v>
      </c>
    </row>
    <row r="142" spans="1:9" ht="20.100000000000001" customHeight="1" x14ac:dyDescent="0.25">
      <c r="A142" s="3">
        <v>139</v>
      </c>
      <c r="B142" s="8" t="s">
        <v>286</v>
      </c>
      <c r="C142" s="5" t="s">
        <v>287</v>
      </c>
      <c r="D142" s="6">
        <v>37721</v>
      </c>
      <c r="E142" s="6">
        <v>39767</v>
      </c>
      <c r="F142" s="7" t="s">
        <v>20</v>
      </c>
      <c r="G142" s="7">
        <v>1</v>
      </c>
      <c r="H142" s="7">
        <v>5</v>
      </c>
      <c r="I142" s="5" t="str">
        <f t="shared" si="2"/>
        <v>(139,'AOA','Complexe Pétrochimique AOA','Thursday-04-jj','Saturday-11-jj',NULL,1,5),</v>
      </c>
    </row>
    <row r="143" spans="1:9" ht="20.100000000000001" customHeight="1" x14ac:dyDescent="0.25">
      <c r="A143" s="3">
        <v>140</v>
      </c>
      <c r="B143" s="8" t="s">
        <v>288</v>
      </c>
      <c r="C143" s="5" t="s">
        <v>289</v>
      </c>
      <c r="D143" s="6">
        <v>35966</v>
      </c>
      <c r="E143" s="6">
        <v>37253</v>
      </c>
      <c r="F143" s="7" t="s">
        <v>20</v>
      </c>
      <c r="G143" s="7">
        <v>1</v>
      </c>
      <c r="H143" s="7">
        <v>2</v>
      </c>
      <c r="I143" s="5" t="str">
        <f t="shared" si="2"/>
        <v>(140,'CPF-OHD','Usine d\'Ourhoud','Saturday-06-jj','Friday-12-jj',NULL,1,2),</v>
      </c>
    </row>
    <row r="144" spans="1:9" ht="20.100000000000001" customHeight="1" x14ac:dyDescent="0.25">
      <c r="A144" s="3">
        <v>141</v>
      </c>
      <c r="B144" s="8" t="s">
        <v>290</v>
      </c>
      <c r="C144" s="5" t="s">
        <v>291</v>
      </c>
      <c r="D144" s="6">
        <v>36784</v>
      </c>
      <c r="E144" s="6">
        <v>37863</v>
      </c>
      <c r="F144" s="7" t="s">
        <v>20</v>
      </c>
      <c r="G144" s="7">
        <v>1</v>
      </c>
      <c r="H144" s="7">
        <v>2</v>
      </c>
      <c r="I144" s="5" t="str">
        <f t="shared" ref="I144:I207" si="3">CONCATENATE("(",A144,",'",B144,"','",C144,"','",TEXT(D144,"aaaa-mm-jj"),"','",TEXT(E144,"aaaa-mm-jj"),"',",F144,",",G144,",",H144,"),")</f>
        <v>(141,'CPF-MNS','Unité de Traitement Central d\'In Amenas','Friday-09-jj','Saturday-08-jj',NULL,1,2),</v>
      </c>
    </row>
    <row r="145" spans="1:9" ht="20.100000000000001" customHeight="1" x14ac:dyDescent="0.25">
      <c r="A145" s="3">
        <v>142</v>
      </c>
      <c r="B145" s="8" t="s">
        <v>292</v>
      </c>
      <c r="C145" s="5" t="s">
        <v>293</v>
      </c>
      <c r="D145" s="6">
        <v>37215</v>
      </c>
      <c r="E145" s="6">
        <v>38285</v>
      </c>
      <c r="F145" s="7" t="s">
        <v>20</v>
      </c>
      <c r="G145" s="7">
        <v>1</v>
      </c>
      <c r="H145" s="7">
        <v>2</v>
      </c>
      <c r="I145" s="5" t="str">
        <f t="shared" si="3"/>
        <v>(142,'CPF-BBK','Unité de Traitement Central de Berkine (El Merk)','Tuesday-11-jj','Monday-10-jj',NULL,1,2),</v>
      </c>
    </row>
    <row r="146" spans="1:9" ht="20.100000000000001" customHeight="1" x14ac:dyDescent="0.25">
      <c r="A146" s="3">
        <v>143</v>
      </c>
      <c r="B146" s="8" t="s">
        <v>294</v>
      </c>
      <c r="C146" s="5" t="s">
        <v>295</v>
      </c>
      <c r="D146" s="6">
        <v>28559</v>
      </c>
      <c r="E146" s="6">
        <v>30147</v>
      </c>
      <c r="F146" s="7" t="s">
        <v>20</v>
      </c>
      <c r="G146" s="7">
        <v>1</v>
      </c>
      <c r="H146" s="7">
        <v>2</v>
      </c>
      <c r="I146" s="5" t="str">
        <f t="shared" si="3"/>
        <v>(143,'GPC-HRM','Station Centrale de Hassi R\'Mel','Friday-03-jj','Thursday-07-jj',NULL,1,2),</v>
      </c>
    </row>
    <row r="147" spans="1:9" ht="20.100000000000001" customHeight="1" x14ac:dyDescent="0.25">
      <c r="A147" s="3">
        <v>144</v>
      </c>
      <c r="B147" s="8" t="s">
        <v>296</v>
      </c>
      <c r="C147" s="5" t="s">
        <v>297</v>
      </c>
      <c r="D147" s="6">
        <v>36658</v>
      </c>
      <c r="E147" s="6">
        <v>37945</v>
      </c>
      <c r="F147" s="7" t="s">
        <v>20</v>
      </c>
      <c r="G147" s="7">
        <v>1</v>
      </c>
      <c r="H147" s="7">
        <v>2</v>
      </c>
      <c r="I147" s="5" t="str">
        <f t="shared" si="3"/>
        <v>(144,'GPC-OHT','Unité de Traitement Central d\'Ohanet - Train de Gaz','Friday-05-jj','Thursday-11-jj',NULL,1,2),</v>
      </c>
    </row>
    <row r="148" spans="1:9" ht="20.100000000000001" customHeight="1" x14ac:dyDescent="0.25">
      <c r="A148" s="3">
        <v>145</v>
      </c>
      <c r="B148" s="8" t="s">
        <v>298</v>
      </c>
      <c r="C148" s="5" t="s">
        <v>299</v>
      </c>
      <c r="D148" s="6">
        <v>38217</v>
      </c>
      <c r="E148" s="6">
        <v>39258</v>
      </c>
      <c r="F148" s="7" t="s">
        <v>20</v>
      </c>
      <c r="G148" s="7">
        <v>1</v>
      </c>
      <c r="H148" s="7">
        <v>2</v>
      </c>
      <c r="I148" s="5" t="str">
        <f t="shared" si="3"/>
        <v>(145,'GPC-TFT','Unité de Traitement Central de Tin-Fouyé-Tabenkort','Wednesday-08-jj','Monday-06-jj',NULL,1,2),</v>
      </c>
    </row>
    <row r="149" spans="1:9" ht="20.100000000000001" customHeight="1" x14ac:dyDescent="0.25">
      <c r="A149" s="3">
        <v>146</v>
      </c>
      <c r="B149" s="8" t="s">
        <v>300</v>
      </c>
      <c r="C149" s="5" t="s">
        <v>301</v>
      </c>
      <c r="D149" s="6">
        <v>44635</v>
      </c>
      <c r="E149" s="6">
        <v>45889</v>
      </c>
      <c r="F149" s="7" t="s">
        <v>20</v>
      </c>
      <c r="G149" s="7">
        <v>1</v>
      </c>
      <c r="H149" s="7">
        <v>2</v>
      </c>
      <c r="I149" s="5" t="str">
        <f t="shared" si="3"/>
        <v>(146,'GPC-TSL','Complexe Gazier d\'Ain Tsila','Tuesday-03-jj','Wednesday-08-jj',NULL,1,2),</v>
      </c>
    </row>
    <row r="150" spans="1:9" ht="20.100000000000001" customHeight="1" x14ac:dyDescent="0.25">
      <c r="A150" s="3">
        <v>147</v>
      </c>
      <c r="B150" s="8" t="s">
        <v>302</v>
      </c>
      <c r="C150" s="5" t="s">
        <v>303</v>
      </c>
      <c r="D150" s="6">
        <v>40473</v>
      </c>
      <c r="E150" s="6">
        <v>41759</v>
      </c>
      <c r="F150" s="7" t="s">
        <v>20</v>
      </c>
      <c r="G150" s="7">
        <v>1</v>
      </c>
      <c r="H150" s="7">
        <v>2</v>
      </c>
      <c r="I150" s="5" t="str">
        <f t="shared" si="3"/>
        <v>(147,'GPC-RGN','Traitement du Gaz du Bassin de Reggane','Friday-10-jj','Wednesday-04-jj',NULL,1,2),</v>
      </c>
    </row>
    <row r="151" spans="1:9" ht="20.100000000000001" customHeight="1" x14ac:dyDescent="0.25">
      <c r="A151" s="3">
        <v>148</v>
      </c>
      <c r="B151" s="8" t="s">
        <v>304</v>
      </c>
      <c r="C151" s="5" t="s">
        <v>305</v>
      </c>
      <c r="D151" s="6">
        <v>37087</v>
      </c>
      <c r="E151" s="6">
        <v>38066</v>
      </c>
      <c r="F151" s="7" t="s">
        <v>20</v>
      </c>
      <c r="G151" s="7">
        <v>1</v>
      </c>
      <c r="H151" s="7">
        <v>2</v>
      </c>
      <c r="I151" s="5" t="str">
        <f t="shared" si="3"/>
        <v>(148,'CRP-OHT','Unité de Condensats d\'Ohanet','Sunday-07-jj','Saturday-03-jj',NULL,1,2),</v>
      </c>
    </row>
    <row r="152" spans="1:9" ht="20.100000000000001" customHeight="1" x14ac:dyDescent="0.25">
      <c r="A152" s="3">
        <v>149</v>
      </c>
      <c r="B152" s="8" t="s">
        <v>306</v>
      </c>
      <c r="C152" s="5" t="s">
        <v>307</v>
      </c>
      <c r="D152" s="6">
        <v>38615</v>
      </c>
      <c r="E152" s="6">
        <v>39596</v>
      </c>
      <c r="F152" s="7" t="s">
        <v>20</v>
      </c>
      <c r="G152" s="7">
        <v>1</v>
      </c>
      <c r="H152" s="7">
        <v>2</v>
      </c>
      <c r="I152" s="5" t="str">
        <f t="shared" si="3"/>
        <v>(149,'CRP-TFT','Unité de Condensats de Tin-Fouyé','Tuesday-09-jj','Wednesday-05-jj',NULL,1,2),</v>
      </c>
    </row>
    <row r="153" spans="1:9" ht="20.100000000000001" customHeight="1" x14ac:dyDescent="0.25">
      <c r="A153" s="3">
        <v>150</v>
      </c>
      <c r="B153" s="8" t="s">
        <v>308</v>
      </c>
      <c r="C153" s="5" t="s">
        <v>309</v>
      </c>
      <c r="D153" s="6">
        <v>44936</v>
      </c>
      <c r="E153" s="6">
        <v>45945</v>
      </c>
      <c r="F153" s="7" t="s">
        <v>20</v>
      </c>
      <c r="G153" s="7">
        <v>1</v>
      </c>
      <c r="H153" s="7">
        <v>2</v>
      </c>
      <c r="I153" s="5" t="str">
        <f t="shared" si="3"/>
        <v>(150,'CRP-TSL','Usine de récupération des Condensats d\'Ain Tsila','Tuesday-01-jj','Wednesday-10-jj',NULL,1,2),</v>
      </c>
    </row>
    <row r="154" spans="1:9" ht="20.100000000000001" customHeight="1" x14ac:dyDescent="0.25">
      <c r="A154" s="3">
        <v>151</v>
      </c>
      <c r="B154" s="8" t="s">
        <v>310</v>
      </c>
      <c r="C154" s="5" t="s">
        <v>311</v>
      </c>
      <c r="D154" s="6">
        <v>37565</v>
      </c>
      <c r="E154" s="6">
        <v>38545</v>
      </c>
      <c r="F154" s="7" t="s">
        <v>20</v>
      </c>
      <c r="G154" s="7">
        <v>1</v>
      </c>
      <c r="H154" s="7">
        <v>2</v>
      </c>
      <c r="I154" s="5" t="str">
        <f t="shared" si="3"/>
        <v>(151,'CRP-MRK','Unité de Condensats d\'El Merk','Tuesday-11-jj','Tuesday-07-jj',NULL,1,2),</v>
      </c>
    </row>
    <row r="155" spans="1:9" ht="20.100000000000001" customHeight="1" x14ac:dyDescent="0.25">
      <c r="A155" s="3">
        <v>152</v>
      </c>
      <c r="B155" s="8" t="s">
        <v>312</v>
      </c>
      <c r="C155" s="5" t="s">
        <v>313</v>
      </c>
      <c r="D155" s="6">
        <v>37060</v>
      </c>
      <c r="E155" s="6">
        <v>38042</v>
      </c>
      <c r="F155" s="7" t="s">
        <v>20</v>
      </c>
      <c r="G155" s="7">
        <v>1</v>
      </c>
      <c r="H155" s="7">
        <v>2</v>
      </c>
      <c r="I155" s="5" t="str">
        <f t="shared" si="3"/>
        <v>(152,'CRP-MNS','Usine de récupération des Condensats d\'In Amenas','Monday-06-jj','Wednesday-02-jj',NULL,1,2),</v>
      </c>
    </row>
    <row r="156" spans="1:9" ht="20.100000000000001" customHeight="1" x14ac:dyDescent="0.25">
      <c r="A156" s="3">
        <v>153</v>
      </c>
      <c r="B156" s="8" t="s">
        <v>314</v>
      </c>
      <c r="C156" s="5" t="s">
        <v>315</v>
      </c>
      <c r="D156" s="6">
        <v>30061</v>
      </c>
      <c r="E156" s="6">
        <v>31396</v>
      </c>
      <c r="F156" s="7" t="s">
        <v>20</v>
      </c>
      <c r="G156" s="7">
        <v>1</v>
      </c>
      <c r="H156" s="7">
        <v>2</v>
      </c>
      <c r="I156" s="5" t="str">
        <f t="shared" si="3"/>
        <v>(153,'LPG1-HRM','Unités GPL/Condensats de Hassi R\'Mel','Tuesday-04-jj','Sunday-12-jj',NULL,1,2),</v>
      </c>
    </row>
    <row r="157" spans="1:9" ht="20.100000000000001" customHeight="1" x14ac:dyDescent="0.25">
      <c r="A157" s="3">
        <v>154</v>
      </c>
      <c r="B157" s="8" t="s">
        <v>316</v>
      </c>
      <c r="C157" s="5" t="s">
        <v>317</v>
      </c>
      <c r="D157" s="6">
        <v>33095</v>
      </c>
      <c r="E157" s="6">
        <v>34140</v>
      </c>
      <c r="F157" s="7" t="s">
        <v>20</v>
      </c>
      <c r="G157" s="7">
        <v>1</v>
      </c>
      <c r="H157" s="7">
        <v>2</v>
      </c>
      <c r="I157" s="5" t="str">
        <f t="shared" si="3"/>
        <v>(154,'LPG2-HRM','Complexe de récupération Centrale GPL de Hassi R\'Mel','Friday-08-jj','Sunday-06-jj',NULL,1,2),</v>
      </c>
    </row>
    <row r="158" spans="1:9" ht="20.100000000000001" customHeight="1" x14ac:dyDescent="0.25">
      <c r="A158" s="3">
        <v>155</v>
      </c>
      <c r="B158" s="8" t="s">
        <v>318</v>
      </c>
      <c r="C158" s="5" t="s">
        <v>319</v>
      </c>
      <c r="D158" s="6">
        <v>35018</v>
      </c>
      <c r="E158" s="6">
        <v>36060</v>
      </c>
      <c r="F158" s="7" t="s">
        <v>20</v>
      </c>
      <c r="G158" s="7">
        <v>1</v>
      </c>
      <c r="H158" s="7">
        <v>2</v>
      </c>
      <c r="I158" s="5" t="str">
        <f t="shared" si="3"/>
        <v>(155,'LPGE-HRM','Complexe de récupération d\'Éthane de Hassi R\'Mel','Wednesday-11-jj','Tuesday-09-jj',NULL,1,2),</v>
      </c>
    </row>
    <row r="159" spans="1:9" ht="20.100000000000001" customHeight="1" x14ac:dyDescent="0.25">
      <c r="A159" s="3">
        <v>156</v>
      </c>
      <c r="B159" s="8" t="s">
        <v>320</v>
      </c>
      <c r="C159" s="5" t="s">
        <v>321</v>
      </c>
      <c r="D159" s="6">
        <v>38801</v>
      </c>
      <c r="E159" s="6">
        <v>39843</v>
      </c>
      <c r="F159" s="7" t="s">
        <v>20</v>
      </c>
      <c r="G159" s="7">
        <v>1</v>
      </c>
      <c r="H159" s="7">
        <v>2</v>
      </c>
      <c r="I159" s="5" t="str">
        <f t="shared" si="3"/>
        <v>(156,'LPG-TFT','Complexe de récupération GPL de Tin-Fouyé','Saturday-03-jj','Friday-01-jj',NULL,1,2),</v>
      </c>
    </row>
    <row r="160" spans="1:9" ht="20.100000000000001" customHeight="1" x14ac:dyDescent="0.25">
      <c r="A160" s="3">
        <v>157</v>
      </c>
      <c r="B160" s="8" t="s">
        <v>322</v>
      </c>
      <c r="C160" s="5" t="s">
        <v>323</v>
      </c>
      <c r="D160" s="6">
        <v>45089</v>
      </c>
      <c r="E160" s="6">
        <v>46009</v>
      </c>
      <c r="F160" s="7" t="s">
        <v>20</v>
      </c>
      <c r="G160" s="7">
        <v>1</v>
      </c>
      <c r="H160" s="7">
        <v>2</v>
      </c>
      <c r="I160" s="5" t="str">
        <f t="shared" si="3"/>
        <v>(157,'LPG-TSL','Complexe de récupération GPL d\'Ain Tsila','Monday-06-jj','Thursday-12-jj',NULL,1,2),</v>
      </c>
    </row>
    <row r="161" spans="1:9" ht="20.100000000000001" customHeight="1" x14ac:dyDescent="0.25">
      <c r="A161" s="3">
        <v>158</v>
      </c>
      <c r="B161" s="8" t="s">
        <v>324</v>
      </c>
      <c r="C161" s="5" t="s">
        <v>325</v>
      </c>
      <c r="D161" s="6">
        <v>23788</v>
      </c>
      <c r="E161" s="6">
        <v>24775</v>
      </c>
      <c r="F161" s="7" t="s">
        <v>20</v>
      </c>
      <c r="G161" s="7">
        <v>1</v>
      </c>
      <c r="H161" s="7">
        <v>10</v>
      </c>
      <c r="I161" s="5" t="str">
        <f t="shared" si="3"/>
        <v>(158,'OZ1','Pipeline OZ1','Monday-02-jj','Monday-10-jj',NULL,1,10),</v>
      </c>
    </row>
    <row r="162" spans="1:9" ht="20.100000000000001" customHeight="1" x14ac:dyDescent="0.25">
      <c r="A162" s="3">
        <v>159</v>
      </c>
      <c r="B162" s="8" t="s">
        <v>326</v>
      </c>
      <c r="C162" s="5" t="s">
        <v>327</v>
      </c>
      <c r="D162" s="7" t="s">
        <v>328</v>
      </c>
      <c r="E162" s="7" t="s">
        <v>328</v>
      </c>
      <c r="F162" s="7" t="s">
        <v>20</v>
      </c>
      <c r="G162" s="7">
        <v>1</v>
      </c>
      <c r="H162" s="7">
        <v>10</v>
      </c>
      <c r="I162" s="5" t="str">
        <f t="shared" si="3"/>
        <v>(159,'OZ2','Pipeline OZ2','Monday-08-jj','Monday-08-jj',NULL,1,10),</v>
      </c>
    </row>
    <row r="163" spans="1:9" ht="20.100000000000001" customHeight="1" x14ac:dyDescent="0.25">
      <c r="A163" s="3">
        <v>160</v>
      </c>
      <c r="B163" s="8" t="s">
        <v>329</v>
      </c>
      <c r="C163" s="5" t="s">
        <v>330</v>
      </c>
      <c r="D163" s="7" t="s">
        <v>331</v>
      </c>
      <c r="E163" s="7" t="s">
        <v>331</v>
      </c>
      <c r="F163" s="7" t="s">
        <v>20</v>
      </c>
      <c r="G163" s="7">
        <v>1</v>
      </c>
      <c r="H163" s="7">
        <v>10</v>
      </c>
      <c r="I163" s="5" t="str">
        <f t="shared" si="3"/>
        <v>(160,'OK1','Pipeline OK1','Saturday-01-jj','Saturday-01-jj',NULL,1,10),</v>
      </c>
    </row>
    <row r="164" spans="1:9" ht="20.100000000000001" customHeight="1" x14ac:dyDescent="0.25">
      <c r="A164" s="3">
        <v>161</v>
      </c>
      <c r="B164" s="8" t="s">
        <v>332</v>
      </c>
      <c r="C164" s="5" t="s">
        <v>333</v>
      </c>
      <c r="D164" s="6">
        <v>21064</v>
      </c>
      <c r="E164" s="6">
        <v>21889</v>
      </c>
      <c r="F164" s="7" t="s">
        <v>20</v>
      </c>
      <c r="G164" s="7">
        <v>1</v>
      </c>
      <c r="H164" s="7">
        <v>10</v>
      </c>
      <c r="I164" s="5" t="str">
        <f t="shared" si="3"/>
        <v>(161,'OB1','Pipeline OB1','Sunday-09-jj','Saturday-12-jj',NULL,1,10),</v>
      </c>
    </row>
    <row r="165" spans="1:9" ht="20.100000000000001" customHeight="1" x14ac:dyDescent="0.25">
      <c r="A165" s="3">
        <v>162</v>
      </c>
      <c r="B165" s="8" t="s">
        <v>334</v>
      </c>
      <c r="C165" s="5" t="s">
        <v>335</v>
      </c>
      <c r="D165" s="6">
        <v>35236</v>
      </c>
      <c r="E165" s="6">
        <v>36479</v>
      </c>
      <c r="F165" s="7" t="s">
        <v>20</v>
      </c>
      <c r="G165" s="7">
        <v>1</v>
      </c>
      <c r="H165" s="7">
        <v>10</v>
      </c>
      <c r="I165" s="5" t="str">
        <f t="shared" si="3"/>
        <v>(162,'ROB1-01','Pipeline ROB1-01','Thursday-06-jj','Monday-11-jj',NULL,1,10),</v>
      </c>
    </row>
    <row r="166" spans="1:9" ht="20.100000000000001" customHeight="1" x14ac:dyDescent="0.25">
      <c r="A166" s="3">
        <v>163</v>
      </c>
      <c r="B166" s="8" t="s">
        <v>336</v>
      </c>
      <c r="C166" s="5" t="s">
        <v>337</v>
      </c>
      <c r="D166" s="6">
        <v>36595</v>
      </c>
      <c r="E166" s="6">
        <v>37855</v>
      </c>
      <c r="F166" s="7" t="s">
        <v>20</v>
      </c>
      <c r="G166" s="7">
        <v>1</v>
      </c>
      <c r="H166" s="7">
        <v>10</v>
      </c>
      <c r="I166" s="5" t="str">
        <f t="shared" si="3"/>
        <v>(163,'ROB1-02','Pipeline ROB1-02','Friday-03-jj','Friday-08-jj',NULL,1,10),</v>
      </c>
    </row>
    <row r="167" spans="1:9" ht="20.100000000000001" customHeight="1" x14ac:dyDescent="0.25">
      <c r="A167" s="3">
        <v>164</v>
      </c>
      <c r="B167" s="8" t="s">
        <v>338</v>
      </c>
      <c r="C167" s="5" t="s">
        <v>339</v>
      </c>
      <c r="D167" s="7" t="s">
        <v>340</v>
      </c>
      <c r="E167" s="7" t="s">
        <v>340</v>
      </c>
      <c r="F167" s="7" t="s">
        <v>20</v>
      </c>
      <c r="G167" s="7">
        <v>1</v>
      </c>
      <c r="H167" s="7">
        <v>10</v>
      </c>
      <c r="I167" s="5" t="str">
        <f t="shared" si="3"/>
        <v>(164,'OG1','Pipeline OG1','Monday-07-jj','Monday-07-jj',NULL,1,10),</v>
      </c>
    </row>
    <row r="168" spans="1:9" ht="20.100000000000001" customHeight="1" x14ac:dyDescent="0.25">
      <c r="A168" s="3">
        <v>165</v>
      </c>
      <c r="B168" s="8" t="s">
        <v>341</v>
      </c>
      <c r="C168" s="5" t="s">
        <v>342</v>
      </c>
      <c r="D168" s="6">
        <v>21337</v>
      </c>
      <c r="E168" s="6">
        <v>21930</v>
      </c>
      <c r="F168" s="7" t="s">
        <v>20</v>
      </c>
      <c r="G168" s="7">
        <v>1</v>
      </c>
      <c r="H168" s="7">
        <v>10</v>
      </c>
      <c r="I168" s="5" t="str">
        <f t="shared" si="3"/>
        <v>(165,'OT1','Pipeline OT1','Sunday-06-jj','Friday-01-jj',NULL,1,10),</v>
      </c>
    </row>
    <row r="169" spans="1:9" ht="20.100000000000001" customHeight="1" x14ac:dyDescent="0.25">
      <c r="A169" s="3">
        <v>166</v>
      </c>
      <c r="B169" s="8" t="s">
        <v>343</v>
      </c>
      <c r="C169" s="5" t="s">
        <v>344</v>
      </c>
      <c r="D169" s="6" t="s">
        <v>345</v>
      </c>
      <c r="E169" s="6" t="s">
        <v>345</v>
      </c>
      <c r="F169" s="7" t="s">
        <v>20</v>
      </c>
      <c r="G169" s="7">
        <v>1</v>
      </c>
      <c r="H169" s="7">
        <v>10</v>
      </c>
      <c r="I169" s="5" t="str">
        <f t="shared" si="3"/>
        <v>(166,'OH1','Pipeline OH1','Friday-01-jj','Friday-01-jj',NULL,1,10),</v>
      </c>
    </row>
    <row r="170" spans="1:9" ht="20.100000000000001" customHeight="1" x14ac:dyDescent="0.25">
      <c r="A170" s="3">
        <v>167</v>
      </c>
      <c r="B170" s="4" t="s">
        <v>346</v>
      </c>
      <c r="C170" s="5" t="s">
        <v>347</v>
      </c>
      <c r="D170" s="6">
        <v>38582</v>
      </c>
      <c r="E170" s="6">
        <v>39624</v>
      </c>
      <c r="F170" s="7" t="s">
        <v>20</v>
      </c>
      <c r="G170" s="7">
        <v>1</v>
      </c>
      <c r="H170" s="7">
        <v>10</v>
      </c>
      <c r="I170" s="5" t="str">
        <f t="shared" si="3"/>
        <v>(167,'ROH1','Pipeline ROH1','Thursday-08-jj','Wednesday-06-jj',NULL,1,10),</v>
      </c>
    </row>
    <row r="171" spans="1:9" ht="20.100000000000001" customHeight="1" x14ac:dyDescent="0.25">
      <c r="A171" s="3">
        <v>168</v>
      </c>
      <c r="B171" s="8" t="s">
        <v>348</v>
      </c>
      <c r="C171" s="5" t="s">
        <v>349</v>
      </c>
      <c r="D171" s="6" t="s">
        <v>350</v>
      </c>
      <c r="E171" s="6" t="s">
        <v>350</v>
      </c>
      <c r="F171" s="7" t="s">
        <v>20</v>
      </c>
      <c r="G171" s="7">
        <v>1</v>
      </c>
      <c r="H171" s="7">
        <v>10</v>
      </c>
      <c r="I171" s="5" t="str">
        <f t="shared" si="3"/>
        <v>(168,'OH2','Pipeline OH2','Monday-04-jj','Monday-04-jj',NULL,1,10),</v>
      </c>
    </row>
    <row r="172" spans="1:9" ht="20.100000000000001" customHeight="1" x14ac:dyDescent="0.25">
      <c r="A172" s="3">
        <v>169</v>
      </c>
      <c r="B172" s="8" t="s">
        <v>351</v>
      </c>
      <c r="C172" s="5" t="s">
        <v>352</v>
      </c>
      <c r="D172" s="6">
        <v>35476</v>
      </c>
      <c r="E172" s="6">
        <v>37026</v>
      </c>
      <c r="F172" s="7" t="s">
        <v>20</v>
      </c>
      <c r="G172" s="7">
        <v>1</v>
      </c>
      <c r="H172" s="7">
        <v>10</v>
      </c>
      <c r="I172" s="5" t="str">
        <f t="shared" si="3"/>
        <v>(169,'OH3','Pipeline OH3','Saturday-02-jj','Tuesday-05-jj',NULL,1,10),</v>
      </c>
    </row>
    <row r="173" spans="1:9" ht="20.100000000000001" customHeight="1" x14ac:dyDescent="0.25">
      <c r="A173" s="3">
        <v>170</v>
      </c>
      <c r="B173" s="8" t="s">
        <v>353</v>
      </c>
      <c r="C173" s="5" t="s">
        <v>354</v>
      </c>
      <c r="D173" s="6" t="s">
        <v>355</v>
      </c>
      <c r="E173" s="6" t="s">
        <v>355</v>
      </c>
      <c r="F173" s="7" t="s">
        <v>20</v>
      </c>
      <c r="G173" s="7">
        <v>1</v>
      </c>
      <c r="H173" s="7">
        <v>10</v>
      </c>
      <c r="I173" s="5" t="str">
        <f t="shared" si="3"/>
        <v>(170,'OH4','Pipeline OH4','Sunday-01-jj','Sunday-01-jj',NULL,1,10),</v>
      </c>
    </row>
    <row r="174" spans="1:9" ht="20.100000000000001" customHeight="1" x14ac:dyDescent="0.25">
      <c r="A174" s="3">
        <v>171</v>
      </c>
      <c r="B174" s="8" t="s">
        <v>356</v>
      </c>
      <c r="C174" s="5" t="s">
        <v>357</v>
      </c>
      <c r="D174" s="6" t="s">
        <v>358</v>
      </c>
      <c r="E174" s="6" t="s">
        <v>358</v>
      </c>
      <c r="F174" s="7" t="s">
        <v>20</v>
      </c>
      <c r="G174" s="7">
        <v>1</v>
      </c>
      <c r="H174" s="7">
        <v>10</v>
      </c>
      <c r="I174" s="5" t="str">
        <f t="shared" si="3"/>
        <v>(171,'OD1','Pipeline OD1','Wednesday-03-jj','Wednesday-03-jj',NULL,1,10),</v>
      </c>
    </row>
    <row r="175" spans="1:9" ht="20.100000000000001" customHeight="1" x14ac:dyDescent="0.25">
      <c r="A175" s="3">
        <v>172</v>
      </c>
      <c r="B175" s="8" t="s">
        <v>359</v>
      </c>
      <c r="C175" s="5" t="s">
        <v>360</v>
      </c>
      <c r="D175" s="6">
        <v>38457</v>
      </c>
      <c r="E175" s="6">
        <v>39721</v>
      </c>
      <c r="F175" s="7" t="s">
        <v>20</v>
      </c>
      <c r="G175" s="7">
        <v>1</v>
      </c>
      <c r="H175" s="7">
        <v>10</v>
      </c>
      <c r="I175" s="5" t="str">
        <f t="shared" si="3"/>
        <v>(172,'ROD1','Pipeline ROD1','Friday-04-jj','Tuesday-09-jj',NULL,1,10),</v>
      </c>
    </row>
    <row r="176" spans="1:9" ht="20.100000000000001" customHeight="1" x14ac:dyDescent="0.25">
      <c r="A176" s="3">
        <v>173</v>
      </c>
      <c r="B176" s="8" t="s">
        <v>361</v>
      </c>
      <c r="C176" s="5" t="s">
        <v>362</v>
      </c>
      <c r="D176" s="6">
        <v>38970</v>
      </c>
      <c r="E176" s="6">
        <v>39921</v>
      </c>
      <c r="F176" s="7" t="s">
        <v>20</v>
      </c>
      <c r="G176" s="7">
        <v>1</v>
      </c>
      <c r="H176" s="7">
        <v>10</v>
      </c>
      <c r="I176" s="5" t="str">
        <f t="shared" si="3"/>
        <v>(173,'OD2','Pipeline OD2','Sunday-09-jj','Saturday-04-jj',NULL,1,10),</v>
      </c>
    </row>
    <row r="177" spans="1:9" ht="20.100000000000001" customHeight="1" x14ac:dyDescent="0.25">
      <c r="A177" s="3">
        <v>174</v>
      </c>
      <c r="B177" s="8" t="s">
        <v>363</v>
      </c>
      <c r="C177" s="5" t="s">
        <v>364</v>
      </c>
      <c r="D177" s="6">
        <v>39380</v>
      </c>
      <c r="E177" s="6">
        <v>40410</v>
      </c>
      <c r="F177" s="7" t="s">
        <v>20</v>
      </c>
      <c r="G177" s="7">
        <v>1</v>
      </c>
      <c r="H177" s="7">
        <v>10</v>
      </c>
      <c r="I177" s="5" t="str">
        <f t="shared" si="3"/>
        <v>(174,'OD3','Pipeline OD3','Thursday-10-jj','Friday-08-jj',NULL,1,10),</v>
      </c>
    </row>
    <row r="178" spans="1:9" ht="20.100000000000001" customHeight="1" x14ac:dyDescent="0.25">
      <c r="A178" s="3">
        <v>175</v>
      </c>
      <c r="B178" s="8" t="s">
        <v>365</v>
      </c>
      <c r="C178" s="5" t="s">
        <v>366</v>
      </c>
      <c r="D178" s="6" t="s">
        <v>367</v>
      </c>
      <c r="E178" s="6" t="s">
        <v>367</v>
      </c>
      <c r="F178" s="7" t="s">
        <v>20</v>
      </c>
      <c r="G178" s="7">
        <v>1</v>
      </c>
      <c r="H178" s="7">
        <v>10</v>
      </c>
      <c r="I178" s="5" t="str">
        <f t="shared" si="3"/>
        <v>(175,'NZ1','Pipeline NZ1','Wednesday-11-jj','Wednesday-11-jj',NULL,1,10),</v>
      </c>
    </row>
    <row r="179" spans="1:9" ht="20.100000000000001" customHeight="1" x14ac:dyDescent="0.25">
      <c r="A179" s="3">
        <v>176</v>
      </c>
      <c r="B179" s="8" t="s">
        <v>368</v>
      </c>
      <c r="C179" s="5" t="s">
        <v>369</v>
      </c>
      <c r="D179" s="6" t="s">
        <v>370</v>
      </c>
      <c r="E179" s="6" t="s">
        <v>370</v>
      </c>
      <c r="F179" s="7" t="s">
        <v>20</v>
      </c>
      <c r="G179" s="7">
        <v>1</v>
      </c>
      <c r="H179" s="7">
        <v>10</v>
      </c>
      <c r="I179" s="5" t="str">
        <f t="shared" si="3"/>
        <v>(176,'NK1','Pipeline NK1','Tuesday-08-jj','Tuesday-08-jj',NULL,1,10),</v>
      </c>
    </row>
    <row r="180" spans="1:9" ht="20.100000000000001" customHeight="1" x14ac:dyDescent="0.25">
      <c r="A180" s="3">
        <v>177</v>
      </c>
      <c r="B180" s="8" t="s">
        <v>371</v>
      </c>
      <c r="C180" s="5" t="s">
        <v>372</v>
      </c>
      <c r="D180" s="6" t="s">
        <v>373</v>
      </c>
      <c r="E180" s="6" t="s">
        <v>373</v>
      </c>
      <c r="F180" s="7" t="s">
        <v>20</v>
      </c>
      <c r="G180" s="7">
        <v>1</v>
      </c>
      <c r="H180" s="7">
        <v>10</v>
      </c>
      <c r="I180" s="5" t="str">
        <f t="shared" si="3"/>
        <v>(177,'NH2','Pipeline NH2','Friday-01-jj','Friday-01-jj',NULL,1,10),</v>
      </c>
    </row>
    <row r="181" spans="1:9" ht="20.100000000000001" customHeight="1" x14ac:dyDescent="0.25">
      <c r="A181" s="3">
        <v>178</v>
      </c>
      <c r="B181" s="8" t="s">
        <v>374</v>
      </c>
      <c r="C181" s="5" t="s">
        <v>375</v>
      </c>
      <c r="D181" s="19">
        <v>37639</v>
      </c>
      <c r="E181" s="19">
        <v>38647</v>
      </c>
      <c r="F181" s="7" t="s">
        <v>20</v>
      </c>
      <c r="G181" s="7">
        <v>1</v>
      </c>
      <c r="H181" s="7">
        <v>10</v>
      </c>
      <c r="I181" s="5" t="str">
        <f t="shared" si="3"/>
        <v>(178,'LNZ1','Pipeline LNZ1','Saturday-01-jj','Saturday-10-jj',NULL,1,10),</v>
      </c>
    </row>
    <row r="182" spans="1:9" ht="20.100000000000001" customHeight="1" x14ac:dyDescent="0.25">
      <c r="A182" s="3">
        <v>179</v>
      </c>
      <c r="B182" s="8" t="s">
        <v>376</v>
      </c>
      <c r="C182" s="5" t="s">
        <v>377</v>
      </c>
      <c r="D182" s="6" t="s">
        <v>378</v>
      </c>
      <c r="E182" s="6" t="s">
        <v>378</v>
      </c>
      <c r="F182" s="7" t="s">
        <v>20</v>
      </c>
      <c r="G182" s="7">
        <v>1</v>
      </c>
      <c r="H182" s="7">
        <v>10</v>
      </c>
      <c r="I182" s="5" t="str">
        <f t="shared" si="3"/>
        <v>(179,'LZ1','Pipeline LZ1','Wednesday-02-jj','Wednesday-02-jj',NULL,1,10),</v>
      </c>
    </row>
    <row r="183" spans="1:9" ht="20.100000000000001" customHeight="1" x14ac:dyDescent="0.25">
      <c r="A183" s="3">
        <v>180</v>
      </c>
      <c r="B183" s="8" t="s">
        <v>379</v>
      </c>
      <c r="C183" s="5" t="s">
        <v>380</v>
      </c>
      <c r="D183" s="6" t="s">
        <v>381</v>
      </c>
      <c r="E183" s="6" t="s">
        <v>381</v>
      </c>
      <c r="F183" s="7" t="s">
        <v>20</v>
      </c>
      <c r="G183" s="7">
        <v>1</v>
      </c>
      <c r="H183" s="7">
        <v>10</v>
      </c>
      <c r="I183" s="5" t="str">
        <f t="shared" si="3"/>
        <v>(180,'LZ2','Pipeline LZ2','Monday-11-jj','Monday-11-jj',NULL,1,10),</v>
      </c>
    </row>
    <row r="184" spans="1:9" ht="20.100000000000001" customHeight="1" x14ac:dyDescent="0.25">
      <c r="A184" s="3">
        <v>181</v>
      </c>
      <c r="B184" s="8" t="s">
        <v>382</v>
      </c>
      <c r="C184" s="5" t="s">
        <v>383</v>
      </c>
      <c r="D184" s="6" t="s">
        <v>384</v>
      </c>
      <c r="E184" s="6" t="s">
        <v>384</v>
      </c>
      <c r="F184" s="7" t="s">
        <v>20</v>
      </c>
      <c r="G184" s="7">
        <v>1</v>
      </c>
      <c r="H184" s="7">
        <v>10</v>
      </c>
      <c r="I184" s="5" t="str">
        <f t="shared" si="3"/>
        <v>(181,'LR1','Pipeline LR1','Monday-01-jj','Monday-01-jj',NULL,1,10),</v>
      </c>
    </row>
    <row r="185" spans="1:9" ht="20.100000000000001" customHeight="1" x14ac:dyDescent="0.25">
      <c r="A185" s="3">
        <v>182</v>
      </c>
      <c r="B185" s="8" t="s">
        <v>385</v>
      </c>
      <c r="C185" s="5" t="s">
        <v>386</v>
      </c>
      <c r="D185" s="6" t="s">
        <v>387</v>
      </c>
      <c r="E185" s="7" t="s">
        <v>387</v>
      </c>
      <c r="F185" s="7" t="s">
        <v>20</v>
      </c>
      <c r="G185" s="7">
        <v>1</v>
      </c>
      <c r="H185" s="7">
        <v>10</v>
      </c>
      <c r="I185" s="5" t="str">
        <f t="shared" si="3"/>
        <v>(182,'DLR1','Pipeline DLR1','Monday-10-jj','Monday-10-jj',NULL,1,10),</v>
      </c>
    </row>
    <row r="186" spans="1:9" ht="20.100000000000001" customHeight="1" x14ac:dyDescent="0.25">
      <c r="A186" s="3">
        <v>183</v>
      </c>
      <c r="B186" s="8" t="s">
        <v>388</v>
      </c>
      <c r="C186" s="5" t="s">
        <v>389</v>
      </c>
      <c r="D186" s="6" t="s">
        <v>390</v>
      </c>
      <c r="E186" s="7" t="s">
        <v>390</v>
      </c>
      <c r="F186" s="7" t="s">
        <v>20</v>
      </c>
      <c r="G186" s="7">
        <v>1</v>
      </c>
      <c r="H186" s="7">
        <v>10</v>
      </c>
      <c r="I186" s="5" t="str">
        <f t="shared" si="3"/>
        <v>(183,'ELR1','Pipeline ELR1','Wednesday-01-jj','Wednesday-01-jj',NULL,1,10),</v>
      </c>
    </row>
    <row r="187" spans="1:9" ht="20.100000000000001" customHeight="1" x14ac:dyDescent="0.25">
      <c r="A187" s="3">
        <v>184</v>
      </c>
      <c r="B187" s="8" t="s">
        <v>391</v>
      </c>
      <c r="C187" s="5" t="s">
        <v>392</v>
      </c>
      <c r="D187" s="6">
        <v>21976</v>
      </c>
      <c r="E187" s="6">
        <v>22372</v>
      </c>
      <c r="F187" s="7" t="s">
        <v>20</v>
      </c>
      <c r="G187" s="7">
        <v>1</v>
      </c>
      <c r="H187" s="7">
        <v>10</v>
      </c>
      <c r="I187" s="5" t="str">
        <f t="shared" si="3"/>
        <v>(184,'GZ0','Pipeline GZ0','Tuesday-03-jj','Saturday-04-jj',NULL,1,10),</v>
      </c>
    </row>
    <row r="188" spans="1:9" ht="20.100000000000001" customHeight="1" x14ac:dyDescent="0.25">
      <c r="A188" s="3">
        <v>185</v>
      </c>
      <c r="B188" s="8" t="s">
        <v>393</v>
      </c>
      <c r="C188" s="5" t="s">
        <v>394</v>
      </c>
      <c r="D188" s="6" t="s">
        <v>395</v>
      </c>
      <c r="E188" s="7" t="s">
        <v>395</v>
      </c>
      <c r="F188" s="7" t="s">
        <v>20</v>
      </c>
      <c r="G188" s="7">
        <v>1</v>
      </c>
      <c r="H188" s="7">
        <v>10</v>
      </c>
      <c r="I188" s="5" t="str">
        <f t="shared" si="3"/>
        <v>(185,'GZ0 Bis','Pipeline GZ0 Bis','Thursday-09-jj','Thursday-09-jj',NULL,1,10),</v>
      </c>
    </row>
    <row r="189" spans="1:9" ht="20.100000000000001" customHeight="1" x14ac:dyDescent="0.25">
      <c r="A189" s="3">
        <v>186</v>
      </c>
      <c r="B189" s="8" t="s">
        <v>396</v>
      </c>
      <c r="C189" s="5" t="s">
        <v>397</v>
      </c>
      <c r="D189" s="6" t="s">
        <v>398</v>
      </c>
      <c r="E189" s="7" t="s">
        <v>398</v>
      </c>
      <c r="F189" s="7" t="s">
        <v>20</v>
      </c>
      <c r="G189" s="7">
        <v>1</v>
      </c>
      <c r="H189" s="7">
        <v>10</v>
      </c>
      <c r="I189" s="5" t="str">
        <f t="shared" si="3"/>
        <v>(186,'GZ1','Pipeline GZ1','Thursday-01-jj','Thursday-01-jj',NULL,1,10),</v>
      </c>
    </row>
    <row r="190" spans="1:9" ht="20.100000000000001" customHeight="1" x14ac:dyDescent="0.25">
      <c r="A190" s="3">
        <v>187</v>
      </c>
      <c r="B190" s="8" t="s">
        <v>399</v>
      </c>
      <c r="C190" s="5" t="s">
        <v>400</v>
      </c>
      <c r="D190" s="6" t="s">
        <v>345</v>
      </c>
      <c r="E190" s="7" t="s">
        <v>345</v>
      </c>
      <c r="F190" s="7" t="s">
        <v>20</v>
      </c>
      <c r="G190" s="7">
        <v>1</v>
      </c>
      <c r="H190" s="7">
        <v>10</v>
      </c>
      <c r="I190" s="5" t="str">
        <f t="shared" si="3"/>
        <v>(187,'GZ2','Pipeline GZ2','Friday-01-jj','Friday-01-jj',NULL,1,10),</v>
      </c>
    </row>
    <row r="191" spans="1:9" ht="20.100000000000001" customHeight="1" x14ac:dyDescent="0.25">
      <c r="A191" s="3">
        <v>188</v>
      </c>
      <c r="B191" s="8" t="s">
        <v>401</v>
      </c>
      <c r="C191" s="5" t="s">
        <v>402</v>
      </c>
      <c r="D191" s="6">
        <v>37333</v>
      </c>
      <c r="E191" s="6">
        <v>38405</v>
      </c>
      <c r="F191" s="7" t="s">
        <v>20</v>
      </c>
      <c r="G191" s="7">
        <v>1</v>
      </c>
      <c r="H191" s="7">
        <v>10</v>
      </c>
      <c r="I191" s="5" t="str">
        <f t="shared" si="3"/>
        <v>(188,'RGZ2','Pipeline RGZ2','Monday-03-jj','Tuesday-02-jj',NULL,1,10),</v>
      </c>
    </row>
    <row r="192" spans="1:9" ht="20.100000000000001" customHeight="1" x14ac:dyDescent="0.25">
      <c r="A192" s="3">
        <v>189</v>
      </c>
      <c r="B192" s="8" t="s">
        <v>403</v>
      </c>
      <c r="C192" s="5" t="s">
        <v>404</v>
      </c>
      <c r="D192" s="6" t="s">
        <v>405</v>
      </c>
      <c r="E192" s="7" t="s">
        <v>405</v>
      </c>
      <c r="F192" s="7" t="s">
        <v>20</v>
      </c>
      <c r="G192" s="7">
        <v>1</v>
      </c>
      <c r="H192" s="7">
        <v>10</v>
      </c>
      <c r="I192" s="5" t="str">
        <f t="shared" si="3"/>
        <v>(189,'GZ3','Pipeline GZ3','Sunday-01-jj','Sunday-01-jj',NULL,1,10),</v>
      </c>
    </row>
    <row r="193" spans="1:9" ht="20.100000000000001" customHeight="1" x14ac:dyDescent="0.25">
      <c r="A193" s="3">
        <v>190</v>
      </c>
      <c r="B193" s="8" t="s">
        <v>406</v>
      </c>
      <c r="C193" s="5" t="s">
        <v>407</v>
      </c>
      <c r="D193" s="6" t="s">
        <v>408</v>
      </c>
      <c r="E193" s="7" t="s">
        <v>408</v>
      </c>
      <c r="F193" s="7" t="s">
        <v>20</v>
      </c>
      <c r="G193" s="7">
        <v>1</v>
      </c>
      <c r="H193" s="7">
        <v>10</v>
      </c>
      <c r="I193" s="5" t="str">
        <f t="shared" si="3"/>
        <v>(190,'RGZ3-01','Pipeline RGZ3-01','Monday-01-jj','Monday-01-jj',NULL,1,10),</v>
      </c>
    </row>
    <row r="194" spans="1:9" ht="20.100000000000001" customHeight="1" x14ac:dyDescent="0.25">
      <c r="A194" s="3">
        <v>191</v>
      </c>
      <c r="B194" s="8" t="s">
        <v>409</v>
      </c>
      <c r="C194" s="5" t="s">
        <v>410</v>
      </c>
      <c r="D194" s="6">
        <v>37753</v>
      </c>
      <c r="E194" s="6">
        <v>38949</v>
      </c>
      <c r="F194" s="7" t="s">
        <v>20</v>
      </c>
      <c r="G194" s="7">
        <v>1</v>
      </c>
      <c r="H194" s="7">
        <v>10</v>
      </c>
      <c r="I194" s="5" t="str">
        <f t="shared" si="3"/>
        <v>(191,'RGZ3-02','Pipeline RGZ3-02','Monday-05-jj','Sunday-08-jj',NULL,1,10),</v>
      </c>
    </row>
    <row r="195" spans="1:9" ht="20.100000000000001" customHeight="1" x14ac:dyDescent="0.25">
      <c r="A195" s="3">
        <v>192</v>
      </c>
      <c r="B195" s="8" t="s">
        <v>411</v>
      </c>
      <c r="C195" s="5" t="s">
        <v>412</v>
      </c>
      <c r="D195" s="6" t="s">
        <v>413</v>
      </c>
      <c r="E195" s="6" t="s">
        <v>413</v>
      </c>
      <c r="F195" s="7" t="s">
        <v>20</v>
      </c>
      <c r="G195" s="7">
        <v>1</v>
      </c>
      <c r="H195" s="7">
        <v>10</v>
      </c>
      <c r="I195" s="5" t="str">
        <f t="shared" si="3"/>
        <v>(192,'GZ4-01','Pipeline GZ4-01','Friday-04-jj','Friday-04-jj',NULL,1,10),</v>
      </c>
    </row>
    <row r="196" spans="1:9" ht="20.100000000000001" customHeight="1" x14ac:dyDescent="0.25">
      <c r="A196" s="3">
        <v>193</v>
      </c>
      <c r="B196" s="8" t="s">
        <v>414</v>
      </c>
      <c r="C196" s="5" t="s">
        <v>415</v>
      </c>
      <c r="D196" s="6">
        <v>38006</v>
      </c>
      <c r="E196" s="6">
        <v>39018</v>
      </c>
      <c r="F196" s="7" t="s">
        <v>20</v>
      </c>
      <c r="G196" s="7">
        <v>1</v>
      </c>
      <c r="H196" s="7">
        <v>10</v>
      </c>
      <c r="I196" s="5" t="str">
        <f t="shared" si="3"/>
        <v>(193,'GZ4-02','Pipeline GZ4-02','Tuesday-01-jj','Saturday-10-jj',NULL,1,10),</v>
      </c>
    </row>
    <row r="197" spans="1:9" ht="20.100000000000001" customHeight="1" x14ac:dyDescent="0.25">
      <c r="A197" s="3">
        <v>194</v>
      </c>
      <c r="B197" s="8" t="s">
        <v>416</v>
      </c>
      <c r="C197" s="5" t="s">
        <v>417</v>
      </c>
      <c r="D197" s="6">
        <v>38398</v>
      </c>
      <c r="E197" s="6">
        <v>39416</v>
      </c>
      <c r="F197" s="7" t="s">
        <v>20</v>
      </c>
      <c r="G197" s="7">
        <v>1</v>
      </c>
      <c r="H197" s="7">
        <v>10</v>
      </c>
      <c r="I197" s="5" t="str">
        <f t="shared" si="3"/>
        <v>(194,'GZ4-03','Pipeline GZ4-03','Tuesday-02-jj','Friday-11-jj',NULL,1,10),</v>
      </c>
    </row>
    <row r="198" spans="1:9" ht="20.100000000000001" customHeight="1" x14ac:dyDescent="0.25">
      <c r="A198" s="3">
        <v>195</v>
      </c>
      <c r="B198" s="8" t="s">
        <v>418</v>
      </c>
      <c r="C198" s="5" t="s">
        <v>419</v>
      </c>
      <c r="D198" s="6" t="s">
        <v>420</v>
      </c>
      <c r="E198" s="6" t="s">
        <v>421</v>
      </c>
      <c r="F198" s="7" t="s">
        <v>20</v>
      </c>
      <c r="G198" s="7">
        <v>1</v>
      </c>
      <c r="H198" s="7">
        <v>10</v>
      </c>
      <c r="I198" s="5" t="str">
        <f t="shared" si="3"/>
        <v>(195,'GK1','Pipeline GK1','Friday-01-jj','Sunday-01-jj',NULL,1,10),</v>
      </c>
    </row>
    <row r="199" spans="1:9" ht="20.100000000000001" customHeight="1" x14ac:dyDescent="0.25">
      <c r="A199" s="3">
        <v>196</v>
      </c>
      <c r="B199" s="8" t="s">
        <v>422</v>
      </c>
      <c r="C199" s="5" t="s">
        <v>423</v>
      </c>
      <c r="D199" s="6" t="s">
        <v>424</v>
      </c>
      <c r="E199" s="6" t="s">
        <v>425</v>
      </c>
      <c r="F199" s="7" t="s">
        <v>20</v>
      </c>
      <c r="G199" s="7">
        <v>1</v>
      </c>
      <c r="H199" s="7">
        <v>10</v>
      </c>
      <c r="I199" s="5" t="str">
        <f t="shared" si="3"/>
        <v>(196,'GK2','Pipeline GK2','Thursday-01-jj','Monday-01-jj',NULL,1,10),</v>
      </c>
    </row>
    <row r="200" spans="1:9" ht="20.100000000000001" customHeight="1" x14ac:dyDescent="0.25">
      <c r="A200" s="3">
        <v>197</v>
      </c>
      <c r="B200" s="8" t="s">
        <v>426</v>
      </c>
      <c r="C200" s="5" t="s">
        <v>427</v>
      </c>
      <c r="D200" s="6" t="s">
        <v>428</v>
      </c>
      <c r="E200" s="6" t="s">
        <v>428</v>
      </c>
      <c r="F200" s="7" t="s">
        <v>20</v>
      </c>
      <c r="G200" s="7">
        <v>1</v>
      </c>
      <c r="H200" s="7">
        <v>10</v>
      </c>
      <c r="I200" s="5" t="str">
        <f t="shared" si="3"/>
        <v>(197,'GK3-01','Pipeline GK3-01','Sunday-01-jj','Sunday-01-jj',NULL,1,10),</v>
      </c>
    </row>
    <row r="201" spans="1:9" ht="20.100000000000001" customHeight="1" x14ac:dyDescent="0.25">
      <c r="A201" s="3">
        <v>198</v>
      </c>
      <c r="B201" s="8" t="s">
        <v>429</v>
      </c>
      <c r="C201" s="5" t="s">
        <v>430</v>
      </c>
      <c r="D201" s="6">
        <v>37700</v>
      </c>
      <c r="E201" s="6">
        <v>38640</v>
      </c>
      <c r="F201" s="7" t="s">
        <v>20</v>
      </c>
      <c r="G201" s="7">
        <v>1</v>
      </c>
      <c r="H201" s="7">
        <v>10</v>
      </c>
      <c r="I201" s="5" t="str">
        <f t="shared" si="3"/>
        <v>(198,'GK3-02','Pipeline GK3-02','Thursday-03-jj','Saturday-10-jj',NULL,1,10),</v>
      </c>
    </row>
    <row r="202" spans="1:9" ht="20.100000000000001" customHeight="1" x14ac:dyDescent="0.25">
      <c r="A202" s="3">
        <v>199</v>
      </c>
      <c r="B202" s="8" t="s">
        <v>431</v>
      </c>
      <c r="C202" s="5" t="s">
        <v>432</v>
      </c>
      <c r="D202" s="6" t="s">
        <v>433</v>
      </c>
      <c r="E202" s="6" t="s">
        <v>433</v>
      </c>
      <c r="F202" s="7" t="s">
        <v>20</v>
      </c>
      <c r="G202" s="7">
        <v>1</v>
      </c>
      <c r="H202" s="7">
        <v>10</v>
      </c>
      <c r="I202" s="5" t="str">
        <f t="shared" si="3"/>
        <v>(199,'GG1','Pipeline GG1','Thursday-01-jj','Thursday-01-jj',NULL,1,10),</v>
      </c>
    </row>
    <row r="203" spans="1:9" ht="20.100000000000001" customHeight="1" x14ac:dyDescent="0.25">
      <c r="A203" s="3">
        <v>200</v>
      </c>
      <c r="B203" s="8" t="s">
        <v>434</v>
      </c>
      <c r="C203" s="5" t="s">
        <v>435</v>
      </c>
      <c r="D203" s="6" t="s">
        <v>436</v>
      </c>
      <c r="E203" s="6" t="s">
        <v>436</v>
      </c>
      <c r="F203" s="7" t="s">
        <v>20</v>
      </c>
      <c r="G203" s="7">
        <v>1</v>
      </c>
      <c r="H203" s="7">
        <v>10</v>
      </c>
      <c r="I203" s="5" t="str">
        <f t="shared" si="3"/>
        <v>(200,'RGG1','Pipeline RGG1','Tuesday-01-jj','Tuesday-01-jj',NULL,1,10),</v>
      </c>
    </row>
    <row r="204" spans="1:9" ht="20.100000000000001" customHeight="1" x14ac:dyDescent="0.25">
      <c r="A204" s="3">
        <v>201</v>
      </c>
      <c r="B204" s="8" t="s">
        <v>437</v>
      </c>
      <c r="C204" s="5" t="s">
        <v>438</v>
      </c>
      <c r="D204" s="6">
        <v>34222</v>
      </c>
      <c r="E204" s="6">
        <v>35389</v>
      </c>
      <c r="F204" s="7" t="s">
        <v>20</v>
      </c>
      <c r="G204" s="7">
        <v>1</v>
      </c>
      <c r="H204" s="7">
        <v>10</v>
      </c>
      <c r="I204" s="5" t="str">
        <f t="shared" si="3"/>
        <v>(201,'GM1','Pipeline GM1','Friday-09-jj','Wednesday-11-jj',NULL,1,10),</v>
      </c>
    </row>
    <row r="205" spans="1:9" ht="20.100000000000001" customHeight="1" x14ac:dyDescent="0.25">
      <c r="A205" s="3">
        <v>202</v>
      </c>
      <c r="B205" s="8" t="s">
        <v>439</v>
      </c>
      <c r="C205" s="5" t="s">
        <v>440</v>
      </c>
      <c r="D205" s="6" t="s">
        <v>441</v>
      </c>
      <c r="E205" s="6" t="s">
        <v>441</v>
      </c>
      <c r="F205" s="7" t="s">
        <v>20</v>
      </c>
      <c r="G205" s="7">
        <v>1</v>
      </c>
      <c r="H205" s="7">
        <v>10</v>
      </c>
      <c r="I205" s="5" t="str">
        <f t="shared" si="3"/>
        <v>(202,'GR1','Pipeline GR1','Wednesday-01-jj','Wednesday-01-jj',NULL,1,10),</v>
      </c>
    </row>
    <row r="206" spans="1:9" ht="20.100000000000001" customHeight="1" x14ac:dyDescent="0.25">
      <c r="A206" s="3">
        <v>203</v>
      </c>
      <c r="B206" s="8" t="s">
        <v>442</v>
      </c>
      <c r="C206" s="5" t="s">
        <v>443</v>
      </c>
      <c r="D206" s="6" t="s">
        <v>444</v>
      </c>
      <c r="E206" s="6" t="s">
        <v>444</v>
      </c>
      <c r="F206" s="7" t="s">
        <v>20</v>
      </c>
      <c r="G206" s="7">
        <v>1</v>
      </c>
      <c r="H206" s="7">
        <v>10</v>
      </c>
      <c r="I206" s="5" t="str">
        <f t="shared" si="3"/>
        <v>(203,'GR2','Pipeline GR2','Friday-01-jj','Friday-01-jj',NULL,1,10),</v>
      </c>
    </row>
    <row r="207" spans="1:9" ht="20.100000000000001" customHeight="1" x14ac:dyDescent="0.25">
      <c r="A207" s="3">
        <v>204</v>
      </c>
      <c r="B207" s="8" t="s">
        <v>445</v>
      </c>
      <c r="C207" s="5" t="s">
        <v>446</v>
      </c>
      <c r="D207" s="6">
        <v>38064</v>
      </c>
      <c r="E207" s="6">
        <v>39285</v>
      </c>
      <c r="F207" s="7" t="s">
        <v>20</v>
      </c>
      <c r="G207" s="7">
        <v>1</v>
      </c>
      <c r="H207" s="7">
        <v>10</v>
      </c>
      <c r="I207" s="5" t="str">
        <f t="shared" si="3"/>
        <v>(204,'GR3','Pipeline GR3','Thursday-03-jj','Sunday-07-jj',NULL,1,10),</v>
      </c>
    </row>
    <row r="208" spans="1:9" ht="20.100000000000001" customHeight="1" x14ac:dyDescent="0.25">
      <c r="A208" s="3">
        <v>205</v>
      </c>
      <c r="B208" s="8" t="s">
        <v>447</v>
      </c>
      <c r="C208" s="5" t="s">
        <v>448</v>
      </c>
      <c r="D208" s="6" t="s">
        <v>390</v>
      </c>
      <c r="E208" s="6" t="s">
        <v>390</v>
      </c>
      <c r="F208" s="7" t="s">
        <v>20</v>
      </c>
      <c r="G208" s="7">
        <v>1</v>
      </c>
      <c r="H208" s="7">
        <v>10</v>
      </c>
      <c r="I208" s="5" t="str">
        <f t="shared" ref="I208:I232" si="4">CONCATENATE("(",A208,",'",B208,"','",C208,"','",TEXT(D208,"aaaa-mm-jj"),"','",TEXT(E208,"aaaa-mm-jj"),"',",F208,",",G208,",",H208,"),")</f>
        <v>(205,'GR4','Pipeline GR4','Wednesday-01-jj','Wednesday-01-jj',NULL,1,10),</v>
      </c>
    </row>
    <row r="209" spans="1:9" ht="20.100000000000001" customHeight="1" x14ac:dyDescent="0.25">
      <c r="A209" s="3">
        <v>206</v>
      </c>
      <c r="B209" s="8" t="s">
        <v>449</v>
      </c>
      <c r="C209" s="5" t="s">
        <v>450</v>
      </c>
      <c r="D209" s="6" t="s">
        <v>451</v>
      </c>
      <c r="E209" s="6" t="s">
        <v>451</v>
      </c>
      <c r="F209" s="7" t="s">
        <v>20</v>
      </c>
      <c r="G209" s="7">
        <v>1</v>
      </c>
      <c r="H209" s="7">
        <v>10</v>
      </c>
      <c r="I209" s="5" t="str">
        <f t="shared" si="4"/>
        <v>(206,'GR5','Pipeline GR5','Thursday-06-jj','Thursday-06-jj',NULL,1,10),</v>
      </c>
    </row>
    <row r="210" spans="1:9" ht="20.100000000000001" customHeight="1" x14ac:dyDescent="0.25">
      <c r="A210" s="3">
        <v>207</v>
      </c>
      <c r="B210" s="8" t="s">
        <v>452</v>
      </c>
      <c r="C210" s="5" t="s">
        <v>453</v>
      </c>
      <c r="D210" s="6" t="s">
        <v>454</v>
      </c>
      <c r="E210" s="6" t="s">
        <v>454</v>
      </c>
      <c r="F210" s="7" t="s">
        <v>20</v>
      </c>
      <c r="G210" s="7">
        <v>1</v>
      </c>
      <c r="H210" s="7">
        <v>10</v>
      </c>
      <c r="I210" s="5" t="str">
        <f t="shared" si="4"/>
        <v>(207,'GR6','Pipeline GR6','Sunday-01-jj','Sunday-01-jj',NULL,1,10),</v>
      </c>
    </row>
    <row r="211" spans="1:9" ht="20.100000000000001" customHeight="1" x14ac:dyDescent="0.25">
      <c r="A211" s="3">
        <v>208</v>
      </c>
      <c r="B211" s="8" t="s">
        <v>455</v>
      </c>
      <c r="C211" s="5" t="s">
        <v>456</v>
      </c>
      <c r="D211" s="6" t="s">
        <v>457</v>
      </c>
      <c r="E211" s="6" t="s">
        <v>457</v>
      </c>
      <c r="F211" s="7" t="s">
        <v>20</v>
      </c>
      <c r="G211" s="7">
        <v>1</v>
      </c>
      <c r="H211" s="7">
        <v>10</v>
      </c>
      <c r="I211" s="5" t="str">
        <f t="shared" si="4"/>
        <v>(208,'GR7','Pipeline GR7','Sunday-12-jj','Sunday-12-jj',NULL,1,10),</v>
      </c>
    </row>
    <row r="212" spans="1:9" ht="20.100000000000001" customHeight="1" x14ac:dyDescent="0.25">
      <c r="A212" s="3">
        <v>209</v>
      </c>
      <c r="B212" s="8" t="s">
        <v>458</v>
      </c>
      <c r="C212" s="5" t="s">
        <v>459</v>
      </c>
      <c r="D212" s="6" t="s">
        <v>384</v>
      </c>
      <c r="E212" s="6" t="s">
        <v>384</v>
      </c>
      <c r="F212" s="7" t="s">
        <v>20</v>
      </c>
      <c r="G212" s="7">
        <v>1</v>
      </c>
      <c r="H212" s="7">
        <v>10</v>
      </c>
      <c r="I212" s="5" t="str">
        <f t="shared" si="4"/>
        <v>(209,'GPDF','Pipeline GPDF','Monday-01-jj','Monday-01-jj',NULL,1,10),</v>
      </c>
    </row>
    <row r="213" spans="1:9" ht="20.100000000000001" customHeight="1" x14ac:dyDescent="0.25">
      <c r="A213" s="3">
        <v>210</v>
      </c>
      <c r="B213" s="8" t="s">
        <v>460</v>
      </c>
      <c r="C213" s="5" t="s">
        <v>461</v>
      </c>
      <c r="D213" s="6" t="s">
        <v>462</v>
      </c>
      <c r="E213" s="6" t="s">
        <v>462</v>
      </c>
      <c r="F213" s="7" t="s">
        <v>20</v>
      </c>
      <c r="G213" s="7">
        <v>1</v>
      </c>
      <c r="H213" s="7">
        <v>10</v>
      </c>
      <c r="I213" s="5" t="str">
        <f t="shared" si="4"/>
        <v>(210,'EGPDF','Pipeline EGPDF','Friday-01-jj','Friday-01-jj',NULL,1,10),</v>
      </c>
    </row>
    <row r="214" spans="1:9" ht="20.100000000000001" customHeight="1" x14ac:dyDescent="0.25">
      <c r="A214" s="3">
        <v>211</v>
      </c>
      <c r="B214" s="8" t="s">
        <v>463</v>
      </c>
      <c r="C214" s="5" t="s">
        <v>464</v>
      </c>
      <c r="D214" s="6" t="s">
        <v>345</v>
      </c>
      <c r="E214" s="6" t="s">
        <v>345</v>
      </c>
      <c r="F214" s="7" t="s">
        <v>20</v>
      </c>
      <c r="G214" s="7">
        <v>1</v>
      </c>
      <c r="H214" s="7">
        <v>10</v>
      </c>
      <c r="I214" s="5" t="str">
        <f t="shared" si="4"/>
        <v>(211,'GO1','Pipeline GO1','Friday-01-jj','Friday-01-jj',NULL,1,10),</v>
      </c>
    </row>
    <row r="215" spans="1:9" ht="20.100000000000001" customHeight="1" x14ac:dyDescent="0.25">
      <c r="A215" s="3">
        <v>212</v>
      </c>
      <c r="B215" s="8" t="s">
        <v>465</v>
      </c>
      <c r="C215" s="5" t="s">
        <v>466</v>
      </c>
      <c r="D215" s="6" t="s">
        <v>467</v>
      </c>
      <c r="E215" s="7" t="s">
        <v>467</v>
      </c>
      <c r="F215" s="7" t="s">
        <v>20</v>
      </c>
      <c r="G215" s="7">
        <v>1</v>
      </c>
      <c r="H215" s="7">
        <v>10</v>
      </c>
      <c r="I215" s="5" t="str">
        <f t="shared" si="4"/>
        <v>(212,'GO2','Pipeline GO2','Thursday-01-jj','Thursday-01-jj',NULL,1,10),</v>
      </c>
    </row>
    <row r="216" spans="1:9" ht="20.100000000000001" customHeight="1" x14ac:dyDescent="0.25">
      <c r="A216" s="3">
        <v>213</v>
      </c>
      <c r="B216" s="8" t="s">
        <v>468</v>
      </c>
      <c r="C216" s="5" t="s">
        <v>469</v>
      </c>
      <c r="D216" s="6" t="s">
        <v>470</v>
      </c>
      <c r="E216" s="7" t="s">
        <v>471</v>
      </c>
      <c r="F216" s="7" t="s">
        <v>20</v>
      </c>
      <c r="G216" s="7">
        <v>1</v>
      </c>
      <c r="H216" s="7">
        <v>10</v>
      </c>
      <c r="I216" s="5" t="str">
        <f t="shared" si="4"/>
        <v>(213,'GO3','Pipeline GO3','Tuesday-01-jj','Friday-01-jj',NULL,1,10),</v>
      </c>
    </row>
    <row r="217" spans="1:9" ht="20.100000000000001" customHeight="1" x14ac:dyDescent="0.25">
      <c r="A217" s="3">
        <v>214</v>
      </c>
      <c r="B217" s="8" t="s">
        <v>472</v>
      </c>
      <c r="C217" s="5" t="s">
        <v>473</v>
      </c>
      <c r="D217" s="6">
        <v>24053</v>
      </c>
      <c r="E217" s="7" t="s">
        <v>20</v>
      </c>
      <c r="F217" s="7" t="s">
        <v>20</v>
      </c>
      <c r="G217" s="7">
        <v>1</v>
      </c>
      <c r="H217" s="7">
        <v>10</v>
      </c>
      <c r="I217" s="5" t="str">
        <f t="shared" si="4"/>
        <v>(214,'S01-OZ1','Segment 01-OZ1','Sunday-11-jj','NULL',NULL,1,10),</v>
      </c>
    </row>
    <row r="218" spans="1:9" ht="20.100000000000001" customHeight="1" x14ac:dyDescent="0.25">
      <c r="A218" s="3">
        <v>215</v>
      </c>
      <c r="B218" s="8" t="s">
        <v>474</v>
      </c>
      <c r="C218" s="5" t="s">
        <v>475</v>
      </c>
      <c r="D218" s="6">
        <v>24053</v>
      </c>
      <c r="E218" s="7" t="s">
        <v>20</v>
      </c>
      <c r="F218" s="7" t="s">
        <v>20</v>
      </c>
      <c r="G218" s="7">
        <v>1</v>
      </c>
      <c r="H218" s="7">
        <v>10</v>
      </c>
      <c r="I218" s="5" t="str">
        <f t="shared" si="4"/>
        <v>(215,'S02-OZ1','Segment 02-OZ1','Sunday-11-jj','NULL',NULL,1,10),</v>
      </c>
    </row>
    <row r="219" spans="1:9" ht="20.100000000000001" customHeight="1" x14ac:dyDescent="0.25">
      <c r="A219" s="3">
        <v>216</v>
      </c>
      <c r="B219" s="8" t="s">
        <v>476</v>
      </c>
      <c r="C219" s="5" t="s">
        <v>477</v>
      </c>
      <c r="D219" s="6">
        <v>24053</v>
      </c>
      <c r="E219" s="7" t="s">
        <v>20</v>
      </c>
      <c r="F219" s="7" t="s">
        <v>20</v>
      </c>
      <c r="G219" s="7">
        <v>1</v>
      </c>
      <c r="H219" s="7">
        <v>10</v>
      </c>
      <c r="I219" s="5" t="str">
        <f t="shared" si="4"/>
        <v>(216,'S03-OZ1','Segment 03-OZ1','Sunday-11-jj','NULL',NULL,1,10),</v>
      </c>
    </row>
    <row r="220" spans="1:9" ht="20.100000000000001" customHeight="1" x14ac:dyDescent="0.25">
      <c r="A220" s="3">
        <v>217</v>
      </c>
      <c r="B220" s="8" t="s">
        <v>478</v>
      </c>
      <c r="C220" s="5" t="s">
        <v>479</v>
      </c>
      <c r="D220" s="6">
        <v>24053</v>
      </c>
      <c r="E220" s="7" t="s">
        <v>20</v>
      </c>
      <c r="F220" s="7" t="s">
        <v>20</v>
      </c>
      <c r="G220" s="7">
        <v>1</v>
      </c>
      <c r="H220" s="7">
        <v>10</v>
      </c>
      <c r="I220" s="5" t="str">
        <f t="shared" si="4"/>
        <v>(217,'S04-OZ1','Segment 04-OZ1','Sunday-11-jj','NULL',NULL,1,10),</v>
      </c>
    </row>
    <row r="221" spans="1:9" ht="20.100000000000001" customHeight="1" x14ac:dyDescent="0.25">
      <c r="A221" s="3">
        <v>218</v>
      </c>
      <c r="B221" s="8" t="s">
        <v>480</v>
      </c>
      <c r="C221" s="5" t="s">
        <v>481</v>
      </c>
      <c r="D221" s="6">
        <v>24053</v>
      </c>
      <c r="E221" s="7" t="s">
        <v>20</v>
      </c>
      <c r="F221" s="7" t="s">
        <v>20</v>
      </c>
      <c r="G221" s="7">
        <v>1</v>
      </c>
      <c r="H221" s="7">
        <v>10</v>
      </c>
      <c r="I221" s="5" t="str">
        <f t="shared" si="4"/>
        <v>(218,'S05-OZ1','Segment 05-OZ1','Sunday-11-jj','NULL',NULL,1,10),</v>
      </c>
    </row>
    <row r="222" spans="1:9" ht="20.100000000000001" customHeight="1" x14ac:dyDescent="0.25">
      <c r="A222" s="3">
        <v>219</v>
      </c>
      <c r="B222" s="8" t="s">
        <v>482</v>
      </c>
      <c r="C222" s="5" t="s">
        <v>483</v>
      </c>
      <c r="D222" s="6">
        <v>24053</v>
      </c>
      <c r="E222" s="7" t="s">
        <v>20</v>
      </c>
      <c r="F222" s="7" t="s">
        <v>20</v>
      </c>
      <c r="G222" s="7">
        <v>1</v>
      </c>
      <c r="H222" s="7">
        <v>10</v>
      </c>
      <c r="I222" s="5" t="str">
        <f t="shared" si="4"/>
        <v>(219,'S06-OZ1','Segment 06-OZ1','Sunday-11-jj','NULL',NULL,1,10),</v>
      </c>
    </row>
    <row r="223" spans="1:9" ht="20.100000000000001" customHeight="1" x14ac:dyDescent="0.25">
      <c r="A223" s="3">
        <v>220</v>
      </c>
      <c r="B223" s="8" t="s">
        <v>484</v>
      </c>
      <c r="C223" s="5" t="s">
        <v>485</v>
      </c>
      <c r="D223" s="6">
        <v>24053</v>
      </c>
      <c r="E223" s="7" t="s">
        <v>20</v>
      </c>
      <c r="F223" s="7" t="s">
        <v>20</v>
      </c>
      <c r="G223" s="7">
        <v>1</v>
      </c>
      <c r="H223" s="7">
        <v>10</v>
      </c>
      <c r="I223" s="5" t="str">
        <f t="shared" si="4"/>
        <v>(220,'S07-OZ1','Segment 07-OZ1','Sunday-11-jj','NULL',NULL,1,10),</v>
      </c>
    </row>
    <row r="224" spans="1:9" ht="20.100000000000001" customHeight="1" x14ac:dyDescent="0.25">
      <c r="A224" s="3">
        <v>221</v>
      </c>
      <c r="B224" s="8" t="s">
        <v>486</v>
      </c>
      <c r="C224" s="5" t="s">
        <v>487</v>
      </c>
      <c r="D224" s="6">
        <v>37851</v>
      </c>
      <c r="E224" s="7" t="s">
        <v>20</v>
      </c>
      <c r="F224" s="7" t="s">
        <v>20</v>
      </c>
      <c r="G224" s="7">
        <v>1</v>
      </c>
      <c r="H224" s="7">
        <v>10</v>
      </c>
      <c r="I224" s="5" t="str">
        <f t="shared" si="4"/>
        <v>(221,'S01-OZ2','Segment 01-OZ2','Monday-08-jj','NULL',NULL,1,10),</v>
      </c>
    </row>
    <row r="225" spans="1:9" ht="20.100000000000001" customHeight="1" x14ac:dyDescent="0.25">
      <c r="A225" s="3">
        <v>222</v>
      </c>
      <c r="B225" s="8" t="s">
        <v>488</v>
      </c>
      <c r="C225" s="5" t="s">
        <v>489</v>
      </c>
      <c r="D225" s="6">
        <v>37851</v>
      </c>
      <c r="E225" s="7" t="s">
        <v>20</v>
      </c>
      <c r="F225" s="7" t="s">
        <v>20</v>
      </c>
      <c r="G225" s="7">
        <v>1</v>
      </c>
      <c r="H225" s="7">
        <v>10</v>
      </c>
      <c r="I225" s="5" t="str">
        <f t="shared" si="4"/>
        <v>(222,'S02-OZ2','Segment 02-OZ2','Monday-08-jj','NULL',NULL,1,10),</v>
      </c>
    </row>
    <row r="226" spans="1:9" ht="20.100000000000001" customHeight="1" x14ac:dyDescent="0.25">
      <c r="A226" s="3">
        <v>223</v>
      </c>
      <c r="B226" s="8" t="s">
        <v>490</v>
      </c>
      <c r="C226" s="5" t="s">
        <v>491</v>
      </c>
      <c r="D226" s="6">
        <v>37851</v>
      </c>
      <c r="E226" s="7" t="s">
        <v>20</v>
      </c>
      <c r="F226" s="7" t="s">
        <v>20</v>
      </c>
      <c r="G226" s="7">
        <v>1</v>
      </c>
      <c r="H226" s="7">
        <v>10</v>
      </c>
      <c r="I226" s="5" t="str">
        <f t="shared" si="4"/>
        <v>(223,'S03-OZ2','Segment 03-OZ2','Monday-08-jj','NULL',NULL,1,10),</v>
      </c>
    </row>
    <row r="227" spans="1:9" ht="20.100000000000001" customHeight="1" x14ac:dyDescent="0.25">
      <c r="A227" s="3">
        <v>224</v>
      </c>
      <c r="B227" s="8" t="s">
        <v>492</v>
      </c>
      <c r="C227" s="5" t="s">
        <v>493</v>
      </c>
      <c r="D227" s="6">
        <v>37851</v>
      </c>
      <c r="E227" s="7" t="s">
        <v>20</v>
      </c>
      <c r="F227" s="7" t="s">
        <v>20</v>
      </c>
      <c r="G227" s="7">
        <v>1</v>
      </c>
      <c r="H227" s="7">
        <v>10</v>
      </c>
      <c r="I227" s="5" t="str">
        <f t="shared" si="4"/>
        <v>(224,'S04-OZ2','Segment 04-OZ2','Monday-08-jj','NULL',NULL,1,10),</v>
      </c>
    </row>
    <row r="228" spans="1:9" ht="20.100000000000001" customHeight="1" x14ac:dyDescent="0.25">
      <c r="A228" s="3">
        <v>225</v>
      </c>
      <c r="B228" s="8" t="s">
        <v>494</v>
      </c>
      <c r="C228" s="5" t="s">
        <v>495</v>
      </c>
      <c r="D228" s="6">
        <v>37851</v>
      </c>
      <c r="E228" s="7" t="s">
        <v>20</v>
      </c>
      <c r="F228" s="7" t="s">
        <v>20</v>
      </c>
      <c r="G228" s="7">
        <v>1</v>
      </c>
      <c r="H228" s="7">
        <v>10</v>
      </c>
      <c r="I228" s="5" t="str">
        <f t="shared" si="4"/>
        <v>(225,'S05-OZ2','Segment 05-OZ2','Monday-08-jj','NULL',NULL,1,10),</v>
      </c>
    </row>
    <row r="229" spans="1:9" ht="20.100000000000001" customHeight="1" x14ac:dyDescent="0.25">
      <c r="A229" s="3">
        <v>226</v>
      </c>
      <c r="B229" s="8" t="s">
        <v>496</v>
      </c>
      <c r="C229" s="5" t="s">
        <v>497</v>
      </c>
      <c r="D229" s="6">
        <v>37851</v>
      </c>
      <c r="E229" s="7" t="s">
        <v>20</v>
      </c>
      <c r="F229" s="7" t="s">
        <v>20</v>
      </c>
      <c r="G229" s="7">
        <v>1</v>
      </c>
      <c r="H229" s="7">
        <v>10</v>
      </c>
      <c r="I229" s="5" t="str">
        <f t="shared" si="4"/>
        <v>(226,'S06-OZ2','Segment 06-OZ2','Monday-08-jj','NULL',NULL,1,10),</v>
      </c>
    </row>
    <row r="230" spans="1:9" ht="20.100000000000001" customHeight="1" x14ac:dyDescent="0.25">
      <c r="A230" s="3">
        <v>227</v>
      </c>
      <c r="B230" s="8" t="s">
        <v>498</v>
      </c>
      <c r="C230" s="5" t="s">
        <v>499</v>
      </c>
      <c r="D230" s="6">
        <v>37851</v>
      </c>
      <c r="E230" s="7" t="s">
        <v>20</v>
      </c>
      <c r="F230" s="7" t="s">
        <v>20</v>
      </c>
      <c r="G230" s="7">
        <v>1</v>
      </c>
      <c r="H230" s="7">
        <v>10</v>
      </c>
      <c r="I230" s="5" t="str">
        <f t="shared" si="4"/>
        <v>(227,'S07-OZ2','Segment 07-OZ2','Monday-08-jj','NULL',NULL,1,10),</v>
      </c>
    </row>
    <row r="231" spans="1:9" ht="20.100000000000001" customHeight="1" x14ac:dyDescent="0.25">
      <c r="A231" s="3"/>
      <c r="B231" s="8"/>
      <c r="C231" s="5"/>
      <c r="D231" s="6"/>
      <c r="E231" s="7" t="s">
        <v>20</v>
      </c>
      <c r="F231" s="7" t="s">
        <v>20</v>
      </c>
      <c r="G231" s="7">
        <v>1</v>
      </c>
      <c r="H231" s="7">
        <v>10</v>
      </c>
      <c r="I231" s="5" t="str">
        <f t="shared" si="4"/>
        <v>(,'','','Saturday-01-jj','NULL',NULL,1,10),</v>
      </c>
    </row>
    <row r="232" spans="1:9" ht="20.100000000000001" customHeight="1" x14ac:dyDescent="0.25">
      <c r="A232" s="3"/>
      <c r="B232" s="8"/>
      <c r="C232" s="5"/>
      <c r="D232" s="6"/>
      <c r="E232" s="7" t="s">
        <v>20</v>
      </c>
      <c r="F232" s="7" t="s">
        <v>20</v>
      </c>
      <c r="G232" s="7">
        <v>1</v>
      </c>
      <c r="H232" s="7">
        <v>10</v>
      </c>
      <c r="I232" s="5" t="str">
        <f t="shared" si="4"/>
        <v>(,'','','Saturday-01-jj','NULL',NULL,1,10),</v>
      </c>
    </row>
  </sheetData>
  <autoFilter ref="A2:H17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59"/>
  <sheetViews>
    <sheetView workbookViewId="0">
      <selection activeCell="B58" sqref="B58"/>
    </sheetView>
  </sheetViews>
  <sheetFormatPr baseColWidth="10" defaultColWidth="10.85546875" defaultRowHeight="15.75" x14ac:dyDescent="0.25"/>
  <cols>
    <col min="1" max="1" width="5.5703125" style="2" customWidth="1"/>
    <col min="2" max="2" width="10.5703125" style="2" customWidth="1"/>
    <col min="3" max="3" width="12.7109375" style="2" customWidth="1"/>
    <col min="4" max="7" width="12.7109375" style="2" hidden="1" customWidth="1"/>
    <col min="8" max="8" width="19.7109375" style="2" customWidth="1"/>
    <col min="9" max="9" width="12.7109375" style="2" customWidth="1"/>
    <col min="10" max="10" width="36" style="2" customWidth="1"/>
    <col min="11" max="30" width="12.7109375" style="2" customWidth="1"/>
    <col min="31" max="31" width="21.42578125" style="2" customWidth="1"/>
    <col min="32" max="32" width="12.7109375" style="2" customWidth="1"/>
    <col min="33" max="33" width="117.42578125" style="2" bestFit="1" customWidth="1"/>
    <col min="34" max="16384" width="10.85546875" style="2"/>
  </cols>
  <sheetData>
    <row r="1" spans="1:34" ht="20.100000000000001" customHeight="1" x14ac:dyDescent="0.25">
      <c r="A1" s="1" t="s">
        <v>0</v>
      </c>
      <c r="B1" s="20" t="s">
        <v>1</v>
      </c>
      <c r="C1" s="1" t="s">
        <v>500</v>
      </c>
      <c r="D1" s="1" t="s">
        <v>6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</row>
    <row r="2" spans="1:34" ht="20.100000000000001" customHeight="1" x14ac:dyDescent="0.25">
      <c r="A2" s="1" t="s">
        <v>9</v>
      </c>
      <c r="B2" s="20" t="s">
        <v>10</v>
      </c>
      <c r="C2" s="20" t="s">
        <v>12</v>
      </c>
      <c r="D2" s="20" t="s">
        <v>15</v>
      </c>
      <c r="E2" s="1"/>
      <c r="F2" s="1" t="s">
        <v>16</v>
      </c>
      <c r="G2" s="1" t="s">
        <v>529</v>
      </c>
      <c r="H2" s="1" t="s">
        <v>530</v>
      </c>
      <c r="I2" s="1" t="s">
        <v>531</v>
      </c>
      <c r="J2" s="1" t="s">
        <v>532</v>
      </c>
      <c r="K2" s="1" t="s">
        <v>533</v>
      </c>
      <c r="L2" s="1" t="s">
        <v>534</v>
      </c>
      <c r="M2" s="1" t="s">
        <v>535</v>
      </c>
      <c r="N2" s="1" t="s">
        <v>536</v>
      </c>
      <c r="O2" s="1" t="s">
        <v>537</v>
      </c>
      <c r="P2" s="1" t="s">
        <v>538</v>
      </c>
      <c r="Q2" s="1" t="s">
        <v>539</v>
      </c>
      <c r="R2" s="1"/>
      <c r="S2" s="1" t="s">
        <v>540</v>
      </c>
      <c r="T2" s="1"/>
      <c r="U2" s="1" t="s">
        <v>541</v>
      </c>
      <c r="V2" s="1"/>
      <c r="W2" s="1" t="s">
        <v>542</v>
      </c>
      <c r="X2" s="1"/>
      <c r="Y2" s="1" t="s">
        <v>543</v>
      </c>
      <c r="Z2" s="1"/>
      <c r="AA2" s="1" t="s">
        <v>544</v>
      </c>
      <c r="AB2" s="1"/>
      <c r="AC2" s="1" t="s">
        <v>545</v>
      </c>
      <c r="AD2" s="1" t="s">
        <v>529</v>
      </c>
      <c r="AE2" s="1"/>
      <c r="AF2" s="1" t="s">
        <v>546</v>
      </c>
      <c r="AG2" s="21" t="s">
        <v>547</v>
      </c>
    </row>
    <row r="3" spans="1:34" ht="20.100000000000001" customHeight="1" x14ac:dyDescent="0.25">
      <c r="A3" s="3">
        <v>156</v>
      </c>
      <c r="B3" s="22" t="s">
        <v>324</v>
      </c>
      <c r="C3" s="6">
        <v>24053</v>
      </c>
      <c r="D3" s="23">
        <v>1</v>
      </c>
      <c r="E3" s="7" t="s">
        <v>548</v>
      </c>
      <c r="F3" s="7">
        <v>11</v>
      </c>
      <c r="G3" s="7">
        <v>12</v>
      </c>
      <c r="H3" s="24">
        <v>28</v>
      </c>
      <c r="I3" s="25" t="s">
        <v>549</v>
      </c>
      <c r="J3" s="7" t="s">
        <v>550</v>
      </c>
      <c r="K3" s="7">
        <v>4.5699999999999998E-2</v>
      </c>
      <c r="L3" s="7">
        <v>63</v>
      </c>
      <c r="M3" s="7">
        <v>54</v>
      </c>
      <c r="N3" s="7">
        <v>0</v>
      </c>
      <c r="O3" s="7">
        <v>0</v>
      </c>
      <c r="P3" s="7">
        <v>21</v>
      </c>
      <c r="Q3" s="7">
        <v>11</v>
      </c>
      <c r="R3" s="7" t="s">
        <v>551</v>
      </c>
      <c r="S3" s="7">
        <v>3</v>
      </c>
      <c r="T3" s="7" t="s">
        <v>552</v>
      </c>
      <c r="U3" s="7">
        <v>14</v>
      </c>
      <c r="V3" s="7" t="s">
        <v>20</v>
      </c>
      <c r="W3" s="7" t="s">
        <v>20</v>
      </c>
      <c r="X3" s="7" t="s">
        <v>553</v>
      </c>
      <c r="Y3" s="7">
        <v>1</v>
      </c>
      <c r="Z3" s="26" t="s">
        <v>31</v>
      </c>
      <c r="AA3" s="27">
        <v>7</v>
      </c>
      <c r="AB3" s="26" t="s">
        <v>554</v>
      </c>
      <c r="AC3" s="27">
        <v>21</v>
      </c>
      <c r="AD3" s="7">
        <v>12</v>
      </c>
      <c r="AE3" s="7" t="s">
        <v>555</v>
      </c>
      <c r="AF3" s="7"/>
      <c r="AG3" s="28" t="str">
        <f>CONCATENATE("(",A3,"*'",H3,"'*",I3,"*'",J3,"'*'",K3,"'*",L3,"*",M3,"*",N3,"*",O3,"*",P3,"*",Q3,"*",S3,"*",U3,"*",W3,"*",Y3,"*",AA3,"*",AC3,"*",AD3,")*")</f>
        <v>(156*'28'*801.478*'6.35 / 7.14 / 7.92 / 8.74 / 9.52 /  11.91 / 12.70'*'0,0457'*63*54*0*0*21*11*3*14*NULL*1*7*21*12)*</v>
      </c>
      <c r="AH3" s="29"/>
    </row>
    <row r="4" spans="1:34" ht="20.100000000000001" customHeight="1" x14ac:dyDescent="0.25">
      <c r="A4" s="3">
        <v>157</v>
      </c>
      <c r="B4" s="22" t="s">
        <v>326</v>
      </c>
      <c r="C4" s="6">
        <v>37851</v>
      </c>
      <c r="D4" s="23">
        <v>1</v>
      </c>
      <c r="E4" s="7" t="s">
        <v>548</v>
      </c>
      <c r="F4" s="7">
        <v>11</v>
      </c>
      <c r="G4" s="7">
        <v>12</v>
      </c>
      <c r="H4" s="24">
        <v>34</v>
      </c>
      <c r="I4" s="25">
        <v>821</v>
      </c>
      <c r="J4" s="7" t="s">
        <v>556</v>
      </c>
      <c r="K4" s="7">
        <v>4.5699999999999998E-2</v>
      </c>
      <c r="L4" s="7">
        <v>70</v>
      </c>
      <c r="M4" s="7">
        <v>70</v>
      </c>
      <c r="N4" s="7">
        <v>0</v>
      </c>
      <c r="O4" s="7">
        <v>0</v>
      </c>
      <c r="P4" s="7">
        <v>34</v>
      </c>
      <c r="Q4" s="7">
        <v>34</v>
      </c>
      <c r="R4" s="7" t="s">
        <v>557</v>
      </c>
      <c r="S4" s="7">
        <v>4</v>
      </c>
      <c r="T4" s="7" t="s">
        <v>558</v>
      </c>
      <c r="U4" s="7">
        <v>11</v>
      </c>
      <c r="V4" s="7" t="s">
        <v>20</v>
      </c>
      <c r="W4" s="7" t="s">
        <v>20</v>
      </c>
      <c r="X4" s="7" t="s">
        <v>553</v>
      </c>
      <c r="Y4" s="7">
        <v>1</v>
      </c>
      <c r="Z4" s="26" t="s">
        <v>31</v>
      </c>
      <c r="AA4" s="7">
        <v>7</v>
      </c>
      <c r="AB4" s="26" t="s">
        <v>554</v>
      </c>
      <c r="AC4" s="7">
        <v>21</v>
      </c>
      <c r="AD4" s="7">
        <v>12</v>
      </c>
      <c r="AE4" s="30" t="s">
        <v>559</v>
      </c>
      <c r="AF4" s="30"/>
      <c r="AG4" s="28" t="str">
        <f t="shared" ref="AG4:AG11" si="0">CONCATENATE("(",A4,"*'",H4,"'*",I4,"*'",J4,"'*'",K4,"'*",L4,"*",M4,"*",N4,"*",O4,"*",P4,"*",Q4,"*",S4,"*",U4,"*",W4,"*",Y4,"*",AA4,"*",AC4,"*",AD4,")*")</f>
        <v>(157*'34'*821*'7.92 - 17.48'*'0,0457'*70*70*0*0*34*34*4*11*NULL*1*7*21*12)*</v>
      </c>
    </row>
    <row r="5" spans="1:34" ht="20.100000000000001" customHeight="1" x14ac:dyDescent="0.25">
      <c r="A5" s="3">
        <v>158</v>
      </c>
      <c r="B5" s="22" t="s">
        <v>329</v>
      </c>
      <c r="C5" s="6">
        <v>26299</v>
      </c>
      <c r="D5" s="23">
        <v>1</v>
      </c>
      <c r="E5" s="7" t="s">
        <v>560</v>
      </c>
      <c r="F5" s="7">
        <v>13</v>
      </c>
      <c r="G5" s="7">
        <v>12</v>
      </c>
      <c r="H5" s="24">
        <v>34</v>
      </c>
      <c r="I5" s="25">
        <v>646</v>
      </c>
      <c r="J5" s="30" t="s">
        <v>561</v>
      </c>
      <c r="K5" s="7">
        <v>4.5699999999999998E-2</v>
      </c>
      <c r="L5" s="7">
        <v>75</v>
      </c>
      <c r="M5" s="7">
        <v>75</v>
      </c>
      <c r="N5" s="7">
        <v>0</v>
      </c>
      <c r="O5" s="7">
        <v>0</v>
      </c>
      <c r="P5" s="7">
        <v>30</v>
      </c>
      <c r="Q5" s="7">
        <v>30</v>
      </c>
      <c r="R5" s="7" t="s">
        <v>562</v>
      </c>
      <c r="S5" s="7">
        <v>3</v>
      </c>
      <c r="T5" s="30" t="s">
        <v>563</v>
      </c>
      <c r="U5" s="7">
        <v>14</v>
      </c>
      <c r="V5" s="7" t="s">
        <v>20</v>
      </c>
      <c r="W5" s="7" t="s">
        <v>20</v>
      </c>
      <c r="X5" s="7" t="s">
        <v>329</v>
      </c>
      <c r="Y5" s="7">
        <v>2</v>
      </c>
      <c r="Z5" s="26" t="s">
        <v>31</v>
      </c>
      <c r="AA5" s="7">
        <v>7</v>
      </c>
      <c r="AB5" s="26" t="s">
        <v>564</v>
      </c>
      <c r="AC5" s="7">
        <v>34</v>
      </c>
      <c r="AD5" s="7">
        <v>12</v>
      </c>
      <c r="AE5" s="7" t="s">
        <v>565</v>
      </c>
      <c r="AF5" s="7"/>
      <c r="AG5" s="28" t="str">
        <f t="shared" si="0"/>
        <v>(158*'34'*646*'7,92 / 8,74 / 9,52 / 10,31 / 11,13 / 11,91 / 12,70 / 14,27 / 15,88 / 17,48 / 22,22'*'0,0457'*75*75*0*0*30*30*3*14*NULL*2*7*34*12)*</v>
      </c>
    </row>
    <row r="6" spans="1:34" ht="20.100000000000001" customHeight="1" x14ac:dyDescent="0.25">
      <c r="A6" s="3">
        <v>159</v>
      </c>
      <c r="B6" s="22" t="s">
        <v>332</v>
      </c>
      <c r="C6" s="6">
        <v>21864</v>
      </c>
      <c r="D6" s="23">
        <v>1</v>
      </c>
      <c r="E6" s="7" t="s">
        <v>566</v>
      </c>
      <c r="F6" s="7">
        <v>15</v>
      </c>
      <c r="G6" s="7">
        <v>12</v>
      </c>
      <c r="H6" s="24" t="s">
        <v>567</v>
      </c>
      <c r="I6" s="25">
        <v>672</v>
      </c>
      <c r="J6" s="7" t="s">
        <v>568</v>
      </c>
      <c r="K6" s="7">
        <v>1.4999999999999999E-2</v>
      </c>
      <c r="L6" s="7">
        <v>83</v>
      </c>
      <c r="M6" s="7">
        <v>0</v>
      </c>
      <c r="N6" s="7">
        <v>0</v>
      </c>
      <c r="O6" s="7">
        <v>0</v>
      </c>
      <c r="P6" s="7">
        <v>14</v>
      </c>
      <c r="Q6" s="7" t="s">
        <v>569</v>
      </c>
      <c r="R6" s="7" t="s">
        <v>570</v>
      </c>
      <c r="S6" s="7">
        <v>2</v>
      </c>
      <c r="T6" s="7" t="s">
        <v>571</v>
      </c>
      <c r="U6" s="7">
        <v>14</v>
      </c>
      <c r="V6" s="7" t="s">
        <v>20</v>
      </c>
      <c r="W6" s="7" t="s">
        <v>20</v>
      </c>
      <c r="X6" s="7" t="s">
        <v>572</v>
      </c>
      <c r="Y6" s="7">
        <v>3</v>
      </c>
      <c r="Z6" s="26" t="s">
        <v>31</v>
      </c>
      <c r="AA6" s="7">
        <v>7</v>
      </c>
      <c r="AB6" s="26" t="s">
        <v>573</v>
      </c>
      <c r="AC6" s="7">
        <v>22</v>
      </c>
      <c r="AD6" s="7">
        <v>12</v>
      </c>
      <c r="AE6" s="7" t="s">
        <v>574</v>
      </c>
      <c r="AF6" s="7"/>
      <c r="AG6" s="28" t="str">
        <f t="shared" si="0"/>
        <v>(159*'24 / 22'*672*'2,7 / 9,52 / 9,0 / 8,73 / 7,92 / 7,13 / 6,35'*'0,015'*83*0*0*0*14*11.4*2*14*NULL*3*7*22*12)*</v>
      </c>
    </row>
    <row r="7" spans="1:34" ht="20.100000000000001" customHeight="1" x14ac:dyDescent="0.25">
      <c r="A7" s="3">
        <v>160</v>
      </c>
      <c r="B7" s="22" t="s">
        <v>334</v>
      </c>
      <c r="C7" s="6">
        <v>44738</v>
      </c>
      <c r="D7" s="23">
        <v>1</v>
      </c>
      <c r="E7" s="7" t="s">
        <v>566</v>
      </c>
      <c r="F7" s="7">
        <v>15</v>
      </c>
      <c r="G7" s="7">
        <v>12</v>
      </c>
      <c r="H7" s="24" t="s">
        <v>567</v>
      </c>
      <c r="I7" s="25">
        <v>174</v>
      </c>
      <c r="J7" s="7" t="s">
        <v>575</v>
      </c>
      <c r="K7" s="7">
        <v>4.5999999999999999E-2</v>
      </c>
      <c r="L7" s="7">
        <v>83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 t="s">
        <v>557</v>
      </c>
      <c r="S7" s="7">
        <v>4</v>
      </c>
      <c r="T7" s="7" t="s">
        <v>576</v>
      </c>
      <c r="U7" s="7">
        <v>10</v>
      </c>
      <c r="V7" s="7" t="s">
        <v>20</v>
      </c>
      <c r="W7" s="7" t="s">
        <v>20</v>
      </c>
      <c r="X7" s="7" t="s">
        <v>572</v>
      </c>
      <c r="Y7" s="7">
        <v>3</v>
      </c>
      <c r="Z7" s="26" t="s">
        <v>577</v>
      </c>
      <c r="AA7" s="7">
        <v>10</v>
      </c>
      <c r="AB7" s="26" t="s">
        <v>573</v>
      </c>
      <c r="AC7" s="7">
        <v>22</v>
      </c>
      <c r="AD7" s="7">
        <v>12</v>
      </c>
      <c r="AE7" s="7"/>
      <c r="AF7" s="7"/>
      <c r="AG7" s="28" t="str">
        <f t="shared" si="0"/>
        <v>(160*'24 / 22'*174*'8,74 / 9,53 / 11,3 / 12,7'*'0,046'*83*0*0*0*0*0*4*10*NULL*3*10*22*12)*</v>
      </c>
    </row>
    <row r="8" spans="1:34" ht="20.100000000000001" customHeight="1" x14ac:dyDescent="0.25">
      <c r="A8" s="3">
        <v>161</v>
      </c>
      <c r="B8" s="22" t="s">
        <v>336</v>
      </c>
      <c r="C8" s="6">
        <v>46388</v>
      </c>
      <c r="D8" s="23">
        <v>1</v>
      </c>
      <c r="E8" s="7" t="s">
        <v>566</v>
      </c>
      <c r="F8" s="7">
        <v>15</v>
      </c>
      <c r="G8" s="7">
        <v>12</v>
      </c>
      <c r="H8" s="24">
        <v>24</v>
      </c>
      <c r="I8" s="25">
        <v>504</v>
      </c>
      <c r="J8" s="7" t="s">
        <v>578</v>
      </c>
      <c r="K8" s="7">
        <v>4.5999999999999999E-2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 t="s">
        <v>557</v>
      </c>
      <c r="S8" s="7">
        <v>4</v>
      </c>
      <c r="T8" s="7" t="s">
        <v>579</v>
      </c>
      <c r="U8" s="7">
        <v>21</v>
      </c>
      <c r="V8" s="7" t="s">
        <v>20</v>
      </c>
      <c r="W8" s="7" t="s">
        <v>20</v>
      </c>
      <c r="X8" s="7" t="s">
        <v>572</v>
      </c>
      <c r="Y8" s="7">
        <v>3</v>
      </c>
      <c r="Z8" s="26" t="s">
        <v>31</v>
      </c>
      <c r="AA8" s="7">
        <v>7</v>
      </c>
      <c r="AB8" s="26" t="s">
        <v>580</v>
      </c>
      <c r="AC8" s="7">
        <v>11</v>
      </c>
      <c r="AD8" s="7">
        <v>12</v>
      </c>
      <c r="AE8" s="7"/>
      <c r="AF8" s="7"/>
      <c r="AG8" s="28" t="str">
        <f t="shared" si="0"/>
        <v>(161*'24'*504*'12,7 / 11,13 / 9,53 / 7,9'*'0,046'*0*0*0*0*0*0*4*21*NULL*3*7*11*12)*</v>
      </c>
    </row>
    <row r="9" spans="1:34" ht="20.100000000000001" customHeight="1" x14ac:dyDescent="0.25">
      <c r="A9" s="3">
        <v>162</v>
      </c>
      <c r="B9" s="22" t="s">
        <v>338</v>
      </c>
      <c r="C9" s="6">
        <v>38537</v>
      </c>
      <c r="D9" s="23">
        <v>1</v>
      </c>
      <c r="E9" s="7" t="s">
        <v>566</v>
      </c>
      <c r="F9" s="7">
        <v>15</v>
      </c>
      <c r="G9" s="7">
        <v>12</v>
      </c>
      <c r="H9" s="24">
        <v>20</v>
      </c>
      <c r="I9" s="25" t="s">
        <v>581</v>
      </c>
      <c r="J9" s="7" t="s">
        <v>582</v>
      </c>
      <c r="K9" s="7">
        <v>4.5699999999999998E-2</v>
      </c>
      <c r="L9" s="7">
        <v>72</v>
      </c>
      <c r="M9" s="7">
        <v>72</v>
      </c>
      <c r="N9" s="7">
        <v>0</v>
      </c>
      <c r="O9" s="7">
        <v>0</v>
      </c>
      <c r="P9" s="7">
        <v>4</v>
      </c>
      <c r="Q9" s="7">
        <v>4</v>
      </c>
      <c r="R9" s="7" t="s">
        <v>557</v>
      </c>
      <c r="S9" s="7">
        <v>4</v>
      </c>
      <c r="T9" s="7" t="s">
        <v>558</v>
      </c>
      <c r="U9" s="7">
        <v>11</v>
      </c>
      <c r="V9" s="7" t="s">
        <v>20</v>
      </c>
      <c r="W9" s="7" t="s">
        <v>20</v>
      </c>
      <c r="X9" s="7" t="s">
        <v>572</v>
      </c>
      <c r="Y9" s="7">
        <v>3</v>
      </c>
      <c r="Z9" s="26" t="s">
        <v>583</v>
      </c>
      <c r="AA9" s="7">
        <v>13</v>
      </c>
      <c r="AB9" s="26" t="s">
        <v>584</v>
      </c>
      <c r="AC9" s="13">
        <v>128</v>
      </c>
      <c r="AD9" s="7">
        <v>12</v>
      </c>
      <c r="AE9" s="7" t="s">
        <v>585</v>
      </c>
      <c r="AF9" s="7"/>
      <c r="AG9" s="28" t="str">
        <f t="shared" si="0"/>
        <v>(162*'20'*144.74*'8,74 / 10,31'*'0,0457'*72*72*0*0*4*4*4*11*NULL*3*13*128*12)*</v>
      </c>
    </row>
    <row r="10" spans="1:34" ht="20.100000000000001" customHeight="1" x14ac:dyDescent="0.25">
      <c r="A10" s="3">
        <v>163</v>
      </c>
      <c r="B10" s="22" t="s">
        <v>341</v>
      </c>
      <c r="C10" s="6">
        <v>21916</v>
      </c>
      <c r="D10" s="23">
        <v>1</v>
      </c>
      <c r="E10" s="7" t="s">
        <v>586</v>
      </c>
      <c r="F10" s="7">
        <v>14</v>
      </c>
      <c r="G10" s="7">
        <v>12</v>
      </c>
      <c r="H10" s="24">
        <v>24</v>
      </c>
      <c r="I10" s="25">
        <v>265</v>
      </c>
      <c r="J10" s="7" t="s">
        <v>587</v>
      </c>
      <c r="K10" s="7">
        <v>1.4999999999999999E-2</v>
      </c>
      <c r="L10" s="7">
        <v>70</v>
      </c>
      <c r="M10" s="7">
        <v>70</v>
      </c>
      <c r="N10" s="7">
        <v>0</v>
      </c>
      <c r="O10" s="7">
        <v>0</v>
      </c>
      <c r="P10" s="7" t="s">
        <v>588</v>
      </c>
      <c r="Q10" s="7" t="s">
        <v>589</v>
      </c>
      <c r="R10" s="7" t="s">
        <v>551</v>
      </c>
      <c r="S10" s="7">
        <v>3</v>
      </c>
      <c r="T10" s="7" t="s">
        <v>590</v>
      </c>
      <c r="U10" s="7">
        <v>14</v>
      </c>
      <c r="V10" s="7" t="s">
        <v>591</v>
      </c>
      <c r="W10" s="7">
        <v>17</v>
      </c>
      <c r="X10" s="7" t="s">
        <v>341</v>
      </c>
      <c r="Y10" s="7">
        <v>4</v>
      </c>
      <c r="Z10" s="26" t="s">
        <v>592</v>
      </c>
      <c r="AA10" s="7">
        <v>29</v>
      </c>
      <c r="AB10" s="26" t="s">
        <v>593</v>
      </c>
      <c r="AC10" s="7">
        <v>1</v>
      </c>
      <c r="AD10" s="7">
        <v>12</v>
      </c>
      <c r="AE10" s="7" t="s">
        <v>594</v>
      </c>
      <c r="AF10" s="7"/>
      <c r="AG10" s="28" t="str">
        <f t="shared" si="0"/>
        <v>(163*'24'*265*'7,94 / 8,74 / 10,31'*'0,015'*70*70*0*0*13.9*7.8*3*14*17*4*29*1*12)*</v>
      </c>
    </row>
    <row r="11" spans="1:34" ht="20.100000000000001" customHeight="1" x14ac:dyDescent="0.25">
      <c r="A11" s="3">
        <v>164</v>
      </c>
      <c r="B11" s="22" t="s">
        <v>343</v>
      </c>
      <c r="C11" s="6">
        <v>29952</v>
      </c>
      <c r="D11" s="23">
        <v>1</v>
      </c>
      <c r="E11" s="7" t="s">
        <v>586</v>
      </c>
      <c r="F11" s="7">
        <v>14</v>
      </c>
      <c r="G11" s="7">
        <v>12</v>
      </c>
      <c r="H11" s="24">
        <v>30</v>
      </c>
      <c r="I11" s="25">
        <v>630</v>
      </c>
      <c r="J11" s="7" t="s">
        <v>595</v>
      </c>
      <c r="K11" s="7">
        <v>0.06</v>
      </c>
      <c r="L11" s="7">
        <v>67</v>
      </c>
      <c r="M11" s="7">
        <v>49</v>
      </c>
      <c r="N11" s="7" t="s">
        <v>596</v>
      </c>
      <c r="O11" s="7">
        <v>0</v>
      </c>
      <c r="P11" s="7">
        <v>18</v>
      </c>
      <c r="Q11" s="7" t="s">
        <v>597</v>
      </c>
      <c r="R11" s="7" t="s">
        <v>551</v>
      </c>
      <c r="S11" s="7">
        <v>3</v>
      </c>
      <c r="T11" s="7" t="s">
        <v>598</v>
      </c>
      <c r="U11" s="7">
        <v>14</v>
      </c>
      <c r="V11" s="7" t="s">
        <v>591</v>
      </c>
      <c r="W11" s="7">
        <v>17</v>
      </c>
      <c r="X11" s="7" t="s">
        <v>343</v>
      </c>
      <c r="Y11" s="7">
        <v>5</v>
      </c>
      <c r="Z11" s="26" t="s">
        <v>592</v>
      </c>
      <c r="AA11" s="7">
        <v>29</v>
      </c>
      <c r="AB11" s="26" t="s">
        <v>31</v>
      </c>
      <c r="AC11" s="7">
        <v>7</v>
      </c>
      <c r="AD11" s="7">
        <v>12</v>
      </c>
      <c r="AE11" s="7" t="s">
        <v>599</v>
      </c>
      <c r="AF11" s="7"/>
      <c r="AG11" s="28" t="str">
        <f t="shared" si="0"/>
        <v>(164*'30'*630*'7,14 / 7,92'*'0,06'*67*49*1.4*0*18*8.9*3*14*17*5*29*7*12)*</v>
      </c>
    </row>
    <row r="12" spans="1:34" ht="20.100000000000001" customHeight="1" x14ac:dyDescent="0.25">
      <c r="A12" s="3">
        <v>165</v>
      </c>
      <c r="B12" s="31" t="s">
        <v>346</v>
      </c>
      <c r="C12" s="6">
        <v>38353</v>
      </c>
      <c r="D12" s="23">
        <v>1</v>
      </c>
      <c r="E12" s="7" t="s">
        <v>586</v>
      </c>
      <c r="F12" s="7">
        <v>14</v>
      </c>
      <c r="G12" s="7">
        <v>12</v>
      </c>
      <c r="H12" s="24">
        <v>30</v>
      </c>
      <c r="I12" s="25" t="s">
        <v>600</v>
      </c>
      <c r="J12" s="7" t="s">
        <v>601</v>
      </c>
      <c r="K12" s="7">
        <v>4.5699999999999998E-2</v>
      </c>
      <c r="L12" s="7">
        <v>49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 t="s">
        <v>557</v>
      </c>
      <c r="S12" s="7">
        <v>4</v>
      </c>
      <c r="T12" s="7" t="s">
        <v>602</v>
      </c>
      <c r="U12" s="7">
        <v>11</v>
      </c>
      <c r="V12" s="7" t="s">
        <v>20</v>
      </c>
      <c r="W12" s="7" t="s">
        <v>20</v>
      </c>
      <c r="X12" s="7" t="s">
        <v>343</v>
      </c>
      <c r="Y12" s="7">
        <v>5</v>
      </c>
      <c r="Z12" s="26" t="s">
        <v>603</v>
      </c>
      <c r="AA12" s="13" t="s">
        <v>603</v>
      </c>
      <c r="AB12" s="26" t="s">
        <v>604</v>
      </c>
      <c r="AC12" s="13" t="s">
        <v>604</v>
      </c>
      <c r="AD12" s="7"/>
      <c r="AE12" s="7"/>
      <c r="AF12" s="7"/>
      <c r="AG12" s="28" t="str">
        <f t="shared" ref="AG12:AG54" si="1">CONCATENATE("(",A12,"*'",H12,"'*",I12,"*'",J12,"'*'",K12,"'*",L12,"*",M12,"*",N12,"*",O12,"*",P12,"*",Q12,"*",S12,"*",U12,"*",W12,"*",Y12,"*",AA12,"*",AC12,")*")</f>
        <v>(165*'30'*44.5*'10.31'*'0,0457'*49*0*0*0*0*0*4*11*NULL*5*TFT*Nezla)*</v>
      </c>
    </row>
    <row r="13" spans="1:34" ht="20.100000000000001" customHeight="1" x14ac:dyDescent="0.25">
      <c r="A13" s="3">
        <v>166</v>
      </c>
      <c r="B13" s="22" t="s">
        <v>348</v>
      </c>
      <c r="C13" s="6">
        <v>26399</v>
      </c>
      <c r="D13" s="23">
        <v>1</v>
      </c>
      <c r="E13" s="7" t="s">
        <v>605</v>
      </c>
      <c r="F13" s="7">
        <v>12</v>
      </c>
      <c r="G13" s="7">
        <v>12</v>
      </c>
      <c r="H13" s="24">
        <v>26</v>
      </c>
      <c r="I13" s="25">
        <v>108.372</v>
      </c>
      <c r="J13" s="7" t="s">
        <v>606</v>
      </c>
      <c r="K13" s="7">
        <v>4.5699999999999998E-2</v>
      </c>
      <c r="L13" s="7">
        <v>40</v>
      </c>
      <c r="M13" s="7">
        <v>40</v>
      </c>
      <c r="N13" s="7">
        <v>0</v>
      </c>
      <c r="O13" s="7">
        <v>0</v>
      </c>
      <c r="P13" s="7">
        <v>12</v>
      </c>
      <c r="Q13" s="7">
        <v>12</v>
      </c>
      <c r="R13" s="7" t="s">
        <v>551</v>
      </c>
      <c r="S13" s="7">
        <v>3</v>
      </c>
      <c r="T13" s="7" t="s">
        <v>598</v>
      </c>
      <c r="U13" s="7">
        <v>14</v>
      </c>
      <c r="V13" s="7" t="s">
        <v>20</v>
      </c>
      <c r="W13" s="7" t="s">
        <v>20</v>
      </c>
      <c r="X13" s="7" t="s">
        <v>607</v>
      </c>
      <c r="Y13" s="7">
        <v>6</v>
      </c>
      <c r="Z13" s="26" t="s">
        <v>608</v>
      </c>
      <c r="AA13" s="7">
        <v>15</v>
      </c>
      <c r="AB13" s="26" t="s">
        <v>31</v>
      </c>
      <c r="AC13" s="7">
        <v>7</v>
      </c>
      <c r="AD13" s="7">
        <v>12</v>
      </c>
      <c r="AE13" s="7" t="s">
        <v>609</v>
      </c>
      <c r="AF13" s="7"/>
      <c r="AG13" s="28" t="str">
        <f t="shared" ref="AG13:AG33" si="2">CONCATENATE("(",A13,"*'",H13,"'*",I13,"*'",J13,"'*'",K13,"'*",L13,"*",M13,"*",N13,"*",O13,"*",P13,"*",Q13,"*",S13,"*",U13,"*",W13,"*",Y13,"*",AA13,"*",AC13,"*",AD13,")*")</f>
        <v>(166*'26'*108,372*'7,14 / 8,74'*'0,0457'*40*40*0*0*12*12*3*14*NULL*6*15*7*12)*</v>
      </c>
    </row>
    <row r="14" spans="1:34" ht="20.100000000000001" customHeight="1" x14ac:dyDescent="0.25">
      <c r="A14" s="3">
        <v>167</v>
      </c>
      <c r="B14" s="22" t="s">
        <v>351</v>
      </c>
      <c r="C14" s="6">
        <v>36161</v>
      </c>
      <c r="D14" s="23">
        <v>1</v>
      </c>
      <c r="E14" s="7" t="s">
        <v>605</v>
      </c>
      <c r="F14" s="7">
        <v>12</v>
      </c>
      <c r="G14" s="7">
        <v>12</v>
      </c>
      <c r="H14" s="24">
        <v>30</v>
      </c>
      <c r="I14" s="25">
        <v>292</v>
      </c>
      <c r="J14" s="7" t="s">
        <v>610</v>
      </c>
      <c r="K14" s="7">
        <v>4.5699999999999998E-2</v>
      </c>
      <c r="L14" s="7">
        <v>70</v>
      </c>
      <c r="M14" s="7">
        <v>70</v>
      </c>
      <c r="N14" s="7">
        <v>0</v>
      </c>
      <c r="O14" s="7">
        <v>0</v>
      </c>
      <c r="P14" s="7">
        <v>30</v>
      </c>
      <c r="Q14" s="7">
        <v>30</v>
      </c>
      <c r="R14" s="7" t="s">
        <v>551</v>
      </c>
      <c r="S14" s="7">
        <v>3</v>
      </c>
      <c r="T14" s="7" t="s">
        <v>611</v>
      </c>
      <c r="U14" s="7">
        <v>11</v>
      </c>
      <c r="V14" s="7" t="s">
        <v>20</v>
      </c>
      <c r="W14" s="7" t="s">
        <v>20</v>
      </c>
      <c r="X14" s="7" t="s">
        <v>612</v>
      </c>
      <c r="Y14" s="7">
        <v>7</v>
      </c>
      <c r="Z14" s="26" t="s">
        <v>613</v>
      </c>
      <c r="AA14" s="7">
        <v>27</v>
      </c>
      <c r="AB14" s="26" t="s">
        <v>31</v>
      </c>
      <c r="AC14" s="7">
        <v>7</v>
      </c>
      <c r="AD14" s="7">
        <v>12</v>
      </c>
      <c r="AE14" s="30" t="s">
        <v>614</v>
      </c>
      <c r="AF14" s="30"/>
      <c r="AG14" s="28" t="str">
        <f t="shared" si="2"/>
        <v>(167*'30'*292*'10,31 - 12,7'*'0,0457'*70*70*0*0*30*30*3*11*NULL*7*27*7*12)*</v>
      </c>
    </row>
    <row r="15" spans="1:34" ht="20.100000000000001" customHeight="1" x14ac:dyDescent="0.25">
      <c r="A15" s="3">
        <v>168</v>
      </c>
      <c r="B15" s="22" t="s">
        <v>353</v>
      </c>
      <c r="C15" s="6">
        <v>38718</v>
      </c>
      <c r="D15" s="23">
        <v>1</v>
      </c>
      <c r="E15" s="7" t="s">
        <v>605</v>
      </c>
      <c r="F15" s="7">
        <v>12</v>
      </c>
      <c r="G15" s="7">
        <v>12</v>
      </c>
      <c r="H15" s="24">
        <v>30</v>
      </c>
      <c r="I15" s="25">
        <v>292</v>
      </c>
      <c r="J15" s="7" t="s">
        <v>610</v>
      </c>
      <c r="K15" s="7">
        <v>4.5699999999999998E-2</v>
      </c>
      <c r="L15" s="7">
        <v>70</v>
      </c>
      <c r="M15" s="7">
        <v>70</v>
      </c>
      <c r="N15" s="7">
        <v>0</v>
      </c>
      <c r="O15" s="7">
        <v>0</v>
      </c>
      <c r="P15" s="7">
        <v>30</v>
      </c>
      <c r="Q15" s="7">
        <v>30</v>
      </c>
      <c r="R15" s="7" t="s">
        <v>557</v>
      </c>
      <c r="S15" s="7">
        <v>4</v>
      </c>
      <c r="T15" s="7" t="s">
        <v>611</v>
      </c>
      <c r="U15" s="7">
        <v>11</v>
      </c>
      <c r="V15" s="7" t="s">
        <v>20</v>
      </c>
      <c r="W15" s="7" t="s">
        <v>20</v>
      </c>
      <c r="X15" s="7" t="s">
        <v>612</v>
      </c>
      <c r="Y15" s="7">
        <v>7</v>
      </c>
      <c r="Z15" s="26" t="s">
        <v>613</v>
      </c>
      <c r="AA15" s="7">
        <v>27</v>
      </c>
      <c r="AB15" s="26" t="s">
        <v>31</v>
      </c>
      <c r="AC15" s="7">
        <v>7</v>
      </c>
      <c r="AD15" s="7">
        <v>12</v>
      </c>
      <c r="AE15" s="30" t="s">
        <v>614</v>
      </c>
      <c r="AF15" s="30"/>
      <c r="AG15" s="28" t="str">
        <f t="shared" si="2"/>
        <v>(168*'30'*292*'10,31 - 12,7'*'0,0457'*70*70*0*0*30*30*4*11*NULL*7*27*7*12)*</v>
      </c>
    </row>
    <row r="16" spans="1:34" ht="20.100000000000001" customHeight="1" x14ac:dyDescent="0.25">
      <c r="A16" s="3">
        <v>169</v>
      </c>
      <c r="B16" s="22" t="s">
        <v>356</v>
      </c>
      <c r="C16" s="6">
        <v>28207</v>
      </c>
      <c r="D16" s="23">
        <v>1</v>
      </c>
      <c r="E16" s="7" t="s">
        <v>605</v>
      </c>
      <c r="F16" s="7">
        <v>12</v>
      </c>
      <c r="G16" s="7">
        <v>12</v>
      </c>
      <c r="H16" s="24">
        <v>20</v>
      </c>
      <c r="I16" s="25">
        <v>272.35000000000002</v>
      </c>
      <c r="J16" s="7" t="s">
        <v>615</v>
      </c>
      <c r="K16" s="7">
        <v>4.5699999999999998E-2</v>
      </c>
      <c r="L16" s="7">
        <v>72</v>
      </c>
      <c r="M16" s="7">
        <v>12</v>
      </c>
      <c r="N16" s="7">
        <v>0</v>
      </c>
      <c r="O16" s="7">
        <v>0</v>
      </c>
      <c r="P16" s="7">
        <v>5</v>
      </c>
      <c r="Q16" s="7">
        <v>2</v>
      </c>
      <c r="R16" s="7" t="s">
        <v>551</v>
      </c>
      <c r="S16" s="7">
        <v>3</v>
      </c>
      <c r="T16" s="7" t="s">
        <v>20</v>
      </c>
      <c r="U16" s="7" t="s">
        <v>20</v>
      </c>
      <c r="V16" s="7" t="s">
        <v>20</v>
      </c>
      <c r="W16" s="7" t="s">
        <v>20</v>
      </c>
      <c r="X16" s="7" t="s">
        <v>607</v>
      </c>
      <c r="Y16" s="7">
        <v>6</v>
      </c>
      <c r="Z16" s="26" t="s">
        <v>616</v>
      </c>
      <c r="AA16" s="7">
        <v>25</v>
      </c>
      <c r="AB16" s="26" t="s">
        <v>617</v>
      </c>
      <c r="AC16" s="7">
        <v>15</v>
      </c>
      <c r="AD16" s="7">
        <v>12</v>
      </c>
      <c r="AE16" s="7" t="s">
        <v>618</v>
      </c>
      <c r="AF16" s="7"/>
      <c r="AG16" s="28" t="str">
        <f t="shared" si="2"/>
        <v>(169*'20'*272,35*'6,35 - 8,74'*'0,0457'*72*12*0*0*5*2*3*NULL*NULL*6*25*15*12)*</v>
      </c>
    </row>
    <row r="17" spans="1:33" ht="20.100000000000001" customHeight="1" x14ac:dyDescent="0.25">
      <c r="A17" s="3">
        <v>170</v>
      </c>
      <c r="B17" s="22" t="s">
        <v>359</v>
      </c>
      <c r="C17" s="6">
        <v>45778</v>
      </c>
      <c r="D17" s="23">
        <v>1</v>
      </c>
      <c r="E17" s="7" t="s">
        <v>605</v>
      </c>
      <c r="F17" s="7">
        <v>12</v>
      </c>
      <c r="G17" s="7">
        <v>12</v>
      </c>
      <c r="H17" s="24">
        <v>16</v>
      </c>
      <c r="I17" s="25">
        <v>271</v>
      </c>
      <c r="J17" s="7">
        <v>6.35</v>
      </c>
      <c r="K17" s="7">
        <v>4.5999999999999999E-2</v>
      </c>
      <c r="L17" s="7">
        <v>40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 t="s">
        <v>557</v>
      </c>
      <c r="S17" s="7">
        <v>4</v>
      </c>
      <c r="T17" s="7" t="s">
        <v>20</v>
      </c>
      <c r="U17" s="7" t="s">
        <v>20</v>
      </c>
      <c r="V17" s="7" t="s">
        <v>20</v>
      </c>
      <c r="W17" s="7" t="s">
        <v>20</v>
      </c>
      <c r="X17" s="7" t="s">
        <v>607</v>
      </c>
      <c r="Y17" s="7">
        <v>6</v>
      </c>
      <c r="Z17" s="26" t="s">
        <v>616</v>
      </c>
      <c r="AA17" s="7">
        <v>25</v>
      </c>
      <c r="AB17" s="26" t="s">
        <v>617</v>
      </c>
      <c r="AC17" s="7">
        <v>15</v>
      </c>
      <c r="AD17" s="7">
        <v>12</v>
      </c>
      <c r="AE17" s="7"/>
      <c r="AF17" s="7"/>
      <c r="AG17" s="28" t="str">
        <f t="shared" si="2"/>
        <v>(170*'16'*271*'6,35'*'0,046'*40*0*0*0*0*0*4*NULL*NULL*6*25*15*12)*</v>
      </c>
    </row>
    <row r="18" spans="1:33" ht="20.100000000000001" customHeight="1" x14ac:dyDescent="0.25">
      <c r="A18" s="3">
        <v>171</v>
      </c>
      <c r="B18" s="22" t="s">
        <v>361</v>
      </c>
      <c r="C18" s="6">
        <v>35431</v>
      </c>
      <c r="D18" s="23">
        <v>1</v>
      </c>
      <c r="E18" s="7" t="s">
        <v>619</v>
      </c>
      <c r="F18" s="7">
        <v>2</v>
      </c>
      <c r="G18" s="7">
        <v>2</v>
      </c>
      <c r="H18" s="24">
        <v>20</v>
      </c>
      <c r="I18" s="25">
        <v>230</v>
      </c>
      <c r="J18" s="7"/>
      <c r="K18" s="7">
        <v>4.5699999999999998E-2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 t="s">
        <v>557</v>
      </c>
      <c r="S18" s="7">
        <v>4</v>
      </c>
      <c r="T18" s="7" t="s">
        <v>20</v>
      </c>
      <c r="U18" s="7" t="s">
        <v>20</v>
      </c>
      <c r="V18" s="7" t="s">
        <v>20</v>
      </c>
      <c r="W18" s="7" t="s">
        <v>20</v>
      </c>
      <c r="X18" s="7" t="s">
        <v>607</v>
      </c>
      <c r="Y18" s="7">
        <v>6</v>
      </c>
      <c r="Z18" s="26" t="s">
        <v>83</v>
      </c>
      <c r="AA18" s="7">
        <v>32</v>
      </c>
      <c r="AB18" s="26" t="s">
        <v>49</v>
      </c>
      <c r="AC18" s="7">
        <v>15</v>
      </c>
      <c r="AD18" s="7">
        <v>12</v>
      </c>
      <c r="AE18" s="7"/>
      <c r="AF18" s="7"/>
      <c r="AG18" s="28" t="str">
        <f t="shared" si="2"/>
        <v>(171*'20'*230*''*'0,0457'*0*0*0*0*0*0*4*NULL*NULL*6*32*15*12)*</v>
      </c>
    </row>
    <row r="19" spans="1:33" ht="20.100000000000001" customHeight="1" x14ac:dyDescent="0.25">
      <c r="A19" s="3">
        <v>172</v>
      </c>
      <c r="B19" s="22" t="s">
        <v>363</v>
      </c>
      <c r="C19" s="6">
        <v>36505</v>
      </c>
      <c r="D19" s="23">
        <v>1</v>
      </c>
      <c r="E19" s="7" t="s">
        <v>605</v>
      </c>
      <c r="F19" s="7">
        <v>12</v>
      </c>
      <c r="G19" s="7">
        <v>12</v>
      </c>
      <c r="H19" s="24">
        <v>20</v>
      </c>
      <c r="I19" s="25">
        <v>33</v>
      </c>
      <c r="J19" s="7" t="s">
        <v>620</v>
      </c>
      <c r="K19" s="7">
        <v>4.5999999999999999E-2</v>
      </c>
      <c r="L19" s="7">
        <v>55</v>
      </c>
      <c r="M19" s="7">
        <v>55</v>
      </c>
      <c r="N19" s="7">
        <v>0</v>
      </c>
      <c r="O19" s="7">
        <v>0</v>
      </c>
      <c r="P19" s="7">
        <v>5</v>
      </c>
      <c r="Q19" s="7">
        <v>5</v>
      </c>
      <c r="R19" s="7" t="s">
        <v>551</v>
      </c>
      <c r="S19" s="7">
        <v>3</v>
      </c>
      <c r="T19" s="7" t="s">
        <v>20</v>
      </c>
      <c r="U19" s="7" t="s">
        <v>20</v>
      </c>
      <c r="V19" s="7" t="s">
        <v>20</v>
      </c>
      <c r="W19" s="7" t="s">
        <v>20</v>
      </c>
      <c r="X19" s="7" t="s">
        <v>607</v>
      </c>
      <c r="Y19" s="7">
        <v>6</v>
      </c>
      <c r="Z19" s="26" t="s">
        <v>621</v>
      </c>
      <c r="AA19" s="7">
        <v>33</v>
      </c>
      <c r="AB19" s="26" t="s">
        <v>617</v>
      </c>
      <c r="AC19" s="7">
        <v>15</v>
      </c>
      <c r="AD19" s="7">
        <v>12</v>
      </c>
      <c r="AE19" s="7" t="s">
        <v>622</v>
      </c>
      <c r="AF19" s="7"/>
      <c r="AG19" s="28" t="str">
        <f t="shared" si="2"/>
        <v>(172*'20'*33*'7,14 - 8,74'*'0,046'*55*55*0*0*5*5*3*NULL*NULL*6*33*15*12)*</v>
      </c>
    </row>
    <row r="20" spans="1:33" ht="20.100000000000001" customHeight="1" x14ac:dyDescent="0.25">
      <c r="A20" s="3">
        <v>173</v>
      </c>
      <c r="B20" s="22" t="s">
        <v>365</v>
      </c>
      <c r="C20" s="6">
        <v>28795</v>
      </c>
      <c r="D20" s="23">
        <v>1</v>
      </c>
      <c r="E20" s="7" t="s">
        <v>548</v>
      </c>
      <c r="F20" s="7">
        <v>11</v>
      </c>
      <c r="G20" s="7">
        <v>12</v>
      </c>
      <c r="H20" s="24">
        <v>28</v>
      </c>
      <c r="I20" s="25">
        <v>507</v>
      </c>
      <c r="J20" s="7" t="s">
        <v>623</v>
      </c>
      <c r="K20" s="7">
        <v>4.5699999999999998E-2</v>
      </c>
      <c r="L20" s="7">
        <v>66</v>
      </c>
      <c r="M20" s="7">
        <v>66</v>
      </c>
      <c r="N20" s="7">
        <v>0</v>
      </c>
      <c r="O20" s="7">
        <v>0</v>
      </c>
      <c r="P20" s="7">
        <v>21</v>
      </c>
      <c r="Q20" s="7">
        <v>13.6</v>
      </c>
      <c r="R20" s="7" t="s">
        <v>551</v>
      </c>
      <c r="S20" s="7">
        <v>3</v>
      </c>
      <c r="T20" s="7" t="s">
        <v>598</v>
      </c>
      <c r="U20" s="7">
        <v>14</v>
      </c>
      <c r="V20" s="7" t="s">
        <v>20</v>
      </c>
      <c r="W20" s="7" t="s">
        <v>20</v>
      </c>
      <c r="X20" s="7" t="s">
        <v>365</v>
      </c>
      <c r="Y20" s="7">
        <v>8</v>
      </c>
      <c r="Z20" s="26" t="s">
        <v>33</v>
      </c>
      <c r="AA20" s="7">
        <v>8</v>
      </c>
      <c r="AB20" s="26" t="s">
        <v>554</v>
      </c>
      <c r="AC20" s="7">
        <v>21</v>
      </c>
      <c r="AD20" s="7">
        <v>12</v>
      </c>
      <c r="AE20" s="30" t="s">
        <v>624</v>
      </c>
      <c r="AF20" s="30"/>
      <c r="AG20" s="28" t="str">
        <f t="shared" si="2"/>
        <v>(173*'28'*507*'6,35 / 7,14 / 7,22 / 8,74 / 9,25 / 12,7 / 14,27'*'0,0457'*66*66*0*0*21*13,6*3*14*NULL*8*8*21*12)*</v>
      </c>
    </row>
    <row r="21" spans="1:33" ht="20.100000000000001" customHeight="1" x14ac:dyDescent="0.25">
      <c r="A21" s="3">
        <v>174</v>
      </c>
      <c r="B21" s="22" t="s">
        <v>368</v>
      </c>
      <c r="C21" s="6">
        <v>40029</v>
      </c>
      <c r="D21" s="23">
        <v>1</v>
      </c>
      <c r="E21" s="7" t="s">
        <v>560</v>
      </c>
      <c r="F21" s="7">
        <v>13</v>
      </c>
      <c r="G21" s="7">
        <v>12</v>
      </c>
      <c r="H21" s="24">
        <v>30</v>
      </c>
      <c r="I21" s="25">
        <v>646</v>
      </c>
      <c r="J21" s="7" t="s">
        <v>625</v>
      </c>
      <c r="K21" s="7">
        <v>4.5699999999999998E-2</v>
      </c>
      <c r="L21" s="7">
        <v>82.9</v>
      </c>
      <c r="M21" s="7">
        <v>82.9</v>
      </c>
      <c r="N21" s="7">
        <v>0</v>
      </c>
      <c r="O21" s="7">
        <v>0</v>
      </c>
      <c r="P21" s="7">
        <v>11.41</v>
      </c>
      <c r="Q21" s="7">
        <v>11.41</v>
      </c>
      <c r="R21" s="7" t="s">
        <v>557</v>
      </c>
      <c r="S21" s="7">
        <v>4</v>
      </c>
      <c r="T21" s="7" t="s">
        <v>558</v>
      </c>
      <c r="U21" s="7">
        <v>11</v>
      </c>
      <c r="V21" s="7" t="s">
        <v>20</v>
      </c>
      <c r="W21" s="7" t="s">
        <v>20</v>
      </c>
      <c r="X21" s="7" t="s">
        <v>368</v>
      </c>
      <c r="Y21" s="7">
        <v>9</v>
      </c>
      <c r="Z21" s="26" t="s">
        <v>33</v>
      </c>
      <c r="AA21" s="7">
        <v>8</v>
      </c>
      <c r="AB21" s="26" t="s">
        <v>564</v>
      </c>
      <c r="AC21" s="7">
        <v>34</v>
      </c>
      <c r="AD21" s="7">
        <v>12</v>
      </c>
      <c r="AE21" s="7" t="s">
        <v>626</v>
      </c>
      <c r="AF21" s="7"/>
      <c r="AG21" s="28" t="str">
        <f t="shared" si="2"/>
        <v>(174*'30'*646*'7,92/ 8,74/ 9,53/ 10,31/ 11,91/ 14,27'*'0,0457'*82,9*82,9*0*0*11,41*11,41*4*11*NULL*9*8*34*12)*</v>
      </c>
    </row>
    <row r="22" spans="1:33" ht="20.100000000000001" customHeight="1" x14ac:dyDescent="0.25">
      <c r="A22" s="3">
        <v>175</v>
      </c>
      <c r="B22" s="22" t="s">
        <v>371</v>
      </c>
      <c r="C22" s="6">
        <v>21916</v>
      </c>
      <c r="D22" s="23">
        <v>1</v>
      </c>
      <c r="E22" s="7" t="s">
        <v>586</v>
      </c>
      <c r="F22" s="7">
        <v>14</v>
      </c>
      <c r="G22" s="7">
        <v>12</v>
      </c>
      <c r="H22" s="24" t="s">
        <v>627</v>
      </c>
      <c r="I22" s="25">
        <v>565</v>
      </c>
      <c r="J22" s="7" t="s">
        <v>606</v>
      </c>
      <c r="K22" s="7">
        <v>4.5699999999999998E-2</v>
      </c>
      <c r="L22" s="7">
        <v>49</v>
      </c>
      <c r="M22" s="7">
        <v>11</v>
      </c>
      <c r="N22" s="7">
        <v>0</v>
      </c>
      <c r="O22" s="7">
        <v>0</v>
      </c>
      <c r="P22" s="7">
        <v>7.9</v>
      </c>
      <c r="Q22" s="7">
        <v>7.9</v>
      </c>
      <c r="R22" s="7" t="s">
        <v>551</v>
      </c>
      <c r="S22" s="7">
        <v>3</v>
      </c>
      <c r="T22" s="7" t="s">
        <v>598</v>
      </c>
      <c r="U22" s="7">
        <v>14</v>
      </c>
      <c r="V22" s="7" t="s">
        <v>591</v>
      </c>
      <c r="W22" s="7">
        <v>17</v>
      </c>
      <c r="X22" s="7" t="s">
        <v>371</v>
      </c>
      <c r="Y22" s="7">
        <v>10</v>
      </c>
      <c r="Z22" s="26" t="s">
        <v>628</v>
      </c>
      <c r="AA22" s="7">
        <v>29</v>
      </c>
      <c r="AB22" s="26" t="s">
        <v>31</v>
      </c>
      <c r="AC22" s="7">
        <v>7</v>
      </c>
      <c r="AD22" s="7">
        <v>12</v>
      </c>
      <c r="AE22" s="7" t="s">
        <v>629</v>
      </c>
      <c r="AF22" s="7"/>
      <c r="AG22" s="28" t="str">
        <f t="shared" si="2"/>
        <v>(175*'24/30'*565*'7,14 / 8,74'*'0,0457'*49*11*0*0*7,9*7,9*3*14*17*10*29*7*12)*</v>
      </c>
    </row>
    <row r="23" spans="1:33" ht="20.100000000000001" customHeight="1" x14ac:dyDescent="0.25">
      <c r="A23" s="3">
        <v>176</v>
      </c>
      <c r="B23" s="22" t="s">
        <v>630</v>
      </c>
      <c r="C23" s="6"/>
      <c r="D23" s="23">
        <v>1</v>
      </c>
      <c r="E23" s="7" t="s">
        <v>548</v>
      </c>
      <c r="F23" s="7">
        <v>11</v>
      </c>
      <c r="G23" s="7">
        <v>12</v>
      </c>
      <c r="H23" s="32">
        <v>16</v>
      </c>
      <c r="I23" s="25"/>
      <c r="J23" s="7"/>
      <c r="K23" s="7">
        <v>4.5699999999999998E-2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 t="s">
        <v>551</v>
      </c>
      <c r="S23" s="7">
        <v>3</v>
      </c>
      <c r="T23" s="7" t="s">
        <v>20</v>
      </c>
      <c r="U23" s="7" t="s">
        <v>20</v>
      </c>
      <c r="V23" s="7" t="s">
        <v>20</v>
      </c>
      <c r="W23" s="7" t="s">
        <v>20</v>
      </c>
      <c r="X23" s="7" t="s">
        <v>631</v>
      </c>
      <c r="Y23" s="7">
        <v>11</v>
      </c>
      <c r="Z23" s="26" t="s">
        <v>33</v>
      </c>
      <c r="AA23" s="7">
        <v>8</v>
      </c>
      <c r="AB23" s="26" t="s">
        <v>554</v>
      </c>
      <c r="AC23" s="7">
        <v>21</v>
      </c>
      <c r="AD23" s="7">
        <v>12</v>
      </c>
      <c r="AE23" s="7"/>
      <c r="AF23" s="7"/>
      <c r="AG23" s="28" t="str">
        <f t="shared" si="2"/>
        <v>(176*'16'**''*'0,0457'*0*0*0*0*0*0*3*NULL*NULL*11*8*21*12)*</v>
      </c>
    </row>
    <row r="24" spans="1:33" ht="20.100000000000001" customHeight="1" x14ac:dyDescent="0.25">
      <c r="A24" s="3">
        <v>177</v>
      </c>
      <c r="B24" s="22" t="s">
        <v>376</v>
      </c>
      <c r="C24" s="6">
        <v>30720</v>
      </c>
      <c r="D24" s="23">
        <v>1</v>
      </c>
      <c r="E24" s="7" t="s">
        <v>548</v>
      </c>
      <c r="F24" s="7">
        <v>11</v>
      </c>
      <c r="G24" s="7">
        <v>12</v>
      </c>
      <c r="H24" s="24">
        <v>24</v>
      </c>
      <c r="I24" s="25">
        <v>503.46</v>
      </c>
      <c r="J24" s="7" t="s">
        <v>632</v>
      </c>
      <c r="K24" s="7">
        <v>0.05</v>
      </c>
      <c r="L24" s="7">
        <v>84</v>
      </c>
      <c r="M24" s="7">
        <v>84</v>
      </c>
      <c r="N24" s="7">
        <v>0</v>
      </c>
      <c r="O24" s="7">
        <v>0</v>
      </c>
      <c r="P24" s="7">
        <v>9</v>
      </c>
      <c r="Q24" s="7">
        <v>9</v>
      </c>
      <c r="R24" s="7" t="s">
        <v>562</v>
      </c>
      <c r="S24" s="7">
        <v>3</v>
      </c>
      <c r="T24" s="7" t="s">
        <v>598</v>
      </c>
      <c r="U24" s="7">
        <v>14</v>
      </c>
      <c r="V24" s="7" t="s">
        <v>20</v>
      </c>
      <c r="W24" s="7" t="s">
        <v>20</v>
      </c>
      <c r="X24" s="7" t="s">
        <v>631</v>
      </c>
      <c r="Y24" s="7">
        <v>11</v>
      </c>
      <c r="Z24" s="26" t="s">
        <v>33</v>
      </c>
      <c r="AA24" s="7">
        <v>8</v>
      </c>
      <c r="AB24" s="26" t="s">
        <v>554</v>
      </c>
      <c r="AC24" s="7">
        <v>21</v>
      </c>
      <c r="AD24" s="7">
        <v>12</v>
      </c>
      <c r="AE24" s="7" t="s">
        <v>633</v>
      </c>
      <c r="AF24" s="7"/>
      <c r="AG24" s="28" t="str">
        <f t="shared" si="2"/>
        <v>(177*'24'*503,46*'9,52 / 11,91 '*'0,05'*84*84*0*0*9*9*3*14*NULL*11*8*21*12)*</v>
      </c>
    </row>
    <row r="25" spans="1:33" ht="20.100000000000001" customHeight="1" x14ac:dyDescent="0.25">
      <c r="A25" s="3">
        <v>178</v>
      </c>
      <c r="B25" s="22" t="s">
        <v>379</v>
      </c>
      <c r="C25" s="6">
        <v>39814</v>
      </c>
      <c r="D25" s="23">
        <v>1</v>
      </c>
      <c r="E25" s="7" t="s">
        <v>548</v>
      </c>
      <c r="F25" s="7">
        <v>11</v>
      </c>
      <c r="G25" s="7">
        <v>12</v>
      </c>
      <c r="H25" s="24">
        <v>24</v>
      </c>
      <c r="I25" s="25">
        <v>495</v>
      </c>
      <c r="J25" s="30" t="s">
        <v>634</v>
      </c>
      <c r="K25" s="7">
        <v>0.05</v>
      </c>
      <c r="L25" s="7">
        <v>114.1</v>
      </c>
      <c r="M25" s="7">
        <v>114.1</v>
      </c>
      <c r="N25" s="7">
        <v>0</v>
      </c>
      <c r="O25" s="7">
        <v>0</v>
      </c>
      <c r="P25" s="7">
        <v>6</v>
      </c>
      <c r="Q25" s="7">
        <v>6</v>
      </c>
      <c r="R25" s="7" t="s">
        <v>635</v>
      </c>
      <c r="S25" s="7">
        <v>4</v>
      </c>
      <c r="T25" s="7" t="s">
        <v>558</v>
      </c>
      <c r="U25" s="7">
        <v>11</v>
      </c>
      <c r="V25" s="7" t="s">
        <v>20</v>
      </c>
      <c r="W25" s="7" t="s">
        <v>20</v>
      </c>
      <c r="X25" s="7" t="s">
        <v>631</v>
      </c>
      <c r="Y25" s="7">
        <v>11</v>
      </c>
      <c r="Z25" s="26" t="s">
        <v>33</v>
      </c>
      <c r="AA25" s="7">
        <v>8</v>
      </c>
      <c r="AB25" s="26" t="s">
        <v>554</v>
      </c>
      <c r="AC25" s="7">
        <v>21</v>
      </c>
      <c r="AD25" s="7">
        <v>12</v>
      </c>
      <c r="AE25" s="7" t="s">
        <v>636</v>
      </c>
      <c r="AF25" s="7"/>
      <c r="AG25" s="28" t="str">
        <f t="shared" si="2"/>
        <v>(178*'24'*495*'8,74 / 9,52 / 10,31 / 12,70 / 14,27 / 15,88 / 19,05 / 17,5'*'0,05'*114,1*114,1*0*0*6*6*4*11*NULL*11*8*21*12)*</v>
      </c>
    </row>
    <row r="26" spans="1:33" ht="20.100000000000001" customHeight="1" x14ac:dyDescent="0.25">
      <c r="A26" s="3">
        <v>179</v>
      </c>
      <c r="B26" s="22" t="s">
        <v>382</v>
      </c>
      <c r="C26" s="6">
        <v>35065</v>
      </c>
      <c r="D26" s="23">
        <v>1</v>
      </c>
      <c r="E26" s="7" t="s">
        <v>605</v>
      </c>
      <c r="F26" s="7">
        <v>12</v>
      </c>
      <c r="G26" s="7">
        <v>12</v>
      </c>
      <c r="H26" s="24" t="s">
        <v>637</v>
      </c>
      <c r="I26" s="25">
        <v>989</v>
      </c>
      <c r="J26" s="7" t="s">
        <v>632</v>
      </c>
      <c r="K26" s="7">
        <v>0.05</v>
      </c>
      <c r="L26" s="7">
        <v>91.7</v>
      </c>
      <c r="M26" s="7">
        <v>91.7</v>
      </c>
      <c r="N26" s="7">
        <v>0</v>
      </c>
      <c r="O26" s="7">
        <v>0</v>
      </c>
      <c r="P26" s="7">
        <v>6.5</v>
      </c>
      <c r="Q26" s="7">
        <v>5.7</v>
      </c>
      <c r="R26" s="7" t="s">
        <v>557</v>
      </c>
      <c r="S26" s="7">
        <v>4</v>
      </c>
      <c r="T26" s="7" t="s">
        <v>558</v>
      </c>
      <c r="U26" s="7">
        <v>11</v>
      </c>
      <c r="V26" s="7" t="s">
        <v>20</v>
      </c>
      <c r="W26" s="7" t="s">
        <v>20</v>
      </c>
      <c r="X26" s="7" t="s">
        <v>638</v>
      </c>
      <c r="Y26" s="7">
        <v>12</v>
      </c>
      <c r="Z26" s="26" t="s">
        <v>639</v>
      </c>
      <c r="AA26" s="7">
        <v>20</v>
      </c>
      <c r="AB26" s="26" t="s">
        <v>33</v>
      </c>
      <c r="AC26" s="7">
        <v>8</v>
      </c>
      <c r="AD26" s="7">
        <v>12</v>
      </c>
      <c r="AE26" s="7" t="s">
        <v>640</v>
      </c>
      <c r="AF26" s="7"/>
      <c r="AG26" s="28" t="str">
        <f t="shared" si="2"/>
        <v>(179*'10 / 12 / 14 / 16 / 20 / 24'*989*'9,52 / 11,91 '*'0,05'*91,7*91,7*0*0*6,5*5,7*4*11*NULL*12*20*8*12)*</v>
      </c>
    </row>
    <row r="27" spans="1:33" ht="20.100000000000001" customHeight="1" x14ac:dyDescent="0.25">
      <c r="A27" s="3">
        <v>179</v>
      </c>
      <c r="B27" s="33" t="s">
        <v>641</v>
      </c>
      <c r="C27" s="6"/>
      <c r="D27" s="23">
        <v>1</v>
      </c>
      <c r="E27" s="7" t="s">
        <v>548</v>
      </c>
      <c r="F27" s="7">
        <v>11</v>
      </c>
      <c r="G27" s="7">
        <v>12</v>
      </c>
      <c r="H27" s="32">
        <v>12</v>
      </c>
      <c r="I27" s="25"/>
      <c r="J27" s="7" t="s">
        <v>642</v>
      </c>
      <c r="K27" s="7">
        <v>0.05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 t="s">
        <v>557</v>
      </c>
      <c r="S27" s="7">
        <v>4</v>
      </c>
      <c r="T27" s="7" t="s">
        <v>20</v>
      </c>
      <c r="U27" s="7" t="s">
        <v>20</v>
      </c>
      <c r="V27" s="7" t="s">
        <v>20</v>
      </c>
      <c r="W27" s="7" t="s">
        <v>20</v>
      </c>
      <c r="X27" s="7" t="s">
        <v>638</v>
      </c>
      <c r="Y27" s="7">
        <v>12</v>
      </c>
      <c r="Z27" s="26" t="s">
        <v>33</v>
      </c>
      <c r="AA27" s="7">
        <v>8</v>
      </c>
      <c r="AB27" s="26" t="s">
        <v>554</v>
      </c>
      <c r="AC27" s="7">
        <v>21</v>
      </c>
      <c r="AD27" s="7">
        <v>12</v>
      </c>
      <c r="AE27" s="7"/>
      <c r="AF27" s="7"/>
      <c r="AG27" s="28" t="str">
        <f t="shared" si="2"/>
        <v>(179*'12'**'11,91 / 12,7 / 14,25 / 19,05'*'0,05'*0*0*0*0*0*0*4*NULL*NULL*12*8*21*12)*</v>
      </c>
    </row>
    <row r="28" spans="1:33" ht="20.100000000000001" customHeight="1" x14ac:dyDescent="0.25">
      <c r="A28" s="3">
        <v>180</v>
      </c>
      <c r="B28" s="22" t="s">
        <v>385</v>
      </c>
      <c r="C28" s="6">
        <v>38264</v>
      </c>
      <c r="D28" s="23">
        <v>1</v>
      </c>
      <c r="E28" s="7" t="s">
        <v>605</v>
      </c>
      <c r="F28" s="7">
        <v>12</v>
      </c>
      <c r="G28" s="7">
        <v>12</v>
      </c>
      <c r="H28" s="24">
        <v>16</v>
      </c>
      <c r="I28" s="25">
        <v>404</v>
      </c>
      <c r="J28" s="7" t="s">
        <v>643</v>
      </c>
      <c r="K28" s="7">
        <v>4.5999999999999999E-2</v>
      </c>
      <c r="L28" s="7">
        <v>89.2</v>
      </c>
      <c r="M28" s="7">
        <v>89.2</v>
      </c>
      <c r="N28" s="7">
        <v>0</v>
      </c>
      <c r="O28" s="7">
        <v>0</v>
      </c>
      <c r="P28" s="7">
        <v>3.26</v>
      </c>
      <c r="Q28" s="7">
        <v>3.26</v>
      </c>
      <c r="R28" s="7" t="s">
        <v>557</v>
      </c>
      <c r="S28" s="7">
        <v>4</v>
      </c>
      <c r="T28" s="7" t="s">
        <v>558</v>
      </c>
      <c r="U28" s="7">
        <v>11</v>
      </c>
      <c r="V28" s="7" t="s">
        <v>20</v>
      </c>
      <c r="W28" s="7" t="s">
        <v>20</v>
      </c>
      <c r="X28" s="7" t="s">
        <v>638</v>
      </c>
      <c r="Y28" s="7">
        <v>12</v>
      </c>
      <c r="Z28" s="26" t="s">
        <v>644</v>
      </c>
      <c r="AA28" s="7">
        <v>16</v>
      </c>
      <c r="AB28" s="26" t="s">
        <v>645</v>
      </c>
      <c r="AC28" s="7">
        <v>26</v>
      </c>
      <c r="AD28" s="7">
        <v>12</v>
      </c>
      <c r="AE28" s="7" t="s">
        <v>646</v>
      </c>
      <c r="AF28" s="7"/>
      <c r="AG28" s="28" t="str">
        <f t="shared" si="2"/>
        <v>(180*'16'*404*'7,92 / 11,13'*'0,046'*89,2*89,2*0*0*3,26*3,26*4*11*NULL*12*16*26*12)*</v>
      </c>
    </row>
    <row r="29" spans="1:33" ht="20.100000000000001" customHeight="1" x14ac:dyDescent="0.25">
      <c r="A29" s="3">
        <v>181</v>
      </c>
      <c r="B29" s="22" t="s">
        <v>388</v>
      </c>
      <c r="C29" s="6">
        <v>41640</v>
      </c>
      <c r="D29" s="23">
        <v>1</v>
      </c>
      <c r="E29" s="7" t="s">
        <v>605</v>
      </c>
      <c r="F29" s="7">
        <v>12</v>
      </c>
      <c r="G29" s="7">
        <v>12</v>
      </c>
      <c r="H29" s="24">
        <v>24</v>
      </c>
      <c r="I29" s="25">
        <v>336</v>
      </c>
      <c r="J29" s="7" t="s">
        <v>647</v>
      </c>
      <c r="K29" s="7">
        <v>4.5999999999999999E-2</v>
      </c>
      <c r="L29" s="7">
        <v>77</v>
      </c>
      <c r="M29" s="7">
        <v>77</v>
      </c>
      <c r="N29" s="7">
        <v>0</v>
      </c>
      <c r="O29" s="7">
        <v>0</v>
      </c>
      <c r="P29" s="7">
        <v>4.5</v>
      </c>
      <c r="Q29" s="7">
        <v>4.5</v>
      </c>
      <c r="R29" s="7" t="s">
        <v>557</v>
      </c>
      <c r="S29" s="7">
        <v>4</v>
      </c>
      <c r="T29" s="7" t="s">
        <v>579</v>
      </c>
      <c r="U29" s="7">
        <v>21</v>
      </c>
      <c r="V29" s="7" t="s">
        <v>20</v>
      </c>
      <c r="W29" s="7" t="s">
        <v>20</v>
      </c>
      <c r="X29" s="7" t="s">
        <v>638</v>
      </c>
      <c r="Y29" s="7">
        <v>12</v>
      </c>
      <c r="Z29" s="26" t="s">
        <v>648</v>
      </c>
      <c r="AA29" s="7">
        <v>14</v>
      </c>
      <c r="AB29" s="26" t="s">
        <v>33</v>
      </c>
      <c r="AC29" s="7">
        <v>8</v>
      </c>
      <c r="AD29" s="7">
        <v>12</v>
      </c>
      <c r="AE29" s="7" t="s">
        <v>649</v>
      </c>
      <c r="AF29" s="7"/>
      <c r="AG29" s="28" t="str">
        <f t="shared" si="2"/>
        <v>(181*'24'*336*'14,3 / 9,52 / 11,13 / 15,88 / 10,31'*'0,046'*77*77*0*0*4,5*4,5*4*21*NULL*12*14*8*12)*</v>
      </c>
    </row>
    <row r="30" spans="1:33" ht="20.100000000000001" customHeight="1" x14ac:dyDescent="0.25">
      <c r="A30" s="3">
        <v>182</v>
      </c>
      <c r="B30" s="22" t="s">
        <v>391</v>
      </c>
      <c r="C30" s="6">
        <v>22282</v>
      </c>
      <c r="D30" s="23">
        <v>1</v>
      </c>
      <c r="E30" s="7" t="s">
        <v>548</v>
      </c>
      <c r="F30" s="7">
        <v>11</v>
      </c>
      <c r="G30" s="7">
        <v>16</v>
      </c>
      <c r="H30" s="24" t="s">
        <v>650</v>
      </c>
      <c r="I30" s="25">
        <v>509</v>
      </c>
      <c r="J30" s="7" t="s">
        <v>651</v>
      </c>
      <c r="K30" s="7">
        <v>1.4999999999999999E-2</v>
      </c>
      <c r="L30" s="7">
        <v>65</v>
      </c>
      <c r="M30" s="7">
        <v>0</v>
      </c>
      <c r="N30" s="7">
        <v>0</v>
      </c>
      <c r="O30" s="7">
        <v>0</v>
      </c>
      <c r="P30" s="7">
        <v>3.56</v>
      </c>
      <c r="Q30" s="7">
        <v>0</v>
      </c>
      <c r="R30" s="7" t="s">
        <v>562</v>
      </c>
      <c r="S30" s="7">
        <v>3</v>
      </c>
      <c r="T30" s="7" t="s">
        <v>652</v>
      </c>
      <c r="U30" s="7">
        <v>14</v>
      </c>
      <c r="V30" s="7" t="s">
        <v>653</v>
      </c>
      <c r="W30" s="7">
        <v>17</v>
      </c>
      <c r="X30" s="7" t="s">
        <v>391</v>
      </c>
      <c r="Y30" s="7">
        <v>13</v>
      </c>
      <c r="Z30" s="26" t="s">
        <v>33</v>
      </c>
      <c r="AA30" s="7">
        <v>8</v>
      </c>
      <c r="AB30" s="26" t="s">
        <v>554</v>
      </c>
      <c r="AC30" s="7">
        <v>21</v>
      </c>
      <c r="AD30" s="7">
        <v>16</v>
      </c>
      <c r="AE30" s="7" t="s">
        <v>654</v>
      </c>
      <c r="AF30" s="7"/>
      <c r="AG30" s="28" t="str">
        <f t="shared" si="2"/>
        <v>(182*'20 / 24'*509*'8,74 - 12,7 - 10,31 - 15,9'*'0,015'*65*0*0*0*3,56*0*3*14*17*13*8*21*16)*</v>
      </c>
    </row>
    <row r="31" spans="1:33" ht="20.100000000000001" customHeight="1" x14ac:dyDescent="0.25">
      <c r="A31" s="3">
        <v>183</v>
      </c>
      <c r="B31" s="22" t="s">
        <v>393</v>
      </c>
      <c r="C31" s="6">
        <v>44805</v>
      </c>
      <c r="D31" s="23">
        <v>1</v>
      </c>
      <c r="E31" s="7" t="s">
        <v>548</v>
      </c>
      <c r="F31" s="7">
        <v>11</v>
      </c>
      <c r="G31" s="7">
        <v>16</v>
      </c>
      <c r="H31" s="24">
        <v>20</v>
      </c>
      <c r="I31" s="25">
        <v>3.6</v>
      </c>
      <c r="J31" s="7">
        <v>11.13</v>
      </c>
      <c r="K31" s="7">
        <v>1.4999999999999999E-2</v>
      </c>
      <c r="L31" s="7">
        <v>70</v>
      </c>
      <c r="M31" s="7">
        <v>70</v>
      </c>
      <c r="N31" s="7">
        <v>0</v>
      </c>
      <c r="O31" s="7">
        <v>0</v>
      </c>
      <c r="P31" s="7">
        <v>0</v>
      </c>
      <c r="Q31" s="7">
        <v>0</v>
      </c>
      <c r="R31" s="7" t="s">
        <v>557</v>
      </c>
      <c r="S31" s="7">
        <v>4</v>
      </c>
      <c r="T31" s="7" t="s">
        <v>579</v>
      </c>
      <c r="U31" s="7">
        <v>21</v>
      </c>
      <c r="V31" s="7" t="s">
        <v>653</v>
      </c>
      <c r="W31" s="7">
        <v>17</v>
      </c>
      <c r="X31" s="7" t="s">
        <v>655</v>
      </c>
      <c r="Y31" s="7">
        <v>14</v>
      </c>
      <c r="Z31" s="26" t="s">
        <v>554</v>
      </c>
      <c r="AA31" s="7">
        <v>21</v>
      </c>
      <c r="AB31" s="26" t="s">
        <v>656</v>
      </c>
      <c r="AC31" s="13">
        <v>122</v>
      </c>
      <c r="AD31" s="7">
        <v>16</v>
      </c>
      <c r="AE31" s="7"/>
      <c r="AF31" s="7"/>
      <c r="AG31" s="28" t="str">
        <f t="shared" si="2"/>
        <v>(183*'20'*3,6*'11,13'*'0,015'*70*70*0*0*0*0*4*21*17*14*21*122*16)*</v>
      </c>
    </row>
    <row r="32" spans="1:33" ht="20.100000000000001" customHeight="1" x14ac:dyDescent="0.25">
      <c r="A32" s="3">
        <v>184</v>
      </c>
      <c r="B32" s="22" t="s">
        <v>396</v>
      </c>
      <c r="C32" s="6">
        <v>27760</v>
      </c>
      <c r="D32" s="23">
        <v>1</v>
      </c>
      <c r="E32" s="7" t="s">
        <v>548</v>
      </c>
      <c r="F32" s="7">
        <v>11</v>
      </c>
      <c r="G32" s="7">
        <v>16</v>
      </c>
      <c r="H32" s="24">
        <v>40</v>
      </c>
      <c r="I32" s="25">
        <v>507</v>
      </c>
      <c r="J32" s="7" t="s">
        <v>657</v>
      </c>
      <c r="K32" s="7">
        <v>1.4999999999999999E-2</v>
      </c>
      <c r="L32" s="7">
        <v>69.8</v>
      </c>
      <c r="M32" s="7">
        <v>69.8</v>
      </c>
      <c r="N32" s="7">
        <v>0</v>
      </c>
      <c r="O32" s="7">
        <v>0</v>
      </c>
      <c r="P32" s="7">
        <v>13.679</v>
      </c>
      <c r="Q32" s="7">
        <v>13.679</v>
      </c>
      <c r="R32" s="7" t="s">
        <v>562</v>
      </c>
      <c r="S32" s="7">
        <v>3</v>
      </c>
      <c r="T32" s="7" t="s">
        <v>652</v>
      </c>
      <c r="U32" s="7">
        <v>14</v>
      </c>
      <c r="V32" s="7" t="s">
        <v>653</v>
      </c>
      <c r="W32" s="7">
        <v>17</v>
      </c>
      <c r="X32" s="7" t="s">
        <v>655</v>
      </c>
      <c r="Y32" s="7">
        <v>14</v>
      </c>
      <c r="Z32" s="26" t="s">
        <v>33</v>
      </c>
      <c r="AA32" s="7">
        <v>8</v>
      </c>
      <c r="AB32" s="26" t="s">
        <v>554</v>
      </c>
      <c r="AC32" s="7">
        <v>21</v>
      </c>
      <c r="AD32" s="7">
        <v>16</v>
      </c>
      <c r="AE32" s="7" t="s">
        <v>658</v>
      </c>
      <c r="AF32" s="7"/>
      <c r="AG32" s="28" t="str">
        <f t="shared" si="2"/>
        <v>(184*'40'*507*'11,13 - 12,7 - 19,05'*'0,015'*69,8*69,8*0*0*13,679*13,679*3*14*17*14*8*21*16)*</v>
      </c>
    </row>
    <row r="33" spans="1:33" ht="20.100000000000001" customHeight="1" x14ac:dyDescent="0.25">
      <c r="A33" s="3">
        <v>185</v>
      </c>
      <c r="B33" s="22" t="s">
        <v>399</v>
      </c>
      <c r="C33" s="6">
        <v>29952</v>
      </c>
      <c r="D33" s="23">
        <v>1</v>
      </c>
      <c r="E33" s="7" t="s">
        <v>548</v>
      </c>
      <c r="F33" s="7">
        <v>11</v>
      </c>
      <c r="G33" s="7">
        <v>16</v>
      </c>
      <c r="H33" s="24">
        <v>40</v>
      </c>
      <c r="I33" s="25">
        <v>511</v>
      </c>
      <c r="J33" s="7" t="s">
        <v>657</v>
      </c>
      <c r="K33" s="7">
        <v>1.4999999999999999E-2</v>
      </c>
      <c r="L33" s="7">
        <v>67</v>
      </c>
      <c r="M33" s="7">
        <v>67</v>
      </c>
      <c r="N33" s="7">
        <v>0</v>
      </c>
      <c r="O33" s="7">
        <v>0</v>
      </c>
      <c r="P33" s="7">
        <v>12.507</v>
      </c>
      <c r="Q33" s="7">
        <v>12.507</v>
      </c>
      <c r="R33" s="7" t="s">
        <v>562</v>
      </c>
      <c r="S33" s="7">
        <v>3</v>
      </c>
      <c r="T33" s="7" t="s">
        <v>652</v>
      </c>
      <c r="U33" s="7">
        <v>14</v>
      </c>
      <c r="V33" s="7" t="s">
        <v>653</v>
      </c>
      <c r="W33" s="7">
        <v>17</v>
      </c>
      <c r="X33" s="7" t="s">
        <v>655</v>
      </c>
      <c r="Y33" s="7">
        <v>14</v>
      </c>
      <c r="Z33" s="26" t="s">
        <v>33</v>
      </c>
      <c r="AA33" s="7">
        <v>8</v>
      </c>
      <c r="AB33" s="26" t="s">
        <v>554</v>
      </c>
      <c r="AC33" s="7">
        <v>21</v>
      </c>
      <c r="AD33" s="7">
        <v>16</v>
      </c>
      <c r="AE33" s="7" t="s">
        <v>659</v>
      </c>
      <c r="AF33" s="7"/>
      <c r="AG33" s="28" t="str">
        <f t="shared" si="2"/>
        <v>(185*'40'*511*'11,13 - 12,7 - 19,05'*'0,015'*67*67*0*0*12,507*12,507*3*14*17*14*8*21*16)*</v>
      </c>
    </row>
    <row r="34" spans="1:33" ht="20.100000000000001" customHeight="1" x14ac:dyDescent="0.25">
      <c r="A34" s="3">
        <v>186</v>
      </c>
      <c r="B34" s="22" t="s">
        <v>401</v>
      </c>
      <c r="C34" s="6"/>
      <c r="D34" s="23">
        <v>1</v>
      </c>
      <c r="E34" s="7" t="s">
        <v>548</v>
      </c>
      <c r="F34" s="7">
        <v>11</v>
      </c>
      <c r="G34" s="7">
        <v>16</v>
      </c>
      <c r="H34" s="24">
        <v>40</v>
      </c>
      <c r="I34" s="25">
        <v>221</v>
      </c>
      <c r="J34" s="7" t="s">
        <v>642</v>
      </c>
      <c r="K34" s="7">
        <v>1.4999999999999999E-2</v>
      </c>
      <c r="L34" s="7">
        <v>67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 t="s">
        <v>557</v>
      </c>
      <c r="S34" s="7">
        <v>4</v>
      </c>
      <c r="T34" s="7" t="s">
        <v>20</v>
      </c>
      <c r="U34" s="7" t="s">
        <v>20</v>
      </c>
      <c r="V34" s="7" t="s">
        <v>20</v>
      </c>
      <c r="W34" s="7" t="s">
        <v>20</v>
      </c>
      <c r="X34" s="7" t="s">
        <v>655</v>
      </c>
      <c r="Y34" s="7">
        <v>14</v>
      </c>
      <c r="Z34" s="26"/>
      <c r="AA34" s="13"/>
      <c r="AB34" s="26"/>
      <c r="AC34" s="13"/>
      <c r="AD34" s="7"/>
      <c r="AE34" s="7"/>
      <c r="AF34" s="7"/>
      <c r="AG34" s="28" t="str">
        <f t="shared" si="1"/>
        <v>(186*'40'*221*'11,91 / 12,7 / 14,25 / 19,05'*'0,015'*67*0*0*0*0*0*4*NULL*NULL*14**)*</v>
      </c>
    </row>
    <row r="35" spans="1:33" ht="20.100000000000001" customHeight="1" x14ac:dyDescent="0.25">
      <c r="A35" s="3">
        <v>187</v>
      </c>
      <c r="B35" s="22" t="s">
        <v>403</v>
      </c>
      <c r="C35" s="6">
        <v>32509</v>
      </c>
      <c r="D35" s="23">
        <v>1</v>
      </c>
      <c r="E35" s="7" t="s">
        <v>548</v>
      </c>
      <c r="F35" s="7">
        <v>11</v>
      </c>
      <c r="G35" s="7">
        <v>16</v>
      </c>
      <c r="H35" s="24">
        <v>42</v>
      </c>
      <c r="I35" s="25">
        <v>517</v>
      </c>
      <c r="J35" s="7" t="s">
        <v>660</v>
      </c>
      <c r="K35" s="7">
        <v>1.4999999999999999E-2</v>
      </c>
      <c r="L35" s="7">
        <v>65</v>
      </c>
      <c r="M35" s="7">
        <v>65</v>
      </c>
      <c r="N35" s="7">
        <v>0</v>
      </c>
      <c r="O35" s="7">
        <v>0</v>
      </c>
      <c r="P35" s="7">
        <v>14.462</v>
      </c>
      <c r="Q35" s="7">
        <v>14.462</v>
      </c>
      <c r="R35" s="7" t="s">
        <v>661</v>
      </c>
      <c r="S35" s="7">
        <v>4</v>
      </c>
      <c r="T35" s="7" t="s">
        <v>662</v>
      </c>
      <c r="U35" s="7">
        <v>14</v>
      </c>
      <c r="V35" s="7" t="s">
        <v>653</v>
      </c>
      <c r="W35" s="7">
        <v>17</v>
      </c>
      <c r="X35" s="7" t="s">
        <v>655</v>
      </c>
      <c r="Y35" s="7">
        <v>14</v>
      </c>
      <c r="Z35" s="26" t="s">
        <v>33</v>
      </c>
      <c r="AA35" s="7">
        <v>8</v>
      </c>
      <c r="AB35" s="26" t="s">
        <v>554</v>
      </c>
      <c r="AC35" s="7">
        <v>21</v>
      </c>
      <c r="AD35" s="7">
        <v>16</v>
      </c>
      <c r="AE35" s="7" t="s">
        <v>663</v>
      </c>
      <c r="AF35" s="7"/>
      <c r="AG35" s="28" t="str">
        <f>CONCATENATE("(",A35,"*'",H35,"'*",I35,"*'",J35,"'*'",K35,"'*",L35,"*",M35,"*",N35,"*",O35,"*",P35,"*",Q35,"*",S35,"*",U35,"*",W35,"*",Y35,"*",AA35,"*",AC35,"*",AD35,")*")</f>
        <v>(187*'42'*517*'11,13 / 12,7 / 14,3 / 0,6 '*'0,015'*65*65*0*0*14,462*14,462*4*14*17*14*8*21*16)*</v>
      </c>
    </row>
    <row r="36" spans="1:33" ht="20.100000000000001" customHeight="1" x14ac:dyDescent="0.25">
      <c r="A36" s="3">
        <v>188</v>
      </c>
      <c r="B36" s="22" t="s">
        <v>406</v>
      </c>
      <c r="C36" s="6"/>
      <c r="D36" s="23">
        <v>1</v>
      </c>
      <c r="E36" s="7" t="s">
        <v>548</v>
      </c>
      <c r="F36" s="7">
        <v>11</v>
      </c>
      <c r="G36" s="7">
        <v>16</v>
      </c>
      <c r="H36" s="24"/>
      <c r="I36" s="25"/>
      <c r="J36" s="24" t="s">
        <v>664</v>
      </c>
      <c r="K36" s="7">
        <v>1.4999999999999999E-2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 t="s">
        <v>557</v>
      </c>
      <c r="S36" s="7">
        <v>4</v>
      </c>
      <c r="T36" s="7" t="s">
        <v>20</v>
      </c>
      <c r="U36" s="7" t="s">
        <v>20</v>
      </c>
      <c r="V36" s="7" t="s">
        <v>20</v>
      </c>
      <c r="W36" s="7" t="s">
        <v>20</v>
      </c>
      <c r="X36" s="7" t="s">
        <v>655</v>
      </c>
      <c r="Y36" s="7">
        <v>14</v>
      </c>
      <c r="Z36" s="26"/>
      <c r="AA36" s="13"/>
      <c r="AB36" s="26"/>
      <c r="AC36" s="13"/>
      <c r="AD36" s="7"/>
      <c r="AE36" s="7"/>
      <c r="AF36" s="7"/>
      <c r="AG36" s="28" t="str">
        <f t="shared" si="1"/>
        <v>(188*''**'11,91 - 22,22'*'0,015'*0*0*0*0*0*0*4*NULL*NULL*14**)*</v>
      </c>
    </row>
    <row r="37" spans="1:33" ht="20.100000000000001" customHeight="1" x14ac:dyDescent="0.25">
      <c r="A37" s="3">
        <v>189</v>
      </c>
      <c r="B37" s="22" t="s">
        <v>409</v>
      </c>
      <c r="C37" s="6"/>
      <c r="D37" s="23">
        <v>1</v>
      </c>
      <c r="E37" s="7" t="s">
        <v>548</v>
      </c>
      <c r="F37" s="7">
        <v>11</v>
      </c>
      <c r="G37" s="7">
        <v>16</v>
      </c>
      <c r="H37" s="24"/>
      <c r="I37" s="25"/>
      <c r="J37" s="24" t="s">
        <v>664</v>
      </c>
      <c r="K37" s="7">
        <v>1.4999999999999999E-2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 t="s">
        <v>557</v>
      </c>
      <c r="S37" s="7">
        <v>4</v>
      </c>
      <c r="T37" s="7" t="s">
        <v>20</v>
      </c>
      <c r="U37" s="7" t="s">
        <v>20</v>
      </c>
      <c r="V37" s="7" t="s">
        <v>20</v>
      </c>
      <c r="W37" s="7" t="s">
        <v>20</v>
      </c>
      <c r="X37" s="7" t="s">
        <v>655</v>
      </c>
      <c r="Y37" s="7">
        <v>14</v>
      </c>
      <c r="Z37" s="26"/>
      <c r="AA37" s="13"/>
      <c r="AB37" s="26"/>
      <c r="AC37" s="13"/>
      <c r="AD37" s="7"/>
      <c r="AE37" s="7"/>
      <c r="AF37" s="7"/>
      <c r="AG37" s="28" t="str">
        <f t="shared" si="1"/>
        <v>(189*''**'11,91 - 22,22'*'0,015'*0*0*0*0*0*0*4*NULL*NULL*14**)*</v>
      </c>
    </row>
    <row r="38" spans="1:33" ht="20.100000000000001" customHeight="1" x14ac:dyDescent="0.25">
      <c r="A38" s="3">
        <v>190</v>
      </c>
      <c r="B38" s="22" t="s">
        <v>411</v>
      </c>
      <c r="C38" s="6">
        <v>39841</v>
      </c>
      <c r="D38" s="23">
        <v>1</v>
      </c>
      <c r="E38" s="7" t="s">
        <v>548</v>
      </c>
      <c r="F38" s="7">
        <v>11</v>
      </c>
      <c r="G38" s="7">
        <v>16</v>
      </c>
      <c r="H38" s="24">
        <v>48</v>
      </c>
      <c r="I38" s="25">
        <v>513.17200000000003</v>
      </c>
      <c r="J38" s="24" t="s">
        <v>664</v>
      </c>
      <c r="K38" s="7">
        <v>1.4999999999999999E-2</v>
      </c>
      <c r="L38" s="7">
        <v>70</v>
      </c>
      <c r="M38" s="7">
        <v>70</v>
      </c>
      <c r="N38" s="7">
        <v>0</v>
      </c>
      <c r="O38" s="7">
        <v>0</v>
      </c>
      <c r="P38" s="7">
        <v>0</v>
      </c>
      <c r="Q38" s="7">
        <v>0</v>
      </c>
      <c r="R38" s="7" t="s">
        <v>665</v>
      </c>
      <c r="S38" s="7">
        <v>6</v>
      </c>
      <c r="T38" s="7" t="s">
        <v>558</v>
      </c>
      <c r="U38" s="7">
        <v>11</v>
      </c>
      <c r="V38" s="7" t="s">
        <v>20</v>
      </c>
      <c r="W38" s="7" t="s">
        <v>20</v>
      </c>
      <c r="X38" s="7" t="s">
        <v>666</v>
      </c>
      <c r="Y38" s="7">
        <v>15</v>
      </c>
      <c r="Z38" s="26" t="s">
        <v>33</v>
      </c>
      <c r="AA38" s="7">
        <v>8</v>
      </c>
      <c r="AB38" s="26" t="s">
        <v>554</v>
      </c>
      <c r="AC38" s="7">
        <v>21</v>
      </c>
      <c r="AD38" s="7">
        <v>16</v>
      </c>
      <c r="AE38" s="7" t="s">
        <v>667</v>
      </c>
      <c r="AF38" s="7"/>
      <c r="AG38" s="28" t="str">
        <f>CONCATENATE("(",A38,"*'",H38,"'*",I38,"*'",J38,"'*'",K38,"'*",L38,"*",M38,"*",N38,"*",O38,"*",P38,"*",Q38,"*",S38,"*",U38,"*",W38,"*",Y38,"*",AA38,"*",AC38,"*",AD38,")*")</f>
        <v>(190*'48'*513,172*'11,91 - 22,22'*'0,015'*70*70*0*0*0*0*6*11*NULL*15*8*21*16)*</v>
      </c>
    </row>
    <row r="39" spans="1:33" ht="20.100000000000001" customHeight="1" x14ac:dyDescent="0.25">
      <c r="A39" s="3">
        <v>191</v>
      </c>
      <c r="B39" s="22" t="s">
        <v>414</v>
      </c>
      <c r="C39" s="6">
        <v>40284</v>
      </c>
      <c r="D39" s="23">
        <v>1</v>
      </c>
      <c r="E39" s="7" t="s">
        <v>548</v>
      </c>
      <c r="F39" s="7">
        <v>11</v>
      </c>
      <c r="G39" s="7">
        <v>16</v>
      </c>
      <c r="H39" s="24">
        <v>48</v>
      </c>
      <c r="I39" s="25">
        <v>120.37</v>
      </c>
      <c r="J39" s="24" t="s">
        <v>664</v>
      </c>
      <c r="K39" s="7">
        <v>1.4999999999999999E-2</v>
      </c>
      <c r="L39" s="7">
        <v>70</v>
      </c>
      <c r="M39" s="7">
        <v>45</v>
      </c>
      <c r="N39" s="7">
        <v>0</v>
      </c>
      <c r="O39" s="7">
        <v>0</v>
      </c>
      <c r="P39" s="7">
        <v>0</v>
      </c>
      <c r="Q39" s="7">
        <v>0</v>
      </c>
      <c r="R39" s="7" t="s">
        <v>665</v>
      </c>
      <c r="S39" s="7">
        <v>6</v>
      </c>
      <c r="T39" s="7" t="s">
        <v>558</v>
      </c>
      <c r="U39" s="7">
        <v>11</v>
      </c>
      <c r="V39" s="7" t="s">
        <v>20</v>
      </c>
      <c r="W39" s="7" t="s">
        <v>20</v>
      </c>
      <c r="X39" s="7" t="s">
        <v>666</v>
      </c>
      <c r="Y39" s="7">
        <v>15</v>
      </c>
      <c r="Z39" s="26" t="s">
        <v>668</v>
      </c>
      <c r="AA39" s="13" t="s">
        <v>668</v>
      </c>
      <c r="AB39" s="26" t="s">
        <v>669</v>
      </c>
      <c r="AC39" s="7">
        <v>3</v>
      </c>
      <c r="AD39" s="7"/>
      <c r="AE39" s="7" t="s">
        <v>670</v>
      </c>
      <c r="AF39" s="7"/>
      <c r="AG39" s="28" t="str">
        <f t="shared" si="1"/>
        <v>(191*'48'*120,37*'11,91 - 22,22'*'0,015'*70*45*0*0*0*0*6*11*NULL*15*Mactaa Douz*3)*</v>
      </c>
    </row>
    <row r="40" spans="1:33" ht="20.100000000000001" customHeight="1" x14ac:dyDescent="0.25">
      <c r="A40" s="3">
        <v>192</v>
      </c>
      <c r="B40" s="22" t="s">
        <v>416</v>
      </c>
      <c r="C40" s="6"/>
      <c r="D40" s="23">
        <v>1</v>
      </c>
      <c r="E40" s="7" t="s">
        <v>548</v>
      </c>
      <c r="F40" s="7">
        <v>11</v>
      </c>
      <c r="G40" s="7">
        <v>16</v>
      </c>
      <c r="H40" s="24"/>
      <c r="I40" s="25"/>
      <c r="J40" s="24" t="s">
        <v>664</v>
      </c>
      <c r="K40" s="7">
        <v>1.4999999999999999E-2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 t="s">
        <v>557</v>
      </c>
      <c r="S40" s="7">
        <v>4</v>
      </c>
      <c r="T40" s="7" t="s">
        <v>20</v>
      </c>
      <c r="U40" s="7" t="s">
        <v>20</v>
      </c>
      <c r="V40" s="7" t="s">
        <v>20</v>
      </c>
      <c r="W40" s="7" t="s">
        <v>20</v>
      </c>
      <c r="X40" s="7" t="s">
        <v>666</v>
      </c>
      <c r="Y40" s="7">
        <v>15</v>
      </c>
      <c r="Z40" s="26"/>
      <c r="AA40" s="7"/>
      <c r="AB40" s="26" t="s">
        <v>23</v>
      </c>
      <c r="AC40" s="7">
        <v>3</v>
      </c>
      <c r="AD40" s="7"/>
      <c r="AE40" s="7"/>
      <c r="AF40" s="7"/>
      <c r="AG40" s="28" t="str">
        <f t="shared" si="1"/>
        <v>(192*''**'11,91 - 22,22'*'0,015'*0*0*0*0*0*0*4*NULL*NULL*15**3)*</v>
      </c>
    </row>
    <row r="41" spans="1:33" ht="20.100000000000001" customHeight="1" x14ac:dyDescent="0.25">
      <c r="A41" s="3">
        <v>193</v>
      </c>
      <c r="B41" s="22" t="s">
        <v>418</v>
      </c>
      <c r="C41" s="6">
        <v>25934</v>
      </c>
      <c r="D41" s="23">
        <v>1</v>
      </c>
      <c r="E41" s="7" t="s">
        <v>560</v>
      </c>
      <c r="F41" s="7">
        <v>13</v>
      </c>
      <c r="G41" s="7">
        <v>16</v>
      </c>
      <c r="H41" s="24">
        <v>40</v>
      </c>
      <c r="I41" s="25">
        <v>574.87</v>
      </c>
      <c r="J41" s="7" t="s">
        <v>671</v>
      </c>
      <c r="K41" s="7">
        <v>3.5000000000000003E-2</v>
      </c>
      <c r="L41" s="7">
        <v>70</v>
      </c>
      <c r="M41" s="7">
        <v>70</v>
      </c>
      <c r="N41" s="7">
        <v>0</v>
      </c>
      <c r="O41" s="7">
        <v>0</v>
      </c>
      <c r="P41" s="7">
        <v>20.47</v>
      </c>
      <c r="Q41" s="7">
        <v>20.47</v>
      </c>
      <c r="R41" s="7" t="s">
        <v>672</v>
      </c>
      <c r="S41" s="7">
        <v>4</v>
      </c>
      <c r="T41" s="7" t="s">
        <v>673</v>
      </c>
      <c r="U41" s="7">
        <v>14</v>
      </c>
      <c r="V41" s="7" t="s">
        <v>653</v>
      </c>
      <c r="W41" s="7">
        <v>17</v>
      </c>
      <c r="X41" s="7" t="s">
        <v>674</v>
      </c>
      <c r="Y41" s="7">
        <v>17</v>
      </c>
      <c r="Z41" s="26" t="s">
        <v>33</v>
      </c>
      <c r="AA41" s="7">
        <v>8</v>
      </c>
      <c r="AB41" s="26" t="s">
        <v>564</v>
      </c>
      <c r="AC41" s="7">
        <v>34</v>
      </c>
      <c r="AD41" s="7">
        <v>16</v>
      </c>
      <c r="AE41" s="7" t="s">
        <v>675</v>
      </c>
      <c r="AF41" s="7"/>
      <c r="AG41" s="28" t="str">
        <f t="shared" ref="AG41:AG42" si="3">CONCATENATE("(",A41,"*'",H41,"'*",I41,"*'",J41,"'*'",K41,"'*",L41,"*",M41,"*",N41,"*",O41,"*",P41,"*",Q41,"*",S41,"*",U41,"*",W41,"*",Y41,"*",AA41,"*",AC41,"*",AD41,")*")</f>
        <v>(193*'40'*574,87*'12,7 / 15,88 / 19,43 / 19,05 '*'0,035'*70*70*0*0*20,47*20,47*4*14*17*17*8*34*16)*</v>
      </c>
    </row>
    <row r="42" spans="1:33" ht="20.100000000000001" customHeight="1" x14ac:dyDescent="0.25">
      <c r="A42" s="3">
        <v>194</v>
      </c>
      <c r="B42" s="22" t="s">
        <v>422</v>
      </c>
      <c r="C42" s="6">
        <v>35796</v>
      </c>
      <c r="D42" s="23">
        <v>1</v>
      </c>
      <c r="E42" s="7" t="s">
        <v>560</v>
      </c>
      <c r="F42" s="7">
        <v>13</v>
      </c>
      <c r="G42" s="7">
        <v>16</v>
      </c>
      <c r="H42" s="24">
        <v>42</v>
      </c>
      <c r="I42" s="25">
        <v>575.54499999999996</v>
      </c>
      <c r="J42" s="7" t="s">
        <v>671</v>
      </c>
      <c r="K42" s="7">
        <v>1.4999999999999999E-2</v>
      </c>
      <c r="L42" s="7">
        <v>70</v>
      </c>
      <c r="M42" s="7">
        <v>70</v>
      </c>
      <c r="N42" s="7">
        <v>0</v>
      </c>
      <c r="O42" s="7">
        <v>0</v>
      </c>
      <c r="P42" s="7">
        <v>20.47</v>
      </c>
      <c r="Q42" s="7">
        <v>20.47</v>
      </c>
      <c r="R42" s="7" t="s">
        <v>676</v>
      </c>
      <c r="S42" s="7">
        <v>4</v>
      </c>
      <c r="T42" s="7" t="s">
        <v>673</v>
      </c>
      <c r="U42" s="7">
        <v>14</v>
      </c>
      <c r="V42" s="7" t="s">
        <v>653</v>
      </c>
      <c r="W42" s="7">
        <v>17</v>
      </c>
      <c r="X42" s="7" t="s">
        <v>674</v>
      </c>
      <c r="Y42" s="7">
        <v>17</v>
      </c>
      <c r="Z42" s="26" t="s">
        <v>33</v>
      </c>
      <c r="AA42" s="7">
        <v>8</v>
      </c>
      <c r="AB42" s="26" t="s">
        <v>564</v>
      </c>
      <c r="AC42" s="7">
        <v>34</v>
      </c>
      <c r="AD42" s="7">
        <v>16</v>
      </c>
      <c r="AE42" s="7" t="s">
        <v>677</v>
      </c>
      <c r="AF42" s="7"/>
      <c r="AG42" s="28" t="str">
        <f t="shared" si="3"/>
        <v>(194*'42'*575,545*'12,7 / 15,88 / 19,43 / 19,05 '*'0,015'*70*70*0*0*20,47*20,47*4*14*17*17*8*34*16)*</v>
      </c>
    </row>
    <row r="43" spans="1:33" ht="20.100000000000001" customHeight="1" x14ac:dyDescent="0.25">
      <c r="A43" s="3">
        <v>195</v>
      </c>
      <c r="B43" s="22" t="s">
        <v>426</v>
      </c>
      <c r="C43" s="6"/>
      <c r="D43" s="23">
        <v>1</v>
      </c>
      <c r="E43" s="7" t="s">
        <v>560</v>
      </c>
      <c r="F43" s="7">
        <v>13</v>
      </c>
      <c r="G43" s="7">
        <v>16</v>
      </c>
      <c r="H43" s="24"/>
      <c r="I43" s="25"/>
      <c r="J43" s="7" t="s">
        <v>678</v>
      </c>
      <c r="K43" s="7">
        <v>1.4999999999999999E-2</v>
      </c>
      <c r="L43" s="7">
        <v>0</v>
      </c>
      <c r="M43" s="7">
        <v>0</v>
      </c>
      <c r="N43" s="7">
        <v>0</v>
      </c>
      <c r="O43" s="7">
        <v>0</v>
      </c>
      <c r="P43" s="7">
        <v>9.66</v>
      </c>
      <c r="Q43" s="7">
        <v>9.66</v>
      </c>
      <c r="R43" s="7" t="s">
        <v>557</v>
      </c>
      <c r="S43" s="7">
        <v>4</v>
      </c>
      <c r="T43" s="7" t="s">
        <v>20</v>
      </c>
      <c r="U43" s="7" t="s">
        <v>20</v>
      </c>
      <c r="V43" s="7" t="s">
        <v>20</v>
      </c>
      <c r="W43" s="7" t="s">
        <v>20</v>
      </c>
      <c r="X43" s="7" t="s">
        <v>679</v>
      </c>
      <c r="Y43" s="7">
        <v>18</v>
      </c>
      <c r="Z43" s="26" t="s">
        <v>33</v>
      </c>
      <c r="AA43" s="7">
        <v>8</v>
      </c>
      <c r="AB43" s="26" t="s">
        <v>680</v>
      </c>
      <c r="AC43" s="34" t="s">
        <v>680</v>
      </c>
      <c r="AD43" s="26"/>
      <c r="AE43" s="7"/>
      <c r="AF43" s="7"/>
      <c r="AG43" s="28" t="str">
        <f t="shared" si="1"/>
        <v>(195*''**'14,3 / 22,22'*'0,015'*0*0*0*0*9,66*9,66*4*NULL*NULL*18*8*EL Kala)*</v>
      </c>
    </row>
    <row r="44" spans="1:33" ht="20.100000000000001" customHeight="1" x14ac:dyDescent="0.25">
      <c r="A44" s="3">
        <v>196</v>
      </c>
      <c r="B44" s="22" t="s">
        <v>429</v>
      </c>
      <c r="C44" s="6"/>
      <c r="D44" s="23">
        <v>1</v>
      </c>
      <c r="E44" s="7" t="s">
        <v>560</v>
      </c>
      <c r="F44" s="7">
        <v>13</v>
      </c>
      <c r="G44" s="7">
        <v>16</v>
      </c>
      <c r="H44" s="24">
        <v>48</v>
      </c>
      <c r="I44" s="25">
        <v>87</v>
      </c>
      <c r="J44" s="7" t="s">
        <v>678</v>
      </c>
      <c r="K44" s="7">
        <v>1.4999999999999999E-2</v>
      </c>
      <c r="L44" s="7">
        <v>71.5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 t="s">
        <v>681</v>
      </c>
      <c r="S44" s="7">
        <v>6</v>
      </c>
      <c r="T44" s="7" t="s">
        <v>20</v>
      </c>
      <c r="U44" s="7" t="s">
        <v>20</v>
      </c>
      <c r="V44" s="7" t="s">
        <v>20</v>
      </c>
      <c r="W44" s="7" t="s">
        <v>20</v>
      </c>
      <c r="X44" s="7" t="s">
        <v>679</v>
      </c>
      <c r="Y44" s="7">
        <v>18</v>
      </c>
      <c r="Z44" s="26"/>
      <c r="AA44" s="13"/>
      <c r="AB44" s="26"/>
      <c r="AC44" s="13"/>
      <c r="AD44" s="7"/>
      <c r="AE44" s="7"/>
      <c r="AF44" s="7"/>
      <c r="AG44" s="28" t="str">
        <f t="shared" si="1"/>
        <v>(196*'48'*87*'14,3 / 22,22'*'0,015'*71,5*0*0*0*0*0*6*NULL*NULL*18**)*</v>
      </c>
    </row>
    <row r="45" spans="1:33" ht="20.100000000000001" customHeight="1" x14ac:dyDescent="0.25">
      <c r="A45" s="3">
        <v>197</v>
      </c>
      <c r="B45" s="22" t="s">
        <v>431</v>
      </c>
      <c r="C45" s="6">
        <v>29587</v>
      </c>
      <c r="D45" s="23">
        <v>1</v>
      </c>
      <c r="E45" s="7" t="s">
        <v>566</v>
      </c>
      <c r="F45" s="7">
        <v>15</v>
      </c>
      <c r="G45" s="7">
        <v>16</v>
      </c>
      <c r="H45" s="24">
        <v>42</v>
      </c>
      <c r="I45" s="25">
        <v>437</v>
      </c>
      <c r="J45" s="7" t="s">
        <v>682</v>
      </c>
      <c r="K45" s="7">
        <v>1.4999999999999999E-2</v>
      </c>
      <c r="L45" s="7">
        <v>70</v>
      </c>
      <c r="M45" s="7">
        <v>70</v>
      </c>
      <c r="N45" s="7">
        <v>0</v>
      </c>
      <c r="O45" s="7">
        <v>0</v>
      </c>
      <c r="P45" s="7">
        <v>11.3</v>
      </c>
      <c r="Q45" s="7">
        <v>11.3</v>
      </c>
      <c r="R45" s="7" t="s">
        <v>557</v>
      </c>
      <c r="S45" s="7">
        <v>4</v>
      </c>
      <c r="T45" s="7">
        <v>11.3</v>
      </c>
      <c r="U45" s="7">
        <v>14</v>
      </c>
      <c r="V45" s="7" t="s">
        <v>20</v>
      </c>
      <c r="W45" s="7" t="s">
        <v>20</v>
      </c>
      <c r="X45" s="7" t="s">
        <v>431</v>
      </c>
      <c r="Y45" s="7">
        <v>20</v>
      </c>
      <c r="Z45" s="26" t="s">
        <v>33</v>
      </c>
      <c r="AA45" s="7">
        <v>8</v>
      </c>
      <c r="AB45" s="26" t="s">
        <v>683</v>
      </c>
      <c r="AC45" s="7">
        <v>24</v>
      </c>
      <c r="AD45" s="7">
        <v>16</v>
      </c>
      <c r="AE45" s="7" t="s">
        <v>684</v>
      </c>
      <c r="AF45" s="7"/>
      <c r="AG45" s="28" t="str">
        <f t="shared" ref="AG45:AG46" si="4">CONCATENATE("(",A45,"*'",H45,"'*",I45,"*'",J45,"'*'",K45,"'*",L45,"*",M45,"*",N45,"*",O45,"*",P45,"*",Q45,"*",S45,"*",U45,"*",W45,"*",Y45,"*",AA45,"*",AC45,"*",AD45,")*")</f>
        <v>(197*'42'*437*'11,91 / 12,7 / 19,05'*'0,015'*70*70*0*0*11,3*11,3*4*14*NULL*20*8*24*16)*</v>
      </c>
    </row>
    <row r="46" spans="1:33" ht="20.100000000000001" customHeight="1" x14ac:dyDescent="0.25">
      <c r="A46" s="3">
        <v>198</v>
      </c>
      <c r="B46" s="22" t="s">
        <v>434</v>
      </c>
      <c r="C46" s="6">
        <v>43800</v>
      </c>
      <c r="D46" s="23">
        <v>1</v>
      </c>
      <c r="E46" s="7" t="s">
        <v>566</v>
      </c>
      <c r="F46" s="7">
        <v>15</v>
      </c>
      <c r="G46" s="7">
        <v>16</v>
      </c>
      <c r="H46" s="24">
        <v>42</v>
      </c>
      <c r="I46" s="25">
        <v>207</v>
      </c>
      <c r="J46" s="7" t="s">
        <v>685</v>
      </c>
      <c r="K46" s="7">
        <v>1.4999999999999999E-2</v>
      </c>
      <c r="L46" s="7">
        <v>70</v>
      </c>
      <c r="M46" s="7">
        <v>70</v>
      </c>
      <c r="N46" s="7">
        <v>0</v>
      </c>
      <c r="O46" s="7">
        <v>0</v>
      </c>
      <c r="P46" s="7">
        <v>0</v>
      </c>
      <c r="Q46" s="7">
        <v>0</v>
      </c>
      <c r="R46" s="7" t="s">
        <v>681</v>
      </c>
      <c r="S46" s="7">
        <v>6</v>
      </c>
      <c r="T46" s="7" t="s">
        <v>579</v>
      </c>
      <c r="U46" s="7" t="s">
        <v>20</v>
      </c>
      <c r="V46" s="7" t="s">
        <v>20</v>
      </c>
      <c r="W46" s="7" t="s">
        <v>20</v>
      </c>
      <c r="X46" s="7" t="s">
        <v>431</v>
      </c>
      <c r="Y46" s="7">
        <v>20</v>
      </c>
      <c r="Z46" s="26" t="s">
        <v>686</v>
      </c>
      <c r="AA46" s="7">
        <v>9</v>
      </c>
      <c r="AB46" s="26" t="s">
        <v>683</v>
      </c>
      <c r="AC46" s="7">
        <v>24</v>
      </c>
      <c r="AD46" s="7">
        <v>16</v>
      </c>
      <c r="AE46" s="7"/>
      <c r="AF46" s="7"/>
      <c r="AG46" s="28" t="str">
        <f t="shared" si="4"/>
        <v>(198*'42'*207*'20,62 / 14,27'*'0,015'*70*70*0*0*0*0*6*NULL*NULL*20*9*24*16)*</v>
      </c>
    </row>
    <row r="47" spans="1:33" ht="20.100000000000001" customHeight="1" x14ac:dyDescent="0.25">
      <c r="A47" s="3">
        <v>199</v>
      </c>
      <c r="B47" s="22" t="s">
        <v>437</v>
      </c>
      <c r="C47" s="6"/>
      <c r="D47" s="23">
        <v>1</v>
      </c>
      <c r="E47" s="7" t="s">
        <v>687</v>
      </c>
      <c r="F47" s="7"/>
      <c r="G47" s="7">
        <v>16</v>
      </c>
      <c r="H47" s="24"/>
      <c r="I47" s="25"/>
      <c r="J47" s="7" t="s">
        <v>685</v>
      </c>
      <c r="K47" s="7">
        <v>1.4999999999999999E-2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 t="s">
        <v>557</v>
      </c>
      <c r="S47" s="7">
        <v>4</v>
      </c>
      <c r="T47" s="7" t="s">
        <v>20</v>
      </c>
      <c r="U47" s="7" t="s">
        <v>20</v>
      </c>
      <c r="V47" s="7" t="s">
        <v>20</v>
      </c>
      <c r="W47" s="7" t="s">
        <v>20</v>
      </c>
      <c r="X47" s="7" t="s">
        <v>688</v>
      </c>
      <c r="Y47" s="7">
        <v>21</v>
      </c>
      <c r="Z47" s="26"/>
      <c r="AA47" s="13"/>
      <c r="AB47" s="26"/>
      <c r="AC47" s="13"/>
      <c r="AD47" s="7"/>
      <c r="AE47" s="7"/>
      <c r="AF47" s="7"/>
      <c r="AG47" s="28" t="str">
        <f t="shared" si="1"/>
        <v>(199*''**'20,62 / 14,27'*'0,015'*0*0*0*0*0*0*4*NULL*NULL*21**)*</v>
      </c>
    </row>
    <row r="48" spans="1:33" ht="20.100000000000001" customHeight="1" x14ac:dyDescent="0.25">
      <c r="A48" s="3">
        <v>200</v>
      </c>
      <c r="B48" s="22" t="s">
        <v>439</v>
      </c>
      <c r="C48" s="6">
        <v>31413</v>
      </c>
      <c r="D48" s="23">
        <v>1</v>
      </c>
      <c r="E48" s="7" t="s">
        <v>586</v>
      </c>
      <c r="F48" s="7">
        <v>14</v>
      </c>
      <c r="G48" s="7">
        <v>16</v>
      </c>
      <c r="H48" s="24" t="s">
        <v>689</v>
      </c>
      <c r="I48" s="25">
        <v>966</v>
      </c>
      <c r="J48" s="7" t="s">
        <v>690</v>
      </c>
      <c r="K48" s="7">
        <v>1.4999999999999999E-2</v>
      </c>
      <c r="L48" s="7">
        <v>71</v>
      </c>
      <c r="M48" s="7">
        <v>71</v>
      </c>
      <c r="N48" s="7">
        <v>0</v>
      </c>
      <c r="O48" s="7">
        <v>0</v>
      </c>
      <c r="P48" s="7">
        <v>15.76</v>
      </c>
      <c r="Q48" s="7">
        <v>15.76</v>
      </c>
      <c r="R48" s="7" t="s">
        <v>691</v>
      </c>
      <c r="S48" s="7">
        <v>6</v>
      </c>
      <c r="T48" s="7" t="s">
        <v>598</v>
      </c>
      <c r="U48" s="7">
        <v>14</v>
      </c>
      <c r="V48" s="7" t="s">
        <v>653</v>
      </c>
      <c r="W48" s="7">
        <v>17</v>
      </c>
      <c r="X48" s="7" t="s">
        <v>688</v>
      </c>
      <c r="Y48" s="7">
        <v>21</v>
      </c>
      <c r="Z48" s="26" t="s">
        <v>639</v>
      </c>
      <c r="AA48" s="7">
        <v>20</v>
      </c>
      <c r="AB48" s="26" t="s">
        <v>33</v>
      </c>
      <c r="AC48" s="7">
        <v>8</v>
      </c>
      <c r="AD48" s="7">
        <v>16</v>
      </c>
      <c r="AE48" s="7" t="s">
        <v>692</v>
      </c>
      <c r="AF48" s="7"/>
      <c r="AG48" s="28" t="str">
        <f t="shared" ref="AG48:AG49" si="5">CONCATENATE("(",A48,"*'",H48,"'*",I48,"*'",J48,"'*'",K48,"'*",L48,"*",M48,"*",N48,"*",O48,"*",P48,"*",Q48,"*",S48,"*",U48,"*",W48,"*",Y48,"*",AA48,"*",AC48,"*",AD48,")*")</f>
        <v>(200*'42 / 48'*966*'11,92 / 12,7 / 13,35 / 14,27 / 15,88 / 22,22'*'0,015'*71*71*0*0*15,76*15,76*6*14*17*21*20*8*16)*</v>
      </c>
    </row>
    <row r="49" spans="1:33" ht="20.100000000000001" customHeight="1" x14ac:dyDescent="0.25">
      <c r="A49" s="3">
        <v>201</v>
      </c>
      <c r="B49" s="22" t="s">
        <v>442</v>
      </c>
      <c r="C49" s="6">
        <v>36161</v>
      </c>
      <c r="D49" s="23">
        <v>1</v>
      </c>
      <c r="E49" s="7" t="s">
        <v>586</v>
      </c>
      <c r="F49" s="7">
        <v>14</v>
      </c>
      <c r="G49" s="7">
        <v>16</v>
      </c>
      <c r="H49" s="24" t="s">
        <v>689</v>
      </c>
      <c r="I49" s="25">
        <v>966</v>
      </c>
      <c r="J49" s="7" t="s">
        <v>693</v>
      </c>
      <c r="K49" s="7">
        <v>1.4999999999999999E-2</v>
      </c>
      <c r="L49" s="7">
        <v>71</v>
      </c>
      <c r="M49" s="7">
        <v>71</v>
      </c>
      <c r="N49" s="7">
        <v>0</v>
      </c>
      <c r="O49" s="7">
        <v>0</v>
      </c>
      <c r="P49" s="7">
        <v>15.77</v>
      </c>
      <c r="Q49" s="7">
        <v>15.77</v>
      </c>
      <c r="R49" s="7" t="s">
        <v>681</v>
      </c>
      <c r="S49" s="7">
        <v>6</v>
      </c>
      <c r="T49" s="7" t="s">
        <v>558</v>
      </c>
      <c r="U49" s="7">
        <v>11</v>
      </c>
      <c r="V49" s="7" t="s">
        <v>653</v>
      </c>
      <c r="W49" s="7">
        <v>17</v>
      </c>
      <c r="X49" s="7" t="s">
        <v>688</v>
      </c>
      <c r="Y49" s="7">
        <v>21</v>
      </c>
      <c r="Z49" s="26" t="s">
        <v>639</v>
      </c>
      <c r="AA49" s="7">
        <v>20</v>
      </c>
      <c r="AB49" s="26" t="s">
        <v>33</v>
      </c>
      <c r="AC49" s="7">
        <v>8</v>
      </c>
      <c r="AD49" s="7">
        <v>16</v>
      </c>
      <c r="AE49" s="7" t="s">
        <v>694</v>
      </c>
      <c r="AF49" s="7"/>
      <c r="AG49" s="28" t="str">
        <f t="shared" si="5"/>
        <v>(201*'42 / 48'*966*'11,91 / 12,7 / 14,27 / 19,05 / 22,22'*'0,015'*71*71*0*0*15,77*15,77*6*11*17*21*20*8*16)*</v>
      </c>
    </row>
    <row r="50" spans="1:33" ht="20.100000000000001" customHeight="1" x14ac:dyDescent="0.25">
      <c r="A50" s="3">
        <v>202</v>
      </c>
      <c r="B50" s="22" t="s">
        <v>445</v>
      </c>
      <c r="C50" s="6">
        <v>37622</v>
      </c>
      <c r="D50" s="23">
        <v>1</v>
      </c>
      <c r="E50" s="7" t="s">
        <v>619</v>
      </c>
      <c r="F50" s="7">
        <v>2</v>
      </c>
      <c r="G50" s="7">
        <v>2</v>
      </c>
      <c r="H50" s="24">
        <v>48</v>
      </c>
      <c r="I50" s="25">
        <v>520</v>
      </c>
      <c r="J50" s="7" t="s">
        <v>693</v>
      </c>
      <c r="K50" s="7">
        <v>1.4999999999999999E-2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 t="s">
        <v>557</v>
      </c>
      <c r="S50" s="7">
        <v>4</v>
      </c>
      <c r="T50" s="7" t="s">
        <v>20</v>
      </c>
      <c r="U50" s="7" t="s">
        <v>20</v>
      </c>
      <c r="V50" s="7" t="s">
        <v>20</v>
      </c>
      <c r="W50" s="7" t="s">
        <v>20</v>
      </c>
      <c r="X50" s="7" t="s">
        <v>688</v>
      </c>
      <c r="Y50" s="7">
        <v>21</v>
      </c>
      <c r="Z50" s="26"/>
      <c r="AA50" s="13"/>
      <c r="AB50" s="26"/>
      <c r="AC50" s="13"/>
      <c r="AD50" s="7"/>
      <c r="AE50" s="7"/>
      <c r="AF50" s="7"/>
      <c r="AG50" s="28" t="str">
        <f t="shared" si="1"/>
        <v>(202*'48'*520*'11,91 / 12,7 / 14,27 / 19,05 / 22,22'*'0,015'*0*0*0*0*0*0*4*NULL*NULL*21**)*</v>
      </c>
    </row>
    <row r="51" spans="1:33" ht="20.100000000000001" customHeight="1" x14ac:dyDescent="0.25">
      <c r="A51" s="3">
        <v>203</v>
      </c>
      <c r="B51" s="22" t="s">
        <v>447</v>
      </c>
      <c r="C51" s="6">
        <v>41640</v>
      </c>
      <c r="D51" s="23">
        <v>1</v>
      </c>
      <c r="E51" s="7" t="s">
        <v>586</v>
      </c>
      <c r="F51" s="7">
        <v>14</v>
      </c>
      <c r="G51" s="7">
        <v>16</v>
      </c>
      <c r="H51" s="24">
        <v>48</v>
      </c>
      <c r="I51" s="25">
        <v>535</v>
      </c>
      <c r="J51" s="7" t="s">
        <v>695</v>
      </c>
      <c r="K51" s="7">
        <v>1.4999999999999999E-2</v>
      </c>
      <c r="L51" s="7">
        <v>71</v>
      </c>
      <c r="M51" s="7">
        <v>71</v>
      </c>
      <c r="N51" s="7">
        <v>0</v>
      </c>
      <c r="O51" s="7">
        <v>0</v>
      </c>
      <c r="P51" s="7">
        <v>11.05</v>
      </c>
      <c r="Q51" s="7">
        <v>11.05</v>
      </c>
      <c r="R51" s="7" t="s">
        <v>681</v>
      </c>
      <c r="S51" s="7">
        <v>6</v>
      </c>
      <c r="T51" s="7" t="s">
        <v>20</v>
      </c>
      <c r="U51" s="7" t="s">
        <v>20</v>
      </c>
      <c r="V51" s="7" t="s">
        <v>20</v>
      </c>
      <c r="W51" s="7" t="s">
        <v>20</v>
      </c>
      <c r="X51" s="7" t="s">
        <v>688</v>
      </c>
      <c r="Y51" s="7">
        <v>21</v>
      </c>
      <c r="Z51" s="26" t="s">
        <v>696</v>
      </c>
      <c r="AA51" s="7">
        <v>18</v>
      </c>
      <c r="AB51" s="26" t="s">
        <v>33</v>
      </c>
      <c r="AC51" s="7">
        <v>8</v>
      </c>
      <c r="AD51" s="7">
        <v>16</v>
      </c>
      <c r="AE51" s="7" t="s">
        <v>670</v>
      </c>
      <c r="AF51" s="7"/>
      <c r="AG51" s="28" t="str">
        <f t="shared" ref="AG51:AG53" si="6">CONCATENATE("(",A51,"*'",H51,"'*",I51,"*'",J51,"'*'",K51,"'*",L51,"*",M51,"*",N51,"*",O51,"*",P51,"*",Q51,"*",S51,"*",U51,"*",W51,"*",Y51,"*",AA51,"*",AC51,"*",AD51,")*")</f>
        <v>(203*'48'*535*'12,7 / 14,27 / 22,22'*'0,015'*71*71*0*0*11,05*11,05*6*NULL*NULL*21*18*8*16)*</v>
      </c>
    </row>
    <row r="52" spans="1:33" ht="20.100000000000001" customHeight="1" x14ac:dyDescent="0.25">
      <c r="A52" s="3">
        <v>204</v>
      </c>
      <c r="B52" s="22" t="s">
        <v>449</v>
      </c>
      <c r="C52" s="6">
        <v>42887</v>
      </c>
      <c r="D52" s="23">
        <v>1</v>
      </c>
      <c r="E52" s="7" t="s">
        <v>697</v>
      </c>
      <c r="F52" s="7">
        <v>16</v>
      </c>
      <c r="G52" s="7">
        <v>16</v>
      </c>
      <c r="H52" s="24">
        <v>48</v>
      </c>
      <c r="I52" s="25">
        <v>770</v>
      </c>
      <c r="J52" s="30" t="s">
        <v>698</v>
      </c>
      <c r="K52" s="7">
        <v>1.4999999999999999E-2</v>
      </c>
      <c r="L52" s="7">
        <v>70</v>
      </c>
      <c r="M52" s="7">
        <v>70</v>
      </c>
      <c r="N52" s="7">
        <v>45</v>
      </c>
      <c r="O52" s="7">
        <v>45</v>
      </c>
      <c r="P52" s="7">
        <v>0</v>
      </c>
      <c r="Q52" s="7">
        <v>0</v>
      </c>
      <c r="R52" s="7" t="s">
        <v>681</v>
      </c>
      <c r="S52" s="7">
        <v>6</v>
      </c>
      <c r="T52" s="7" t="s">
        <v>20</v>
      </c>
      <c r="U52" s="7" t="s">
        <v>20</v>
      </c>
      <c r="V52" s="7" t="s">
        <v>20</v>
      </c>
      <c r="W52" s="7" t="s">
        <v>20</v>
      </c>
      <c r="X52" s="7" t="s">
        <v>699</v>
      </c>
      <c r="Y52" s="7">
        <v>22</v>
      </c>
      <c r="Z52" s="26" t="s">
        <v>700</v>
      </c>
      <c r="AA52" s="7">
        <v>32</v>
      </c>
      <c r="AB52" s="26" t="s">
        <v>33</v>
      </c>
      <c r="AC52" s="7">
        <v>8</v>
      </c>
      <c r="AD52" s="7">
        <v>16</v>
      </c>
      <c r="AE52" s="7" t="s">
        <v>701</v>
      </c>
      <c r="AF52" s="7"/>
      <c r="AG52" s="28" t="str">
        <f t="shared" si="6"/>
        <v>(204*'48'*770*'12,48 / 13,61 / 20,79 / 24,26'*'0,015'*70*70*45*45*0*0*6*NULL*NULL*22*32*8*16)*</v>
      </c>
    </row>
    <row r="53" spans="1:33" ht="20.100000000000001" customHeight="1" x14ac:dyDescent="0.25">
      <c r="A53" s="3">
        <v>205</v>
      </c>
      <c r="B53" s="22" t="s">
        <v>452</v>
      </c>
      <c r="C53" s="6">
        <v>42736</v>
      </c>
      <c r="D53" s="23">
        <v>1</v>
      </c>
      <c r="E53" s="7" t="s">
        <v>586</v>
      </c>
      <c r="F53" s="7">
        <v>14</v>
      </c>
      <c r="G53" s="7">
        <v>16</v>
      </c>
      <c r="H53" s="24">
        <v>48</v>
      </c>
      <c r="I53" s="25">
        <v>531</v>
      </c>
      <c r="J53" s="7" t="s">
        <v>695</v>
      </c>
      <c r="K53" s="7">
        <v>1.4999999999999999E-2</v>
      </c>
      <c r="L53" s="7">
        <v>71</v>
      </c>
      <c r="M53" s="7">
        <v>71</v>
      </c>
      <c r="N53" s="7">
        <v>0</v>
      </c>
      <c r="O53" s="7">
        <v>0</v>
      </c>
      <c r="P53" s="7">
        <v>8.52</v>
      </c>
      <c r="Q53" s="7">
        <v>8.52</v>
      </c>
      <c r="R53" s="7" t="s">
        <v>681</v>
      </c>
      <c r="S53" s="7">
        <v>6</v>
      </c>
      <c r="T53" s="7" t="s">
        <v>20</v>
      </c>
      <c r="U53" s="7" t="s">
        <v>20</v>
      </c>
      <c r="V53" s="7" t="s">
        <v>20</v>
      </c>
      <c r="W53" s="7" t="s">
        <v>20</v>
      </c>
      <c r="X53" s="7" t="s">
        <v>688</v>
      </c>
      <c r="Y53" s="7">
        <v>21</v>
      </c>
      <c r="Z53" s="26" t="s">
        <v>696</v>
      </c>
      <c r="AA53" s="7">
        <v>18</v>
      </c>
      <c r="AB53" s="26" t="s">
        <v>33</v>
      </c>
      <c r="AC53" s="7">
        <v>8</v>
      </c>
      <c r="AD53" s="7">
        <v>16</v>
      </c>
      <c r="AE53" s="7" t="s">
        <v>670</v>
      </c>
      <c r="AF53" s="7"/>
      <c r="AG53" s="28" t="str">
        <f t="shared" si="6"/>
        <v>(205*'48'*531*'12,7 / 14,27 / 22,22'*'0,015'*71*71*0*0*8,52*8,52*6*NULL*NULL*21*18*8*16)*</v>
      </c>
    </row>
    <row r="54" spans="1:33" ht="20.100000000000001" customHeight="1" x14ac:dyDescent="0.25">
      <c r="A54" s="3">
        <v>206</v>
      </c>
      <c r="B54" s="22" t="s">
        <v>455</v>
      </c>
      <c r="C54" s="6">
        <v>43800</v>
      </c>
      <c r="D54" s="23">
        <v>1</v>
      </c>
      <c r="E54" s="7" t="s">
        <v>697</v>
      </c>
      <c r="F54" s="7">
        <v>16</v>
      </c>
      <c r="G54" s="7">
        <v>16</v>
      </c>
      <c r="H54" s="24">
        <v>48</v>
      </c>
      <c r="I54" s="25">
        <v>345</v>
      </c>
      <c r="J54" s="7" t="s">
        <v>702</v>
      </c>
      <c r="K54" s="7">
        <v>1.4999999999999999E-2</v>
      </c>
      <c r="L54" s="7">
        <v>70</v>
      </c>
      <c r="M54" s="7">
        <v>70</v>
      </c>
      <c r="N54" s="7">
        <v>45</v>
      </c>
      <c r="O54" s="7">
        <v>45</v>
      </c>
      <c r="P54" s="7">
        <v>0</v>
      </c>
      <c r="Q54" s="7">
        <v>0</v>
      </c>
      <c r="R54" s="7" t="s">
        <v>681</v>
      </c>
      <c r="S54" s="7">
        <v>6</v>
      </c>
      <c r="T54" s="7" t="s">
        <v>20</v>
      </c>
      <c r="U54" s="7" t="s">
        <v>20</v>
      </c>
      <c r="V54" s="7" t="s">
        <v>20</v>
      </c>
      <c r="W54" s="7" t="s">
        <v>20</v>
      </c>
      <c r="X54" s="7" t="s">
        <v>699</v>
      </c>
      <c r="Y54" s="7">
        <v>22</v>
      </c>
      <c r="Z54" s="26" t="s">
        <v>703</v>
      </c>
      <c r="AA54" s="7"/>
      <c r="AB54" s="26" t="s">
        <v>33</v>
      </c>
      <c r="AC54" s="7">
        <v>8</v>
      </c>
      <c r="AD54" s="7"/>
      <c r="AE54" s="7"/>
      <c r="AF54" s="7"/>
      <c r="AG54" s="28" t="str">
        <f t="shared" si="1"/>
        <v>(206*'48'*345*'12,95 / 14,27 / 22,23'*'0,015'*70*70*45*45*0*0*6*NULL*NULL*22**8)*</v>
      </c>
    </row>
    <row r="55" spans="1:33" ht="20.100000000000001" customHeight="1" x14ac:dyDescent="0.25">
      <c r="A55" s="3">
        <v>207</v>
      </c>
      <c r="B55" s="22" t="s">
        <v>458</v>
      </c>
      <c r="C55" s="6">
        <v>35065</v>
      </c>
      <c r="D55" s="23">
        <v>1</v>
      </c>
      <c r="E55" s="7" t="s">
        <v>458</v>
      </c>
      <c r="F55" s="7">
        <v>18</v>
      </c>
      <c r="G55" s="7">
        <v>16</v>
      </c>
      <c r="H55" s="24">
        <v>48</v>
      </c>
      <c r="I55" s="25">
        <v>521</v>
      </c>
      <c r="J55" s="7" t="s">
        <v>695</v>
      </c>
      <c r="K55" s="7">
        <v>1.4999999999999999E-2</v>
      </c>
      <c r="L55" s="7">
        <v>71</v>
      </c>
      <c r="M55" s="7">
        <v>50.81</v>
      </c>
      <c r="N55" s="7">
        <v>0</v>
      </c>
      <c r="O55" s="7">
        <v>0</v>
      </c>
      <c r="P55" s="7">
        <v>11.47</v>
      </c>
      <c r="Q55" s="7">
        <v>11.47</v>
      </c>
      <c r="R55" s="7" t="s">
        <v>681</v>
      </c>
      <c r="S55" s="7">
        <v>6</v>
      </c>
      <c r="T55" s="7" t="s">
        <v>704</v>
      </c>
      <c r="U55" s="7">
        <v>9</v>
      </c>
      <c r="V55" s="7" t="s">
        <v>653</v>
      </c>
      <c r="W55" s="7">
        <v>17</v>
      </c>
      <c r="X55" s="7" t="s">
        <v>705</v>
      </c>
      <c r="Y55" s="7">
        <v>16</v>
      </c>
      <c r="Z55" s="26" t="s">
        <v>33</v>
      </c>
      <c r="AA55" s="7">
        <v>8</v>
      </c>
      <c r="AB55" s="26" t="s">
        <v>706</v>
      </c>
      <c r="AC55" s="7">
        <v>12</v>
      </c>
      <c r="AD55" s="7">
        <v>16</v>
      </c>
      <c r="AE55" s="7" t="s">
        <v>633</v>
      </c>
      <c r="AF55" s="7"/>
      <c r="AG55" s="28" t="str">
        <f t="shared" ref="AG55:AG59" si="7">CONCATENATE("(",A55,"*'",H55,"'*",I55,"*'",J55,"'*'",K55,"'*",L55,"*",M55,"*",N55,"*",O55,"*",P55,"*",Q55,"*",S55,"*",U55,"*",W55,"*",Y55,"*",AA55,"*",AC55,"*",AD55,")*")</f>
        <v>(207*'48'*521*'12,7 / 14,27 / 22,22'*'0,015'*71*50,81*0*0*11,47*11,47*6*9*17*16*8*12*16)*</v>
      </c>
    </row>
    <row r="56" spans="1:33" ht="20.100000000000001" customHeight="1" x14ac:dyDescent="0.25">
      <c r="A56" s="3">
        <v>208</v>
      </c>
      <c r="B56" s="22" t="s">
        <v>460</v>
      </c>
      <c r="C56" s="6">
        <v>44197</v>
      </c>
      <c r="D56" s="23">
        <v>1</v>
      </c>
      <c r="E56" s="7" t="s">
        <v>458</v>
      </c>
      <c r="F56" s="7">
        <v>18</v>
      </c>
      <c r="G56" s="7">
        <v>16</v>
      </c>
      <c r="H56" s="24">
        <v>48</v>
      </c>
      <c r="I56" s="25">
        <v>198</v>
      </c>
      <c r="J56" s="7" t="s">
        <v>707</v>
      </c>
      <c r="K56" s="7">
        <v>1.4999999999999999E-2</v>
      </c>
      <c r="L56" s="7">
        <v>70</v>
      </c>
      <c r="M56" s="7">
        <v>0</v>
      </c>
      <c r="N56" s="7">
        <v>0</v>
      </c>
      <c r="O56" s="7">
        <v>0</v>
      </c>
      <c r="P56" s="7">
        <v>9</v>
      </c>
      <c r="Q56" s="7">
        <v>9</v>
      </c>
      <c r="R56" s="7" t="s">
        <v>557</v>
      </c>
      <c r="S56" s="7">
        <v>4</v>
      </c>
      <c r="T56" s="7" t="s">
        <v>20</v>
      </c>
      <c r="U56" s="7" t="s">
        <v>20</v>
      </c>
      <c r="V56" s="7" t="s">
        <v>20</v>
      </c>
      <c r="W56" s="7" t="s">
        <v>20</v>
      </c>
      <c r="X56" s="7" t="s">
        <v>705</v>
      </c>
      <c r="Y56" s="7">
        <v>16</v>
      </c>
      <c r="Z56" s="26" t="s">
        <v>706</v>
      </c>
      <c r="AA56" s="7">
        <v>12</v>
      </c>
      <c r="AB56" s="26" t="s">
        <v>669</v>
      </c>
      <c r="AC56" s="7">
        <v>3</v>
      </c>
      <c r="AD56" s="7">
        <v>16</v>
      </c>
      <c r="AE56" s="7" t="s">
        <v>649</v>
      </c>
      <c r="AF56" s="7"/>
      <c r="AG56" s="28" t="str">
        <f t="shared" si="7"/>
        <v>(208*'48'*198*'13,61/  14,27 / 20,79 / 22,23'*'0,015'*70*0*0*0*9*9*4*NULL*NULL*16*12*3*16)*</v>
      </c>
    </row>
    <row r="57" spans="1:33" ht="20.100000000000001" customHeight="1" x14ac:dyDescent="0.25">
      <c r="A57" s="3">
        <v>209</v>
      </c>
      <c r="B57" s="22" t="s">
        <v>463</v>
      </c>
      <c r="C57" s="6">
        <v>29952</v>
      </c>
      <c r="D57" s="23">
        <v>1</v>
      </c>
      <c r="E57" s="7" t="s">
        <v>708</v>
      </c>
      <c r="F57" s="7">
        <v>17</v>
      </c>
      <c r="G57" s="7">
        <v>16</v>
      </c>
      <c r="H57" s="24">
        <v>48</v>
      </c>
      <c r="I57" s="25">
        <v>548.28499999999997</v>
      </c>
      <c r="J57" s="7" t="s">
        <v>695</v>
      </c>
      <c r="K57" s="7">
        <v>1.4999999999999999E-2</v>
      </c>
      <c r="L57" s="7">
        <v>70</v>
      </c>
      <c r="M57" s="7">
        <v>70</v>
      </c>
      <c r="N57" s="7">
        <v>0</v>
      </c>
      <c r="O57" s="7">
        <v>0</v>
      </c>
      <c r="P57" s="7">
        <v>11.99</v>
      </c>
      <c r="Q57" s="7">
        <v>11.99</v>
      </c>
      <c r="R57" s="7" t="s">
        <v>635</v>
      </c>
      <c r="S57" s="7">
        <v>4</v>
      </c>
      <c r="T57" s="7" t="s">
        <v>590</v>
      </c>
      <c r="U57" s="7">
        <v>14</v>
      </c>
      <c r="V57" s="7" t="s">
        <v>653</v>
      </c>
      <c r="W57" s="7">
        <v>17</v>
      </c>
      <c r="X57" s="7" t="s">
        <v>709</v>
      </c>
      <c r="Y57" s="7">
        <v>19</v>
      </c>
      <c r="Z57" s="26" t="s">
        <v>33</v>
      </c>
      <c r="AA57" s="7">
        <v>8</v>
      </c>
      <c r="AB57" s="26" t="s">
        <v>710</v>
      </c>
      <c r="AC57" s="7">
        <v>2</v>
      </c>
      <c r="AD57" s="7">
        <v>16</v>
      </c>
      <c r="AE57" s="7" t="s">
        <v>636</v>
      </c>
      <c r="AF57" s="7"/>
      <c r="AG57" s="28" t="str">
        <f t="shared" si="7"/>
        <v>(209*'48'*548,285*'12,7 / 14,27 / 22,22'*'0,015'*70*70*0*0*11,99*11,99*4*14*17*19*8*2*16)*</v>
      </c>
    </row>
    <row r="58" spans="1:33" ht="20.100000000000001" customHeight="1" x14ac:dyDescent="0.25">
      <c r="A58" s="3">
        <v>210</v>
      </c>
      <c r="B58" s="22" t="s">
        <v>465</v>
      </c>
      <c r="C58" s="6">
        <v>31778</v>
      </c>
      <c r="D58" s="23">
        <v>1</v>
      </c>
      <c r="E58" s="7" t="s">
        <v>708</v>
      </c>
      <c r="F58" s="7">
        <v>17</v>
      </c>
      <c r="G58" s="7">
        <v>16</v>
      </c>
      <c r="H58" s="24">
        <v>48</v>
      </c>
      <c r="I58" s="25">
        <v>548.28499999999997</v>
      </c>
      <c r="J58" s="7" t="s">
        <v>695</v>
      </c>
      <c r="K58" s="7">
        <v>1.4999999999999999E-2</v>
      </c>
      <c r="L58" s="7">
        <v>70</v>
      </c>
      <c r="M58" s="7">
        <v>70</v>
      </c>
      <c r="N58" s="7">
        <v>0</v>
      </c>
      <c r="O58" s="7">
        <v>0</v>
      </c>
      <c r="P58" s="7">
        <v>11.99</v>
      </c>
      <c r="Q58" s="7">
        <v>11.99</v>
      </c>
      <c r="R58" s="7" t="s">
        <v>635</v>
      </c>
      <c r="S58" s="7">
        <v>4</v>
      </c>
      <c r="T58" s="7" t="s">
        <v>590</v>
      </c>
      <c r="U58" s="7">
        <v>14</v>
      </c>
      <c r="V58" s="7" t="s">
        <v>653</v>
      </c>
      <c r="W58" s="7">
        <v>17</v>
      </c>
      <c r="X58" s="7" t="s">
        <v>709</v>
      </c>
      <c r="Y58" s="7">
        <v>19</v>
      </c>
      <c r="Z58" s="26" t="s">
        <v>33</v>
      </c>
      <c r="AA58" s="7">
        <v>8</v>
      </c>
      <c r="AB58" s="26" t="s">
        <v>710</v>
      </c>
      <c r="AC58" s="7">
        <v>2</v>
      </c>
      <c r="AD58" s="7">
        <v>16</v>
      </c>
      <c r="AE58" s="7" t="s">
        <v>711</v>
      </c>
      <c r="AF58" s="7"/>
      <c r="AG58" s="28" t="str">
        <f t="shared" si="7"/>
        <v>(210*'48'*548,285*'12,7 / 14,27 / 22,22'*'0,015'*70*70*0*0*11,99*11,99*4*14*17*19*8*2*16)*</v>
      </c>
    </row>
    <row r="59" spans="1:33" ht="20.100000000000001" customHeight="1" x14ac:dyDescent="0.25">
      <c r="A59" s="3">
        <v>211</v>
      </c>
      <c r="B59" s="22" t="s">
        <v>468</v>
      </c>
      <c r="C59" s="6">
        <v>39448</v>
      </c>
      <c r="D59" s="23">
        <v>1</v>
      </c>
      <c r="E59" s="7" t="s">
        <v>708</v>
      </c>
      <c r="F59" s="7">
        <v>17</v>
      </c>
      <c r="G59" s="7">
        <v>16</v>
      </c>
      <c r="H59" s="24">
        <v>48</v>
      </c>
      <c r="I59" s="25">
        <v>548.28499999999997</v>
      </c>
      <c r="J59" s="7" t="s">
        <v>695</v>
      </c>
      <c r="K59" s="7">
        <v>1.4999999999999999E-2</v>
      </c>
      <c r="L59" s="7">
        <v>70</v>
      </c>
      <c r="M59" s="7">
        <v>70</v>
      </c>
      <c r="N59" s="7">
        <v>0</v>
      </c>
      <c r="O59" s="7">
        <v>0</v>
      </c>
      <c r="P59" s="7">
        <v>8.74</v>
      </c>
      <c r="Q59" s="7">
        <v>8.74</v>
      </c>
      <c r="R59" s="7" t="s">
        <v>635</v>
      </c>
      <c r="S59" s="7">
        <v>4</v>
      </c>
      <c r="T59" s="7" t="s">
        <v>712</v>
      </c>
      <c r="U59" s="7">
        <v>11</v>
      </c>
      <c r="V59" s="7" t="s">
        <v>653</v>
      </c>
      <c r="W59" s="7">
        <v>17</v>
      </c>
      <c r="X59" s="7" t="s">
        <v>709</v>
      </c>
      <c r="Y59" s="7">
        <v>19</v>
      </c>
      <c r="Z59" s="26" t="s">
        <v>33</v>
      </c>
      <c r="AA59" s="7">
        <v>8</v>
      </c>
      <c r="AB59" s="26" t="s">
        <v>710</v>
      </c>
      <c r="AC59" s="7">
        <v>2</v>
      </c>
      <c r="AD59" s="7">
        <v>16</v>
      </c>
      <c r="AE59" s="7" t="s">
        <v>713</v>
      </c>
      <c r="AF59" s="7"/>
      <c r="AG59" s="28" t="str">
        <f t="shared" si="7"/>
        <v>(211*'48'*548,285*'12,7 / 14,27 / 22,22'*'0,015'*70*70*0*0*8,74*8,74*4*11*17*19*8*2*16)*</v>
      </c>
    </row>
  </sheetData>
  <autoFilter ref="A1:AC59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82"/>
  <sheetViews>
    <sheetView tabSelected="1" topLeftCell="A13" workbookViewId="0">
      <selection activeCell="J26" sqref="J26:K26"/>
    </sheetView>
  </sheetViews>
  <sheetFormatPr baseColWidth="10" defaultColWidth="10.85546875" defaultRowHeight="15.75" x14ac:dyDescent="0.25"/>
  <cols>
    <col min="1" max="1" width="5.5703125" style="2" customWidth="1"/>
    <col min="2" max="2" width="12.42578125" style="2" bestFit="1" customWidth="1"/>
    <col min="3" max="3" width="15.5703125" style="2" bestFit="1" customWidth="1"/>
    <col min="4" max="4" width="12.7109375" style="2" customWidth="1"/>
    <col min="5" max="8" width="12.7109375" style="2" hidden="1" customWidth="1"/>
    <col min="9" max="14" width="10.5703125" style="2" customWidth="1"/>
    <col min="15" max="26" width="12.7109375" style="2" customWidth="1"/>
    <col min="27" max="27" width="12.7109375" style="2" hidden="1" customWidth="1"/>
    <col min="28" max="28" width="21.42578125" style="2" hidden="1" customWidth="1"/>
    <col min="29" max="29" width="12.7109375" style="2" hidden="1" customWidth="1"/>
    <col min="30" max="30" width="117.42578125" style="2" bestFit="1" customWidth="1"/>
    <col min="31" max="16384" width="10.85546875" style="2"/>
  </cols>
  <sheetData>
    <row r="1" spans="1:31" ht="20.100000000000001" customHeight="1" x14ac:dyDescent="0.25">
      <c r="A1" s="1" t="s">
        <v>0</v>
      </c>
      <c r="B1" s="20" t="s">
        <v>1</v>
      </c>
      <c r="C1" s="20" t="s">
        <v>2</v>
      </c>
      <c r="D1" s="1" t="s">
        <v>500</v>
      </c>
      <c r="E1" s="1" t="s">
        <v>6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714</v>
      </c>
      <c r="N1" s="1" t="s">
        <v>715</v>
      </c>
      <c r="O1" s="1" t="s">
        <v>514</v>
      </c>
      <c r="P1" s="1" t="s">
        <v>515</v>
      </c>
      <c r="Q1" s="1" t="s">
        <v>516</v>
      </c>
      <c r="R1" s="1" t="s">
        <v>517</v>
      </c>
      <c r="S1" s="1" t="s">
        <v>518</v>
      </c>
      <c r="T1" s="1" t="s">
        <v>519</v>
      </c>
      <c r="U1" s="1" t="s">
        <v>716</v>
      </c>
      <c r="V1" s="1" t="s">
        <v>717</v>
      </c>
      <c r="W1" s="1" t="s">
        <v>522</v>
      </c>
      <c r="X1" s="1" t="s">
        <v>523</v>
      </c>
      <c r="Y1" s="1" t="s">
        <v>524</v>
      </c>
      <c r="Z1" s="1" t="s">
        <v>525</v>
      </c>
      <c r="AA1" s="1" t="s">
        <v>526</v>
      </c>
      <c r="AB1" s="1" t="s">
        <v>527</v>
      </c>
      <c r="AC1" s="1" t="s">
        <v>528</v>
      </c>
    </row>
    <row r="2" spans="1:31" ht="20.100000000000001" customHeight="1" x14ac:dyDescent="0.25">
      <c r="A2" s="1" t="s">
        <v>9</v>
      </c>
      <c r="B2" s="20" t="s">
        <v>10</v>
      </c>
      <c r="C2" s="20" t="s">
        <v>11</v>
      </c>
      <c r="D2" s="20" t="s">
        <v>12</v>
      </c>
      <c r="E2" s="20" t="s">
        <v>15</v>
      </c>
      <c r="F2" s="1"/>
      <c r="G2" s="1" t="s">
        <v>16</v>
      </c>
      <c r="H2" s="1" t="s">
        <v>529</v>
      </c>
      <c r="I2" s="1" t="s">
        <v>530</v>
      </c>
      <c r="J2" s="1" t="s">
        <v>531</v>
      </c>
      <c r="K2" s="1" t="s">
        <v>532</v>
      </c>
      <c r="L2" s="1" t="s">
        <v>533</v>
      </c>
      <c r="M2" s="1" t="s">
        <v>534</v>
      </c>
      <c r="N2" s="1" t="s">
        <v>535</v>
      </c>
      <c r="O2" s="1"/>
      <c r="P2" s="1" t="s">
        <v>536</v>
      </c>
      <c r="Q2" s="1"/>
      <c r="R2" s="1" t="s">
        <v>537</v>
      </c>
      <c r="S2" s="1"/>
      <c r="T2" s="1" t="s">
        <v>538</v>
      </c>
      <c r="U2" s="1"/>
      <c r="V2" s="1" t="s">
        <v>539</v>
      </c>
      <c r="W2" s="1"/>
      <c r="X2" s="1" t="s">
        <v>540</v>
      </c>
      <c r="Y2" s="1"/>
      <c r="Z2" s="1" t="s">
        <v>541</v>
      </c>
      <c r="AA2" s="1" t="s">
        <v>529</v>
      </c>
      <c r="AB2" s="1"/>
      <c r="AC2" s="1" t="s">
        <v>546</v>
      </c>
      <c r="AD2" s="21" t="s">
        <v>718</v>
      </c>
    </row>
    <row r="3" spans="1:31" ht="20.100000000000001" customHeight="1" x14ac:dyDescent="0.25">
      <c r="A3" s="14">
        <v>214</v>
      </c>
      <c r="B3" s="15" t="s">
        <v>472</v>
      </c>
      <c r="C3" s="15" t="s">
        <v>473</v>
      </c>
      <c r="D3" s="17">
        <v>24053</v>
      </c>
      <c r="E3" s="35">
        <v>1</v>
      </c>
      <c r="F3" s="18" t="s">
        <v>548</v>
      </c>
      <c r="G3" s="18">
        <v>11</v>
      </c>
      <c r="H3" s="18">
        <v>12</v>
      </c>
      <c r="I3" s="36">
        <v>28</v>
      </c>
      <c r="J3" s="37">
        <v>124.8</v>
      </c>
      <c r="K3" s="18" t="s">
        <v>719</v>
      </c>
      <c r="L3" s="18">
        <v>4.5699999999999998E-2</v>
      </c>
      <c r="M3" s="38">
        <v>0</v>
      </c>
      <c r="N3" s="38">
        <v>124.8</v>
      </c>
      <c r="O3" s="18" t="s">
        <v>551</v>
      </c>
      <c r="P3" s="18">
        <v>3</v>
      </c>
      <c r="Q3" s="18" t="s">
        <v>552</v>
      </c>
      <c r="R3" s="18">
        <v>14</v>
      </c>
      <c r="S3" s="18" t="s">
        <v>20</v>
      </c>
      <c r="T3" s="18" t="s">
        <v>20</v>
      </c>
      <c r="U3" s="18" t="s">
        <v>324</v>
      </c>
      <c r="V3" s="18">
        <v>156</v>
      </c>
      <c r="W3" s="39" t="s">
        <v>89</v>
      </c>
      <c r="X3" s="40">
        <v>37</v>
      </c>
      <c r="Y3" s="39" t="s">
        <v>93</v>
      </c>
      <c r="Z3" s="40">
        <v>39</v>
      </c>
      <c r="AA3" s="18">
        <v>12</v>
      </c>
      <c r="AB3" s="18" t="s">
        <v>555</v>
      </c>
      <c r="AC3" s="18"/>
      <c r="AD3" s="41" t="str">
        <f>CONCATENATE("(",A3,"*",I3,"*",J3,"*",K3,"*",L3,"*",M3,"*",N3,"*",P3,"*",R3,"*",T3,"*",V3,"*",X3,"*",Z3,")*")</f>
        <v>(214*28*124,8*8.74*0,0457*0*124,8*3*14*NULL*156*37*39)*</v>
      </c>
      <c r="AE3" s="29"/>
    </row>
    <row r="4" spans="1:31" ht="20.100000000000001" customHeight="1" x14ac:dyDescent="0.25">
      <c r="A4" s="14">
        <v>215</v>
      </c>
      <c r="B4" s="15" t="s">
        <v>474</v>
      </c>
      <c r="C4" s="15" t="s">
        <v>475</v>
      </c>
      <c r="D4" s="17">
        <v>24053</v>
      </c>
      <c r="E4" s="35"/>
      <c r="F4" s="18"/>
      <c r="G4" s="18"/>
      <c r="H4" s="18"/>
      <c r="I4" s="36">
        <v>28</v>
      </c>
      <c r="J4" s="37">
        <v>93.274999999999991</v>
      </c>
      <c r="K4" s="18" t="s">
        <v>719</v>
      </c>
      <c r="L4" s="18">
        <v>4.5699999999999998E-2</v>
      </c>
      <c r="M4" s="38">
        <v>124.8</v>
      </c>
      <c r="N4" s="38">
        <v>218.07499999999999</v>
      </c>
      <c r="O4" s="18" t="s">
        <v>551</v>
      </c>
      <c r="P4" s="18">
        <v>3</v>
      </c>
      <c r="Q4" s="18" t="s">
        <v>552</v>
      </c>
      <c r="R4" s="18">
        <v>14</v>
      </c>
      <c r="S4" s="18" t="s">
        <v>20</v>
      </c>
      <c r="T4" s="18" t="s">
        <v>20</v>
      </c>
      <c r="U4" s="18" t="s">
        <v>324</v>
      </c>
      <c r="V4" s="18">
        <v>156</v>
      </c>
      <c r="W4" s="39" t="s">
        <v>93</v>
      </c>
      <c r="X4" s="40">
        <v>39</v>
      </c>
      <c r="Y4" s="39" t="s">
        <v>97</v>
      </c>
      <c r="Z4" s="40">
        <v>41</v>
      </c>
      <c r="AA4" s="18"/>
      <c r="AB4" s="18"/>
      <c r="AC4" s="18"/>
      <c r="AD4" s="41" t="str">
        <f t="shared" ref="AD4:AD20" si="0">CONCATENATE("(",A4,"*",I4,"*",J4,"*",K4,"*",L4,"*",M4,"*",N4,"*",P4,"*",R4,"*",T4,"*",V4,"*",X4,"*",Z4,")*")</f>
        <v>(215*28*93,275*8.74*0,0457*124,8*218,075*3*14*NULL*156*39*41)*</v>
      </c>
      <c r="AE4" s="29"/>
    </row>
    <row r="5" spans="1:31" ht="20.100000000000001" customHeight="1" x14ac:dyDescent="0.25">
      <c r="A5" s="14">
        <v>216</v>
      </c>
      <c r="B5" s="15" t="s">
        <v>476</v>
      </c>
      <c r="C5" s="15" t="s">
        <v>477</v>
      </c>
      <c r="D5" s="17">
        <v>24053</v>
      </c>
      <c r="E5" s="35"/>
      <c r="F5" s="18"/>
      <c r="G5" s="18"/>
      <c r="H5" s="18"/>
      <c r="I5" s="36">
        <v>28</v>
      </c>
      <c r="J5" s="37">
        <v>87.925000000000011</v>
      </c>
      <c r="K5" s="18" t="s">
        <v>719</v>
      </c>
      <c r="L5" s="18">
        <v>4.5699999999999998E-2</v>
      </c>
      <c r="M5" s="38">
        <v>218.07499999999999</v>
      </c>
      <c r="N5" s="38">
        <v>306</v>
      </c>
      <c r="O5" s="18" t="s">
        <v>551</v>
      </c>
      <c r="P5" s="18">
        <v>3</v>
      </c>
      <c r="Q5" s="18" t="s">
        <v>552</v>
      </c>
      <c r="R5" s="18">
        <v>14</v>
      </c>
      <c r="S5" s="18" t="s">
        <v>20</v>
      </c>
      <c r="T5" s="18" t="s">
        <v>20</v>
      </c>
      <c r="U5" s="18" t="s">
        <v>324</v>
      </c>
      <c r="V5" s="18">
        <v>156</v>
      </c>
      <c r="W5" s="39" t="s">
        <v>97</v>
      </c>
      <c r="X5" s="40">
        <v>41</v>
      </c>
      <c r="Y5" s="39" t="s">
        <v>99</v>
      </c>
      <c r="Z5" s="40">
        <v>43</v>
      </c>
      <c r="AA5" s="18"/>
      <c r="AB5" s="18"/>
      <c r="AC5" s="18"/>
      <c r="AD5" s="41" t="str">
        <f t="shared" si="0"/>
        <v>(216*28*87,925*8.74*0,0457*218,075*306*3*14*NULL*156*41*43)*</v>
      </c>
      <c r="AE5" s="29"/>
    </row>
    <row r="6" spans="1:31" ht="20.100000000000001" customHeight="1" x14ac:dyDescent="0.25">
      <c r="A6" s="14">
        <v>217</v>
      </c>
      <c r="B6" s="15" t="s">
        <v>478</v>
      </c>
      <c r="C6" s="15" t="s">
        <v>479</v>
      </c>
      <c r="D6" s="17">
        <v>24053</v>
      </c>
      <c r="E6" s="35"/>
      <c r="F6" s="18"/>
      <c r="G6" s="18"/>
      <c r="H6" s="18"/>
      <c r="I6" s="36">
        <v>28</v>
      </c>
      <c r="J6" s="37">
        <v>109.10000000000002</v>
      </c>
      <c r="K6" s="18" t="s">
        <v>719</v>
      </c>
      <c r="L6" s="18">
        <v>4.5699999999999998E-2</v>
      </c>
      <c r="M6" s="38">
        <v>306</v>
      </c>
      <c r="N6" s="38">
        <v>415.1</v>
      </c>
      <c r="O6" s="18" t="s">
        <v>551</v>
      </c>
      <c r="P6" s="18">
        <v>3</v>
      </c>
      <c r="Q6" s="18" t="s">
        <v>552</v>
      </c>
      <c r="R6" s="18">
        <v>14</v>
      </c>
      <c r="S6" s="18" t="s">
        <v>20</v>
      </c>
      <c r="T6" s="18" t="s">
        <v>20</v>
      </c>
      <c r="U6" s="18" t="s">
        <v>324</v>
      </c>
      <c r="V6" s="18">
        <v>156</v>
      </c>
      <c r="W6" s="39" t="s">
        <v>99</v>
      </c>
      <c r="X6" s="40">
        <v>43</v>
      </c>
      <c r="Y6" s="39" t="s">
        <v>101</v>
      </c>
      <c r="Z6" s="40">
        <v>45</v>
      </c>
      <c r="AA6" s="18"/>
      <c r="AB6" s="18"/>
      <c r="AC6" s="18"/>
      <c r="AD6" s="41" t="str">
        <f t="shared" si="0"/>
        <v>(217*28*109,1*8.74*0,0457*306*415,1*3*14*NULL*156*43*45)*</v>
      </c>
      <c r="AE6" s="29"/>
    </row>
    <row r="7" spans="1:31" ht="20.100000000000001" customHeight="1" x14ac:dyDescent="0.25">
      <c r="A7" s="14">
        <v>218</v>
      </c>
      <c r="B7" s="15" t="s">
        <v>480</v>
      </c>
      <c r="C7" s="15" t="s">
        <v>481</v>
      </c>
      <c r="D7" s="17">
        <v>24053</v>
      </c>
      <c r="E7" s="35"/>
      <c r="F7" s="18"/>
      <c r="G7" s="18"/>
      <c r="H7" s="18"/>
      <c r="I7" s="36">
        <v>28</v>
      </c>
      <c r="J7" s="37">
        <v>119.79999999999995</v>
      </c>
      <c r="K7" s="18" t="s">
        <v>719</v>
      </c>
      <c r="L7" s="18">
        <v>4.5699999999999998E-2</v>
      </c>
      <c r="M7" s="38">
        <v>415.1</v>
      </c>
      <c r="N7" s="38">
        <v>534.9</v>
      </c>
      <c r="O7" s="18" t="s">
        <v>551</v>
      </c>
      <c r="P7" s="18">
        <v>3</v>
      </c>
      <c r="Q7" s="18" t="s">
        <v>552</v>
      </c>
      <c r="R7" s="18">
        <v>14</v>
      </c>
      <c r="S7" s="18" t="s">
        <v>20</v>
      </c>
      <c r="T7" s="18" t="s">
        <v>20</v>
      </c>
      <c r="U7" s="18" t="s">
        <v>324</v>
      </c>
      <c r="V7" s="18">
        <v>156</v>
      </c>
      <c r="W7" s="39" t="s">
        <v>101</v>
      </c>
      <c r="X7" s="40">
        <v>45</v>
      </c>
      <c r="Y7" s="39" t="s">
        <v>103</v>
      </c>
      <c r="Z7" s="40">
        <v>47</v>
      </c>
      <c r="AA7" s="18"/>
      <c r="AB7" s="18"/>
      <c r="AC7" s="18"/>
      <c r="AD7" s="41" t="str">
        <f t="shared" si="0"/>
        <v>(218*28*119,8*8.74*0,0457*415,1*534,9*3*14*NULL*156*45*47)*</v>
      </c>
      <c r="AE7" s="29"/>
    </row>
    <row r="8" spans="1:31" ht="20.100000000000001" customHeight="1" x14ac:dyDescent="0.25">
      <c r="A8" s="14">
        <v>219</v>
      </c>
      <c r="B8" s="15" t="s">
        <v>482</v>
      </c>
      <c r="C8" s="15" t="s">
        <v>483</v>
      </c>
      <c r="D8" s="17">
        <v>24053</v>
      </c>
      <c r="E8" s="35"/>
      <c r="F8" s="18"/>
      <c r="G8" s="18"/>
      <c r="H8" s="18"/>
      <c r="I8" s="36">
        <v>28</v>
      </c>
      <c r="J8" s="37">
        <v>170.673</v>
      </c>
      <c r="K8" s="18" t="s">
        <v>719</v>
      </c>
      <c r="L8" s="18">
        <v>4.5699999999999998E-2</v>
      </c>
      <c r="M8" s="38">
        <v>534.9</v>
      </c>
      <c r="N8" s="38">
        <v>705.57299999999998</v>
      </c>
      <c r="O8" s="18" t="s">
        <v>551</v>
      </c>
      <c r="P8" s="18">
        <v>3</v>
      </c>
      <c r="Q8" s="18" t="s">
        <v>552</v>
      </c>
      <c r="R8" s="18">
        <v>14</v>
      </c>
      <c r="S8" s="18" t="s">
        <v>20</v>
      </c>
      <c r="T8" s="18" t="s">
        <v>20</v>
      </c>
      <c r="U8" s="18" t="s">
        <v>324</v>
      </c>
      <c r="V8" s="18">
        <v>156</v>
      </c>
      <c r="W8" s="39" t="s">
        <v>103</v>
      </c>
      <c r="X8" s="40">
        <v>47</v>
      </c>
      <c r="Y8" s="39" t="s">
        <v>105</v>
      </c>
      <c r="Z8" s="40">
        <v>49</v>
      </c>
      <c r="AA8" s="18"/>
      <c r="AB8" s="18"/>
      <c r="AC8" s="18"/>
      <c r="AD8" s="41" t="str">
        <f t="shared" si="0"/>
        <v>(219*28*170,673*8.74*0,0457*534,9*705,573*3*14*NULL*156*47*49)*</v>
      </c>
      <c r="AE8" s="29"/>
    </row>
    <row r="9" spans="1:31" ht="20.100000000000001" customHeight="1" x14ac:dyDescent="0.25">
      <c r="A9" s="14">
        <v>220</v>
      </c>
      <c r="B9" s="15" t="s">
        <v>484</v>
      </c>
      <c r="C9" s="15" t="s">
        <v>485</v>
      </c>
      <c r="D9" s="17">
        <v>24053</v>
      </c>
      <c r="E9" s="35"/>
      <c r="F9" s="18"/>
      <c r="G9" s="18"/>
      <c r="H9" s="18"/>
      <c r="I9" s="36">
        <v>28</v>
      </c>
      <c r="J9" s="37">
        <v>95.427000000000021</v>
      </c>
      <c r="K9" s="18" t="s">
        <v>719</v>
      </c>
      <c r="L9" s="18">
        <v>4.5699999999999998E-2</v>
      </c>
      <c r="M9" s="38">
        <v>705.57299999999998</v>
      </c>
      <c r="N9" s="38">
        <v>801</v>
      </c>
      <c r="O9" s="18" t="s">
        <v>551</v>
      </c>
      <c r="P9" s="18">
        <v>3</v>
      </c>
      <c r="Q9" s="18" t="s">
        <v>552</v>
      </c>
      <c r="R9" s="18">
        <v>14</v>
      </c>
      <c r="S9" s="18" t="s">
        <v>20</v>
      </c>
      <c r="T9" s="18" t="s">
        <v>20</v>
      </c>
      <c r="U9" s="18" t="s">
        <v>324</v>
      </c>
      <c r="V9" s="18">
        <v>156</v>
      </c>
      <c r="W9" s="39" t="s">
        <v>105</v>
      </c>
      <c r="X9" s="40">
        <v>49</v>
      </c>
      <c r="Y9" s="39" t="s">
        <v>554</v>
      </c>
      <c r="Z9" s="40">
        <v>21</v>
      </c>
      <c r="AA9" s="18"/>
      <c r="AB9" s="18"/>
      <c r="AC9" s="18"/>
      <c r="AD9" s="41" t="str">
        <f t="shared" si="0"/>
        <v>(220*28*95,427*8.74*0,0457*705,573*801*3*14*NULL*156*49*21)*</v>
      </c>
      <c r="AE9" s="29"/>
    </row>
    <row r="10" spans="1:31" ht="20.100000000000001" customHeight="1" x14ac:dyDescent="0.25">
      <c r="A10" s="14">
        <v>221</v>
      </c>
      <c r="B10" s="15" t="s">
        <v>486</v>
      </c>
      <c r="C10" s="15" t="s">
        <v>487</v>
      </c>
      <c r="D10" s="17">
        <v>37851</v>
      </c>
      <c r="E10" s="35">
        <v>1</v>
      </c>
      <c r="F10" s="18" t="s">
        <v>548</v>
      </c>
      <c r="G10" s="18">
        <v>11</v>
      </c>
      <c r="H10" s="18">
        <v>12</v>
      </c>
      <c r="I10" s="36">
        <v>34</v>
      </c>
      <c r="J10" s="37">
        <v>127.6</v>
      </c>
      <c r="K10" s="18" t="s">
        <v>720</v>
      </c>
      <c r="L10" s="18">
        <v>4.5699999999999998E-2</v>
      </c>
      <c r="M10" s="38">
        <v>0</v>
      </c>
      <c r="N10" s="38">
        <v>127.6</v>
      </c>
      <c r="O10" s="18" t="s">
        <v>557</v>
      </c>
      <c r="P10" s="18">
        <v>4</v>
      </c>
      <c r="Q10" s="18" t="s">
        <v>558</v>
      </c>
      <c r="R10" s="18">
        <v>11</v>
      </c>
      <c r="S10" s="18" t="s">
        <v>20</v>
      </c>
      <c r="T10" s="18" t="s">
        <v>20</v>
      </c>
      <c r="U10" s="18" t="s">
        <v>326</v>
      </c>
      <c r="V10" s="18">
        <v>157</v>
      </c>
      <c r="W10" s="39" t="s">
        <v>89</v>
      </c>
      <c r="X10" s="18">
        <v>37</v>
      </c>
      <c r="Y10" s="39" t="s">
        <v>93</v>
      </c>
      <c r="Z10" s="18">
        <v>39</v>
      </c>
      <c r="AA10" s="18">
        <v>12</v>
      </c>
      <c r="AB10" s="42" t="s">
        <v>559</v>
      </c>
      <c r="AC10" s="42"/>
      <c r="AD10" s="41" t="str">
        <f t="shared" si="0"/>
        <v>(221*34*127,6*7.92*0,0457*0*127,6*4*11*NULL*157*37*39)*</v>
      </c>
    </row>
    <row r="11" spans="1:31" ht="20.100000000000001" customHeight="1" x14ac:dyDescent="0.25">
      <c r="A11" s="14">
        <v>222</v>
      </c>
      <c r="B11" s="15" t="s">
        <v>488</v>
      </c>
      <c r="C11" s="15" t="s">
        <v>489</v>
      </c>
      <c r="D11" s="17">
        <v>37851</v>
      </c>
      <c r="E11" s="35"/>
      <c r="F11" s="18"/>
      <c r="G11" s="18"/>
      <c r="H11" s="18"/>
      <c r="I11" s="36">
        <v>34</v>
      </c>
      <c r="J11" s="37">
        <v>93.200000000000017</v>
      </c>
      <c r="K11" s="18" t="s">
        <v>721</v>
      </c>
      <c r="L11" s="18">
        <v>1.0457000000000001</v>
      </c>
      <c r="M11" s="38">
        <v>127.6</v>
      </c>
      <c r="N11" s="38">
        <v>220.8</v>
      </c>
      <c r="O11" s="18" t="s">
        <v>557</v>
      </c>
      <c r="P11" s="18">
        <v>4</v>
      </c>
      <c r="Q11" s="18" t="s">
        <v>558</v>
      </c>
      <c r="R11" s="18">
        <v>11</v>
      </c>
      <c r="S11" s="18" t="s">
        <v>20</v>
      </c>
      <c r="T11" s="18" t="s">
        <v>20</v>
      </c>
      <c r="U11" s="18" t="s">
        <v>326</v>
      </c>
      <c r="V11" s="18">
        <v>157</v>
      </c>
      <c r="W11" s="39" t="s">
        <v>93</v>
      </c>
      <c r="X11" s="18">
        <v>39</v>
      </c>
      <c r="Y11" s="39" t="s">
        <v>97</v>
      </c>
      <c r="Z11" s="18">
        <v>41</v>
      </c>
      <c r="AA11" s="18"/>
      <c r="AB11" s="42"/>
      <c r="AC11" s="42"/>
      <c r="AD11" s="41" t="str">
        <f t="shared" si="0"/>
        <v>(222*34*93,2*7.93*1,0457*127,6*220,8*4*11*NULL*157*39*41)*</v>
      </c>
    </row>
    <row r="12" spans="1:31" ht="20.100000000000001" customHeight="1" x14ac:dyDescent="0.25">
      <c r="A12" s="14">
        <v>223</v>
      </c>
      <c r="B12" s="15" t="s">
        <v>490</v>
      </c>
      <c r="C12" s="15" t="s">
        <v>491</v>
      </c>
      <c r="D12" s="17">
        <v>37851</v>
      </c>
      <c r="E12" s="35"/>
      <c r="F12" s="18"/>
      <c r="G12" s="18"/>
      <c r="H12" s="18"/>
      <c r="I12" s="36">
        <v>34</v>
      </c>
      <c r="J12" s="37">
        <v>87.099999999999966</v>
      </c>
      <c r="K12" s="18" t="s">
        <v>722</v>
      </c>
      <c r="L12" s="18">
        <v>2.0457000000000001</v>
      </c>
      <c r="M12" s="38">
        <v>220.8</v>
      </c>
      <c r="N12" s="38">
        <v>307.89999999999998</v>
      </c>
      <c r="O12" s="18" t="s">
        <v>557</v>
      </c>
      <c r="P12" s="18">
        <v>4</v>
      </c>
      <c r="Q12" s="18" t="s">
        <v>558</v>
      </c>
      <c r="R12" s="18">
        <v>11</v>
      </c>
      <c r="S12" s="18" t="s">
        <v>20</v>
      </c>
      <c r="T12" s="18" t="s">
        <v>20</v>
      </c>
      <c r="U12" s="18" t="s">
        <v>326</v>
      </c>
      <c r="V12" s="18">
        <v>157</v>
      </c>
      <c r="W12" s="39" t="s">
        <v>97</v>
      </c>
      <c r="X12" s="18">
        <v>41</v>
      </c>
      <c r="Y12" s="39" t="s">
        <v>99</v>
      </c>
      <c r="Z12" s="18">
        <v>43</v>
      </c>
      <c r="AA12" s="18"/>
      <c r="AB12" s="42"/>
      <c r="AC12" s="42"/>
      <c r="AD12" s="41" t="str">
        <f t="shared" si="0"/>
        <v>(223*34*87,1*7.94*2,0457*220,8*307,9*4*11*NULL*157*41*43)*</v>
      </c>
    </row>
    <row r="13" spans="1:31" ht="20.100000000000001" customHeight="1" x14ac:dyDescent="0.25">
      <c r="A13" s="14">
        <v>224</v>
      </c>
      <c r="B13" s="15" t="s">
        <v>492</v>
      </c>
      <c r="C13" s="15" t="s">
        <v>493</v>
      </c>
      <c r="D13" s="17">
        <v>37851</v>
      </c>
      <c r="E13" s="35"/>
      <c r="F13" s="18"/>
      <c r="G13" s="18"/>
      <c r="H13" s="18"/>
      <c r="I13" s="36">
        <v>34</v>
      </c>
      <c r="J13" s="37">
        <v>109.30000000000001</v>
      </c>
      <c r="K13" s="18" t="s">
        <v>723</v>
      </c>
      <c r="L13" s="18">
        <v>3.0457000000000001</v>
      </c>
      <c r="M13" s="38">
        <v>307.89999999999998</v>
      </c>
      <c r="N13" s="38">
        <v>417.2</v>
      </c>
      <c r="O13" s="18" t="s">
        <v>557</v>
      </c>
      <c r="P13" s="18">
        <v>4</v>
      </c>
      <c r="Q13" s="18" t="s">
        <v>558</v>
      </c>
      <c r="R13" s="18">
        <v>11</v>
      </c>
      <c r="S13" s="18" t="s">
        <v>20</v>
      </c>
      <c r="T13" s="18" t="s">
        <v>20</v>
      </c>
      <c r="U13" s="18" t="s">
        <v>326</v>
      </c>
      <c r="V13" s="18">
        <v>157</v>
      </c>
      <c r="W13" s="39" t="s">
        <v>99</v>
      </c>
      <c r="X13" s="18">
        <v>43</v>
      </c>
      <c r="Y13" s="39" t="s">
        <v>101</v>
      </c>
      <c r="Z13" s="18">
        <v>45</v>
      </c>
      <c r="AA13" s="18"/>
      <c r="AB13" s="42"/>
      <c r="AC13" s="42"/>
      <c r="AD13" s="41" t="str">
        <f t="shared" si="0"/>
        <v>(224*34*109,3*7.95*3,0457*307,9*417,2*4*11*NULL*157*43*45)*</v>
      </c>
    </row>
    <row r="14" spans="1:31" ht="20.100000000000001" customHeight="1" x14ac:dyDescent="0.25">
      <c r="A14" s="14">
        <v>225</v>
      </c>
      <c r="B14" s="15" t="s">
        <v>494</v>
      </c>
      <c r="C14" s="15" t="s">
        <v>495</v>
      </c>
      <c r="D14" s="17">
        <v>37851</v>
      </c>
      <c r="E14" s="35"/>
      <c r="F14" s="18"/>
      <c r="G14" s="18"/>
      <c r="H14" s="18"/>
      <c r="I14" s="36">
        <v>34</v>
      </c>
      <c r="J14" s="37">
        <v>121.00000000000006</v>
      </c>
      <c r="K14" s="18" t="s">
        <v>724</v>
      </c>
      <c r="L14" s="18">
        <v>4.0457000000000001</v>
      </c>
      <c r="M14" s="38">
        <v>417.2</v>
      </c>
      <c r="N14" s="38">
        <v>538.20000000000005</v>
      </c>
      <c r="O14" s="18" t="s">
        <v>557</v>
      </c>
      <c r="P14" s="18">
        <v>4</v>
      </c>
      <c r="Q14" s="18" t="s">
        <v>558</v>
      </c>
      <c r="R14" s="18">
        <v>11</v>
      </c>
      <c r="S14" s="18" t="s">
        <v>20</v>
      </c>
      <c r="T14" s="18" t="s">
        <v>20</v>
      </c>
      <c r="U14" s="18" t="s">
        <v>326</v>
      </c>
      <c r="V14" s="18">
        <v>157</v>
      </c>
      <c r="W14" s="39" t="s">
        <v>101</v>
      </c>
      <c r="X14" s="18">
        <v>45</v>
      </c>
      <c r="Y14" s="39" t="s">
        <v>103</v>
      </c>
      <c r="Z14" s="18">
        <v>47</v>
      </c>
      <c r="AA14" s="18"/>
      <c r="AB14" s="42"/>
      <c r="AC14" s="42"/>
      <c r="AD14" s="41" t="str">
        <f t="shared" si="0"/>
        <v>(225*34*121*7.96*4,0457*417,2*538,2*4*11*NULL*157*45*47)*</v>
      </c>
    </row>
    <row r="15" spans="1:31" ht="20.100000000000001" customHeight="1" x14ac:dyDescent="0.25">
      <c r="A15" s="14">
        <v>226</v>
      </c>
      <c r="B15" s="15" t="s">
        <v>496</v>
      </c>
      <c r="C15" s="15" t="s">
        <v>497</v>
      </c>
      <c r="D15" s="17">
        <v>37851</v>
      </c>
      <c r="E15" s="35"/>
      <c r="F15" s="18"/>
      <c r="G15" s="18"/>
      <c r="H15" s="18"/>
      <c r="I15" s="36">
        <v>34</v>
      </c>
      <c r="J15" s="37">
        <v>167.37299999999993</v>
      </c>
      <c r="K15" s="18" t="s">
        <v>725</v>
      </c>
      <c r="L15" s="18">
        <v>5.0457000000000001</v>
      </c>
      <c r="M15" s="38">
        <v>538.20000000000005</v>
      </c>
      <c r="N15" s="38">
        <v>705.57299999999998</v>
      </c>
      <c r="O15" s="18" t="s">
        <v>557</v>
      </c>
      <c r="P15" s="18">
        <v>4</v>
      </c>
      <c r="Q15" s="18" t="s">
        <v>558</v>
      </c>
      <c r="R15" s="18">
        <v>11</v>
      </c>
      <c r="S15" s="18" t="s">
        <v>20</v>
      </c>
      <c r="T15" s="18" t="s">
        <v>20</v>
      </c>
      <c r="U15" s="18" t="s">
        <v>326</v>
      </c>
      <c r="V15" s="18">
        <v>157</v>
      </c>
      <c r="W15" s="39" t="s">
        <v>103</v>
      </c>
      <c r="X15" s="18">
        <v>47</v>
      </c>
      <c r="Y15" s="39" t="s">
        <v>105</v>
      </c>
      <c r="Z15" s="18">
        <v>49</v>
      </c>
      <c r="AA15" s="18"/>
      <c r="AB15" s="42"/>
      <c r="AC15" s="42"/>
      <c r="AD15" s="41" t="str">
        <f t="shared" si="0"/>
        <v>(226*34*167,373*7.97*5,0457*538,2*705,573*4*11*NULL*157*47*49)*</v>
      </c>
    </row>
    <row r="16" spans="1:31" ht="20.100000000000001" customHeight="1" x14ac:dyDescent="0.25">
      <c r="A16" s="14">
        <v>227</v>
      </c>
      <c r="B16" s="15" t="s">
        <v>498</v>
      </c>
      <c r="C16" s="15" t="s">
        <v>499</v>
      </c>
      <c r="D16" s="17">
        <v>37851</v>
      </c>
      <c r="E16" s="35"/>
      <c r="F16" s="18"/>
      <c r="G16" s="18"/>
      <c r="H16" s="18"/>
      <c r="I16" s="36">
        <v>34</v>
      </c>
      <c r="J16" s="37">
        <v>115.42700000000002</v>
      </c>
      <c r="K16" s="18" t="s">
        <v>726</v>
      </c>
      <c r="L16" s="18">
        <v>6.0457000000000001</v>
      </c>
      <c r="M16" s="38">
        <v>705.57299999999998</v>
      </c>
      <c r="N16" s="38">
        <v>821</v>
      </c>
      <c r="O16" s="18" t="s">
        <v>557</v>
      </c>
      <c r="P16" s="18">
        <v>4</v>
      </c>
      <c r="Q16" s="18" t="s">
        <v>558</v>
      </c>
      <c r="R16" s="18">
        <v>11</v>
      </c>
      <c r="S16" s="18" t="s">
        <v>20</v>
      </c>
      <c r="T16" s="18" t="s">
        <v>20</v>
      </c>
      <c r="U16" s="18" t="s">
        <v>326</v>
      </c>
      <c r="V16" s="18">
        <v>157</v>
      </c>
      <c r="W16" s="39" t="s">
        <v>105</v>
      </c>
      <c r="X16" s="18">
        <v>49</v>
      </c>
      <c r="Y16" s="39" t="s">
        <v>554</v>
      </c>
      <c r="Z16" s="18">
        <v>21</v>
      </c>
      <c r="AA16" s="18"/>
      <c r="AB16" s="42"/>
      <c r="AC16" s="42"/>
      <c r="AD16" s="41" t="str">
        <f t="shared" si="0"/>
        <v>(227*34*115,427*7.98*6,0457*705,573*821*4*11*NULL*157*49*21)*</v>
      </c>
    </row>
    <row r="17" spans="1:30" ht="20.100000000000001" customHeight="1" x14ac:dyDescent="0.25">
      <c r="A17" s="14">
        <v>228</v>
      </c>
      <c r="B17" s="15" t="s">
        <v>727</v>
      </c>
      <c r="C17" s="15" t="s">
        <v>728</v>
      </c>
      <c r="D17" s="17">
        <v>26299</v>
      </c>
      <c r="E17" s="35">
        <v>1</v>
      </c>
      <c r="F17" s="18" t="s">
        <v>560</v>
      </c>
      <c r="G17" s="18">
        <v>13</v>
      </c>
      <c r="H17" s="18">
        <v>12</v>
      </c>
      <c r="I17" s="36">
        <v>34</v>
      </c>
      <c r="J17" s="37">
        <v>190.56</v>
      </c>
      <c r="K17" s="42">
        <v>7.92</v>
      </c>
      <c r="L17" s="18">
        <v>4.5699999999999998E-2</v>
      </c>
      <c r="M17" s="38">
        <v>0</v>
      </c>
      <c r="N17" s="38">
        <v>190.56</v>
      </c>
      <c r="O17" s="18" t="s">
        <v>551</v>
      </c>
      <c r="P17" s="18">
        <v>3</v>
      </c>
      <c r="Q17" s="42" t="s">
        <v>563</v>
      </c>
      <c r="R17" s="18">
        <v>14</v>
      </c>
      <c r="S17" s="18" t="s">
        <v>20</v>
      </c>
      <c r="T17" s="18" t="s">
        <v>20</v>
      </c>
      <c r="U17" s="18" t="s">
        <v>329</v>
      </c>
      <c r="V17" s="18">
        <v>158</v>
      </c>
      <c r="W17" s="15" t="s">
        <v>109</v>
      </c>
      <c r="X17" s="14">
        <v>51</v>
      </c>
      <c r="Y17" s="15" t="s">
        <v>113</v>
      </c>
      <c r="Z17" s="14">
        <v>53</v>
      </c>
      <c r="AA17" s="18">
        <v>12</v>
      </c>
      <c r="AB17" s="18" t="s">
        <v>565</v>
      </c>
      <c r="AC17" s="18"/>
      <c r="AD17" s="41" t="str">
        <f t="shared" si="0"/>
        <v>(228*34*190,56*7,92*0,0457*0*190,56*3*14*NULL*158*51*53)*</v>
      </c>
    </row>
    <row r="18" spans="1:30" ht="20.100000000000001" customHeight="1" x14ac:dyDescent="0.25">
      <c r="A18" s="14">
        <v>229</v>
      </c>
      <c r="B18" s="15" t="s">
        <v>729</v>
      </c>
      <c r="C18" s="15" t="s">
        <v>730</v>
      </c>
      <c r="D18" s="17">
        <v>26299</v>
      </c>
      <c r="E18" s="35">
        <v>1</v>
      </c>
      <c r="F18" s="18" t="s">
        <v>560</v>
      </c>
      <c r="G18" s="18">
        <v>13</v>
      </c>
      <c r="H18" s="18">
        <v>12</v>
      </c>
      <c r="I18" s="36">
        <v>34</v>
      </c>
      <c r="J18" s="37">
        <v>148.08299999999997</v>
      </c>
      <c r="K18" s="42">
        <v>7.92</v>
      </c>
      <c r="L18" s="18">
        <v>4.5699999999999998E-2</v>
      </c>
      <c r="M18" s="38">
        <v>190.56</v>
      </c>
      <c r="N18" s="38">
        <v>338.64299999999997</v>
      </c>
      <c r="O18" s="18" t="s">
        <v>551</v>
      </c>
      <c r="P18" s="18">
        <v>3</v>
      </c>
      <c r="Q18" s="42" t="s">
        <v>563</v>
      </c>
      <c r="R18" s="18">
        <v>14</v>
      </c>
      <c r="S18" s="18" t="s">
        <v>20</v>
      </c>
      <c r="T18" s="18" t="s">
        <v>20</v>
      </c>
      <c r="U18" s="18" t="s">
        <v>329</v>
      </c>
      <c r="V18" s="18">
        <v>158</v>
      </c>
      <c r="W18" s="15" t="s">
        <v>113</v>
      </c>
      <c r="X18" s="14">
        <v>53</v>
      </c>
      <c r="Y18" s="15" t="s">
        <v>115</v>
      </c>
      <c r="Z18" s="14">
        <v>54</v>
      </c>
      <c r="AA18" s="18"/>
      <c r="AB18" s="18"/>
      <c r="AC18" s="18"/>
      <c r="AD18" s="41" t="str">
        <f t="shared" si="0"/>
        <v>(229*34*148,083*7,92*0,0457*190,56*338,643*3*14*NULL*158*53*54)*</v>
      </c>
    </row>
    <row r="19" spans="1:30" ht="20.100000000000001" customHeight="1" x14ac:dyDescent="0.25">
      <c r="A19" s="14">
        <v>230</v>
      </c>
      <c r="B19" s="15" t="s">
        <v>731</v>
      </c>
      <c r="C19" s="15" t="s">
        <v>732</v>
      </c>
      <c r="D19" s="17">
        <v>26299</v>
      </c>
      <c r="E19" s="35">
        <v>1</v>
      </c>
      <c r="F19" s="18" t="s">
        <v>560</v>
      </c>
      <c r="G19" s="18">
        <v>13</v>
      </c>
      <c r="H19" s="18">
        <v>12</v>
      </c>
      <c r="I19" s="36">
        <v>34</v>
      </c>
      <c r="J19" s="37">
        <v>92.784000000000049</v>
      </c>
      <c r="K19" s="42">
        <v>7.92</v>
      </c>
      <c r="L19" s="18">
        <v>4.5699999999999998E-2</v>
      </c>
      <c r="M19" s="38">
        <v>338.64299999999997</v>
      </c>
      <c r="N19" s="38">
        <v>431.42700000000002</v>
      </c>
      <c r="O19" s="18" t="s">
        <v>557</v>
      </c>
      <c r="P19" s="18">
        <v>4</v>
      </c>
      <c r="Q19" s="42" t="s">
        <v>563</v>
      </c>
      <c r="R19" s="18">
        <v>14</v>
      </c>
      <c r="S19" s="18" t="s">
        <v>20</v>
      </c>
      <c r="T19" s="18" t="s">
        <v>20</v>
      </c>
      <c r="U19" s="18" t="s">
        <v>329</v>
      </c>
      <c r="V19" s="18">
        <v>158</v>
      </c>
      <c r="W19" s="15" t="s">
        <v>115</v>
      </c>
      <c r="X19" s="14">
        <v>54</v>
      </c>
      <c r="Y19" s="15" t="s">
        <v>119</v>
      </c>
      <c r="Z19" s="14">
        <v>56</v>
      </c>
      <c r="AA19" s="18"/>
      <c r="AB19" s="18"/>
      <c r="AC19" s="18"/>
      <c r="AD19" s="41" t="str">
        <f t="shared" si="0"/>
        <v>(230*34*92,784*7,92*0,0457*338,643*431,427*4*14*NULL*158*54*56)*</v>
      </c>
    </row>
    <row r="20" spans="1:30" ht="20.100000000000001" customHeight="1" x14ac:dyDescent="0.25">
      <c r="A20" s="14">
        <v>231</v>
      </c>
      <c r="B20" s="15" t="s">
        <v>733</v>
      </c>
      <c r="C20" s="15" t="s">
        <v>734</v>
      </c>
      <c r="D20" s="17">
        <v>26299</v>
      </c>
      <c r="E20" s="35">
        <v>1</v>
      </c>
      <c r="F20" s="18" t="s">
        <v>560</v>
      </c>
      <c r="G20" s="18">
        <v>13</v>
      </c>
      <c r="H20" s="18">
        <v>12</v>
      </c>
      <c r="I20" s="36">
        <v>34</v>
      </c>
      <c r="J20" s="37">
        <v>215.31999999999994</v>
      </c>
      <c r="K20" s="42">
        <v>7.92</v>
      </c>
      <c r="L20" s="18">
        <v>4.5699999999999998E-2</v>
      </c>
      <c r="M20" s="38">
        <v>431.42700000000002</v>
      </c>
      <c r="N20" s="38">
        <v>646.74699999999996</v>
      </c>
      <c r="O20" s="18" t="s">
        <v>557</v>
      </c>
      <c r="P20" s="18">
        <v>4</v>
      </c>
      <c r="Q20" s="42" t="s">
        <v>563</v>
      </c>
      <c r="R20" s="18">
        <v>14</v>
      </c>
      <c r="S20" s="18" t="s">
        <v>20</v>
      </c>
      <c r="T20" s="18" t="s">
        <v>20</v>
      </c>
      <c r="U20" s="18" t="s">
        <v>329</v>
      </c>
      <c r="V20" s="18">
        <v>158</v>
      </c>
      <c r="W20" s="15" t="s">
        <v>119</v>
      </c>
      <c r="X20" s="14">
        <v>56</v>
      </c>
      <c r="Y20" s="45" t="s">
        <v>564</v>
      </c>
      <c r="Z20" s="18">
        <v>34</v>
      </c>
      <c r="AA20" s="18"/>
      <c r="AB20" s="18"/>
      <c r="AC20" s="18"/>
      <c r="AD20" s="41" t="str">
        <f t="shared" si="0"/>
        <v>(231*34*215,32*7,92*0,0457*431,427*646,747*4*14*NULL*158*56*34)*</v>
      </c>
    </row>
    <row r="21" spans="1:30" ht="20.100000000000001" customHeight="1" x14ac:dyDescent="0.25">
      <c r="A21" s="14">
        <v>232</v>
      </c>
      <c r="B21" s="15" t="s">
        <v>742</v>
      </c>
      <c r="C21" s="15" t="s">
        <v>735</v>
      </c>
      <c r="D21" s="17">
        <v>21864</v>
      </c>
      <c r="E21" s="35">
        <v>1</v>
      </c>
      <c r="F21" s="18" t="s">
        <v>566</v>
      </c>
      <c r="G21" s="18">
        <v>15</v>
      </c>
      <c r="H21" s="18">
        <v>12</v>
      </c>
      <c r="I21" s="36">
        <v>24</v>
      </c>
      <c r="J21" s="37">
        <f>N21-M21</f>
        <v>189.81</v>
      </c>
      <c r="K21" s="18">
        <v>7.92</v>
      </c>
      <c r="L21" s="18">
        <v>1.4999999999999999E-2</v>
      </c>
      <c r="M21" s="38">
        <v>0</v>
      </c>
      <c r="N21" s="38">
        <v>189.81</v>
      </c>
      <c r="O21" s="18" t="s">
        <v>740</v>
      </c>
      <c r="P21" s="18">
        <v>2</v>
      </c>
      <c r="Q21" s="18" t="s">
        <v>571</v>
      </c>
      <c r="R21" s="18">
        <v>14</v>
      </c>
      <c r="S21" s="18" t="s">
        <v>20</v>
      </c>
      <c r="T21" s="18" t="s">
        <v>20</v>
      </c>
      <c r="U21" s="18" t="s">
        <v>332</v>
      </c>
      <c r="V21" s="18">
        <v>159</v>
      </c>
      <c r="W21" s="18" t="s">
        <v>121</v>
      </c>
      <c r="X21" s="18">
        <v>57</v>
      </c>
      <c r="Y21" s="18" t="s">
        <v>123</v>
      </c>
      <c r="Z21" s="18">
        <v>58</v>
      </c>
      <c r="AA21" s="7">
        <v>12</v>
      </c>
      <c r="AB21" s="7" t="s">
        <v>574</v>
      </c>
      <c r="AC21" s="7"/>
      <c r="AD21" s="41" t="str">
        <f t="shared" ref="AD21:AD82" si="1">CONCATENATE("(",A21,"*'",I21,"'*",J21,"*'",K21,"'*'",L21,"'*",M21,"*",N21,"*",P21,"*",R21,"*",T21,"*",V21,"*",X21,"*",Z21,")*")</f>
        <v>(232*'24'*189,81*'7,92'*'0,015'*0*189,81*2*14*NULL*159*57*58)*</v>
      </c>
    </row>
    <row r="22" spans="1:30" ht="20.100000000000001" customHeight="1" x14ac:dyDescent="0.25">
      <c r="A22" s="14">
        <v>233</v>
      </c>
      <c r="B22" s="15" t="s">
        <v>743</v>
      </c>
      <c r="C22" s="15" t="s">
        <v>736</v>
      </c>
      <c r="D22" s="17">
        <v>21864</v>
      </c>
      <c r="E22" s="35"/>
      <c r="F22" s="18"/>
      <c r="G22" s="18"/>
      <c r="H22" s="18"/>
      <c r="I22" s="36">
        <v>24</v>
      </c>
      <c r="J22" s="37">
        <f t="shared" ref="J22:J25" si="2">N22-M22</f>
        <v>161.01999999999998</v>
      </c>
      <c r="K22" s="18">
        <v>7.92</v>
      </c>
      <c r="L22" s="18">
        <v>1.4999999999999999E-2</v>
      </c>
      <c r="M22" s="38">
        <v>189.81</v>
      </c>
      <c r="N22" s="38">
        <v>350.83</v>
      </c>
      <c r="O22" s="18" t="s">
        <v>740</v>
      </c>
      <c r="P22" s="18">
        <v>2</v>
      </c>
      <c r="Q22" s="18" t="s">
        <v>571</v>
      </c>
      <c r="R22" s="18">
        <v>14</v>
      </c>
      <c r="S22" s="18" t="s">
        <v>20</v>
      </c>
      <c r="T22" s="18" t="s">
        <v>20</v>
      </c>
      <c r="U22" s="18" t="s">
        <v>332</v>
      </c>
      <c r="V22" s="18">
        <v>159</v>
      </c>
      <c r="W22" s="18" t="s">
        <v>123</v>
      </c>
      <c r="X22" s="18">
        <v>58</v>
      </c>
      <c r="Y22" s="18" t="s">
        <v>125</v>
      </c>
      <c r="Z22" s="18">
        <v>59</v>
      </c>
      <c r="AA22" s="7"/>
      <c r="AB22" s="7"/>
      <c r="AC22" s="7"/>
      <c r="AD22" s="41" t="str">
        <f t="shared" si="1"/>
        <v>(233*'24'*161,02*'7,92'*'0,015'*189,81*350,83*2*14*NULL*159*58*59)*</v>
      </c>
    </row>
    <row r="23" spans="1:30" ht="20.100000000000001" customHeight="1" x14ac:dyDescent="0.25">
      <c r="A23" s="14">
        <v>234</v>
      </c>
      <c r="B23" s="15" t="s">
        <v>744</v>
      </c>
      <c r="C23" s="15" t="s">
        <v>737</v>
      </c>
      <c r="D23" s="17">
        <v>21864</v>
      </c>
      <c r="E23" s="35"/>
      <c r="F23" s="18"/>
      <c r="G23" s="18"/>
      <c r="H23" s="18"/>
      <c r="I23" s="36">
        <v>24</v>
      </c>
      <c r="J23" s="37">
        <f t="shared" si="2"/>
        <v>144.17900000000003</v>
      </c>
      <c r="K23" s="18">
        <v>7.92</v>
      </c>
      <c r="L23" s="18">
        <v>1.4999999999999999E-2</v>
      </c>
      <c r="M23" s="38">
        <v>350.83</v>
      </c>
      <c r="N23" s="38">
        <v>495.00900000000001</v>
      </c>
      <c r="O23" s="18" t="s">
        <v>740</v>
      </c>
      <c r="P23" s="18">
        <v>2</v>
      </c>
      <c r="Q23" s="18" t="s">
        <v>571</v>
      </c>
      <c r="R23" s="18">
        <v>14</v>
      </c>
      <c r="S23" s="18" t="s">
        <v>20</v>
      </c>
      <c r="T23" s="18" t="s">
        <v>20</v>
      </c>
      <c r="U23" s="18" t="s">
        <v>332</v>
      </c>
      <c r="V23" s="18">
        <v>159</v>
      </c>
      <c r="W23" s="18" t="s">
        <v>125</v>
      </c>
      <c r="X23" s="18">
        <v>59</v>
      </c>
      <c r="Y23" s="18" t="s">
        <v>127</v>
      </c>
      <c r="Z23" s="18">
        <v>60</v>
      </c>
      <c r="AA23" s="7"/>
      <c r="AB23" s="7"/>
      <c r="AC23" s="7"/>
      <c r="AD23" s="41" t="str">
        <f t="shared" si="1"/>
        <v>(234*'24'*144,179*'7,92'*'0,015'*350,83*495,009*2*14*NULL*159*59*60)*</v>
      </c>
    </row>
    <row r="24" spans="1:30" ht="20.100000000000001" customHeight="1" x14ac:dyDescent="0.25">
      <c r="A24" s="14">
        <v>235</v>
      </c>
      <c r="B24" s="15" t="s">
        <v>745</v>
      </c>
      <c r="C24" s="15" t="s">
        <v>738</v>
      </c>
      <c r="D24" s="17">
        <v>21864</v>
      </c>
      <c r="E24" s="35"/>
      <c r="F24" s="18"/>
      <c r="G24" s="18"/>
      <c r="H24" s="18"/>
      <c r="I24" s="36">
        <v>24</v>
      </c>
      <c r="J24" s="37">
        <f t="shared" si="2"/>
        <v>45.20799999999997</v>
      </c>
      <c r="K24" s="18">
        <v>7.92</v>
      </c>
      <c r="L24" s="18">
        <v>1.4999999999999999E-2</v>
      </c>
      <c r="M24" s="38">
        <v>495.00900000000001</v>
      </c>
      <c r="N24" s="38">
        <v>540.21699999999998</v>
      </c>
      <c r="O24" s="18" t="s">
        <v>740</v>
      </c>
      <c r="P24" s="18">
        <v>2</v>
      </c>
      <c r="Q24" s="18" t="s">
        <v>571</v>
      </c>
      <c r="R24" s="18">
        <v>14</v>
      </c>
      <c r="S24" s="18" t="s">
        <v>20</v>
      </c>
      <c r="T24" s="18" t="s">
        <v>20</v>
      </c>
      <c r="U24" s="18" t="s">
        <v>332</v>
      </c>
      <c r="V24" s="18">
        <v>159</v>
      </c>
      <c r="W24" s="18" t="s">
        <v>127</v>
      </c>
      <c r="X24" s="18">
        <v>60</v>
      </c>
      <c r="Y24" s="18" t="s">
        <v>741</v>
      </c>
      <c r="Z24" s="44"/>
      <c r="AA24" s="7"/>
      <c r="AB24" s="7"/>
      <c r="AC24" s="7"/>
      <c r="AD24" s="41" t="str">
        <f t="shared" si="1"/>
        <v>(235*'24'*45,208*'7,92'*'0,015'*495,009*540,217*2*14*NULL*159*60*)*</v>
      </c>
    </row>
    <row r="25" spans="1:30" ht="20.100000000000001" customHeight="1" x14ac:dyDescent="0.25">
      <c r="A25" s="14">
        <v>236</v>
      </c>
      <c r="B25" s="15" t="s">
        <v>746</v>
      </c>
      <c r="C25" s="15" t="s">
        <v>739</v>
      </c>
      <c r="D25" s="17">
        <v>21864</v>
      </c>
      <c r="E25" s="35"/>
      <c r="F25" s="18"/>
      <c r="G25" s="18"/>
      <c r="H25" s="18"/>
      <c r="I25" s="36">
        <v>22</v>
      </c>
      <c r="J25" s="37">
        <f t="shared" si="2"/>
        <v>128.21299999999997</v>
      </c>
      <c r="K25" s="18">
        <v>7.92</v>
      </c>
      <c r="L25" s="18">
        <v>1.4999999999999999E-2</v>
      </c>
      <c r="M25" s="38">
        <v>540.21699999999998</v>
      </c>
      <c r="N25" s="38">
        <v>668.43</v>
      </c>
      <c r="O25" s="18" t="s">
        <v>551</v>
      </c>
      <c r="P25" s="18">
        <v>3</v>
      </c>
      <c r="Q25" s="18" t="s">
        <v>571</v>
      </c>
      <c r="R25" s="18">
        <v>14</v>
      </c>
      <c r="S25" s="18" t="s">
        <v>20</v>
      </c>
      <c r="T25" s="18" t="s">
        <v>20</v>
      </c>
      <c r="U25" s="18" t="s">
        <v>332</v>
      </c>
      <c r="V25" s="18">
        <v>159</v>
      </c>
      <c r="W25" s="18" t="s">
        <v>741</v>
      </c>
      <c r="X25" s="44"/>
      <c r="Y25" s="18" t="s">
        <v>573</v>
      </c>
      <c r="Z25" s="18">
        <v>7</v>
      </c>
      <c r="AA25" s="18"/>
      <c r="AB25" s="18"/>
      <c r="AC25" s="18"/>
      <c r="AD25" s="41" t="str">
        <f t="shared" si="1"/>
        <v>(236*'22'*128,213*'7,92'*'0,015'*540,217*668,43*3*14*NULL*159**7)*</v>
      </c>
    </row>
    <row r="26" spans="1:30" ht="20.100000000000001" customHeight="1" x14ac:dyDescent="0.25">
      <c r="A26" s="3">
        <v>160</v>
      </c>
      <c r="B26" s="15" t="s">
        <v>747</v>
      </c>
      <c r="C26" s="22"/>
      <c r="D26" s="6">
        <v>44738</v>
      </c>
      <c r="E26" s="23">
        <v>1</v>
      </c>
      <c r="F26" s="7" t="s">
        <v>566</v>
      </c>
      <c r="G26" s="7">
        <v>15</v>
      </c>
      <c r="H26" s="7">
        <v>12</v>
      </c>
      <c r="I26" s="24">
        <v>24</v>
      </c>
      <c r="J26" s="25">
        <v>174</v>
      </c>
      <c r="K26" s="7" t="s">
        <v>575</v>
      </c>
      <c r="L26" s="7">
        <v>4.5999999999999999E-2</v>
      </c>
      <c r="M26" s="7"/>
      <c r="N26" s="7"/>
      <c r="O26" s="7" t="s">
        <v>557</v>
      </c>
      <c r="P26" s="7">
        <v>4</v>
      </c>
      <c r="Q26" s="7" t="s">
        <v>576</v>
      </c>
      <c r="R26" s="7">
        <v>10</v>
      </c>
      <c r="S26" s="7" t="s">
        <v>20</v>
      </c>
      <c r="T26" s="7" t="s">
        <v>20</v>
      </c>
      <c r="U26" s="7" t="s">
        <v>572</v>
      </c>
      <c r="V26" s="7">
        <v>3</v>
      </c>
      <c r="W26" s="26" t="s">
        <v>577</v>
      </c>
      <c r="X26" s="27">
        <v>10</v>
      </c>
      <c r="Y26" s="26" t="s">
        <v>573</v>
      </c>
      <c r="Z26" s="27">
        <v>22</v>
      </c>
      <c r="AA26" s="7">
        <v>12</v>
      </c>
      <c r="AB26" s="7"/>
      <c r="AC26" s="7"/>
      <c r="AD26" s="28" t="str">
        <f t="shared" si="1"/>
        <v>(160*'24'*174*'8,74 / 9,53 / 11,3 / 12,7'*'0,046'***4*10*NULL*3*10*22)*</v>
      </c>
    </row>
    <row r="27" spans="1:30" ht="20.100000000000001" customHeight="1" x14ac:dyDescent="0.25">
      <c r="A27" s="3"/>
      <c r="B27" s="15" t="s">
        <v>748</v>
      </c>
      <c r="C27" s="22"/>
      <c r="D27" s="6"/>
      <c r="E27" s="23"/>
      <c r="F27" s="7"/>
      <c r="G27" s="7"/>
      <c r="H27" s="7"/>
      <c r="I27" s="24">
        <v>24</v>
      </c>
      <c r="J27" s="2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6"/>
      <c r="X27" s="27"/>
      <c r="Y27" s="26"/>
      <c r="Z27" s="27"/>
      <c r="AA27" s="7"/>
      <c r="AB27" s="7"/>
      <c r="AC27" s="7"/>
      <c r="AD27" s="28"/>
    </row>
    <row r="28" spans="1:30" ht="20.100000000000001" customHeight="1" x14ac:dyDescent="0.25">
      <c r="A28" s="3"/>
      <c r="B28" s="15" t="s">
        <v>749</v>
      </c>
      <c r="C28" s="22"/>
      <c r="D28" s="6"/>
      <c r="E28" s="23"/>
      <c r="F28" s="7"/>
      <c r="G28" s="7"/>
      <c r="H28" s="7"/>
      <c r="I28" s="24">
        <v>24</v>
      </c>
      <c r="J28" s="2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6"/>
      <c r="X28" s="27"/>
      <c r="Y28" s="26"/>
      <c r="Z28" s="27"/>
      <c r="AA28" s="7"/>
      <c r="AB28" s="7"/>
      <c r="AC28" s="7"/>
      <c r="AD28" s="28"/>
    </row>
    <row r="29" spans="1:30" ht="20.100000000000001" customHeight="1" x14ac:dyDescent="0.25">
      <c r="A29" s="3"/>
      <c r="B29" s="15" t="s">
        <v>750</v>
      </c>
      <c r="C29" s="22"/>
      <c r="D29" s="6">
        <v>44089</v>
      </c>
      <c r="E29" s="23"/>
      <c r="F29" s="7"/>
      <c r="G29" s="7"/>
      <c r="H29" s="7"/>
      <c r="I29" s="24">
        <v>24</v>
      </c>
      <c r="J29" s="25"/>
      <c r="K29" s="7"/>
      <c r="L29" s="7">
        <v>4.5999999999999999E-2</v>
      </c>
      <c r="M29" s="52">
        <v>495.00900000000001</v>
      </c>
      <c r="N29" s="52">
        <v>540.21699999999998</v>
      </c>
      <c r="O29" s="7" t="s">
        <v>557</v>
      </c>
      <c r="P29" s="7">
        <v>4</v>
      </c>
      <c r="Q29" s="7"/>
      <c r="R29" s="7"/>
      <c r="S29" s="7"/>
      <c r="T29" s="7"/>
      <c r="U29" s="7"/>
      <c r="V29" s="7"/>
      <c r="W29" s="26"/>
      <c r="X29" s="27"/>
      <c r="Y29" s="26"/>
      <c r="Z29" s="27"/>
      <c r="AA29" s="7"/>
      <c r="AB29" s="7"/>
      <c r="AC29" s="7"/>
      <c r="AD29" s="28"/>
    </row>
    <row r="30" spans="1:30" ht="20.100000000000001" customHeight="1" x14ac:dyDescent="0.25">
      <c r="A30" s="3"/>
      <c r="B30" s="15" t="s">
        <v>751</v>
      </c>
      <c r="C30" s="22"/>
      <c r="D30" s="6">
        <v>44738</v>
      </c>
      <c r="E30" s="23"/>
      <c r="F30" s="7"/>
      <c r="G30" s="7"/>
      <c r="H30" s="7"/>
      <c r="I30" s="24">
        <v>22</v>
      </c>
      <c r="J30" s="25"/>
      <c r="K30" s="7"/>
      <c r="L30" s="7">
        <v>4.5999999999999999E-2</v>
      </c>
      <c r="M30" s="7"/>
      <c r="N30" s="7"/>
      <c r="O30" s="7" t="s">
        <v>557</v>
      </c>
      <c r="P30" s="7">
        <v>4</v>
      </c>
      <c r="Q30" s="7"/>
      <c r="R30" s="7"/>
      <c r="S30" s="7"/>
      <c r="T30" s="7"/>
      <c r="U30" s="7"/>
      <c r="V30" s="7"/>
      <c r="W30" s="26"/>
      <c r="X30" s="27"/>
      <c r="Y30" s="26"/>
      <c r="Z30" s="27"/>
      <c r="AA30" s="7"/>
      <c r="AB30" s="7"/>
      <c r="AC30" s="7"/>
      <c r="AD30" s="28"/>
    </row>
    <row r="31" spans="1:30" ht="20.100000000000001" customHeight="1" x14ac:dyDescent="0.25">
      <c r="A31" s="46">
        <v>161</v>
      </c>
      <c r="B31" s="33" t="s">
        <v>336</v>
      </c>
      <c r="C31" s="33"/>
      <c r="D31" s="47">
        <v>46388</v>
      </c>
      <c r="E31" s="48">
        <v>1</v>
      </c>
      <c r="F31" s="44" t="s">
        <v>566</v>
      </c>
      <c r="G31" s="44">
        <v>15</v>
      </c>
      <c r="H31" s="44">
        <v>12</v>
      </c>
      <c r="I31" s="49">
        <v>24</v>
      </c>
      <c r="J31" s="50">
        <v>504</v>
      </c>
      <c r="K31" s="44" t="s">
        <v>578</v>
      </c>
      <c r="L31" s="44">
        <v>4.5999999999999999E-2</v>
      </c>
      <c r="M31" s="44"/>
      <c r="N31" s="44"/>
      <c r="O31" s="44" t="s">
        <v>557</v>
      </c>
      <c r="P31" s="44">
        <v>4</v>
      </c>
      <c r="Q31" s="44" t="s">
        <v>579</v>
      </c>
      <c r="R31" s="44">
        <v>21</v>
      </c>
      <c r="S31" s="44" t="s">
        <v>20</v>
      </c>
      <c r="T31" s="44" t="s">
        <v>20</v>
      </c>
      <c r="U31" s="44" t="s">
        <v>572</v>
      </c>
      <c r="V31" s="44">
        <v>3</v>
      </c>
      <c r="W31" s="43" t="s">
        <v>31</v>
      </c>
      <c r="X31" s="44">
        <v>7</v>
      </c>
      <c r="Y31" s="43" t="s">
        <v>580</v>
      </c>
      <c r="Z31" s="44">
        <v>11</v>
      </c>
      <c r="AA31" s="44">
        <v>12</v>
      </c>
      <c r="AB31" s="44"/>
      <c r="AC31" s="44"/>
      <c r="AD31" s="51" t="str">
        <f t="shared" si="1"/>
        <v>(161*'24'*504*'12,7 / 11,13 / 9,53 / 7,9'*'0,046'***4*21*NULL*3*7*11)*</v>
      </c>
    </row>
    <row r="32" spans="1:30" ht="20.100000000000001" customHeight="1" x14ac:dyDescent="0.25">
      <c r="A32" s="3">
        <v>162</v>
      </c>
      <c r="B32" s="22" t="s">
        <v>338</v>
      </c>
      <c r="C32" s="22"/>
      <c r="D32" s="6">
        <v>38537</v>
      </c>
      <c r="E32" s="23">
        <v>1</v>
      </c>
      <c r="F32" s="7" t="s">
        <v>566</v>
      </c>
      <c r="G32" s="7">
        <v>15</v>
      </c>
      <c r="H32" s="7">
        <v>12</v>
      </c>
      <c r="I32" s="24">
        <v>20</v>
      </c>
      <c r="J32" s="25" t="s">
        <v>581</v>
      </c>
      <c r="K32" s="7" t="s">
        <v>582</v>
      </c>
      <c r="L32" s="7">
        <v>4.5699999999999998E-2</v>
      </c>
      <c r="M32" s="7"/>
      <c r="N32" s="7"/>
      <c r="O32" s="7" t="s">
        <v>557</v>
      </c>
      <c r="P32" s="7">
        <v>4</v>
      </c>
      <c r="Q32" s="7" t="s">
        <v>558</v>
      </c>
      <c r="R32" s="7">
        <v>11</v>
      </c>
      <c r="S32" s="7" t="s">
        <v>20</v>
      </c>
      <c r="T32" s="7" t="s">
        <v>20</v>
      </c>
      <c r="U32" s="7" t="s">
        <v>572</v>
      </c>
      <c r="V32" s="7">
        <v>3</v>
      </c>
      <c r="W32" s="26" t="s">
        <v>583</v>
      </c>
      <c r="X32" s="7">
        <v>13</v>
      </c>
      <c r="Y32" s="26" t="s">
        <v>584</v>
      </c>
      <c r="Z32" s="13">
        <v>128</v>
      </c>
      <c r="AA32" s="7">
        <v>12</v>
      </c>
      <c r="AB32" s="7" t="s">
        <v>585</v>
      </c>
      <c r="AC32" s="7"/>
      <c r="AD32" s="28" t="str">
        <f t="shared" si="1"/>
        <v>(162*'20'*144.74*'8,74 / 10,31'*'0,0457'***4*11*NULL*3*13*128)*</v>
      </c>
    </row>
    <row r="33" spans="1:30" ht="20.100000000000001" customHeight="1" x14ac:dyDescent="0.25">
      <c r="A33" s="3">
        <v>163</v>
      </c>
      <c r="B33" s="22" t="s">
        <v>341</v>
      </c>
      <c r="C33" s="22"/>
      <c r="D33" s="6">
        <v>21916</v>
      </c>
      <c r="E33" s="23">
        <v>1</v>
      </c>
      <c r="F33" s="7" t="s">
        <v>586</v>
      </c>
      <c r="G33" s="7">
        <v>14</v>
      </c>
      <c r="H33" s="7">
        <v>12</v>
      </c>
      <c r="I33" s="24">
        <v>24</v>
      </c>
      <c r="J33" s="25">
        <v>265</v>
      </c>
      <c r="K33" s="7" t="s">
        <v>587</v>
      </c>
      <c r="L33" s="7">
        <v>1.4999999999999999E-2</v>
      </c>
      <c r="M33" s="7"/>
      <c r="N33" s="7"/>
      <c r="O33" s="7" t="s">
        <v>551</v>
      </c>
      <c r="P33" s="7">
        <v>3</v>
      </c>
      <c r="Q33" s="7" t="s">
        <v>590</v>
      </c>
      <c r="R33" s="7">
        <v>14</v>
      </c>
      <c r="S33" s="7" t="s">
        <v>591</v>
      </c>
      <c r="T33" s="7">
        <v>17</v>
      </c>
      <c r="U33" s="7" t="s">
        <v>341</v>
      </c>
      <c r="V33" s="7">
        <v>4</v>
      </c>
      <c r="W33" s="26" t="s">
        <v>592</v>
      </c>
      <c r="X33" s="7">
        <v>29</v>
      </c>
      <c r="Y33" s="26" t="s">
        <v>593</v>
      </c>
      <c r="Z33" s="7">
        <v>1</v>
      </c>
      <c r="AA33" s="7">
        <v>12</v>
      </c>
      <c r="AB33" s="7" t="s">
        <v>594</v>
      </c>
      <c r="AC33" s="7"/>
      <c r="AD33" s="28" t="str">
        <f t="shared" si="1"/>
        <v>(163*'24'*265*'7,94 / 8,74 / 10,31'*'0,015'***3*14*17*4*29*1)*</v>
      </c>
    </row>
    <row r="34" spans="1:30" ht="20.100000000000001" customHeight="1" x14ac:dyDescent="0.25">
      <c r="A34" s="3">
        <v>164</v>
      </c>
      <c r="B34" s="22" t="s">
        <v>343</v>
      </c>
      <c r="C34" s="22"/>
      <c r="D34" s="6">
        <v>29952</v>
      </c>
      <c r="E34" s="23">
        <v>1</v>
      </c>
      <c r="F34" s="7" t="s">
        <v>586</v>
      </c>
      <c r="G34" s="7">
        <v>14</v>
      </c>
      <c r="H34" s="7">
        <v>12</v>
      </c>
      <c r="I34" s="24">
        <v>30</v>
      </c>
      <c r="J34" s="25">
        <v>630</v>
      </c>
      <c r="K34" s="7" t="s">
        <v>595</v>
      </c>
      <c r="L34" s="7">
        <v>0.06</v>
      </c>
      <c r="M34" s="7"/>
      <c r="N34" s="7"/>
      <c r="O34" s="7" t="s">
        <v>551</v>
      </c>
      <c r="P34" s="7">
        <v>3</v>
      </c>
      <c r="Q34" s="7" t="s">
        <v>598</v>
      </c>
      <c r="R34" s="7">
        <v>14</v>
      </c>
      <c r="S34" s="7" t="s">
        <v>591</v>
      </c>
      <c r="T34" s="7">
        <v>17</v>
      </c>
      <c r="U34" s="7" t="s">
        <v>343</v>
      </c>
      <c r="V34" s="7">
        <v>5</v>
      </c>
      <c r="W34" s="26" t="s">
        <v>592</v>
      </c>
      <c r="X34" s="7">
        <v>29</v>
      </c>
      <c r="Y34" s="26" t="s">
        <v>31</v>
      </c>
      <c r="Z34" s="7">
        <v>7</v>
      </c>
      <c r="AA34" s="7">
        <v>12</v>
      </c>
      <c r="AB34" s="7" t="s">
        <v>599</v>
      </c>
      <c r="AC34" s="7"/>
      <c r="AD34" s="28" t="str">
        <f t="shared" si="1"/>
        <v>(164*'30'*630*'7,14 / 7,92'*'0,06'***3*14*17*5*29*7)*</v>
      </c>
    </row>
    <row r="35" spans="1:30" ht="20.100000000000001" customHeight="1" x14ac:dyDescent="0.25">
      <c r="A35" s="3">
        <v>165</v>
      </c>
      <c r="B35" s="31" t="s">
        <v>346</v>
      </c>
      <c r="C35" s="31"/>
      <c r="D35" s="6">
        <v>38353</v>
      </c>
      <c r="E35" s="23">
        <v>1</v>
      </c>
      <c r="F35" s="7" t="s">
        <v>586</v>
      </c>
      <c r="G35" s="7">
        <v>14</v>
      </c>
      <c r="H35" s="7">
        <v>12</v>
      </c>
      <c r="I35" s="24">
        <v>30</v>
      </c>
      <c r="J35" s="25" t="s">
        <v>600</v>
      </c>
      <c r="K35" s="7" t="s">
        <v>601</v>
      </c>
      <c r="L35" s="7">
        <v>4.5699999999999998E-2</v>
      </c>
      <c r="M35" s="7"/>
      <c r="N35" s="7"/>
      <c r="O35" s="7" t="s">
        <v>557</v>
      </c>
      <c r="P35" s="7">
        <v>4</v>
      </c>
      <c r="Q35" s="7" t="s">
        <v>602</v>
      </c>
      <c r="R35" s="7">
        <v>11</v>
      </c>
      <c r="S35" s="7" t="s">
        <v>20</v>
      </c>
      <c r="T35" s="7" t="s">
        <v>20</v>
      </c>
      <c r="U35" s="7" t="s">
        <v>343</v>
      </c>
      <c r="V35" s="7">
        <v>5</v>
      </c>
      <c r="W35" s="26" t="s">
        <v>603</v>
      </c>
      <c r="X35" s="13" t="s">
        <v>603</v>
      </c>
      <c r="Y35" s="26" t="s">
        <v>604</v>
      </c>
      <c r="Z35" s="13" t="s">
        <v>604</v>
      </c>
      <c r="AA35" s="7"/>
      <c r="AB35" s="7"/>
      <c r="AC35" s="7"/>
      <c r="AD35" s="28" t="str">
        <f t="shared" si="1"/>
        <v>(165*'30'*44.5*'10.31'*'0,0457'***4*11*NULL*5*TFT*Nezla)*</v>
      </c>
    </row>
    <row r="36" spans="1:30" ht="20.100000000000001" customHeight="1" x14ac:dyDescent="0.25">
      <c r="A36" s="3">
        <v>166</v>
      </c>
      <c r="B36" s="22" t="s">
        <v>348</v>
      </c>
      <c r="C36" s="22"/>
      <c r="D36" s="6">
        <v>26399</v>
      </c>
      <c r="E36" s="23">
        <v>1</v>
      </c>
      <c r="F36" s="7" t="s">
        <v>605</v>
      </c>
      <c r="G36" s="7">
        <v>12</v>
      </c>
      <c r="H36" s="7">
        <v>12</v>
      </c>
      <c r="I36" s="24">
        <v>26</v>
      </c>
      <c r="J36" s="25">
        <v>108.372</v>
      </c>
      <c r="K36" s="7" t="s">
        <v>606</v>
      </c>
      <c r="L36" s="7">
        <v>4.5699999999999998E-2</v>
      </c>
      <c r="M36" s="7"/>
      <c r="N36" s="7"/>
      <c r="O36" s="7" t="s">
        <v>551</v>
      </c>
      <c r="P36" s="7">
        <v>3</v>
      </c>
      <c r="Q36" s="7" t="s">
        <v>598</v>
      </c>
      <c r="R36" s="7">
        <v>14</v>
      </c>
      <c r="S36" s="7" t="s">
        <v>20</v>
      </c>
      <c r="T36" s="7" t="s">
        <v>20</v>
      </c>
      <c r="U36" s="7" t="s">
        <v>607</v>
      </c>
      <c r="V36" s="7">
        <v>6</v>
      </c>
      <c r="W36" s="26" t="s">
        <v>608</v>
      </c>
      <c r="X36" s="7">
        <v>15</v>
      </c>
      <c r="Y36" s="26" t="s">
        <v>31</v>
      </c>
      <c r="Z36" s="7">
        <v>7</v>
      </c>
      <c r="AA36" s="7">
        <v>12</v>
      </c>
      <c r="AB36" s="7" t="s">
        <v>609</v>
      </c>
      <c r="AC36" s="7"/>
      <c r="AD36" s="28" t="str">
        <f t="shared" si="1"/>
        <v>(166*'26'*108,372*'7,14 / 8,74'*'0,0457'***3*14*NULL*6*15*7)*</v>
      </c>
    </row>
    <row r="37" spans="1:30" ht="20.100000000000001" customHeight="1" x14ac:dyDescent="0.25">
      <c r="A37" s="3">
        <v>167</v>
      </c>
      <c r="B37" s="22" t="s">
        <v>351</v>
      </c>
      <c r="C37" s="22"/>
      <c r="D37" s="6">
        <v>36161</v>
      </c>
      <c r="E37" s="23">
        <v>1</v>
      </c>
      <c r="F37" s="7" t="s">
        <v>605</v>
      </c>
      <c r="G37" s="7">
        <v>12</v>
      </c>
      <c r="H37" s="7">
        <v>12</v>
      </c>
      <c r="I37" s="24">
        <v>30</v>
      </c>
      <c r="J37" s="25">
        <v>292</v>
      </c>
      <c r="K37" s="7" t="s">
        <v>610</v>
      </c>
      <c r="L37" s="7">
        <v>4.5699999999999998E-2</v>
      </c>
      <c r="M37" s="7"/>
      <c r="N37" s="7"/>
      <c r="O37" s="7" t="s">
        <v>551</v>
      </c>
      <c r="P37" s="7">
        <v>3</v>
      </c>
      <c r="Q37" s="7" t="s">
        <v>611</v>
      </c>
      <c r="R37" s="7">
        <v>11</v>
      </c>
      <c r="S37" s="7" t="s">
        <v>20</v>
      </c>
      <c r="T37" s="7" t="s">
        <v>20</v>
      </c>
      <c r="U37" s="7" t="s">
        <v>612</v>
      </c>
      <c r="V37" s="7">
        <v>7</v>
      </c>
      <c r="W37" s="26" t="s">
        <v>613</v>
      </c>
      <c r="X37" s="7">
        <v>27</v>
      </c>
      <c r="Y37" s="26" t="s">
        <v>31</v>
      </c>
      <c r="Z37" s="7">
        <v>7</v>
      </c>
      <c r="AA37" s="7">
        <v>12</v>
      </c>
      <c r="AB37" s="30" t="s">
        <v>614</v>
      </c>
      <c r="AC37" s="30"/>
      <c r="AD37" s="28" t="str">
        <f t="shared" si="1"/>
        <v>(167*'30'*292*'10,31 - 12,7'*'0,0457'***3*11*NULL*7*27*7)*</v>
      </c>
    </row>
    <row r="38" spans="1:30" ht="20.100000000000001" customHeight="1" x14ac:dyDescent="0.25">
      <c r="A38" s="3">
        <v>168</v>
      </c>
      <c r="B38" s="22" t="s">
        <v>353</v>
      </c>
      <c r="C38" s="22"/>
      <c r="D38" s="6">
        <v>38718</v>
      </c>
      <c r="E38" s="23">
        <v>1</v>
      </c>
      <c r="F38" s="7" t="s">
        <v>605</v>
      </c>
      <c r="G38" s="7">
        <v>12</v>
      </c>
      <c r="H38" s="7">
        <v>12</v>
      </c>
      <c r="I38" s="24">
        <v>30</v>
      </c>
      <c r="J38" s="25">
        <v>292</v>
      </c>
      <c r="K38" s="7" t="s">
        <v>610</v>
      </c>
      <c r="L38" s="7">
        <v>4.5699999999999998E-2</v>
      </c>
      <c r="M38" s="7"/>
      <c r="N38" s="7"/>
      <c r="O38" s="7" t="s">
        <v>557</v>
      </c>
      <c r="P38" s="7">
        <v>4</v>
      </c>
      <c r="Q38" s="7" t="s">
        <v>611</v>
      </c>
      <c r="R38" s="7">
        <v>11</v>
      </c>
      <c r="S38" s="7" t="s">
        <v>20</v>
      </c>
      <c r="T38" s="7" t="s">
        <v>20</v>
      </c>
      <c r="U38" s="7" t="s">
        <v>612</v>
      </c>
      <c r="V38" s="7">
        <v>7</v>
      </c>
      <c r="W38" s="26" t="s">
        <v>613</v>
      </c>
      <c r="X38" s="7">
        <v>27</v>
      </c>
      <c r="Y38" s="26" t="s">
        <v>31</v>
      </c>
      <c r="Z38" s="7">
        <v>7</v>
      </c>
      <c r="AA38" s="7">
        <v>12</v>
      </c>
      <c r="AB38" s="30" t="s">
        <v>614</v>
      </c>
      <c r="AC38" s="30"/>
      <c r="AD38" s="28" t="str">
        <f t="shared" si="1"/>
        <v>(168*'30'*292*'10,31 - 12,7'*'0,0457'***4*11*NULL*7*27*7)*</v>
      </c>
    </row>
    <row r="39" spans="1:30" ht="20.100000000000001" customHeight="1" x14ac:dyDescent="0.25">
      <c r="A39" s="3">
        <v>169</v>
      </c>
      <c r="B39" s="22" t="s">
        <v>356</v>
      </c>
      <c r="C39" s="22"/>
      <c r="D39" s="6">
        <v>28207</v>
      </c>
      <c r="E39" s="23">
        <v>1</v>
      </c>
      <c r="F39" s="7" t="s">
        <v>605</v>
      </c>
      <c r="G39" s="7">
        <v>12</v>
      </c>
      <c r="H39" s="7">
        <v>12</v>
      </c>
      <c r="I39" s="24">
        <v>20</v>
      </c>
      <c r="J39" s="25">
        <v>272.35000000000002</v>
      </c>
      <c r="K39" s="7" t="s">
        <v>615</v>
      </c>
      <c r="L39" s="7">
        <v>4.5699999999999998E-2</v>
      </c>
      <c r="M39" s="7"/>
      <c r="N39" s="7"/>
      <c r="O39" s="7" t="s">
        <v>551</v>
      </c>
      <c r="P39" s="7">
        <v>3</v>
      </c>
      <c r="Q39" s="7" t="s">
        <v>20</v>
      </c>
      <c r="R39" s="7" t="s">
        <v>20</v>
      </c>
      <c r="S39" s="7" t="s">
        <v>20</v>
      </c>
      <c r="T39" s="7" t="s">
        <v>20</v>
      </c>
      <c r="U39" s="7" t="s">
        <v>607</v>
      </c>
      <c r="V39" s="7">
        <v>6</v>
      </c>
      <c r="W39" s="26" t="s">
        <v>616</v>
      </c>
      <c r="X39" s="7">
        <v>25</v>
      </c>
      <c r="Y39" s="26" t="s">
        <v>617</v>
      </c>
      <c r="Z39" s="7">
        <v>15</v>
      </c>
      <c r="AA39" s="7">
        <v>12</v>
      </c>
      <c r="AB39" s="7" t="s">
        <v>618</v>
      </c>
      <c r="AC39" s="7"/>
      <c r="AD39" s="28" t="str">
        <f t="shared" si="1"/>
        <v>(169*'20'*272,35*'6,35 - 8,74'*'0,0457'***3*NULL*NULL*6*25*15)*</v>
      </c>
    </row>
    <row r="40" spans="1:30" ht="20.100000000000001" customHeight="1" x14ac:dyDescent="0.25">
      <c r="A40" s="3">
        <v>170</v>
      </c>
      <c r="B40" s="22" t="s">
        <v>359</v>
      </c>
      <c r="C40" s="22"/>
      <c r="D40" s="6">
        <v>45778</v>
      </c>
      <c r="E40" s="23">
        <v>1</v>
      </c>
      <c r="F40" s="7" t="s">
        <v>605</v>
      </c>
      <c r="G40" s="7">
        <v>12</v>
      </c>
      <c r="H40" s="7">
        <v>12</v>
      </c>
      <c r="I40" s="24">
        <v>16</v>
      </c>
      <c r="J40" s="25">
        <v>271</v>
      </c>
      <c r="K40" s="7">
        <v>6.35</v>
      </c>
      <c r="L40" s="7">
        <v>4.5999999999999999E-2</v>
      </c>
      <c r="M40" s="7"/>
      <c r="N40" s="7"/>
      <c r="O40" s="7" t="s">
        <v>557</v>
      </c>
      <c r="P40" s="7">
        <v>4</v>
      </c>
      <c r="Q40" s="7" t="s">
        <v>20</v>
      </c>
      <c r="R40" s="7" t="s">
        <v>20</v>
      </c>
      <c r="S40" s="7" t="s">
        <v>20</v>
      </c>
      <c r="T40" s="7" t="s">
        <v>20</v>
      </c>
      <c r="U40" s="7" t="s">
        <v>607</v>
      </c>
      <c r="V40" s="7">
        <v>6</v>
      </c>
      <c r="W40" s="26" t="s">
        <v>616</v>
      </c>
      <c r="X40" s="7">
        <v>25</v>
      </c>
      <c r="Y40" s="26" t="s">
        <v>617</v>
      </c>
      <c r="Z40" s="7">
        <v>15</v>
      </c>
      <c r="AA40" s="7">
        <v>12</v>
      </c>
      <c r="AB40" s="7"/>
      <c r="AC40" s="7"/>
      <c r="AD40" s="28" t="str">
        <f t="shared" si="1"/>
        <v>(170*'16'*271*'6,35'*'0,046'***4*NULL*NULL*6*25*15)*</v>
      </c>
    </row>
    <row r="41" spans="1:30" ht="20.100000000000001" customHeight="1" x14ac:dyDescent="0.25">
      <c r="A41" s="3">
        <v>171</v>
      </c>
      <c r="B41" s="22" t="s">
        <v>361</v>
      </c>
      <c r="C41" s="22"/>
      <c r="D41" s="6">
        <v>35431</v>
      </c>
      <c r="E41" s="23">
        <v>1</v>
      </c>
      <c r="F41" s="7" t="s">
        <v>619</v>
      </c>
      <c r="G41" s="7">
        <v>2</v>
      </c>
      <c r="H41" s="7">
        <v>2</v>
      </c>
      <c r="I41" s="24">
        <v>20</v>
      </c>
      <c r="J41" s="25">
        <v>230</v>
      </c>
      <c r="K41" s="7"/>
      <c r="L41" s="7">
        <v>4.5699999999999998E-2</v>
      </c>
      <c r="M41" s="7"/>
      <c r="N41" s="7"/>
      <c r="O41" s="7" t="s">
        <v>557</v>
      </c>
      <c r="P41" s="7">
        <v>4</v>
      </c>
      <c r="Q41" s="7" t="s">
        <v>20</v>
      </c>
      <c r="R41" s="7" t="s">
        <v>20</v>
      </c>
      <c r="S41" s="7" t="s">
        <v>20</v>
      </c>
      <c r="T41" s="7" t="s">
        <v>20</v>
      </c>
      <c r="U41" s="7" t="s">
        <v>607</v>
      </c>
      <c r="V41" s="7">
        <v>6</v>
      </c>
      <c r="W41" s="26" t="s">
        <v>83</v>
      </c>
      <c r="X41" s="7">
        <v>32</v>
      </c>
      <c r="Y41" s="26" t="s">
        <v>49</v>
      </c>
      <c r="Z41" s="7">
        <v>15</v>
      </c>
      <c r="AA41" s="7">
        <v>12</v>
      </c>
      <c r="AB41" s="7"/>
      <c r="AC41" s="7"/>
      <c r="AD41" s="28" t="str">
        <f t="shared" si="1"/>
        <v>(171*'20'*230*''*'0,0457'***4*NULL*NULL*6*32*15)*</v>
      </c>
    </row>
    <row r="42" spans="1:30" ht="20.100000000000001" customHeight="1" x14ac:dyDescent="0.25">
      <c r="A42" s="3">
        <v>172</v>
      </c>
      <c r="B42" s="22" t="s">
        <v>363</v>
      </c>
      <c r="C42" s="22"/>
      <c r="D42" s="6">
        <v>36505</v>
      </c>
      <c r="E42" s="23">
        <v>1</v>
      </c>
      <c r="F42" s="7" t="s">
        <v>605</v>
      </c>
      <c r="G42" s="7">
        <v>12</v>
      </c>
      <c r="H42" s="7">
        <v>12</v>
      </c>
      <c r="I42" s="24">
        <v>20</v>
      </c>
      <c r="J42" s="25">
        <v>33</v>
      </c>
      <c r="K42" s="7" t="s">
        <v>620</v>
      </c>
      <c r="L42" s="7">
        <v>4.5999999999999999E-2</v>
      </c>
      <c r="M42" s="7"/>
      <c r="N42" s="7"/>
      <c r="O42" s="7" t="s">
        <v>551</v>
      </c>
      <c r="P42" s="7">
        <v>3</v>
      </c>
      <c r="Q42" s="7" t="s">
        <v>20</v>
      </c>
      <c r="R42" s="7" t="s">
        <v>20</v>
      </c>
      <c r="S42" s="7" t="s">
        <v>20</v>
      </c>
      <c r="T42" s="7" t="s">
        <v>20</v>
      </c>
      <c r="U42" s="7" t="s">
        <v>607</v>
      </c>
      <c r="V42" s="7">
        <v>6</v>
      </c>
      <c r="W42" s="26" t="s">
        <v>621</v>
      </c>
      <c r="X42" s="7">
        <v>33</v>
      </c>
      <c r="Y42" s="26" t="s">
        <v>617</v>
      </c>
      <c r="Z42" s="7">
        <v>15</v>
      </c>
      <c r="AA42" s="7">
        <v>12</v>
      </c>
      <c r="AB42" s="7" t="s">
        <v>622</v>
      </c>
      <c r="AC42" s="7"/>
      <c r="AD42" s="28" t="str">
        <f t="shared" si="1"/>
        <v>(172*'20'*33*'7,14 - 8,74'*'0,046'***3*NULL*NULL*6*33*15)*</v>
      </c>
    </row>
    <row r="43" spans="1:30" ht="20.100000000000001" customHeight="1" x14ac:dyDescent="0.25">
      <c r="A43" s="3">
        <v>173</v>
      </c>
      <c r="B43" s="22" t="s">
        <v>365</v>
      </c>
      <c r="C43" s="22"/>
      <c r="D43" s="6">
        <v>28795</v>
      </c>
      <c r="E43" s="23">
        <v>1</v>
      </c>
      <c r="F43" s="7" t="s">
        <v>548</v>
      </c>
      <c r="G43" s="7">
        <v>11</v>
      </c>
      <c r="H43" s="7">
        <v>12</v>
      </c>
      <c r="I43" s="24">
        <v>28</v>
      </c>
      <c r="J43" s="25">
        <v>507</v>
      </c>
      <c r="K43" s="7" t="s">
        <v>623</v>
      </c>
      <c r="L43" s="7">
        <v>4.5699999999999998E-2</v>
      </c>
      <c r="M43" s="7"/>
      <c r="N43" s="7"/>
      <c r="O43" s="7" t="s">
        <v>551</v>
      </c>
      <c r="P43" s="7">
        <v>3</v>
      </c>
      <c r="Q43" s="7" t="s">
        <v>598</v>
      </c>
      <c r="R43" s="7">
        <v>14</v>
      </c>
      <c r="S43" s="7" t="s">
        <v>20</v>
      </c>
      <c r="T43" s="7" t="s">
        <v>20</v>
      </c>
      <c r="U43" s="7" t="s">
        <v>365</v>
      </c>
      <c r="V43" s="7">
        <v>8</v>
      </c>
      <c r="W43" s="26" t="s">
        <v>33</v>
      </c>
      <c r="X43" s="7">
        <v>8</v>
      </c>
      <c r="Y43" s="26" t="s">
        <v>554</v>
      </c>
      <c r="Z43" s="7">
        <v>21</v>
      </c>
      <c r="AA43" s="7">
        <v>12</v>
      </c>
      <c r="AB43" s="30" t="s">
        <v>624</v>
      </c>
      <c r="AC43" s="30"/>
      <c r="AD43" s="28" t="str">
        <f t="shared" si="1"/>
        <v>(173*'28'*507*'6,35 / 7,14 / 7,22 / 8,74 / 9,25 / 12,7 / 14,27'*'0,0457'***3*14*NULL*8*8*21)*</v>
      </c>
    </row>
    <row r="44" spans="1:30" ht="20.100000000000001" customHeight="1" x14ac:dyDescent="0.25">
      <c r="A44" s="3">
        <v>174</v>
      </c>
      <c r="B44" s="22" t="s">
        <v>368</v>
      </c>
      <c r="C44" s="22"/>
      <c r="D44" s="6">
        <v>40029</v>
      </c>
      <c r="E44" s="23">
        <v>1</v>
      </c>
      <c r="F44" s="7" t="s">
        <v>560</v>
      </c>
      <c r="G44" s="7">
        <v>13</v>
      </c>
      <c r="H44" s="7">
        <v>12</v>
      </c>
      <c r="I44" s="24">
        <v>30</v>
      </c>
      <c r="J44" s="25">
        <v>646</v>
      </c>
      <c r="K44" s="7" t="s">
        <v>625</v>
      </c>
      <c r="L44" s="7">
        <v>4.5699999999999998E-2</v>
      </c>
      <c r="M44" s="7"/>
      <c r="N44" s="7"/>
      <c r="O44" s="7" t="s">
        <v>557</v>
      </c>
      <c r="P44" s="7">
        <v>4</v>
      </c>
      <c r="Q44" s="7" t="s">
        <v>558</v>
      </c>
      <c r="R44" s="7">
        <v>11</v>
      </c>
      <c r="S44" s="7" t="s">
        <v>20</v>
      </c>
      <c r="T44" s="7" t="s">
        <v>20</v>
      </c>
      <c r="U44" s="7" t="s">
        <v>368</v>
      </c>
      <c r="V44" s="7">
        <v>9</v>
      </c>
      <c r="W44" s="26" t="s">
        <v>33</v>
      </c>
      <c r="X44" s="7">
        <v>8</v>
      </c>
      <c r="Y44" s="26" t="s">
        <v>564</v>
      </c>
      <c r="Z44" s="7">
        <v>34</v>
      </c>
      <c r="AA44" s="7">
        <v>12</v>
      </c>
      <c r="AB44" s="7" t="s">
        <v>626</v>
      </c>
      <c r="AC44" s="7"/>
      <c r="AD44" s="28" t="str">
        <f t="shared" si="1"/>
        <v>(174*'30'*646*'7,92/ 8,74/ 9,53/ 10,31/ 11,91/ 14,27'*'0,0457'***4*11*NULL*9*8*34)*</v>
      </c>
    </row>
    <row r="45" spans="1:30" ht="20.100000000000001" customHeight="1" x14ac:dyDescent="0.25">
      <c r="A45" s="3">
        <v>175</v>
      </c>
      <c r="B45" s="22" t="s">
        <v>371</v>
      </c>
      <c r="C45" s="22"/>
      <c r="D45" s="6">
        <v>21916</v>
      </c>
      <c r="E45" s="23">
        <v>1</v>
      </c>
      <c r="F45" s="7" t="s">
        <v>586</v>
      </c>
      <c r="G45" s="7">
        <v>14</v>
      </c>
      <c r="H45" s="7">
        <v>12</v>
      </c>
      <c r="I45" s="24" t="s">
        <v>627</v>
      </c>
      <c r="J45" s="25">
        <v>565</v>
      </c>
      <c r="K45" s="7" t="s">
        <v>606</v>
      </c>
      <c r="L45" s="7">
        <v>4.5699999999999998E-2</v>
      </c>
      <c r="M45" s="7"/>
      <c r="N45" s="7"/>
      <c r="O45" s="7" t="s">
        <v>551</v>
      </c>
      <c r="P45" s="7">
        <v>3</v>
      </c>
      <c r="Q45" s="7" t="s">
        <v>598</v>
      </c>
      <c r="R45" s="7">
        <v>14</v>
      </c>
      <c r="S45" s="7" t="s">
        <v>591</v>
      </c>
      <c r="T45" s="7">
        <v>17</v>
      </c>
      <c r="U45" s="7" t="s">
        <v>371</v>
      </c>
      <c r="V45" s="7">
        <v>10</v>
      </c>
      <c r="W45" s="26" t="s">
        <v>628</v>
      </c>
      <c r="X45" s="7">
        <v>29</v>
      </c>
      <c r="Y45" s="26" t="s">
        <v>31</v>
      </c>
      <c r="Z45" s="7">
        <v>7</v>
      </c>
      <c r="AA45" s="7">
        <v>12</v>
      </c>
      <c r="AB45" s="7" t="s">
        <v>629</v>
      </c>
      <c r="AC45" s="7"/>
      <c r="AD45" s="28" t="str">
        <f t="shared" si="1"/>
        <v>(175*'24/30'*565*'7,14 / 8,74'*'0,0457'***3*14*17*10*29*7)*</v>
      </c>
    </row>
    <row r="46" spans="1:30" ht="20.100000000000001" customHeight="1" x14ac:dyDescent="0.25">
      <c r="A46" s="3">
        <v>176</v>
      </c>
      <c r="B46" s="22" t="s">
        <v>630</v>
      </c>
      <c r="C46" s="22"/>
      <c r="D46" s="6"/>
      <c r="E46" s="23">
        <v>1</v>
      </c>
      <c r="F46" s="7" t="s">
        <v>548</v>
      </c>
      <c r="G46" s="7">
        <v>11</v>
      </c>
      <c r="H46" s="7">
        <v>12</v>
      </c>
      <c r="I46" s="32">
        <v>16</v>
      </c>
      <c r="J46" s="25"/>
      <c r="K46" s="7"/>
      <c r="L46" s="7">
        <v>4.5699999999999998E-2</v>
      </c>
      <c r="M46" s="7"/>
      <c r="N46" s="7"/>
      <c r="O46" s="7" t="s">
        <v>551</v>
      </c>
      <c r="P46" s="7">
        <v>3</v>
      </c>
      <c r="Q46" s="7" t="s">
        <v>20</v>
      </c>
      <c r="R46" s="7" t="s">
        <v>20</v>
      </c>
      <c r="S46" s="7" t="s">
        <v>20</v>
      </c>
      <c r="T46" s="7" t="s">
        <v>20</v>
      </c>
      <c r="U46" s="7" t="s">
        <v>631</v>
      </c>
      <c r="V46" s="7">
        <v>11</v>
      </c>
      <c r="W46" s="26" t="s">
        <v>33</v>
      </c>
      <c r="X46" s="7">
        <v>8</v>
      </c>
      <c r="Y46" s="26" t="s">
        <v>554</v>
      </c>
      <c r="Z46" s="7">
        <v>21</v>
      </c>
      <c r="AA46" s="7">
        <v>12</v>
      </c>
      <c r="AB46" s="7"/>
      <c r="AC46" s="7"/>
      <c r="AD46" s="28" t="str">
        <f t="shared" si="1"/>
        <v>(176*'16'**''*'0,0457'***3*NULL*NULL*11*8*21)*</v>
      </c>
    </row>
    <row r="47" spans="1:30" ht="20.100000000000001" customHeight="1" x14ac:dyDescent="0.25">
      <c r="A47" s="3">
        <v>177</v>
      </c>
      <c r="B47" s="22" t="s">
        <v>376</v>
      </c>
      <c r="C47" s="22"/>
      <c r="D47" s="6">
        <v>30720</v>
      </c>
      <c r="E47" s="23">
        <v>1</v>
      </c>
      <c r="F47" s="7" t="s">
        <v>548</v>
      </c>
      <c r="G47" s="7">
        <v>11</v>
      </c>
      <c r="H47" s="7">
        <v>12</v>
      </c>
      <c r="I47" s="24">
        <v>24</v>
      </c>
      <c r="J47" s="25">
        <v>503.46</v>
      </c>
      <c r="K47" s="7" t="s">
        <v>632</v>
      </c>
      <c r="L47" s="7">
        <v>0.05</v>
      </c>
      <c r="M47" s="7"/>
      <c r="N47" s="7"/>
      <c r="O47" s="7" t="s">
        <v>562</v>
      </c>
      <c r="P47" s="7">
        <v>3</v>
      </c>
      <c r="Q47" s="7" t="s">
        <v>598</v>
      </c>
      <c r="R47" s="7">
        <v>14</v>
      </c>
      <c r="S47" s="7" t="s">
        <v>20</v>
      </c>
      <c r="T47" s="7" t="s">
        <v>20</v>
      </c>
      <c r="U47" s="7" t="s">
        <v>631</v>
      </c>
      <c r="V47" s="7">
        <v>11</v>
      </c>
      <c r="W47" s="26" t="s">
        <v>33</v>
      </c>
      <c r="X47" s="7">
        <v>8</v>
      </c>
      <c r="Y47" s="26" t="s">
        <v>554</v>
      </c>
      <c r="Z47" s="7">
        <v>21</v>
      </c>
      <c r="AA47" s="7">
        <v>12</v>
      </c>
      <c r="AB47" s="7" t="s">
        <v>633</v>
      </c>
      <c r="AC47" s="7"/>
      <c r="AD47" s="28" t="str">
        <f t="shared" si="1"/>
        <v>(177*'24'*503,46*'9,52 / 11,91 '*'0,05'***3*14*NULL*11*8*21)*</v>
      </c>
    </row>
    <row r="48" spans="1:30" ht="20.100000000000001" customHeight="1" x14ac:dyDescent="0.25">
      <c r="A48" s="3">
        <v>178</v>
      </c>
      <c r="B48" s="22" t="s">
        <v>379</v>
      </c>
      <c r="C48" s="22"/>
      <c r="D48" s="6">
        <v>39814</v>
      </c>
      <c r="E48" s="23">
        <v>1</v>
      </c>
      <c r="F48" s="7" t="s">
        <v>548</v>
      </c>
      <c r="G48" s="7">
        <v>11</v>
      </c>
      <c r="H48" s="7">
        <v>12</v>
      </c>
      <c r="I48" s="24">
        <v>24</v>
      </c>
      <c r="J48" s="25">
        <v>495</v>
      </c>
      <c r="K48" s="30" t="s">
        <v>634</v>
      </c>
      <c r="L48" s="7">
        <v>0.05</v>
      </c>
      <c r="M48" s="7"/>
      <c r="N48" s="7"/>
      <c r="O48" s="7" t="s">
        <v>635</v>
      </c>
      <c r="P48" s="7">
        <v>4</v>
      </c>
      <c r="Q48" s="7" t="s">
        <v>558</v>
      </c>
      <c r="R48" s="7">
        <v>11</v>
      </c>
      <c r="S48" s="7" t="s">
        <v>20</v>
      </c>
      <c r="T48" s="7" t="s">
        <v>20</v>
      </c>
      <c r="U48" s="7" t="s">
        <v>631</v>
      </c>
      <c r="V48" s="7">
        <v>11</v>
      </c>
      <c r="W48" s="26" t="s">
        <v>33</v>
      </c>
      <c r="X48" s="7">
        <v>8</v>
      </c>
      <c r="Y48" s="26" t="s">
        <v>554</v>
      </c>
      <c r="Z48" s="7">
        <v>21</v>
      </c>
      <c r="AA48" s="7">
        <v>12</v>
      </c>
      <c r="AB48" s="7" t="s">
        <v>636</v>
      </c>
      <c r="AC48" s="7"/>
      <c r="AD48" s="28" t="str">
        <f t="shared" si="1"/>
        <v>(178*'24'*495*'8,74 / 9,52 / 10,31 / 12,70 / 14,27 / 15,88 / 19,05 / 17,5'*'0,05'***4*11*NULL*11*8*21)*</v>
      </c>
    </row>
    <row r="49" spans="1:30" ht="20.100000000000001" customHeight="1" x14ac:dyDescent="0.25">
      <c r="A49" s="3">
        <v>179</v>
      </c>
      <c r="B49" s="22" t="s">
        <v>382</v>
      </c>
      <c r="C49" s="22"/>
      <c r="D49" s="6">
        <v>35065</v>
      </c>
      <c r="E49" s="23">
        <v>1</v>
      </c>
      <c r="F49" s="7" t="s">
        <v>605</v>
      </c>
      <c r="G49" s="7">
        <v>12</v>
      </c>
      <c r="H49" s="7">
        <v>12</v>
      </c>
      <c r="I49" s="24" t="s">
        <v>637</v>
      </c>
      <c r="J49" s="25">
        <v>989</v>
      </c>
      <c r="K49" s="7" t="s">
        <v>632</v>
      </c>
      <c r="L49" s="7">
        <v>0.05</v>
      </c>
      <c r="M49" s="7"/>
      <c r="N49" s="7"/>
      <c r="O49" s="7" t="s">
        <v>557</v>
      </c>
      <c r="P49" s="7">
        <v>4</v>
      </c>
      <c r="Q49" s="7" t="s">
        <v>558</v>
      </c>
      <c r="R49" s="7">
        <v>11</v>
      </c>
      <c r="S49" s="7" t="s">
        <v>20</v>
      </c>
      <c r="T49" s="7" t="s">
        <v>20</v>
      </c>
      <c r="U49" s="7" t="s">
        <v>638</v>
      </c>
      <c r="V49" s="7">
        <v>12</v>
      </c>
      <c r="W49" s="26" t="s">
        <v>639</v>
      </c>
      <c r="X49" s="7">
        <v>20</v>
      </c>
      <c r="Y49" s="26" t="s">
        <v>33</v>
      </c>
      <c r="Z49" s="7">
        <v>8</v>
      </c>
      <c r="AA49" s="7">
        <v>12</v>
      </c>
      <c r="AB49" s="7" t="s">
        <v>640</v>
      </c>
      <c r="AC49" s="7"/>
      <c r="AD49" s="28" t="str">
        <f t="shared" si="1"/>
        <v>(179*'10 / 12 / 14 / 16 / 20 / 24'*989*'9,52 / 11,91 '*'0,05'***4*11*NULL*12*20*8)*</v>
      </c>
    </row>
    <row r="50" spans="1:30" ht="20.100000000000001" customHeight="1" x14ac:dyDescent="0.25">
      <c r="A50" s="3">
        <v>179</v>
      </c>
      <c r="B50" s="33" t="s">
        <v>641</v>
      </c>
      <c r="C50" s="33"/>
      <c r="D50" s="6"/>
      <c r="E50" s="23">
        <v>1</v>
      </c>
      <c r="F50" s="7" t="s">
        <v>548</v>
      </c>
      <c r="G50" s="7">
        <v>11</v>
      </c>
      <c r="H50" s="7">
        <v>12</v>
      </c>
      <c r="I50" s="32">
        <v>12</v>
      </c>
      <c r="J50" s="25"/>
      <c r="K50" s="7" t="s">
        <v>642</v>
      </c>
      <c r="L50" s="7">
        <v>0.05</v>
      </c>
      <c r="M50" s="7"/>
      <c r="N50" s="7"/>
      <c r="O50" s="7" t="s">
        <v>557</v>
      </c>
      <c r="P50" s="7">
        <v>4</v>
      </c>
      <c r="Q50" s="7" t="s">
        <v>20</v>
      </c>
      <c r="R50" s="7" t="s">
        <v>20</v>
      </c>
      <c r="S50" s="7" t="s">
        <v>20</v>
      </c>
      <c r="T50" s="7" t="s">
        <v>20</v>
      </c>
      <c r="U50" s="7" t="s">
        <v>638</v>
      </c>
      <c r="V50" s="7">
        <v>12</v>
      </c>
      <c r="W50" s="26" t="s">
        <v>33</v>
      </c>
      <c r="X50" s="7">
        <v>8</v>
      </c>
      <c r="Y50" s="26" t="s">
        <v>554</v>
      </c>
      <c r="Z50" s="7">
        <v>21</v>
      </c>
      <c r="AA50" s="7">
        <v>12</v>
      </c>
      <c r="AB50" s="7"/>
      <c r="AC50" s="7"/>
      <c r="AD50" s="28" t="str">
        <f t="shared" si="1"/>
        <v>(179*'12'**'11,91 / 12,7 / 14,25 / 19,05'*'0,05'***4*NULL*NULL*12*8*21)*</v>
      </c>
    </row>
    <row r="51" spans="1:30" ht="20.100000000000001" customHeight="1" x14ac:dyDescent="0.25">
      <c r="A51" s="3">
        <v>180</v>
      </c>
      <c r="B51" s="22" t="s">
        <v>385</v>
      </c>
      <c r="C51" s="22"/>
      <c r="D51" s="6">
        <v>38264</v>
      </c>
      <c r="E51" s="23">
        <v>1</v>
      </c>
      <c r="F51" s="7" t="s">
        <v>605</v>
      </c>
      <c r="G51" s="7">
        <v>12</v>
      </c>
      <c r="H51" s="7">
        <v>12</v>
      </c>
      <c r="I51" s="24">
        <v>16</v>
      </c>
      <c r="J51" s="25">
        <v>404</v>
      </c>
      <c r="K51" s="7" t="s">
        <v>643</v>
      </c>
      <c r="L51" s="7">
        <v>4.5999999999999999E-2</v>
      </c>
      <c r="M51" s="7"/>
      <c r="N51" s="7"/>
      <c r="O51" s="7" t="s">
        <v>557</v>
      </c>
      <c r="P51" s="7">
        <v>4</v>
      </c>
      <c r="Q51" s="7" t="s">
        <v>558</v>
      </c>
      <c r="R51" s="7">
        <v>11</v>
      </c>
      <c r="S51" s="7" t="s">
        <v>20</v>
      </c>
      <c r="T51" s="7" t="s">
        <v>20</v>
      </c>
      <c r="U51" s="7" t="s">
        <v>638</v>
      </c>
      <c r="V51" s="7">
        <v>12</v>
      </c>
      <c r="W51" s="26" t="s">
        <v>644</v>
      </c>
      <c r="X51" s="7">
        <v>16</v>
      </c>
      <c r="Y51" s="26" t="s">
        <v>645</v>
      </c>
      <c r="Z51" s="7">
        <v>26</v>
      </c>
      <c r="AA51" s="7">
        <v>12</v>
      </c>
      <c r="AB51" s="7" t="s">
        <v>646</v>
      </c>
      <c r="AC51" s="7"/>
      <c r="AD51" s="28" t="str">
        <f t="shared" si="1"/>
        <v>(180*'16'*404*'7,92 / 11,13'*'0,046'***4*11*NULL*12*16*26)*</v>
      </c>
    </row>
    <row r="52" spans="1:30" ht="20.100000000000001" customHeight="1" x14ac:dyDescent="0.25">
      <c r="A52" s="3">
        <v>181</v>
      </c>
      <c r="B52" s="22" t="s">
        <v>388</v>
      </c>
      <c r="C52" s="22"/>
      <c r="D52" s="6">
        <v>41640</v>
      </c>
      <c r="E52" s="23">
        <v>1</v>
      </c>
      <c r="F52" s="7" t="s">
        <v>605</v>
      </c>
      <c r="G52" s="7">
        <v>12</v>
      </c>
      <c r="H52" s="7">
        <v>12</v>
      </c>
      <c r="I52" s="24">
        <v>24</v>
      </c>
      <c r="J52" s="25">
        <v>336</v>
      </c>
      <c r="K52" s="7" t="s">
        <v>647</v>
      </c>
      <c r="L52" s="7">
        <v>4.5999999999999999E-2</v>
      </c>
      <c r="M52" s="7"/>
      <c r="N52" s="7"/>
      <c r="O52" s="7" t="s">
        <v>557</v>
      </c>
      <c r="P52" s="7">
        <v>4</v>
      </c>
      <c r="Q52" s="7" t="s">
        <v>579</v>
      </c>
      <c r="R52" s="7">
        <v>21</v>
      </c>
      <c r="S52" s="7" t="s">
        <v>20</v>
      </c>
      <c r="T52" s="7" t="s">
        <v>20</v>
      </c>
      <c r="U52" s="7" t="s">
        <v>638</v>
      </c>
      <c r="V52" s="7">
        <v>12</v>
      </c>
      <c r="W52" s="26" t="s">
        <v>648</v>
      </c>
      <c r="X52" s="7">
        <v>14</v>
      </c>
      <c r="Y52" s="26" t="s">
        <v>33</v>
      </c>
      <c r="Z52" s="7">
        <v>8</v>
      </c>
      <c r="AA52" s="7">
        <v>12</v>
      </c>
      <c r="AB52" s="7" t="s">
        <v>649</v>
      </c>
      <c r="AC52" s="7"/>
      <c r="AD52" s="28" t="str">
        <f t="shared" si="1"/>
        <v>(181*'24'*336*'14,3 / 9,52 / 11,13 / 15,88 / 10,31'*'0,046'***4*21*NULL*12*14*8)*</v>
      </c>
    </row>
    <row r="53" spans="1:30" ht="20.100000000000001" customHeight="1" x14ac:dyDescent="0.25">
      <c r="A53" s="3">
        <v>182</v>
      </c>
      <c r="B53" s="22" t="s">
        <v>391</v>
      </c>
      <c r="C53" s="22"/>
      <c r="D53" s="6">
        <v>22282</v>
      </c>
      <c r="E53" s="23">
        <v>1</v>
      </c>
      <c r="F53" s="7" t="s">
        <v>548</v>
      </c>
      <c r="G53" s="7">
        <v>11</v>
      </c>
      <c r="H53" s="7">
        <v>16</v>
      </c>
      <c r="I53" s="24" t="s">
        <v>650</v>
      </c>
      <c r="J53" s="25">
        <v>509</v>
      </c>
      <c r="K53" s="7" t="s">
        <v>651</v>
      </c>
      <c r="L53" s="7">
        <v>1.4999999999999999E-2</v>
      </c>
      <c r="M53" s="7"/>
      <c r="N53" s="7"/>
      <c r="O53" s="7" t="s">
        <v>562</v>
      </c>
      <c r="P53" s="7">
        <v>3</v>
      </c>
      <c r="Q53" s="7" t="s">
        <v>652</v>
      </c>
      <c r="R53" s="7">
        <v>14</v>
      </c>
      <c r="S53" s="7" t="s">
        <v>653</v>
      </c>
      <c r="T53" s="7">
        <v>17</v>
      </c>
      <c r="U53" s="7" t="s">
        <v>391</v>
      </c>
      <c r="V53" s="7">
        <v>13</v>
      </c>
      <c r="W53" s="26" t="s">
        <v>33</v>
      </c>
      <c r="X53" s="7">
        <v>8</v>
      </c>
      <c r="Y53" s="26" t="s">
        <v>554</v>
      </c>
      <c r="Z53" s="7">
        <v>21</v>
      </c>
      <c r="AA53" s="7">
        <v>16</v>
      </c>
      <c r="AB53" s="7" t="s">
        <v>654</v>
      </c>
      <c r="AC53" s="7"/>
      <c r="AD53" s="28" t="str">
        <f t="shared" si="1"/>
        <v>(182*'20 / 24'*509*'8,74 - 12,7 - 10,31 - 15,9'*'0,015'***3*14*17*13*8*21)*</v>
      </c>
    </row>
    <row r="54" spans="1:30" ht="20.100000000000001" customHeight="1" x14ac:dyDescent="0.25">
      <c r="A54" s="3">
        <v>183</v>
      </c>
      <c r="B54" s="22" t="s">
        <v>393</v>
      </c>
      <c r="C54" s="22"/>
      <c r="D54" s="6">
        <v>44805</v>
      </c>
      <c r="E54" s="23">
        <v>1</v>
      </c>
      <c r="F54" s="7" t="s">
        <v>548</v>
      </c>
      <c r="G54" s="7">
        <v>11</v>
      </c>
      <c r="H54" s="7">
        <v>16</v>
      </c>
      <c r="I54" s="24">
        <v>20</v>
      </c>
      <c r="J54" s="25">
        <v>3.6</v>
      </c>
      <c r="K54" s="7">
        <v>11.13</v>
      </c>
      <c r="L54" s="7">
        <v>1.4999999999999999E-2</v>
      </c>
      <c r="M54" s="7"/>
      <c r="N54" s="7"/>
      <c r="O54" s="7" t="s">
        <v>557</v>
      </c>
      <c r="P54" s="7">
        <v>4</v>
      </c>
      <c r="Q54" s="7" t="s">
        <v>579</v>
      </c>
      <c r="R54" s="7">
        <v>21</v>
      </c>
      <c r="S54" s="7" t="s">
        <v>653</v>
      </c>
      <c r="T54" s="7">
        <v>17</v>
      </c>
      <c r="U54" s="7" t="s">
        <v>655</v>
      </c>
      <c r="V54" s="7">
        <v>14</v>
      </c>
      <c r="W54" s="26" t="s">
        <v>554</v>
      </c>
      <c r="X54" s="7">
        <v>21</v>
      </c>
      <c r="Y54" s="26" t="s">
        <v>656</v>
      </c>
      <c r="Z54" s="13">
        <v>122</v>
      </c>
      <c r="AA54" s="7">
        <v>16</v>
      </c>
      <c r="AB54" s="7"/>
      <c r="AC54" s="7"/>
      <c r="AD54" s="28" t="str">
        <f t="shared" si="1"/>
        <v>(183*'20'*3,6*'11,13'*'0,015'***4*21*17*14*21*122)*</v>
      </c>
    </row>
    <row r="55" spans="1:30" ht="20.100000000000001" customHeight="1" x14ac:dyDescent="0.25">
      <c r="A55" s="3">
        <v>184</v>
      </c>
      <c r="B55" s="22" t="s">
        <v>396</v>
      </c>
      <c r="C55" s="22"/>
      <c r="D55" s="6">
        <v>27760</v>
      </c>
      <c r="E55" s="23">
        <v>1</v>
      </c>
      <c r="F55" s="7" t="s">
        <v>548</v>
      </c>
      <c r="G55" s="7">
        <v>11</v>
      </c>
      <c r="H55" s="7">
        <v>16</v>
      </c>
      <c r="I55" s="24">
        <v>40</v>
      </c>
      <c r="J55" s="25">
        <v>507</v>
      </c>
      <c r="K55" s="7" t="s">
        <v>657</v>
      </c>
      <c r="L55" s="7">
        <v>1.4999999999999999E-2</v>
      </c>
      <c r="M55" s="7"/>
      <c r="N55" s="7"/>
      <c r="O55" s="7" t="s">
        <v>562</v>
      </c>
      <c r="P55" s="7">
        <v>3</v>
      </c>
      <c r="Q55" s="7" t="s">
        <v>652</v>
      </c>
      <c r="R55" s="7">
        <v>14</v>
      </c>
      <c r="S55" s="7" t="s">
        <v>653</v>
      </c>
      <c r="T55" s="7">
        <v>17</v>
      </c>
      <c r="U55" s="7" t="s">
        <v>655</v>
      </c>
      <c r="V55" s="7">
        <v>14</v>
      </c>
      <c r="W55" s="26" t="s">
        <v>33</v>
      </c>
      <c r="X55" s="7">
        <v>8</v>
      </c>
      <c r="Y55" s="26" t="s">
        <v>554</v>
      </c>
      <c r="Z55" s="7">
        <v>21</v>
      </c>
      <c r="AA55" s="7">
        <v>16</v>
      </c>
      <c r="AB55" s="7" t="s">
        <v>658</v>
      </c>
      <c r="AC55" s="7"/>
      <c r="AD55" s="28" t="str">
        <f t="shared" si="1"/>
        <v>(184*'40'*507*'11,13 - 12,7 - 19,05'*'0,015'***3*14*17*14*8*21)*</v>
      </c>
    </row>
    <row r="56" spans="1:30" ht="20.100000000000001" customHeight="1" x14ac:dyDescent="0.25">
      <c r="A56" s="3">
        <v>185</v>
      </c>
      <c r="B56" s="22" t="s">
        <v>399</v>
      </c>
      <c r="C56" s="22"/>
      <c r="D56" s="6">
        <v>29952</v>
      </c>
      <c r="E56" s="23">
        <v>1</v>
      </c>
      <c r="F56" s="7" t="s">
        <v>548</v>
      </c>
      <c r="G56" s="7">
        <v>11</v>
      </c>
      <c r="H56" s="7">
        <v>16</v>
      </c>
      <c r="I56" s="24">
        <v>40</v>
      </c>
      <c r="J56" s="25">
        <v>511</v>
      </c>
      <c r="K56" s="7" t="s">
        <v>657</v>
      </c>
      <c r="L56" s="7">
        <v>1.4999999999999999E-2</v>
      </c>
      <c r="M56" s="7"/>
      <c r="N56" s="7"/>
      <c r="O56" s="7" t="s">
        <v>562</v>
      </c>
      <c r="P56" s="7">
        <v>3</v>
      </c>
      <c r="Q56" s="7" t="s">
        <v>652</v>
      </c>
      <c r="R56" s="7">
        <v>14</v>
      </c>
      <c r="S56" s="7" t="s">
        <v>653</v>
      </c>
      <c r="T56" s="7">
        <v>17</v>
      </c>
      <c r="U56" s="7" t="s">
        <v>655</v>
      </c>
      <c r="V56" s="7">
        <v>14</v>
      </c>
      <c r="W56" s="26" t="s">
        <v>33</v>
      </c>
      <c r="X56" s="7">
        <v>8</v>
      </c>
      <c r="Y56" s="26" t="s">
        <v>554</v>
      </c>
      <c r="Z56" s="7">
        <v>21</v>
      </c>
      <c r="AA56" s="7">
        <v>16</v>
      </c>
      <c r="AB56" s="7" t="s">
        <v>659</v>
      </c>
      <c r="AC56" s="7"/>
      <c r="AD56" s="28" t="str">
        <f t="shared" si="1"/>
        <v>(185*'40'*511*'11,13 - 12,7 - 19,05'*'0,015'***3*14*17*14*8*21)*</v>
      </c>
    </row>
    <row r="57" spans="1:30" ht="20.100000000000001" customHeight="1" x14ac:dyDescent="0.25">
      <c r="A57" s="3">
        <v>186</v>
      </c>
      <c r="B57" s="22" t="s">
        <v>401</v>
      </c>
      <c r="C57" s="22"/>
      <c r="D57" s="6"/>
      <c r="E57" s="23">
        <v>1</v>
      </c>
      <c r="F57" s="7" t="s">
        <v>548</v>
      </c>
      <c r="G57" s="7">
        <v>11</v>
      </c>
      <c r="H57" s="7">
        <v>16</v>
      </c>
      <c r="I57" s="24">
        <v>40</v>
      </c>
      <c r="J57" s="25">
        <v>221</v>
      </c>
      <c r="K57" s="7" t="s">
        <v>642</v>
      </c>
      <c r="L57" s="7">
        <v>1.4999999999999999E-2</v>
      </c>
      <c r="M57" s="7"/>
      <c r="N57" s="7"/>
      <c r="O57" s="7" t="s">
        <v>557</v>
      </c>
      <c r="P57" s="7">
        <v>4</v>
      </c>
      <c r="Q57" s="7" t="s">
        <v>20</v>
      </c>
      <c r="R57" s="7" t="s">
        <v>20</v>
      </c>
      <c r="S57" s="7" t="s">
        <v>20</v>
      </c>
      <c r="T57" s="7" t="s">
        <v>20</v>
      </c>
      <c r="U57" s="7" t="s">
        <v>655</v>
      </c>
      <c r="V57" s="7">
        <v>14</v>
      </c>
      <c r="W57" s="26"/>
      <c r="X57" s="13"/>
      <c r="Y57" s="26"/>
      <c r="Z57" s="13"/>
      <c r="AA57" s="7"/>
      <c r="AB57" s="7"/>
      <c r="AC57" s="7"/>
      <c r="AD57" s="28" t="str">
        <f t="shared" si="1"/>
        <v>(186*'40'*221*'11,91 / 12,7 / 14,25 / 19,05'*'0,015'***4*NULL*NULL*14**)*</v>
      </c>
    </row>
    <row r="58" spans="1:30" ht="20.100000000000001" customHeight="1" x14ac:dyDescent="0.25">
      <c r="A58" s="3">
        <v>187</v>
      </c>
      <c r="B58" s="22" t="s">
        <v>403</v>
      </c>
      <c r="C58" s="22"/>
      <c r="D58" s="6">
        <v>32509</v>
      </c>
      <c r="E58" s="23">
        <v>1</v>
      </c>
      <c r="F58" s="7" t="s">
        <v>548</v>
      </c>
      <c r="G58" s="7">
        <v>11</v>
      </c>
      <c r="H58" s="7">
        <v>16</v>
      </c>
      <c r="I58" s="24">
        <v>42</v>
      </c>
      <c r="J58" s="25">
        <v>517</v>
      </c>
      <c r="K58" s="7" t="s">
        <v>660</v>
      </c>
      <c r="L58" s="7">
        <v>1.4999999999999999E-2</v>
      </c>
      <c r="M58" s="7"/>
      <c r="N58" s="7"/>
      <c r="O58" s="7" t="s">
        <v>661</v>
      </c>
      <c r="P58" s="7">
        <v>4</v>
      </c>
      <c r="Q58" s="7" t="s">
        <v>662</v>
      </c>
      <c r="R58" s="7">
        <v>14</v>
      </c>
      <c r="S58" s="7" t="s">
        <v>653</v>
      </c>
      <c r="T58" s="7">
        <v>17</v>
      </c>
      <c r="U58" s="7" t="s">
        <v>655</v>
      </c>
      <c r="V58" s="7">
        <v>14</v>
      </c>
      <c r="W58" s="26" t="s">
        <v>33</v>
      </c>
      <c r="X58" s="7">
        <v>8</v>
      </c>
      <c r="Y58" s="26" t="s">
        <v>554</v>
      </c>
      <c r="Z58" s="7">
        <v>21</v>
      </c>
      <c r="AA58" s="7">
        <v>16</v>
      </c>
      <c r="AB58" s="7" t="s">
        <v>663</v>
      </c>
      <c r="AC58" s="7"/>
      <c r="AD58" s="28" t="str">
        <f t="shared" si="1"/>
        <v>(187*'42'*517*'11,13 / 12,7 / 14,3 / 0,6 '*'0,015'***4*14*17*14*8*21)*</v>
      </c>
    </row>
    <row r="59" spans="1:30" ht="20.100000000000001" customHeight="1" x14ac:dyDescent="0.25">
      <c r="A59" s="3">
        <v>188</v>
      </c>
      <c r="B59" s="22" t="s">
        <v>406</v>
      </c>
      <c r="C59" s="22"/>
      <c r="D59" s="6"/>
      <c r="E59" s="23">
        <v>1</v>
      </c>
      <c r="F59" s="7" t="s">
        <v>548</v>
      </c>
      <c r="G59" s="7">
        <v>11</v>
      </c>
      <c r="H59" s="7">
        <v>16</v>
      </c>
      <c r="I59" s="24"/>
      <c r="J59" s="25"/>
      <c r="K59" s="24" t="s">
        <v>664</v>
      </c>
      <c r="L59" s="7">
        <v>1.4999999999999999E-2</v>
      </c>
      <c r="M59" s="7"/>
      <c r="N59" s="7"/>
      <c r="O59" s="7" t="s">
        <v>557</v>
      </c>
      <c r="P59" s="7">
        <v>4</v>
      </c>
      <c r="Q59" s="7" t="s">
        <v>20</v>
      </c>
      <c r="R59" s="7" t="s">
        <v>20</v>
      </c>
      <c r="S59" s="7" t="s">
        <v>20</v>
      </c>
      <c r="T59" s="7" t="s">
        <v>20</v>
      </c>
      <c r="U59" s="7" t="s">
        <v>655</v>
      </c>
      <c r="V59" s="7">
        <v>14</v>
      </c>
      <c r="W59" s="26"/>
      <c r="X59" s="13"/>
      <c r="Y59" s="26"/>
      <c r="Z59" s="13"/>
      <c r="AA59" s="7"/>
      <c r="AB59" s="7"/>
      <c r="AC59" s="7"/>
      <c r="AD59" s="28" t="str">
        <f t="shared" si="1"/>
        <v>(188*''**'11,91 - 22,22'*'0,015'***4*NULL*NULL*14**)*</v>
      </c>
    </row>
    <row r="60" spans="1:30" ht="20.100000000000001" customHeight="1" x14ac:dyDescent="0.25">
      <c r="A60" s="3">
        <v>189</v>
      </c>
      <c r="B60" s="22" t="s">
        <v>409</v>
      </c>
      <c r="C60" s="22"/>
      <c r="D60" s="6"/>
      <c r="E60" s="23">
        <v>1</v>
      </c>
      <c r="F60" s="7" t="s">
        <v>548</v>
      </c>
      <c r="G60" s="7">
        <v>11</v>
      </c>
      <c r="H60" s="7">
        <v>16</v>
      </c>
      <c r="I60" s="24"/>
      <c r="J60" s="25"/>
      <c r="K60" s="24" t="s">
        <v>664</v>
      </c>
      <c r="L60" s="7">
        <v>1.4999999999999999E-2</v>
      </c>
      <c r="M60" s="7"/>
      <c r="N60" s="7"/>
      <c r="O60" s="7" t="s">
        <v>557</v>
      </c>
      <c r="P60" s="7">
        <v>4</v>
      </c>
      <c r="Q60" s="7" t="s">
        <v>20</v>
      </c>
      <c r="R60" s="7" t="s">
        <v>20</v>
      </c>
      <c r="S60" s="7" t="s">
        <v>20</v>
      </c>
      <c r="T60" s="7" t="s">
        <v>20</v>
      </c>
      <c r="U60" s="7" t="s">
        <v>655</v>
      </c>
      <c r="V60" s="7">
        <v>14</v>
      </c>
      <c r="W60" s="26"/>
      <c r="X60" s="13"/>
      <c r="Y60" s="26"/>
      <c r="Z60" s="13"/>
      <c r="AA60" s="7"/>
      <c r="AB60" s="7"/>
      <c r="AC60" s="7"/>
      <c r="AD60" s="28" t="str">
        <f t="shared" si="1"/>
        <v>(189*''**'11,91 - 22,22'*'0,015'***4*NULL*NULL*14**)*</v>
      </c>
    </row>
    <row r="61" spans="1:30" ht="20.100000000000001" customHeight="1" x14ac:dyDescent="0.25">
      <c r="A61" s="3">
        <v>190</v>
      </c>
      <c r="B61" s="22" t="s">
        <v>411</v>
      </c>
      <c r="C61" s="22"/>
      <c r="D61" s="6">
        <v>39841</v>
      </c>
      <c r="E61" s="23">
        <v>1</v>
      </c>
      <c r="F61" s="7" t="s">
        <v>548</v>
      </c>
      <c r="G61" s="7">
        <v>11</v>
      </c>
      <c r="H61" s="7">
        <v>16</v>
      </c>
      <c r="I61" s="24">
        <v>48</v>
      </c>
      <c r="J61" s="25">
        <v>513.17200000000003</v>
      </c>
      <c r="K61" s="24" t="s">
        <v>664</v>
      </c>
      <c r="L61" s="7">
        <v>1.4999999999999999E-2</v>
      </c>
      <c r="M61" s="7"/>
      <c r="N61" s="7"/>
      <c r="O61" s="7" t="s">
        <v>665</v>
      </c>
      <c r="P61" s="7">
        <v>6</v>
      </c>
      <c r="Q61" s="7" t="s">
        <v>558</v>
      </c>
      <c r="R61" s="7">
        <v>11</v>
      </c>
      <c r="S61" s="7" t="s">
        <v>20</v>
      </c>
      <c r="T61" s="7" t="s">
        <v>20</v>
      </c>
      <c r="U61" s="7" t="s">
        <v>666</v>
      </c>
      <c r="V61" s="7">
        <v>15</v>
      </c>
      <c r="W61" s="26" t="s">
        <v>33</v>
      </c>
      <c r="X61" s="7">
        <v>8</v>
      </c>
      <c r="Y61" s="26" t="s">
        <v>554</v>
      </c>
      <c r="Z61" s="7">
        <v>21</v>
      </c>
      <c r="AA61" s="7">
        <v>16</v>
      </c>
      <c r="AB61" s="7" t="s">
        <v>667</v>
      </c>
      <c r="AC61" s="7"/>
      <c r="AD61" s="28" t="str">
        <f t="shared" si="1"/>
        <v>(190*'48'*513,172*'11,91 - 22,22'*'0,015'***6*11*NULL*15*8*21)*</v>
      </c>
    </row>
    <row r="62" spans="1:30" ht="20.100000000000001" customHeight="1" x14ac:dyDescent="0.25">
      <c r="A62" s="3">
        <v>191</v>
      </c>
      <c r="B62" s="22" t="s">
        <v>414</v>
      </c>
      <c r="C62" s="22"/>
      <c r="D62" s="6">
        <v>40284</v>
      </c>
      <c r="E62" s="23">
        <v>1</v>
      </c>
      <c r="F62" s="7" t="s">
        <v>548</v>
      </c>
      <c r="G62" s="7">
        <v>11</v>
      </c>
      <c r="H62" s="7">
        <v>16</v>
      </c>
      <c r="I62" s="24">
        <v>48</v>
      </c>
      <c r="J62" s="25">
        <v>120.37</v>
      </c>
      <c r="K62" s="24" t="s">
        <v>664</v>
      </c>
      <c r="L62" s="7">
        <v>1.4999999999999999E-2</v>
      </c>
      <c r="M62" s="7"/>
      <c r="N62" s="7"/>
      <c r="O62" s="7" t="s">
        <v>665</v>
      </c>
      <c r="P62" s="7">
        <v>6</v>
      </c>
      <c r="Q62" s="7" t="s">
        <v>558</v>
      </c>
      <c r="R62" s="7">
        <v>11</v>
      </c>
      <c r="S62" s="7" t="s">
        <v>20</v>
      </c>
      <c r="T62" s="7" t="s">
        <v>20</v>
      </c>
      <c r="U62" s="7" t="s">
        <v>666</v>
      </c>
      <c r="V62" s="7">
        <v>15</v>
      </c>
      <c r="W62" s="26" t="s">
        <v>668</v>
      </c>
      <c r="X62" s="13" t="s">
        <v>668</v>
      </c>
      <c r="Y62" s="26" t="s">
        <v>669</v>
      </c>
      <c r="Z62" s="7">
        <v>3</v>
      </c>
      <c r="AA62" s="7"/>
      <c r="AB62" s="7" t="s">
        <v>670</v>
      </c>
      <c r="AC62" s="7"/>
      <c r="AD62" s="28" t="str">
        <f t="shared" si="1"/>
        <v>(191*'48'*120,37*'11,91 - 22,22'*'0,015'***6*11*NULL*15*Mactaa Douz*3)*</v>
      </c>
    </row>
    <row r="63" spans="1:30" ht="20.100000000000001" customHeight="1" x14ac:dyDescent="0.25">
      <c r="A63" s="3">
        <v>192</v>
      </c>
      <c r="B63" s="22" t="s">
        <v>416</v>
      </c>
      <c r="C63" s="22"/>
      <c r="D63" s="6"/>
      <c r="E63" s="23">
        <v>1</v>
      </c>
      <c r="F63" s="7" t="s">
        <v>548</v>
      </c>
      <c r="G63" s="7">
        <v>11</v>
      </c>
      <c r="H63" s="7">
        <v>16</v>
      </c>
      <c r="I63" s="24"/>
      <c r="J63" s="25"/>
      <c r="K63" s="24" t="s">
        <v>664</v>
      </c>
      <c r="L63" s="7">
        <v>1.4999999999999999E-2</v>
      </c>
      <c r="M63" s="7"/>
      <c r="N63" s="7"/>
      <c r="O63" s="7" t="s">
        <v>557</v>
      </c>
      <c r="P63" s="7">
        <v>4</v>
      </c>
      <c r="Q63" s="7" t="s">
        <v>20</v>
      </c>
      <c r="R63" s="7" t="s">
        <v>20</v>
      </c>
      <c r="S63" s="7" t="s">
        <v>20</v>
      </c>
      <c r="T63" s="7" t="s">
        <v>20</v>
      </c>
      <c r="U63" s="7" t="s">
        <v>666</v>
      </c>
      <c r="V63" s="7">
        <v>15</v>
      </c>
      <c r="W63" s="26"/>
      <c r="X63" s="7"/>
      <c r="Y63" s="26" t="s">
        <v>23</v>
      </c>
      <c r="Z63" s="7">
        <v>3</v>
      </c>
      <c r="AA63" s="7"/>
      <c r="AB63" s="7"/>
      <c r="AC63" s="7"/>
      <c r="AD63" s="28" t="str">
        <f t="shared" si="1"/>
        <v>(192*''**'11,91 - 22,22'*'0,015'***4*NULL*NULL*15**3)*</v>
      </c>
    </row>
    <row r="64" spans="1:30" ht="20.100000000000001" customHeight="1" x14ac:dyDescent="0.25">
      <c r="A64" s="3">
        <v>193</v>
      </c>
      <c r="B64" s="22" t="s">
        <v>418</v>
      </c>
      <c r="C64" s="22"/>
      <c r="D64" s="6">
        <v>25934</v>
      </c>
      <c r="E64" s="23">
        <v>1</v>
      </c>
      <c r="F64" s="7" t="s">
        <v>560</v>
      </c>
      <c r="G64" s="7">
        <v>13</v>
      </c>
      <c r="H64" s="7">
        <v>16</v>
      </c>
      <c r="I64" s="24">
        <v>40</v>
      </c>
      <c r="J64" s="25">
        <v>574.87</v>
      </c>
      <c r="K64" s="7" t="s">
        <v>671</v>
      </c>
      <c r="L64" s="7">
        <v>3.5000000000000003E-2</v>
      </c>
      <c r="M64" s="7"/>
      <c r="N64" s="7"/>
      <c r="O64" s="7" t="s">
        <v>672</v>
      </c>
      <c r="P64" s="7">
        <v>4</v>
      </c>
      <c r="Q64" s="7" t="s">
        <v>673</v>
      </c>
      <c r="R64" s="7">
        <v>14</v>
      </c>
      <c r="S64" s="7" t="s">
        <v>653</v>
      </c>
      <c r="T64" s="7">
        <v>17</v>
      </c>
      <c r="U64" s="7" t="s">
        <v>674</v>
      </c>
      <c r="V64" s="7">
        <v>17</v>
      </c>
      <c r="W64" s="26" t="s">
        <v>33</v>
      </c>
      <c r="X64" s="7">
        <v>8</v>
      </c>
      <c r="Y64" s="26" t="s">
        <v>564</v>
      </c>
      <c r="Z64" s="7">
        <v>34</v>
      </c>
      <c r="AA64" s="7">
        <v>16</v>
      </c>
      <c r="AB64" s="7" t="s">
        <v>675</v>
      </c>
      <c r="AC64" s="7"/>
      <c r="AD64" s="28" t="str">
        <f t="shared" si="1"/>
        <v>(193*'40'*574,87*'12,7 / 15,88 / 19,43 / 19,05 '*'0,035'***4*14*17*17*8*34)*</v>
      </c>
    </row>
    <row r="65" spans="1:30" ht="20.100000000000001" customHeight="1" x14ac:dyDescent="0.25">
      <c r="A65" s="3">
        <v>194</v>
      </c>
      <c r="B65" s="22" t="s">
        <v>422</v>
      </c>
      <c r="C65" s="22"/>
      <c r="D65" s="6">
        <v>35796</v>
      </c>
      <c r="E65" s="23">
        <v>1</v>
      </c>
      <c r="F65" s="7" t="s">
        <v>560</v>
      </c>
      <c r="G65" s="7">
        <v>13</v>
      </c>
      <c r="H65" s="7">
        <v>16</v>
      </c>
      <c r="I65" s="24">
        <v>42</v>
      </c>
      <c r="J65" s="25">
        <v>575.54499999999996</v>
      </c>
      <c r="K65" s="7" t="s">
        <v>671</v>
      </c>
      <c r="L65" s="7">
        <v>1.4999999999999999E-2</v>
      </c>
      <c r="M65" s="7"/>
      <c r="N65" s="7"/>
      <c r="O65" s="7" t="s">
        <v>676</v>
      </c>
      <c r="P65" s="7">
        <v>4</v>
      </c>
      <c r="Q65" s="7" t="s">
        <v>673</v>
      </c>
      <c r="R65" s="7">
        <v>14</v>
      </c>
      <c r="S65" s="7" t="s">
        <v>653</v>
      </c>
      <c r="T65" s="7">
        <v>17</v>
      </c>
      <c r="U65" s="7" t="s">
        <v>674</v>
      </c>
      <c r="V65" s="7">
        <v>17</v>
      </c>
      <c r="W65" s="26" t="s">
        <v>33</v>
      </c>
      <c r="X65" s="7">
        <v>8</v>
      </c>
      <c r="Y65" s="26" t="s">
        <v>564</v>
      </c>
      <c r="Z65" s="7">
        <v>34</v>
      </c>
      <c r="AA65" s="7">
        <v>16</v>
      </c>
      <c r="AB65" s="7" t="s">
        <v>677</v>
      </c>
      <c r="AC65" s="7"/>
      <c r="AD65" s="28" t="str">
        <f t="shared" si="1"/>
        <v>(194*'42'*575,545*'12,7 / 15,88 / 19,43 / 19,05 '*'0,015'***4*14*17*17*8*34)*</v>
      </c>
    </row>
    <row r="66" spans="1:30" ht="20.100000000000001" customHeight="1" x14ac:dyDescent="0.25">
      <c r="A66" s="3">
        <v>195</v>
      </c>
      <c r="B66" s="22" t="s">
        <v>426</v>
      </c>
      <c r="C66" s="22"/>
      <c r="D66" s="6"/>
      <c r="E66" s="23">
        <v>1</v>
      </c>
      <c r="F66" s="7" t="s">
        <v>560</v>
      </c>
      <c r="G66" s="7">
        <v>13</v>
      </c>
      <c r="H66" s="7">
        <v>16</v>
      </c>
      <c r="I66" s="24"/>
      <c r="J66" s="25"/>
      <c r="K66" s="7" t="s">
        <v>678</v>
      </c>
      <c r="L66" s="7">
        <v>1.4999999999999999E-2</v>
      </c>
      <c r="M66" s="7"/>
      <c r="N66" s="7"/>
      <c r="O66" s="7" t="s">
        <v>557</v>
      </c>
      <c r="P66" s="7">
        <v>4</v>
      </c>
      <c r="Q66" s="7" t="s">
        <v>20</v>
      </c>
      <c r="R66" s="7" t="s">
        <v>20</v>
      </c>
      <c r="S66" s="7" t="s">
        <v>20</v>
      </c>
      <c r="T66" s="7" t="s">
        <v>20</v>
      </c>
      <c r="U66" s="7" t="s">
        <v>679</v>
      </c>
      <c r="V66" s="7">
        <v>18</v>
      </c>
      <c r="W66" s="26" t="s">
        <v>33</v>
      </c>
      <c r="X66" s="7">
        <v>8</v>
      </c>
      <c r="Y66" s="26" t="s">
        <v>680</v>
      </c>
      <c r="Z66" s="34" t="s">
        <v>680</v>
      </c>
      <c r="AA66" s="26"/>
      <c r="AB66" s="7"/>
      <c r="AC66" s="7"/>
      <c r="AD66" s="28" t="str">
        <f t="shared" si="1"/>
        <v>(195*''**'14,3 / 22,22'*'0,015'***4*NULL*NULL*18*8*EL Kala)*</v>
      </c>
    </row>
    <row r="67" spans="1:30" ht="20.100000000000001" customHeight="1" x14ac:dyDescent="0.25">
      <c r="A67" s="3">
        <v>196</v>
      </c>
      <c r="B67" s="22" t="s">
        <v>429</v>
      </c>
      <c r="C67" s="22"/>
      <c r="D67" s="6"/>
      <c r="E67" s="23">
        <v>1</v>
      </c>
      <c r="F67" s="7" t="s">
        <v>560</v>
      </c>
      <c r="G67" s="7">
        <v>13</v>
      </c>
      <c r="H67" s="7">
        <v>16</v>
      </c>
      <c r="I67" s="24">
        <v>48</v>
      </c>
      <c r="J67" s="25">
        <v>87</v>
      </c>
      <c r="K67" s="7" t="s">
        <v>678</v>
      </c>
      <c r="L67" s="7">
        <v>1.4999999999999999E-2</v>
      </c>
      <c r="M67" s="7"/>
      <c r="N67" s="7"/>
      <c r="O67" s="7" t="s">
        <v>681</v>
      </c>
      <c r="P67" s="7">
        <v>6</v>
      </c>
      <c r="Q67" s="7" t="s">
        <v>20</v>
      </c>
      <c r="R67" s="7" t="s">
        <v>20</v>
      </c>
      <c r="S67" s="7" t="s">
        <v>20</v>
      </c>
      <c r="T67" s="7" t="s">
        <v>20</v>
      </c>
      <c r="U67" s="7" t="s">
        <v>679</v>
      </c>
      <c r="V67" s="7">
        <v>18</v>
      </c>
      <c r="W67" s="26"/>
      <c r="X67" s="13"/>
      <c r="Y67" s="26"/>
      <c r="Z67" s="13"/>
      <c r="AA67" s="7"/>
      <c r="AB67" s="7"/>
      <c r="AC67" s="7"/>
      <c r="AD67" s="28" t="str">
        <f t="shared" si="1"/>
        <v>(196*'48'*87*'14,3 / 22,22'*'0,015'***6*NULL*NULL*18**)*</v>
      </c>
    </row>
    <row r="68" spans="1:30" ht="20.100000000000001" customHeight="1" x14ac:dyDescent="0.25">
      <c r="A68" s="3">
        <v>197</v>
      </c>
      <c r="B68" s="22" t="s">
        <v>431</v>
      </c>
      <c r="C68" s="22"/>
      <c r="D68" s="6">
        <v>29587</v>
      </c>
      <c r="E68" s="23">
        <v>1</v>
      </c>
      <c r="F68" s="7" t="s">
        <v>566</v>
      </c>
      <c r="G68" s="7">
        <v>15</v>
      </c>
      <c r="H68" s="7">
        <v>16</v>
      </c>
      <c r="I68" s="24">
        <v>42</v>
      </c>
      <c r="J68" s="25">
        <v>437</v>
      </c>
      <c r="K68" s="7" t="s">
        <v>682</v>
      </c>
      <c r="L68" s="7">
        <v>1.4999999999999999E-2</v>
      </c>
      <c r="M68" s="7"/>
      <c r="N68" s="7"/>
      <c r="O68" s="7" t="s">
        <v>557</v>
      </c>
      <c r="P68" s="7">
        <v>4</v>
      </c>
      <c r="Q68" s="7">
        <v>11.3</v>
      </c>
      <c r="R68" s="7">
        <v>14</v>
      </c>
      <c r="S68" s="7" t="s">
        <v>20</v>
      </c>
      <c r="T68" s="7" t="s">
        <v>20</v>
      </c>
      <c r="U68" s="7" t="s">
        <v>431</v>
      </c>
      <c r="V68" s="7">
        <v>20</v>
      </c>
      <c r="W68" s="26" t="s">
        <v>33</v>
      </c>
      <c r="X68" s="7">
        <v>8</v>
      </c>
      <c r="Y68" s="26" t="s">
        <v>683</v>
      </c>
      <c r="Z68" s="7">
        <v>24</v>
      </c>
      <c r="AA68" s="7">
        <v>16</v>
      </c>
      <c r="AB68" s="7" t="s">
        <v>684</v>
      </c>
      <c r="AC68" s="7"/>
      <c r="AD68" s="28" t="str">
        <f t="shared" si="1"/>
        <v>(197*'42'*437*'11,91 / 12,7 / 19,05'*'0,015'***4*14*NULL*20*8*24)*</v>
      </c>
    </row>
    <row r="69" spans="1:30" ht="20.100000000000001" customHeight="1" x14ac:dyDescent="0.25">
      <c r="A69" s="3">
        <v>198</v>
      </c>
      <c r="B69" s="22" t="s">
        <v>434</v>
      </c>
      <c r="C69" s="22"/>
      <c r="D69" s="6">
        <v>43800</v>
      </c>
      <c r="E69" s="23">
        <v>1</v>
      </c>
      <c r="F69" s="7" t="s">
        <v>566</v>
      </c>
      <c r="G69" s="7">
        <v>15</v>
      </c>
      <c r="H69" s="7">
        <v>16</v>
      </c>
      <c r="I69" s="24">
        <v>42</v>
      </c>
      <c r="J69" s="25">
        <v>207</v>
      </c>
      <c r="K69" s="7" t="s">
        <v>685</v>
      </c>
      <c r="L69" s="7">
        <v>1.4999999999999999E-2</v>
      </c>
      <c r="M69" s="7"/>
      <c r="N69" s="7"/>
      <c r="O69" s="7" t="s">
        <v>681</v>
      </c>
      <c r="P69" s="7">
        <v>6</v>
      </c>
      <c r="Q69" s="7" t="s">
        <v>579</v>
      </c>
      <c r="R69" s="7" t="s">
        <v>20</v>
      </c>
      <c r="S69" s="7" t="s">
        <v>20</v>
      </c>
      <c r="T69" s="7" t="s">
        <v>20</v>
      </c>
      <c r="U69" s="7" t="s">
        <v>431</v>
      </c>
      <c r="V69" s="7">
        <v>20</v>
      </c>
      <c r="W69" s="26" t="s">
        <v>686</v>
      </c>
      <c r="X69" s="7">
        <v>9</v>
      </c>
      <c r="Y69" s="26" t="s">
        <v>683</v>
      </c>
      <c r="Z69" s="7">
        <v>24</v>
      </c>
      <c r="AA69" s="7">
        <v>16</v>
      </c>
      <c r="AB69" s="7"/>
      <c r="AC69" s="7"/>
      <c r="AD69" s="28" t="str">
        <f t="shared" si="1"/>
        <v>(198*'42'*207*'20,62 / 14,27'*'0,015'***6*NULL*NULL*20*9*24)*</v>
      </c>
    </row>
    <row r="70" spans="1:30" ht="20.100000000000001" customHeight="1" x14ac:dyDescent="0.25">
      <c r="A70" s="3">
        <v>199</v>
      </c>
      <c r="B70" s="22" t="s">
        <v>437</v>
      </c>
      <c r="C70" s="22"/>
      <c r="D70" s="6"/>
      <c r="E70" s="23">
        <v>1</v>
      </c>
      <c r="F70" s="7" t="s">
        <v>687</v>
      </c>
      <c r="G70" s="7"/>
      <c r="H70" s="7">
        <v>16</v>
      </c>
      <c r="I70" s="24"/>
      <c r="J70" s="25"/>
      <c r="K70" s="7" t="s">
        <v>685</v>
      </c>
      <c r="L70" s="7">
        <v>1.4999999999999999E-2</v>
      </c>
      <c r="M70" s="7"/>
      <c r="N70" s="7"/>
      <c r="O70" s="7" t="s">
        <v>557</v>
      </c>
      <c r="P70" s="7">
        <v>4</v>
      </c>
      <c r="Q70" s="7" t="s">
        <v>20</v>
      </c>
      <c r="R70" s="7" t="s">
        <v>20</v>
      </c>
      <c r="S70" s="7" t="s">
        <v>20</v>
      </c>
      <c r="T70" s="7" t="s">
        <v>20</v>
      </c>
      <c r="U70" s="7" t="s">
        <v>688</v>
      </c>
      <c r="V70" s="7">
        <v>21</v>
      </c>
      <c r="W70" s="26"/>
      <c r="X70" s="13"/>
      <c r="Y70" s="26"/>
      <c r="Z70" s="13"/>
      <c r="AA70" s="7"/>
      <c r="AB70" s="7"/>
      <c r="AC70" s="7"/>
      <c r="AD70" s="28" t="str">
        <f t="shared" si="1"/>
        <v>(199*''**'20,62 / 14,27'*'0,015'***4*NULL*NULL*21**)*</v>
      </c>
    </row>
    <row r="71" spans="1:30" ht="20.100000000000001" customHeight="1" x14ac:dyDescent="0.25">
      <c r="A71" s="3">
        <v>200</v>
      </c>
      <c r="B71" s="22" t="s">
        <v>439</v>
      </c>
      <c r="C71" s="22"/>
      <c r="D71" s="6">
        <v>31413</v>
      </c>
      <c r="E71" s="23">
        <v>1</v>
      </c>
      <c r="F71" s="7" t="s">
        <v>586</v>
      </c>
      <c r="G71" s="7">
        <v>14</v>
      </c>
      <c r="H71" s="7">
        <v>16</v>
      </c>
      <c r="I71" s="24" t="s">
        <v>689</v>
      </c>
      <c r="J71" s="25">
        <v>966</v>
      </c>
      <c r="K71" s="7" t="s">
        <v>690</v>
      </c>
      <c r="L71" s="7">
        <v>1.4999999999999999E-2</v>
      </c>
      <c r="M71" s="7"/>
      <c r="N71" s="7"/>
      <c r="O71" s="7" t="s">
        <v>691</v>
      </c>
      <c r="P71" s="7">
        <v>6</v>
      </c>
      <c r="Q71" s="7" t="s">
        <v>598</v>
      </c>
      <c r="R71" s="7">
        <v>14</v>
      </c>
      <c r="S71" s="7" t="s">
        <v>653</v>
      </c>
      <c r="T71" s="7">
        <v>17</v>
      </c>
      <c r="U71" s="7" t="s">
        <v>688</v>
      </c>
      <c r="V71" s="7">
        <v>21</v>
      </c>
      <c r="W71" s="26" t="s">
        <v>639</v>
      </c>
      <c r="X71" s="7">
        <v>20</v>
      </c>
      <c r="Y71" s="26" t="s">
        <v>33</v>
      </c>
      <c r="Z71" s="7">
        <v>8</v>
      </c>
      <c r="AA71" s="7">
        <v>16</v>
      </c>
      <c r="AB71" s="7" t="s">
        <v>692</v>
      </c>
      <c r="AC71" s="7"/>
      <c r="AD71" s="28" t="str">
        <f t="shared" si="1"/>
        <v>(200*'42 / 48'*966*'11,92 / 12,7 / 13,35 / 14,27 / 15,88 / 22,22'*'0,015'***6*14*17*21*20*8)*</v>
      </c>
    </row>
    <row r="72" spans="1:30" ht="20.100000000000001" customHeight="1" x14ac:dyDescent="0.25">
      <c r="A72" s="3">
        <v>201</v>
      </c>
      <c r="B72" s="22" t="s">
        <v>442</v>
      </c>
      <c r="C72" s="22"/>
      <c r="D72" s="6">
        <v>36161</v>
      </c>
      <c r="E72" s="23">
        <v>1</v>
      </c>
      <c r="F72" s="7" t="s">
        <v>586</v>
      </c>
      <c r="G72" s="7">
        <v>14</v>
      </c>
      <c r="H72" s="7">
        <v>16</v>
      </c>
      <c r="I72" s="24" t="s">
        <v>689</v>
      </c>
      <c r="J72" s="25">
        <v>966</v>
      </c>
      <c r="K72" s="7" t="s">
        <v>693</v>
      </c>
      <c r="L72" s="7">
        <v>1.4999999999999999E-2</v>
      </c>
      <c r="M72" s="7"/>
      <c r="N72" s="7"/>
      <c r="O72" s="7" t="s">
        <v>681</v>
      </c>
      <c r="P72" s="7">
        <v>6</v>
      </c>
      <c r="Q72" s="7" t="s">
        <v>558</v>
      </c>
      <c r="R72" s="7">
        <v>11</v>
      </c>
      <c r="S72" s="7" t="s">
        <v>653</v>
      </c>
      <c r="T72" s="7">
        <v>17</v>
      </c>
      <c r="U72" s="7" t="s">
        <v>688</v>
      </c>
      <c r="V72" s="7">
        <v>21</v>
      </c>
      <c r="W72" s="26" t="s">
        <v>639</v>
      </c>
      <c r="X72" s="7">
        <v>20</v>
      </c>
      <c r="Y72" s="26" t="s">
        <v>33</v>
      </c>
      <c r="Z72" s="7">
        <v>8</v>
      </c>
      <c r="AA72" s="7">
        <v>16</v>
      </c>
      <c r="AB72" s="7" t="s">
        <v>694</v>
      </c>
      <c r="AC72" s="7"/>
      <c r="AD72" s="28" t="str">
        <f t="shared" si="1"/>
        <v>(201*'42 / 48'*966*'11,91 / 12,7 / 14,27 / 19,05 / 22,22'*'0,015'***6*11*17*21*20*8)*</v>
      </c>
    </row>
    <row r="73" spans="1:30" ht="20.100000000000001" customHeight="1" x14ac:dyDescent="0.25">
      <c r="A73" s="3">
        <v>202</v>
      </c>
      <c r="B73" s="22" t="s">
        <v>445</v>
      </c>
      <c r="C73" s="22"/>
      <c r="D73" s="6">
        <v>37622</v>
      </c>
      <c r="E73" s="23">
        <v>1</v>
      </c>
      <c r="F73" s="7" t="s">
        <v>619</v>
      </c>
      <c r="G73" s="7">
        <v>2</v>
      </c>
      <c r="H73" s="7">
        <v>2</v>
      </c>
      <c r="I73" s="24">
        <v>48</v>
      </c>
      <c r="J73" s="25">
        <v>520</v>
      </c>
      <c r="K73" s="7" t="s">
        <v>693</v>
      </c>
      <c r="L73" s="7">
        <v>1.4999999999999999E-2</v>
      </c>
      <c r="M73" s="7"/>
      <c r="N73" s="7"/>
      <c r="O73" s="7" t="s">
        <v>557</v>
      </c>
      <c r="P73" s="7">
        <v>4</v>
      </c>
      <c r="Q73" s="7" t="s">
        <v>20</v>
      </c>
      <c r="R73" s="7" t="s">
        <v>20</v>
      </c>
      <c r="S73" s="7" t="s">
        <v>20</v>
      </c>
      <c r="T73" s="7" t="s">
        <v>20</v>
      </c>
      <c r="U73" s="7" t="s">
        <v>688</v>
      </c>
      <c r="V73" s="7">
        <v>21</v>
      </c>
      <c r="W73" s="26"/>
      <c r="X73" s="13"/>
      <c r="Y73" s="26"/>
      <c r="Z73" s="13"/>
      <c r="AA73" s="7"/>
      <c r="AB73" s="7"/>
      <c r="AC73" s="7"/>
      <c r="AD73" s="28" t="str">
        <f t="shared" si="1"/>
        <v>(202*'48'*520*'11,91 / 12,7 / 14,27 / 19,05 / 22,22'*'0,015'***4*NULL*NULL*21**)*</v>
      </c>
    </row>
    <row r="74" spans="1:30" ht="20.100000000000001" customHeight="1" x14ac:dyDescent="0.25">
      <c r="A74" s="3">
        <v>203</v>
      </c>
      <c r="B74" s="22" t="s">
        <v>447</v>
      </c>
      <c r="C74" s="22"/>
      <c r="D74" s="6">
        <v>41640</v>
      </c>
      <c r="E74" s="23">
        <v>1</v>
      </c>
      <c r="F74" s="7" t="s">
        <v>586</v>
      </c>
      <c r="G74" s="7">
        <v>14</v>
      </c>
      <c r="H74" s="7">
        <v>16</v>
      </c>
      <c r="I74" s="24">
        <v>48</v>
      </c>
      <c r="J74" s="25">
        <v>535</v>
      </c>
      <c r="K74" s="7" t="s">
        <v>695</v>
      </c>
      <c r="L74" s="7">
        <v>1.4999999999999999E-2</v>
      </c>
      <c r="M74" s="7"/>
      <c r="N74" s="7"/>
      <c r="O74" s="7" t="s">
        <v>681</v>
      </c>
      <c r="P74" s="7">
        <v>6</v>
      </c>
      <c r="Q74" s="7" t="s">
        <v>20</v>
      </c>
      <c r="R74" s="7" t="s">
        <v>20</v>
      </c>
      <c r="S74" s="7" t="s">
        <v>20</v>
      </c>
      <c r="T74" s="7" t="s">
        <v>20</v>
      </c>
      <c r="U74" s="7" t="s">
        <v>688</v>
      </c>
      <c r="V74" s="7">
        <v>21</v>
      </c>
      <c r="W74" s="26" t="s">
        <v>696</v>
      </c>
      <c r="X74" s="7">
        <v>18</v>
      </c>
      <c r="Y74" s="26" t="s">
        <v>33</v>
      </c>
      <c r="Z74" s="7">
        <v>8</v>
      </c>
      <c r="AA74" s="7">
        <v>16</v>
      </c>
      <c r="AB74" s="7" t="s">
        <v>670</v>
      </c>
      <c r="AC74" s="7"/>
      <c r="AD74" s="28" t="str">
        <f t="shared" si="1"/>
        <v>(203*'48'*535*'12,7 / 14,27 / 22,22'*'0,015'***6*NULL*NULL*21*18*8)*</v>
      </c>
    </row>
    <row r="75" spans="1:30" ht="20.100000000000001" customHeight="1" x14ac:dyDescent="0.25">
      <c r="A75" s="3">
        <v>204</v>
      </c>
      <c r="B75" s="22" t="s">
        <v>449</v>
      </c>
      <c r="C75" s="22"/>
      <c r="D75" s="6">
        <v>42887</v>
      </c>
      <c r="E75" s="23">
        <v>1</v>
      </c>
      <c r="F75" s="7" t="s">
        <v>697</v>
      </c>
      <c r="G75" s="7">
        <v>16</v>
      </c>
      <c r="H75" s="7">
        <v>16</v>
      </c>
      <c r="I75" s="24">
        <v>48</v>
      </c>
      <c r="J75" s="25">
        <v>770</v>
      </c>
      <c r="K75" s="30" t="s">
        <v>698</v>
      </c>
      <c r="L75" s="7">
        <v>1.4999999999999999E-2</v>
      </c>
      <c r="M75" s="7"/>
      <c r="N75" s="7"/>
      <c r="O75" s="7" t="s">
        <v>681</v>
      </c>
      <c r="P75" s="7">
        <v>6</v>
      </c>
      <c r="Q75" s="7" t="s">
        <v>20</v>
      </c>
      <c r="R75" s="7" t="s">
        <v>20</v>
      </c>
      <c r="S75" s="7" t="s">
        <v>20</v>
      </c>
      <c r="T75" s="7" t="s">
        <v>20</v>
      </c>
      <c r="U75" s="7" t="s">
        <v>699</v>
      </c>
      <c r="V75" s="7">
        <v>22</v>
      </c>
      <c r="W75" s="26" t="s">
        <v>700</v>
      </c>
      <c r="X75" s="7">
        <v>32</v>
      </c>
      <c r="Y75" s="26" t="s">
        <v>33</v>
      </c>
      <c r="Z75" s="7">
        <v>8</v>
      </c>
      <c r="AA75" s="7">
        <v>16</v>
      </c>
      <c r="AB75" s="7" t="s">
        <v>701</v>
      </c>
      <c r="AC75" s="7"/>
      <c r="AD75" s="28" t="str">
        <f t="shared" si="1"/>
        <v>(204*'48'*770*'12,48 / 13,61 / 20,79 / 24,26'*'0,015'***6*NULL*NULL*22*32*8)*</v>
      </c>
    </row>
    <row r="76" spans="1:30" ht="20.100000000000001" customHeight="1" x14ac:dyDescent="0.25">
      <c r="A76" s="3">
        <v>205</v>
      </c>
      <c r="B76" s="22" t="s">
        <v>452</v>
      </c>
      <c r="C76" s="22"/>
      <c r="D76" s="6">
        <v>42736</v>
      </c>
      <c r="E76" s="23">
        <v>1</v>
      </c>
      <c r="F76" s="7" t="s">
        <v>586</v>
      </c>
      <c r="G76" s="7">
        <v>14</v>
      </c>
      <c r="H76" s="7">
        <v>16</v>
      </c>
      <c r="I76" s="24">
        <v>48</v>
      </c>
      <c r="J76" s="25">
        <v>531</v>
      </c>
      <c r="K76" s="7" t="s">
        <v>695</v>
      </c>
      <c r="L76" s="7">
        <v>1.4999999999999999E-2</v>
      </c>
      <c r="M76" s="7"/>
      <c r="N76" s="7"/>
      <c r="O76" s="7" t="s">
        <v>681</v>
      </c>
      <c r="P76" s="7">
        <v>6</v>
      </c>
      <c r="Q76" s="7" t="s">
        <v>20</v>
      </c>
      <c r="R76" s="7" t="s">
        <v>20</v>
      </c>
      <c r="S76" s="7" t="s">
        <v>20</v>
      </c>
      <c r="T76" s="7" t="s">
        <v>20</v>
      </c>
      <c r="U76" s="7" t="s">
        <v>688</v>
      </c>
      <c r="V76" s="7">
        <v>21</v>
      </c>
      <c r="W76" s="26" t="s">
        <v>696</v>
      </c>
      <c r="X76" s="7">
        <v>18</v>
      </c>
      <c r="Y76" s="26" t="s">
        <v>33</v>
      </c>
      <c r="Z76" s="7">
        <v>8</v>
      </c>
      <c r="AA76" s="7">
        <v>16</v>
      </c>
      <c r="AB76" s="7" t="s">
        <v>670</v>
      </c>
      <c r="AC76" s="7"/>
      <c r="AD76" s="28" t="str">
        <f t="shared" si="1"/>
        <v>(205*'48'*531*'12,7 / 14,27 / 22,22'*'0,015'***6*NULL*NULL*21*18*8)*</v>
      </c>
    </row>
    <row r="77" spans="1:30" ht="20.100000000000001" customHeight="1" x14ac:dyDescent="0.25">
      <c r="A77" s="3">
        <v>206</v>
      </c>
      <c r="B77" s="22" t="s">
        <v>455</v>
      </c>
      <c r="C77" s="22"/>
      <c r="D77" s="6">
        <v>43800</v>
      </c>
      <c r="E77" s="23">
        <v>1</v>
      </c>
      <c r="F77" s="7" t="s">
        <v>697</v>
      </c>
      <c r="G77" s="7">
        <v>16</v>
      </c>
      <c r="H77" s="7">
        <v>16</v>
      </c>
      <c r="I77" s="24">
        <v>48</v>
      </c>
      <c r="J77" s="25">
        <v>345</v>
      </c>
      <c r="K77" s="7" t="s">
        <v>702</v>
      </c>
      <c r="L77" s="7">
        <v>1.4999999999999999E-2</v>
      </c>
      <c r="M77" s="7"/>
      <c r="N77" s="7"/>
      <c r="O77" s="7" t="s">
        <v>681</v>
      </c>
      <c r="P77" s="7">
        <v>6</v>
      </c>
      <c r="Q77" s="7" t="s">
        <v>20</v>
      </c>
      <c r="R77" s="7" t="s">
        <v>20</v>
      </c>
      <c r="S77" s="7" t="s">
        <v>20</v>
      </c>
      <c r="T77" s="7" t="s">
        <v>20</v>
      </c>
      <c r="U77" s="7" t="s">
        <v>699</v>
      </c>
      <c r="V77" s="7">
        <v>22</v>
      </c>
      <c r="W77" s="26" t="s">
        <v>703</v>
      </c>
      <c r="X77" s="7"/>
      <c r="Y77" s="26" t="s">
        <v>33</v>
      </c>
      <c r="Z77" s="7">
        <v>8</v>
      </c>
      <c r="AA77" s="7"/>
      <c r="AB77" s="7"/>
      <c r="AC77" s="7"/>
      <c r="AD77" s="28" t="str">
        <f t="shared" si="1"/>
        <v>(206*'48'*345*'12,95 / 14,27 / 22,23'*'0,015'***6*NULL*NULL*22**8)*</v>
      </c>
    </row>
    <row r="78" spans="1:30" ht="20.100000000000001" customHeight="1" x14ac:dyDescent="0.25">
      <c r="A78" s="3">
        <v>207</v>
      </c>
      <c r="B78" s="22" t="s">
        <v>458</v>
      </c>
      <c r="C78" s="22"/>
      <c r="D78" s="6">
        <v>35065</v>
      </c>
      <c r="E78" s="23">
        <v>1</v>
      </c>
      <c r="F78" s="7" t="s">
        <v>458</v>
      </c>
      <c r="G78" s="7">
        <v>18</v>
      </c>
      <c r="H78" s="7">
        <v>16</v>
      </c>
      <c r="I78" s="24">
        <v>48</v>
      </c>
      <c r="J78" s="25">
        <v>521</v>
      </c>
      <c r="K78" s="7" t="s">
        <v>695</v>
      </c>
      <c r="L78" s="7">
        <v>1.4999999999999999E-2</v>
      </c>
      <c r="M78" s="7"/>
      <c r="N78" s="7"/>
      <c r="O78" s="7" t="s">
        <v>681</v>
      </c>
      <c r="P78" s="7">
        <v>6</v>
      </c>
      <c r="Q78" s="7" t="s">
        <v>704</v>
      </c>
      <c r="R78" s="7">
        <v>9</v>
      </c>
      <c r="S78" s="7" t="s">
        <v>653</v>
      </c>
      <c r="T78" s="7">
        <v>17</v>
      </c>
      <c r="U78" s="7" t="s">
        <v>705</v>
      </c>
      <c r="V78" s="7">
        <v>16</v>
      </c>
      <c r="W78" s="26" t="s">
        <v>33</v>
      </c>
      <c r="X78" s="7">
        <v>8</v>
      </c>
      <c r="Y78" s="26" t="s">
        <v>706</v>
      </c>
      <c r="Z78" s="7">
        <v>12</v>
      </c>
      <c r="AA78" s="7">
        <v>16</v>
      </c>
      <c r="AB78" s="7" t="s">
        <v>633</v>
      </c>
      <c r="AC78" s="7"/>
      <c r="AD78" s="28" t="str">
        <f t="shared" si="1"/>
        <v>(207*'48'*521*'12,7 / 14,27 / 22,22'*'0,015'***6*9*17*16*8*12)*</v>
      </c>
    </row>
    <row r="79" spans="1:30" ht="20.100000000000001" customHeight="1" x14ac:dyDescent="0.25">
      <c r="A79" s="3">
        <v>208</v>
      </c>
      <c r="B79" s="22" t="s">
        <v>460</v>
      </c>
      <c r="C79" s="22"/>
      <c r="D79" s="6">
        <v>44197</v>
      </c>
      <c r="E79" s="23">
        <v>1</v>
      </c>
      <c r="F79" s="7" t="s">
        <v>458</v>
      </c>
      <c r="G79" s="7">
        <v>18</v>
      </c>
      <c r="H79" s="7">
        <v>16</v>
      </c>
      <c r="I79" s="24">
        <v>48</v>
      </c>
      <c r="J79" s="25">
        <v>198</v>
      </c>
      <c r="K79" s="7" t="s">
        <v>707</v>
      </c>
      <c r="L79" s="7">
        <v>1.4999999999999999E-2</v>
      </c>
      <c r="M79" s="7"/>
      <c r="N79" s="7"/>
      <c r="O79" s="7" t="s">
        <v>557</v>
      </c>
      <c r="P79" s="7">
        <v>4</v>
      </c>
      <c r="Q79" s="7" t="s">
        <v>20</v>
      </c>
      <c r="R79" s="7" t="s">
        <v>20</v>
      </c>
      <c r="S79" s="7" t="s">
        <v>20</v>
      </c>
      <c r="T79" s="7" t="s">
        <v>20</v>
      </c>
      <c r="U79" s="7" t="s">
        <v>705</v>
      </c>
      <c r="V79" s="7">
        <v>16</v>
      </c>
      <c r="W79" s="26" t="s">
        <v>706</v>
      </c>
      <c r="X79" s="7">
        <v>12</v>
      </c>
      <c r="Y79" s="26" t="s">
        <v>669</v>
      </c>
      <c r="Z79" s="7">
        <v>3</v>
      </c>
      <c r="AA79" s="7">
        <v>16</v>
      </c>
      <c r="AB79" s="7" t="s">
        <v>649</v>
      </c>
      <c r="AC79" s="7"/>
      <c r="AD79" s="28" t="str">
        <f t="shared" si="1"/>
        <v>(208*'48'*198*'13,61/  14,27 / 20,79 / 22,23'*'0,015'***4*NULL*NULL*16*12*3)*</v>
      </c>
    </row>
    <row r="80" spans="1:30" ht="20.100000000000001" customHeight="1" x14ac:dyDescent="0.25">
      <c r="A80" s="3">
        <v>209</v>
      </c>
      <c r="B80" s="22" t="s">
        <v>463</v>
      </c>
      <c r="C80" s="22"/>
      <c r="D80" s="6">
        <v>29952</v>
      </c>
      <c r="E80" s="23">
        <v>1</v>
      </c>
      <c r="F80" s="7" t="s">
        <v>708</v>
      </c>
      <c r="G80" s="7">
        <v>17</v>
      </c>
      <c r="H80" s="7">
        <v>16</v>
      </c>
      <c r="I80" s="24">
        <v>48</v>
      </c>
      <c r="J80" s="25">
        <v>548.28499999999997</v>
      </c>
      <c r="K80" s="7" t="s">
        <v>695</v>
      </c>
      <c r="L80" s="7">
        <v>1.4999999999999999E-2</v>
      </c>
      <c r="M80" s="7"/>
      <c r="N80" s="7"/>
      <c r="O80" s="7" t="s">
        <v>635</v>
      </c>
      <c r="P80" s="7">
        <v>4</v>
      </c>
      <c r="Q80" s="7" t="s">
        <v>590</v>
      </c>
      <c r="R80" s="7">
        <v>14</v>
      </c>
      <c r="S80" s="7" t="s">
        <v>653</v>
      </c>
      <c r="T80" s="7">
        <v>17</v>
      </c>
      <c r="U80" s="7" t="s">
        <v>709</v>
      </c>
      <c r="V80" s="7">
        <v>19</v>
      </c>
      <c r="W80" s="26" t="s">
        <v>33</v>
      </c>
      <c r="X80" s="7">
        <v>8</v>
      </c>
      <c r="Y80" s="26" t="s">
        <v>710</v>
      </c>
      <c r="Z80" s="7">
        <v>2</v>
      </c>
      <c r="AA80" s="7">
        <v>16</v>
      </c>
      <c r="AB80" s="7" t="s">
        <v>636</v>
      </c>
      <c r="AC80" s="7"/>
      <c r="AD80" s="28" t="str">
        <f t="shared" si="1"/>
        <v>(209*'48'*548,285*'12,7 / 14,27 / 22,22'*'0,015'***4*14*17*19*8*2)*</v>
      </c>
    </row>
    <row r="81" spans="1:30" ht="20.100000000000001" customHeight="1" x14ac:dyDescent="0.25">
      <c r="A81" s="3">
        <v>210</v>
      </c>
      <c r="B81" s="22" t="s">
        <v>465</v>
      </c>
      <c r="C81" s="22"/>
      <c r="D81" s="6">
        <v>31778</v>
      </c>
      <c r="E81" s="23">
        <v>1</v>
      </c>
      <c r="F81" s="7" t="s">
        <v>708</v>
      </c>
      <c r="G81" s="7">
        <v>17</v>
      </c>
      <c r="H81" s="7">
        <v>16</v>
      </c>
      <c r="I81" s="24">
        <v>48</v>
      </c>
      <c r="J81" s="25">
        <v>548.28499999999997</v>
      </c>
      <c r="K81" s="7" t="s">
        <v>695</v>
      </c>
      <c r="L81" s="7">
        <v>1.4999999999999999E-2</v>
      </c>
      <c r="M81" s="7"/>
      <c r="N81" s="7"/>
      <c r="O81" s="7" t="s">
        <v>635</v>
      </c>
      <c r="P81" s="7">
        <v>4</v>
      </c>
      <c r="Q81" s="7" t="s">
        <v>590</v>
      </c>
      <c r="R81" s="7">
        <v>14</v>
      </c>
      <c r="S81" s="7" t="s">
        <v>653</v>
      </c>
      <c r="T81" s="7">
        <v>17</v>
      </c>
      <c r="U81" s="7" t="s">
        <v>709</v>
      </c>
      <c r="V81" s="7">
        <v>19</v>
      </c>
      <c r="W81" s="26" t="s">
        <v>33</v>
      </c>
      <c r="X81" s="7">
        <v>8</v>
      </c>
      <c r="Y81" s="26" t="s">
        <v>710</v>
      </c>
      <c r="Z81" s="7">
        <v>2</v>
      </c>
      <c r="AA81" s="7">
        <v>16</v>
      </c>
      <c r="AB81" s="7" t="s">
        <v>711</v>
      </c>
      <c r="AC81" s="7"/>
      <c r="AD81" s="28" t="str">
        <f t="shared" si="1"/>
        <v>(210*'48'*548,285*'12,7 / 14,27 / 22,22'*'0,015'***4*14*17*19*8*2)*</v>
      </c>
    </row>
    <row r="82" spans="1:30" ht="20.100000000000001" customHeight="1" x14ac:dyDescent="0.25">
      <c r="A82" s="3">
        <v>211</v>
      </c>
      <c r="B82" s="22" t="s">
        <v>468</v>
      </c>
      <c r="C82" s="22"/>
      <c r="D82" s="6">
        <v>39448</v>
      </c>
      <c r="E82" s="23">
        <v>1</v>
      </c>
      <c r="F82" s="7" t="s">
        <v>708</v>
      </c>
      <c r="G82" s="7">
        <v>17</v>
      </c>
      <c r="H82" s="7">
        <v>16</v>
      </c>
      <c r="I82" s="24">
        <v>48</v>
      </c>
      <c r="J82" s="25">
        <v>548.28499999999997</v>
      </c>
      <c r="K82" s="7" t="s">
        <v>695</v>
      </c>
      <c r="L82" s="7">
        <v>1.4999999999999999E-2</v>
      </c>
      <c r="M82" s="7"/>
      <c r="N82" s="7"/>
      <c r="O82" s="7" t="s">
        <v>635</v>
      </c>
      <c r="P82" s="7">
        <v>4</v>
      </c>
      <c r="Q82" s="7" t="s">
        <v>712</v>
      </c>
      <c r="R82" s="7">
        <v>11</v>
      </c>
      <c r="S82" s="7" t="s">
        <v>653</v>
      </c>
      <c r="T82" s="7">
        <v>17</v>
      </c>
      <c r="U82" s="7" t="s">
        <v>709</v>
      </c>
      <c r="V82" s="7">
        <v>19</v>
      </c>
      <c r="W82" s="26" t="s">
        <v>33</v>
      </c>
      <c r="X82" s="7">
        <v>8</v>
      </c>
      <c r="Y82" s="26" t="s">
        <v>710</v>
      </c>
      <c r="Z82" s="7">
        <v>2</v>
      </c>
      <c r="AA82" s="7">
        <v>16</v>
      </c>
      <c r="AB82" s="7" t="s">
        <v>713</v>
      </c>
      <c r="AC82" s="7"/>
      <c r="AD82" s="28" t="str">
        <f t="shared" si="1"/>
        <v>(211*'48'*548,285*'12,7 / 14,27 / 22,22'*'0,015'***4*11*17*19*8*2)*</v>
      </c>
    </row>
  </sheetData>
  <autoFilter ref="A1:Z8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02-03-01</vt:lpstr>
      <vt:lpstr>02-03-08</vt:lpstr>
      <vt:lpstr>02-03-09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2026-02-17T11:47:56Z</dcterms:created>
  <dcterms:modified xsi:type="dcterms:W3CDTF">2026-02-17T13:25:28Z</dcterms:modified>
</cp:coreProperties>
</file>