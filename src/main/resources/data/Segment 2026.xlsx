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ing\Workspace\Backend\HyFloAPI\src\main\resources\data\"/>
    </mc:Choice>
  </mc:AlternateContent>
  <xr:revisionPtr revIDLastSave="0" documentId="13_ncr:1_{8D66D51D-5898-4E58-9EB2-D1B448A4160B}" xr6:coauthVersionLast="47" xr6:coauthVersionMax="47" xr10:uidLastSave="{00000000-0000-0000-0000-000000000000}"/>
  <bookViews>
    <workbookView xWindow="-110" yWindow="-110" windowWidth="19420" windowHeight="10420" tabRatio="718" activeTab="7" xr2:uid="{00000000-000D-0000-FFFF-FFFF00000000}"/>
  </bookViews>
  <sheets>
    <sheet name="02-03-01" sheetId="1" r:id="rId1"/>
    <sheet name="02-03-08" sheetId="2" r:id="rId2"/>
    <sheet name="02-03-09" sheetId="3" r:id="rId3"/>
    <sheet name="02-03-PS" sheetId="5" r:id="rId4"/>
    <sheet name="02-03-PC" sheetId="8" r:id="rId5"/>
    <sheet name="02-03-PU" sheetId="10" r:id="rId6"/>
    <sheet name="02-03-PI" sheetId="7" r:id="rId7"/>
    <sheet name="02-03-PP" sheetId="11" r:id="rId8"/>
    <sheet name="02-03-PRV" sheetId="9" r:id="rId9"/>
    <sheet name="Feuil1" sheetId="6" r:id="rId10"/>
  </sheets>
  <definedNames>
    <definedName name="_xlnm._FilterDatabase" localSheetId="0" hidden="1">'02-03-01'!$A$2:$H$179</definedName>
    <definedName name="_xlnm._FilterDatabase" localSheetId="1" hidden="1">'02-03-08'!$A$1:$AC$59</definedName>
    <definedName name="_xlnm._FilterDatabase" localSheetId="2" hidden="1">'02-03-09'!$A$1:$Z$82</definedName>
    <definedName name="_xlnm._FilterDatabase" localSheetId="4" hidden="1">'02-03-PC'!$A$1:$N$238</definedName>
    <definedName name="_xlnm._FilterDatabase" localSheetId="6" hidden="1">'02-03-PI'!$A$1:$AZ$236</definedName>
    <definedName name="_xlnm._FilterDatabase" localSheetId="7" hidden="1">'02-03-PP'!$A$1:$AZ$236</definedName>
    <definedName name="_xlnm._FilterDatabase" localSheetId="8" hidden="1">'02-03-PRV'!$A$1:$AZ$236</definedName>
    <definedName name="_xlnm._FilterDatabase" localSheetId="3" hidden="1">'02-03-PS'!$A$1:$N$238</definedName>
    <definedName name="_xlnm._FilterDatabase" localSheetId="5" hidden="1">'02-03-PU'!$A$1:$N$238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37" i="10" l="1"/>
  <c r="N236" i="10"/>
  <c r="N235" i="10"/>
  <c r="N234" i="10"/>
  <c r="N233" i="10"/>
  <c r="N232" i="10"/>
  <c r="N231" i="10"/>
  <c r="N230" i="10"/>
  <c r="N229" i="10"/>
  <c r="N228" i="10"/>
  <c r="N227" i="10"/>
  <c r="N226" i="10"/>
  <c r="N225" i="10"/>
  <c r="N224" i="10"/>
  <c r="N223" i="10"/>
  <c r="N222" i="10"/>
  <c r="N221" i="10"/>
  <c r="N220" i="10"/>
  <c r="N219" i="10"/>
  <c r="N218" i="10"/>
  <c r="N217" i="10"/>
  <c r="N216" i="10"/>
  <c r="N215" i="10"/>
  <c r="N214" i="10"/>
  <c r="N213" i="10"/>
  <c r="N212" i="10"/>
  <c r="N211" i="10"/>
  <c r="N210" i="10"/>
  <c r="N209" i="10"/>
  <c r="N208" i="10"/>
  <c r="N207" i="10"/>
  <c r="N206" i="10"/>
  <c r="N205" i="10"/>
  <c r="N204" i="10"/>
  <c r="N203" i="10"/>
  <c r="N202" i="10"/>
  <c r="N201" i="10"/>
  <c r="N200" i="10"/>
  <c r="N199" i="10"/>
  <c r="N198" i="10"/>
  <c r="N197" i="10"/>
  <c r="N196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82" i="10"/>
  <c r="N181" i="10"/>
  <c r="N180" i="10"/>
  <c r="N179" i="10"/>
  <c r="N178" i="10"/>
  <c r="N177" i="10"/>
  <c r="N176" i="10"/>
  <c r="N175" i="10"/>
  <c r="N174" i="10"/>
  <c r="N173" i="10"/>
  <c r="N172" i="10"/>
  <c r="N171" i="10"/>
  <c r="N170" i="10"/>
  <c r="N169" i="10"/>
  <c r="N168" i="10"/>
  <c r="N167" i="10"/>
  <c r="N166" i="10"/>
  <c r="N165" i="10"/>
  <c r="N164" i="10"/>
  <c r="N163" i="10"/>
  <c r="N162" i="10"/>
  <c r="N161" i="10"/>
  <c r="N160" i="10"/>
  <c r="N159" i="10"/>
  <c r="N158" i="10"/>
  <c r="N157" i="10"/>
  <c r="N156" i="10"/>
  <c r="N155" i="10"/>
  <c r="N154" i="10"/>
  <c r="N153" i="10"/>
  <c r="N152" i="10"/>
  <c r="N151" i="10"/>
  <c r="N150" i="10"/>
  <c r="N149" i="10"/>
  <c r="N148" i="10"/>
  <c r="N147" i="10"/>
  <c r="N146" i="10"/>
  <c r="N145" i="10"/>
  <c r="N144" i="10"/>
  <c r="N143" i="10"/>
  <c r="N142" i="10"/>
  <c r="N141" i="10"/>
  <c r="N140" i="10"/>
  <c r="N139" i="10"/>
  <c r="N138" i="10"/>
  <c r="N137" i="10"/>
  <c r="N136" i="10"/>
  <c r="N135" i="10"/>
  <c r="N134" i="10"/>
  <c r="N133" i="10"/>
  <c r="N132" i="10"/>
  <c r="N131" i="10"/>
  <c r="N130" i="10"/>
  <c r="N129" i="10"/>
  <c r="N128" i="10"/>
  <c r="N127" i="10"/>
  <c r="N126" i="10"/>
  <c r="N125" i="10"/>
  <c r="N124" i="10"/>
  <c r="N123" i="10"/>
  <c r="N122" i="10"/>
  <c r="N121" i="10"/>
  <c r="N120" i="10"/>
  <c r="N119" i="10"/>
  <c r="N118" i="10"/>
  <c r="N117" i="10"/>
  <c r="N116" i="10"/>
  <c r="N115" i="10"/>
  <c r="N114" i="10"/>
  <c r="N113" i="10"/>
  <c r="N112" i="10"/>
  <c r="N111" i="10"/>
  <c r="N110" i="10"/>
  <c r="N109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N19" i="10"/>
  <c r="N18" i="10"/>
  <c r="N17" i="10"/>
  <c r="N16" i="10"/>
  <c r="N15" i="10"/>
  <c r="N14" i="10"/>
  <c r="N13" i="10"/>
  <c r="N12" i="10"/>
  <c r="N11" i="10"/>
  <c r="N10" i="10"/>
  <c r="N9" i="10"/>
  <c r="N8" i="10"/>
  <c r="N7" i="10"/>
  <c r="N6" i="10"/>
  <c r="N5" i="10"/>
  <c r="N4" i="10"/>
  <c r="N3" i="10"/>
  <c r="L3" i="10"/>
  <c r="K3" i="10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36" i="8"/>
  <c r="N135" i="8"/>
  <c r="N134" i="8"/>
  <c r="N133" i="8"/>
  <c r="N132" i="8"/>
  <c r="N131" i="8"/>
  <c r="N130" i="8"/>
  <c r="N129" i="8"/>
  <c r="N128" i="8"/>
  <c r="N127" i="8"/>
  <c r="N126" i="8"/>
  <c r="N125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79" i="8"/>
  <c r="N78" i="8"/>
  <c r="N77" i="8"/>
  <c r="N76" i="8"/>
  <c r="N75" i="8"/>
  <c r="N74" i="8"/>
  <c r="N73" i="8"/>
  <c r="N72" i="8"/>
  <c r="N71" i="8"/>
  <c r="N70" i="8"/>
  <c r="N69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L3" i="8"/>
  <c r="K3" i="8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B143" i="5"/>
  <c r="C143" i="5"/>
  <c r="B142" i="5"/>
  <c r="C142" i="5"/>
  <c r="B134" i="5"/>
  <c r="C134" i="5"/>
  <c r="B135" i="5"/>
  <c r="C135" i="5"/>
  <c r="B136" i="5"/>
  <c r="C136" i="5"/>
  <c r="N136" i="5" s="1"/>
  <c r="B137" i="5"/>
  <c r="N137" i="5" s="1"/>
  <c r="C137" i="5"/>
  <c r="B138" i="5"/>
  <c r="N138" i="5" s="1"/>
  <c r="C138" i="5"/>
  <c r="B139" i="5"/>
  <c r="N139" i="5" s="1"/>
  <c r="C139" i="5"/>
  <c r="B140" i="5"/>
  <c r="C140" i="5"/>
  <c r="B141" i="5"/>
  <c r="N141" i="5" s="1"/>
  <c r="C141" i="5"/>
  <c r="B133" i="5"/>
  <c r="C133" i="5"/>
  <c r="B132" i="5"/>
  <c r="N132" i="5" s="1"/>
  <c r="C132" i="5"/>
  <c r="K128" i="5"/>
  <c r="L128" i="5"/>
  <c r="K129" i="5"/>
  <c r="L129" i="5"/>
  <c r="K130" i="5"/>
  <c r="L130" i="5"/>
  <c r="K131" i="5"/>
  <c r="L131" i="5"/>
  <c r="B131" i="5"/>
  <c r="C131" i="5"/>
  <c r="B130" i="5"/>
  <c r="N130" i="5" s="1"/>
  <c r="C130" i="5"/>
  <c r="B129" i="5"/>
  <c r="C129" i="5"/>
  <c r="N129" i="5" s="1"/>
  <c r="B128" i="5"/>
  <c r="N128" i="5" s="1"/>
  <c r="C128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B122" i="5"/>
  <c r="C122" i="5"/>
  <c r="B123" i="5"/>
  <c r="C123" i="5"/>
  <c r="N123" i="5" s="1"/>
  <c r="B124" i="5"/>
  <c r="C124" i="5"/>
  <c r="B125" i="5"/>
  <c r="C125" i="5"/>
  <c r="B126" i="5"/>
  <c r="C126" i="5"/>
  <c r="B127" i="5"/>
  <c r="C127" i="5"/>
  <c r="N125" i="5"/>
  <c r="N126" i="5"/>
  <c r="N127" i="5"/>
  <c r="B121" i="5"/>
  <c r="N121" i="5" s="1"/>
  <c r="C121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B114" i="5"/>
  <c r="C114" i="5"/>
  <c r="B115" i="5"/>
  <c r="C115" i="5"/>
  <c r="B116" i="5"/>
  <c r="C116" i="5"/>
  <c r="B117" i="5"/>
  <c r="N117" i="5" s="1"/>
  <c r="C117" i="5"/>
  <c r="B118" i="5"/>
  <c r="N118" i="5" s="1"/>
  <c r="C118" i="5"/>
  <c r="B119" i="5"/>
  <c r="N119" i="5" s="1"/>
  <c r="C119" i="5"/>
  <c r="B120" i="5"/>
  <c r="C120" i="5"/>
  <c r="K97" i="5"/>
  <c r="L97" i="5"/>
  <c r="N97" i="5"/>
  <c r="K98" i="5"/>
  <c r="L98" i="5"/>
  <c r="N98" i="5"/>
  <c r="K99" i="5"/>
  <c r="L99" i="5"/>
  <c r="N99" i="5"/>
  <c r="K100" i="5"/>
  <c r="L100" i="5"/>
  <c r="N100" i="5"/>
  <c r="K101" i="5"/>
  <c r="L101" i="5"/>
  <c r="N101" i="5"/>
  <c r="K102" i="5"/>
  <c r="L102" i="5"/>
  <c r="N102" i="5"/>
  <c r="K103" i="5"/>
  <c r="L103" i="5"/>
  <c r="N103" i="5"/>
  <c r="K104" i="5"/>
  <c r="L104" i="5"/>
  <c r="N104" i="5"/>
  <c r="K105" i="5"/>
  <c r="L105" i="5"/>
  <c r="N105" i="5"/>
  <c r="K106" i="5"/>
  <c r="L106" i="5"/>
  <c r="N106" i="5"/>
  <c r="K107" i="5"/>
  <c r="L107" i="5"/>
  <c r="N107" i="5"/>
  <c r="K108" i="5"/>
  <c r="L108" i="5"/>
  <c r="N108" i="5"/>
  <c r="K109" i="5"/>
  <c r="L109" i="5"/>
  <c r="N109" i="5"/>
  <c r="K110" i="5"/>
  <c r="L110" i="5"/>
  <c r="N110" i="5"/>
  <c r="K111" i="5"/>
  <c r="L111" i="5"/>
  <c r="N111" i="5"/>
  <c r="K112" i="5"/>
  <c r="L112" i="5"/>
  <c r="N112" i="5"/>
  <c r="K113" i="5"/>
  <c r="L113" i="5"/>
  <c r="N113" i="5"/>
  <c r="B92" i="5"/>
  <c r="C92" i="5"/>
  <c r="B93" i="5"/>
  <c r="N93" i="5" s="1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K77" i="5"/>
  <c r="L77" i="5"/>
  <c r="N77" i="5"/>
  <c r="K78" i="5"/>
  <c r="L78" i="5"/>
  <c r="N78" i="5"/>
  <c r="K79" i="5"/>
  <c r="L79" i="5"/>
  <c r="N79" i="5"/>
  <c r="K80" i="5"/>
  <c r="L80" i="5"/>
  <c r="N80" i="5"/>
  <c r="K81" i="5"/>
  <c r="L81" i="5"/>
  <c r="N81" i="5"/>
  <c r="K82" i="5"/>
  <c r="L82" i="5"/>
  <c r="N82" i="5"/>
  <c r="K83" i="5"/>
  <c r="L83" i="5"/>
  <c r="N83" i="5"/>
  <c r="K84" i="5"/>
  <c r="L84" i="5"/>
  <c r="N84" i="5"/>
  <c r="K85" i="5"/>
  <c r="L85" i="5"/>
  <c r="N85" i="5"/>
  <c r="K86" i="5"/>
  <c r="L86" i="5"/>
  <c r="N86" i="5"/>
  <c r="K87" i="5"/>
  <c r="L87" i="5"/>
  <c r="N87" i="5"/>
  <c r="K88" i="5"/>
  <c r="L88" i="5"/>
  <c r="N88" i="5"/>
  <c r="K89" i="5"/>
  <c r="L89" i="5"/>
  <c r="N89" i="5"/>
  <c r="K90" i="5"/>
  <c r="L90" i="5"/>
  <c r="N90" i="5"/>
  <c r="K91" i="5"/>
  <c r="L91" i="5"/>
  <c r="N91" i="5"/>
  <c r="K92" i="5"/>
  <c r="L92" i="5"/>
  <c r="N92" i="5"/>
  <c r="K93" i="5"/>
  <c r="L93" i="5"/>
  <c r="K94" i="5"/>
  <c r="L94" i="5"/>
  <c r="K95" i="5"/>
  <c r="L95" i="5"/>
  <c r="K96" i="5"/>
  <c r="L96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78" i="5"/>
  <c r="C78" i="5"/>
  <c r="B79" i="5"/>
  <c r="C79" i="5"/>
  <c r="B81" i="5"/>
  <c r="C81" i="5"/>
  <c r="B80" i="5"/>
  <c r="C80" i="5"/>
  <c r="B82" i="5"/>
  <c r="C82" i="5"/>
  <c r="B77" i="5"/>
  <c r="C77" i="5"/>
  <c r="K71" i="5"/>
  <c r="L71" i="5"/>
  <c r="K72" i="5"/>
  <c r="L72" i="5"/>
  <c r="K73" i="5"/>
  <c r="L73" i="5"/>
  <c r="K74" i="5"/>
  <c r="L74" i="5"/>
  <c r="K75" i="5"/>
  <c r="L75" i="5"/>
  <c r="K76" i="5"/>
  <c r="L76" i="5"/>
  <c r="B72" i="5"/>
  <c r="C72" i="5"/>
  <c r="B73" i="5"/>
  <c r="N73" i="5" s="1"/>
  <c r="C73" i="5"/>
  <c r="B74" i="5"/>
  <c r="C74" i="5"/>
  <c r="B75" i="5"/>
  <c r="C75" i="5"/>
  <c r="B76" i="5"/>
  <c r="C76" i="5"/>
  <c r="B71" i="5"/>
  <c r="C71" i="5"/>
  <c r="N114" i="5"/>
  <c r="N115" i="5"/>
  <c r="N116" i="5"/>
  <c r="N120" i="5"/>
  <c r="N122" i="5"/>
  <c r="N124" i="5"/>
  <c r="N131" i="5"/>
  <c r="N133" i="5"/>
  <c r="N134" i="5"/>
  <c r="N135" i="5"/>
  <c r="N140" i="5"/>
  <c r="N142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K68" i="5"/>
  <c r="L68" i="5"/>
  <c r="B68" i="5"/>
  <c r="C68" i="5"/>
  <c r="B65" i="5"/>
  <c r="C65" i="5"/>
  <c r="K65" i="5"/>
  <c r="L65" i="5"/>
  <c r="K59" i="5"/>
  <c r="L59" i="5"/>
  <c r="K60" i="5"/>
  <c r="L60" i="5"/>
  <c r="C59" i="5"/>
  <c r="C60" i="5"/>
  <c r="B59" i="5"/>
  <c r="B60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61" i="5"/>
  <c r="C61" i="5"/>
  <c r="B62" i="5"/>
  <c r="C62" i="5"/>
  <c r="B63" i="5"/>
  <c r="C63" i="5"/>
  <c r="B64" i="5"/>
  <c r="C64" i="5"/>
  <c r="B66" i="5"/>
  <c r="C66" i="5"/>
  <c r="B67" i="5"/>
  <c r="C67" i="5"/>
  <c r="B69" i="5"/>
  <c r="C69" i="5"/>
  <c r="B70" i="5"/>
  <c r="C70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61" i="5"/>
  <c r="L61" i="5"/>
  <c r="K62" i="5"/>
  <c r="L62" i="5"/>
  <c r="K63" i="5"/>
  <c r="L63" i="5"/>
  <c r="K64" i="5"/>
  <c r="L64" i="5"/>
  <c r="K66" i="5"/>
  <c r="L66" i="5"/>
  <c r="K67" i="5"/>
  <c r="L67" i="5"/>
  <c r="K69" i="5"/>
  <c r="L69" i="5"/>
  <c r="K70" i="5"/>
  <c r="L70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3" i="5"/>
  <c r="B49" i="5"/>
  <c r="B4" i="5"/>
  <c r="B5" i="5"/>
  <c r="B6" i="5"/>
  <c r="B7" i="5"/>
  <c r="B8" i="5"/>
  <c r="B9" i="5"/>
  <c r="B10" i="5"/>
  <c r="B11" i="5"/>
  <c r="B12" i="5"/>
  <c r="B13" i="5"/>
  <c r="B14" i="5"/>
  <c r="B15" i="5"/>
  <c r="N15" i="5" s="1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L3" i="5"/>
  <c r="K3" i="5"/>
  <c r="N143" i="5" l="1"/>
  <c r="N95" i="5"/>
  <c r="N94" i="5"/>
  <c r="N96" i="5"/>
  <c r="N76" i="5"/>
  <c r="N67" i="5"/>
  <c r="N74" i="5"/>
  <c r="N75" i="5"/>
  <c r="N70" i="5"/>
  <c r="N62" i="5"/>
  <c r="N72" i="5"/>
  <c r="N69" i="5"/>
  <c r="N71" i="5"/>
  <c r="N60" i="5"/>
  <c r="N68" i="5"/>
  <c r="N63" i="5"/>
  <c r="N65" i="5"/>
  <c r="N61" i="5"/>
  <c r="N64" i="5"/>
  <c r="N66" i="5"/>
  <c r="N59" i="5"/>
  <c r="N237" i="5"/>
  <c r="N236" i="5"/>
  <c r="N235" i="5"/>
  <c r="N234" i="5"/>
  <c r="N233" i="5"/>
  <c r="N232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4" i="5"/>
  <c r="N13" i="5"/>
  <c r="N12" i="5"/>
  <c r="N11" i="5"/>
  <c r="N10" i="5"/>
  <c r="N9" i="5"/>
  <c r="N8" i="5"/>
  <c r="N7" i="5"/>
  <c r="N6" i="5"/>
  <c r="N5" i="5"/>
  <c r="N4" i="5"/>
  <c r="N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<sst xmlns="http://schemas.openxmlformats.org/spreadsheetml/2006/main" count="2578" uniqueCount="1040">
  <si>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</si>
  <si>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</si>
  <si>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</si>
  <si>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</si>
  <si>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</si>
  <si>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</si>
  <si>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</si>
  <si>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</si>
  <si>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</si>
  <si>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</si>
  <si>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</si>
  <si>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</si>
  <si>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</si>
  <si>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</si>
  <si>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</si>
  <si>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</si>
  <si>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</si>
  <si>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</si>
  <si>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</si>
  <si>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</si>
  <si>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</si>
  <si>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</si>
  <si>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</si>
  <si>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</si>
  <si>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</si>
  <si>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</si>
  <si>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</si>
  <si>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</si>
  <si>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Terminal d\'Exportation Maritime Export port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</si>
  <si>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</si>
  <si>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</si>
  <si>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</si>
  <si>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</si>
  <si>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</si>
  <si>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</si>
  <si>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</si>
  <si>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</si>
  <si>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</si>
  <si>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</si>
  <si>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</si>
  <si>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</si>
  <si>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</si>
  <si>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</si>
  <si>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</si>
  <si>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</si>
  <si>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</si>
  <si>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</si>
  <si>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</si>
  <si>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</si>
  <si>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</si>
  <si>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</si>
  <si>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</si>
  <si>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</si>
  <si>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</si>
  <si>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</si>
  <si>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</si>
  <si>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</si>
  <si>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</si>
  <si>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</si>
  <si>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</si>
  <si>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</si>
  <si>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</si>
  <si>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</si>
  <si>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</si>
  <si>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</si>
  <si>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</si>
  <si>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</si>
  <si>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</si>
  <si>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Terminal de Pipeline Bord Menaiel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</si>
  <si>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</si>
  <si>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</si>
  <si>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</si>
  <si>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</si>
  <si>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</si>
  <si>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</si>
  <si>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</si>
  <si>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</si>
  <si>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</si>
  <si>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</si>
  <si>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</si>
  <si>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</si>
  <si>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</si>
  <si>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</si>
  <si>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</si>
  <si>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</si>
  <si>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</si>
  <si>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</si>
  <si>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</si>
  <si>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</si>
  <si>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SP1-OZ1/OZ2</t>
  </si>
  <si>
    <t>Station de Pompage SP1-OZ1/OZ2</t>
  </si>
  <si>
    <t>SP1-OZ2</t>
  </si>
  <si>
    <t>Station de Pompage SP1-OZ2</t>
  </si>
  <si>
    <t>SP2-OZ1/OZ2</t>
  </si>
  <si>
    <t>Station de Pompage SP2-OZ1/OZ2</t>
  </si>
  <si>
    <t>SP2-OZ2</t>
  </si>
  <si>
    <t>Station de Pompage SP2-OZ2</t>
  </si>
  <si>
    <t>SP3-OZ1/OZ2</t>
  </si>
  <si>
    <t>SP3-OZ2</t>
  </si>
  <si>
    <t>SP4-OZ1/OZ2</t>
  </si>
  <si>
    <t>SP4-OZ2</t>
  </si>
  <si>
    <t>SP5-OZ1/OZ2</t>
  </si>
  <si>
    <t>SP5-OZ2</t>
  </si>
  <si>
    <t>SP6-OZ1/OZ2</t>
  </si>
  <si>
    <t>SP6-OZ2</t>
  </si>
  <si>
    <t>PRS-OZ1/OZ2</t>
  </si>
  <si>
    <t>Station de Pompage PRS-OZ1/OZ2</t>
  </si>
  <si>
    <t>PRS-OZ2</t>
  </si>
  <si>
    <t>Station de Régulation PRS-OZ2</t>
  </si>
  <si>
    <t>SP1-OK1</t>
  </si>
  <si>
    <t>Station de Pompage SP1-OK1</t>
  </si>
  <si>
    <t>SP1-OK1-NEW</t>
  </si>
  <si>
    <t>Station de Pompage SP1-OK1-NEW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</si>
  <si>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</si>
  <si>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</si>
  <si>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</si>
  <si>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</si>
  <si>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</si>
  <si>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</si>
  <si>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</si>
  <si>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</si>
  <si>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</si>
  <si>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</si>
  <si>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</si>
  <si>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</si>
  <si>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</si>
  <si>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</si>
  <si>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</si>
  <si>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</si>
  <si>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</si>
  <si>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</si>
  <si>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</si>
  <si>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</si>
  <si>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</si>
  <si>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</si>
  <si>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</si>
  <si>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</si>
  <si>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</si>
  <si>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</si>
  <si>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</si>
  <si>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</si>
  <si>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</si>
  <si>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</si>
  <si>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</si>
  <si>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</si>
  <si>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</si>
  <si>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</si>
  <si>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</si>
  <si>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</si>
  <si>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</si>
  <si>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</si>
  <si>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</si>
  <si>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</si>
  <si>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</si>
  <si>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</si>
  <si>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</si>
  <si>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</si>
  <si>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</si>
  <si>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</si>
  <si>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</si>
  <si>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</si>
  <si>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</si>
  <si>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</si>
  <si>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</si>
  <si>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</si>
  <si>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</si>
  <si>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</si>
  <si>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</si>
  <si>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</si>
  <si>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</si>
  <si>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</si>
  <si>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</si>
  <si>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</si>
  <si>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</si>
  <si>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</si>
  <si>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</si>
  <si>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</si>
  <si>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</si>
  <si>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</si>
  <si>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</si>
  <si>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</si>
  <si>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</si>
  <si>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</si>
  <si>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</si>
  <si>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</si>
  <si>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</si>
  <si>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</si>
  <si>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</si>
  <si>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</si>
  <si>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</si>
  <si>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</si>
  <si>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</si>
  <si>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</si>
  <si>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</si>
  <si>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</si>
  <si>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</si>
  <si>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</si>
  <si>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</si>
  <si>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</si>
  <si>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</si>
  <si>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</si>
  <si>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</si>
  <si>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</si>
  <si>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</si>
  <si>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</si>
  <si>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</si>
  <si>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</si>
  <si>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</si>
  <si>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</si>
  <si>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</si>
  <si>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</si>
  <si>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</si>
  <si>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</si>
  <si>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</si>
  <si>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</si>
  <si>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</si>
  <si>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</si>
  <si>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</si>
  <si>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</si>
  <si>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</si>
  <si>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</si>
  <si>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</si>
  <si>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</si>
  <si>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</si>
  <si>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</si>
  <si>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</si>
  <si>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</si>
  <si>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</si>
  <si>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</si>
  <si>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</si>
  <si>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</si>
  <si>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</si>
  <si>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</si>
  <si>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</si>
  <si>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</si>
  <si>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</si>
  <si>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</si>
  <si>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</si>
  <si>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S01-GO2</t>
  </si>
  <si>
    <t>Station de Compression S01-GO2</t>
  </si>
  <si>
    <t>S01-GG1</t>
  </si>
  <si>
    <t>Station de Compression S01-GG1</t>
  </si>
  <si>
    <t>S01-GR5</t>
  </si>
  <si>
    <t>Station de Compression S01-GR5</t>
  </si>
  <si>
    <t>S01-GR7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</si>
  <si>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</si>
  <si>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</si>
  <si>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</si>
  <si>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</si>
  <si>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</si>
  <si>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</si>
  <si>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</si>
  <si>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</si>
  <si>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</si>
  <si>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</si>
  <si>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</si>
  <si>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</si>
  <si>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</si>
  <si>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</si>
  <si>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</si>
  <si>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</si>
  <si>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</si>
  <si>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</si>
  <si>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</si>
  <si>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</si>
  <si>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</si>
  <si>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</si>
  <si>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</si>
  <si>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</si>
  <si>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</si>
  <si>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</si>
  <si>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</si>
  <si>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</si>
  <si>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</si>
  <si>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</si>
  <si>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</si>
  <si>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</si>
  <si>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</si>
  <si>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</si>
  <si>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</si>
  <si>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</si>
  <si>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</si>
  <si>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</si>
  <si>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</si>
  <si>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</si>
  <si>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</si>
  <si>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</si>
  <si>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</si>
  <si>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</si>
  <si>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</si>
  <si>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</si>
  <si>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</si>
  <si>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</si>
  <si>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</si>
  <si>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</si>
  <si>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</si>
  <si>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</si>
  <si>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</si>
  <si>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</si>
  <si>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</si>
  <si>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</si>
  <si>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</si>
  <si>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</si>
  <si>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</si>
  <si>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</si>
  <si>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</si>
  <si>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</si>
  <si>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</si>
  <si>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</si>
  <si>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</si>
  <si>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</si>
  <si>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</si>
  <si>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</si>
  <si>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</si>
  <si>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</si>
  <si>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</si>
  <si>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</si>
  <si>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</si>
  <si>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</si>
  <si>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</si>
  <si>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</si>
  <si>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</si>
  <si>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</si>
  <si>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</si>
  <si>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</si>
  <si>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</si>
  <si>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</si>
  <si>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</si>
  <si>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</si>
  <si>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</si>
  <si>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</si>
  <si>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</si>
  <si>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</si>
  <si>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</si>
  <si>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</si>
  <si>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</si>
  <si>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</si>
  <si>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</si>
  <si>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</si>
  <si>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</si>
  <si>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</si>
  <si>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</si>
  <si>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</si>
  <si>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</si>
  <si>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</si>
  <si>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</si>
  <si>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</si>
  <si>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</si>
  <si>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</si>
  <si>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</si>
  <si>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</si>
  <si>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</si>
  <si>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</si>
  <si>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</si>
  <si>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</si>
  <si>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</si>
  <si>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</si>
  <si>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</si>
  <si>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</si>
  <si>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</si>
  <si>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</si>
  <si>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</si>
  <si>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</si>
  <si>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</si>
  <si>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</si>
  <si>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</si>
  <si>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</si>
  <si>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</si>
  <si>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</si>
  <si>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</si>
  <si>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</si>
  <si>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</si>
  <si>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</si>
  <si>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</si>
  <si>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</si>
  <si>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</si>
  <si>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</si>
  <si>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</si>
  <si>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</si>
  <si>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</si>
  <si>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</si>
  <si>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</si>
  <si>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</si>
  <si>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</si>
  <si>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</si>
  <si>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</si>
  <si>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</si>
  <si>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</si>
  <si>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</si>
  <si>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</si>
  <si>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</si>
  <si>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</si>
  <si>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</si>
  <si>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</si>
  <si>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</si>
  <si>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</si>
  <si>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</si>
  <si>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</si>
  <si>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</si>
  <si>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</si>
  <si>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</si>
  <si>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</si>
  <si>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</si>
  <si>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</si>
  <si>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</si>
  <si>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</si>
  <si>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</si>
  <si>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</si>
  <si>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</si>
  <si>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</si>
  <si>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</si>
  <si>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</si>
  <si>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</si>
  <si>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</si>
  <si>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</si>
  <si>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</si>
  <si>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</si>
  <si>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</si>
  <si>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</si>
  <si>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</si>
  <si>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</si>
  <si>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</si>
  <si>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</si>
  <si>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</si>
  <si>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</si>
  <si>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</si>
  <si>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</si>
  <si>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</si>
  <si>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</si>
  <si>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</si>
  <si>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</si>
  <si>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</si>
  <si>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</si>
  <si>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</si>
  <si>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</si>
  <si>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</si>
  <si>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</si>
  <si>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</si>
  <si>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</si>
  <si>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</si>
  <si>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</si>
  <si>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</si>
  <si>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</si>
  <si>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</si>
  <si>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</si>
  <si>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</si>
  <si>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</si>
  <si>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</si>
  <si>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</si>
  <si>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</si>
  <si>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</si>
  <si>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</si>
  <si>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</si>
  <si>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</si>
  <si>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</si>
  <si>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</si>
  <si>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</si>
  <si>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</si>
  <si>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</si>
  <si>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</si>
  <si>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</si>
  <si>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</si>
  <si>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</si>
  <si>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</si>
  <si>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</si>
  <si>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</si>
  <si>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</si>
  <si>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</si>
  <si>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</si>
  <si>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</si>
  <si>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</si>
  <si>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</si>
  <si>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</si>
  <si>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</si>
  <si>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</si>
  <si>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</si>
  <si>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</si>
  <si>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</si>
  <si>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</si>
  <si>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</si>
  <si>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</si>
  <si>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</si>
  <si>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</si>
  <si>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</si>
  <si>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</si>
  <si>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</si>
  <si>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</si>
  <si>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</si>
  <si>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</si>
  <si>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</si>
  <si>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</si>
  <si>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</si>
  <si>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</si>
  <si>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</si>
  <si>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</si>
  <si>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</si>
  <si>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</si>
  <si>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</si>
  <si>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</si>
  <si>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</si>
  <si>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</si>
  <si>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</si>
  <si>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</si>
  <si>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</si>
  <si>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</si>
  <si>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</si>
  <si>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</si>
  <si>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</si>
  <si>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</si>
  <si>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</si>
  <si>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</si>
  <si>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</si>
  <si>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</si>
  <si>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</si>
  <si>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</si>
  <si>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</si>
  <si>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</si>
  <si>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</si>
  <si>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</si>
  <si>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</si>
  <si>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</si>
  <si>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</si>
  <si>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</si>
  <si>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</si>
  <si>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</si>
  <si>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</si>
  <si>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</si>
  <si>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</si>
  <si>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</si>
  <si>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</si>
  <si>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</si>
  <si>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</si>
  <si>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</si>
  <si>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</si>
  <si>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</si>
  <si>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</si>
  <si>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</si>
  <si>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</si>
  <si>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</si>
  <si>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</si>
  <si>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</si>
  <si>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</si>
  <si>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</si>
  <si>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</si>
  <si>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</si>
  <si>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</si>
  <si>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</si>
  <si>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</si>
  <si>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</si>
  <si>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</si>
  <si>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</si>
  <si>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</si>
  <si>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</si>
  <si>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</si>
  <si>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</si>
  <si>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</si>
  <si>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</si>
  <si>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</si>
  <si>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</si>
  <si>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</si>
  <si>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</si>
  <si>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</si>
  <si>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</si>
  <si>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</si>
  <si>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</si>
  <si>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</si>
  <si>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</si>
  <si>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</si>
  <si>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</si>
  <si>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</si>
  <si>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</si>
  <si>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</si>
  <si>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</si>
  <si>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</si>
  <si>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</si>
  <si>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</si>
  <si>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</si>
  <si>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</si>
  <si>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</si>
  <si>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</si>
  <si>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</si>
  <si>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</si>
  <si>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</si>
  <si>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</si>
  <si>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</si>
  <si>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</si>
  <si>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</si>
  <si>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</si>
  <si>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</si>
  <si>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</si>
  <si>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</si>
  <si>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</si>
  <si>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</si>
  <si>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</si>
  <si>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</si>
  <si>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</si>
  <si>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</si>
  <si>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</si>
  <si>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</si>
  <si>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</si>
  <si>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</si>
  <si>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</si>
  <si>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</si>
  <si>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</si>
  <si>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</si>
  <si>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</si>
  <si>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</si>
  <si>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</si>
  <si>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</si>
  <si>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</si>
  <si>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</si>
  <si>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</si>
  <si>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</si>
  <si>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</si>
  <si>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</si>
  <si>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</si>
  <si>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</si>
  <si>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</si>
  <si>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</si>
  <si>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</si>
  <si>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</si>
  <si>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</si>
  <si>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</si>
  <si>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</si>
  <si>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</si>
  <si>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</si>
  <si>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</si>
  <si>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</si>
  <si>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</si>
  <si>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</si>
  <si>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</si>
  <si>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</si>
  <si>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</si>
  <si>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</si>
  <si>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</si>
  <si>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</si>
  <si>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</si>
  <si>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</si>
  <si>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</si>
  <si>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</si>
  <si>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</si>
  <si>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</si>
  <si>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</si>
  <si>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</si>
  <si>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</si>
  <si>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</si>
  <si>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</si>
  <si>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</si>
  <si>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</si>
  <si>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</si>
  <si>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</si>
  <si>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</si>
  <si>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</si>
  <si>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</si>
  <si>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</si>
  <si>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</si>
  <si>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</si>
  <si>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</si>
  <si>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</si>
  <si>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</si>
  <si>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</si>
  <si>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</si>
  <si>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</si>
  <si>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</si>
  <si>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</si>
  <si>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</si>
  <si>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</si>
  <si>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</si>
  <si>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</si>
  <si>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</si>
  <si>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</si>
  <si>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</si>
  <si>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</si>
  <si>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</si>
  <si>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</si>
  <si>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</si>
  <si>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</si>
  <si>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</si>
  <si>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</si>
  <si>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</si>
  <si>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</si>
  <si>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</si>
  <si>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</si>
  <si>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</si>
  <si>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</si>
  <si>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</si>
  <si>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</si>
  <si>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</si>
  <si>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</si>
  <si>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</si>
  <si>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</si>
  <si>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</si>
  <si>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</si>
  <si>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</si>
  <si>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</si>
  <si>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</si>
  <si>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</si>
  <si>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</si>
  <si>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</si>
  <si>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</si>
  <si>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</si>
  <si>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</si>
  <si>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</si>
  <si>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</si>
  <si>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</si>
  <si>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</si>
  <si>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</si>
  <si>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</si>
  <si>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</si>
  <si>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</si>
  <si>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</si>
  <si>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</si>
  <si>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</si>
  <si>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</si>
  <si>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</si>
  <si>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</si>
  <si>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</si>
  <si>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</si>
  <si>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</si>
  <si>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</si>
  <si>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</si>
  <si>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</si>
  <si>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</si>
  <si>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</si>
  <si>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</si>
  <si>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</si>
  <si>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</si>
  <si>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</si>
  <si>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</si>
  <si>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</si>
  <si>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</si>
  <si>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</si>
  <si>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</si>
  <si>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</si>
  <si>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</si>
  <si>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</si>
  <si>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</si>
  <si>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</si>
  <si>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</si>
  <si>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</si>
  <si>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</si>
  <si>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</si>
  <si>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</si>
  <si>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</si>
  <si>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</si>
  <si>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</si>
  <si>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</si>
  <si>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</si>
  <si>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</si>
  <si>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</si>
  <si>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</si>
  <si>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</si>
  <si>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</si>
  <si>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</si>
  <si>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</si>
  <si>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</si>
  <si>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</si>
  <si>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</si>
  <si>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</si>
  <si>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</si>
  <si>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</si>
  <si>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</si>
  <si>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</si>
  <si>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</si>
  <si>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</si>
  <si>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</si>
  <si>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</si>
  <si>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</si>
  <si>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</si>
  <si>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</si>
  <si>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</si>
  <si>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</si>
  <si>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</si>
  <si>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</si>
  <si>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</si>
  <si>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</si>
  <si>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</si>
  <si>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</si>
  <si>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</si>
  <si>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</si>
  <si>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</si>
  <si>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</si>
  <si>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</si>
  <si>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</si>
  <si>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</si>
  <si>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</si>
  <si>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</si>
  <si>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</si>
  <si>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</si>
  <si>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</si>
  <si>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</si>
  <si>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</si>
  <si>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</si>
  <si>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</si>
  <si>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</si>
  <si>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</si>
  <si>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</si>
  <si>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</si>
  <si>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</si>
  <si>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</si>
  <si>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</si>
  <si>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</si>
  <si>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</si>
  <si>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</si>
  <si>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</si>
  <si>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</si>
  <si>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</si>
  <si>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</si>
  <si>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</si>
  <si>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</si>
  <si>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</si>
  <si>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</si>
  <si>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</si>
  <si>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</si>
  <si>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</si>
  <si>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</si>
  <si>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</si>
  <si>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</si>
  <si>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</si>
  <si>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</si>
  <si>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</si>
  <si>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</si>
  <si>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</si>
  <si>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</si>
  <si>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</si>
  <si>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</si>
  <si>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</si>
  <si>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</si>
  <si>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</si>
  <si>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</si>
  <si>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</si>
  <si>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</si>
  <si>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</si>
  <si>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</si>
  <si>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</si>
  <si>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</si>
  <si>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</si>
  <si>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</si>
  <si>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</si>
  <si>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</si>
  <si>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</si>
  <si>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</si>
  <si>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</si>
  <si>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</si>
  <si>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</si>
  <si>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</si>
  <si>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</si>
  <si>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</si>
  <si>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</si>
  <si>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</si>
  <si>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</si>
  <si>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</si>
  <si>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</si>
  <si>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</si>
  <si>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</si>
  <si>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</si>
  <si>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</si>
  <si>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</si>
  <si>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</si>
  <si>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</si>
  <si>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</si>
  <si>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</si>
  <si>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</si>
  <si>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</si>
  <si>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</si>
  <si>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</si>
  <si>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</si>
  <si>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</si>
  <si>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</si>
  <si>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</si>
  <si>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</si>
  <si>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</si>
  <si>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</si>
  <si>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</si>
  <si>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</si>
  <si>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</si>
  <si>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</si>
  <si>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</si>
  <si>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</si>
  <si>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</si>
  <si>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</si>
  <si>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</si>
  <si>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</si>
  <si>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</si>
  <si>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</si>
  <si>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</si>
  <si>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</si>
  <si>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</si>
  <si>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</si>
  <si>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</si>
  <si>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</si>
  <si>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</si>
  <si>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</si>
  <si>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</si>
  <si>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</si>
  <si>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</si>
  <si>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</si>
  <si>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</si>
  <si>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</si>
  <si>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</si>
  <si>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</si>
  <si>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</si>
  <si>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</si>
  <si>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</si>
  <si>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</si>
  <si>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</si>
  <si>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</si>
  <si>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</si>
  <si>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</si>
  <si>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</si>
  <si>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</si>
  <si>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</si>
  <si>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</si>
  <si>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</si>
  <si>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</si>
  <si>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</si>
  <si>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</si>
  <si>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</si>
  <si>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</si>
  <si>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</si>
  <si>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</si>
  <si>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</si>
  <si>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</si>
  <si>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</si>
  <si>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</si>
  <si>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</si>
  <si>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</si>
  <si>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</si>
  <si>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</si>
  <si>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</si>
  <si>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</si>
  <si>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</si>
  <si>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</si>
  <si>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</si>
  <si>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</si>
  <si>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</si>
  <si>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</si>
  <si>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</si>
  <si>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</si>
  <si>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</si>
  <si>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</si>
  <si>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</si>
  <si>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</si>
  <si>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</si>
  <si>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</si>
  <si>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</si>
  <si>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</si>
  <si>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</si>
  <si>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</si>
  <si>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</si>
  <si>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</si>
  <si>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</si>
  <si>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</si>
  <si>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</si>
  <si>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</si>
  <si>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</si>
  <si>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</si>
  <si>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</si>
  <si>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</si>
  <si>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</si>
  <si>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</si>
  <si>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</si>
  <si>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</si>
  <si>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</si>
  <si>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</si>
  <si>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</si>
  <si>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</si>
  <si>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</si>
  <si>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</si>
  <si>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</si>
  <si>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</si>
  <si>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</si>
  <si>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</si>
  <si>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</si>
  <si>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</si>
  <si>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</si>
  <si>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</si>
  <si>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</si>
  <si>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</si>
  <si>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</si>
  <si>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</si>
  <si>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</si>
  <si>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</si>
  <si>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</si>
  <si>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</si>
  <si>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</si>
  <si>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</si>
  <si>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</si>
  <si>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</si>
  <si>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</si>
  <si>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</si>
  <si>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</si>
  <si>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</si>
  <si>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</si>
  <si>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</si>
  <si>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</si>
  <si>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</si>
  <si>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</si>
  <si>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</si>
  <si>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</si>
  <si>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</si>
  <si>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</si>
  <si>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</si>
  <si>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</si>
  <si>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</si>
  <si>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</si>
  <si>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</si>
  <si>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</si>
  <si>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</si>
  <si>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</si>
  <si>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</si>
  <si>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</si>
  <si>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</si>
  <si>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</si>
  <si>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</si>
  <si>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</si>
  <si>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</si>
  <si>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</si>
  <si>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</si>
  <si>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</si>
  <si>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</si>
  <si>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</si>
  <si>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</si>
  <si>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</si>
  <si>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</si>
  <si>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</si>
  <si>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</si>
  <si>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</si>
  <si>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</si>
  <si>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</si>
  <si>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</si>
  <si>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</si>
  <si>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</si>
  <si>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Cosider</t>
  </si>
  <si>
    <t>Saipem</t>
  </si>
  <si>
    <t>X</t>
  </si>
  <si>
    <t>SOCEA</t>
  </si>
  <si>
    <t>GRESS</t>
  </si>
  <si>
    <t>Spie</t>
  </si>
  <si>
    <t>Capag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</si>
</sst>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00"/>
    <numFmt numFmtId="166" formatCode="0000"/>
    <numFmt numFmtId="167" formatCode="yyyy\-mm\-dd;@"/>
    <numFmt numFmtId="168" formatCode="0.000"/>
    <numFmt numFmtId="169" formatCode="[$-12C0C]dd/mm/yyyy;@"/>
    <numFmt numFmtId="170" formatCode="_(* #,##0.000_);_(* \(#,##0.000\);_(* &quot;-&quot;??_);_(@_)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5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5" fontId="2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left" vertical="center"/>
    </xf>
    <xf numFmtId="167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7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6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9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9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9" fontId="2" fillId="6" borderId="1" xfId="0" applyNumberFormat="1" applyFont="1" applyFill="1" applyBorder="1" applyAlignment="1">
      <alignment horizontal="left" vertical="center"/>
    </xf>
    <xf numFmtId="165" fontId="2" fillId="0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6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70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I232"/>
  <sheetViews>
    <sheetView topLeftCell="A33" workbookViewId="0">
      <selection activeCell="B63" sqref="B63"/>
    </sheetView>
  </sheetViews>
  <sheetFormatPr baseColWidth="10" defaultColWidth="10.81640625" defaultRowHeight="15.5" x14ac:dyDescent="0.35"/>
  <cols>
    <col min="1" max="1" width="5.54296875" style="2" customWidth="1"/>
    <col min="2" max="2" width="13.1796875" style="2" bestFit="1" customWidth="1"/>
    <col min="3" max="3" width="75.7265625" style="2" customWidth="1"/>
    <col min="4" max="5" width="15.54296875" style="2" customWidth="1"/>
    <col min="6" max="6" width="17.26953125" style="2" bestFit="1" customWidth="1"/>
    <col min="7" max="8" width="15.54296875" style="2" customWidth="1"/>
    <col min="9" max="9" width="89.54296875" style="2" bestFit="1" customWidth="1"/>
    <col min="10" max="16384" width="10.81640625" style="2"/>
  </cols>
  <sheetData>
    <row r="1" spans="1:9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49999999999999" customHeight="1" x14ac:dyDescent="0.3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4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49999999999999" customHeight="1" x14ac:dyDescent="0.3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49999999999999" customHeight="1" x14ac:dyDescent="0.3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49999999999999" customHeight="1" x14ac:dyDescent="0.35">
      <c r="A6" s="3">
        <v>4</v>
      </c>
      <c r="B6" s="8" t="s">
        <v>25</v>
      </c>
      <c r="C6" s="9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49999999999999" customHeight="1" x14ac:dyDescent="0.35">
      <c r="A7" s="3">
        <v>5</v>
      </c>
      <c r="B7" s="8" t="s">
        <v>27</v>
      </c>
      <c r="C7" s="5" t="s">
        <v>28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Export port','1978-01-15','1981-06-20',NULL,1,10),</v>
      </c>
    </row>
    <row r="8" spans="1:9" ht="20.149999999999999" customHeight="1" x14ac:dyDescent="0.35">
      <c r="A8" s="3">
        <v>6</v>
      </c>
      <c r="B8" s="8" t="s">
        <v>29</v>
      </c>
      <c r="C8" s="5" t="s">
        <v>28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Export port','1972-03-10','1975-09-25',NULL,1,10),</v>
      </c>
    </row>
    <row r="9" spans="1:9" ht="20.149999999999999" customHeight="1" x14ac:dyDescent="0.35">
      <c r="A9" s="3">
        <v>7</v>
      </c>
      <c r="B9" s="8" t="s">
        <v>30</v>
      </c>
      <c r="C9" s="5" t="s">
        <v>28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Export port','1998-05-12','2001-03-18',NULL,1,10),</v>
      </c>
    </row>
    <row r="10" spans="1:9" ht="20.149999999999999" customHeight="1" x14ac:dyDescent="0.35">
      <c r="A10" s="3">
        <v>8</v>
      </c>
      <c r="B10" s="8" t="s">
        <v>31</v>
      </c>
      <c r="C10" s="5" t="s">
        <v>32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49999999999999" customHeight="1" x14ac:dyDescent="0.35">
      <c r="A11" s="3">
        <v>9</v>
      </c>
      <c r="B11" s="8" t="s">
        <v>33</v>
      </c>
      <c r="C11" s="5" t="s">
        <v>34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49999999999999" customHeight="1" x14ac:dyDescent="0.35">
      <c r="A12" s="3">
        <v>10</v>
      </c>
      <c r="B12" s="8" t="s">
        <v>35</v>
      </c>
      <c r="C12" s="5" t="s">
        <v>36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49999999999999" customHeight="1" x14ac:dyDescent="0.35">
      <c r="A13" s="3">
        <v>11</v>
      </c>
      <c r="B13" s="8" t="s">
        <v>37</v>
      </c>
      <c r="C13" s="5" t="s">
        <v>38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49999999999999" customHeight="1" x14ac:dyDescent="0.35">
      <c r="A14" s="3">
        <v>12</v>
      </c>
      <c r="B14" s="8" t="s">
        <v>39</v>
      </c>
      <c r="C14" s="5" t="s">
        <v>40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49999999999999" customHeight="1" x14ac:dyDescent="0.35">
      <c r="A15" s="3">
        <v>13</v>
      </c>
      <c r="B15" s="8" t="s">
        <v>41</v>
      </c>
      <c r="C15" s="9" t="s">
        <v>42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/>
    </row>
    <row r="16" spans="1:9" ht="20.149999999999999" customHeight="1" x14ac:dyDescent="0.35">
      <c r="A16" s="3">
        <v>14</v>
      </c>
      <c r="B16" s="8" t="s">
        <v>43</v>
      </c>
      <c r="C16" s="5" t="s">
        <v>44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79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49999999999999" customHeight="1" x14ac:dyDescent="0.35">
      <c r="A17" s="3">
        <v>15</v>
      </c>
      <c r="B17" s="8" t="s">
        <v>45</v>
      </c>
      <c r="C17" s="5" t="s">
        <v>46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49999999999999" customHeight="1" x14ac:dyDescent="0.35">
      <c r="A18" s="3">
        <v>16</v>
      </c>
      <c r="B18" s="8" t="s">
        <v>47</v>
      </c>
      <c r="C18" s="5" t="s">
        <v>48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Messaoud','2002-08-10','2004-12-20',NULL,1,10),</v>
      </c>
    </row>
    <row r="19" spans="1:9" ht="20.149999999999999" customHeight="1" x14ac:dyDescent="0.35">
      <c r="A19" s="3">
        <v>17</v>
      </c>
      <c r="B19" s="8" t="s">
        <v>49</v>
      </c>
      <c r="C19" s="5" t="s">
        <v>50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Mesdar','2005-06-15','2007-10-30',NULL,1,10),</v>
      </c>
    </row>
    <row r="20" spans="1:9" ht="20.149999999999999" customHeight="1" x14ac:dyDescent="0.35">
      <c r="A20" s="3">
        <v>18</v>
      </c>
      <c r="B20" s="8" t="s">
        <v>51</v>
      </c>
      <c r="C20" s="5" t="s">
        <v>52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Ohanet','2006-09-22','2008-08-18',NULL,1,10),</v>
      </c>
    </row>
    <row r="21" spans="1:9" ht="20.149999999999999" customHeight="1" x14ac:dyDescent="0.35">
      <c r="A21" s="3">
        <v>19</v>
      </c>
      <c r="B21" s="8" t="s">
        <v>53</v>
      </c>
      <c r="C21" s="5" t="s">
        <v>54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PC1/PK137','2007-12-05','2009-07-20',NULL,1,10),</v>
      </c>
    </row>
    <row r="22" spans="1:9" ht="20.149999999999999" customHeight="1" x14ac:dyDescent="0.35">
      <c r="A22" s="3">
        <v>20</v>
      </c>
      <c r="B22" s="8" t="s">
        <v>55</v>
      </c>
      <c r="C22" s="5" t="s">
        <v>56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Nouss','2008-03-18','2010-05-25',NULL,1,10),</v>
      </c>
    </row>
    <row r="23" spans="1:9" ht="20.149999999999999" customHeight="1" x14ac:dyDescent="0.35">
      <c r="A23" s="3">
        <v>21</v>
      </c>
      <c r="B23" s="8" t="s">
        <v>57</v>
      </c>
      <c r="C23" s="5" t="s">
        <v>58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Alger','1995-01-10','1997-09-15',NULL,1,10),</v>
      </c>
    </row>
    <row r="24" spans="1:9" ht="20.149999999999999" customHeight="1" x14ac:dyDescent="0.35">
      <c r="A24" s="3">
        <v>22</v>
      </c>
      <c r="B24" s="8" t="s">
        <v>59</v>
      </c>
      <c r="C24" s="5" t="s">
        <v>60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Alrar','1998-04-22','2000-11-30',NULL,1,10),</v>
      </c>
    </row>
    <row r="25" spans="1:9" ht="20.149999999999999" customHeight="1" x14ac:dyDescent="0.35">
      <c r="A25" s="3">
        <v>23</v>
      </c>
      <c r="B25" s="8" t="s">
        <v>61</v>
      </c>
      <c r="C25" s="5" t="s">
        <v>62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Arzew','1980-06-15','1983-02-28',NULL,1,10),</v>
      </c>
    </row>
    <row r="26" spans="1:9" ht="20.149999999999999" customHeight="1" x14ac:dyDescent="0.35">
      <c r="A26" s="3">
        <v>24</v>
      </c>
      <c r="B26" s="8" t="s">
        <v>63</v>
      </c>
      <c r="C26" s="5" t="s">
        <v>64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Bejaia','1997-08-20','1999-12-10',NULL,1,10),</v>
      </c>
    </row>
    <row r="27" spans="1:9" ht="20.149999999999999" customHeight="1" x14ac:dyDescent="0.35">
      <c r="A27" s="3">
        <v>25</v>
      </c>
      <c r="B27" s="8" t="s">
        <v>65</v>
      </c>
      <c r="C27" s="5" t="s">
        <v>66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North','2001-03-15','2003-07-25',NULL,1,10),</v>
      </c>
    </row>
    <row r="28" spans="1:9" ht="20.149999999999999" customHeight="1" x14ac:dyDescent="0.35">
      <c r="A28" s="3">
        <v>26</v>
      </c>
      <c r="B28" s="8" t="s">
        <v>67</v>
      </c>
      <c r="C28" s="5" t="s">
        <v>68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 Menaiel','1996-11-08','1998-08-22',NULL,1,10),</v>
      </c>
    </row>
    <row r="29" spans="1:9" ht="20.149999999999999" customHeight="1" x14ac:dyDescent="0.35">
      <c r="A29" s="3">
        <v>27</v>
      </c>
      <c r="B29" s="8" t="s">
        <v>69</v>
      </c>
      <c r="C29" s="5" t="s">
        <v>70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Borma','2000-05-12','2002-10-18',NULL,1,10),</v>
      </c>
    </row>
    <row r="30" spans="1:9" ht="20.149999999999999" customHeight="1" x14ac:dyDescent="0.35">
      <c r="A30" s="3">
        <v>28</v>
      </c>
      <c r="B30" s="8" t="s">
        <v>71</v>
      </c>
      <c r="C30" s="5" t="s">
        <v>72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Touil','2003-09-05','2005-06-20',NULL,1,10),</v>
      </c>
    </row>
    <row r="31" spans="1:9" ht="20.149999999999999" customHeight="1" x14ac:dyDescent="0.35">
      <c r="A31" s="3">
        <v>29</v>
      </c>
      <c r="B31" s="8" t="s">
        <v>73</v>
      </c>
      <c r="C31" s="5" t="s">
        <v>74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Berkine','2004-02-18','2006-04-30',NULL,1,10),</v>
      </c>
    </row>
    <row r="32" spans="1:9" ht="20.149999999999999" customHeight="1" x14ac:dyDescent="0.35">
      <c r="A32" s="3">
        <v>30</v>
      </c>
      <c r="B32" s="8" t="s">
        <v>75</v>
      </c>
      <c r="C32" s="5" t="s">
        <v>76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tedjirane','2005-07-22','2007-09-15',NULL,1,10),</v>
      </c>
    </row>
    <row r="33" spans="1:9" ht="20.149999999999999" customHeight="1" x14ac:dyDescent="0.35">
      <c r="A33" s="3">
        <v>31</v>
      </c>
      <c r="B33" s="8" t="s">
        <v>77</v>
      </c>
      <c r="C33" s="5" t="s">
        <v>78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Amenas','2002-10-08','2004-08-25',NULL,1,10),</v>
      </c>
    </row>
    <row r="34" spans="1:9" ht="20.149999999999999" customHeight="1" x14ac:dyDescent="0.35">
      <c r="A34" s="3">
        <v>32</v>
      </c>
      <c r="B34" s="8" t="s">
        <v>79</v>
      </c>
      <c r="C34" s="5" t="s">
        <v>80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Salah','2006-12-15','2008-11-20',NULL,1,10),</v>
      </c>
    </row>
    <row r="35" spans="1:9" ht="20.149999999999999" customHeight="1" x14ac:dyDescent="0.35">
      <c r="A35" s="3">
        <v>33</v>
      </c>
      <c r="B35" s="8" t="s">
        <v>81</v>
      </c>
      <c r="C35" s="5" t="s">
        <v>82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Isser','1997-03-20','1999-05-10',NULL,1,10),</v>
      </c>
    </row>
    <row r="36" spans="1:9" ht="20.149999999999999" customHeight="1" x14ac:dyDescent="0.35">
      <c r="A36" s="3">
        <v>34</v>
      </c>
      <c r="B36" s="8" t="s">
        <v>83</v>
      </c>
      <c r="C36" s="5" t="s">
        <v>84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Reggane','2010-06-12','2012-10-30',NULL,1,10),</v>
      </c>
    </row>
    <row r="37" spans="1:9" ht="20.149999999999999" customHeight="1" x14ac:dyDescent="0.35">
      <c r="A37" s="3">
        <v>35</v>
      </c>
      <c r="B37" s="8" t="s">
        <v>85</v>
      </c>
      <c r="C37" s="5" t="s">
        <v>86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Baguel','2001-09-18','2003-12-22',NULL,1,10),</v>
      </c>
    </row>
    <row r="38" spans="1:9" ht="20.149999999999999" customHeight="1" x14ac:dyDescent="0.35">
      <c r="A38" s="3">
        <v>36</v>
      </c>
      <c r="B38" s="8" t="s">
        <v>87</v>
      </c>
      <c r="C38" s="5" t="s">
        <v>88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Skikda','1975-04-10','1978-01-15',NULL,1,10),</v>
      </c>
    </row>
    <row r="39" spans="1:9" ht="20.149999999999999" customHeight="1" x14ac:dyDescent="0.35">
      <c r="A39" s="3">
        <v>37</v>
      </c>
      <c r="B39" s="8" t="s">
        <v>89</v>
      </c>
      <c r="C39" s="5" t="s">
        <v>90</v>
      </c>
      <c r="D39" s="6">
        <v>36540</v>
      </c>
      <c r="E39" s="6">
        <v>37154</v>
      </c>
      <c r="F39" s="7" t="s">
        <v>20</v>
      </c>
      <c r="G39" s="7">
        <v>1</v>
      </c>
      <c r="H39" s="7">
        <v>10</v>
      </c>
      <c r="I39" s="5" t="str">
        <f t="shared" si="1"/>
        <v>(37,'SP1-OZ1/OZ2','Station de Pompage SP1-OZ1/OZ2','2000-01-15','2001-09-20',NULL,1,10),</v>
      </c>
    </row>
    <row r="40" spans="1:9" ht="20.149999999999999" customHeight="1" x14ac:dyDescent="0.35">
      <c r="A40" s="10">
        <v>38</v>
      </c>
      <c r="B40" s="11" t="s">
        <v>91</v>
      </c>
      <c r="C40" s="9" t="s">
        <v>92</v>
      </c>
      <c r="D40" s="12">
        <v>36540</v>
      </c>
      <c r="E40" s="12">
        <v>37154</v>
      </c>
      <c r="F40" s="13" t="s">
        <v>20</v>
      </c>
      <c r="G40" s="13">
        <v>1</v>
      </c>
      <c r="H40" s="13">
        <v>10</v>
      </c>
      <c r="I40" s="9" t="str">
        <f t="shared" si="1"/>
        <v>(38,'SP1-OZ2','Station de Pompage SP1-OZ2','2000-01-15','2001-09-20',NULL,1,10),</v>
      </c>
    </row>
    <row r="41" spans="1:9" ht="20.149999999999999" customHeight="1" x14ac:dyDescent="0.35">
      <c r="A41" s="3">
        <v>39</v>
      </c>
      <c r="B41" s="8" t="s">
        <v>93</v>
      </c>
      <c r="C41" s="5" t="s">
        <v>94</v>
      </c>
      <c r="D41" s="6">
        <v>36960</v>
      </c>
      <c r="E41" s="6">
        <v>37575</v>
      </c>
      <c r="F41" s="7" t="s">
        <v>20</v>
      </c>
      <c r="G41" s="7">
        <v>1</v>
      </c>
      <c r="H41" s="7">
        <v>10</v>
      </c>
      <c r="I41" s="5" t="str">
        <f t="shared" si="1"/>
        <v>(39,'SP2-OZ1/OZ2','Station de Pompage SP2-OZ1/OZ2','2001-03-10','2002-11-15',NULL,1,10),</v>
      </c>
    </row>
    <row r="42" spans="1:9" ht="20.149999999999999" customHeight="1" x14ac:dyDescent="0.35">
      <c r="A42" s="10">
        <v>40</v>
      </c>
      <c r="B42" s="11" t="s">
        <v>95</v>
      </c>
      <c r="C42" s="9" t="s">
        <v>96</v>
      </c>
      <c r="D42" s="12">
        <v>36960</v>
      </c>
      <c r="E42" s="12">
        <v>37575</v>
      </c>
      <c r="F42" s="13" t="s">
        <v>20</v>
      </c>
      <c r="G42" s="13">
        <v>1</v>
      </c>
      <c r="H42" s="13">
        <v>10</v>
      </c>
      <c r="I42" s="9" t="str">
        <f t="shared" si="1"/>
        <v>(40,'SP2-OZ2','Station de Pompage SP2-OZ2','2001-03-10','2002-11-15',NULL,1,10),</v>
      </c>
    </row>
    <row r="43" spans="1:9" ht="20.149999999999999" customHeight="1" x14ac:dyDescent="0.35">
      <c r="A43" s="3">
        <v>41</v>
      </c>
      <c r="B43" s="8" t="s">
        <v>97</v>
      </c>
      <c r="C43" s="5" t="s">
        <v>94</v>
      </c>
      <c r="D43" s="6">
        <v>37396</v>
      </c>
      <c r="E43" s="6">
        <v>37985</v>
      </c>
      <c r="F43" s="7" t="s">
        <v>20</v>
      </c>
      <c r="G43" s="7">
        <v>1</v>
      </c>
      <c r="H43" s="7">
        <v>10</v>
      </c>
      <c r="I43" s="5" t="str">
        <f t="shared" si="1"/>
        <v>(41,'SP3-OZ1/OZ2','Station de Pompage SP2-OZ1/OZ2','2002-05-20','2003-12-30',NULL,1,10),</v>
      </c>
    </row>
    <row r="44" spans="1:9" ht="20.149999999999999" customHeight="1" x14ac:dyDescent="0.35">
      <c r="A44" s="10">
        <v>42</v>
      </c>
      <c r="B44" s="11" t="s">
        <v>98</v>
      </c>
      <c r="C44" s="9" t="s">
        <v>96</v>
      </c>
      <c r="D44" s="12">
        <v>37396</v>
      </c>
      <c r="E44" s="12">
        <v>37985</v>
      </c>
      <c r="F44" s="13" t="s">
        <v>20</v>
      </c>
      <c r="G44" s="13">
        <v>1</v>
      </c>
      <c r="H44" s="13">
        <v>10</v>
      </c>
      <c r="I44" s="9" t="str">
        <f t="shared" si="1"/>
        <v>(42,'SP3-OZ2','Station de Pompage SP2-OZ2','2002-05-20','2003-12-30',NULL,1,10),</v>
      </c>
    </row>
    <row r="45" spans="1:9" ht="20.149999999999999" customHeight="1" x14ac:dyDescent="0.35">
      <c r="A45" s="3">
        <v>43</v>
      </c>
      <c r="B45" s="8" t="s">
        <v>99</v>
      </c>
      <c r="C45" s="5" t="s">
        <v>94</v>
      </c>
      <c r="D45" s="6">
        <v>37848</v>
      </c>
      <c r="E45" s="6">
        <v>38433</v>
      </c>
      <c r="F45" s="7" t="s">
        <v>20</v>
      </c>
      <c r="G45" s="7">
        <v>1</v>
      </c>
      <c r="H45" s="7">
        <v>10</v>
      </c>
      <c r="I45" s="5" t="str">
        <f t="shared" si="1"/>
        <v>(43,'SP4-OZ1/OZ2','Station de Pompage SP2-OZ1/OZ2','2003-08-15','2005-03-22',NULL,1,10),</v>
      </c>
    </row>
    <row r="46" spans="1:9" ht="20.149999999999999" customHeight="1" x14ac:dyDescent="0.35">
      <c r="A46" s="10">
        <v>44</v>
      </c>
      <c r="B46" s="11" t="s">
        <v>100</v>
      </c>
      <c r="C46" s="9" t="s">
        <v>96</v>
      </c>
      <c r="D46" s="12">
        <v>37848</v>
      </c>
      <c r="E46" s="12">
        <v>38433</v>
      </c>
      <c r="F46" s="13" t="s">
        <v>20</v>
      </c>
      <c r="G46" s="13">
        <v>1</v>
      </c>
      <c r="H46" s="13">
        <v>10</v>
      </c>
      <c r="I46" s="9" t="str">
        <f t="shared" si="1"/>
        <v>(44,'SP4-OZ2','Station de Pompage SP2-OZ2','2003-08-15','2005-03-22',NULL,1,10),</v>
      </c>
    </row>
    <row r="47" spans="1:9" ht="20.149999999999999" customHeight="1" x14ac:dyDescent="0.35">
      <c r="A47" s="3">
        <v>45</v>
      </c>
      <c r="B47" s="8" t="s">
        <v>101</v>
      </c>
      <c r="C47" s="5" t="s">
        <v>94</v>
      </c>
      <c r="D47" s="6">
        <v>38265</v>
      </c>
      <c r="E47" s="6">
        <v>38886</v>
      </c>
      <c r="F47" s="7" t="s">
        <v>20</v>
      </c>
      <c r="G47" s="7">
        <v>1</v>
      </c>
      <c r="H47" s="7">
        <v>10</v>
      </c>
      <c r="I47" s="5" t="str">
        <f t="shared" si="1"/>
        <v>(45,'SP5-OZ1/OZ2','Station de Pompage SP2-OZ1/OZ2','2004-10-05','2006-06-18',NULL,1,10),</v>
      </c>
    </row>
    <row r="48" spans="1:9" ht="20.149999999999999" customHeight="1" x14ac:dyDescent="0.35">
      <c r="A48" s="10">
        <v>46</v>
      </c>
      <c r="B48" s="11" t="s">
        <v>102</v>
      </c>
      <c r="C48" s="9" t="s">
        <v>96</v>
      </c>
      <c r="D48" s="12">
        <v>38265</v>
      </c>
      <c r="E48" s="12">
        <v>38886</v>
      </c>
      <c r="F48" s="13" t="s">
        <v>20</v>
      </c>
      <c r="G48" s="13">
        <v>1</v>
      </c>
      <c r="H48" s="13">
        <v>10</v>
      </c>
      <c r="I48" s="9" t="str">
        <f t="shared" si="1"/>
        <v>(46,'SP5-OZ2','Station de Pompage SP2-OZ2','2004-10-05','2006-06-18',NULL,1,10),</v>
      </c>
    </row>
    <row r="49" spans="1:9" ht="20.149999999999999" customHeight="1" x14ac:dyDescent="0.35">
      <c r="A49" s="3">
        <v>47</v>
      </c>
      <c r="B49" s="8" t="s">
        <v>103</v>
      </c>
      <c r="C49" s="5" t="s">
        <v>94</v>
      </c>
      <c r="D49" s="6">
        <v>38698</v>
      </c>
      <c r="E49" s="6">
        <v>39319</v>
      </c>
      <c r="F49" s="7" t="s">
        <v>20</v>
      </c>
      <c r="G49" s="7">
        <v>1</v>
      </c>
      <c r="H49" s="7">
        <v>10</v>
      </c>
      <c r="I49" s="5" t="str">
        <f t="shared" si="1"/>
        <v>(47,'SP6-OZ1/OZ2','Station de Pompage SP2-OZ1/OZ2','2005-12-12','2007-08-25',NULL,1,10),</v>
      </c>
    </row>
    <row r="50" spans="1:9" ht="20.149999999999999" customHeight="1" x14ac:dyDescent="0.35">
      <c r="A50" s="10">
        <v>48</v>
      </c>
      <c r="B50" s="11" t="s">
        <v>104</v>
      </c>
      <c r="C50" s="9" t="s">
        <v>96</v>
      </c>
      <c r="D50" s="12">
        <v>38698</v>
      </c>
      <c r="E50" s="12">
        <v>39319</v>
      </c>
      <c r="F50" s="13" t="s">
        <v>20</v>
      </c>
      <c r="G50" s="13">
        <v>1</v>
      </c>
      <c r="H50" s="13">
        <v>10</v>
      </c>
      <c r="I50" s="9" t="str">
        <f t="shared" si="1"/>
        <v>(48,'SP6-OZ2','Station de Pompage SP2-OZ2','2005-12-12','2007-08-25',NULL,1,10),</v>
      </c>
    </row>
    <row r="51" spans="1:9" ht="20.149999999999999" customHeight="1" x14ac:dyDescent="0.35">
      <c r="A51" s="3">
        <v>49</v>
      </c>
      <c r="B51" s="8" t="s">
        <v>105</v>
      </c>
      <c r="C51" s="5" t="s">
        <v>106</v>
      </c>
      <c r="D51" s="6">
        <v>38796</v>
      </c>
      <c r="E51" s="6">
        <v>39396</v>
      </c>
      <c r="F51" s="7" t="s">
        <v>20</v>
      </c>
      <c r="G51" s="7">
        <v>1</v>
      </c>
      <c r="H51" s="7">
        <v>10</v>
      </c>
      <c r="I51" s="5" t="str">
        <f t="shared" si="1"/>
        <v>(49,'PRS-OZ1/OZ2','Station de Pompage PRS-OZ1/OZ2','2006-03-20','2007-11-10',NULL,1,10),</v>
      </c>
    </row>
    <row r="52" spans="1:9" ht="20.149999999999999" customHeight="1" x14ac:dyDescent="0.35">
      <c r="A52" s="10">
        <v>50</v>
      </c>
      <c r="B52" s="11" t="s">
        <v>107</v>
      </c>
      <c r="C52" s="9" t="s">
        <v>108</v>
      </c>
      <c r="D52" s="12">
        <v>38796</v>
      </c>
      <c r="E52" s="12">
        <v>39396</v>
      </c>
      <c r="F52" s="13" t="s">
        <v>20</v>
      </c>
      <c r="G52" s="13">
        <v>1</v>
      </c>
      <c r="H52" s="13">
        <v>10</v>
      </c>
      <c r="I52" s="9" t="str">
        <f t="shared" si="1"/>
        <v>(50,'PRS-OZ2','Station de Régulation PRS-OZ2','2006-03-20','2007-11-10',NULL,1,10),</v>
      </c>
    </row>
    <row r="53" spans="1:9" ht="20.149999999999999" customHeight="1" x14ac:dyDescent="0.35">
      <c r="A53" s="3">
        <v>51</v>
      </c>
      <c r="B53" s="8" t="s">
        <v>109</v>
      </c>
      <c r="C53" s="5" t="s">
        <v>110</v>
      </c>
      <c r="D53" s="6">
        <v>37057</v>
      </c>
      <c r="E53" s="6">
        <v>37672</v>
      </c>
      <c r="F53" s="7" t="s">
        <v>20</v>
      </c>
      <c r="G53" s="7">
        <v>1</v>
      </c>
      <c r="H53" s="7">
        <v>10</v>
      </c>
      <c r="I53" s="5" t="str">
        <f t="shared" si="1"/>
        <v>(51,'SP1-OK1','Station de Pompage SP1-OK1','2001-06-15','2003-02-20',NULL,1,10),</v>
      </c>
    </row>
    <row r="54" spans="1:9" ht="20.149999999999999" customHeight="1" x14ac:dyDescent="0.35">
      <c r="A54" s="3">
        <v>52</v>
      </c>
      <c r="B54" s="8" t="s">
        <v>111</v>
      </c>
      <c r="C54" s="5" t="s">
        <v>112</v>
      </c>
      <c r="D54" s="6">
        <v>40278</v>
      </c>
      <c r="E54" s="6">
        <v>40923</v>
      </c>
      <c r="F54" s="7" t="s">
        <v>20</v>
      </c>
      <c r="G54" s="7">
        <v>1</v>
      </c>
      <c r="H54" s="7">
        <v>10</v>
      </c>
      <c r="I54" s="5" t="str">
        <f t="shared" si="1"/>
        <v>(52,'SP1-OK1-NEW','Station de Pompage SP1-OK1-NEW','2010-04-10','2012-01-15',NULL,1,10),</v>
      </c>
    </row>
    <row r="55" spans="1:9" ht="20.149999999999999" customHeight="1" x14ac:dyDescent="0.35">
      <c r="A55" s="3">
        <v>53</v>
      </c>
      <c r="B55" s="8" t="s">
        <v>113</v>
      </c>
      <c r="C55" s="5" t="s">
        <v>114</v>
      </c>
      <c r="D55" s="6">
        <v>37490</v>
      </c>
      <c r="E55" s="6">
        <v>38137</v>
      </c>
      <c r="F55" s="7" t="s">
        <v>20</v>
      </c>
      <c r="G55" s="7">
        <v>1</v>
      </c>
      <c r="H55" s="7">
        <v>10</v>
      </c>
      <c r="I55" s="5" t="str">
        <f t="shared" si="1"/>
        <v>(53,'SP2-OK1','Station de Pompage SP2-OK1','2002-08-22','2004-05-30',NULL,1,10),</v>
      </c>
    </row>
    <row r="56" spans="1:9" ht="20.149999999999999" customHeight="1" x14ac:dyDescent="0.35">
      <c r="A56" s="3">
        <v>54</v>
      </c>
      <c r="B56" s="8" t="s">
        <v>115</v>
      </c>
      <c r="C56" s="5" t="s">
        <v>116</v>
      </c>
      <c r="D56" s="6">
        <v>37930</v>
      </c>
      <c r="E56" s="6">
        <v>38551</v>
      </c>
      <c r="F56" s="7" t="s">
        <v>20</v>
      </c>
      <c r="G56" s="7">
        <v>1</v>
      </c>
      <c r="H56" s="7">
        <v>10</v>
      </c>
      <c r="I56" s="5" t="str">
        <f t="shared" si="1"/>
        <v>(54,'SP3-OK1','Station de Pompage SP3-OK1','2003-11-05','2005-07-18',NULL,1,10),</v>
      </c>
    </row>
    <row r="57" spans="1:9" ht="20.149999999999999" customHeight="1" x14ac:dyDescent="0.35">
      <c r="A57" s="3">
        <v>55</v>
      </c>
      <c r="B57" s="8" t="s">
        <v>117</v>
      </c>
      <c r="C57" s="5" t="s">
        <v>118</v>
      </c>
      <c r="D57" s="6">
        <v>39859</v>
      </c>
      <c r="E57" s="6">
        <v>40479</v>
      </c>
      <c r="F57" s="7" t="s">
        <v>20</v>
      </c>
      <c r="G57" s="7">
        <v>1</v>
      </c>
      <c r="H57" s="7">
        <v>10</v>
      </c>
      <c r="I57" s="5" t="str">
        <f t="shared" si="1"/>
        <v>(55,'SP3-OK1-BIS','Station de Pompage SP3-OK1-BIS','2009-02-15','2010-10-28',NULL,1,10),</v>
      </c>
    </row>
    <row r="58" spans="1:9" ht="20.149999999999999" customHeight="1" x14ac:dyDescent="0.35">
      <c r="A58" s="3">
        <v>56</v>
      </c>
      <c r="B58" s="8" t="s">
        <v>119</v>
      </c>
      <c r="C58" s="5" t="s">
        <v>120</v>
      </c>
      <c r="D58" s="6">
        <v>38125</v>
      </c>
      <c r="E58" s="6">
        <v>38739</v>
      </c>
      <c r="F58" s="7" t="s">
        <v>20</v>
      </c>
      <c r="G58" s="7">
        <v>1</v>
      </c>
      <c r="H58" s="7">
        <v>10</v>
      </c>
      <c r="I58" s="5" t="str">
        <f t="shared" si="1"/>
        <v>(56,'SP4-OK1','Station de Pompage SP4-OK1','2004-05-18','2006-01-22',NULL,1,10),</v>
      </c>
    </row>
    <row r="59" spans="1:9" ht="20.149999999999999" customHeight="1" x14ac:dyDescent="0.35">
      <c r="A59" s="3">
        <v>57</v>
      </c>
      <c r="B59" s="8" t="s">
        <v>121</v>
      </c>
      <c r="C59" s="5" t="s">
        <v>122</v>
      </c>
      <c r="D59" s="6">
        <v>37327</v>
      </c>
      <c r="E59" s="6">
        <v>37950</v>
      </c>
      <c r="F59" s="7" t="s">
        <v>20</v>
      </c>
      <c r="G59" s="7">
        <v>1</v>
      </c>
      <c r="H59" s="7">
        <v>10</v>
      </c>
      <c r="I59" s="5" t="str">
        <f t="shared" si="1"/>
        <v>(57,'SP1-OB1','Station de Pompage SP1-OB1','2002-03-12','2003-11-25',NULL,1,10),</v>
      </c>
    </row>
    <row r="60" spans="1:9" ht="20.149999999999999" customHeight="1" x14ac:dyDescent="0.35">
      <c r="A60" s="3">
        <v>58</v>
      </c>
      <c r="B60" s="8" t="s">
        <v>123</v>
      </c>
      <c r="C60" s="5" t="s">
        <v>124</v>
      </c>
      <c r="D60" s="6">
        <v>39649</v>
      </c>
      <c r="E60" s="6">
        <v>40283</v>
      </c>
      <c r="F60" s="7" t="s">
        <v>20</v>
      </c>
      <c r="G60" s="7">
        <v>1</v>
      </c>
      <c r="H60" s="7">
        <v>10</v>
      </c>
      <c r="I60" s="5" t="str">
        <f t="shared" si="1"/>
        <v>(58,'SP1-BIS-OB1','Station de Pompage SP1-BIS-OB1','2008-07-20','2010-04-15',NULL,1,10),</v>
      </c>
    </row>
    <row r="61" spans="1:9" ht="20.149999999999999" customHeight="1" x14ac:dyDescent="0.35">
      <c r="A61" s="3">
        <v>59</v>
      </c>
      <c r="B61" s="8" t="s">
        <v>125</v>
      </c>
      <c r="C61" s="5" t="s">
        <v>126</v>
      </c>
      <c r="D61" s="6">
        <v>37874</v>
      </c>
      <c r="E61" s="6">
        <v>38521</v>
      </c>
      <c r="F61" s="7" t="s">
        <v>20</v>
      </c>
      <c r="G61" s="7">
        <v>1</v>
      </c>
      <c r="H61" s="7">
        <v>10</v>
      </c>
      <c r="I61" s="5" t="str">
        <f t="shared" si="1"/>
        <v>(59,'SP2-OB1','Station de Pompage SP2-OB1','2003-09-10','2005-06-18',NULL,1,10),</v>
      </c>
    </row>
    <row r="62" spans="1:9" ht="20.149999999999999" customHeight="1" x14ac:dyDescent="0.35">
      <c r="A62" s="3">
        <v>60</v>
      </c>
      <c r="B62" s="8" t="s">
        <v>127</v>
      </c>
      <c r="C62" s="5" t="s">
        <v>128</v>
      </c>
      <c r="D62" s="6">
        <v>38326</v>
      </c>
      <c r="E62" s="6">
        <v>38951</v>
      </c>
      <c r="F62" s="7" t="s">
        <v>20</v>
      </c>
      <c r="G62" s="7">
        <v>1</v>
      </c>
      <c r="H62" s="7">
        <v>10</v>
      </c>
      <c r="I62" s="5" t="str">
        <f t="shared" si="1"/>
        <v>(60,'SP3-OB1','Station de Pompage SP3-OB1','2004-12-05','2006-08-22',NULL,1,10),</v>
      </c>
    </row>
    <row r="63" spans="1:9" ht="20.149999999999999" customHeight="1" x14ac:dyDescent="0.35">
      <c r="A63" s="3">
        <v>61</v>
      </c>
      <c r="B63" s="8" t="s">
        <v>129</v>
      </c>
      <c r="C63" s="5" t="s">
        <v>130</v>
      </c>
      <c r="D63" s="6">
        <v>39190</v>
      </c>
      <c r="E63" s="6">
        <v>39843</v>
      </c>
      <c r="F63" s="7" t="s">
        <v>20</v>
      </c>
      <c r="G63" s="7">
        <v>1</v>
      </c>
      <c r="H63" s="7">
        <v>10</v>
      </c>
      <c r="I63" s="5" t="str">
        <f t="shared" si="1"/>
        <v>(61,'SP1-BIS-OG1','Station de Pompage SP1-BIS-OG1','2007-04-18','2009-01-30',NULL,1,10),</v>
      </c>
    </row>
    <row r="64" spans="1:9" ht="20.149999999999999" customHeight="1" x14ac:dyDescent="0.35">
      <c r="A64" s="3">
        <v>62</v>
      </c>
      <c r="B64" s="8" t="s">
        <v>131</v>
      </c>
      <c r="C64" s="5" t="s">
        <v>132</v>
      </c>
      <c r="D64" s="6">
        <v>38405</v>
      </c>
      <c r="E64" s="6">
        <v>39005</v>
      </c>
      <c r="F64" s="7" t="s">
        <v>20</v>
      </c>
      <c r="G64" s="7">
        <v>1</v>
      </c>
      <c r="H64" s="7">
        <v>10</v>
      </c>
      <c r="I64" s="5" t="str">
        <f t="shared" si="1"/>
        <v>(62,'SP1-OT1','Station de Pompage SP1-OT1','2005-02-22','2006-10-15',NULL,1,10),</v>
      </c>
    </row>
    <row r="65" spans="1:9" ht="20.149999999999999" customHeight="1" x14ac:dyDescent="0.35">
      <c r="A65" s="3">
        <v>63</v>
      </c>
      <c r="B65" s="8" t="s">
        <v>133</v>
      </c>
      <c r="C65" s="5" t="s">
        <v>134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(63,'SP2-OT1','Station de Pompage SP2-OT1','2005-02-22','2006-10-15',NULL,1,10),</v>
      </c>
    </row>
    <row r="66" spans="1:9" ht="20.149999999999999" customHeight="1" x14ac:dyDescent="0.35">
      <c r="A66" s="3">
        <v>64</v>
      </c>
      <c r="B66" s="8" t="s">
        <v>135</v>
      </c>
      <c r="C66" s="5" t="s">
        <v>136</v>
      </c>
      <c r="D66" s="6">
        <v>38852</v>
      </c>
      <c r="E66" s="6">
        <v>39467</v>
      </c>
      <c r="F66" s="7" t="s">
        <v>20</v>
      </c>
      <c r="G66" s="7">
        <v>1</v>
      </c>
      <c r="H66" s="7">
        <v>10</v>
      </c>
      <c r="I66" s="5" t="str">
        <f t="shared" si="1"/>
        <v>(64,'SP1-OH1','Station de Pompage SP1-OH1','2006-05-15','2008-01-20',NULL,1,10),</v>
      </c>
    </row>
    <row r="67" spans="1:9" ht="20.149999999999999" customHeight="1" x14ac:dyDescent="0.35">
      <c r="A67" s="3">
        <v>65</v>
      </c>
      <c r="B67" s="8" t="s">
        <v>137</v>
      </c>
      <c r="C67" s="5" t="s">
        <v>138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(65,'SP2-OH1','Station de Pompage SP2-OH1','2006-05-15','2008-01-20',NULL,1,10),</v>
      </c>
    </row>
    <row r="68" spans="1:9" ht="20.149999999999999" customHeight="1" x14ac:dyDescent="0.35">
      <c r="A68" s="3">
        <v>66</v>
      </c>
      <c r="B68" s="8" t="s">
        <v>139</v>
      </c>
      <c r="C68" s="5" t="s">
        <v>140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(66,'SP3-OH1','Station de Pompage SP3-OH1','2006-05-15','2008-01-20',NULL,1,10),</v>
      </c>
    </row>
    <row r="69" spans="1:9" ht="20.149999999999999" customHeight="1" x14ac:dyDescent="0.35">
      <c r="A69" s="14">
        <v>66</v>
      </c>
      <c r="B69" s="15" t="s">
        <v>141</v>
      </c>
      <c r="C69" s="16" t="s">
        <v>142</v>
      </c>
      <c r="D69" s="17">
        <v>38852</v>
      </c>
      <c r="E69" s="17">
        <v>39467</v>
      </c>
      <c r="F69" s="18" t="s">
        <v>20</v>
      </c>
      <c r="G69" s="18">
        <v>1</v>
      </c>
      <c r="H69" s="18">
        <v>10</v>
      </c>
      <c r="I69" s="16" t="str">
        <f t="shared" si="1"/>
        <v>(66,'SP4-OH1','Station de Pompage SP4-OH1','2006-05-15','2008-01-20',NULL,1,10),</v>
      </c>
    </row>
    <row r="70" spans="1:9" ht="20.149999999999999" customHeight="1" x14ac:dyDescent="0.35">
      <c r="A70" s="3">
        <v>67</v>
      </c>
      <c r="B70" s="8" t="s">
        <v>143</v>
      </c>
      <c r="C70" s="5" t="s">
        <v>144</v>
      </c>
      <c r="D70" s="6">
        <v>39304</v>
      </c>
      <c r="E70" s="6">
        <v>39928</v>
      </c>
      <c r="F70" s="7" t="s">
        <v>20</v>
      </c>
      <c r="G70" s="7">
        <v>1</v>
      </c>
      <c r="H70" s="7">
        <v>10</v>
      </c>
      <c r="I70" s="5" t="str">
        <f t="shared" si="1"/>
        <v>(67,'SP1-OD1','Station de Pompage SP1-OD1','2007-08-10','2009-04-25',NULL,1,10),</v>
      </c>
    </row>
    <row r="71" spans="1:9" ht="20.149999999999999" customHeight="1" x14ac:dyDescent="0.35">
      <c r="A71" s="3">
        <v>68</v>
      </c>
      <c r="B71" s="8" t="s">
        <v>145</v>
      </c>
      <c r="C71" s="5" t="s">
        <v>146</v>
      </c>
      <c r="D71" s="6">
        <v>39767</v>
      </c>
      <c r="E71" s="6">
        <v>40389</v>
      </c>
      <c r="F71" s="7" t="s">
        <v>20</v>
      </c>
      <c r="G71" s="7">
        <v>1</v>
      </c>
      <c r="H71" s="7">
        <v>10</v>
      </c>
      <c r="I71" s="5" t="str">
        <f t="shared" si="1"/>
        <v>(68,'SP1-OH2','Station de Pompage SP1-OH2','2008-11-15','2010-07-30',NULL,1,10),</v>
      </c>
    </row>
    <row r="72" spans="1:9" ht="20.149999999999999" customHeight="1" x14ac:dyDescent="0.35">
      <c r="A72" s="3">
        <v>69</v>
      </c>
      <c r="B72" s="8" t="s">
        <v>147</v>
      </c>
      <c r="C72" s="5" t="s">
        <v>148</v>
      </c>
      <c r="D72" s="6">
        <v>39892</v>
      </c>
      <c r="E72" s="6">
        <v>40558</v>
      </c>
      <c r="F72" s="7" t="s">
        <v>20</v>
      </c>
      <c r="G72" s="7">
        <v>1</v>
      </c>
      <c r="H72" s="7">
        <v>10</v>
      </c>
      <c r="I72" s="5" t="str">
        <f t="shared" si="1"/>
        <v>(69,'SP1-OH3/OH4','Station de Pompage SP1-OH3/OH4','2009-03-20','2011-01-15',NULL,1,10),</v>
      </c>
    </row>
    <row r="73" spans="1:9" ht="20.149999999999999" customHeight="1" x14ac:dyDescent="0.35">
      <c r="A73" s="3">
        <v>70</v>
      </c>
      <c r="B73" s="8" t="s">
        <v>149</v>
      </c>
      <c r="C73" s="5" t="s">
        <v>150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(70,'SP2-OH3/OH4','Station de Pompage SP2-OH3/OH4','2009-03-20','2011-01-15',NULL,1,10),</v>
      </c>
    </row>
    <row r="74" spans="1:9" ht="20.149999999999999" customHeight="1" x14ac:dyDescent="0.35">
      <c r="A74" s="3">
        <v>71</v>
      </c>
      <c r="B74" s="8" t="s">
        <v>151</v>
      </c>
      <c r="C74" s="5" t="s">
        <v>152</v>
      </c>
      <c r="D74" s="6">
        <v>40337</v>
      </c>
      <c r="E74" s="6">
        <v>40990</v>
      </c>
      <c r="F74" s="7" t="s">
        <v>20</v>
      </c>
      <c r="G74" s="7">
        <v>1</v>
      </c>
      <c r="H74" s="7">
        <v>10</v>
      </c>
      <c r="I74" s="5" t="str">
        <f t="shared" si="1"/>
        <v>(71,'SP4-NZ1','Station de Pompage SP4-NZ1','2010-06-08','2012-03-22',NULL,1,10),</v>
      </c>
    </row>
    <row r="75" spans="1:9" ht="20.149999999999999" customHeight="1" x14ac:dyDescent="0.35">
      <c r="A75" s="3">
        <v>72</v>
      </c>
      <c r="B75" s="8" t="s">
        <v>153</v>
      </c>
      <c r="C75" s="5" t="s">
        <v>154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(72,'SP5-NZ1','Station de Pompage SP5-NZ1','2010-06-08','2012-03-22',NULL,1,10),</v>
      </c>
    </row>
    <row r="76" spans="1:9" ht="20.149999999999999" customHeight="1" x14ac:dyDescent="0.35">
      <c r="A76" s="3">
        <v>73</v>
      </c>
      <c r="B76" s="8" t="s">
        <v>155</v>
      </c>
      <c r="C76" s="5" t="s">
        <v>156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(73,'SP6-NZ1','Station de Pompage SP6-NZ1','2010-06-08','2012-03-22',NULL,1,10),</v>
      </c>
    </row>
    <row r="77" spans="1:9" ht="20.149999999999999" customHeight="1" x14ac:dyDescent="0.35">
      <c r="A77" s="3">
        <v>74</v>
      </c>
      <c r="B77" s="8" t="s">
        <v>157</v>
      </c>
      <c r="C77" s="5" t="s">
        <v>158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(74,'PRS-NZ1','Station de Régulation PRS-NZ1','2010-06-08','2012-03-22',NULL,1,10),</v>
      </c>
    </row>
    <row r="78" spans="1:9" ht="20.149999999999999" customHeight="1" x14ac:dyDescent="0.35">
      <c r="A78" s="3">
        <v>75</v>
      </c>
      <c r="B78" s="8" t="s">
        <v>159</v>
      </c>
      <c r="C78" s="5" t="s">
        <v>160</v>
      </c>
      <c r="D78" s="6">
        <v>40798</v>
      </c>
      <c r="E78" s="6">
        <v>41443</v>
      </c>
      <c r="F78" s="7" t="s">
        <v>20</v>
      </c>
      <c r="G78" s="7">
        <v>1</v>
      </c>
      <c r="H78" s="7">
        <v>10</v>
      </c>
      <c r="I78" s="5" t="str">
        <f t="shared" si="1"/>
        <v>(75,'SP1-NK1','Station de Pompage SP1-NK1','2011-09-12','2013-06-18',NULL,1,10),</v>
      </c>
    </row>
    <row r="79" spans="1:9" ht="20.149999999999999" customHeight="1" x14ac:dyDescent="0.35">
      <c r="A79" s="3">
        <v>76</v>
      </c>
      <c r="B79" s="8" t="s">
        <v>161</v>
      </c>
      <c r="C79" s="5" t="s">
        <v>162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(76,'SP3-NK1','Station de Pompage SP3-NK1','2011-09-12','2013-06-18',NULL,1,10),</v>
      </c>
    </row>
    <row r="80" spans="1:9" ht="20.149999999999999" customHeight="1" x14ac:dyDescent="0.35">
      <c r="A80" s="3">
        <v>77</v>
      </c>
      <c r="B80" s="8" t="s">
        <v>163</v>
      </c>
      <c r="C80" s="5" t="s">
        <v>164</v>
      </c>
      <c r="D80" s="6">
        <v>40954</v>
      </c>
      <c r="E80" s="6">
        <v>41598</v>
      </c>
      <c r="F80" s="7" t="s">
        <v>20</v>
      </c>
      <c r="G80" s="7">
        <v>1</v>
      </c>
      <c r="H80" s="7">
        <v>10</v>
      </c>
      <c r="I80" s="5" t="str">
        <f t="shared" ref="I80:I143" si="2">CONCATENATE("(",A80,",'",B80,"','",C80,"','",TEXT(D80,"aaaa-mm-jj"),"','",TEXT(E80,"aaaa-mm-jj"),"',",F80,",",G80,",",H80,"),")</f>
        <v>(77,'SP4-LNZ1','Station de Pompage SP4-LNZ1','2012-02-15','2013-11-20',NULL,1,10),</v>
      </c>
    </row>
    <row r="81" spans="1:9" ht="20.149999999999999" customHeight="1" x14ac:dyDescent="0.35">
      <c r="A81" s="3">
        <v>78</v>
      </c>
      <c r="B81" s="8" t="s">
        <v>165</v>
      </c>
      <c r="C81" s="5" t="s">
        <v>166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si="2"/>
        <v>(78,'SP5-LNZ1','Station de Pompage SP5-LNZ1','2012-02-15','2013-11-20',NULL,1,10),</v>
      </c>
    </row>
    <row r="82" spans="1:9" ht="20.149999999999999" customHeight="1" x14ac:dyDescent="0.35">
      <c r="A82" s="3">
        <v>79</v>
      </c>
      <c r="B82" s="8" t="s">
        <v>167</v>
      </c>
      <c r="C82" s="5" t="s">
        <v>168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(79,'SP6-LNZ1','Station de Pompage SP6-LNZ1','2012-02-15','2013-11-20',NULL,1,10),</v>
      </c>
    </row>
    <row r="83" spans="1:9" ht="20.149999999999999" customHeight="1" x14ac:dyDescent="0.35">
      <c r="A83" s="3">
        <v>80</v>
      </c>
      <c r="B83" s="8" t="s">
        <v>169</v>
      </c>
      <c r="C83" s="5" t="s">
        <v>170</v>
      </c>
      <c r="D83" s="6">
        <v>41374</v>
      </c>
      <c r="E83" s="6">
        <v>42029</v>
      </c>
      <c r="F83" s="7" t="s">
        <v>20</v>
      </c>
      <c r="G83" s="7">
        <v>1</v>
      </c>
      <c r="H83" s="7">
        <v>10</v>
      </c>
      <c r="I83" s="5" t="str">
        <f t="shared" si="2"/>
        <v>(80,'SP0-LZ1','Station de Pompage SP0-LZ1','2013-04-10','2015-01-25',NULL,1,10),</v>
      </c>
    </row>
    <row r="84" spans="1:9" ht="20.149999999999999" customHeight="1" x14ac:dyDescent="0.35">
      <c r="A84" s="3">
        <v>81</v>
      </c>
      <c r="B84" s="8" t="s">
        <v>171</v>
      </c>
      <c r="C84" s="5" t="s">
        <v>172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(81,'SP1-LZ1','Station de Pompage SP1-LZ1','2013-04-10','2015-01-25',NULL,1,10),</v>
      </c>
    </row>
    <row r="85" spans="1:9" ht="20.149999999999999" customHeight="1" x14ac:dyDescent="0.35">
      <c r="A85" s="3">
        <v>82</v>
      </c>
      <c r="B85" s="8" t="s">
        <v>173</v>
      </c>
      <c r="C85" s="5" t="s">
        <v>174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(82,'SP1-LZ2','Station de Pompage SP1-LZ2','2013-04-10','2015-01-25',NULL,1,10),</v>
      </c>
    </row>
    <row r="86" spans="1:9" ht="20.149999999999999" customHeight="1" x14ac:dyDescent="0.35">
      <c r="A86" s="3">
        <v>83</v>
      </c>
      <c r="B86" s="8" t="s">
        <v>175</v>
      </c>
      <c r="C86" s="5" t="s">
        <v>176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(83,'PRS-LZ1/LZ2','Station de Régulation PRS-LZ1/LZ2','2013-04-10','2015-01-25',NULL,1,10),</v>
      </c>
    </row>
    <row r="87" spans="1:9" ht="20.149999999999999" customHeight="1" x14ac:dyDescent="0.35">
      <c r="A87" s="3">
        <v>84</v>
      </c>
      <c r="B87" s="8" t="s">
        <v>177</v>
      </c>
      <c r="C87" s="5" t="s">
        <v>178</v>
      </c>
      <c r="D87" s="6">
        <v>41838</v>
      </c>
      <c r="E87" s="6">
        <v>42490</v>
      </c>
      <c r="F87" s="7" t="s">
        <v>20</v>
      </c>
      <c r="G87" s="7">
        <v>1</v>
      </c>
      <c r="H87" s="7">
        <v>10</v>
      </c>
      <c r="I87" s="5" t="str">
        <f t="shared" si="2"/>
        <v>(84,'SPRN-LR1','Station de Pompage SPRN-LR1','2014-07-18','2016-04-30',NULL,1,10),</v>
      </c>
    </row>
    <row r="88" spans="1:9" ht="20.149999999999999" customHeight="1" x14ac:dyDescent="0.35">
      <c r="A88" s="3">
        <v>85</v>
      </c>
      <c r="B88" s="8" t="s">
        <v>179</v>
      </c>
      <c r="C88" s="5" t="s">
        <v>180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(85,'SP0-LR1','Station de Pompage SP1-LR1','2014-07-18','2016-04-30',NULL,1,10),</v>
      </c>
    </row>
    <row r="89" spans="1:9" ht="20.149999999999999" customHeight="1" x14ac:dyDescent="0.35">
      <c r="A89" s="3">
        <v>86</v>
      </c>
      <c r="B89" s="8" t="s">
        <v>181</v>
      </c>
      <c r="C89" s="5" t="s">
        <v>180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(86,'SP1-LR1','Station de Pompage SP1-LR1','2014-07-18','2016-04-30',NULL,1,10),</v>
      </c>
    </row>
    <row r="90" spans="1:9" ht="20.149999999999999" customHeight="1" x14ac:dyDescent="0.35">
      <c r="A90" s="3">
        <v>87</v>
      </c>
      <c r="B90" s="8" t="s">
        <v>182</v>
      </c>
      <c r="C90" s="5" t="s">
        <v>183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(87,'SP2-LR1','Station de Pompage SP2-LR1','2014-07-18','2016-04-30',NULL,1,10),</v>
      </c>
    </row>
    <row r="91" spans="1:9" ht="20.149999999999999" customHeight="1" x14ac:dyDescent="0.35">
      <c r="A91" s="3">
        <v>88</v>
      </c>
      <c r="B91" s="8" t="s">
        <v>184</v>
      </c>
      <c r="C91" s="5" t="s">
        <v>185</v>
      </c>
      <c r="D91" s="6">
        <v>42299</v>
      </c>
      <c r="E91" s="6">
        <v>42962</v>
      </c>
      <c r="F91" s="7" t="s">
        <v>20</v>
      </c>
      <c r="G91" s="7">
        <v>1</v>
      </c>
      <c r="H91" s="7">
        <v>10</v>
      </c>
      <c r="I91" s="5" t="str">
        <f t="shared" si="2"/>
        <v>(88,'SP1-LNZ1','Station de Pompage SP1-LNZ1','2015-10-22','2017-08-15',NULL,1,10),</v>
      </c>
    </row>
    <row r="92" spans="1:9" ht="20.149999999999999" customHeight="1" x14ac:dyDescent="0.35">
      <c r="A92" s="3">
        <v>89</v>
      </c>
      <c r="B92" s="8" t="s">
        <v>186</v>
      </c>
      <c r="C92" s="5" t="s">
        <v>187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(89,'SP3-LNZ1','Station de Pompage SP3-LNZ1','2015-10-22','2017-08-15',NULL,1,10),</v>
      </c>
    </row>
    <row r="93" spans="1:9" ht="20.149999999999999" customHeight="1" x14ac:dyDescent="0.35">
      <c r="A93" s="3">
        <v>90</v>
      </c>
      <c r="B93" s="8" t="s">
        <v>188</v>
      </c>
      <c r="C93" s="5" t="s">
        <v>189</v>
      </c>
      <c r="D93" s="6">
        <v>36566</v>
      </c>
      <c r="E93" s="6">
        <v>37271</v>
      </c>
      <c r="F93" s="7" t="s">
        <v>20</v>
      </c>
      <c r="G93" s="7">
        <v>1</v>
      </c>
      <c r="H93" s="7">
        <v>10</v>
      </c>
      <c r="I93" s="5" t="str">
        <f t="shared" si="2"/>
        <v>(90,'SC1-GZ0','Station de Compression SC1-GZ0','2000-02-10','2002-01-15',NULL,1,10),</v>
      </c>
    </row>
    <row r="94" spans="1:9" ht="20.149999999999999" customHeight="1" x14ac:dyDescent="0.35">
      <c r="A94" s="3">
        <v>91</v>
      </c>
      <c r="B94" s="8" t="s">
        <v>190</v>
      </c>
      <c r="C94" s="5" t="s">
        <v>191</v>
      </c>
      <c r="D94" s="6">
        <v>36566</v>
      </c>
      <c r="E94" s="6">
        <v>37271</v>
      </c>
      <c r="F94" s="7" t="s">
        <v>20</v>
      </c>
      <c r="G94" s="7">
        <v>1</v>
      </c>
      <c r="H94" s="7">
        <v>10</v>
      </c>
      <c r="I94" s="5" t="str">
        <f t="shared" si="2"/>
        <v>(91,'SC2-GZ0','Station de Compression SC2-GZ0','2000-02-10','2002-01-15',NULL,1,10),</v>
      </c>
    </row>
    <row r="95" spans="1:9" ht="20.149999999999999" customHeight="1" x14ac:dyDescent="0.35">
      <c r="A95" s="3">
        <v>92</v>
      </c>
      <c r="B95" s="8" t="s">
        <v>192</v>
      </c>
      <c r="C95" s="5" t="s">
        <v>193</v>
      </c>
      <c r="D95" s="6">
        <v>36566</v>
      </c>
      <c r="E95" s="6">
        <v>37271</v>
      </c>
      <c r="F95" s="7" t="s">
        <v>20</v>
      </c>
      <c r="G95" s="7">
        <v>1</v>
      </c>
      <c r="H95" s="7">
        <v>10</v>
      </c>
      <c r="I95" s="5" t="str">
        <f t="shared" si="2"/>
        <v>(92,'SC3-GZ0','Station de Compression SC3-GZ0','2000-02-10','2002-01-15',NULL,1,10),</v>
      </c>
    </row>
    <row r="96" spans="1:9" ht="20.149999999999999" customHeight="1" x14ac:dyDescent="0.35">
      <c r="A96" s="3">
        <v>93</v>
      </c>
      <c r="B96" s="8" t="s">
        <v>194</v>
      </c>
      <c r="C96" s="5" t="s">
        <v>195</v>
      </c>
      <c r="D96" s="6">
        <v>36566</v>
      </c>
      <c r="E96" s="6">
        <v>37271</v>
      </c>
      <c r="F96" s="7" t="s">
        <v>20</v>
      </c>
      <c r="G96" s="7">
        <v>1</v>
      </c>
      <c r="H96" s="7">
        <v>10</v>
      </c>
      <c r="I96" s="5" t="str">
        <f t="shared" si="2"/>
        <v>(93,'SC4-GZ0','Station de Compression SC4-GZ0','2000-02-10','2002-01-15',NULL,1,10),</v>
      </c>
    </row>
    <row r="97" spans="1:9" ht="20.149999999999999" customHeight="1" x14ac:dyDescent="0.35">
      <c r="A97" s="3">
        <v>94</v>
      </c>
      <c r="B97" s="8" t="s">
        <v>196</v>
      </c>
      <c r="C97" s="5" t="s">
        <v>197</v>
      </c>
      <c r="D97" s="6">
        <v>37756</v>
      </c>
      <c r="E97" s="6">
        <v>38462</v>
      </c>
      <c r="F97" s="7" t="s">
        <v>20</v>
      </c>
      <c r="G97" s="7">
        <v>1</v>
      </c>
      <c r="H97" s="7">
        <v>10</v>
      </c>
      <c r="I97" s="5" t="str">
        <f t="shared" si="2"/>
        <v>(94,'SC1-GZ1','Station de Compression SC1-GZ1','2003-05-15','2005-04-20',NULL,1,10),</v>
      </c>
    </row>
    <row r="98" spans="1:9" ht="20.149999999999999" customHeight="1" x14ac:dyDescent="0.35">
      <c r="A98" s="3">
        <v>95</v>
      </c>
      <c r="B98" s="8" t="s">
        <v>198</v>
      </c>
      <c r="C98" s="5" t="s">
        <v>199</v>
      </c>
      <c r="D98" s="6">
        <v>37756</v>
      </c>
      <c r="E98" s="6">
        <v>38462</v>
      </c>
      <c r="F98" s="7" t="s">
        <v>20</v>
      </c>
      <c r="G98" s="7">
        <v>1</v>
      </c>
      <c r="H98" s="7">
        <v>10</v>
      </c>
      <c r="I98" s="5" t="str">
        <f t="shared" si="2"/>
        <v>(95,'SC1-GZ2','Station de Compression SC1-GZ2','2003-05-15','2005-04-20',NULL,1,10),</v>
      </c>
    </row>
    <row r="99" spans="1:9" ht="20.149999999999999" customHeight="1" x14ac:dyDescent="0.35">
      <c r="A99" s="3">
        <v>96</v>
      </c>
      <c r="B99" s="8" t="s">
        <v>200</v>
      </c>
      <c r="C99" s="5" t="s">
        <v>201</v>
      </c>
      <c r="D99" s="6">
        <v>37756</v>
      </c>
      <c r="E99" s="6">
        <v>38462</v>
      </c>
      <c r="F99" s="7" t="s">
        <v>20</v>
      </c>
      <c r="G99" s="7">
        <v>1</v>
      </c>
      <c r="H99" s="7">
        <v>10</v>
      </c>
      <c r="I99" s="5" t="str">
        <f t="shared" si="2"/>
        <v>(96,'SC1-GZ3','Station de Compression SC1-GZ3','2003-05-15','2005-04-20',NULL,1,10),</v>
      </c>
    </row>
    <row r="100" spans="1:9" ht="20.149999999999999" customHeight="1" x14ac:dyDescent="0.35">
      <c r="A100" s="3">
        <v>97</v>
      </c>
      <c r="B100" s="8" t="s">
        <v>202</v>
      </c>
      <c r="C100" s="5" t="s">
        <v>203</v>
      </c>
      <c r="D100" s="6">
        <v>38219</v>
      </c>
      <c r="E100" s="6">
        <v>38923</v>
      </c>
      <c r="F100" s="7" t="s">
        <v>20</v>
      </c>
      <c r="G100" s="7">
        <v>1</v>
      </c>
      <c r="H100" s="7">
        <v>10</v>
      </c>
      <c r="I100" s="5" t="str">
        <f t="shared" si="2"/>
        <v>(97,'SC2-GZ1','Station de Compression SC2-GZ1','2004-08-20','2006-07-25',NULL,1,10),</v>
      </c>
    </row>
    <row r="101" spans="1:9" ht="20.149999999999999" customHeight="1" x14ac:dyDescent="0.35">
      <c r="A101" s="3">
        <v>98</v>
      </c>
      <c r="B101" s="8" t="s">
        <v>204</v>
      </c>
      <c r="C101" s="5" t="s">
        <v>205</v>
      </c>
      <c r="D101" s="6">
        <v>38219</v>
      </c>
      <c r="E101" s="6">
        <v>38923</v>
      </c>
      <c r="F101" s="7" t="s">
        <v>20</v>
      </c>
      <c r="G101" s="7">
        <v>1</v>
      </c>
      <c r="H101" s="7">
        <v>10</v>
      </c>
      <c r="I101" s="5" t="str">
        <f t="shared" si="2"/>
        <v>(98,'SC2-GZ2','Station de Compression SC2-GZ2','2004-08-20','2006-07-25',NULL,1,10),</v>
      </c>
    </row>
    <row r="102" spans="1:9" ht="20.149999999999999" customHeight="1" x14ac:dyDescent="0.35">
      <c r="A102" s="3">
        <v>99</v>
      </c>
      <c r="B102" s="8" t="s">
        <v>206</v>
      </c>
      <c r="C102" s="5" t="s">
        <v>207</v>
      </c>
      <c r="D102" s="6">
        <v>38219</v>
      </c>
      <c r="E102" s="6">
        <v>38923</v>
      </c>
      <c r="F102" s="7" t="s">
        <v>20</v>
      </c>
      <c r="G102" s="7">
        <v>1</v>
      </c>
      <c r="H102" s="7">
        <v>10</v>
      </c>
      <c r="I102" s="5" t="str">
        <f t="shared" si="2"/>
        <v>(99,'SC2-GZ3','Station de Compression SC2-GZ3','2004-08-20','2006-07-25',NULL,1,10),</v>
      </c>
    </row>
    <row r="103" spans="1:9" ht="20.149999999999999" customHeight="1" x14ac:dyDescent="0.35">
      <c r="A103" s="3">
        <v>100</v>
      </c>
      <c r="B103" s="8" t="s">
        <v>208</v>
      </c>
      <c r="C103" s="5" t="s">
        <v>209</v>
      </c>
      <c r="D103" s="6">
        <v>38666</v>
      </c>
      <c r="E103" s="6">
        <v>39370</v>
      </c>
      <c r="F103" s="7" t="s">
        <v>20</v>
      </c>
      <c r="G103" s="7">
        <v>1</v>
      </c>
      <c r="H103" s="7">
        <v>10</v>
      </c>
      <c r="I103" s="5" t="str">
        <f t="shared" si="2"/>
        <v>(100,'SC3-GZ1','Station de Compression SC3-GZ1','2005-11-10','2007-10-15',NULL,1,10),</v>
      </c>
    </row>
    <row r="104" spans="1:9" ht="20.149999999999999" customHeight="1" x14ac:dyDescent="0.35">
      <c r="A104" s="3">
        <v>101</v>
      </c>
      <c r="B104" s="8" t="s">
        <v>210</v>
      </c>
      <c r="C104" s="5" t="s">
        <v>211</v>
      </c>
      <c r="D104" s="6">
        <v>38666</v>
      </c>
      <c r="E104" s="6">
        <v>39370</v>
      </c>
      <c r="F104" s="7" t="s">
        <v>20</v>
      </c>
      <c r="G104" s="7">
        <v>1</v>
      </c>
      <c r="H104" s="7">
        <v>10</v>
      </c>
      <c r="I104" s="5" t="str">
        <f t="shared" si="2"/>
        <v>(101,'SC3-GZ2','Station de Compression SC3-GZ2','2005-11-10','2007-10-15',NULL,1,10),</v>
      </c>
    </row>
    <row r="105" spans="1:9" ht="20.149999999999999" customHeight="1" x14ac:dyDescent="0.35">
      <c r="A105" s="3">
        <v>102</v>
      </c>
      <c r="B105" s="8" t="s">
        <v>212</v>
      </c>
      <c r="C105" s="5" t="s">
        <v>213</v>
      </c>
      <c r="D105" s="6">
        <v>38666</v>
      </c>
      <c r="E105" s="6">
        <v>39370</v>
      </c>
      <c r="F105" s="7" t="s">
        <v>20</v>
      </c>
      <c r="G105" s="7">
        <v>1</v>
      </c>
      <c r="H105" s="7">
        <v>10</v>
      </c>
      <c r="I105" s="5" t="str">
        <f t="shared" si="2"/>
        <v>(102,'SC3-GZ3','Station de Compression SC3-GZ3','2005-11-10','2007-10-15',NULL,1,10),</v>
      </c>
    </row>
    <row r="106" spans="1:9" ht="20.149999999999999" customHeight="1" x14ac:dyDescent="0.35">
      <c r="A106" s="3">
        <v>103</v>
      </c>
      <c r="B106" s="8" t="s">
        <v>214</v>
      </c>
      <c r="C106" s="5" t="s">
        <v>215</v>
      </c>
      <c r="D106" s="6">
        <v>38791</v>
      </c>
      <c r="E106" s="6">
        <v>39498</v>
      </c>
      <c r="F106" s="7" t="s">
        <v>20</v>
      </c>
      <c r="G106" s="7">
        <v>1</v>
      </c>
      <c r="H106" s="7">
        <v>10</v>
      </c>
      <c r="I106" s="5" t="str">
        <f t="shared" si="2"/>
        <v>(103,'SC4-GZ1','Station de Compression SC4-GZ1','2006-03-15','2008-02-20',NULL,1,10),</v>
      </c>
    </row>
    <row r="107" spans="1:9" ht="20.149999999999999" customHeight="1" x14ac:dyDescent="0.35">
      <c r="A107" s="3">
        <v>104</v>
      </c>
      <c r="B107" s="8" t="s">
        <v>216</v>
      </c>
      <c r="C107" s="5" t="s">
        <v>217</v>
      </c>
      <c r="D107" s="6">
        <v>38791</v>
      </c>
      <c r="E107" s="6">
        <v>39498</v>
      </c>
      <c r="F107" s="7" t="s">
        <v>20</v>
      </c>
      <c r="G107" s="7">
        <v>1</v>
      </c>
      <c r="H107" s="7">
        <v>10</v>
      </c>
      <c r="I107" s="5" t="str">
        <f t="shared" si="2"/>
        <v>(104,'SC4-GZ2','Station de Compression SC4-GZ2','2006-03-15','2008-02-20',NULL,1,10),</v>
      </c>
    </row>
    <row r="108" spans="1:9" ht="20.149999999999999" customHeight="1" x14ac:dyDescent="0.35">
      <c r="A108" s="3">
        <v>105</v>
      </c>
      <c r="B108" s="8" t="s">
        <v>218</v>
      </c>
      <c r="C108" s="5" t="s">
        <v>219</v>
      </c>
      <c r="D108" s="6">
        <v>38791</v>
      </c>
      <c r="E108" s="6">
        <v>39498</v>
      </c>
      <c r="F108" s="7" t="s">
        <v>20</v>
      </c>
      <c r="G108" s="7">
        <v>1</v>
      </c>
      <c r="H108" s="7">
        <v>10</v>
      </c>
      <c r="I108" s="5" t="str">
        <f t="shared" si="2"/>
        <v>(105,'SC4-GZ3','Station de Compression SC4-GZ3','2006-03-15','2008-02-20',NULL,1,10),</v>
      </c>
    </row>
    <row r="109" spans="1:9" ht="20.149999999999999" customHeight="1" x14ac:dyDescent="0.35">
      <c r="A109" s="3">
        <v>106</v>
      </c>
      <c r="B109" s="8" t="s">
        <v>220</v>
      </c>
      <c r="C109" s="5" t="s">
        <v>221</v>
      </c>
      <c r="D109" s="6">
        <v>39253</v>
      </c>
      <c r="E109" s="6">
        <v>39958</v>
      </c>
      <c r="F109" s="7" t="s">
        <v>20</v>
      </c>
      <c r="G109" s="7">
        <v>1</v>
      </c>
      <c r="H109" s="7">
        <v>10</v>
      </c>
      <c r="I109" s="5" t="str">
        <f t="shared" si="2"/>
        <v>(106,'SC5-GZ1','Station de Compression SC5-GZ1','2007-06-20','2009-05-25',NULL,1,10),</v>
      </c>
    </row>
    <row r="110" spans="1:9" ht="20.149999999999999" customHeight="1" x14ac:dyDescent="0.35">
      <c r="A110" s="3">
        <v>107</v>
      </c>
      <c r="B110" s="8" t="s">
        <v>222</v>
      </c>
      <c r="C110" s="5" t="s">
        <v>223</v>
      </c>
      <c r="D110" s="6">
        <v>39253</v>
      </c>
      <c r="E110" s="6">
        <v>39958</v>
      </c>
      <c r="F110" s="7" t="s">
        <v>20</v>
      </c>
      <c r="G110" s="7">
        <v>1</v>
      </c>
      <c r="H110" s="7">
        <v>10</v>
      </c>
      <c r="I110" s="5" t="str">
        <f t="shared" si="2"/>
        <v>(107,'SC5-GZ2','Station de Compression SC5-GZ2','2007-06-20','2009-05-25',NULL,1,10),</v>
      </c>
    </row>
    <row r="111" spans="1:9" ht="20.149999999999999" customHeight="1" x14ac:dyDescent="0.35">
      <c r="A111" s="3">
        <v>108</v>
      </c>
      <c r="B111" s="8" t="s">
        <v>224</v>
      </c>
      <c r="C111" s="5" t="s">
        <v>225</v>
      </c>
      <c r="D111" s="6">
        <v>39253</v>
      </c>
      <c r="E111" s="6">
        <v>39958</v>
      </c>
      <c r="F111" s="7" t="s">
        <v>20</v>
      </c>
      <c r="G111" s="7">
        <v>1</v>
      </c>
      <c r="H111" s="7">
        <v>10</v>
      </c>
      <c r="I111" s="5" t="str">
        <f t="shared" si="2"/>
        <v>(108,'SC5-GZ3','Station de Compression SC5-GZ3','2007-06-20','2009-05-25',NULL,1,10),</v>
      </c>
    </row>
    <row r="112" spans="1:9" ht="20.149999999999999" customHeight="1" x14ac:dyDescent="0.35">
      <c r="A112" s="3">
        <v>109</v>
      </c>
      <c r="B112" s="8" t="s">
        <v>226</v>
      </c>
      <c r="C112" s="5" t="s">
        <v>227</v>
      </c>
      <c r="D112" s="6">
        <v>39703</v>
      </c>
      <c r="E112" s="6">
        <v>40408</v>
      </c>
      <c r="F112" s="7" t="s">
        <v>20</v>
      </c>
      <c r="G112" s="7">
        <v>1</v>
      </c>
      <c r="H112" s="7">
        <v>10</v>
      </c>
      <c r="I112" s="5" t="str">
        <f t="shared" si="2"/>
        <v>(109,'SC3-GPDF','Station de Compression SC3-GPDF','2008-09-12','2010-08-18',NULL,1,10),</v>
      </c>
    </row>
    <row r="113" spans="1:9" ht="20.149999999999999" customHeight="1" x14ac:dyDescent="0.35">
      <c r="A113" s="3">
        <v>110</v>
      </c>
      <c r="B113" s="8" t="s">
        <v>228</v>
      </c>
      <c r="C113" s="5" t="s">
        <v>229</v>
      </c>
      <c r="D113" s="6">
        <v>40152</v>
      </c>
      <c r="E113" s="6">
        <v>40857</v>
      </c>
      <c r="F113" s="7" t="s">
        <v>20</v>
      </c>
      <c r="G113" s="7">
        <v>1</v>
      </c>
      <c r="H113" s="7">
        <v>10</v>
      </c>
      <c r="I113" s="5" t="str">
        <f t="shared" si="2"/>
        <v>(110,'SC1-GK1','Station de Compression SC1-GK1','2009-12-05','2011-11-10',NULL,1,10),</v>
      </c>
    </row>
    <row r="114" spans="1:9" ht="20.149999999999999" customHeight="1" x14ac:dyDescent="0.35">
      <c r="A114" s="3">
        <v>111</v>
      </c>
      <c r="B114" s="8" t="s">
        <v>230</v>
      </c>
      <c r="C114" s="5" t="s">
        <v>231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(111,'SC2-GK1','Station de Compression SC2-GK1','2009-12-05','2011-11-10',NULL,1,10),</v>
      </c>
    </row>
    <row r="115" spans="1:9" ht="20.149999999999999" customHeight="1" x14ac:dyDescent="0.35">
      <c r="A115" s="3">
        <v>112</v>
      </c>
      <c r="B115" s="8" t="s">
        <v>232</v>
      </c>
      <c r="C115" s="5" t="s">
        <v>233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(112,'SC3-GK1','Station de Compression SC3-GK1','2009-12-05','2011-11-10',NULL,1,10),</v>
      </c>
    </row>
    <row r="116" spans="1:9" ht="20.149999999999999" customHeight="1" x14ac:dyDescent="0.35">
      <c r="A116" s="3">
        <v>113</v>
      </c>
      <c r="B116" s="8" t="s">
        <v>234</v>
      </c>
      <c r="C116" s="5" t="s">
        <v>235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(113,'SC4-GK1','Station de Compression SC4-GK1','2009-12-05','2011-11-10',NULL,1,10),</v>
      </c>
    </row>
    <row r="117" spans="1:9" ht="20.149999999999999" customHeight="1" x14ac:dyDescent="0.35">
      <c r="A117" s="3">
        <v>114</v>
      </c>
      <c r="B117" s="8" t="s">
        <v>236</v>
      </c>
      <c r="C117" s="5" t="s">
        <v>237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(114,'SC5-GK1','Station de Compression SC5-GK1','2009-12-05','2011-11-10',NULL,1,10),</v>
      </c>
    </row>
    <row r="118" spans="1:9" ht="20.149999999999999" customHeight="1" x14ac:dyDescent="0.35">
      <c r="A118" s="3">
        <v>115</v>
      </c>
      <c r="B118" s="8" t="s">
        <v>238</v>
      </c>
      <c r="C118" s="5" t="s">
        <v>239</v>
      </c>
      <c r="D118" s="6">
        <v>40283</v>
      </c>
      <c r="E118" s="6">
        <v>40988</v>
      </c>
      <c r="F118" s="7" t="s">
        <v>20</v>
      </c>
      <c r="G118" s="7">
        <v>1</v>
      </c>
      <c r="H118" s="7">
        <v>10</v>
      </c>
      <c r="I118" s="5" t="str">
        <f t="shared" si="2"/>
        <v>(115,'S01-GO2','Station de Compression S01-GO2','2010-04-15','2012-03-20',NULL,1,10),</v>
      </c>
    </row>
    <row r="119" spans="1:9" ht="20.149999999999999" customHeight="1" x14ac:dyDescent="0.35">
      <c r="A119" s="3">
        <v>116</v>
      </c>
      <c r="B119" s="8" t="s">
        <v>240</v>
      </c>
      <c r="C119" s="5" t="s">
        <v>241</v>
      </c>
      <c r="D119" s="6">
        <v>40744</v>
      </c>
      <c r="E119" s="6">
        <v>41450</v>
      </c>
      <c r="F119" s="7" t="s">
        <v>20</v>
      </c>
      <c r="G119" s="7">
        <v>1</v>
      </c>
      <c r="H119" s="7">
        <v>10</v>
      </c>
      <c r="I119" s="5" t="str">
        <f t="shared" si="2"/>
        <v>(116,'S01-GG1','Station de Compression S01-GG1','2011-07-20','2013-06-25',NULL,1,10),</v>
      </c>
    </row>
    <row r="120" spans="1:9" ht="20.149999999999999" customHeight="1" x14ac:dyDescent="0.35">
      <c r="A120" s="3">
        <v>117</v>
      </c>
      <c r="B120" s="8" t="s">
        <v>242</v>
      </c>
      <c r="C120" s="5" t="s">
        <v>243</v>
      </c>
      <c r="D120" s="6">
        <v>41192</v>
      </c>
      <c r="E120" s="6">
        <v>41897</v>
      </c>
      <c r="F120" s="7" t="s">
        <v>20</v>
      </c>
      <c r="G120" s="7">
        <v>1</v>
      </c>
      <c r="H120" s="7">
        <v>10</v>
      </c>
      <c r="I120" s="5" t="str">
        <f t="shared" si="2"/>
        <v>(117,'S01-GR5','Station de Compression S01-GR5','2012-10-10','2014-09-15',NULL,1,10),</v>
      </c>
    </row>
    <row r="121" spans="1:9" ht="20.149999999999999" customHeight="1" x14ac:dyDescent="0.35">
      <c r="A121" s="3">
        <v>118</v>
      </c>
      <c r="B121" s="8" t="s">
        <v>244</v>
      </c>
      <c r="C121" s="5" t="s">
        <v>245</v>
      </c>
      <c r="D121" s="6">
        <v>41323</v>
      </c>
      <c r="E121" s="6">
        <v>42026</v>
      </c>
      <c r="F121" s="7" t="s">
        <v>20</v>
      </c>
      <c r="G121" s="7">
        <v>1</v>
      </c>
      <c r="H121" s="7">
        <v>10</v>
      </c>
      <c r="I121" s="5" t="str">
        <f t="shared" si="2"/>
        <v>(118,'S01-GR7','Station de Compression S01-GR7','2013-02-18','2015-01-22',NULL,1,10),</v>
      </c>
    </row>
    <row r="122" spans="1:9" ht="20.149999999999999" customHeight="1" x14ac:dyDescent="0.35">
      <c r="A122" s="3">
        <v>119</v>
      </c>
      <c r="B122" s="8" t="s">
        <v>246</v>
      </c>
      <c r="C122" s="5" t="s">
        <v>247</v>
      </c>
      <c r="D122" s="6">
        <v>41781</v>
      </c>
      <c r="E122" s="6">
        <v>42488</v>
      </c>
      <c r="F122" s="7" t="s">
        <v>20</v>
      </c>
      <c r="G122" s="7">
        <v>1</v>
      </c>
      <c r="H122" s="7">
        <v>10</v>
      </c>
      <c r="I122" s="5" t="str">
        <f t="shared" si="2"/>
        <v>(119,'SC-TFT','Station de Compression SC-TFT','2014-05-22','2016-04-28',NULL,1,10),</v>
      </c>
    </row>
    <row r="123" spans="1:9" ht="20.149999999999999" customHeight="1" x14ac:dyDescent="0.35">
      <c r="A123" s="3">
        <v>120</v>
      </c>
      <c r="B123" s="8" t="s">
        <v>248</v>
      </c>
      <c r="C123" s="5" t="s">
        <v>249</v>
      </c>
      <c r="D123" s="6">
        <v>42228</v>
      </c>
      <c r="E123" s="6">
        <v>42934</v>
      </c>
      <c r="F123" s="7" t="s">
        <v>20</v>
      </c>
      <c r="G123" s="7">
        <v>1</v>
      </c>
      <c r="H123" s="7">
        <v>10</v>
      </c>
      <c r="I123" s="5" t="str">
        <f t="shared" si="2"/>
        <v>(120,'SC1-GR2','Station de Compression SC1-GR2','2015-08-12','2017-07-18',NULL,1,10),</v>
      </c>
    </row>
    <row r="124" spans="1:9" ht="20.149999999999999" customHeight="1" x14ac:dyDescent="0.35">
      <c r="A124" s="3">
        <v>121</v>
      </c>
      <c r="B124" s="8" t="s">
        <v>250</v>
      </c>
      <c r="C124" s="5" t="s">
        <v>251</v>
      </c>
      <c r="D124" s="6">
        <v>42228</v>
      </c>
      <c r="E124" s="6">
        <v>42934</v>
      </c>
      <c r="F124" s="7" t="s">
        <v>20</v>
      </c>
      <c r="G124" s="7">
        <v>1</v>
      </c>
      <c r="H124" s="7">
        <v>10</v>
      </c>
      <c r="I124" s="5" t="str">
        <f t="shared" si="2"/>
        <v>(121,'SC2-GR2','Station de Compression SC2-GR2','2015-08-12','2017-07-18',NULL,1,10),</v>
      </c>
    </row>
    <row r="125" spans="1:9" ht="20.149999999999999" customHeight="1" x14ac:dyDescent="0.35">
      <c r="A125" s="3">
        <v>122</v>
      </c>
      <c r="B125" s="8" t="s">
        <v>252</v>
      </c>
      <c r="C125" s="5" t="s">
        <v>253</v>
      </c>
      <c r="D125" s="6">
        <v>42228</v>
      </c>
      <c r="E125" s="6">
        <v>42934</v>
      </c>
      <c r="F125" s="7" t="s">
        <v>20</v>
      </c>
      <c r="G125" s="7">
        <v>1</v>
      </c>
      <c r="H125" s="7">
        <v>10</v>
      </c>
      <c r="I125" s="5" t="str">
        <f t="shared" si="2"/>
        <v>(122,'SC3-GR2','Station de Compression SC3-GR2','2015-08-12','2017-07-18',NULL,1,10),</v>
      </c>
    </row>
    <row r="126" spans="1:9" ht="20.149999999999999" customHeight="1" x14ac:dyDescent="0.35">
      <c r="A126" s="3">
        <v>123</v>
      </c>
      <c r="B126" s="8" t="s">
        <v>254</v>
      </c>
      <c r="C126" s="5" t="s">
        <v>255</v>
      </c>
      <c r="D126" s="6">
        <v>42228</v>
      </c>
      <c r="E126" s="6">
        <v>42934</v>
      </c>
      <c r="F126" s="7" t="s">
        <v>20</v>
      </c>
      <c r="G126" s="7">
        <v>1</v>
      </c>
      <c r="H126" s="7">
        <v>10</v>
      </c>
      <c r="I126" s="5" t="str">
        <f t="shared" si="2"/>
        <v>(123,'SC4-GR2','Station de Compression SC4-GR2','2015-08-12','2017-07-18',NULL,1,10),</v>
      </c>
    </row>
    <row r="127" spans="1:9" ht="20.149999999999999" customHeight="1" x14ac:dyDescent="0.35">
      <c r="A127" s="3">
        <v>124</v>
      </c>
      <c r="B127" s="8" t="s">
        <v>256</v>
      </c>
      <c r="C127" s="5" t="s">
        <v>257</v>
      </c>
      <c r="D127" s="6">
        <v>22903</v>
      </c>
      <c r="E127" s="6">
        <v>23652</v>
      </c>
      <c r="F127" s="7" t="s">
        <v>20</v>
      </c>
      <c r="G127" s="7">
        <v>1</v>
      </c>
      <c r="H127" s="7">
        <v>4</v>
      </c>
      <c r="I127" s="5" t="str">
        <f t="shared" si="2"/>
        <v>(124,'GL1Z','Complexe GNL GL1Z','1962-09-14','1964-10-02',NULL,1,4),</v>
      </c>
    </row>
    <row r="128" spans="1:9" ht="20.149999999999999" customHeight="1" x14ac:dyDescent="0.35">
      <c r="A128" s="3">
        <v>125</v>
      </c>
      <c r="B128" s="8" t="s">
        <v>258</v>
      </c>
      <c r="C128" s="5" t="s">
        <v>259</v>
      </c>
      <c r="D128" s="6">
        <v>28564</v>
      </c>
      <c r="E128" s="6">
        <v>29849</v>
      </c>
      <c r="F128" s="7" t="s">
        <v>20</v>
      </c>
      <c r="G128" s="7">
        <v>1</v>
      </c>
      <c r="H128" s="7">
        <v>4</v>
      </c>
      <c r="I128" s="5" t="str">
        <f t="shared" si="2"/>
        <v>(125,'GL2Z','Complexe GNL GL2Z','1978-03-15','1981-09-20',NULL,1,4),</v>
      </c>
    </row>
    <row r="129" spans="1:9" ht="20.149999999999999" customHeight="1" x14ac:dyDescent="0.35">
      <c r="A129" s="3">
        <v>126</v>
      </c>
      <c r="B129" s="8" t="s">
        <v>260</v>
      </c>
      <c r="C129" s="5" t="s">
        <v>261</v>
      </c>
      <c r="D129" s="6">
        <v>40318</v>
      </c>
      <c r="E129" s="6">
        <v>41618</v>
      </c>
      <c r="F129" s="7" t="s">
        <v>20</v>
      </c>
      <c r="G129" s="7">
        <v>1</v>
      </c>
      <c r="H129" s="7">
        <v>4</v>
      </c>
      <c r="I129" s="5" t="str">
        <f t="shared" si="2"/>
        <v>(126,'GL3Z','Complexe GNL GL3Z','2010-05-20','2013-12-10',NULL,1,4),</v>
      </c>
    </row>
    <row r="130" spans="1:9" ht="20.149999999999999" customHeight="1" x14ac:dyDescent="0.35">
      <c r="A130" s="3">
        <v>127</v>
      </c>
      <c r="B130" s="8" t="s">
        <v>262</v>
      </c>
      <c r="C130" s="5" t="s">
        <v>263</v>
      </c>
      <c r="D130" s="6">
        <v>24473</v>
      </c>
      <c r="E130" s="6">
        <v>26495</v>
      </c>
      <c r="F130" s="7" t="s">
        <v>20</v>
      </c>
      <c r="G130" s="7">
        <v>1</v>
      </c>
      <c r="H130" s="7">
        <v>4</v>
      </c>
      <c r="I130" s="5" t="str">
        <f t="shared" si="2"/>
        <v>(127,'GL1K','Complexe GNL GL1K','1967-01-01','1972-07-15',NULL,1,4),</v>
      </c>
    </row>
    <row r="131" spans="1:9" ht="20.149999999999999" customHeight="1" x14ac:dyDescent="0.35">
      <c r="A131" s="3">
        <v>128</v>
      </c>
      <c r="B131" s="8" t="s">
        <v>264</v>
      </c>
      <c r="C131" s="5" t="s">
        <v>265</v>
      </c>
      <c r="D131" s="6">
        <v>25617</v>
      </c>
      <c r="E131" s="6">
        <v>27240</v>
      </c>
      <c r="F131" s="7" t="s">
        <v>20</v>
      </c>
      <c r="G131" s="7">
        <v>1</v>
      </c>
      <c r="H131" s="7">
        <v>4</v>
      </c>
      <c r="I131" s="5" t="str">
        <f t="shared" si="2"/>
        <v>(128,'GP1Z','Usine GPL GP1Z','1970-02-18','1974-07-30',NULL,1,4),</v>
      </c>
    </row>
    <row r="132" spans="1:9" ht="20.149999999999999" customHeight="1" x14ac:dyDescent="0.35">
      <c r="A132" s="3">
        <v>129</v>
      </c>
      <c r="B132" s="8" t="s">
        <v>266</v>
      </c>
      <c r="C132" s="5" t="s">
        <v>267</v>
      </c>
      <c r="D132" s="6">
        <v>27872</v>
      </c>
      <c r="E132" s="6">
        <v>29509</v>
      </c>
      <c r="F132" s="7" t="s">
        <v>20</v>
      </c>
      <c r="G132" s="7">
        <v>1</v>
      </c>
      <c r="H132" s="7">
        <v>4</v>
      </c>
      <c r="I132" s="5" t="str">
        <f t="shared" si="2"/>
        <v>(129,'GP2Z','Usine GPL GP2Z','1976-04-22','1980-10-15',NULL,1,4),</v>
      </c>
    </row>
    <row r="133" spans="1:9" ht="20.149999999999999" customHeight="1" x14ac:dyDescent="0.35">
      <c r="A133" s="3">
        <v>130</v>
      </c>
      <c r="B133" s="8" t="s">
        <v>268</v>
      </c>
      <c r="C133" s="5" t="s">
        <v>269</v>
      </c>
      <c r="D133" s="6">
        <v>22442</v>
      </c>
      <c r="E133" s="6">
        <v>23456</v>
      </c>
      <c r="F133" s="7" t="s">
        <v>20</v>
      </c>
      <c r="G133" s="7">
        <v>1</v>
      </c>
      <c r="H133" s="7">
        <v>5</v>
      </c>
      <c r="I133" s="5" t="str">
        <f t="shared" si="2"/>
        <v>(130,'RA1G','Raffinerie RA1G','1961-06-10','1964-03-20',NULL,1,5),</v>
      </c>
    </row>
    <row r="134" spans="1:9" ht="20.149999999999999" customHeight="1" x14ac:dyDescent="0.35">
      <c r="A134" s="3">
        <v>131</v>
      </c>
      <c r="B134" s="8" t="s">
        <v>270</v>
      </c>
      <c r="C134" s="5" t="s">
        <v>271</v>
      </c>
      <c r="D134" s="6">
        <v>26191</v>
      </c>
      <c r="E134" s="6">
        <v>27539</v>
      </c>
      <c r="F134" s="7" t="s">
        <v>20</v>
      </c>
      <c r="G134" s="7">
        <v>1</v>
      </c>
      <c r="H134" s="7">
        <v>5</v>
      </c>
      <c r="I134" s="5" t="str">
        <f t="shared" si="2"/>
        <v>(131,'RA1Z','Raffinerie RA1Z','1971-09-15','1975-05-25',NULL,1,5),</v>
      </c>
    </row>
    <row r="135" spans="1:9" ht="20.149999999999999" customHeight="1" x14ac:dyDescent="0.35">
      <c r="A135" s="3">
        <v>132</v>
      </c>
      <c r="B135" s="8" t="s">
        <v>272</v>
      </c>
      <c r="C135" s="5" t="s">
        <v>273</v>
      </c>
      <c r="D135" s="6">
        <v>35023</v>
      </c>
      <c r="E135" s="6">
        <v>36037</v>
      </c>
      <c r="F135" s="7" t="s">
        <v>20</v>
      </c>
      <c r="G135" s="7">
        <v>1</v>
      </c>
      <c r="H135" s="7">
        <v>5</v>
      </c>
      <c r="I135" s="5" t="str">
        <f t="shared" si="2"/>
        <v>(132,'RHM2','Raffinerie RHM2','1995-11-20','1998-08-30',NULL,1,5),</v>
      </c>
    </row>
    <row r="136" spans="1:9" ht="20.149999999999999" customHeight="1" x14ac:dyDescent="0.35">
      <c r="A136" s="3">
        <v>133</v>
      </c>
      <c r="B136" s="8" t="s">
        <v>274</v>
      </c>
      <c r="C136" s="5" t="s">
        <v>275</v>
      </c>
      <c r="D136" s="6">
        <v>28196</v>
      </c>
      <c r="E136" s="6">
        <v>29573</v>
      </c>
      <c r="F136" s="7" t="s">
        <v>20</v>
      </c>
      <c r="G136" s="7">
        <v>1</v>
      </c>
      <c r="H136" s="7">
        <v>5</v>
      </c>
      <c r="I136" s="5" t="str">
        <f t="shared" si="2"/>
        <v>(133,'RA1K','Raffinerie RA1K','1977-03-12','1980-12-18',NULL,1,5),</v>
      </c>
    </row>
    <row r="137" spans="1:9" ht="20.149999999999999" customHeight="1" x14ac:dyDescent="0.35">
      <c r="A137" s="3">
        <v>134</v>
      </c>
      <c r="B137" s="8" t="s">
        <v>276</v>
      </c>
      <c r="C137" s="5" t="s">
        <v>277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(134,'RA2K','Raffinerie RA2K','1977-03-12','1980-12-18',NULL,1,5),</v>
      </c>
    </row>
    <row r="138" spans="1:9" ht="20.149999999999999" customHeight="1" x14ac:dyDescent="0.35">
      <c r="A138" s="3">
        <v>135</v>
      </c>
      <c r="B138" s="8" t="s">
        <v>278</v>
      </c>
      <c r="C138" s="5" t="s">
        <v>279</v>
      </c>
      <c r="D138" s="6">
        <v>24966</v>
      </c>
      <c r="E138" s="6">
        <v>26710</v>
      </c>
      <c r="F138" s="7" t="s">
        <v>20</v>
      </c>
      <c r="G138" s="7">
        <v>1</v>
      </c>
      <c r="H138" s="7">
        <v>5</v>
      </c>
      <c r="I138" s="5" t="str">
        <f t="shared" si="2"/>
        <v>(135,'RA1D','Raffinerie RA1D','1968-05-08','1973-02-15',NULL,1,5),</v>
      </c>
    </row>
    <row r="139" spans="1:9" ht="20.149999999999999" customHeight="1" x14ac:dyDescent="0.35">
      <c r="A139" s="3">
        <v>136</v>
      </c>
      <c r="B139" s="8" t="s">
        <v>280</v>
      </c>
      <c r="C139" s="5" t="s">
        <v>281</v>
      </c>
      <c r="D139" s="6">
        <v>29054</v>
      </c>
      <c r="E139" s="6">
        <v>30277</v>
      </c>
      <c r="F139" s="7" t="s">
        <v>20</v>
      </c>
      <c r="G139" s="7">
        <v>1</v>
      </c>
      <c r="H139" s="7">
        <v>4</v>
      </c>
      <c r="I139" s="5" t="str">
        <f t="shared" si="2"/>
        <v>(136,'CP1Z','Usine de Condensats CP1Z','1979-07-18','1982-11-22',NULL,1,4),</v>
      </c>
    </row>
    <row r="140" spans="1:9" ht="20.149999999999999" customHeight="1" x14ac:dyDescent="0.35">
      <c r="A140" s="3">
        <v>137</v>
      </c>
      <c r="B140" s="8" t="s">
        <v>282</v>
      </c>
      <c r="C140" s="5" t="s">
        <v>283</v>
      </c>
      <c r="D140" s="6">
        <v>29519</v>
      </c>
      <c r="E140" s="6">
        <v>30863</v>
      </c>
      <c r="F140" s="7" t="s">
        <v>20</v>
      </c>
      <c r="G140" s="7">
        <v>1</v>
      </c>
      <c r="H140" s="7">
        <v>4</v>
      </c>
      <c r="I140" s="5" t="str">
        <f t="shared" si="2"/>
        <v>(137,'CP2K','Usine de Condensats CP2K','1980-10-25','1984-06-30',NULL,1,4),</v>
      </c>
    </row>
    <row r="141" spans="1:9" ht="20.149999999999999" customHeight="1" x14ac:dyDescent="0.35">
      <c r="A141" s="3">
        <v>138</v>
      </c>
      <c r="B141" s="8" t="s">
        <v>284</v>
      </c>
      <c r="C141" s="5" t="s">
        <v>285</v>
      </c>
      <c r="D141" s="6">
        <v>25583</v>
      </c>
      <c r="E141" s="6">
        <v>27657</v>
      </c>
      <c r="F141" s="7" t="s">
        <v>20</v>
      </c>
      <c r="G141" s="7">
        <v>1</v>
      </c>
      <c r="H141" s="7">
        <v>5</v>
      </c>
      <c r="I141" s="5" t="str">
        <f t="shared" si="2"/>
        <v>(138,'SORFERT','Complexe Pétrochimique SORFERT','1970-01-15','1975-09-20',NULL,1,5),</v>
      </c>
    </row>
    <row r="142" spans="1:9" ht="20.149999999999999" customHeight="1" x14ac:dyDescent="0.35">
      <c r="A142" s="3">
        <v>139</v>
      </c>
      <c r="B142" s="8" t="s">
        <v>286</v>
      </c>
      <c r="C142" s="5" t="s">
        <v>287</v>
      </c>
      <c r="D142" s="6">
        <v>37721</v>
      </c>
      <c r="E142" s="6">
        <v>39767</v>
      </c>
      <c r="F142" s="7" t="s">
        <v>20</v>
      </c>
      <c r="G142" s="7">
        <v>1</v>
      </c>
      <c r="H142" s="7">
        <v>5</v>
      </c>
      <c r="I142" s="5" t="str">
        <f t="shared" si="2"/>
        <v>(139,'AOA','Complexe Pétrochimique AOA','2003-04-10','2008-11-15',NULL,1,5),</v>
      </c>
    </row>
    <row r="143" spans="1:9" ht="20.149999999999999" customHeight="1" x14ac:dyDescent="0.35">
      <c r="A143" s="3">
        <v>140</v>
      </c>
      <c r="B143" s="8" t="s">
        <v>288</v>
      </c>
      <c r="C143" s="5" t="s">
        <v>289</v>
      </c>
      <c r="D143" s="6">
        <v>35966</v>
      </c>
      <c r="E143" s="6">
        <v>37253</v>
      </c>
      <c r="F143" s="7" t="s">
        <v>20</v>
      </c>
      <c r="G143" s="7">
        <v>1</v>
      </c>
      <c r="H143" s="7">
        <v>2</v>
      </c>
      <c r="I143" s="5" t="str">
        <f t="shared" si="2"/>
        <v>(140,'CPF-OHD','Usine d\'Ourhoud','1998-06-20','2001-12-28',NULL,1,2),</v>
      </c>
    </row>
    <row r="144" spans="1:9" ht="20.149999999999999" customHeight="1" x14ac:dyDescent="0.35">
      <c r="A144" s="3">
        <v>141</v>
      </c>
      <c r="B144" s="8" t="s">
        <v>290</v>
      </c>
      <c r="C144" s="5" t="s">
        <v>291</v>
      </c>
      <c r="D144" s="6">
        <v>36784</v>
      </c>
      <c r="E144" s="6">
        <v>37863</v>
      </c>
      <c r="F144" s="7" t="s">
        <v>20</v>
      </c>
      <c r="G144" s="7">
        <v>1</v>
      </c>
      <c r="H144" s="7">
        <v>2</v>
      </c>
      <c r="I144" s="5" t="str">
        <f t="shared" ref="I144:I207" si="3">CONCATENATE("(",A144,",'",B144,"','",C144,"','",TEXT(D144,"aaaa-mm-jj"),"','",TEXT(E144,"aaaa-mm-jj"),"',",F144,",",G144,",",H144,"),")</f>
        <v>(141,'CPF-MNS','Unité de Traitement Central d\'In Amenas','2000-09-15','2003-08-30',NULL,1,2),</v>
      </c>
    </row>
    <row r="145" spans="1:9" ht="20.149999999999999" customHeight="1" x14ac:dyDescent="0.35">
      <c r="A145" s="3">
        <v>142</v>
      </c>
      <c r="B145" s="8" t="s">
        <v>292</v>
      </c>
      <c r="C145" s="5" t="s">
        <v>293</v>
      </c>
      <c r="D145" s="6">
        <v>37215</v>
      </c>
      <c r="E145" s="6">
        <v>38285</v>
      </c>
      <c r="F145" s="7" t="s">
        <v>20</v>
      </c>
      <c r="G145" s="7">
        <v>1</v>
      </c>
      <c r="H145" s="7">
        <v>2</v>
      </c>
      <c r="I145" s="5" t="str">
        <f t="shared" si="3"/>
        <v>(142,'CPF-BBK','Unité de Traitement Central de Berkine (El Merk)','2001-11-20','2004-10-25',NULL,1,2),</v>
      </c>
    </row>
    <row r="146" spans="1:9" ht="20.149999999999999" customHeight="1" x14ac:dyDescent="0.35">
      <c r="A146" s="3">
        <v>143</v>
      </c>
      <c r="B146" s="8" t="s">
        <v>294</v>
      </c>
      <c r="C146" s="5" t="s">
        <v>295</v>
      </c>
      <c r="D146" s="6">
        <v>28559</v>
      </c>
      <c r="E146" s="6">
        <v>30147</v>
      </c>
      <c r="F146" s="7" t="s">
        <v>20</v>
      </c>
      <c r="G146" s="7">
        <v>1</v>
      </c>
      <c r="H146" s="7">
        <v>2</v>
      </c>
      <c r="I146" s="5" t="str">
        <f t="shared" si="3"/>
        <v>(143,'GPC-HRM','Station Centrale de Hassi R\'Mel','1978-03-10','1982-07-15',NULL,1,2),</v>
      </c>
    </row>
    <row r="147" spans="1:9" ht="20.149999999999999" customHeight="1" x14ac:dyDescent="0.35">
      <c r="A147" s="3">
        <v>144</v>
      </c>
      <c r="B147" s="8" t="s">
        <v>296</v>
      </c>
      <c r="C147" s="5" t="s">
        <v>297</v>
      </c>
      <c r="D147" s="6">
        <v>36658</v>
      </c>
      <c r="E147" s="6">
        <v>37945</v>
      </c>
      <c r="F147" s="7" t="s">
        <v>20</v>
      </c>
      <c r="G147" s="7">
        <v>1</v>
      </c>
      <c r="H147" s="7">
        <v>2</v>
      </c>
      <c r="I147" s="5" t="str">
        <f t="shared" si="3"/>
        <v>(144,'GPC-OHT','Unité de Traitement Central d\'Ohanet - Train de Gaz','2000-05-12','2003-11-20',NULL,1,2),</v>
      </c>
    </row>
    <row r="148" spans="1:9" ht="20.149999999999999" customHeight="1" x14ac:dyDescent="0.35">
      <c r="A148" s="3">
        <v>145</v>
      </c>
      <c r="B148" s="8" t="s">
        <v>298</v>
      </c>
      <c r="C148" s="5" t="s">
        <v>299</v>
      </c>
      <c r="D148" s="6">
        <v>38217</v>
      </c>
      <c r="E148" s="6">
        <v>39258</v>
      </c>
      <c r="F148" s="7" t="s">
        <v>20</v>
      </c>
      <c r="G148" s="7">
        <v>1</v>
      </c>
      <c r="H148" s="7">
        <v>2</v>
      </c>
      <c r="I148" s="5" t="str">
        <f t="shared" si="3"/>
        <v>(145,'GPC-TFT','Unité de Traitement Central de Tin-Fouyé-Tabenkort','2004-08-18','2007-06-25',NULL,1,2),</v>
      </c>
    </row>
    <row r="149" spans="1:9" ht="20.149999999999999" customHeight="1" x14ac:dyDescent="0.35">
      <c r="A149" s="3">
        <v>146</v>
      </c>
      <c r="B149" s="8" t="s">
        <v>300</v>
      </c>
      <c r="C149" s="5" t="s">
        <v>301</v>
      </c>
      <c r="D149" s="6">
        <v>44635</v>
      </c>
      <c r="E149" s="6">
        <v>45889</v>
      </c>
      <c r="F149" s="7" t="s">
        <v>20</v>
      </c>
      <c r="G149" s="7">
        <v>1</v>
      </c>
      <c r="H149" s="7">
        <v>2</v>
      </c>
      <c r="I149" s="5" t="str">
        <f t="shared" si="3"/>
        <v>(146,'GPC-TSL','Complexe Gazier d\'Ain Tsila','2022-03-15','2025-08-20',NULL,1,2),</v>
      </c>
    </row>
    <row r="150" spans="1:9" ht="20.149999999999999" customHeight="1" x14ac:dyDescent="0.35">
      <c r="A150" s="3">
        <v>147</v>
      </c>
      <c r="B150" s="8" t="s">
        <v>302</v>
      </c>
      <c r="C150" s="5" t="s">
        <v>303</v>
      </c>
      <c r="D150" s="6">
        <v>40473</v>
      </c>
      <c r="E150" s="6">
        <v>41759</v>
      </c>
      <c r="F150" s="7" t="s">
        <v>20</v>
      </c>
      <c r="G150" s="7">
        <v>1</v>
      </c>
      <c r="H150" s="7">
        <v>2</v>
      </c>
      <c r="I150" s="5" t="str">
        <f t="shared" si="3"/>
        <v>(147,'GPC-RGN','Traitement du Gaz du Bassin de Reggane','2010-10-22','2014-04-30',NULL,1,2),</v>
      </c>
    </row>
    <row r="151" spans="1:9" ht="20.149999999999999" customHeight="1" x14ac:dyDescent="0.35">
      <c r="A151" s="3">
        <v>148</v>
      </c>
      <c r="B151" s="8" t="s">
        <v>304</v>
      </c>
      <c r="C151" s="5" t="s">
        <v>305</v>
      </c>
      <c r="D151" s="6">
        <v>37087</v>
      </c>
      <c r="E151" s="6">
        <v>38066</v>
      </c>
      <c r="F151" s="7" t="s">
        <v>20</v>
      </c>
      <c r="G151" s="7">
        <v>1</v>
      </c>
      <c r="H151" s="7">
        <v>2</v>
      </c>
      <c r="I151" s="5" t="str">
        <f t="shared" si="3"/>
        <v>(148,'CRP-OHT','Unité de Condensats d\'Ohanet','2001-07-15','2004-03-20',NULL,1,2),</v>
      </c>
    </row>
    <row r="152" spans="1:9" ht="20.149999999999999" customHeight="1" x14ac:dyDescent="0.35">
      <c r="A152" s="3">
        <v>149</v>
      </c>
      <c r="B152" s="8" t="s">
        <v>306</v>
      </c>
      <c r="C152" s="5" t="s">
        <v>307</v>
      </c>
      <c r="D152" s="6">
        <v>38615</v>
      </c>
      <c r="E152" s="6">
        <v>39596</v>
      </c>
      <c r="F152" s="7" t="s">
        <v>20</v>
      </c>
      <c r="G152" s="7">
        <v>1</v>
      </c>
      <c r="H152" s="7">
        <v>2</v>
      </c>
      <c r="I152" s="5" t="str">
        <f t="shared" si="3"/>
        <v>(149,'CRP-TFT','Unité de Condensats de Tin-Fouyé','2005-09-20','2008-05-28',NULL,1,2),</v>
      </c>
    </row>
    <row r="153" spans="1:9" ht="20.149999999999999" customHeight="1" x14ac:dyDescent="0.35">
      <c r="A153" s="3">
        <v>150</v>
      </c>
      <c r="B153" s="8" t="s">
        <v>308</v>
      </c>
      <c r="C153" s="5" t="s">
        <v>309</v>
      </c>
      <c r="D153" s="6">
        <v>44936</v>
      </c>
      <c r="E153" s="6">
        <v>45945</v>
      </c>
      <c r="F153" s="7" t="s">
        <v>20</v>
      </c>
      <c r="G153" s="7">
        <v>1</v>
      </c>
      <c r="H153" s="7">
        <v>2</v>
      </c>
      <c r="I153" s="5" t="str">
        <f t="shared" si="3"/>
        <v>(150,'CRP-TSL','Usine de récupération des Condensats d\'Ain Tsila','2023-01-10','2025-10-15',NULL,1,2),</v>
      </c>
    </row>
    <row r="154" spans="1:9" ht="20.149999999999999" customHeight="1" x14ac:dyDescent="0.35">
      <c r="A154" s="3">
        <v>151</v>
      </c>
      <c r="B154" s="8" t="s">
        <v>310</v>
      </c>
      <c r="C154" s="5" t="s">
        <v>311</v>
      </c>
      <c r="D154" s="6">
        <v>37565</v>
      </c>
      <c r="E154" s="6">
        <v>38545</v>
      </c>
      <c r="F154" s="7" t="s">
        <v>20</v>
      </c>
      <c r="G154" s="7">
        <v>1</v>
      </c>
      <c r="H154" s="7">
        <v>2</v>
      </c>
      <c r="I154" s="5" t="str">
        <f t="shared" si="3"/>
        <v>(151,'CRP-MRK','Unité de Condensats d\'El Merk','2002-11-05','2005-07-12',NULL,1,2),</v>
      </c>
    </row>
    <row r="155" spans="1:9" ht="20.149999999999999" customHeight="1" x14ac:dyDescent="0.35">
      <c r="A155" s="3">
        <v>152</v>
      </c>
      <c r="B155" s="8" t="s">
        <v>312</v>
      </c>
      <c r="C155" s="5" t="s">
        <v>313</v>
      </c>
      <c r="D155" s="6">
        <v>37060</v>
      </c>
      <c r="E155" s="6">
        <v>38042</v>
      </c>
      <c r="F155" s="7" t="s">
        <v>20</v>
      </c>
      <c r="G155" s="7">
        <v>1</v>
      </c>
      <c r="H155" s="7">
        <v>2</v>
      </c>
      <c r="I155" s="5" t="str">
        <f t="shared" si="3"/>
        <v>(152,'CRP-MNS','Usine de récupération des Condensats d\'In Amenas','2001-06-18','2004-02-25',NULL,1,2),</v>
      </c>
    </row>
    <row r="156" spans="1:9" ht="20.149999999999999" customHeight="1" x14ac:dyDescent="0.35">
      <c r="A156" s="3">
        <v>153</v>
      </c>
      <c r="B156" s="8" t="s">
        <v>314</v>
      </c>
      <c r="C156" s="5" t="s">
        <v>315</v>
      </c>
      <c r="D156" s="6">
        <v>30061</v>
      </c>
      <c r="E156" s="6">
        <v>31396</v>
      </c>
      <c r="F156" s="7" t="s">
        <v>20</v>
      </c>
      <c r="G156" s="7">
        <v>1</v>
      </c>
      <c r="H156" s="7">
        <v>2</v>
      </c>
      <c r="I156" s="5" t="str">
        <f t="shared" si="3"/>
        <v>(153,'LPG1-HRM','Unités GPL/Condensats de Hassi R\'Mel','1982-04-20','1985-12-15',NULL,1,2),</v>
      </c>
    </row>
    <row r="157" spans="1:9" ht="20.149999999999999" customHeight="1" x14ac:dyDescent="0.35">
      <c r="A157" s="3">
        <v>154</v>
      </c>
      <c r="B157" s="8" t="s">
        <v>316</v>
      </c>
      <c r="C157" s="5" t="s">
        <v>317</v>
      </c>
      <c r="D157" s="6">
        <v>33095</v>
      </c>
      <c r="E157" s="6">
        <v>34140</v>
      </c>
      <c r="F157" s="7" t="s">
        <v>20</v>
      </c>
      <c r="G157" s="7">
        <v>1</v>
      </c>
      <c r="H157" s="7">
        <v>2</v>
      </c>
      <c r="I157" s="5" t="str">
        <f t="shared" si="3"/>
        <v>(154,'LPG2-HRM','Complexe de récupération Centrale GPL de Hassi R\'Mel','1990-08-10','1993-06-20',NULL,1,2),</v>
      </c>
    </row>
    <row r="158" spans="1:9" ht="20.149999999999999" customHeight="1" x14ac:dyDescent="0.35">
      <c r="A158" s="3">
        <v>155</v>
      </c>
      <c r="B158" s="8" t="s">
        <v>318</v>
      </c>
      <c r="C158" s="5" t="s">
        <v>319</v>
      </c>
      <c r="D158" s="6">
        <v>35018</v>
      </c>
      <c r="E158" s="6">
        <v>36060</v>
      </c>
      <c r="F158" s="7" t="s">
        <v>20</v>
      </c>
      <c r="G158" s="7">
        <v>1</v>
      </c>
      <c r="H158" s="7">
        <v>2</v>
      </c>
      <c r="I158" s="5" t="str">
        <f t="shared" si="3"/>
        <v>(155,'LPGE-HRM','Complexe de récupération d\'Éthane de Hassi R\'Mel','1995-11-15','1998-09-22',NULL,1,2),</v>
      </c>
    </row>
    <row r="159" spans="1:9" ht="20.149999999999999" customHeight="1" x14ac:dyDescent="0.35">
      <c r="A159" s="3">
        <v>156</v>
      </c>
      <c r="B159" s="8" t="s">
        <v>320</v>
      </c>
      <c r="C159" s="5" t="s">
        <v>321</v>
      </c>
      <c r="D159" s="6">
        <v>38801</v>
      </c>
      <c r="E159" s="6">
        <v>39843</v>
      </c>
      <c r="F159" s="7" t="s">
        <v>20</v>
      </c>
      <c r="G159" s="7">
        <v>1</v>
      </c>
      <c r="H159" s="7">
        <v>2</v>
      </c>
      <c r="I159" s="5" t="str">
        <f t="shared" si="3"/>
        <v>(156,'LPG-TFT','Complexe de récupération GPL de Tin-Fouyé','2006-03-25','2009-01-30',NULL,1,2),</v>
      </c>
    </row>
    <row r="160" spans="1:9" ht="20.149999999999999" customHeight="1" x14ac:dyDescent="0.35">
      <c r="A160" s="3">
        <v>157</v>
      </c>
      <c r="B160" s="8" t="s">
        <v>322</v>
      </c>
      <c r="C160" s="5" t="s">
        <v>323</v>
      </c>
      <c r="D160" s="6">
        <v>45089</v>
      </c>
      <c r="E160" s="6">
        <v>46009</v>
      </c>
      <c r="F160" s="7" t="s">
        <v>20</v>
      </c>
      <c r="G160" s="7">
        <v>1</v>
      </c>
      <c r="H160" s="7">
        <v>2</v>
      </c>
      <c r="I160" s="5" t="str">
        <f t="shared" si="3"/>
        <v>(157,'LPG-TSL','Complexe de récupération GPL d\'Ain Tsila','2023-06-12','2025-12-18',NULL,1,2),</v>
      </c>
    </row>
    <row r="161" spans="1:9" ht="20.149999999999999" customHeight="1" x14ac:dyDescent="0.35">
      <c r="A161" s="3">
        <v>158</v>
      </c>
      <c r="B161" s="8" t="s">
        <v>324</v>
      </c>
      <c r="C161" s="5" t="s">
        <v>325</v>
      </c>
      <c r="D161" s="6">
        <v>23788</v>
      </c>
      <c r="E161" s="6">
        <v>24775</v>
      </c>
      <c r="F161" s="7" t="s">
        <v>20</v>
      </c>
      <c r="G161" s="7">
        <v>1</v>
      </c>
      <c r="H161" s="7">
        <v>10</v>
      </c>
      <c r="I161" s="5" t="str">
        <f t="shared" si="3"/>
        <v>(158,'OZ1','Pipeline OZ1','1965-02-15','1967-10-30',NULL,1,10),</v>
      </c>
    </row>
    <row r="162" spans="1:9" ht="20.149999999999999" customHeight="1" x14ac:dyDescent="0.35">
      <c r="A162" s="3">
        <v>159</v>
      </c>
      <c r="B162" s="8" t="s">
        <v>326</v>
      </c>
      <c r="C162" s="5" t="s">
        <v>327</v>
      </c>
      <c r="D162" s="7" t="s">
        <v>328</v>
      </c>
      <c r="E162" s="7" t="s">
        <v>328</v>
      </c>
      <c r="F162" s="7" t="s">
        <v>20</v>
      </c>
      <c r="G162" s="7">
        <v>1</v>
      </c>
      <c r="H162" s="7">
        <v>10</v>
      </c>
      <c r="I162" s="5" t="str">
        <f t="shared" si="3"/>
        <v>(159,'OZ2','Pipeline OZ2','2003-08-18','2003-08-18',NULL,1,10),</v>
      </c>
    </row>
    <row r="163" spans="1:9" ht="20.149999999999999" customHeight="1" x14ac:dyDescent="0.35">
      <c r="A163" s="3">
        <v>160</v>
      </c>
      <c r="B163" s="8" t="s">
        <v>329</v>
      </c>
      <c r="C163" s="5" t="s">
        <v>330</v>
      </c>
      <c r="D163" s="7" t="s">
        <v>331</v>
      </c>
      <c r="E163" s="7" t="s">
        <v>331</v>
      </c>
      <c r="F163" s="7" t="s">
        <v>20</v>
      </c>
      <c r="G163" s="7">
        <v>1</v>
      </c>
      <c r="H163" s="7">
        <v>10</v>
      </c>
      <c r="I163" s="5" t="str">
        <f t="shared" si="3"/>
        <v>(160,'OK1','Pipeline OK1','1972-01-01','1972-01-01',NULL,1,10),</v>
      </c>
    </row>
    <row r="164" spans="1:9" ht="20.149999999999999" customHeight="1" x14ac:dyDescent="0.35">
      <c r="A164" s="3">
        <v>161</v>
      </c>
      <c r="B164" s="8" t="s">
        <v>332</v>
      </c>
      <c r="C164" s="5" t="s">
        <v>333</v>
      </c>
      <c r="D164" s="6">
        <v>21064</v>
      </c>
      <c r="E164" s="6">
        <v>21889</v>
      </c>
      <c r="F164" s="7" t="s">
        <v>20</v>
      </c>
      <c r="G164" s="7">
        <v>1</v>
      </c>
      <c r="H164" s="7">
        <v>10</v>
      </c>
      <c r="I164" s="5" t="str">
        <f t="shared" si="3"/>
        <v>(161,'OB1','Pipeline OB1','1957-09-01','1959-12-05',NULL,1,10),</v>
      </c>
    </row>
    <row r="165" spans="1:9" ht="20.149999999999999" customHeight="1" x14ac:dyDescent="0.35">
      <c r="A165" s="3">
        <v>162</v>
      </c>
      <c r="B165" s="8" t="s">
        <v>334</v>
      </c>
      <c r="C165" s="5" t="s">
        <v>335</v>
      </c>
      <c r="D165" s="6">
        <v>35236</v>
      </c>
      <c r="E165" s="6">
        <v>36479</v>
      </c>
      <c r="F165" s="7" t="s">
        <v>20</v>
      </c>
      <c r="G165" s="7">
        <v>1</v>
      </c>
      <c r="H165" s="7">
        <v>10</v>
      </c>
      <c r="I165" s="5" t="str">
        <f t="shared" si="3"/>
        <v>(162,'ROB1-01','Pipeline ROB1-01','1996-06-20','1999-11-15',NULL,1,10),</v>
      </c>
    </row>
    <row r="166" spans="1:9" ht="20.149999999999999" customHeight="1" x14ac:dyDescent="0.35">
      <c r="A166" s="3">
        <v>163</v>
      </c>
      <c r="B166" s="8" t="s">
        <v>336</v>
      </c>
      <c r="C166" s="5" t="s">
        <v>337</v>
      </c>
      <c r="D166" s="6">
        <v>36595</v>
      </c>
      <c r="E166" s="6">
        <v>37855</v>
      </c>
      <c r="F166" s="7" t="s">
        <v>20</v>
      </c>
      <c r="G166" s="7">
        <v>1</v>
      </c>
      <c r="H166" s="7">
        <v>10</v>
      </c>
      <c r="I166" s="5" t="str">
        <f t="shared" si="3"/>
        <v>(163,'ROB1-02','Pipeline ROB1-02','2000-03-10','2003-08-22',NULL,1,10),</v>
      </c>
    </row>
    <row r="167" spans="1:9" ht="20.149999999999999" customHeight="1" x14ac:dyDescent="0.35">
      <c r="A167" s="3">
        <v>164</v>
      </c>
      <c r="B167" s="8" t="s">
        <v>338</v>
      </c>
      <c r="C167" s="5" t="s">
        <v>339</v>
      </c>
      <c r="D167" s="7" t="s">
        <v>340</v>
      </c>
      <c r="E167" s="7" t="s">
        <v>340</v>
      </c>
      <c r="F167" s="7" t="s">
        <v>20</v>
      </c>
      <c r="G167" s="7">
        <v>1</v>
      </c>
      <c r="H167" s="7">
        <v>10</v>
      </c>
      <c r="I167" s="5" t="str">
        <f t="shared" si="3"/>
        <v>(164,'OG1','Pipeline OG1','2005-07-04','2005-07-04',NULL,1,10),</v>
      </c>
    </row>
    <row r="168" spans="1:9" ht="20.149999999999999" customHeight="1" x14ac:dyDescent="0.35">
      <c r="A168" s="3">
        <v>165</v>
      </c>
      <c r="B168" s="8" t="s">
        <v>341</v>
      </c>
      <c r="C168" s="5" t="s">
        <v>342</v>
      </c>
      <c r="D168" s="6">
        <v>21337</v>
      </c>
      <c r="E168" s="6">
        <v>21930</v>
      </c>
      <c r="F168" s="7" t="s">
        <v>20</v>
      </c>
      <c r="G168" s="7">
        <v>1</v>
      </c>
      <c r="H168" s="7">
        <v>10</v>
      </c>
      <c r="I168" s="5" t="str">
        <f t="shared" si="3"/>
        <v>(165,'OT1','Pipeline OT1','1958-06-01','1960-01-15',NULL,1,10),</v>
      </c>
    </row>
    <row r="169" spans="1:9" ht="20.149999999999999" customHeight="1" x14ac:dyDescent="0.35">
      <c r="A169" s="3">
        <v>166</v>
      </c>
      <c r="B169" s="8" t="s">
        <v>343</v>
      </c>
      <c r="C169" s="5" t="s">
        <v>344</v>
      </c>
      <c r="D169" s="6" t="s">
        <v>345</v>
      </c>
      <c r="E169" s="6" t="s">
        <v>345</v>
      </c>
      <c r="F169" s="7" t="s">
        <v>20</v>
      </c>
      <c r="G169" s="7">
        <v>1</v>
      </c>
      <c r="H169" s="7">
        <v>10</v>
      </c>
      <c r="I169" s="5" t="str">
        <f t="shared" si="3"/>
        <v>(166,'OH1','Pipeline OH1','1982-01-01','1982-01-01',NULL,1,10),</v>
      </c>
    </row>
    <row r="170" spans="1:9" ht="20.149999999999999" customHeight="1" x14ac:dyDescent="0.35">
      <c r="A170" s="3">
        <v>167</v>
      </c>
      <c r="B170" s="4" t="s">
        <v>346</v>
      </c>
      <c r="C170" s="5" t="s">
        <v>347</v>
      </c>
      <c r="D170" s="6">
        <v>38582</v>
      </c>
      <c r="E170" s="6">
        <v>39624</v>
      </c>
      <c r="F170" s="7" t="s">
        <v>20</v>
      </c>
      <c r="G170" s="7">
        <v>1</v>
      </c>
      <c r="H170" s="7">
        <v>10</v>
      </c>
      <c r="I170" s="5" t="str">
        <f t="shared" si="3"/>
        <v>(167,'ROH1','Pipeline ROH1','2005-08-18','2008-06-25',NULL,1,10),</v>
      </c>
    </row>
    <row r="171" spans="1:9" ht="20.149999999999999" customHeight="1" x14ac:dyDescent="0.35">
      <c r="A171" s="3">
        <v>168</v>
      </c>
      <c r="B171" s="8" t="s">
        <v>348</v>
      </c>
      <c r="C171" s="5" t="s">
        <v>349</v>
      </c>
      <c r="D171" s="6" t="s">
        <v>350</v>
      </c>
      <c r="E171" s="6" t="s">
        <v>350</v>
      </c>
      <c r="F171" s="7" t="s">
        <v>20</v>
      </c>
      <c r="G171" s="7">
        <v>1</v>
      </c>
      <c r="H171" s="7">
        <v>10</v>
      </c>
      <c r="I171" s="5" t="str">
        <f t="shared" si="3"/>
        <v>(168,'OH2','Pipeline OH2','1972-04-10','1972-04-10',NULL,1,10),</v>
      </c>
    </row>
    <row r="172" spans="1:9" ht="20.149999999999999" customHeight="1" x14ac:dyDescent="0.35">
      <c r="A172" s="3">
        <v>169</v>
      </c>
      <c r="B172" s="8" t="s">
        <v>351</v>
      </c>
      <c r="C172" s="5" t="s">
        <v>352</v>
      </c>
      <c r="D172" s="6">
        <v>35476</v>
      </c>
      <c r="E172" s="6">
        <v>37026</v>
      </c>
      <c r="F172" s="7" t="s">
        <v>20</v>
      </c>
      <c r="G172" s="7">
        <v>1</v>
      </c>
      <c r="H172" s="7">
        <v>10</v>
      </c>
      <c r="I172" s="5" t="str">
        <f t="shared" si="3"/>
        <v>(169,'OH3','Pipeline OH3','1997-02-15','2001-05-15',NULL,1,10),</v>
      </c>
    </row>
    <row r="173" spans="1:9" ht="20.149999999999999" customHeight="1" x14ac:dyDescent="0.35">
      <c r="A173" s="3">
        <v>170</v>
      </c>
      <c r="B173" s="8" t="s">
        <v>353</v>
      </c>
      <c r="C173" s="5" t="s">
        <v>354</v>
      </c>
      <c r="D173" s="6" t="s">
        <v>355</v>
      </c>
      <c r="E173" s="6" t="s">
        <v>355</v>
      </c>
      <c r="F173" s="7" t="s">
        <v>20</v>
      </c>
      <c r="G173" s="7">
        <v>1</v>
      </c>
      <c r="H173" s="7">
        <v>10</v>
      </c>
      <c r="I173" s="5" t="str">
        <f t="shared" si="3"/>
        <v>(170,'OH4','Pipeline OH4','2006-01-01','2006-01-01',NULL,1,10),</v>
      </c>
    </row>
    <row r="174" spans="1:9" ht="20.149999999999999" customHeight="1" x14ac:dyDescent="0.35">
      <c r="A174" s="3">
        <v>171</v>
      </c>
      <c r="B174" s="8" t="s">
        <v>356</v>
      </c>
      <c r="C174" s="5" t="s">
        <v>357</v>
      </c>
      <c r="D174" s="6" t="s">
        <v>358</v>
      </c>
      <c r="E174" s="6" t="s">
        <v>358</v>
      </c>
      <c r="F174" s="7" t="s">
        <v>20</v>
      </c>
      <c r="G174" s="7">
        <v>1</v>
      </c>
      <c r="H174" s="7">
        <v>10</v>
      </c>
      <c r="I174" s="5" t="str">
        <f t="shared" si="3"/>
        <v>(171,'OD1','Pipeline OD1','1977-03-23','1977-03-23',NULL,1,10),</v>
      </c>
    </row>
    <row r="175" spans="1:9" ht="20.149999999999999" customHeight="1" x14ac:dyDescent="0.35">
      <c r="A175" s="3">
        <v>172</v>
      </c>
      <c r="B175" s="8" t="s">
        <v>359</v>
      </c>
      <c r="C175" s="5" t="s">
        <v>360</v>
      </c>
      <c r="D175" s="6">
        <v>38457</v>
      </c>
      <c r="E175" s="6">
        <v>39721</v>
      </c>
      <c r="F175" s="7" t="s">
        <v>20</v>
      </c>
      <c r="G175" s="7">
        <v>1</v>
      </c>
      <c r="H175" s="7">
        <v>10</v>
      </c>
      <c r="I175" s="5" t="str">
        <f t="shared" si="3"/>
        <v>(172,'ROD1','Pipeline ROD1','2005-04-15','2008-09-30',NULL,1,10),</v>
      </c>
    </row>
    <row r="176" spans="1:9" ht="20.149999999999999" customHeight="1" x14ac:dyDescent="0.35">
      <c r="A176" s="3">
        <v>173</v>
      </c>
      <c r="B176" s="8" t="s">
        <v>361</v>
      </c>
      <c r="C176" s="5" t="s">
        <v>362</v>
      </c>
      <c r="D176" s="6">
        <v>38970</v>
      </c>
      <c r="E176" s="6">
        <v>39921</v>
      </c>
      <c r="F176" s="7" t="s">
        <v>20</v>
      </c>
      <c r="G176" s="7">
        <v>1</v>
      </c>
      <c r="H176" s="7">
        <v>10</v>
      </c>
      <c r="I176" s="5" t="str">
        <f t="shared" si="3"/>
        <v>(173,'OD2','Pipeline OD2','2006-09-10','2009-04-18',NULL,1,10),</v>
      </c>
    </row>
    <row r="177" spans="1:9" ht="20.149999999999999" customHeight="1" x14ac:dyDescent="0.35">
      <c r="A177" s="3">
        <v>174</v>
      </c>
      <c r="B177" s="8" t="s">
        <v>363</v>
      </c>
      <c r="C177" s="5" t="s">
        <v>364</v>
      </c>
      <c r="D177" s="6">
        <v>39380</v>
      </c>
      <c r="E177" s="6">
        <v>40410</v>
      </c>
      <c r="F177" s="7" t="s">
        <v>20</v>
      </c>
      <c r="G177" s="7">
        <v>1</v>
      </c>
      <c r="H177" s="7">
        <v>10</v>
      </c>
      <c r="I177" s="5" t="str">
        <f t="shared" si="3"/>
        <v>(174,'OD3','Pipeline OD3','2007-10-25','2010-08-20',NULL,1,10),</v>
      </c>
    </row>
    <row r="178" spans="1:9" ht="20.149999999999999" customHeight="1" x14ac:dyDescent="0.35">
      <c r="A178" s="3">
        <v>175</v>
      </c>
      <c r="B178" s="8" t="s">
        <v>365</v>
      </c>
      <c r="C178" s="5" t="s">
        <v>366</v>
      </c>
      <c r="D178" s="6" t="s">
        <v>367</v>
      </c>
      <c r="E178" s="6" t="s">
        <v>367</v>
      </c>
      <c r="F178" s="7" t="s">
        <v>20</v>
      </c>
      <c r="G178" s="7">
        <v>1</v>
      </c>
      <c r="H178" s="7">
        <v>10</v>
      </c>
      <c r="I178" s="5" t="str">
        <f t="shared" si="3"/>
        <v>(175,'NZ1','Pipeline NZ1','1978-11-01','1978-11-01',NULL,1,10),</v>
      </c>
    </row>
    <row r="179" spans="1:9" ht="20.149999999999999" customHeight="1" x14ac:dyDescent="0.35">
      <c r="A179" s="3">
        <v>176</v>
      </c>
      <c r="B179" s="8" t="s">
        <v>368</v>
      </c>
      <c r="C179" s="5" t="s">
        <v>369</v>
      </c>
      <c r="D179" s="6" t="s">
        <v>370</v>
      </c>
      <c r="E179" s="6" t="s">
        <v>370</v>
      </c>
      <c r="F179" s="7" t="s">
        <v>20</v>
      </c>
      <c r="G179" s="7">
        <v>1</v>
      </c>
      <c r="H179" s="7">
        <v>10</v>
      </c>
      <c r="I179" s="5" t="str">
        <f t="shared" si="3"/>
        <v>(176,'NK1','Pipeline NK1','2009-08-04','2009-08-04',NULL,1,10),</v>
      </c>
    </row>
    <row r="180" spans="1:9" ht="20.149999999999999" customHeight="1" x14ac:dyDescent="0.35">
      <c r="A180" s="3">
        <v>177</v>
      </c>
      <c r="B180" s="8" t="s">
        <v>371</v>
      </c>
      <c r="C180" s="5" t="s">
        <v>372</v>
      </c>
      <c r="D180" s="6" t="s">
        <v>373</v>
      </c>
      <c r="E180" s="6" t="s">
        <v>373</v>
      </c>
      <c r="F180" s="7" t="s">
        <v>20</v>
      </c>
      <c r="G180" s="7">
        <v>1</v>
      </c>
      <c r="H180" s="7">
        <v>10</v>
      </c>
      <c r="I180" s="5" t="str">
        <f t="shared" si="3"/>
        <v>(177,'NH2','Pipeline NH2','1960-01-01','1960-01-01',NULL,1,10),</v>
      </c>
    </row>
    <row r="181" spans="1:9" ht="20.149999999999999" customHeight="1" x14ac:dyDescent="0.35">
      <c r="A181" s="3">
        <v>178</v>
      </c>
      <c r="B181" s="8" t="s">
        <v>374</v>
      </c>
      <c r="C181" s="5" t="s">
        <v>375</v>
      </c>
      <c r="D181" s="19">
        <v>37639</v>
      </c>
      <c r="E181" s="19">
        <v>38647</v>
      </c>
      <c r="F181" s="7" t="s">
        <v>20</v>
      </c>
      <c r="G181" s="7">
        <v>1</v>
      </c>
      <c r="H181" s="7">
        <v>10</v>
      </c>
      <c r="I181" s="5" t="str">
        <f t="shared" si="3"/>
        <v>(178,'LNZ1','Pipeline LNZ1','2003-01-18','2005-10-22',NULL,1,10),</v>
      </c>
    </row>
    <row r="182" spans="1:9" ht="20.149999999999999" customHeight="1" x14ac:dyDescent="0.35">
      <c r="A182" s="3">
        <v>179</v>
      </c>
      <c r="B182" s="8" t="s">
        <v>376</v>
      </c>
      <c r="C182" s="5" t="s">
        <v>377</v>
      </c>
      <c r="D182" s="6" t="s">
        <v>378</v>
      </c>
      <c r="E182" s="6" t="s">
        <v>378</v>
      </c>
      <c r="F182" s="7" t="s">
        <v>20</v>
      </c>
      <c r="G182" s="7">
        <v>1</v>
      </c>
      <c r="H182" s="7">
        <v>10</v>
      </c>
      <c r="I182" s="5" t="str">
        <f t="shared" si="3"/>
        <v>(179,'LZ1','Pipeline LZ1','1984-02-08','1984-02-08',NULL,1,10),</v>
      </c>
    </row>
    <row r="183" spans="1:9" ht="20.149999999999999" customHeight="1" x14ac:dyDescent="0.35">
      <c r="A183" s="3">
        <v>180</v>
      </c>
      <c r="B183" s="8" t="s">
        <v>379</v>
      </c>
      <c r="C183" s="5" t="s">
        <v>380</v>
      </c>
      <c r="D183" s="6" t="s">
        <v>381</v>
      </c>
      <c r="E183" s="6" t="s">
        <v>381</v>
      </c>
      <c r="F183" s="7" t="s">
        <v>20</v>
      </c>
      <c r="G183" s="7">
        <v>1</v>
      </c>
      <c r="H183" s="7">
        <v>10</v>
      </c>
      <c r="I183" s="5" t="str">
        <f t="shared" si="3"/>
        <v>(180,'LZ2','Pipeline LZ2','2010-11-01','2010-11-01',NULL,1,10),</v>
      </c>
    </row>
    <row r="184" spans="1:9" ht="20.149999999999999" customHeight="1" x14ac:dyDescent="0.35">
      <c r="A184" s="3">
        <v>181</v>
      </c>
      <c r="B184" s="8" t="s">
        <v>382</v>
      </c>
      <c r="C184" s="5" t="s">
        <v>383</v>
      </c>
      <c r="D184" s="6" t="s">
        <v>384</v>
      </c>
      <c r="E184" s="6" t="s">
        <v>384</v>
      </c>
      <c r="F184" s="7" t="s">
        <v>20</v>
      </c>
      <c r="G184" s="7">
        <v>1</v>
      </c>
      <c r="H184" s="7">
        <v>10</v>
      </c>
      <c r="I184" s="5" t="str">
        <f t="shared" si="3"/>
        <v>(181,'LR1','Pipeline LR1','1996-01-01','1996-01-01',NULL,1,10),</v>
      </c>
    </row>
    <row r="185" spans="1:9" ht="20.149999999999999" customHeight="1" x14ac:dyDescent="0.35">
      <c r="A185" s="3">
        <v>182</v>
      </c>
      <c r="B185" s="8" t="s">
        <v>385</v>
      </c>
      <c r="C185" s="5" t="s">
        <v>386</v>
      </c>
      <c r="D185" s="6" t="s">
        <v>387</v>
      </c>
      <c r="E185" s="7" t="s">
        <v>387</v>
      </c>
      <c r="F185" s="7" t="s">
        <v>20</v>
      </c>
      <c r="G185" s="7">
        <v>1</v>
      </c>
      <c r="H185" s="7">
        <v>10</v>
      </c>
      <c r="I185" s="5" t="str">
        <f t="shared" si="3"/>
        <v>(182,'DLR1','Pipeline DLR1','2004-10-04','2004-10-04',NULL,1,10),</v>
      </c>
    </row>
    <row r="186" spans="1:9" ht="20.149999999999999" customHeight="1" x14ac:dyDescent="0.35">
      <c r="A186" s="3">
        <v>183</v>
      </c>
      <c r="B186" s="8" t="s">
        <v>388</v>
      </c>
      <c r="C186" s="5" t="s">
        <v>389</v>
      </c>
      <c r="D186" s="6" t="s">
        <v>390</v>
      </c>
      <c r="E186" s="7" t="s">
        <v>390</v>
      </c>
      <c r="F186" s="7" t="s">
        <v>20</v>
      </c>
      <c r="G186" s="7">
        <v>1</v>
      </c>
      <c r="H186" s="7">
        <v>10</v>
      </c>
      <c r="I186" s="5" t="str">
        <f t="shared" si="3"/>
        <v>(183,'ELR1','Pipeline ELR1','2014-01-01','2014-01-01',NULL,1,10),</v>
      </c>
    </row>
    <row r="187" spans="1:9" ht="20.149999999999999" customHeight="1" x14ac:dyDescent="0.35">
      <c r="A187" s="3">
        <v>184</v>
      </c>
      <c r="B187" s="8" t="s">
        <v>391</v>
      </c>
      <c r="C187" s="5" t="s">
        <v>392</v>
      </c>
      <c r="D187" s="6">
        <v>21976</v>
      </c>
      <c r="E187" s="6">
        <v>22372</v>
      </c>
      <c r="F187" s="7" t="s">
        <v>20</v>
      </c>
      <c r="G187" s="7">
        <v>1</v>
      </c>
      <c r="H187" s="7">
        <v>10</v>
      </c>
      <c r="I187" s="5" t="str">
        <f t="shared" si="3"/>
        <v>(184,'GZ0','Pipeline GZ0','1960-03-01','1961-04-01',NULL,1,10),</v>
      </c>
    </row>
    <row r="188" spans="1:9" ht="20.149999999999999" customHeight="1" x14ac:dyDescent="0.35">
      <c r="A188" s="3">
        <v>185</v>
      </c>
      <c r="B188" s="8" t="s">
        <v>393</v>
      </c>
      <c r="C188" s="5" t="s">
        <v>394</v>
      </c>
      <c r="D188" s="6" t="s">
        <v>395</v>
      </c>
      <c r="E188" s="7" t="s">
        <v>395</v>
      </c>
      <c r="F188" s="7" t="s">
        <v>20</v>
      </c>
      <c r="G188" s="7">
        <v>1</v>
      </c>
      <c r="H188" s="7">
        <v>10</v>
      </c>
      <c r="I188" s="5" t="str">
        <f t="shared" si="3"/>
        <v>(185,'GZ0 Bis','Pipeline GZ0 Bis','2022-09-01','2022-09-01',NULL,1,10),</v>
      </c>
    </row>
    <row r="189" spans="1:9" ht="20.149999999999999" customHeight="1" x14ac:dyDescent="0.35">
      <c r="A189" s="3">
        <v>186</v>
      </c>
      <c r="B189" s="8" t="s">
        <v>396</v>
      </c>
      <c r="C189" s="5" t="s">
        <v>397</v>
      </c>
      <c r="D189" s="6" t="s">
        <v>398</v>
      </c>
      <c r="E189" s="7" t="s">
        <v>398</v>
      </c>
      <c r="F189" s="7" t="s">
        <v>20</v>
      </c>
      <c r="G189" s="7">
        <v>1</v>
      </c>
      <c r="H189" s="7">
        <v>10</v>
      </c>
      <c r="I189" s="5" t="str">
        <f t="shared" si="3"/>
        <v>(186,'GZ1','Pipeline GZ1','1976-01-01','1976-01-01',NULL,1,10),</v>
      </c>
    </row>
    <row r="190" spans="1:9" ht="20.149999999999999" customHeight="1" x14ac:dyDescent="0.35">
      <c r="A190" s="3">
        <v>187</v>
      </c>
      <c r="B190" s="8" t="s">
        <v>399</v>
      </c>
      <c r="C190" s="5" t="s">
        <v>400</v>
      </c>
      <c r="D190" s="6" t="s">
        <v>345</v>
      </c>
      <c r="E190" s="7" t="s">
        <v>345</v>
      </c>
      <c r="F190" s="7" t="s">
        <v>20</v>
      </c>
      <c r="G190" s="7">
        <v>1</v>
      </c>
      <c r="H190" s="7">
        <v>10</v>
      </c>
      <c r="I190" s="5" t="str">
        <f t="shared" si="3"/>
        <v>(187,'GZ2','Pipeline GZ2','1982-01-01','1982-01-01',NULL,1,10),</v>
      </c>
    </row>
    <row r="191" spans="1:9" ht="20.149999999999999" customHeight="1" x14ac:dyDescent="0.35">
      <c r="A191" s="3">
        <v>188</v>
      </c>
      <c r="B191" s="8" t="s">
        <v>401</v>
      </c>
      <c r="C191" s="5" t="s">
        <v>402</v>
      </c>
      <c r="D191" s="6">
        <v>37333</v>
      </c>
      <c r="E191" s="6">
        <v>38405</v>
      </c>
      <c r="F191" s="7" t="s">
        <v>20</v>
      </c>
      <c r="G191" s="7">
        <v>1</v>
      </c>
      <c r="H191" s="7">
        <v>10</v>
      </c>
      <c r="I191" s="5" t="str">
        <f t="shared" si="3"/>
        <v>(188,'RGZ2','Pipeline RGZ2','2002-03-18','2005-02-22',NULL,1,10),</v>
      </c>
    </row>
    <row r="192" spans="1:9" ht="20.149999999999999" customHeight="1" x14ac:dyDescent="0.35">
      <c r="A192" s="3">
        <v>189</v>
      </c>
      <c r="B192" s="8" t="s">
        <v>403</v>
      </c>
      <c r="C192" s="5" t="s">
        <v>404</v>
      </c>
      <c r="D192" s="6" t="s">
        <v>405</v>
      </c>
      <c r="E192" s="7" t="s">
        <v>405</v>
      </c>
      <c r="F192" s="7" t="s">
        <v>20</v>
      </c>
      <c r="G192" s="7">
        <v>1</v>
      </c>
      <c r="H192" s="7">
        <v>10</v>
      </c>
      <c r="I192" s="5" t="str">
        <f t="shared" si="3"/>
        <v>(189,'GZ3','Pipeline GZ3','1989-01-01','1989-01-01',NULL,1,10),</v>
      </c>
    </row>
    <row r="193" spans="1:9" ht="20.149999999999999" customHeight="1" x14ac:dyDescent="0.35">
      <c r="A193" s="3">
        <v>190</v>
      </c>
      <c r="B193" s="8" t="s">
        <v>406</v>
      </c>
      <c r="C193" s="5" t="s">
        <v>407</v>
      </c>
      <c r="D193" s="6" t="s">
        <v>408</v>
      </c>
      <c r="E193" s="7" t="s">
        <v>408</v>
      </c>
      <c r="F193" s="7" t="s">
        <v>20</v>
      </c>
      <c r="G193" s="7">
        <v>1</v>
      </c>
      <c r="H193" s="7">
        <v>10</v>
      </c>
      <c r="I193" s="5" t="str">
        <f t="shared" si="3"/>
        <v>(190,'RGZ3-01','Pipeline RGZ3-01','2018-01-01','2018-01-01',NULL,1,10),</v>
      </c>
    </row>
    <row r="194" spans="1:9" ht="20.149999999999999" customHeight="1" x14ac:dyDescent="0.35">
      <c r="A194" s="3">
        <v>191</v>
      </c>
      <c r="B194" s="8" t="s">
        <v>409</v>
      </c>
      <c r="C194" s="5" t="s">
        <v>410</v>
      </c>
      <c r="D194" s="6">
        <v>37753</v>
      </c>
      <c r="E194" s="6">
        <v>38949</v>
      </c>
      <c r="F194" s="7" t="s">
        <v>20</v>
      </c>
      <c r="G194" s="7">
        <v>1</v>
      </c>
      <c r="H194" s="7">
        <v>10</v>
      </c>
      <c r="I194" s="5" t="str">
        <f t="shared" si="3"/>
        <v>(191,'RGZ3-02','Pipeline RGZ3-02','2003-05-12','2006-08-20',NULL,1,10),</v>
      </c>
    </row>
    <row r="195" spans="1:9" ht="20.149999999999999" customHeight="1" x14ac:dyDescent="0.35">
      <c r="A195" s="3">
        <v>192</v>
      </c>
      <c r="B195" s="8" t="s">
        <v>411</v>
      </c>
      <c r="C195" s="5" t="s">
        <v>412</v>
      </c>
      <c r="D195" s="6" t="s">
        <v>413</v>
      </c>
      <c r="E195" s="6" t="s">
        <v>413</v>
      </c>
      <c r="F195" s="7" t="s">
        <v>20</v>
      </c>
      <c r="G195" s="7">
        <v>1</v>
      </c>
      <c r="H195" s="7">
        <v>10</v>
      </c>
      <c r="I195" s="5" t="str">
        <f t="shared" si="3"/>
        <v>(192,'GZ4-01','Pipeline GZ4-01','2010-04-16','2010-04-16',NULL,1,10),</v>
      </c>
    </row>
    <row r="196" spans="1:9" ht="20.149999999999999" customHeight="1" x14ac:dyDescent="0.35">
      <c r="A196" s="3">
        <v>193</v>
      </c>
      <c r="B196" s="8" t="s">
        <v>414</v>
      </c>
      <c r="C196" s="5" t="s">
        <v>415</v>
      </c>
      <c r="D196" s="6">
        <v>38006</v>
      </c>
      <c r="E196" s="6">
        <v>39018</v>
      </c>
      <c r="F196" s="7" t="s">
        <v>20</v>
      </c>
      <c r="G196" s="7">
        <v>1</v>
      </c>
      <c r="H196" s="7">
        <v>10</v>
      </c>
      <c r="I196" s="5" t="str">
        <f t="shared" si="3"/>
        <v>(193,'GZ4-02','Pipeline GZ4-02','2004-01-20','2006-10-28',NULL,1,10),</v>
      </c>
    </row>
    <row r="197" spans="1:9" ht="20.149999999999999" customHeight="1" x14ac:dyDescent="0.35">
      <c r="A197" s="3">
        <v>194</v>
      </c>
      <c r="B197" s="8" t="s">
        <v>416</v>
      </c>
      <c r="C197" s="5" t="s">
        <v>417</v>
      </c>
      <c r="D197" s="6">
        <v>38398</v>
      </c>
      <c r="E197" s="6">
        <v>39416</v>
      </c>
      <c r="F197" s="7" t="s">
        <v>20</v>
      </c>
      <c r="G197" s="7">
        <v>1</v>
      </c>
      <c r="H197" s="7">
        <v>10</v>
      </c>
      <c r="I197" s="5" t="str">
        <f t="shared" si="3"/>
        <v>(194,'GZ4-03','Pipeline GZ4-03','2005-02-15','2007-11-30',NULL,1,10),</v>
      </c>
    </row>
    <row r="198" spans="1:9" ht="20.149999999999999" customHeight="1" x14ac:dyDescent="0.35">
      <c r="A198" s="3">
        <v>195</v>
      </c>
      <c r="B198" s="8" t="s">
        <v>418</v>
      </c>
      <c r="C198" s="5" t="s">
        <v>419</v>
      </c>
      <c r="D198" s="6" t="s">
        <v>420</v>
      </c>
      <c r="E198" s="6" t="s">
        <v>421</v>
      </c>
      <c r="F198" s="7" t="s">
        <v>20</v>
      </c>
      <c r="G198" s="7">
        <v>1</v>
      </c>
      <c r="H198" s="7">
        <v>10</v>
      </c>
      <c r="I198" s="5" t="str">
        <f t="shared" si="3"/>
        <v>(195,'GK1','Pipeline GK1','1971-01-01','1978-01-01',NULL,1,10),</v>
      </c>
    </row>
    <row r="199" spans="1:9" ht="20.149999999999999" customHeight="1" x14ac:dyDescent="0.35">
      <c r="A199" s="3">
        <v>196</v>
      </c>
      <c r="B199" s="8" t="s">
        <v>422</v>
      </c>
      <c r="C199" s="5" t="s">
        <v>423</v>
      </c>
      <c r="D199" s="6" t="s">
        <v>424</v>
      </c>
      <c r="E199" s="6" t="s">
        <v>425</v>
      </c>
      <c r="F199" s="7" t="s">
        <v>20</v>
      </c>
      <c r="G199" s="7">
        <v>1</v>
      </c>
      <c r="H199" s="7">
        <v>10</v>
      </c>
      <c r="I199" s="5" t="str">
        <f t="shared" si="3"/>
        <v>(196,'GK2','Pipeline GK2','1998-01-01','2001-01-01',NULL,1,10),</v>
      </c>
    </row>
    <row r="200" spans="1:9" ht="20.149999999999999" customHeight="1" x14ac:dyDescent="0.35">
      <c r="A200" s="3">
        <v>197</v>
      </c>
      <c r="B200" s="8" t="s">
        <v>426</v>
      </c>
      <c r="C200" s="5" t="s">
        <v>427</v>
      </c>
      <c r="D200" s="6" t="s">
        <v>428</v>
      </c>
      <c r="E200" s="6" t="s">
        <v>428</v>
      </c>
      <c r="F200" s="7" t="s">
        <v>20</v>
      </c>
      <c r="G200" s="7">
        <v>1</v>
      </c>
      <c r="H200" s="7">
        <v>10</v>
      </c>
      <c r="I200" s="5" t="str">
        <f t="shared" si="3"/>
        <v>(197,'GK3-01','Pipeline GK3-01','2012-01-01','2012-01-01',NULL,1,10),</v>
      </c>
    </row>
    <row r="201" spans="1:9" ht="20.149999999999999" customHeight="1" x14ac:dyDescent="0.35">
      <c r="A201" s="3">
        <v>198</v>
      </c>
      <c r="B201" s="8" t="s">
        <v>429</v>
      </c>
      <c r="C201" s="5" t="s">
        <v>430</v>
      </c>
      <c r="D201" s="6">
        <v>37700</v>
      </c>
      <c r="E201" s="6">
        <v>38640</v>
      </c>
      <c r="F201" s="7" t="s">
        <v>20</v>
      </c>
      <c r="G201" s="7">
        <v>1</v>
      </c>
      <c r="H201" s="7">
        <v>10</v>
      </c>
      <c r="I201" s="5" t="str">
        <f t="shared" si="3"/>
        <v>(198,'GK3-02','Pipeline GK3-02','2003-03-20','2005-10-15',NULL,1,10),</v>
      </c>
    </row>
    <row r="202" spans="1:9" ht="20.149999999999999" customHeight="1" x14ac:dyDescent="0.35">
      <c r="A202" s="3">
        <v>199</v>
      </c>
      <c r="B202" s="8" t="s">
        <v>431</v>
      </c>
      <c r="C202" s="5" t="s">
        <v>432</v>
      </c>
      <c r="D202" s="6" t="s">
        <v>433</v>
      </c>
      <c r="E202" s="6" t="s">
        <v>433</v>
      </c>
      <c r="F202" s="7" t="s">
        <v>20</v>
      </c>
      <c r="G202" s="7">
        <v>1</v>
      </c>
      <c r="H202" s="7">
        <v>10</v>
      </c>
      <c r="I202" s="5" t="str">
        <f t="shared" si="3"/>
        <v>(199,'GG1','Pipeline GG1','1981-01-01','1981-01-01',NULL,1,10),</v>
      </c>
    </row>
    <row r="203" spans="1:9" ht="20.149999999999999" customHeight="1" x14ac:dyDescent="0.35">
      <c r="A203" s="3">
        <v>200</v>
      </c>
      <c r="B203" s="8" t="s">
        <v>434</v>
      </c>
      <c r="C203" s="5" t="s">
        <v>435</v>
      </c>
      <c r="D203" s="6" t="s">
        <v>436</v>
      </c>
      <c r="E203" s="6" t="s">
        <v>436</v>
      </c>
      <c r="F203" s="7" t="s">
        <v>20</v>
      </c>
      <c r="G203" s="7">
        <v>1</v>
      </c>
      <c r="H203" s="7">
        <v>10</v>
      </c>
      <c r="I203" s="5" t="str">
        <f t="shared" si="3"/>
        <v>(200,'RGG1','Pipeline RGG1','2019-01-01','2019-01-01',NULL,1,10),</v>
      </c>
    </row>
    <row r="204" spans="1:9" ht="20.149999999999999" customHeight="1" x14ac:dyDescent="0.35">
      <c r="A204" s="3">
        <v>201</v>
      </c>
      <c r="B204" s="8" t="s">
        <v>437</v>
      </c>
      <c r="C204" s="5" t="s">
        <v>438</v>
      </c>
      <c r="D204" s="6">
        <v>34222</v>
      </c>
      <c r="E204" s="6">
        <v>35389</v>
      </c>
      <c r="F204" s="7" t="s">
        <v>20</v>
      </c>
      <c r="G204" s="7">
        <v>1</v>
      </c>
      <c r="H204" s="7">
        <v>10</v>
      </c>
      <c r="I204" s="5" t="str">
        <f t="shared" si="3"/>
        <v>(201,'GM1','Pipeline GM1','1993-09-10','1996-11-20',NULL,1,10),</v>
      </c>
    </row>
    <row r="205" spans="1:9" ht="20.149999999999999" customHeight="1" x14ac:dyDescent="0.35">
      <c r="A205" s="3">
        <v>202</v>
      </c>
      <c r="B205" s="8" t="s">
        <v>439</v>
      </c>
      <c r="C205" s="5" t="s">
        <v>440</v>
      </c>
      <c r="D205" s="6" t="s">
        <v>441</v>
      </c>
      <c r="E205" s="6" t="s">
        <v>441</v>
      </c>
      <c r="F205" s="7" t="s">
        <v>20</v>
      </c>
      <c r="G205" s="7">
        <v>1</v>
      </c>
      <c r="H205" s="7">
        <v>10</v>
      </c>
      <c r="I205" s="5" t="str">
        <f t="shared" si="3"/>
        <v>(202,'GR1','Pipeline GR1','1986-01-01','1986-01-01',NULL,1,10),</v>
      </c>
    </row>
    <row r="206" spans="1:9" ht="20.149999999999999" customHeight="1" x14ac:dyDescent="0.35">
      <c r="A206" s="3">
        <v>203</v>
      </c>
      <c r="B206" s="8" t="s">
        <v>442</v>
      </c>
      <c r="C206" s="5" t="s">
        <v>443</v>
      </c>
      <c r="D206" s="6" t="s">
        <v>444</v>
      </c>
      <c r="E206" s="6" t="s">
        <v>444</v>
      </c>
      <c r="F206" s="7" t="s">
        <v>20</v>
      </c>
      <c r="G206" s="7">
        <v>1</v>
      </c>
      <c r="H206" s="7">
        <v>10</v>
      </c>
      <c r="I206" s="5" t="str">
        <f t="shared" si="3"/>
        <v>(203,'GR2','Pipeline GR2','1999-01-01','1999-01-01',NULL,1,10),</v>
      </c>
    </row>
    <row r="207" spans="1:9" ht="20.149999999999999" customHeight="1" x14ac:dyDescent="0.35">
      <c r="A207" s="3">
        <v>204</v>
      </c>
      <c r="B207" s="8" t="s">
        <v>445</v>
      </c>
      <c r="C207" s="5" t="s">
        <v>446</v>
      </c>
      <c r="D207" s="6">
        <v>38064</v>
      </c>
      <c r="E207" s="6">
        <v>39285</v>
      </c>
      <c r="F207" s="7" t="s">
        <v>20</v>
      </c>
      <c r="G207" s="7">
        <v>1</v>
      </c>
      <c r="H207" s="7">
        <v>10</v>
      </c>
      <c r="I207" s="5" t="str">
        <f t="shared" si="3"/>
        <v>(204,'GR3','Pipeline GR3','2004-03-18','2007-07-22',NULL,1,10),</v>
      </c>
    </row>
    <row r="208" spans="1:9" ht="20.149999999999999" customHeight="1" x14ac:dyDescent="0.35">
      <c r="A208" s="3">
        <v>205</v>
      </c>
      <c r="B208" s="8" t="s">
        <v>447</v>
      </c>
      <c r="C208" s="5" t="s">
        <v>448</v>
      </c>
      <c r="D208" s="6" t="s">
        <v>390</v>
      </c>
      <c r="E208" s="6" t="s">
        <v>390</v>
      </c>
      <c r="F208" s="7" t="s">
        <v>20</v>
      </c>
      <c r="G208" s="7">
        <v>1</v>
      </c>
      <c r="H208" s="7">
        <v>10</v>
      </c>
      <c r="I208" s="5" t="str">
        <f t="shared" ref="I208:I232" si="4">CONCATENATE("(",A208,",'",B208,"','",C208,"','",TEXT(D208,"aaaa-mm-jj"),"','",TEXT(E208,"aaaa-mm-jj"),"',",F208,",",G208,",",H208,"),")</f>
        <v>(205,'GR4','Pipeline GR4','2014-01-01','2014-01-01',NULL,1,10),</v>
      </c>
    </row>
    <row r="209" spans="1:9" ht="20.149999999999999" customHeight="1" x14ac:dyDescent="0.35">
      <c r="A209" s="3">
        <v>206</v>
      </c>
      <c r="B209" s="8" t="s">
        <v>449</v>
      </c>
      <c r="C209" s="5" t="s">
        <v>450</v>
      </c>
      <c r="D209" s="6" t="s">
        <v>451</v>
      </c>
      <c r="E209" s="6" t="s">
        <v>451</v>
      </c>
      <c r="F209" s="7" t="s">
        <v>20</v>
      </c>
      <c r="G209" s="7">
        <v>1</v>
      </c>
      <c r="H209" s="7">
        <v>10</v>
      </c>
      <c r="I209" s="5" t="str">
        <f t="shared" si="4"/>
        <v>(206,'GR5','Pipeline GR5','2017-06-01','2017-06-01',NULL,1,10),</v>
      </c>
    </row>
    <row r="210" spans="1:9" ht="20.149999999999999" customHeight="1" x14ac:dyDescent="0.35">
      <c r="A210" s="3">
        <v>207</v>
      </c>
      <c r="B210" s="8" t="s">
        <v>452</v>
      </c>
      <c r="C210" s="5" t="s">
        <v>453</v>
      </c>
      <c r="D210" s="6" t="s">
        <v>454</v>
      </c>
      <c r="E210" s="6" t="s">
        <v>454</v>
      </c>
      <c r="F210" s="7" t="s">
        <v>20</v>
      </c>
      <c r="G210" s="7">
        <v>1</v>
      </c>
      <c r="H210" s="7">
        <v>10</v>
      </c>
      <c r="I210" s="5" t="str">
        <f t="shared" si="4"/>
        <v>(207,'GR6','Pipeline GR6','2017-01-01','2017-01-01',NULL,1,10),</v>
      </c>
    </row>
    <row r="211" spans="1:9" ht="20.149999999999999" customHeight="1" x14ac:dyDescent="0.35">
      <c r="A211" s="3">
        <v>208</v>
      </c>
      <c r="B211" s="8" t="s">
        <v>455</v>
      </c>
      <c r="C211" s="5" t="s">
        <v>456</v>
      </c>
      <c r="D211" s="6" t="s">
        <v>457</v>
      </c>
      <c r="E211" s="6" t="s">
        <v>457</v>
      </c>
      <c r="F211" s="7" t="s">
        <v>20</v>
      </c>
      <c r="G211" s="7">
        <v>1</v>
      </c>
      <c r="H211" s="7">
        <v>10</v>
      </c>
      <c r="I211" s="5" t="str">
        <f t="shared" si="4"/>
        <v>(208,'GR7','Pipeline GR7','2019-12-01','2019-12-01',NULL,1,10),</v>
      </c>
    </row>
    <row r="212" spans="1:9" ht="20.149999999999999" customHeight="1" x14ac:dyDescent="0.35">
      <c r="A212" s="3">
        <v>209</v>
      </c>
      <c r="B212" s="8" t="s">
        <v>458</v>
      </c>
      <c r="C212" s="5" t="s">
        <v>459</v>
      </c>
      <c r="D212" s="6" t="s">
        <v>384</v>
      </c>
      <c r="E212" s="6" t="s">
        <v>384</v>
      </c>
      <c r="F212" s="7" t="s">
        <v>20</v>
      </c>
      <c r="G212" s="7">
        <v>1</v>
      </c>
      <c r="H212" s="7">
        <v>10</v>
      </c>
      <c r="I212" s="5" t="str">
        <f t="shared" si="4"/>
        <v>(209,'GPDF','Pipeline GPDF','1996-01-01','1996-01-01',NULL,1,10),</v>
      </c>
    </row>
    <row r="213" spans="1:9" ht="20.149999999999999" customHeight="1" x14ac:dyDescent="0.35">
      <c r="A213" s="3">
        <v>210</v>
      </c>
      <c r="B213" s="8" t="s">
        <v>460</v>
      </c>
      <c r="C213" s="5" t="s">
        <v>461</v>
      </c>
      <c r="D213" s="6" t="s">
        <v>462</v>
      </c>
      <c r="E213" s="6" t="s">
        <v>462</v>
      </c>
      <c r="F213" s="7" t="s">
        <v>20</v>
      </c>
      <c r="G213" s="7">
        <v>1</v>
      </c>
      <c r="H213" s="7">
        <v>10</v>
      </c>
      <c r="I213" s="5" t="str">
        <f t="shared" si="4"/>
        <v>(210,'EGPDF','Pipeline EGPDF','2021-01-01','2021-01-01',NULL,1,10),</v>
      </c>
    </row>
    <row r="214" spans="1:9" ht="20.149999999999999" customHeight="1" x14ac:dyDescent="0.35">
      <c r="A214" s="3">
        <v>211</v>
      </c>
      <c r="B214" s="8" t="s">
        <v>463</v>
      </c>
      <c r="C214" s="5" t="s">
        <v>464</v>
      </c>
      <c r="D214" s="6" t="s">
        <v>345</v>
      </c>
      <c r="E214" s="6" t="s">
        <v>345</v>
      </c>
      <c r="F214" s="7" t="s">
        <v>20</v>
      </c>
      <c r="G214" s="7">
        <v>1</v>
      </c>
      <c r="H214" s="7">
        <v>10</v>
      </c>
      <c r="I214" s="5" t="str">
        <f t="shared" si="4"/>
        <v>(211,'GO1','Pipeline GO1','1982-01-01','1982-01-01',NULL,1,10),</v>
      </c>
    </row>
    <row r="215" spans="1:9" ht="20.149999999999999" customHeight="1" x14ac:dyDescent="0.35">
      <c r="A215" s="3">
        <v>212</v>
      </c>
      <c r="B215" s="8" t="s">
        <v>465</v>
      </c>
      <c r="C215" s="5" t="s">
        <v>466</v>
      </c>
      <c r="D215" s="6" t="s">
        <v>467</v>
      </c>
      <c r="E215" s="7" t="s">
        <v>467</v>
      </c>
      <c r="F215" s="7" t="s">
        <v>20</v>
      </c>
      <c r="G215" s="7">
        <v>1</v>
      </c>
      <c r="H215" s="7">
        <v>10</v>
      </c>
      <c r="I215" s="5" t="str">
        <f t="shared" si="4"/>
        <v>(212,'GO2','Pipeline GO2','1987-01-01','1987-01-01',NULL,1,10),</v>
      </c>
    </row>
    <row r="216" spans="1:9" ht="20.149999999999999" customHeight="1" x14ac:dyDescent="0.35">
      <c r="A216" s="3">
        <v>213</v>
      </c>
      <c r="B216" s="8" t="s">
        <v>468</v>
      </c>
      <c r="C216" s="5" t="s">
        <v>469</v>
      </c>
      <c r="D216" s="6" t="s">
        <v>470</v>
      </c>
      <c r="E216" s="7" t="s">
        <v>471</v>
      </c>
      <c r="F216" s="7" t="s">
        <v>20</v>
      </c>
      <c r="G216" s="7">
        <v>1</v>
      </c>
      <c r="H216" s="7">
        <v>10</v>
      </c>
      <c r="I216" s="5" t="str">
        <f t="shared" si="4"/>
        <v>(213,'GO3','Pipeline GO3','2008-01-01','2010-01-01',NULL,1,10),</v>
      </c>
    </row>
    <row r="217" spans="1:9" ht="20.149999999999999" customHeight="1" x14ac:dyDescent="0.35">
      <c r="A217" s="3">
        <v>214</v>
      </c>
      <c r="B217" s="8" t="s">
        <v>472</v>
      </c>
      <c r="C217" s="5" t="s">
        <v>473</v>
      </c>
      <c r="D217" s="6">
        <v>24053</v>
      </c>
      <c r="E217" s="7" t="s">
        <v>20</v>
      </c>
      <c r="F217" s="7" t="s">
        <v>20</v>
      </c>
      <c r="G217" s="7">
        <v>1</v>
      </c>
      <c r="H217" s="7">
        <v>10</v>
      </c>
      <c r="I217" s="5" t="str">
        <f t="shared" si="4"/>
        <v>(214,'S01-OZ1','Segment 01-OZ1','1965-11-07','NULL',NULL,1,10),</v>
      </c>
    </row>
    <row r="218" spans="1:9" ht="20.149999999999999" customHeight="1" x14ac:dyDescent="0.35">
      <c r="A218" s="3">
        <v>215</v>
      </c>
      <c r="B218" s="8" t="s">
        <v>474</v>
      </c>
      <c r="C218" s="5" t="s">
        <v>475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(215,'S02-OZ1','Segment 02-OZ1','1965-11-07','NULL',NULL,1,10),</v>
      </c>
    </row>
    <row r="219" spans="1:9" ht="20.149999999999999" customHeight="1" x14ac:dyDescent="0.35">
      <c r="A219" s="3">
        <v>216</v>
      </c>
      <c r="B219" s="8" t="s">
        <v>476</v>
      </c>
      <c r="C219" s="5" t="s">
        <v>477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(216,'S03-OZ1','Segment 03-OZ1','1965-11-07','NULL',NULL,1,10),</v>
      </c>
    </row>
    <row r="220" spans="1:9" ht="20.149999999999999" customHeight="1" x14ac:dyDescent="0.35">
      <c r="A220" s="3">
        <v>217</v>
      </c>
      <c r="B220" s="8" t="s">
        <v>478</v>
      </c>
      <c r="C220" s="5" t="s">
        <v>479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(217,'S04-OZ1','Segment 04-OZ1','1965-11-07','NULL',NULL,1,10),</v>
      </c>
    </row>
    <row r="221" spans="1:9" ht="20.149999999999999" customHeight="1" x14ac:dyDescent="0.35">
      <c r="A221" s="3">
        <v>218</v>
      </c>
      <c r="B221" s="8" t="s">
        <v>480</v>
      </c>
      <c r="C221" s="5" t="s">
        <v>481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(218,'S05-OZ1','Segment 05-OZ1','1965-11-07','NULL',NULL,1,10),</v>
      </c>
    </row>
    <row r="222" spans="1:9" ht="20.149999999999999" customHeight="1" x14ac:dyDescent="0.35">
      <c r="A222" s="3">
        <v>219</v>
      </c>
      <c r="B222" s="8" t="s">
        <v>482</v>
      </c>
      <c r="C222" s="5" t="s">
        <v>483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(219,'S06-OZ1','Segment 06-OZ1','1965-11-07','NULL',NULL,1,10),</v>
      </c>
    </row>
    <row r="223" spans="1:9" ht="20.149999999999999" customHeight="1" x14ac:dyDescent="0.35">
      <c r="A223" s="3">
        <v>220</v>
      </c>
      <c r="B223" s="8" t="s">
        <v>484</v>
      </c>
      <c r="C223" s="5" t="s">
        <v>485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(220,'S07-OZ1','Segment 07-OZ1','1965-11-07','NULL',NULL,1,10),</v>
      </c>
    </row>
    <row r="224" spans="1:9" ht="20.149999999999999" customHeight="1" x14ac:dyDescent="0.35">
      <c r="A224" s="3">
        <v>221</v>
      </c>
      <c r="B224" s="8" t="s">
        <v>486</v>
      </c>
      <c r="C224" s="5" t="s">
        <v>487</v>
      </c>
      <c r="D224" s="6">
        <v>37851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(221,'S01-OZ2','Segment 01-OZ2','2003-08-18','NULL',NULL,1,10),</v>
      </c>
    </row>
    <row r="225" spans="1:9" ht="20.149999999999999" customHeight="1" x14ac:dyDescent="0.35">
      <c r="A225" s="3">
        <v>222</v>
      </c>
      <c r="B225" s="8" t="s">
        <v>488</v>
      </c>
      <c r="C225" s="5" t="s">
        <v>489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(222,'S02-OZ2','Segment 02-OZ2','2003-08-18','NULL',NULL,1,10),</v>
      </c>
    </row>
    <row r="226" spans="1:9" ht="20.149999999999999" customHeight="1" x14ac:dyDescent="0.35">
      <c r="A226" s="3">
        <v>223</v>
      </c>
      <c r="B226" s="8" t="s">
        <v>490</v>
      </c>
      <c r="C226" s="5" t="s">
        <v>491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(223,'S03-OZ2','Segment 03-OZ2','2003-08-18','NULL',NULL,1,10),</v>
      </c>
    </row>
    <row r="227" spans="1:9" ht="20.149999999999999" customHeight="1" x14ac:dyDescent="0.35">
      <c r="A227" s="3">
        <v>224</v>
      </c>
      <c r="B227" s="8" t="s">
        <v>492</v>
      </c>
      <c r="C227" s="5" t="s">
        <v>493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(224,'S04-OZ2','Segment 04-OZ2','2003-08-18','NULL',NULL,1,10),</v>
      </c>
    </row>
    <row r="228" spans="1:9" ht="20.149999999999999" customHeight="1" x14ac:dyDescent="0.35">
      <c r="A228" s="3">
        <v>225</v>
      </c>
      <c r="B228" s="8" t="s">
        <v>494</v>
      </c>
      <c r="C228" s="5" t="s">
        <v>495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(225,'S05-OZ2','Segment 05-OZ2','2003-08-18','NULL',NULL,1,10),</v>
      </c>
    </row>
    <row r="229" spans="1:9" ht="20.149999999999999" customHeight="1" x14ac:dyDescent="0.35">
      <c r="A229" s="3">
        <v>226</v>
      </c>
      <c r="B229" s="8" t="s">
        <v>496</v>
      </c>
      <c r="C229" s="5" t="s">
        <v>497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(226,'S06-OZ2','Segment 06-OZ2','2003-08-18','NULL',NULL,1,10),</v>
      </c>
    </row>
    <row r="230" spans="1:9" ht="20.149999999999999" customHeight="1" x14ac:dyDescent="0.35">
      <c r="A230" s="3">
        <v>227</v>
      </c>
      <c r="B230" s="8" t="s">
        <v>498</v>
      </c>
      <c r="C230" s="5" t="s">
        <v>499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(227,'S07-OZ2','Segment 07-OZ2','2003-08-18','NULL',NULL,1,10),</v>
      </c>
    </row>
    <row r="231" spans="1:9" ht="20.149999999999999" customHeight="1" x14ac:dyDescent="0.35">
      <c r="A231" s="3"/>
      <c r="B231" s="8"/>
      <c r="C231" s="5"/>
      <c r="D231" s="6"/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(,'','','1900-01-00','NULL',NULL,1,10),</v>
      </c>
    </row>
    <row r="232" spans="1:9" ht="20.149999999999999" customHeight="1" x14ac:dyDescent="0.3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(,'','','1900-01-00','NULL',NULL,1,10),</v>
      </c>
    </row>
  </sheetData>
  <autoFilter ref="A2:H17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H59"/>
  <sheetViews>
    <sheetView workbookViewId="0">
      <selection activeCell="B58" sqref="B58"/>
    </sheetView>
  </sheetViews>
  <sheetFormatPr baseColWidth="10" defaultColWidth="10.81640625" defaultRowHeight="15.5" x14ac:dyDescent="0.35"/>
  <cols>
    <col min="1" max="1" width="5.54296875" style="2" customWidth="1"/>
    <col min="2" max="2" width="10.54296875" style="2" customWidth="1"/>
    <col min="3" max="3" width="12.7265625" style="2" customWidth="1"/>
    <col min="4" max="7" width="12.7265625" style="2" hidden="1" customWidth="1"/>
    <col min="8" max="8" width="19.7265625" style="2" customWidth="1"/>
    <col min="9" max="9" width="12.7265625" style="2" customWidth="1"/>
    <col min="10" max="10" width="36" style="2" customWidth="1"/>
    <col min="11" max="30" width="12.7265625" style="2" customWidth="1"/>
    <col min="31" max="31" width="21.453125" style="2" customWidth="1"/>
    <col min="32" max="32" width="12.7265625" style="2" customWidth="1"/>
    <col min="33" max="33" width="117.453125" style="2" bestFit="1" customWidth="1"/>
    <col min="34" max="16384" width="10.81640625" style="2"/>
  </cols>
  <sheetData>
    <row r="1" spans="1:34" ht="20.149999999999999" customHeight="1" x14ac:dyDescent="0.35">
      <c r="A1" s="1" t="s">
        <v>0</v>
      </c>
      <c r="B1" s="20" t="s">
        <v>1</v>
      </c>
      <c r="C1" s="1" t="s">
        <v>500</v>
      </c>
      <c r="D1" s="1" t="s">
        <v>6</v>
      </c>
      <c r="E1" s="1" t="s">
        <v>501</v>
      </c>
      <c r="F1" s="1" t="s">
        <v>502</v>
      </c>
      <c r="G1" s="1" t="s">
        <v>503</v>
      </c>
      <c r="H1" s="1" t="s">
        <v>504</v>
      </c>
      <c r="I1" s="1" t="s">
        <v>505</v>
      </c>
      <c r="J1" s="1" t="s">
        <v>506</v>
      </c>
      <c r="K1" s="1" t="s">
        <v>507</v>
      </c>
      <c r="L1" s="1" t="s">
        <v>508</v>
      </c>
      <c r="M1" s="1" t="s">
        <v>509</v>
      </c>
      <c r="N1" s="1" t="s">
        <v>510</v>
      </c>
      <c r="O1" s="1" t="s">
        <v>511</v>
      </c>
      <c r="P1" s="1" t="s">
        <v>512</v>
      </c>
      <c r="Q1" s="1" t="s">
        <v>513</v>
      </c>
      <c r="R1" s="1" t="s">
        <v>514</v>
      </c>
      <c r="S1" s="1" t="s">
        <v>515</v>
      </c>
      <c r="T1" s="1" t="s">
        <v>516</v>
      </c>
      <c r="U1" s="1" t="s">
        <v>517</v>
      </c>
      <c r="V1" s="1" t="s">
        <v>518</v>
      </c>
      <c r="W1" s="1" t="s">
        <v>519</v>
      </c>
      <c r="X1" s="1" t="s">
        <v>520</v>
      </c>
      <c r="Y1" s="1" t="s">
        <v>521</v>
      </c>
      <c r="Z1" s="1" t="s">
        <v>522</v>
      </c>
      <c r="AA1" s="1" t="s">
        <v>523</v>
      </c>
      <c r="AB1" s="1" t="s">
        <v>524</v>
      </c>
      <c r="AC1" s="1" t="s">
        <v>525</v>
      </c>
      <c r="AD1" s="1" t="s">
        <v>526</v>
      </c>
      <c r="AE1" s="1" t="s">
        <v>527</v>
      </c>
      <c r="AF1" s="1" t="s">
        <v>528</v>
      </c>
    </row>
    <row r="2" spans="1:34" ht="20.149999999999999" customHeight="1" x14ac:dyDescent="0.3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529</v>
      </c>
      <c r="H2" s="1" t="s">
        <v>530</v>
      </c>
      <c r="I2" s="1" t="s">
        <v>531</v>
      </c>
      <c r="J2" s="1" t="s">
        <v>532</v>
      </c>
      <c r="K2" s="1" t="s">
        <v>533</v>
      </c>
      <c r="L2" s="1" t="s">
        <v>534</v>
      </c>
      <c r="M2" s="1" t="s">
        <v>535</v>
      </c>
      <c r="N2" s="1" t="s">
        <v>536</v>
      </c>
      <c r="O2" s="1" t="s">
        <v>537</v>
      </c>
      <c r="P2" s="1" t="s">
        <v>538</v>
      </c>
      <c r="Q2" s="1" t="s">
        <v>539</v>
      </c>
      <c r="R2" s="1"/>
      <c r="S2" s="1" t="s">
        <v>540</v>
      </c>
      <c r="T2" s="1"/>
      <c r="U2" s="1" t="s">
        <v>541</v>
      </c>
      <c r="V2" s="1"/>
      <c r="W2" s="1" t="s">
        <v>542</v>
      </c>
      <c r="X2" s="1"/>
      <c r="Y2" s="1" t="s">
        <v>543</v>
      </c>
      <c r="Z2" s="1"/>
      <c r="AA2" s="1" t="s">
        <v>544</v>
      </c>
      <c r="AB2" s="1"/>
      <c r="AC2" s="1" t="s">
        <v>545</v>
      </c>
      <c r="AD2" s="1" t="s">
        <v>529</v>
      </c>
      <c r="AE2" s="1"/>
      <c r="AF2" s="1" t="s">
        <v>546</v>
      </c>
      <c r="AG2" s="21" t="s">
        <v>547</v>
      </c>
    </row>
    <row r="3" spans="1:34" ht="20.149999999999999" customHeight="1" x14ac:dyDescent="0.35">
      <c r="A3" s="3">
        <v>156</v>
      </c>
      <c r="B3" s="22" t="s">
        <v>324</v>
      </c>
      <c r="C3" s="6">
        <v>24053</v>
      </c>
      <c r="D3" s="23">
        <v>1</v>
      </c>
      <c r="E3" s="7" t="s">
        <v>548</v>
      </c>
      <c r="F3" s="7">
        <v>11</v>
      </c>
      <c r="G3" s="7">
        <v>12</v>
      </c>
      <c r="H3" s="24">
        <v>28</v>
      </c>
      <c r="I3" s="25" t="s">
        <v>549</v>
      </c>
      <c r="J3" s="7" t="s">
        <v>550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551</v>
      </c>
      <c r="S3" s="7">
        <v>3</v>
      </c>
      <c r="T3" s="7" t="s">
        <v>552</v>
      </c>
      <c r="U3" s="7">
        <v>14</v>
      </c>
      <c r="V3" s="7" t="s">
        <v>20</v>
      </c>
      <c r="W3" s="7" t="s">
        <v>20</v>
      </c>
      <c r="X3" s="7" t="s">
        <v>553</v>
      </c>
      <c r="Y3" s="7">
        <v>1</v>
      </c>
      <c r="Z3" s="26" t="s">
        <v>31</v>
      </c>
      <c r="AA3" s="27">
        <v>7</v>
      </c>
      <c r="AB3" s="26" t="s">
        <v>554</v>
      </c>
      <c r="AC3" s="27">
        <v>21</v>
      </c>
      <c r="AD3" s="7">
        <v>12</v>
      </c>
      <c r="AE3" s="7" t="s">
        <v>555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49999999999999" customHeight="1" x14ac:dyDescent="0.35">
      <c r="A4" s="3">
        <v>157</v>
      </c>
      <c r="B4" s="22" t="s">
        <v>326</v>
      </c>
      <c r="C4" s="6">
        <v>37851</v>
      </c>
      <c r="D4" s="23">
        <v>1</v>
      </c>
      <c r="E4" s="7" t="s">
        <v>548</v>
      </c>
      <c r="F4" s="7">
        <v>11</v>
      </c>
      <c r="G4" s="7">
        <v>12</v>
      </c>
      <c r="H4" s="24">
        <v>34</v>
      </c>
      <c r="I4" s="25">
        <v>821</v>
      </c>
      <c r="J4" s="7" t="s">
        <v>556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557</v>
      </c>
      <c r="S4" s="7">
        <v>4</v>
      </c>
      <c r="T4" s="7" t="s">
        <v>558</v>
      </c>
      <c r="U4" s="7">
        <v>11</v>
      </c>
      <c r="V4" s="7" t="s">
        <v>20</v>
      </c>
      <c r="W4" s="7" t="s">
        <v>20</v>
      </c>
      <c r="X4" s="7" t="s">
        <v>553</v>
      </c>
      <c r="Y4" s="7">
        <v>1</v>
      </c>
      <c r="Z4" s="26" t="s">
        <v>31</v>
      </c>
      <c r="AA4" s="7">
        <v>7</v>
      </c>
      <c r="AB4" s="26" t="s">
        <v>554</v>
      </c>
      <c r="AC4" s="7">
        <v>21</v>
      </c>
      <c r="AD4" s="7">
        <v>12</v>
      </c>
      <c r="AE4" s="30" t="s">
        <v>559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49999999999999" customHeight="1" x14ac:dyDescent="0.35">
      <c r="A5" s="3">
        <v>158</v>
      </c>
      <c r="B5" s="22" t="s">
        <v>329</v>
      </c>
      <c r="C5" s="6">
        <v>26299</v>
      </c>
      <c r="D5" s="23">
        <v>1</v>
      </c>
      <c r="E5" s="7" t="s">
        <v>560</v>
      </c>
      <c r="F5" s="7">
        <v>13</v>
      </c>
      <c r="G5" s="7">
        <v>12</v>
      </c>
      <c r="H5" s="24">
        <v>34</v>
      </c>
      <c r="I5" s="25">
        <v>646</v>
      </c>
      <c r="J5" s="30" t="s">
        <v>561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562</v>
      </c>
      <c r="S5" s="7">
        <v>3</v>
      </c>
      <c r="T5" s="30" t="s">
        <v>563</v>
      </c>
      <c r="U5" s="7">
        <v>14</v>
      </c>
      <c r="V5" s="7" t="s">
        <v>20</v>
      </c>
      <c r="W5" s="7" t="s">
        <v>20</v>
      </c>
      <c r="X5" s="7" t="s">
        <v>329</v>
      </c>
      <c r="Y5" s="7">
        <v>2</v>
      </c>
      <c r="Z5" s="26" t="s">
        <v>31</v>
      </c>
      <c r="AA5" s="7">
        <v>7</v>
      </c>
      <c r="AB5" s="26" t="s">
        <v>564</v>
      </c>
      <c r="AC5" s="7">
        <v>34</v>
      </c>
      <c r="AD5" s="7">
        <v>12</v>
      </c>
      <c r="AE5" s="7" t="s">
        <v>565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49999999999999" customHeight="1" x14ac:dyDescent="0.35">
      <c r="A6" s="3">
        <v>159</v>
      </c>
      <c r="B6" s="22" t="s">
        <v>332</v>
      </c>
      <c r="C6" s="6">
        <v>21864</v>
      </c>
      <c r="D6" s="23">
        <v>1</v>
      </c>
      <c r="E6" s="7" t="s">
        <v>566</v>
      </c>
      <c r="F6" s="7">
        <v>15</v>
      </c>
      <c r="G6" s="7">
        <v>12</v>
      </c>
      <c r="H6" s="24" t="s">
        <v>567</v>
      </c>
      <c r="I6" s="25">
        <v>672</v>
      </c>
      <c r="J6" s="7" t="s">
        <v>568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569</v>
      </c>
      <c r="R6" s="7" t="s">
        <v>570</v>
      </c>
      <c r="S6" s="7">
        <v>2</v>
      </c>
      <c r="T6" s="7" t="s">
        <v>571</v>
      </c>
      <c r="U6" s="7">
        <v>14</v>
      </c>
      <c r="V6" s="7" t="s">
        <v>20</v>
      </c>
      <c r="W6" s="7" t="s">
        <v>20</v>
      </c>
      <c r="X6" s="7" t="s">
        <v>572</v>
      </c>
      <c r="Y6" s="7">
        <v>3</v>
      </c>
      <c r="Z6" s="26" t="s">
        <v>31</v>
      </c>
      <c r="AA6" s="7">
        <v>7</v>
      </c>
      <c r="AB6" s="26" t="s">
        <v>573</v>
      </c>
      <c r="AC6" s="7">
        <v>22</v>
      </c>
      <c r="AD6" s="7">
        <v>12</v>
      </c>
      <c r="AE6" s="7" t="s">
        <v>574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49999999999999" customHeight="1" x14ac:dyDescent="0.35">
      <c r="A7" s="3">
        <v>160</v>
      </c>
      <c r="B7" s="22" t="s">
        <v>334</v>
      </c>
      <c r="C7" s="6">
        <v>44738</v>
      </c>
      <c r="D7" s="23">
        <v>1</v>
      </c>
      <c r="E7" s="7" t="s">
        <v>566</v>
      </c>
      <c r="F7" s="7">
        <v>15</v>
      </c>
      <c r="G7" s="7">
        <v>12</v>
      </c>
      <c r="H7" s="24" t="s">
        <v>567</v>
      </c>
      <c r="I7" s="25">
        <v>174</v>
      </c>
      <c r="J7" s="7" t="s">
        <v>575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557</v>
      </c>
      <c r="S7" s="7">
        <v>4</v>
      </c>
      <c r="T7" s="7" t="s">
        <v>576</v>
      </c>
      <c r="U7" s="7">
        <v>10</v>
      </c>
      <c r="V7" s="7" t="s">
        <v>20</v>
      </c>
      <c r="W7" s="7" t="s">
        <v>20</v>
      </c>
      <c r="X7" s="7" t="s">
        <v>572</v>
      </c>
      <c r="Y7" s="7">
        <v>3</v>
      </c>
      <c r="Z7" s="26" t="s">
        <v>577</v>
      </c>
      <c r="AA7" s="7">
        <v>10</v>
      </c>
      <c r="AB7" s="26" t="s">
        <v>573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49999999999999" customHeight="1" x14ac:dyDescent="0.35">
      <c r="A8" s="3">
        <v>161</v>
      </c>
      <c r="B8" s="22" t="s">
        <v>336</v>
      </c>
      <c r="C8" s="6">
        <v>46388</v>
      </c>
      <c r="D8" s="23">
        <v>1</v>
      </c>
      <c r="E8" s="7" t="s">
        <v>566</v>
      </c>
      <c r="F8" s="7">
        <v>15</v>
      </c>
      <c r="G8" s="7">
        <v>12</v>
      </c>
      <c r="H8" s="24">
        <v>24</v>
      </c>
      <c r="I8" s="25">
        <v>504</v>
      </c>
      <c r="J8" s="7" t="s">
        <v>578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557</v>
      </c>
      <c r="S8" s="7">
        <v>4</v>
      </c>
      <c r="T8" s="7" t="s">
        <v>579</v>
      </c>
      <c r="U8" s="7">
        <v>21</v>
      </c>
      <c r="V8" s="7" t="s">
        <v>20</v>
      </c>
      <c r="W8" s="7" t="s">
        <v>20</v>
      </c>
      <c r="X8" s="7" t="s">
        <v>572</v>
      </c>
      <c r="Y8" s="7">
        <v>3</v>
      </c>
      <c r="Z8" s="26" t="s">
        <v>31</v>
      </c>
      <c r="AA8" s="7">
        <v>7</v>
      </c>
      <c r="AB8" s="26" t="s">
        <v>580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49999999999999" customHeight="1" x14ac:dyDescent="0.35">
      <c r="A9" s="3">
        <v>162</v>
      </c>
      <c r="B9" s="22" t="s">
        <v>338</v>
      </c>
      <c r="C9" s="6">
        <v>38537</v>
      </c>
      <c r="D9" s="23">
        <v>1</v>
      </c>
      <c r="E9" s="7" t="s">
        <v>566</v>
      </c>
      <c r="F9" s="7">
        <v>15</v>
      </c>
      <c r="G9" s="7">
        <v>12</v>
      </c>
      <c r="H9" s="24">
        <v>20</v>
      </c>
      <c r="I9" s="25" t="s">
        <v>581</v>
      </c>
      <c r="J9" s="7" t="s">
        <v>582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557</v>
      </c>
      <c r="S9" s="7">
        <v>4</v>
      </c>
      <c r="T9" s="7" t="s">
        <v>558</v>
      </c>
      <c r="U9" s="7">
        <v>11</v>
      </c>
      <c r="V9" s="7" t="s">
        <v>20</v>
      </c>
      <c r="W9" s="7" t="s">
        <v>20</v>
      </c>
      <c r="X9" s="7" t="s">
        <v>572</v>
      </c>
      <c r="Y9" s="7">
        <v>3</v>
      </c>
      <c r="Z9" s="26" t="s">
        <v>583</v>
      </c>
      <c r="AA9" s="7">
        <v>13</v>
      </c>
      <c r="AB9" s="26" t="s">
        <v>584</v>
      </c>
      <c r="AC9" s="13">
        <v>128</v>
      </c>
      <c r="AD9" s="7">
        <v>12</v>
      </c>
      <c r="AE9" s="7" t="s">
        <v>585</v>
      </c>
      <c r="AF9" s="7"/>
      <c r="AG9" s="28" t="str">
        <f t="shared" si="0"/>
        <v>(162*'20'*144.74*'8,74 / 10,31'*'0,0457'*72*72*0*0*4*4*4*11*NULL*3*13*128*12)*</v>
      </c>
    </row>
    <row r="10" spans="1:34" ht="20.149999999999999" customHeight="1" x14ac:dyDescent="0.35">
      <c r="A10" s="3">
        <v>163</v>
      </c>
      <c r="B10" s="22" t="s">
        <v>341</v>
      </c>
      <c r="C10" s="6">
        <v>21916</v>
      </c>
      <c r="D10" s="23">
        <v>1</v>
      </c>
      <c r="E10" s="7" t="s">
        <v>586</v>
      </c>
      <c r="F10" s="7">
        <v>14</v>
      </c>
      <c r="G10" s="7">
        <v>12</v>
      </c>
      <c r="H10" s="24">
        <v>24</v>
      </c>
      <c r="I10" s="25">
        <v>265</v>
      </c>
      <c r="J10" s="7" t="s">
        <v>587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588</v>
      </c>
      <c r="Q10" s="7" t="s">
        <v>589</v>
      </c>
      <c r="R10" s="7" t="s">
        <v>551</v>
      </c>
      <c r="S10" s="7">
        <v>3</v>
      </c>
      <c r="T10" s="7" t="s">
        <v>590</v>
      </c>
      <c r="U10" s="7">
        <v>14</v>
      </c>
      <c r="V10" s="7" t="s">
        <v>591</v>
      </c>
      <c r="W10" s="7">
        <v>17</v>
      </c>
      <c r="X10" s="7" t="s">
        <v>341</v>
      </c>
      <c r="Y10" s="7">
        <v>4</v>
      </c>
      <c r="Z10" s="26" t="s">
        <v>592</v>
      </c>
      <c r="AA10" s="7">
        <v>29</v>
      </c>
      <c r="AB10" s="26" t="s">
        <v>593</v>
      </c>
      <c r="AC10" s="7">
        <v>1</v>
      </c>
      <c r="AD10" s="7">
        <v>12</v>
      </c>
      <c r="AE10" s="7" t="s">
        <v>594</v>
      </c>
      <c r="AF10" s="7"/>
      <c r="AG10" s="28" t="str">
        <f t="shared" si="0"/>
        <v>(163*'24'*265*'7,94 / 8,74 / 10,31'*'0,015'*70*70*0*0*13.9*7.8*3*14*17*4*29*1*12)*</v>
      </c>
    </row>
    <row r="11" spans="1:34" ht="20.149999999999999" customHeight="1" x14ac:dyDescent="0.35">
      <c r="A11" s="3">
        <v>164</v>
      </c>
      <c r="B11" s="22" t="s">
        <v>343</v>
      </c>
      <c r="C11" s="6">
        <v>29952</v>
      </c>
      <c r="D11" s="23">
        <v>1</v>
      </c>
      <c r="E11" s="7" t="s">
        <v>586</v>
      </c>
      <c r="F11" s="7">
        <v>14</v>
      </c>
      <c r="G11" s="7">
        <v>12</v>
      </c>
      <c r="H11" s="24">
        <v>30</v>
      </c>
      <c r="I11" s="25">
        <v>630</v>
      </c>
      <c r="J11" s="7" t="s">
        <v>595</v>
      </c>
      <c r="K11" s="7">
        <v>0.06</v>
      </c>
      <c r="L11" s="7">
        <v>67</v>
      </c>
      <c r="M11" s="7">
        <v>49</v>
      </c>
      <c r="N11" s="7" t="s">
        <v>596</v>
      </c>
      <c r="O11" s="7">
        <v>0</v>
      </c>
      <c r="P11" s="7">
        <v>18</v>
      </c>
      <c r="Q11" s="7" t="s">
        <v>597</v>
      </c>
      <c r="R11" s="7" t="s">
        <v>551</v>
      </c>
      <c r="S11" s="7">
        <v>3</v>
      </c>
      <c r="T11" s="7" t="s">
        <v>598</v>
      </c>
      <c r="U11" s="7">
        <v>14</v>
      </c>
      <c r="V11" s="7" t="s">
        <v>591</v>
      </c>
      <c r="W11" s="7">
        <v>17</v>
      </c>
      <c r="X11" s="7" t="s">
        <v>343</v>
      </c>
      <c r="Y11" s="7">
        <v>5</v>
      </c>
      <c r="Z11" s="26" t="s">
        <v>592</v>
      </c>
      <c r="AA11" s="7">
        <v>29</v>
      </c>
      <c r="AB11" s="26" t="s">
        <v>31</v>
      </c>
      <c r="AC11" s="7">
        <v>7</v>
      </c>
      <c r="AD11" s="7">
        <v>12</v>
      </c>
      <c r="AE11" s="7" t="s">
        <v>599</v>
      </c>
      <c r="AF11" s="7"/>
      <c r="AG11" s="28" t="str">
        <f t="shared" si="0"/>
        <v>(164*'30'*630*'7,14 / 7,92'*'0,06'*67*49*1.4*0*18*8.9*3*14*17*5*29*7*12)*</v>
      </c>
    </row>
    <row r="12" spans="1:34" ht="20.149999999999999" customHeight="1" x14ac:dyDescent="0.35">
      <c r="A12" s="3">
        <v>165</v>
      </c>
      <c r="B12" s="31" t="s">
        <v>346</v>
      </c>
      <c r="C12" s="6">
        <v>38353</v>
      </c>
      <c r="D12" s="23">
        <v>1</v>
      </c>
      <c r="E12" s="7" t="s">
        <v>586</v>
      </c>
      <c r="F12" s="7">
        <v>14</v>
      </c>
      <c r="G12" s="7">
        <v>12</v>
      </c>
      <c r="H12" s="24">
        <v>30</v>
      </c>
      <c r="I12" s="25" t="s">
        <v>600</v>
      </c>
      <c r="J12" s="7" t="s">
        <v>601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557</v>
      </c>
      <c r="S12" s="7">
        <v>4</v>
      </c>
      <c r="T12" s="7" t="s">
        <v>602</v>
      </c>
      <c r="U12" s="7">
        <v>11</v>
      </c>
      <c r="V12" s="7" t="s">
        <v>20</v>
      </c>
      <c r="W12" s="7" t="s">
        <v>20</v>
      </c>
      <c r="X12" s="7" t="s">
        <v>343</v>
      </c>
      <c r="Y12" s="7">
        <v>5</v>
      </c>
      <c r="Z12" s="26" t="s">
        <v>603</v>
      </c>
      <c r="AA12" s="13" t="s">
        <v>603</v>
      </c>
      <c r="AB12" s="26" t="s">
        <v>604</v>
      </c>
      <c r="AC12" s="13" t="s">
        <v>604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49999999999999" customHeight="1" x14ac:dyDescent="0.35">
      <c r="A13" s="3">
        <v>166</v>
      </c>
      <c r="B13" s="22" t="s">
        <v>348</v>
      </c>
      <c r="C13" s="6">
        <v>26399</v>
      </c>
      <c r="D13" s="23">
        <v>1</v>
      </c>
      <c r="E13" s="7" t="s">
        <v>605</v>
      </c>
      <c r="F13" s="7">
        <v>12</v>
      </c>
      <c r="G13" s="7">
        <v>12</v>
      </c>
      <c r="H13" s="24">
        <v>26</v>
      </c>
      <c r="I13" s="25">
        <v>108.372</v>
      </c>
      <c r="J13" s="7" t="s">
        <v>606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551</v>
      </c>
      <c r="S13" s="7">
        <v>3</v>
      </c>
      <c r="T13" s="7" t="s">
        <v>598</v>
      </c>
      <c r="U13" s="7">
        <v>14</v>
      </c>
      <c r="V13" s="7" t="s">
        <v>20</v>
      </c>
      <c r="W13" s="7" t="s">
        <v>20</v>
      </c>
      <c r="X13" s="7" t="s">
        <v>607</v>
      </c>
      <c r="Y13" s="7">
        <v>6</v>
      </c>
      <c r="Z13" s="26" t="s">
        <v>608</v>
      </c>
      <c r="AA13" s="7">
        <v>15</v>
      </c>
      <c r="AB13" s="26" t="s">
        <v>31</v>
      </c>
      <c r="AC13" s="7">
        <v>7</v>
      </c>
      <c r="AD13" s="7">
        <v>12</v>
      </c>
      <c r="AE13" s="7" t="s">
        <v>609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49999999999999" customHeight="1" x14ac:dyDescent="0.35">
      <c r="A14" s="3">
        <v>167</v>
      </c>
      <c r="B14" s="22" t="s">
        <v>351</v>
      </c>
      <c r="C14" s="6">
        <v>36161</v>
      </c>
      <c r="D14" s="23">
        <v>1</v>
      </c>
      <c r="E14" s="7" t="s">
        <v>605</v>
      </c>
      <c r="F14" s="7">
        <v>12</v>
      </c>
      <c r="G14" s="7">
        <v>12</v>
      </c>
      <c r="H14" s="24">
        <v>30</v>
      </c>
      <c r="I14" s="25">
        <v>292</v>
      </c>
      <c r="J14" s="7" t="s">
        <v>610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551</v>
      </c>
      <c r="S14" s="7">
        <v>3</v>
      </c>
      <c r="T14" s="7" t="s">
        <v>611</v>
      </c>
      <c r="U14" s="7">
        <v>11</v>
      </c>
      <c r="V14" s="7" t="s">
        <v>20</v>
      </c>
      <c r="W14" s="7" t="s">
        <v>20</v>
      </c>
      <c r="X14" s="7" t="s">
        <v>612</v>
      </c>
      <c r="Y14" s="7">
        <v>7</v>
      </c>
      <c r="Z14" s="26" t="s">
        <v>613</v>
      </c>
      <c r="AA14" s="7">
        <v>27</v>
      </c>
      <c r="AB14" s="26" t="s">
        <v>31</v>
      </c>
      <c r="AC14" s="7">
        <v>7</v>
      </c>
      <c r="AD14" s="7">
        <v>12</v>
      </c>
      <c r="AE14" s="30" t="s">
        <v>614</v>
      </c>
      <c r="AF14" s="30"/>
      <c r="AG14" s="28" t="str">
        <f t="shared" si="2"/>
        <v>(167*'30'*292*'10,31 - 12,7'*'0,0457'*70*70*0*0*30*30*3*11*NULL*7*27*7*12)*</v>
      </c>
    </row>
    <row r="15" spans="1:34" ht="20.149999999999999" customHeight="1" x14ac:dyDescent="0.35">
      <c r="A15" s="3">
        <v>168</v>
      </c>
      <c r="B15" s="22" t="s">
        <v>353</v>
      </c>
      <c r="C15" s="6">
        <v>38718</v>
      </c>
      <c r="D15" s="23">
        <v>1</v>
      </c>
      <c r="E15" s="7" t="s">
        <v>605</v>
      </c>
      <c r="F15" s="7">
        <v>12</v>
      </c>
      <c r="G15" s="7">
        <v>12</v>
      </c>
      <c r="H15" s="24">
        <v>30</v>
      </c>
      <c r="I15" s="25">
        <v>292</v>
      </c>
      <c r="J15" s="7" t="s">
        <v>610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557</v>
      </c>
      <c r="S15" s="7">
        <v>4</v>
      </c>
      <c r="T15" s="7" t="s">
        <v>611</v>
      </c>
      <c r="U15" s="7">
        <v>11</v>
      </c>
      <c r="V15" s="7" t="s">
        <v>20</v>
      </c>
      <c r="W15" s="7" t="s">
        <v>20</v>
      </c>
      <c r="X15" s="7" t="s">
        <v>612</v>
      </c>
      <c r="Y15" s="7">
        <v>7</v>
      </c>
      <c r="Z15" s="26" t="s">
        <v>613</v>
      </c>
      <c r="AA15" s="7">
        <v>27</v>
      </c>
      <c r="AB15" s="26" t="s">
        <v>31</v>
      </c>
      <c r="AC15" s="7">
        <v>7</v>
      </c>
      <c r="AD15" s="7">
        <v>12</v>
      </c>
      <c r="AE15" s="30" t="s">
        <v>614</v>
      </c>
      <c r="AF15" s="30"/>
      <c r="AG15" s="28" t="str">
        <f t="shared" si="2"/>
        <v>(168*'30'*292*'10,31 - 12,7'*'0,0457'*70*70*0*0*30*30*4*11*NULL*7*27*7*12)*</v>
      </c>
    </row>
    <row r="16" spans="1:34" ht="20.149999999999999" customHeight="1" x14ac:dyDescent="0.35">
      <c r="A16" s="3">
        <v>169</v>
      </c>
      <c r="B16" s="22" t="s">
        <v>356</v>
      </c>
      <c r="C16" s="6">
        <v>28207</v>
      </c>
      <c r="D16" s="23">
        <v>1</v>
      </c>
      <c r="E16" s="7" t="s">
        <v>605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615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551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607</v>
      </c>
      <c r="Y16" s="7">
        <v>6</v>
      </c>
      <c r="Z16" s="26" t="s">
        <v>616</v>
      </c>
      <c r="AA16" s="7">
        <v>25</v>
      </c>
      <c r="AB16" s="26" t="s">
        <v>617</v>
      </c>
      <c r="AC16" s="7">
        <v>15</v>
      </c>
      <c r="AD16" s="7">
        <v>12</v>
      </c>
      <c r="AE16" s="7" t="s">
        <v>618</v>
      </c>
      <c r="AF16" s="7"/>
      <c r="AG16" s="28" t="str">
        <f t="shared" si="2"/>
        <v>(169*'20'*272,35*'6,35 - 8,74'*'0,0457'*72*12*0*0*5*2*3*NULL*NULL*6*25*15*12)*</v>
      </c>
    </row>
    <row r="17" spans="1:33" ht="20.149999999999999" customHeight="1" x14ac:dyDescent="0.35">
      <c r="A17" s="3">
        <v>170</v>
      </c>
      <c r="B17" s="22" t="s">
        <v>359</v>
      </c>
      <c r="C17" s="6">
        <v>45778</v>
      </c>
      <c r="D17" s="23">
        <v>1</v>
      </c>
      <c r="E17" s="7" t="s">
        <v>605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557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607</v>
      </c>
      <c r="Y17" s="7">
        <v>6</v>
      </c>
      <c r="Z17" s="26" t="s">
        <v>616</v>
      </c>
      <c r="AA17" s="7">
        <v>25</v>
      </c>
      <c r="AB17" s="26" t="s">
        <v>617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49999999999999" customHeight="1" x14ac:dyDescent="0.35">
      <c r="A18" s="3">
        <v>171</v>
      </c>
      <c r="B18" s="22" t="s">
        <v>361</v>
      </c>
      <c r="C18" s="6">
        <v>35431</v>
      </c>
      <c r="D18" s="23">
        <v>1</v>
      </c>
      <c r="E18" s="7" t="s">
        <v>619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557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607</v>
      </c>
      <c r="Y18" s="7">
        <v>6</v>
      </c>
      <c r="Z18" s="26" t="s">
        <v>83</v>
      </c>
      <c r="AA18" s="7">
        <v>32</v>
      </c>
      <c r="AB18" s="26" t="s">
        <v>49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49999999999999" customHeight="1" x14ac:dyDescent="0.35">
      <c r="A19" s="3">
        <v>172</v>
      </c>
      <c r="B19" s="22" t="s">
        <v>363</v>
      </c>
      <c r="C19" s="6">
        <v>36505</v>
      </c>
      <c r="D19" s="23">
        <v>1</v>
      </c>
      <c r="E19" s="7" t="s">
        <v>605</v>
      </c>
      <c r="F19" s="7">
        <v>12</v>
      </c>
      <c r="G19" s="7">
        <v>12</v>
      </c>
      <c r="H19" s="24">
        <v>20</v>
      </c>
      <c r="I19" s="25">
        <v>33</v>
      </c>
      <c r="J19" s="7" t="s">
        <v>620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551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607</v>
      </c>
      <c r="Y19" s="7">
        <v>6</v>
      </c>
      <c r="Z19" s="26" t="s">
        <v>621</v>
      </c>
      <c r="AA19" s="7">
        <v>33</v>
      </c>
      <c r="AB19" s="26" t="s">
        <v>617</v>
      </c>
      <c r="AC19" s="7">
        <v>15</v>
      </c>
      <c r="AD19" s="7">
        <v>12</v>
      </c>
      <c r="AE19" s="7" t="s">
        <v>622</v>
      </c>
      <c r="AF19" s="7"/>
      <c r="AG19" s="28" t="str">
        <f t="shared" si="2"/>
        <v>(172*'20'*33*'7,14 - 8,74'*'0,046'*55*55*0*0*5*5*3*NULL*NULL*6*33*15*12)*</v>
      </c>
    </row>
    <row r="20" spans="1:33" ht="20.149999999999999" customHeight="1" x14ac:dyDescent="0.35">
      <c r="A20" s="3">
        <v>173</v>
      </c>
      <c r="B20" s="22" t="s">
        <v>365</v>
      </c>
      <c r="C20" s="6">
        <v>28795</v>
      </c>
      <c r="D20" s="23">
        <v>1</v>
      </c>
      <c r="E20" s="7" t="s">
        <v>548</v>
      </c>
      <c r="F20" s="7">
        <v>11</v>
      </c>
      <c r="G20" s="7">
        <v>12</v>
      </c>
      <c r="H20" s="24">
        <v>28</v>
      </c>
      <c r="I20" s="25">
        <v>507</v>
      </c>
      <c r="J20" s="7" t="s">
        <v>623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551</v>
      </c>
      <c r="S20" s="7">
        <v>3</v>
      </c>
      <c r="T20" s="7" t="s">
        <v>598</v>
      </c>
      <c r="U20" s="7">
        <v>14</v>
      </c>
      <c r="V20" s="7" t="s">
        <v>20</v>
      </c>
      <c r="W20" s="7" t="s">
        <v>20</v>
      </c>
      <c r="X20" s="7" t="s">
        <v>365</v>
      </c>
      <c r="Y20" s="7">
        <v>8</v>
      </c>
      <c r="Z20" s="26" t="s">
        <v>33</v>
      </c>
      <c r="AA20" s="7">
        <v>8</v>
      </c>
      <c r="AB20" s="26" t="s">
        <v>554</v>
      </c>
      <c r="AC20" s="7">
        <v>21</v>
      </c>
      <c r="AD20" s="7">
        <v>12</v>
      </c>
      <c r="AE20" s="30" t="s">
        <v>624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49999999999999" customHeight="1" x14ac:dyDescent="0.35">
      <c r="A21" s="3">
        <v>174</v>
      </c>
      <c r="B21" s="22" t="s">
        <v>368</v>
      </c>
      <c r="C21" s="6">
        <v>40029</v>
      </c>
      <c r="D21" s="23">
        <v>1</v>
      </c>
      <c r="E21" s="7" t="s">
        <v>560</v>
      </c>
      <c r="F21" s="7">
        <v>13</v>
      </c>
      <c r="G21" s="7">
        <v>12</v>
      </c>
      <c r="H21" s="24">
        <v>30</v>
      </c>
      <c r="I21" s="25">
        <v>646</v>
      </c>
      <c r="J21" s="7" t="s">
        <v>625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557</v>
      </c>
      <c r="S21" s="7">
        <v>4</v>
      </c>
      <c r="T21" s="7" t="s">
        <v>558</v>
      </c>
      <c r="U21" s="7">
        <v>11</v>
      </c>
      <c r="V21" s="7" t="s">
        <v>20</v>
      </c>
      <c r="W21" s="7" t="s">
        <v>20</v>
      </c>
      <c r="X21" s="7" t="s">
        <v>368</v>
      </c>
      <c r="Y21" s="7">
        <v>9</v>
      </c>
      <c r="Z21" s="26" t="s">
        <v>33</v>
      </c>
      <c r="AA21" s="7">
        <v>8</v>
      </c>
      <c r="AB21" s="26" t="s">
        <v>564</v>
      </c>
      <c r="AC21" s="7">
        <v>34</v>
      </c>
      <c r="AD21" s="7">
        <v>12</v>
      </c>
      <c r="AE21" s="7" t="s">
        <v>626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49999999999999" customHeight="1" x14ac:dyDescent="0.35">
      <c r="A22" s="3">
        <v>175</v>
      </c>
      <c r="B22" s="22" t="s">
        <v>371</v>
      </c>
      <c r="C22" s="6">
        <v>21916</v>
      </c>
      <c r="D22" s="23">
        <v>1</v>
      </c>
      <c r="E22" s="7" t="s">
        <v>586</v>
      </c>
      <c r="F22" s="7">
        <v>14</v>
      </c>
      <c r="G22" s="7">
        <v>12</v>
      </c>
      <c r="H22" s="24" t="s">
        <v>627</v>
      </c>
      <c r="I22" s="25">
        <v>565</v>
      </c>
      <c r="J22" s="7" t="s">
        <v>606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551</v>
      </c>
      <c r="S22" s="7">
        <v>3</v>
      </c>
      <c r="T22" s="7" t="s">
        <v>598</v>
      </c>
      <c r="U22" s="7">
        <v>14</v>
      </c>
      <c r="V22" s="7" t="s">
        <v>591</v>
      </c>
      <c r="W22" s="7">
        <v>17</v>
      </c>
      <c r="X22" s="7" t="s">
        <v>371</v>
      </c>
      <c r="Y22" s="7">
        <v>10</v>
      </c>
      <c r="Z22" s="26" t="s">
        <v>628</v>
      </c>
      <c r="AA22" s="7">
        <v>29</v>
      </c>
      <c r="AB22" s="26" t="s">
        <v>31</v>
      </c>
      <c r="AC22" s="7">
        <v>7</v>
      </c>
      <c r="AD22" s="7">
        <v>12</v>
      </c>
      <c r="AE22" s="7" t="s">
        <v>629</v>
      </c>
      <c r="AF22" s="7"/>
      <c r="AG22" s="28" t="str">
        <f t="shared" si="2"/>
        <v>(175*'24/30'*565*'7,14 / 8,74'*'0,0457'*49*11*0*0*7,9*7,9*3*14*17*10*29*7*12)*</v>
      </c>
    </row>
    <row r="23" spans="1:33" ht="20.149999999999999" customHeight="1" x14ac:dyDescent="0.35">
      <c r="A23" s="3">
        <v>176</v>
      </c>
      <c r="B23" s="22" t="s">
        <v>630</v>
      </c>
      <c r="C23" s="6"/>
      <c r="D23" s="23">
        <v>1</v>
      </c>
      <c r="E23" s="7" t="s">
        <v>548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551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631</v>
      </c>
      <c r="Y23" s="7">
        <v>11</v>
      </c>
      <c r="Z23" s="26" t="s">
        <v>33</v>
      </c>
      <c r="AA23" s="7">
        <v>8</v>
      </c>
      <c r="AB23" s="26" t="s">
        <v>554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49999999999999" customHeight="1" x14ac:dyDescent="0.35">
      <c r="A24" s="3">
        <v>177</v>
      </c>
      <c r="B24" s="22" t="s">
        <v>376</v>
      </c>
      <c r="C24" s="6">
        <v>30720</v>
      </c>
      <c r="D24" s="23">
        <v>1</v>
      </c>
      <c r="E24" s="7" t="s">
        <v>548</v>
      </c>
      <c r="F24" s="7">
        <v>11</v>
      </c>
      <c r="G24" s="7">
        <v>12</v>
      </c>
      <c r="H24" s="24">
        <v>24</v>
      </c>
      <c r="I24" s="25">
        <v>503.46</v>
      </c>
      <c r="J24" s="7" t="s">
        <v>632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562</v>
      </c>
      <c r="S24" s="7">
        <v>3</v>
      </c>
      <c r="T24" s="7" t="s">
        <v>598</v>
      </c>
      <c r="U24" s="7">
        <v>14</v>
      </c>
      <c r="V24" s="7" t="s">
        <v>20</v>
      </c>
      <c r="W24" s="7" t="s">
        <v>20</v>
      </c>
      <c r="X24" s="7" t="s">
        <v>631</v>
      </c>
      <c r="Y24" s="7">
        <v>11</v>
      </c>
      <c r="Z24" s="26" t="s">
        <v>33</v>
      </c>
      <c r="AA24" s="7">
        <v>8</v>
      </c>
      <c r="AB24" s="26" t="s">
        <v>554</v>
      </c>
      <c r="AC24" s="7">
        <v>21</v>
      </c>
      <c r="AD24" s="7">
        <v>12</v>
      </c>
      <c r="AE24" s="7" t="s">
        <v>633</v>
      </c>
      <c r="AF24" s="7"/>
      <c r="AG24" s="28" t="str">
        <f t="shared" si="2"/>
        <v>(177*'24'*503,46*'9,52 / 11,91 '*'0,05'*84*84*0*0*9*9*3*14*NULL*11*8*21*12)*</v>
      </c>
    </row>
    <row r="25" spans="1:33" ht="20.149999999999999" customHeight="1" x14ac:dyDescent="0.35">
      <c r="A25" s="3">
        <v>178</v>
      </c>
      <c r="B25" s="22" t="s">
        <v>379</v>
      </c>
      <c r="C25" s="6">
        <v>39814</v>
      </c>
      <c r="D25" s="23">
        <v>1</v>
      </c>
      <c r="E25" s="7" t="s">
        <v>548</v>
      </c>
      <c r="F25" s="7">
        <v>11</v>
      </c>
      <c r="G25" s="7">
        <v>12</v>
      </c>
      <c r="H25" s="24">
        <v>24</v>
      </c>
      <c r="I25" s="25">
        <v>495</v>
      </c>
      <c r="J25" s="30" t="s">
        <v>634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635</v>
      </c>
      <c r="S25" s="7">
        <v>4</v>
      </c>
      <c r="T25" s="7" t="s">
        <v>558</v>
      </c>
      <c r="U25" s="7">
        <v>11</v>
      </c>
      <c r="V25" s="7" t="s">
        <v>20</v>
      </c>
      <c r="W25" s="7" t="s">
        <v>20</v>
      </c>
      <c r="X25" s="7" t="s">
        <v>631</v>
      </c>
      <c r="Y25" s="7">
        <v>11</v>
      </c>
      <c r="Z25" s="26" t="s">
        <v>33</v>
      </c>
      <c r="AA25" s="7">
        <v>8</v>
      </c>
      <c r="AB25" s="26" t="s">
        <v>554</v>
      </c>
      <c r="AC25" s="7">
        <v>21</v>
      </c>
      <c r="AD25" s="7">
        <v>12</v>
      </c>
      <c r="AE25" s="7" t="s">
        <v>636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49999999999999" customHeight="1" x14ac:dyDescent="0.35">
      <c r="A26" s="3">
        <v>179</v>
      </c>
      <c r="B26" s="22" t="s">
        <v>382</v>
      </c>
      <c r="C26" s="6">
        <v>35065</v>
      </c>
      <c r="D26" s="23">
        <v>1</v>
      </c>
      <c r="E26" s="7" t="s">
        <v>605</v>
      </c>
      <c r="F26" s="7">
        <v>12</v>
      </c>
      <c r="G26" s="7">
        <v>12</v>
      </c>
      <c r="H26" s="24" t="s">
        <v>637</v>
      </c>
      <c r="I26" s="25">
        <v>989</v>
      </c>
      <c r="J26" s="7" t="s">
        <v>632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557</v>
      </c>
      <c r="S26" s="7">
        <v>4</v>
      </c>
      <c r="T26" s="7" t="s">
        <v>558</v>
      </c>
      <c r="U26" s="7">
        <v>11</v>
      </c>
      <c r="V26" s="7" t="s">
        <v>20</v>
      </c>
      <c r="W26" s="7" t="s">
        <v>20</v>
      </c>
      <c r="X26" s="7" t="s">
        <v>638</v>
      </c>
      <c r="Y26" s="7">
        <v>12</v>
      </c>
      <c r="Z26" s="26" t="s">
        <v>639</v>
      </c>
      <c r="AA26" s="7">
        <v>20</v>
      </c>
      <c r="AB26" s="26" t="s">
        <v>33</v>
      </c>
      <c r="AC26" s="7">
        <v>8</v>
      </c>
      <c r="AD26" s="7">
        <v>12</v>
      </c>
      <c r="AE26" s="7" t="s">
        <v>640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49999999999999" customHeight="1" x14ac:dyDescent="0.35">
      <c r="A27" s="3">
        <v>179</v>
      </c>
      <c r="B27" s="33" t="s">
        <v>641</v>
      </c>
      <c r="C27" s="6"/>
      <c r="D27" s="23">
        <v>1</v>
      </c>
      <c r="E27" s="7" t="s">
        <v>548</v>
      </c>
      <c r="F27" s="7">
        <v>11</v>
      </c>
      <c r="G27" s="7">
        <v>12</v>
      </c>
      <c r="H27" s="32">
        <v>12</v>
      </c>
      <c r="I27" s="25"/>
      <c r="J27" s="7" t="s">
        <v>642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557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638</v>
      </c>
      <c r="Y27" s="7">
        <v>12</v>
      </c>
      <c r="Z27" s="26" t="s">
        <v>33</v>
      </c>
      <c r="AA27" s="7">
        <v>8</v>
      </c>
      <c r="AB27" s="26" t="s">
        <v>554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49999999999999" customHeight="1" x14ac:dyDescent="0.35">
      <c r="A28" s="3">
        <v>180</v>
      </c>
      <c r="B28" s="22" t="s">
        <v>385</v>
      </c>
      <c r="C28" s="6">
        <v>38264</v>
      </c>
      <c r="D28" s="23">
        <v>1</v>
      </c>
      <c r="E28" s="7" t="s">
        <v>605</v>
      </c>
      <c r="F28" s="7">
        <v>12</v>
      </c>
      <c r="G28" s="7">
        <v>12</v>
      </c>
      <c r="H28" s="24">
        <v>16</v>
      </c>
      <c r="I28" s="25">
        <v>404</v>
      </c>
      <c r="J28" s="7" t="s">
        <v>643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557</v>
      </c>
      <c r="S28" s="7">
        <v>4</v>
      </c>
      <c r="T28" s="7" t="s">
        <v>558</v>
      </c>
      <c r="U28" s="7">
        <v>11</v>
      </c>
      <c r="V28" s="7" t="s">
        <v>20</v>
      </c>
      <c r="W28" s="7" t="s">
        <v>20</v>
      </c>
      <c r="X28" s="7" t="s">
        <v>638</v>
      </c>
      <c r="Y28" s="7">
        <v>12</v>
      </c>
      <c r="Z28" s="26" t="s">
        <v>644</v>
      </c>
      <c r="AA28" s="7">
        <v>16</v>
      </c>
      <c r="AB28" s="26" t="s">
        <v>645</v>
      </c>
      <c r="AC28" s="7">
        <v>26</v>
      </c>
      <c r="AD28" s="7">
        <v>12</v>
      </c>
      <c r="AE28" s="7" t="s">
        <v>646</v>
      </c>
      <c r="AF28" s="7"/>
      <c r="AG28" s="28" t="str">
        <f t="shared" si="2"/>
        <v>(180*'16'*404*'7,92 / 11,13'*'0,046'*89,2*89,2*0*0*3,26*3,26*4*11*NULL*12*16*26*12)*</v>
      </c>
    </row>
    <row r="29" spans="1:33" ht="20.149999999999999" customHeight="1" x14ac:dyDescent="0.35">
      <c r="A29" s="3">
        <v>181</v>
      </c>
      <c r="B29" s="22" t="s">
        <v>388</v>
      </c>
      <c r="C29" s="6">
        <v>41640</v>
      </c>
      <c r="D29" s="23">
        <v>1</v>
      </c>
      <c r="E29" s="7" t="s">
        <v>605</v>
      </c>
      <c r="F29" s="7">
        <v>12</v>
      </c>
      <c r="G29" s="7">
        <v>12</v>
      </c>
      <c r="H29" s="24">
        <v>24</v>
      </c>
      <c r="I29" s="25">
        <v>336</v>
      </c>
      <c r="J29" s="7" t="s">
        <v>647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557</v>
      </c>
      <c r="S29" s="7">
        <v>4</v>
      </c>
      <c r="T29" s="7" t="s">
        <v>579</v>
      </c>
      <c r="U29" s="7">
        <v>21</v>
      </c>
      <c r="V29" s="7" t="s">
        <v>20</v>
      </c>
      <c r="W29" s="7" t="s">
        <v>20</v>
      </c>
      <c r="X29" s="7" t="s">
        <v>638</v>
      </c>
      <c r="Y29" s="7">
        <v>12</v>
      </c>
      <c r="Z29" s="26" t="s">
        <v>648</v>
      </c>
      <c r="AA29" s="7">
        <v>14</v>
      </c>
      <c r="AB29" s="26" t="s">
        <v>33</v>
      </c>
      <c r="AC29" s="7">
        <v>8</v>
      </c>
      <c r="AD29" s="7">
        <v>12</v>
      </c>
      <c r="AE29" s="7" t="s">
        <v>649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49999999999999" customHeight="1" x14ac:dyDescent="0.35">
      <c r="A30" s="3">
        <v>182</v>
      </c>
      <c r="B30" s="22" t="s">
        <v>391</v>
      </c>
      <c r="C30" s="6">
        <v>22282</v>
      </c>
      <c r="D30" s="23">
        <v>1</v>
      </c>
      <c r="E30" s="7" t="s">
        <v>548</v>
      </c>
      <c r="F30" s="7">
        <v>11</v>
      </c>
      <c r="G30" s="7">
        <v>16</v>
      </c>
      <c r="H30" s="24" t="s">
        <v>650</v>
      </c>
      <c r="I30" s="25">
        <v>509</v>
      </c>
      <c r="J30" s="7" t="s">
        <v>651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562</v>
      </c>
      <c r="S30" s="7">
        <v>3</v>
      </c>
      <c r="T30" s="7" t="s">
        <v>652</v>
      </c>
      <c r="U30" s="7">
        <v>14</v>
      </c>
      <c r="V30" s="7" t="s">
        <v>653</v>
      </c>
      <c r="W30" s="7">
        <v>17</v>
      </c>
      <c r="X30" s="7" t="s">
        <v>391</v>
      </c>
      <c r="Y30" s="7">
        <v>13</v>
      </c>
      <c r="Z30" s="26" t="s">
        <v>33</v>
      </c>
      <c r="AA30" s="7">
        <v>8</v>
      </c>
      <c r="AB30" s="26" t="s">
        <v>554</v>
      </c>
      <c r="AC30" s="7">
        <v>21</v>
      </c>
      <c r="AD30" s="7">
        <v>16</v>
      </c>
      <c r="AE30" s="7" t="s">
        <v>654</v>
      </c>
      <c r="AF30" s="7"/>
      <c r="AG30" s="28" t="str">
        <f t="shared" si="2"/>
        <v>(182*'20 / 24'*509*'8,74 - 12,7 - 10,31 - 15,9'*'0,015'*65*0*0*0*3,56*0*3*14*17*13*8*21*16)*</v>
      </c>
    </row>
    <row r="31" spans="1:33" ht="20.149999999999999" customHeight="1" x14ac:dyDescent="0.35">
      <c r="A31" s="3">
        <v>183</v>
      </c>
      <c r="B31" s="22" t="s">
        <v>393</v>
      </c>
      <c r="C31" s="6">
        <v>44805</v>
      </c>
      <c r="D31" s="23">
        <v>1</v>
      </c>
      <c r="E31" s="7" t="s">
        <v>548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557</v>
      </c>
      <c r="S31" s="7">
        <v>4</v>
      </c>
      <c r="T31" s="7" t="s">
        <v>579</v>
      </c>
      <c r="U31" s="7">
        <v>21</v>
      </c>
      <c r="V31" s="7" t="s">
        <v>653</v>
      </c>
      <c r="W31" s="7">
        <v>17</v>
      </c>
      <c r="X31" s="7" t="s">
        <v>655</v>
      </c>
      <c r="Y31" s="7">
        <v>14</v>
      </c>
      <c r="Z31" s="26" t="s">
        <v>554</v>
      </c>
      <c r="AA31" s="7">
        <v>21</v>
      </c>
      <c r="AB31" s="26" t="s">
        <v>656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49999999999999" customHeight="1" x14ac:dyDescent="0.35">
      <c r="A32" s="3">
        <v>184</v>
      </c>
      <c r="B32" s="22" t="s">
        <v>396</v>
      </c>
      <c r="C32" s="6">
        <v>27760</v>
      </c>
      <c r="D32" s="23">
        <v>1</v>
      </c>
      <c r="E32" s="7" t="s">
        <v>548</v>
      </c>
      <c r="F32" s="7">
        <v>11</v>
      </c>
      <c r="G32" s="7">
        <v>16</v>
      </c>
      <c r="H32" s="24">
        <v>40</v>
      </c>
      <c r="I32" s="25">
        <v>507</v>
      </c>
      <c r="J32" s="7" t="s">
        <v>657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562</v>
      </c>
      <c r="S32" s="7">
        <v>3</v>
      </c>
      <c r="T32" s="7" t="s">
        <v>652</v>
      </c>
      <c r="U32" s="7">
        <v>14</v>
      </c>
      <c r="V32" s="7" t="s">
        <v>653</v>
      </c>
      <c r="W32" s="7">
        <v>17</v>
      </c>
      <c r="X32" s="7" t="s">
        <v>655</v>
      </c>
      <c r="Y32" s="7">
        <v>14</v>
      </c>
      <c r="Z32" s="26" t="s">
        <v>33</v>
      </c>
      <c r="AA32" s="7">
        <v>8</v>
      </c>
      <c r="AB32" s="26" t="s">
        <v>554</v>
      </c>
      <c r="AC32" s="7">
        <v>21</v>
      </c>
      <c r="AD32" s="7">
        <v>16</v>
      </c>
      <c r="AE32" s="7" t="s">
        <v>658</v>
      </c>
      <c r="AF32" s="7"/>
      <c r="AG32" s="28" t="str">
        <f t="shared" si="2"/>
        <v>(184*'40'*507*'11,13 - 12,7 - 19,05'*'0,015'*69,8*69,8*0*0*13,679*13,679*3*14*17*14*8*21*16)*</v>
      </c>
    </row>
    <row r="33" spans="1:33" ht="20.149999999999999" customHeight="1" x14ac:dyDescent="0.35">
      <c r="A33" s="3">
        <v>185</v>
      </c>
      <c r="B33" s="22" t="s">
        <v>399</v>
      </c>
      <c r="C33" s="6">
        <v>29952</v>
      </c>
      <c r="D33" s="23">
        <v>1</v>
      </c>
      <c r="E33" s="7" t="s">
        <v>548</v>
      </c>
      <c r="F33" s="7">
        <v>11</v>
      </c>
      <c r="G33" s="7">
        <v>16</v>
      </c>
      <c r="H33" s="24">
        <v>40</v>
      </c>
      <c r="I33" s="25">
        <v>511</v>
      </c>
      <c r="J33" s="7" t="s">
        <v>657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562</v>
      </c>
      <c r="S33" s="7">
        <v>3</v>
      </c>
      <c r="T33" s="7" t="s">
        <v>652</v>
      </c>
      <c r="U33" s="7">
        <v>14</v>
      </c>
      <c r="V33" s="7" t="s">
        <v>653</v>
      </c>
      <c r="W33" s="7">
        <v>17</v>
      </c>
      <c r="X33" s="7" t="s">
        <v>655</v>
      </c>
      <c r="Y33" s="7">
        <v>14</v>
      </c>
      <c r="Z33" s="26" t="s">
        <v>33</v>
      </c>
      <c r="AA33" s="7">
        <v>8</v>
      </c>
      <c r="AB33" s="26" t="s">
        <v>554</v>
      </c>
      <c r="AC33" s="7">
        <v>21</v>
      </c>
      <c r="AD33" s="7">
        <v>16</v>
      </c>
      <c r="AE33" s="7" t="s">
        <v>659</v>
      </c>
      <c r="AF33" s="7"/>
      <c r="AG33" s="28" t="str">
        <f t="shared" si="2"/>
        <v>(185*'40'*511*'11,13 - 12,7 - 19,05'*'0,015'*67*67*0*0*12,507*12,507*3*14*17*14*8*21*16)*</v>
      </c>
    </row>
    <row r="34" spans="1:33" ht="20.149999999999999" customHeight="1" x14ac:dyDescent="0.35">
      <c r="A34" s="3">
        <v>186</v>
      </c>
      <c r="B34" s="22" t="s">
        <v>401</v>
      </c>
      <c r="C34" s="6"/>
      <c r="D34" s="23">
        <v>1</v>
      </c>
      <c r="E34" s="7" t="s">
        <v>548</v>
      </c>
      <c r="F34" s="7">
        <v>11</v>
      </c>
      <c r="G34" s="7">
        <v>16</v>
      </c>
      <c r="H34" s="24">
        <v>40</v>
      </c>
      <c r="I34" s="25">
        <v>221</v>
      </c>
      <c r="J34" s="7" t="s">
        <v>642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557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655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49999999999999" customHeight="1" x14ac:dyDescent="0.35">
      <c r="A35" s="3">
        <v>187</v>
      </c>
      <c r="B35" s="22" t="s">
        <v>403</v>
      </c>
      <c r="C35" s="6">
        <v>32509</v>
      </c>
      <c r="D35" s="23">
        <v>1</v>
      </c>
      <c r="E35" s="7" t="s">
        <v>548</v>
      </c>
      <c r="F35" s="7">
        <v>11</v>
      </c>
      <c r="G35" s="7">
        <v>16</v>
      </c>
      <c r="H35" s="24">
        <v>42</v>
      </c>
      <c r="I35" s="25">
        <v>517</v>
      </c>
      <c r="J35" s="7" t="s">
        <v>660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661</v>
      </c>
      <c r="S35" s="7">
        <v>4</v>
      </c>
      <c r="T35" s="7" t="s">
        <v>662</v>
      </c>
      <c r="U35" s="7">
        <v>14</v>
      </c>
      <c r="V35" s="7" t="s">
        <v>653</v>
      </c>
      <c r="W35" s="7">
        <v>17</v>
      </c>
      <c r="X35" s="7" t="s">
        <v>655</v>
      </c>
      <c r="Y35" s="7">
        <v>14</v>
      </c>
      <c r="Z35" s="26" t="s">
        <v>33</v>
      </c>
      <c r="AA35" s="7">
        <v>8</v>
      </c>
      <c r="AB35" s="26" t="s">
        <v>554</v>
      </c>
      <c r="AC35" s="7">
        <v>21</v>
      </c>
      <c r="AD35" s="7">
        <v>16</v>
      </c>
      <c r="AE35" s="7" t="s">
        <v>663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49999999999999" customHeight="1" x14ac:dyDescent="0.35">
      <c r="A36" s="3">
        <v>188</v>
      </c>
      <c r="B36" s="22" t="s">
        <v>406</v>
      </c>
      <c r="C36" s="6"/>
      <c r="D36" s="23">
        <v>1</v>
      </c>
      <c r="E36" s="7" t="s">
        <v>548</v>
      </c>
      <c r="F36" s="7">
        <v>11</v>
      </c>
      <c r="G36" s="7">
        <v>16</v>
      </c>
      <c r="H36" s="24"/>
      <c r="I36" s="25"/>
      <c r="J36" s="24" t="s">
        <v>664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557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655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49999999999999" customHeight="1" x14ac:dyDescent="0.35">
      <c r="A37" s="3">
        <v>189</v>
      </c>
      <c r="B37" s="22" t="s">
        <v>409</v>
      </c>
      <c r="C37" s="6"/>
      <c r="D37" s="23">
        <v>1</v>
      </c>
      <c r="E37" s="7" t="s">
        <v>548</v>
      </c>
      <c r="F37" s="7">
        <v>11</v>
      </c>
      <c r="G37" s="7">
        <v>16</v>
      </c>
      <c r="H37" s="24"/>
      <c r="I37" s="25"/>
      <c r="J37" s="24" t="s">
        <v>664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557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655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49999999999999" customHeight="1" x14ac:dyDescent="0.35">
      <c r="A38" s="3">
        <v>190</v>
      </c>
      <c r="B38" s="22" t="s">
        <v>411</v>
      </c>
      <c r="C38" s="6">
        <v>39841</v>
      </c>
      <c r="D38" s="23">
        <v>1</v>
      </c>
      <c r="E38" s="7" t="s">
        <v>548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664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665</v>
      </c>
      <c r="S38" s="7">
        <v>6</v>
      </c>
      <c r="T38" s="7" t="s">
        <v>558</v>
      </c>
      <c r="U38" s="7">
        <v>11</v>
      </c>
      <c r="V38" s="7" t="s">
        <v>20</v>
      </c>
      <c r="W38" s="7" t="s">
        <v>20</v>
      </c>
      <c r="X38" s="7" t="s">
        <v>666</v>
      </c>
      <c r="Y38" s="7">
        <v>15</v>
      </c>
      <c r="Z38" s="26" t="s">
        <v>33</v>
      </c>
      <c r="AA38" s="7">
        <v>8</v>
      </c>
      <c r="AB38" s="26" t="s">
        <v>554</v>
      </c>
      <c r="AC38" s="7">
        <v>21</v>
      </c>
      <c r="AD38" s="7">
        <v>16</v>
      </c>
      <c r="AE38" s="7" t="s">
        <v>667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49999999999999" customHeight="1" x14ac:dyDescent="0.35">
      <c r="A39" s="3">
        <v>191</v>
      </c>
      <c r="B39" s="22" t="s">
        <v>414</v>
      </c>
      <c r="C39" s="6">
        <v>40284</v>
      </c>
      <c r="D39" s="23">
        <v>1</v>
      </c>
      <c r="E39" s="7" t="s">
        <v>548</v>
      </c>
      <c r="F39" s="7">
        <v>11</v>
      </c>
      <c r="G39" s="7">
        <v>16</v>
      </c>
      <c r="H39" s="24">
        <v>48</v>
      </c>
      <c r="I39" s="25">
        <v>120.37</v>
      </c>
      <c r="J39" s="24" t="s">
        <v>664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665</v>
      </c>
      <c r="S39" s="7">
        <v>6</v>
      </c>
      <c r="T39" s="7" t="s">
        <v>558</v>
      </c>
      <c r="U39" s="7">
        <v>11</v>
      </c>
      <c r="V39" s="7" t="s">
        <v>20</v>
      </c>
      <c r="W39" s="7" t="s">
        <v>20</v>
      </c>
      <c r="X39" s="7" t="s">
        <v>666</v>
      </c>
      <c r="Y39" s="7">
        <v>15</v>
      </c>
      <c r="Z39" s="26" t="s">
        <v>668</v>
      </c>
      <c r="AA39" s="13" t="s">
        <v>668</v>
      </c>
      <c r="AB39" s="26" t="s">
        <v>669</v>
      </c>
      <c r="AC39" s="7">
        <v>3</v>
      </c>
      <c r="AD39" s="7"/>
      <c r="AE39" s="7" t="s">
        <v>670</v>
      </c>
      <c r="AF39" s="7"/>
      <c r="AG39" s="28" t="str">
        <f t="shared" si="1"/>
        <v>(191*'48'*120,37*'11,91 - 22,22'*'0,015'*70*45*0*0*0*0*6*11*NULL*15*Mactaa Douz*3)*</v>
      </c>
    </row>
    <row r="40" spans="1:33" ht="20.149999999999999" customHeight="1" x14ac:dyDescent="0.35">
      <c r="A40" s="3">
        <v>192</v>
      </c>
      <c r="B40" s="22" t="s">
        <v>416</v>
      </c>
      <c r="C40" s="6"/>
      <c r="D40" s="23">
        <v>1</v>
      </c>
      <c r="E40" s="7" t="s">
        <v>548</v>
      </c>
      <c r="F40" s="7">
        <v>11</v>
      </c>
      <c r="G40" s="7">
        <v>16</v>
      </c>
      <c r="H40" s="24"/>
      <c r="I40" s="25"/>
      <c r="J40" s="24" t="s">
        <v>664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557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666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49999999999999" customHeight="1" x14ac:dyDescent="0.35">
      <c r="A41" s="3">
        <v>193</v>
      </c>
      <c r="B41" s="22" t="s">
        <v>418</v>
      </c>
      <c r="C41" s="6">
        <v>25934</v>
      </c>
      <c r="D41" s="23">
        <v>1</v>
      </c>
      <c r="E41" s="7" t="s">
        <v>560</v>
      </c>
      <c r="F41" s="7">
        <v>13</v>
      </c>
      <c r="G41" s="7">
        <v>16</v>
      </c>
      <c r="H41" s="24">
        <v>40</v>
      </c>
      <c r="I41" s="25">
        <v>574.87</v>
      </c>
      <c r="J41" s="7" t="s">
        <v>671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672</v>
      </c>
      <c r="S41" s="7">
        <v>4</v>
      </c>
      <c r="T41" s="7" t="s">
        <v>673</v>
      </c>
      <c r="U41" s="7">
        <v>14</v>
      </c>
      <c r="V41" s="7" t="s">
        <v>653</v>
      </c>
      <c r="W41" s="7">
        <v>17</v>
      </c>
      <c r="X41" s="7" t="s">
        <v>674</v>
      </c>
      <c r="Y41" s="7">
        <v>17</v>
      </c>
      <c r="Z41" s="26" t="s">
        <v>33</v>
      </c>
      <c r="AA41" s="7">
        <v>8</v>
      </c>
      <c r="AB41" s="26" t="s">
        <v>564</v>
      </c>
      <c r="AC41" s="7">
        <v>34</v>
      </c>
      <c r="AD41" s="7">
        <v>16</v>
      </c>
      <c r="AE41" s="7" t="s">
        <v>675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49999999999999" customHeight="1" x14ac:dyDescent="0.35">
      <c r="A42" s="3">
        <v>194</v>
      </c>
      <c r="B42" s="22" t="s">
        <v>422</v>
      </c>
      <c r="C42" s="6">
        <v>35796</v>
      </c>
      <c r="D42" s="23">
        <v>1</v>
      </c>
      <c r="E42" s="7" t="s">
        <v>560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671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676</v>
      </c>
      <c r="S42" s="7">
        <v>4</v>
      </c>
      <c r="T42" s="7" t="s">
        <v>673</v>
      </c>
      <c r="U42" s="7">
        <v>14</v>
      </c>
      <c r="V42" s="7" t="s">
        <v>653</v>
      </c>
      <c r="W42" s="7">
        <v>17</v>
      </c>
      <c r="X42" s="7" t="s">
        <v>674</v>
      </c>
      <c r="Y42" s="7">
        <v>17</v>
      </c>
      <c r="Z42" s="26" t="s">
        <v>33</v>
      </c>
      <c r="AA42" s="7">
        <v>8</v>
      </c>
      <c r="AB42" s="26" t="s">
        <v>564</v>
      </c>
      <c r="AC42" s="7">
        <v>34</v>
      </c>
      <c r="AD42" s="7">
        <v>16</v>
      </c>
      <c r="AE42" s="7" t="s">
        <v>677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49999999999999" customHeight="1" x14ac:dyDescent="0.35">
      <c r="A43" s="3">
        <v>195</v>
      </c>
      <c r="B43" s="22" t="s">
        <v>426</v>
      </c>
      <c r="C43" s="6"/>
      <c r="D43" s="23">
        <v>1</v>
      </c>
      <c r="E43" s="7" t="s">
        <v>560</v>
      </c>
      <c r="F43" s="7">
        <v>13</v>
      </c>
      <c r="G43" s="7">
        <v>16</v>
      </c>
      <c r="H43" s="24"/>
      <c r="I43" s="25"/>
      <c r="J43" s="7" t="s">
        <v>678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557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679</v>
      </c>
      <c r="Y43" s="7">
        <v>18</v>
      </c>
      <c r="Z43" s="26" t="s">
        <v>33</v>
      </c>
      <c r="AA43" s="7">
        <v>8</v>
      </c>
      <c r="AB43" s="26" t="s">
        <v>680</v>
      </c>
      <c r="AC43" s="34" t="s">
        <v>680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49999999999999" customHeight="1" x14ac:dyDescent="0.35">
      <c r="A44" s="3">
        <v>196</v>
      </c>
      <c r="B44" s="22" t="s">
        <v>429</v>
      </c>
      <c r="C44" s="6"/>
      <c r="D44" s="23">
        <v>1</v>
      </c>
      <c r="E44" s="7" t="s">
        <v>560</v>
      </c>
      <c r="F44" s="7">
        <v>13</v>
      </c>
      <c r="G44" s="7">
        <v>16</v>
      </c>
      <c r="H44" s="24">
        <v>48</v>
      </c>
      <c r="I44" s="25">
        <v>87</v>
      </c>
      <c r="J44" s="7" t="s">
        <v>678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681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679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49999999999999" customHeight="1" x14ac:dyDescent="0.35">
      <c r="A45" s="3">
        <v>197</v>
      </c>
      <c r="B45" s="22" t="s">
        <v>431</v>
      </c>
      <c r="C45" s="6">
        <v>29587</v>
      </c>
      <c r="D45" s="23">
        <v>1</v>
      </c>
      <c r="E45" s="7" t="s">
        <v>566</v>
      </c>
      <c r="F45" s="7">
        <v>15</v>
      </c>
      <c r="G45" s="7">
        <v>16</v>
      </c>
      <c r="H45" s="24">
        <v>42</v>
      </c>
      <c r="I45" s="25">
        <v>437</v>
      </c>
      <c r="J45" s="7" t="s">
        <v>682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557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431</v>
      </c>
      <c r="Y45" s="7">
        <v>20</v>
      </c>
      <c r="Z45" s="26" t="s">
        <v>33</v>
      </c>
      <c r="AA45" s="7">
        <v>8</v>
      </c>
      <c r="AB45" s="26" t="s">
        <v>683</v>
      </c>
      <c r="AC45" s="7">
        <v>24</v>
      </c>
      <c r="AD45" s="7">
        <v>16</v>
      </c>
      <c r="AE45" s="7" t="s">
        <v>684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49999999999999" customHeight="1" x14ac:dyDescent="0.35">
      <c r="A46" s="3">
        <v>198</v>
      </c>
      <c r="B46" s="22" t="s">
        <v>434</v>
      </c>
      <c r="C46" s="6">
        <v>43800</v>
      </c>
      <c r="D46" s="23">
        <v>1</v>
      </c>
      <c r="E46" s="7" t="s">
        <v>566</v>
      </c>
      <c r="F46" s="7">
        <v>15</v>
      </c>
      <c r="G46" s="7">
        <v>16</v>
      </c>
      <c r="H46" s="24">
        <v>42</v>
      </c>
      <c r="I46" s="25">
        <v>207</v>
      </c>
      <c r="J46" s="7" t="s">
        <v>685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681</v>
      </c>
      <c r="S46" s="7">
        <v>6</v>
      </c>
      <c r="T46" s="7" t="s">
        <v>579</v>
      </c>
      <c r="U46" s="7" t="s">
        <v>20</v>
      </c>
      <c r="V46" s="7" t="s">
        <v>20</v>
      </c>
      <c r="W46" s="7" t="s">
        <v>20</v>
      </c>
      <c r="X46" s="7" t="s">
        <v>431</v>
      </c>
      <c r="Y46" s="7">
        <v>20</v>
      </c>
      <c r="Z46" s="26" t="s">
        <v>686</v>
      </c>
      <c r="AA46" s="7">
        <v>9</v>
      </c>
      <c r="AB46" s="26" t="s">
        <v>683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49999999999999" customHeight="1" x14ac:dyDescent="0.35">
      <c r="A47" s="3">
        <v>199</v>
      </c>
      <c r="B47" s="22" t="s">
        <v>437</v>
      </c>
      <c r="C47" s="6"/>
      <c r="D47" s="23">
        <v>1</v>
      </c>
      <c r="E47" s="7" t="s">
        <v>687</v>
      </c>
      <c r="F47" s="7"/>
      <c r="G47" s="7">
        <v>16</v>
      </c>
      <c r="H47" s="24"/>
      <c r="I47" s="25"/>
      <c r="J47" s="7" t="s">
        <v>685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557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688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49999999999999" customHeight="1" x14ac:dyDescent="0.35">
      <c r="A48" s="3">
        <v>200</v>
      </c>
      <c r="B48" s="22" t="s">
        <v>439</v>
      </c>
      <c r="C48" s="6">
        <v>31413</v>
      </c>
      <c r="D48" s="23">
        <v>1</v>
      </c>
      <c r="E48" s="7" t="s">
        <v>586</v>
      </c>
      <c r="F48" s="7">
        <v>14</v>
      </c>
      <c r="G48" s="7">
        <v>16</v>
      </c>
      <c r="H48" s="24" t="s">
        <v>689</v>
      </c>
      <c r="I48" s="25">
        <v>966</v>
      </c>
      <c r="J48" s="7" t="s">
        <v>690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691</v>
      </c>
      <c r="S48" s="7">
        <v>6</v>
      </c>
      <c r="T48" s="7" t="s">
        <v>598</v>
      </c>
      <c r="U48" s="7">
        <v>14</v>
      </c>
      <c r="V48" s="7" t="s">
        <v>653</v>
      </c>
      <c r="W48" s="7">
        <v>17</v>
      </c>
      <c r="X48" s="7" t="s">
        <v>688</v>
      </c>
      <c r="Y48" s="7">
        <v>21</v>
      </c>
      <c r="Z48" s="26" t="s">
        <v>639</v>
      </c>
      <c r="AA48" s="7">
        <v>20</v>
      </c>
      <c r="AB48" s="26" t="s">
        <v>33</v>
      </c>
      <c r="AC48" s="7">
        <v>8</v>
      </c>
      <c r="AD48" s="7">
        <v>16</v>
      </c>
      <c r="AE48" s="7" t="s">
        <v>692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49999999999999" customHeight="1" x14ac:dyDescent="0.35">
      <c r="A49" s="3">
        <v>201</v>
      </c>
      <c r="B49" s="22" t="s">
        <v>442</v>
      </c>
      <c r="C49" s="6">
        <v>36161</v>
      </c>
      <c r="D49" s="23">
        <v>1</v>
      </c>
      <c r="E49" s="7" t="s">
        <v>586</v>
      </c>
      <c r="F49" s="7">
        <v>14</v>
      </c>
      <c r="G49" s="7">
        <v>16</v>
      </c>
      <c r="H49" s="24" t="s">
        <v>689</v>
      </c>
      <c r="I49" s="25">
        <v>966</v>
      </c>
      <c r="J49" s="7" t="s">
        <v>693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681</v>
      </c>
      <c r="S49" s="7">
        <v>6</v>
      </c>
      <c r="T49" s="7" t="s">
        <v>558</v>
      </c>
      <c r="U49" s="7">
        <v>11</v>
      </c>
      <c r="V49" s="7" t="s">
        <v>653</v>
      </c>
      <c r="W49" s="7">
        <v>17</v>
      </c>
      <c r="X49" s="7" t="s">
        <v>688</v>
      </c>
      <c r="Y49" s="7">
        <v>21</v>
      </c>
      <c r="Z49" s="26" t="s">
        <v>639</v>
      </c>
      <c r="AA49" s="7">
        <v>20</v>
      </c>
      <c r="AB49" s="26" t="s">
        <v>33</v>
      </c>
      <c r="AC49" s="7">
        <v>8</v>
      </c>
      <c r="AD49" s="7">
        <v>16</v>
      </c>
      <c r="AE49" s="7" t="s">
        <v>694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49999999999999" customHeight="1" x14ac:dyDescent="0.35">
      <c r="A50" s="3">
        <v>202</v>
      </c>
      <c r="B50" s="22" t="s">
        <v>445</v>
      </c>
      <c r="C50" s="6">
        <v>37622</v>
      </c>
      <c r="D50" s="23">
        <v>1</v>
      </c>
      <c r="E50" s="7" t="s">
        <v>619</v>
      </c>
      <c r="F50" s="7">
        <v>2</v>
      </c>
      <c r="G50" s="7">
        <v>2</v>
      </c>
      <c r="H50" s="24">
        <v>48</v>
      </c>
      <c r="I50" s="25">
        <v>520</v>
      </c>
      <c r="J50" s="7" t="s">
        <v>693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557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688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49999999999999" customHeight="1" x14ac:dyDescent="0.35">
      <c r="A51" s="3">
        <v>203</v>
      </c>
      <c r="B51" s="22" t="s">
        <v>447</v>
      </c>
      <c r="C51" s="6">
        <v>41640</v>
      </c>
      <c r="D51" s="23">
        <v>1</v>
      </c>
      <c r="E51" s="7" t="s">
        <v>586</v>
      </c>
      <c r="F51" s="7">
        <v>14</v>
      </c>
      <c r="G51" s="7">
        <v>16</v>
      </c>
      <c r="H51" s="24">
        <v>48</v>
      </c>
      <c r="I51" s="25">
        <v>535</v>
      </c>
      <c r="J51" s="7" t="s">
        <v>695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681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688</v>
      </c>
      <c r="Y51" s="7">
        <v>21</v>
      </c>
      <c r="Z51" s="26" t="s">
        <v>696</v>
      </c>
      <c r="AA51" s="7">
        <v>18</v>
      </c>
      <c r="AB51" s="26" t="s">
        <v>33</v>
      </c>
      <c r="AC51" s="7">
        <v>8</v>
      </c>
      <c r="AD51" s="7">
        <v>16</v>
      </c>
      <c r="AE51" s="7" t="s">
        <v>670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49999999999999" customHeight="1" x14ac:dyDescent="0.35">
      <c r="A52" s="3">
        <v>204</v>
      </c>
      <c r="B52" s="22" t="s">
        <v>449</v>
      </c>
      <c r="C52" s="6">
        <v>42887</v>
      </c>
      <c r="D52" s="23">
        <v>1</v>
      </c>
      <c r="E52" s="7" t="s">
        <v>697</v>
      </c>
      <c r="F52" s="7">
        <v>16</v>
      </c>
      <c r="G52" s="7">
        <v>16</v>
      </c>
      <c r="H52" s="24">
        <v>48</v>
      </c>
      <c r="I52" s="25">
        <v>770</v>
      </c>
      <c r="J52" s="30" t="s">
        <v>698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681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699</v>
      </c>
      <c r="Y52" s="7">
        <v>22</v>
      </c>
      <c r="Z52" s="26" t="s">
        <v>700</v>
      </c>
      <c r="AA52" s="7">
        <v>32</v>
      </c>
      <c r="AB52" s="26" t="s">
        <v>33</v>
      </c>
      <c r="AC52" s="7">
        <v>8</v>
      </c>
      <c r="AD52" s="7">
        <v>16</v>
      </c>
      <c r="AE52" s="7" t="s">
        <v>701</v>
      </c>
      <c r="AF52" s="7"/>
      <c r="AG52" s="28" t="str">
        <f t="shared" si="6"/>
        <v>(204*'48'*770*'12,48 / 13,61 / 20,79 / 24,26'*'0,015'*70*70*45*45*0*0*6*NULL*NULL*22*32*8*16)*</v>
      </c>
    </row>
    <row r="53" spans="1:33" ht="20.149999999999999" customHeight="1" x14ac:dyDescent="0.35">
      <c r="A53" s="3">
        <v>205</v>
      </c>
      <c r="B53" s="22" t="s">
        <v>452</v>
      </c>
      <c r="C53" s="6">
        <v>42736</v>
      </c>
      <c r="D53" s="23">
        <v>1</v>
      </c>
      <c r="E53" s="7" t="s">
        <v>586</v>
      </c>
      <c r="F53" s="7">
        <v>14</v>
      </c>
      <c r="G53" s="7">
        <v>16</v>
      </c>
      <c r="H53" s="24">
        <v>48</v>
      </c>
      <c r="I53" s="25">
        <v>531</v>
      </c>
      <c r="J53" s="7" t="s">
        <v>695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681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688</v>
      </c>
      <c r="Y53" s="7">
        <v>21</v>
      </c>
      <c r="Z53" s="26" t="s">
        <v>696</v>
      </c>
      <c r="AA53" s="7">
        <v>18</v>
      </c>
      <c r="AB53" s="26" t="s">
        <v>33</v>
      </c>
      <c r="AC53" s="7">
        <v>8</v>
      </c>
      <c r="AD53" s="7">
        <v>16</v>
      </c>
      <c r="AE53" s="7" t="s">
        <v>670</v>
      </c>
      <c r="AF53" s="7"/>
      <c r="AG53" s="28" t="str">
        <f t="shared" si="6"/>
        <v>(205*'48'*531*'12,7 / 14,27 / 22,22'*'0,015'*71*71*0*0*8,52*8,52*6*NULL*NULL*21*18*8*16)*</v>
      </c>
    </row>
    <row r="54" spans="1:33" ht="20.149999999999999" customHeight="1" x14ac:dyDescent="0.35">
      <c r="A54" s="3">
        <v>206</v>
      </c>
      <c r="B54" s="22" t="s">
        <v>455</v>
      </c>
      <c r="C54" s="6">
        <v>43800</v>
      </c>
      <c r="D54" s="23">
        <v>1</v>
      </c>
      <c r="E54" s="7" t="s">
        <v>697</v>
      </c>
      <c r="F54" s="7">
        <v>16</v>
      </c>
      <c r="G54" s="7">
        <v>16</v>
      </c>
      <c r="H54" s="24">
        <v>48</v>
      </c>
      <c r="I54" s="25">
        <v>345</v>
      </c>
      <c r="J54" s="7" t="s">
        <v>702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681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699</v>
      </c>
      <c r="Y54" s="7">
        <v>22</v>
      </c>
      <c r="Z54" s="26" t="s">
        <v>703</v>
      </c>
      <c r="AA54" s="7"/>
      <c r="AB54" s="26" t="s">
        <v>33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49999999999999" customHeight="1" x14ac:dyDescent="0.35">
      <c r="A55" s="3">
        <v>207</v>
      </c>
      <c r="B55" s="22" t="s">
        <v>458</v>
      </c>
      <c r="C55" s="6">
        <v>35065</v>
      </c>
      <c r="D55" s="23">
        <v>1</v>
      </c>
      <c r="E55" s="7" t="s">
        <v>458</v>
      </c>
      <c r="F55" s="7">
        <v>18</v>
      </c>
      <c r="G55" s="7">
        <v>16</v>
      </c>
      <c r="H55" s="24">
        <v>48</v>
      </c>
      <c r="I55" s="25">
        <v>521</v>
      </c>
      <c r="J55" s="7" t="s">
        <v>695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681</v>
      </c>
      <c r="S55" s="7">
        <v>6</v>
      </c>
      <c r="T55" s="7" t="s">
        <v>704</v>
      </c>
      <c r="U55" s="7">
        <v>9</v>
      </c>
      <c r="V55" s="7" t="s">
        <v>653</v>
      </c>
      <c r="W55" s="7">
        <v>17</v>
      </c>
      <c r="X55" s="7" t="s">
        <v>705</v>
      </c>
      <c r="Y55" s="7">
        <v>16</v>
      </c>
      <c r="Z55" s="26" t="s">
        <v>33</v>
      </c>
      <c r="AA55" s="7">
        <v>8</v>
      </c>
      <c r="AB55" s="26" t="s">
        <v>706</v>
      </c>
      <c r="AC55" s="7">
        <v>12</v>
      </c>
      <c r="AD55" s="7">
        <v>16</v>
      </c>
      <c r="AE55" s="7" t="s">
        <v>633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49999999999999" customHeight="1" x14ac:dyDescent="0.35">
      <c r="A56" s="3">
        <v>208</v>
      </c>
      <c r="B56" s="22" t="s">
        <v>460</v>
      </c>
      <c r="C56" s="6">
        <v>44197</v>
      </c>
      <c r="D56" s="23">
        <v>1</v>
      </c>
      <c r="E56" s="7" t="s">
        <v>458</v>
      </c>
      <c r="F56" s="7">
        <v>18</v>
      </c>
      <c r="G56" s="7">
        <v>16</v>
      </c>
      <c r="H56" s="24">
        <v>48</v>
      </c>
      <c r="I56" s="25">
        <v>198</v>
      </c>
      <c r="J56" s="7" t="s">
        <v>707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557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705</v>
      </c>
      <c r="Y56" s="7">
        <v>16</v>
      </c>
      <c r="Z56" s="26" t="s">
        <v>706</v>
      </c>
      <c r="AA56" s="7">
        <v>12</v>
      </c>
      <c r="AB56" s="26" t="s">
        <v>669</v>
      </c>
      <c r="AC56" s="7">
        <v>3</v>
      </c>
      <c r="AD56" s="7">
        <v>16</v>
      </c>
      <c r="AE56" s="7" t="s">
        <v>649</v>
      </c>
      <c r="AF56" s="7"/>
      <c r="AG56" s="28" t="str">
        <f t="shared" si="7"/>
        <v>(208*'48'*198*'13,61/  14,27 / 20,79 / 22,23'*'0,015'*70*0*0*0*9*9*4*NULL*NULL*16*12*3*16)*</v>
      </c>
    </row>
    <row r="57" spans="1:33" ht="20.149999999999999" customHeight="1" x14ac:dyDescent="0.35">
      <c r="A57" s="3">
        <v>209</v>
      </c>
      <c r="B57" s="22" t="s">
        <v>463</v>
      </c>
      <c r="C57" s="6">
        <v>29952</v>
      </c>
      <c r="D57" s="23">
        <v>1</v>
      </c>
      <c r="E57" s="7" t="s">
        <v>708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695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635</v>
      </c>
      <c r="S57" s="7">
        <v>4</v>
      </c>
      <c r="T57" s="7" t="s">
        <v>590</v>
      </c>
      <c r="U57" s="7">
        <v>14</v>
      </c>
      <c r="V57" s="7" t="s">
        <v>653</v>
      </c>
      <c r="W57" s="7">
        <v>17</v>
      </c>
      <c r="X57" s="7" t="s">
        <v>709</v>
      </c>
      <c r="Y57" s="7">
        <v>19</v>
      </c>
      <c r="Z57" s="26" t="s">
        <v>33</v>
      </c>
      <c r="AA57" s="7">
        <v>8</v>
      </c>
      <c r="AB57" s="26" t="s">
        <v>710</v>
      </c>
      <c r="AC57" s="7">
        <v>2</v>
      </c>
      <c r="AD57" s="7">
        <v>16</v>
      </c>
      <c r="AE57" s="7" t="s">
        <v>636</v>
      </c>
      <c r="AF57" s="7"/>
      <c r="AG57" s="28" t="str">
        <f t="shared" si="7"/>
        <v>(209*'48'*548,285*'12,7 / 14,27 / 22,22'*'0,015'*70*70*0*0*11,99*11,99*4*14*17*19*8*2*16)*</v>
      </c>
    </row>
    <row r="58" spans="1:33" ht="20.149999999999999" customHeight="1" x14ac:dyDescent="0.35">
      <c r="A58" s="3">
        <v>210</v>
      </c>
      <c r="B58" s="22" t="s">
        <v>465</v>
      </c>
      <c r="C58" s="6">
        <v>31778</v>
      </c>
      <c r="D58" s="23">
        <v>1</v>
      </c>
      <c r="E58" s="7" t="s">
        <v>708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695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635</v>
      </c>
      <c r="S58" s="7">
        <v>4</v>
      </c>
      <c r="T58" s="7" t="s">
        <v>590</v>
      </c>
      <c r="U58" s="7">
        <v>14</v>
      </c>
      <c r="V58" s="7" t="s">
        <v>653</v>
      </c>
      <c r="W58" s="7">
        <v>17</v>
      </c>
      <c r="X58" s="7" t="s">
        <v>709</v>
      </c>
      <c r="Y58" s="7">
        <v>19</v>
      </c>
      <c r="Z58" s="26" t="s">
        <v>33</v>
      </c>
      <c r="AA58" s="7">
        <v>8</v>
      </c>
      <c r="AB58" s="26" t="s">
        <v>710</v>
      </c>
      <c r="AC58" s="7">
        <v>2</v>
      </c>
      <c r="AD58" s="7">
        <v>16</v>
      </c>
      <c r="AE58" s="7" t="s">
        <v>711</v>
      </c>
      <c r="AF58" s="7"/>
      <c r="AG58" s="28" t="str">
        <f t="shared" si="7"/>
        <v>(210*'48'*548,285*'12,7 / 14,27 / 22,22'*'0,015'*70*70*0*0*11,99*11,99*4*14*17*19*8*2*16)*</v>
      </c>
    </row>
    <row r="59" spans="1:33" ht="20.149999999999999" customHeight="1" x14ac:dyDescent="0.35">
      <c r="A59" s="3">
        <v>211</v>
      </c>
      <c r="B59" s="22" t="s">
        <v>468</v>
      </c>
      <c r="C59" s="6">
        <v>39448</v>
      </c>
      <c r="D59" s="23">
        <v>1</v>
      </c>
      <c r="E59" s="7" t="s">
        <v>708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695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635</v>
      </c>
      <c r="S59" s="7">
        <v>4</v>
      </c>
      <c r="T59" s="7" t="s">
        <v>712</v>
      </c>
      <c r="U59" s="7">
        <v>11</v>
      </c>
      <c r="V59" s="7" t="s">
        <v>653</v>
      </c>
      <c r="W59" s="7">
        <v>17</v>
      </c>
      <c r="X59" s="7" t="s">
        <v>709</v>
      </c>
      <c r="Y59" s="7">
        <v>19</v>
      </c>
      <c r="Z59" s="26" t="s">
        <v>33</v>
      </c>
      <c r="AA59" s="7">
        <v>8</v>
      </c>
      <c r="AB59" s="26" t="s">
        <v>710</v>
      </c>
      <c r="AC59" s="7">
        <v>2</v>
      </c>
      <c r="AD59" s="7">
        <v>16</v>
      </c>
      <c r="AE59" s="7" t="s">
        <v>713</v>
      </c>
      <c r="AF59" s="7"/>
      <c r="AG59" s="28" t="str">
        <f t="shared" si="7"/>
        <v>(211*'48'*548,285*'12,7 / 14,27 / 22,22'*'0,015'*70*70*0*0*8,74*8,74*4*11*17*19*8*2*16)*</v>
      </c>
    </row>
  </sheetData>
  <autoFilter ref="A1:AC59" xr:uid="{00000000-0009-0000-0000-000001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E82"/>
  <sheetViews>
    <sheetView workbookViewId="0">
      <selection activeCell="A3" sqref="A3:A82"/>
    </sheetView>
  </sheetViews>
  <sheetFormatPr baseColWidth="10" defaultColWidth="10.81640625" defaultRowHeight="15.5" x14ac:dyDescent="0.35"/>
  <cols>
    <col min="1" max="1" width="5.54296875" style="2" customWidth="1"/>
    <col min="2" max="2" width="12.453125" style="2" bestFit="1" customWidth="1"/>
    <col min="3" max="3" width="15.54296875" style="2" bestFit="1" customWidth="1"/>
    <col min="4" max="4" width="12.7265625" style="2" customWidth="1"/>
    <col min="5" max="8" width="12.7265625" style="2" hidden="1" customWidth="1"/>
    <col min="9" max="14" width="10.54296875" style="2" customWidth="1"/>
    <col min="15" max="26" width="12.7265625" style="2" customWidth="1"/>
    <col min="27" max="27" width="12.7265625" style="2" hidden="1" customWidth="1"/>
    <col min="28" max="28" width="21.453125" style="2" hidden="1" customWidth="1"/>
    <col min="29" max="29" width="12.7265625" style="2" hidden="1" customWidth="1"/>
    <col min="30" max="30" width="117.453125" style="2" bestFit="1" customWidth="1"/>
    <col min="31" max="16384" width="10.81640625" style="2"/>
  </cols>
  <sheetData>
    <row r="1" spans="1:31" ht="20.149999999999999" customHeight="1" x14ac:dyDescent="0.35">
      <c r="A1" s="1" t="s">
        <v>0</v>
      </c>
      <c r="B1" s="20" t="s">
        <v>1</v>
      </c>
      <c r="C1" s="20" t="s">
        <v>2</v>
      </c>
      <c r="D1" s="1" t="s">
        <v>500</v>
      </c>
      <c r="E1" s="1" t="s">
        <v>6</v>
      </c>
      <c r="F1" s="1" t="s">
        <v>501</v>
      </c>
      <c r="G1" s="1" t="s">
        <v>502</v>
      </c>
      <c r="H1" s="1" t="s">
        <v>503</v>
      </c>
      <c r="I1" s="1" t="s">
        <v>504</v>
      </c>
      <c r="J1" s="1" t="s">
        <v>505</v>
      </c>
      <c r="K1" s="1" t="s">
        <v>506</v>
      </c>
      <c r="L1" s="1" t="s">
        <v>507</v>
      </c>
      <c r="M1" s="1" t="s">
        <v>714</v>
      </c>
      <c r="N1" s="1" t="s">
        <v>715</v>
      </c>
      <c r="O1" s="1" t="s">
        <v>514</v>
      </c>
      <c r="P1" s="1" t="s">
        <v>515</v>
      </c>
      <c r="Q1" s="1" t="s">
        <v>516</v>
      </c>
      <c r="R1" s="1" t="s">
        <v>517</v>
      </c>
      <c r="S1" s="1" t="s">
        <v>518</v>
      </c>
      <c r="T1" s="1" t="s">
        <v>519</v>
      </c>
      <c r="U1" s="1" t="s">
        <v>716</v>
      </c>
      <c r="V1" s="1" t="s">
        <v>717</v>
      </c>
      <c r="W1" s="1" t="s">
        <v>522</v>
      </c>
      <c r="X1" s="1" t="s">
        <v>523</v>
      </c>
      <c r="Y1" s="1" t="s">
        <v>524</v>
      </c>
      <c r="Z1" s="1" t="s">
        <v>525</v>
      </c>
      <c r="AA1" s="1" t="s">
        <v>526</v>
      </c>
      <c r="AB1" s="1" t="s">
        <v>527</v>
      </c>
      <c r="AC1" s="1" t="s">
        <v>528</v>
      </c>
    </row>
    <row r="2" spans="1:31" ht="20.149999999999999" customHeight="1" x14ac:dyDescent="0.3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529</v>
      </c>
      <c r="I2" s="1" t="s">
        <v>530</v>
      </c>
      <c r="J2" s="1" t="s">
        <v>531</v>
      </c>
      <c r="K2" s="1" t="s">
        <v>532</v>
      </c>
      <c r="L2" s="1" t="s">
        <v>533</v>
      </c>
      <c r="M2" s="1" t="s">
        <v>534</v>
      </c>
      <c r="N2" s="1" t="s">
        <v>535</v>
      </c>
      <c r="O2" s="1"/>
      <c r="P2" s="1" t="s">
        <v>536</v>
      </c>
      <c r="Q2" s="1"/>
      <c r="R2" s="1" t="s">
        <v>537</v>
      </c>
      <c r="S2" s="1"/>
      <c r="T2" s="1" t="s">
        <v>538</v>
      </c>
      <c r="U2" s="1"/>
      <c r="V2" s="1" t="s">
        <v>539</v>
      </c>
      <c r="W2" s="1"/>
      <c r="X2" s="1" t="s">
        <v>540</v>
      </c>
      <c r="Y2" s="1"/>
      <c r="Z2" s="1" t="s">
        <v>541</v>
      </c>
      <c r="AA2" s="1" t="s">
        <v>529</v>
      </c>
      <c r="AB2" s="1"/>
      <c r="AC2" s="1" t="s">
        <v>546</v>
      </c>
      <c r="AD2" s="21" t="s">
        <v>718</v>
      </c>
    </row>
    <row r="3" spans="1:31" ht="20.149999999999999" customHeight="1" x14ac:dyDescent="0.35">
      <c r="A3" s="39"/>
      <c r="B3" s="40" t="s">
        <v>472</v>
      </c>
      <c r="C3" s="40" t="s">
        <v>473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9">
        <v>12</v>
      </c>
      <c r="AB3" s="18" t="s">
        <v>555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49999999999999" customHeight="1" x14ac:dyDescent="0.35">
      <c r="A4" s="39"/>
      <c r="B4" s="40" t="s">
        <v>474</v>
      </c>
      <c r="C4" s="40" t="s">
        <v>475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49999999999999" customHeight="1" x14ac:dyDescent="0.35">
      <c r="A5" s="39"/>
      <c r="B5" s="40" t="s">
        <v>476</v>
      </c>
      <c r="C5" s="40" t="s">
        <v>477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49999999999999" customHeight="1" x14ac:dyDescent="0.35">
      <c r="A6" s="39"/>
      <c r="B6" s="40" t="s">
        <v>478</v>
      </c>
      <c r="C6" s="40" t="s">
        <v>479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49999999999999" customHeight="1" x14ac:dyDescent="0.35">
      <c r="A7" s="39"/>
      <c r="B7" s="40" t="s">
        <v>480</v>
      </c>
      <c r="C7" s="40" t="s">
        <v>481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49999999999999" customHeight="1" x14ac:dyDescent="0.35">
      <c r="A8" s="39"/>
      <c r="B8" s="40" t="s">
        <v>482</v>
      </c>
      <c r="C8" s="40" t="s">
        <v>483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49999999999999" customHeight="1" x14ac:dyDescent="0.35">
      <c r="A9" s="39"/>
      <c r="B9" s="40" t="s">
        <v>484</v>
      </c>
      <c r="C9" s="40" t="s">
        <v>485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49999999999999" customHeight="1" x14ac:dyDescent="0.35">
      <c r="A10" s="39"/>
      <c r="B10" s="40" t="s">
        <v>486</v>
      </c>
      <c r="C10" s="40" t="s">
        <v>487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9">
        <v>12</v>
      </c>
      <c r="AB10" s="36" t="s">
        <v>559</v>
      </c>
      <c r="AC10" s="36"/>
      <c r="AD10" s="35" t="str">
        <f t="shared" si="0"/>
        <v>(************)*</v>
      </c>
    </row>
    <row r="11" spans="1:31" ht="20.149999999999999" customHeight="1" x14ac:dyDescent="0.35">
      <c r="A11" s="39"/>
      <c r="B11" s="40" t="s">
        <v>488</v>
      </c>
      <c r="C11" s="40" t="s">
        <v>489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49999999999999" customHeight="1" x14ac:dyDescent="0.35">
      <c r="A12" s="39"/>
      <c r="B12" s="40" t="s">
        <v>490</v>
      </c>
      <c r="C12" s="40" t="s">
        <v>491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49999999999999" customHeight="1" x14ac:dyDescent="0.35">
      <c r="A13" s="39"/>
      <c r="B13" s="40" t="s">
        <v>492</v>
      </c>
      <c r="C13" s="40" t="s">
        <v>493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49999999999999" customHeight="1" x14ac:dyDescent="0.35">
      <c r="A14" s="39"/>
      <c r="B14" s="40" t="s">
        <v>494</v>
      </c>
      <c r="C14" s="40" t="s">
        <v>495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49999999999999" customHeight="1" x14ac:dyDescent="0.35">
      <c r="A15" s="39"/>
      <c r="B15" s="40" t="s">
        <v>496</v>
      </c>
      <c r="C15" s="40" t="s">
        <v>497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49999999999999" customHeight="1" x14ac:dyDescent="0.35">
      <c r="A16" s="39"/>
      <c r="B16" s="40" t="s">
        <v>498</v>
      </c>
      <c r="C16" s="40" t="s">
        <v>499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49999999999999" customHeight="1" x14ac:dyDescent="0.35">
      <c r="A17" s="39"/>
      <c r="B17" s="40" t="s">
        <v>719</v>
      </c>
      <c r="C17" s="40" t="s">
        <v>720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/>
      <c r="V17" s="42"/>
      <c r="W17" s="40"/>
      <c r="X17" s="39"/>
      <c r="Y17" s="40"/>
      <c r="Z17" s="39"/>
      <c r="AA17" s="49">
        <v>12</v>
      </c>
      <c r="AB17" s="18" t="s">
        <v>565</v>
      </c>
      <c r="AC17" s="18"/>
      <c r="AD17" s="35" t="str">
        <f t="shared" si="0"/>
        <v>(************)*</v>
      </c>
    </row>
    <row r="18" spans="1:30" ht="20.149999999999999" customHeight="1" x14ac:dyDescent="0.35">
      <c r="A18" s="39"/>
      <c r="B18" s="40" t="s">
        <v>721</v>
      </c>
      <c r="C18" s="40" t="s">
        <v>722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/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49999999999999" customHeight="1" x14ac:dyDescent="0.35">
      <c r="A19" s="39"/>
      <c r="B19" s="40" t="s">
        <v>723</v>
      </c>
      <c r="C19" s="40" t="s">
        <v>724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/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49999999999999" customHeight="1" x14ac:dyDescent="0.35">
      <c r="A20" s="39"/>
      <c r="B20" s="40" t="s">
        <v>725</v>
      </c>
      <c r="C20" s="40" t="s">
        <v>726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/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49999999999999" customHeight="1" x14ac:dyDescent="0.35">
      <c r="A21" s="39"/>
      <c r="B21" s="40" t="s">
        <v>732</v>
      </c>
      <c r="C21" s="40" t="s">
        <v>727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50">
        <v>12</v>
      </c>
      <c r="AB21" s="7" t="s">
        <v>574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49999999999999" customHeight="1" x14ac:dyDescent="0.35">
      <c r="A22" s="39"/>
      <c r="B22" s="40" t="s">
        <v>733</v>
      </c>
      <c r="C22" s="40" t="s">
        <v>728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49999999999999" customHeight="1" x14ac:dyDescent="0.35">
      <c r="A23" s="39"/>
      <c r="B23" s="40" t="s">
        <v>734</v>
      </c>
      <c r="C23" s="40" t="s">
        <v>729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49999999999999" customHeight="1" x14ac:dyDescent="0.35">
      <c r="A24" s="39"/>
      <c r="B24" s="40" t="s">
        <v>735</v>
      </c>
      <c r="C24" s="40" t="s">
        <v>730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49999999999999" customHeight="1" x14ac:dyDescent="0.35">
      <c r="A25" s="39"/>
      <c r="B25" s="40" t="s">
        <v>736</v>
      </c>
      <c r="C25" s="40" t="s">
        <v>731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49999999999999" customHeight="1" x14ac:dyDescent="0.35">
      <c r="A26" s="39"/>
      <c r="B26" s="40" t="s">
        <v>737</v>
      </c>
      <c r="C26" s="40" t="s">
        <v>742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49999999999999" customHeight="1" x14ac:dyDescent="0.35">
      <c r="A27" s="39"/>
      <c r="B27" s="40" t="s">
        <v>738</v>
      </c>
      <c r="C27" s="40" t="s">
        <v>743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49999999999999" customHeight="1" x14ac:dyDescent="0.35">
      <c r="A28" s="39"/>
      <c r="B28" s="40" t="s">
        <v>739</v>
      </c>
      <c r="C28" s="40" t="s">
        <v>744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49999999999999" customHeight="1" x14ac:dyDescent="0.35">
      <c r="A29" s="39"/>
      <c r="B29" s="40" t="s">
        <v>740</v>
      </c>
      <c r="C29" s="40" t="s">
        <v>745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49999999999999" customHeight="1" x14ac:dyDescent="0.35">
      <c r="A30" s="39"/>
      <c r="B30" s="40" t="s">
        <v>741</v>
      </c>
      <c r="C30" s="40" t="s">
        <v>746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49999999999999" customHeight="1" x14ac:dyDescent="0.35">
      <c r="A31" s="39"/>
      <c r="B31" s="40" t="s">
        <v>336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49999999999999" customHeight="1" x14ac:dyDescent="0.35">
      <c r="A32" s="39"/>
      <c r="B32" s="40" t="s">
        <v>338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585</v>
      </c>
      <c r="AC32" s="7"/>
      <c r="AD32" s="28" t="str">
        <f t="shared" si="1"/>
        <v>(*''**''*''********)*</v>
      </c>
    </row>
    <row r="33" spans="1:30" ht="20.149999999999999" customHeight="1" x14ac:dyDescent="0.35">
      <c r="A33" s="39"/>
      <c r="B33" s="40" t="s">
        <v>341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594</v>
      </c>
      <c r="AC33" s="7"/>
      <c r="AD33" s="28" t="str">
        <f t="shared" si="1"/>
        <v>(*''**''*''********)*</v>
      </c>
    </row>
    <row r="34" spans="1:30" ht="20.149999999999999" customHeight="1" x14ac:dyDescent="0.35">
      <c r="A34" s="39"/>
      <c r="B34" s="40" t="s">
        <v>343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599</v>
      </c>
      <c r="AC34" s="7"/>
      <c r="AD34" s="28" t="str">
        <f t="shared" si="1"/>
        <v>(*''**''*''********)*</v>
      </c>
    </row>
    <row r="35" spans="1:30" ht="20.149999999999999" customHeight="1" x14ac:dyDescent="0.35">
      <c r="A35" s="39"/>
      <c r="B35" s="48" t="s">
        <v>346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49999999999999" customHeight="1" x14ac:dyDescent="0.35">
      <c r="A36" s="39"/>
      <c r="B36" s="40" t="s">
        <v>348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609</v>
      </c>
      <c r="AC36" s="7"/>
      <c r="AD36" s="28" t="str">
        <f t="shared" si="1"/>
        <v>(*''**''*''********)*</v>
      </c>
    </row>
    <row r="37" spans="1:30" ht="20.149999999999999" customHeight="1" x14ac:dyDescent="0.35">
      <c r="A37" s="39"/>
      <c r="B37" s="40" t="s">
        <v>351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614</v>
      </c>
      <c r="AC37" s="30"/>
      <c r="AD37" s="28" t="str">
        <f t="shared" si="1"/>
        <v>(*''**''*''********)*</v>
      </c>
    </row>
    <row r="38" spans="1:30" ht="20.149999999999999" customHeight="1" x14ac:dyDescent="0.35">
      <c r="A38" s="39"/>
      <c r="B38" s="40" t="s">
        <v>353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614</v>
      </c>
      <c r="AC38" s="30"/>
      <c r="AD38" s="28" t="str">
        <f t="shared" si="1"/>
        <v>(*''**''*''********)*</v>
      </c>
    </row>
    <row r="39" spans="1:30" ht="20.149999999999999" customHeight="1" x14ac:dyDescent="0.35">
      <c r="A39" s="39"/>
      <c r="B39" s="40" t="s">
        <v>356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618</v>
      </c>
      <c r="AC39" s="7"/>
      <c r="AD39" s="28" t="str">
        <f t="shared" si="1"/>
        <v>(*''**''*''********)*</v>
      </c>
    </row>
    <row r="40" spans="1:30" ht="20.149999999999999" customHeight="1" x14ac:dyDescent="0.35">
      <c r="A40" s="39"/>
      <c r="B40" s="40" t="s">
        <v>359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49999999999999" customHeight="1" x14ac:dyDescent="0.35">
      <c r="A41" s="39"/>
      <c r="B41" s="40" t="s">
        <v>361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49999999999999" customHeight="1" x14ac:dyDescent="0.35">
      <c r="A42" s="39"/>
      <c r="B42" s="40" t="s">
        <v>363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622</v>
      </c>
      <c r="AC42" s="7"/>
      <c r="AD42" s="28" t="str">
        <f t="shared" si="1"/>
        <v>(*''**''*''********)*</v>
      </c>
    </row>
    <row r="43" spans="1:30" ht="20.149999999999999" customHeight="1" x14ac:dyDescent="0.35">
      <c r="A43" s="39"/>
      <c r="B43" s="40" t="s">
        <v>365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624</v>
      </c>
      <c r="AC43" s="30"/>
      <c r="AD43" s="28" t="str">
        <f t="shared" si="1"/>
        <v>(*''**''*''********)*</v>
      </c>
    </row>
    <row r="44" spans="1:30" ht="20.149999999999999" customHeight="1" x14ac:dyDescent="0.35">
      <c r="A44" s="39"/>
      <c r="B44" s="40" t="s">
        <v>368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626</v>
      </c>
      <c r="AC44" s="7"/>
      <c r="AD44" s="28" t="str">
        <f t="shared" si="1"/>
        <v>(*''**''*''********)*</v>
      </c>
    </row>
    <row r="45" spans="1:30" ht="20.149999999999999" customHeight="1" x14ac:dyDescent="0.35">
      <c r="A45" s="39"/>
      <c r="B45" s="40" t="s">
        <v>371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629</v>
      </c>
      <c r="AC45" s="7"/>
      <c r="AD45" s="28" t="str">
        <f t="shared" si="1"/>
        <v>(*''**''*''********)*</v>
      </c>
    </row>
    <row r="46" spans="1:30" ht="20.149999999999999" customHeight="1" x14ac:dyDescent="0.35">
      <c r="A46" s="39"/>
      <c r="B46" s="40" t="s">
        <v>630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49999999999999" customHeight="1" x14ac:dyDescent="0.35">
      <c r="A47" s="39"/>
      <c r="B47" s="40" t="s">
        <v>376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633</v>
      </c>
      <c r="AC47" s="7"/>
      <c r="AD47" s="28" t="str">
        <f t="shared" si="1"/>
        <v>(*''**''*''********)*</v>
      </c>
    </row>
    <row r="48" spans="1:30" ht="20.149999999999999" customHeight="1" x14ac:dyDescent="0.35">
      <c r="A48" s="39"/>
      <c r="B48" s="40" t="s">
        <v>379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636</v>
      </c>
      <c r="AC48" s="7"/>
      <c r="AD48" s="28" t="str">
        <f t="shared" si="1"/>
        <v>(*''**''*''********)*</v>
      </c>
    </row>
    <row r="49" spans="1:30" ht="20.149999999999999" customHeight="1" x14ac:dyDescent="0.35">
      <c r="A49" s="39"/>
      <c r="B49" s="40" t="s">
        <v>382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640</v>
      </c>
      <c r="AC49" s="7"/>
      <c r="AD49" s="28" t="str">
        <f t="shared" si="1"/>
        <v>(*''**''*''********)*</v>
      </c>
    </row>
    <row r="50" spans="1:30" ht="20.149999999999999" customHeight="1" x14ac:dyDescent="0.35">
      <c r="A50" s="39"/>
      <c r="B50" s="40" t="s">
        <v>641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49999999999999" customHeight="1" x14ac:dyDescent="0.35">
      <c r="A51" s="39"/>
      <c r="B51" s="40" t="s">
        <v>385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646</v>
      </c>
      <c r="AC51" s="7"/>
      <c r="AD51" s="28" t="str">
        <f t="shared" si="1"/>
        <v>(*''**''*''********)*</v>
      </c>
    </row>
    <row r="52" spans="1:30" ht="20.149999999999999" customHeight="1" x14ac:dyDescent="0.35">
      <c r="A52" s="39"/>
      <c r="B52" s="40" t="s">
        <v>388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649</v>
      </c>
      <c r="AC52" s="7"/>
      <c r="AD52" s="28" t="str">
        <f t="shared" si="1"/>
        <v>(*''**''*''********)*</v>
      </c>
    </row>
    <row r="53" spans="1:30" ht="20.149999999999999" customHeight="1" x14ac:dyDescent="0.35">
      <c r="A53" s="39"/>
      <c r="B53" s="40" t="s">
        <v>391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654</v>
      </c>
      <c r="AC53" s="7"/>
      <c r="AD53" s="28" t="str">
        <f t="shared" si="1"/>
        <v>(*''**''*''********)*</v>
      </c>
    </row>
    <row r="54" spans="1:30" ht="20.149999999999999" customHeight="1" x14ac:dyDescent="0.35">
      <c r="A54" s="39"/>
      <c r="B54" s="40" t="s">
        <v>393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49999999999999" customHeight="1" x14ac:dyDescent="0.35">
      <c r="A55" s="39"/>
      <c r="B55" s="40" t="s">
        <v>396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658</v>
      </c>
      <c r="AC55" s="7"/>
      <c r="AD55" s="28" t="str">
        <f t="shared" si="1"/>
        <v>(*''**''*''********)*</v>
      </c>
    </row>
    <row r="56" spans="1:30" ht="20.149999999999999" customHeight="1" x14ac:dyDescent="0.35">
      <c r="A56" s="39"/>
      <c r="B56" s="40" t="s">
        <v>399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659</v>
      </c>
      <c r="AC56" s="7"/>
      <c r="AD56" s="28" t="str">
        <f t="shared" si="1"/>
        <v>(*''**''*''********)*</v>
      </c>
    </row>
    <row r="57" spans="1:30" ht="20.149999999999999" customHeight="1" x14ac:dyDescent="0.35">
      <c r="A57" s="39"/>
      <c r="B57" s="40" t="s">
        <v>401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49999999999999" customHeight="1" x14ac:dyDescent="0.35">
      <c r="A58" s="39"/>
      <c r="B58" s="40" t="s">
        <v>403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663</v>
      </c>
      <c r="AC58" s="7"/>
      <c r="AD58" s="28" t="str">
        <f t="shared" si="1"/>
        <v>(*''**''*''********)*</v>
      </c>
    </row>
    <row r="59" spans="1:30" ht="20.149999999999999" customHeight="1" x14ac:dyDescent="0.35">
      <c r="A59" s="39"/>
      <c r="B59" s="40" t="s">
        <v>406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49999999999999" customHeight="1" x14ac:dyDescent="0.35">
      <c r="A60" s="39"/>
      <c r="B60" s="40" t="s">
        <v>409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49999999999999" customHeight="1" x14ac:dyDescent="0.35">
      <c r="A61" s="39"/>
      <c r="B61" s="40" t="s">
        <v>411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667</v>
      </c>
      <c r="AC61" s="7"/>
      <c r="AD61" s="28" t="str">
        <f t="shared" si="1"/>
        <v>(*''**''*''********)*</v>
      </c>
    </row>
    <row r="62" spans="1:30" ht="20.149999999999999" customHeight="1" x14ac:dyDescent="0.35">
      <c r="A62" s="39"/>
      <c r="B62" s="40" t="s">
        <v>414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670</v>
      </c>
      <c r="AC62" s="7"/>
      <c r="AD62" s="28" t="str">
        <f t="shared" si="1"/>
        <v>(*''**''*''********)*</v>
      </c>
    </row>
    <row r="63" spans="1:30" ht="20.149999999999999" customHeight="1" x14ac:dyDescent="0.35">
      <c r="A63" s="39"/>
      <c r="B63" s="40" t="s">
        <v>416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49999999999999" customHeight="1" x14ac:dyDescent="0.35">
      <c r="A64" s="39"/>
      <c r="B64" s="40" t="s">
        <v>418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675</v>
      </c>
      <c r="AC64" s="7"/>
      <c r="AD64" s="28" t="str">
        <f t="shared" si="1"/>
        <v>(*''**''*''********)*</v>
      </c>
    </row>
    <row r="65" spans="1:30" ht="20.149999999999999" customHeight="1" x14ac:dyDescent="0.35">
      <c r="A65" s="39"/>
      <c r="B65" s="40" t="s">
        <v>422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677</v>
      </c>
      <c r="AC65" s="7"/>
      <c r="AD65" s="28" t="str">
        <f t="shared" si="1"/>
        <v>(*''**''*''********)*</v>
      </c>
    </row>
    <row r="66" spans="1:30" ht="20.149999999999999" customHeight="1" x14ac:dyDescent="0.35">
      <c r="A66" s="39"/>
      <c r="B66" s="40" t="s">
        <v>426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49999999999999" customHeight="1" x14ac:dyDescent="0.35">
      <c r="A67" s="39"/>
      <c r="B67" s="40" t="s">
        <v>429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49999999999999" customHeight="1" x14ac:dyDescent="0.35">
      <c r="A68" s="39"/>
      <c r="B68" s="40" t="s">
        <v>431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684</v>
      </c>
      <c r="AC68" s="7"/>
      <c r="AD68" s="28" t="str">
        <f t="shared" si="1"/>
        <v>(*''**''*''********)*</v>
      </c>
    </row>
    <row r="69" spans="1:30" ht="20.149999999999999" customHeight="1" x14ac:dyDescent="0.35">
      <c r="A69" s="39"/>
      <c r="B69" s="40" t="s">
        <v>434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49999999999999" customHeight="1" x14ac:dyDescent="0.35">
      <c r="A70" s="39"/>
      <c r="B70" s="40" t="s">
        <v>437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49999999999999" customHeight="1" x14ac:dyDescent="0.35">
      <c r="A71" s="39"/>
      <c r="B71" s="40" t="s">
        <v>439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692</v>
      </c>
      <c r="AC71" s="7"/>
      <c r="AD71" s="28" t="str">
        <f t="shared" si="1"/>
        <v>(*''**''*''********)*</v>
      </c>
    </row>
    <row r="72" spans="1:30" ht="20.149999999999999" customHeight="1" x14ac:dyDescent="0.35">
      <c r="A72" s="39"/>
      <c r="B72" s="40" t="s">
        <v>442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694</v>
      </c>
      <c r="AC72" s="7"/>
      <c r="AD72" s="28" t="str">
        <f t="shared" si="1"/>
        <v>(*''**''*''********)*</v>
      </c>
    </row>
    <row r="73" spans="1:30" ht="20.149999999999999" customHeight="1" x14ac:dyDescent="0.35">
      <c r="A73" s="39"/>
      <c r="B73" s="40" t="s">
        <v>445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49999999999999" customHeight="1" x14ac:dyDescent="0.35">
      <c r="A74" s="39"/>
      <c r="B74" s="40" t="s">
        <v>447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670</v>
      </c>
      <c r="AC74" s="7"/>
      <c r="AD74" s="28" t="str">
        <f t="shared" si="1"/>
        <v>(*''**''*''********)*</v>
      </c>
    </row>
    <row r="75" spans="1:30" ht="20.149999999999999" customHeight="1" x14ac:dyDescent="0.35">
      <c r="A75" s="39"/>
      <c r="B75" s="40" t="s">
        <v>449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701</v>
      </c>
      <c r="AC75" s="7"/>
      <c r="AD75" s="28" t="str">
        <f t="shared" si="1"/>
        <v>(*''**''*''********)*</v>
      </c>
    </row>
    <row r="76" spans="1:30" ht="20.149999999999999" customHeight="1" x14ac:dyDescent="0.35">
      <c r="A76" s="39"/>
      <c r="B76" s="40" t="s">
        <v>452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670</v>
      </c>
      <c r="AC76" s="7"/>
      <c r="AD76" s="28" t="str">
        <f t="shared" si="1"/>
        <v>(*''**''*''********)*</v>
      </c>
    </row>
    <row r="77" spans="1:30" ht="20.149999999999999" customHeight="1" x14ac:dyDescent="0.35">
      <c r="A77" s="39"/>
      <c r="B77" s="40" t="s">
        <v>455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49999999999999" customHeight="1" x14ac:dyDescent="0.35">
      <c r="A78" s="39"/>
      <c r="B78" s="40" t="s">
        <v>458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633</v>
      </c>
      <c r="AC78" s="7"/>
      <c r="AD78" s="28" t="str">
        <f t="shared" si="1"/>
        <v>(*''**''*''********)*</v>
      </c>
    </row>
    <row r="79" spans="1:30" ht="20.149999999999999" customHeight="1" x14ac:dyDescent="0.35">
      <c r="A79" s="39"/>
      <c r="B79" s="40" t="s">
        <v>460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649</v>
      </c>
      <c r="AC79" s="7"/>
      <c r="AD79" s="28" t="str">
        <f t="shared" si="1"/>
        <v>(*''**''*''********)*</v>
      </c>
    </row>
    <row r="80" spans="1:30" ht="20.149999999999999" customHeight="1" x14ac:dyDescent="0.35">
      <c r="A80" s="39"/>
      <c r="B80" s="40" t="s">
        <v>463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636</v>
      </c>
      <c r="AC80" s="7"/>
      <c r="AD80" s="28" t="str">
        <f t="shared" si="1"/>
        <v>(*''**''*''********)*</v>
      </c>
    </row>
    <row r="81" spans="1:30" ht="20.149999999999999" customHeight="1" x14ac:dyDescent="0.35">
      <c r="A81" s="39"/>
      <c r="B81" s="40" t="s">
        <v>465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711</v>
      </c>
      <c r="AC81" s="7"/>
      <c r="AD81" s="28" t="str">
        <f t="shared" si="1"/>
        <v>(*''**''*''********)*</v>
      </c>
    </row>
    <row r="82" spans="1:30" ht="20.149999999999999" customHeight="1" x14ac:dyDescent="0.35">
      <c r="A82" s="39"/>
      <c r="B82" s="40" t="s">
        <v>468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713</v>
      </c>
      <c r="AC82" s="7"/>
      <c r="AD82" s="28" t="str">
        <f t="shared" si="1"/>
        <v>(*''**''*''********)*</v>
      </c>
    </row>
  </sheetData>
  <autoFilter ref="A1:Z82" xr:uid="{00000000-0009-0000-0000-000002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237"/>
  <sheetViews>
    <sheetView zoomScaleNormal="100" workbookViewId="0">
      <selection activeCell="L144" sqref="L144"/>
    </sheetView>
  </sheetViews>
  <sheetFormatPr baseColWidth="10" defaultColWidth="10.81640625" defaultRowHeight="15.5" x14ac:dyDescent="0.35"/>
  <cols>
    <col min="1" max="1" width="6.9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6328125" style="2" customWidth="1"/>
    <col min="10" max="10" width="15.54296875" style="2" customWidth="1"/>
    <col min="11" max="12" width="10.632812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716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 t="str">
        <f>CONCATENATE("PS-",TEXT(A3,"00"),"-",I3)</f>
        <v>PS-01-OZ1</v>
      </c>
      <c r="C3" s="52" t="str">
        <f>CONCATENATE("Poste de Sectionnement n°",TEXT(A3,"00")," ",I3)</f>
        <v>Poste de Sectionnement n°01 OZ1</v>
      </c>
      <c r="D3" s="19">
        <v>24053</v>
      </c>
      <c r="E3" s="19">
        <v>24053</v>
      </c>
      <c r="F3" s="42"/>
      <c r="G3" s="42"/>
      <c r="H3" s="42"/>
      <c r="I3" s="42" t="s">
        <v>324</v>
      </c>
      <c r="J3" s="42" t="s">
        <v>748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769</v>
      </c>
      <c r="N3" s="52" t="str">
        <f t="shared" ref="N3:N15" si="0">CONCATENATE("(",A3,",'",B3,"','",C3,"','",TEXT(D3,"aaaa-mm-jj"),"','",TEXT(E3,"aaaa-mm-jj"),"',",F3,",",G3,",",H3,"),")</f>
        <v>(1,'PS-01-OZ1','Poste de Sectionnement n°01 OZ1','1965-11-07','1965-11-07',,,),</v>
      </c>
    </row>
    <row r="4" spans="1:14" ht="20.149999999999999" customHeight="1" x14ac:dyDescent="0.35">
      <c r="A4" s="39">
        <v>2</v>
      </c>
      <c r="B4" s="48" t="str">
        <f t="shared" ref="B4:B49" si="1">CONCATENATE("PS-",TEXT(A4,"00"),"-",I4)</f>
        <v>PS-02-OZ1</v>
      </c>
      <c r="C4" s="52" t="str">
        <f t="shared" ref="C4:C49" si="2">CONCATENATE("Poste de Sectionnement n°",TEXT(A4,"00")," ",I4)</f>
        <v>Poste de Sectionnement n°02 OZ1</v>
      </c>
      <c r="D4" s="19">
        <v>24053</v>
      </c>
      <c r="E4" s="19">
        <v>24053</v>
      </c>
      <c r="F4" s="42"/>
      <c r="G4" s="42"/>
      <c r="H4" s="42"/>
      <c r="I4" s="42" t="s">
        <v>324</v>
      </c>
      <c r="J4" s="42" t="s">
        <v>749</v>
      </c>
      <c r="K4" s="53">
        <f t="shared" ref="K4:K23" si="3">VALUE(RIGHT(J4,LEN(J4)-SEARCH("/",J4)))</f>
        <v>150</v>
      </c>
      <c r="L4" s="44">
        <f t="shared" ref="L4:L23" si="4">VALUE(SUBSTITUTE(LEFT(J4,SEARCH("/",J4)-1),"+",","))</f>
        <v>44.2</v>
      </c>
      <c r="M4" s="42" t="s">
        <v>770</v>
      </c>
      <c r="N4" s="52" t="str">
        <f t="shared" si="0"/>
        <v>(2,'PS-02-OZ1','Poste de Sectionnement n°02 OZ1','1965-11-07','1965-11-07',,,),</v>
      </c>
    </row>
    <row r="5" spans="1:14" ht="20.149999999999999" customHeight="1" x14ac:dyDescent="0.35">
      <c r="A5" s="39">
        <v>3</v>
      </c>
      <c r="B5" s="48" t="str">
        <f t="shared" si="1"/>
        <v>PS-03-OZ1</v>
      </c>
      <c r="C5" s="52" t="str">
        <f t="shared" si="2"/>
        <v>Poste de Sectionnement n°03 OZ1</v>
      </c>
      <c r="D5" s="19">
        <v>24053</v>
      </c>
      <c r="E5" s="19">
        <v>24053</v>
      </c>
      <c r="F5" s="42"/>
      <c r="G5" s="42"/>
      <c r="H5" s="42"/>
      <c r="I5" s="42" t="s">
        <v>324</v>
      </c>
      <c r="J5" s="42" t="s">
        <v>750</v>
      </c>
      <c r="K5" s="53">
        <f t="shared" si="3"/>
        <v>210</v>
      </c>
      <c r="L5" s="44">
        <f t="shared" si="4"/>
        <v>72</v>
      </c>
      <c r="M5" s="42" t="s">
        <v>771</v>
      </c>
      <c r="N5" s="52" t="str">
        <f t="shared" si="0"/>
        <v>(3,'PS-03-OZ1','Poste de Sectionnement n°03 OZ1','1965-11-07','1965-11-07',,,),</v>
      </c>
    </row>
    <row r="6" spans="1:14" ht="20.149999999999999" customHeight="1" x14ac:dyDescent="0.35">
      <c r="A6" s="39">
        <v>4</v>
      </c>
      <c r="B6" s="48" t="str">
        <f t="shared" si="1"/>
        <v>PS-04-OZ1</v>
      </c>
      <c r="C6" s="52" t="str">
        <f t="shared" si="2"/>
        <v>Poste de Sectionnement n°04 OZ1</v>
      </c>
      <c r="D6" s="19">
        <v>24053</v>
      </c>
      <c r="E6" s="19">
        <v>24053</v>
      </c>
      <c r="F6" s="42"/>
      <c r="G6" s="42"/>
      <c r="H6" s="42"/>
      <c r="I6" s="42" t="s">
        <v>324</v>
      </c>
      <c r="J6" s="42" t="s">
        <v>751</v>
      </c>
      <c r="K6" s="53">
        <f t="shared" si="3"/>
        <v>295</v>
      </c>
      <c r="L6" s="44">
        <f t="shared" si="4"/>
        <v>145.47300000000001</v>
      </c>
      <c r="M6" s="42" t="s">
        <v>772</v>
      </c>
      <c r="N6" s="52" t="str">
        <f t="shared" si="0"/>
        <v>(4,'PS-04-OZ1','Poste de Sectionnement n°04 OZ1','1965-11-07','1965-11-07',,,),</v>
      </c>
    </row>
    <row r="7" spans="1:14" ht="20.149999999999999" customHeight="1" x14ac:dyDescent="0.35">
      <c r="A7" s="39">
        <v>5</v>
      </c>
      <c r="B7" s="48" t="str">
        <f t="shared" si="1"/>
        <v>PS-05-OZ1</v>
      </c>
      <c r="C7" s="52" t="str">
        <f t="shared" si="2"/>
        <v>Poste de Sectionnement n°05 OZ1</v>
      </c>
      <c r="D7" s="19">
        <v>24053</v>
      </c>
      <c r="E7" s="19">
        <v>24053</v>
      </c>
      <c r="F7" s="42"/>
      <c r="G7" s="42"/>
      <c r="H7" s="42"/>
      <c r="I7" s="42" t="s">
        <v>324</v>
      </c>
      <c r="J7" s="42" t="s">
        <v>752</v>
      </c>
      <c r="K7" s="53">
        <f t="shared" si="3"/>
        <v>365</v>
      </c>
      <c r="L7" s="44">
        <f t="shared" si="4"/>
        <v>184.2</v>
      </c>
      <c r="M7" s="42" t="s">
        <v>773</v>
      </c>
      <c r="N7" s="52" t="str">
        <f t="shared" si="0"/>
        <v>(5,'PS-05-OZ1','Poste de Sectionnement n°05 OZ1','1965-11-07','1965-11-07',,,),</v>
      </c>
    </row>
    <row r="8" spans="1:14" ht="20.149999999999999" customHeight="1" x14ac:dyDescent="0.35">
      <c r="A8" s="39">
        <v>6</v>
      </c>
      <c r="B8" s="48" t="str">
        <f t="shared" si="1"/>
        <v>PS-06-OZ1</v>
      </c>
      <c r="C8" s="52" t="str">
        <f t="shared" si="2"/>
        <v>Poste de Sectionnement n°06 OZ1</v>
      </c>
      <c r="D8" s="19">
        <v>24053</v>
      </c>
      <c r="E8" s="19">
        <v>24053</v>
      </c>
      <c r="F8" s="42"/>
      <c r="G8" s="42"/>
      <c r="H8" s="42"/>
      <c r="I8" s="42" t="s">
        <v>324</v>
      </c>
      <c r="J8" s="42" t="s">
        <v>753</v>
      </c>
      <c r="K8" s="53">
        <f t="shared" si="3"/>
        <v>562</v>
      </c>
      <c r="L8" s="44">
        <f t="shared" si="4"/>
        <v>236.47499999999999</v>
      </c>
      <c r="M8" s="42" t="s">
        <v>774</v>
      </c>
      <c r="N8" s="52" t="str">
        <f t="shared" si="0"/>
        <v>(6,'PS-06-OZ1','Poste de Sectionnement n°06 OZ1','1965-11-07','1965-11-07',,,),</v>
      </c>
    </row>
    <row r="9" spans="1:14" ht="20.149999999999999" customHeight="1" x14ac:dyDescent="0.35">
      <c r="A9" s="39">
        <v>7</v>
      </c>
      <c r="B9" s="48" t="str">
        <f t="shared" si="1"/>
        <v>PS-07-OZ1</v>
      </c>
      <c r="C9" s="52" t="str">
        <f t="shared" si="2"/>
        <v>Poste de Sectionnement n°07 OZ1</v>
      </c>
      <c r="D9" s="19">
        <v>24053</v>
      </c>
      <c r="E9" s="19">
        <v>24053</v>
      </c>
      <c r="F9" s="42"/>
      <c r="G9" s="42"/>
      <c r="H9" s="42"/>
      <c r="I9" s="42" t="s">
        <v>324</v>
      </c>
      <c r="J9" s="42" t="s">
        <v>754</v>
      </c>
      <c r="K9" s="53">
        <f t="shared" si="3"/>
        <v>631</v>
      </c>
      <c r="L9" s="44">
        <f t="shared" si="4"/>
        <v>256</v>
      </c>
      <c r="M9" s="42" t="s">
        <v>775</v>
      </c>
      <c r="N9" s="52" t="str">
        <f t="shared" si="0"/>
        <v>(7,'PS-07-OZ1','Poste de Sectionnement n°07 OZ1','1965-11-07','1965-11-07',,,),</v>
      </c>
    </row>
    <row r="10" spans="1:14" ht="20.149999999999999" customHeight="1" x14ac:dyDescent="0.35">
      <c r="A10" s="39">
        <v>8</v>
      </c>
      <c r="B10" s="48" t="str">
        <f t="shared" si="1"/>
        <v>PS-08-OZ1</v>
      </c>
      <c r="C10" s="52" t="str">
        <f t="shared" si="2"/>
        <v>Poste de Sectionnement n°08 OZ1</v>
      </c>
      <c r="D10" s="19">
        <v>24053</v>
      </c>
      <c r="E10" s="19">
        <v>24053</v>
      </c>
      <c r="F10" s="42"/>
      <c r="G10" s="42"/>
      <c r="H10" s="42"/>
      <c r="I10" s="42" t="s">
        <v>324</v>
      </c>
      <c r="J10" s="42" t="s">
        <v>755</v>
      </c>
      <c r="K10" s="53">
        <f t="shared" si="3"/>
        <v>762</v>
      </c>
      <c r="L10" s="44">
        <f t="shared" si="4"/>
        <v>328.04700000000003</v>
      </c>
      <c r="M10" s="42" t="s">
        <v>776</v>
      </c>
      <c r="N10" s="52" t="str">
        <f t="shared" si="0"/>
        <v>(8,'PS-08-OZ1','Poste de Sectionnement n°08 OZ1','1965-11-07','1965-11-07',,,),</v>
      </c>
    </row>
    <row r="11" spans="1:14" ht="20.149999999999999" customHeight="1" x14ac:dyDescent="0.35">
      <c r="A11" s="39">
        <v>9</v>
      </c>
      <c r="B11" s="48" t="str">
        <f t="shared" si="1"/>
        <v>PS-09-OZ1</v>
      </c>
      <c r="C11" s="52" t="str">
        <f t="shared" si="2"/>
        <v>Poste de Sectionnement n°09 OZ1</v>
      </c>
      <c r="D11" s="19">
        <v>24053</v>
      </c>
      <c r="E11" s="19">
        <v>24053</v>
      </c>
      <c r="F11" s="42"/>
      <c r="G11" s="42"/>
      <c r="H11" s="42"/>
      <c r="I11" s="42" t="s">
        <v>324</v>
      </c>
      <c r="J11" s="42" t="s">
        <v>756</v>
      </c>
      <c r="K11" s="53">
        <f t="shared" si="3"/>
        <v>1275</v>
      </c>
      <c r="L11" s="44">
        <f t="shared" si="4"/>
        <v>466.9</v>
      </c>
      <c r="M11" s="42" t="s">
        <v>777</v>
      </c>
      <c r="N11" s="52" t="str">
        <f t="shared" si="0"/>
        <v>(9,'PS-09-OZ1','Poste de Sectionnement n°09 OZ1','1965-11-07','1965-11-07',,,),</v>
      </c>
    </row>
    <row r="12" spans="1:14" ht="20.149999999999999" customHeight="1" x14ac:dyDescent="0.35">
      <c r="A12" s="39">
        <v>10</v>
      </c>
      <c r="B12" s="48" t="str">
        <f t="shared" si="1"/>
        <v>PS-10-OZ1</v>
      </c>
      <c r="C12" s="52" t="str">
        <f t="shared" si="2"/>
        <v>Poste de Sectionnement n°10 OZ1</v>
      </c>
      <c r="D12" s="19">
        <v>24053</v>
      </c>
      <c r="E12" s="19">
        <v>24053</v>
      </c>
      <c r="F12" s="42"/>
      <c r="G12" s="42"/>
      <c r="H12" s="42"/>
      <c r="I12" s="42" t="s">
        <v>324</v>
      </c>
      <c r="J12" s="42" t="s">
        <v>757</v>
      </c>
      <c r="K12" s="53">
        <f t="shared" si="3"/>
        <v>1083</v>
      </c>
      <c r="L12" s="44">
        <f t="shared" si="4"/>
        <v>489.91500000000002</v>
      </c>
      <c r="M12" s="42" t="s">
        <v>778</v>
      </c>
      <c r="N12" s="52" t="str">
        <f t="shared" si="0"/>
        <v>(10,'PS-10-OZ1','Poste de Sectionnement n°10 OZ1','1965-11-07','1965-11-07',,,),</v>
      </c>
    </row>
    <row r="13" spans="1:14" ht="20.149999999999999" customHeight="1" x14ac:dyDescent="0.35">
      <c r="A13" s="39">
        <v>11</v>
      </c>
      <c r="B13" s="48" t="str">
        <f t="shared" si="1"/>
        <v>PS-11-OZ1</v>
      </c>
      <c r="C13" s="52" t="str">
        <f t="shared" si="2"/>
        <v>Poste de Sectionnement n°11 OZ1</v>
      </c>
      <c r="D13" s="19">
        <v>24053</v>
      </c>
      <c r="E13" s="19">
        <v>24053</v>
      </c>
      <c r="F13" s="42"/>
      <c r="G13" s="42"/>
      <c r="H13" s="42"/>
      <c r="I13" s="42" t="s">
        <v>324</v>
      </c>
      <c r="J13" s="42" t="s">
        <v>758</v>
      </c>
      <c r="K13" s="53">
        <f t="shared" si="3"/>
        <v>970</v>
      </c>
      <c r="L13" s="44">
        <f t="shared" si="4"/>
        <v>533.94000000000005</v>
      </c>
      <c r="M13" s="42" t="s">
        <v>779</v>
      </c>
      <c r="N13" s="52" t="str">
        <f t="shared" si="0"/>
        <v>(11,'PS-11-OZ1','Poste de Sectionnement n°11 OZ1','1965-11-07','1965-11-07',,,),</v>
      </c>
    </row>
    <row r="14" spans="1:14" ht="20.149999999999999" customHeight="1" x14ac:dyDescent="0.35">
      <c r="A14" s="39">
        <v>12</v>
      </c>
      <c r="B14" s="48" t="str">
        <f t="shared" si="1"/>
        <v>PS-12-OZ1</v>
      </c>
      <c r="C14" s="52" t="str">
        <f t="shared" si="2"/>
        <v>Poste de Sectionnement n°12 OZ1</v>
      </c>
      <c r="D14" s="19">
        <v>24053</v>
      </c>
      <c r="E14" s="19">
        <v>24053</v>
      </c>
      <c r="F14" s="42"/>
      <c r="G14" s="42"/>
      <c r="H14" s="42"/>
      <c r="I14" s="42" t="s">
        <v>324</v>
      </c>
      <c r="J14" s="42" t="s">
        <v>759</v>
      </c>
      <c r="K14" s="53">
        <f t="shared" si="3"/>
        <v>970</v>
      </c>
      <c r="L14" s="44">
        <f t="shared" si="4"/>
        <v>534.05999999999995</v>
      </c>
      <c r="M14" s="42" t="s">
        <v>779</v>
      </c>
      <c r="N14" s="52" t="str">
        <f t="shared" si="0"/>
        <v>(12,'PS-12-OZ1','Poste de Sectionnement n°12 OZ1','1965-11-07','1965-11-07',,,),</v>
      </c>
    </row>
    <row r="15" spans="1:14" ht="20.149999999999999" customHeight="1" x14ac:dyDescent="0.35">
      <c r="A15" s="39">
        <v>13</v>
      </c>
      <c r="B15" s="48" t="str">
        <f t="shared" si="1"/>
        <v>PS-13-OZ1</v>
      </c>
      <c r="C15" s="52" t="str">
        <f t="shared" si="2"/>
        <v>Poste de Sectionnement n°13 OZ1</v>
      </c>
      <c r="D15" s="19">
        <v>24053</v>
      </c>
      <c r="E15" s="19">
        <v>24053</v>
      </c>
      <c r="F15" s="42"/>
      <c r="G15" s="42"/>
      <c r="H15" s="42"/>
      <c r="I15" s="42" t="s">
        <v>324</v>
      </c>
      <c r="J15" s="42" t="s">
        <v>760</v>
      </c>
      <c r="K15" s="53">
        <f t="shared" si="3"/>
        <v>1100</v>
      </c>
      <c r="L15" s="44">
        <f t="shared" si="4"/>
        <v>552.12199999999996</v>
      </c>
      <c r="M15" s="42" t="s">
        <v>780</v>
      </c>
      <c r="N15" s="52" t="str">
        <f t="shared" si="0"/>
        <v>(13,'PS-13-OZ1','Poste de Sectionnement n°13 OZ1','1965-11-07','1965-11-07',,,),</v>
      </c>
    </row>
    <row r="16" spans="1:14" ht="20.149999999999999" customHeight="1" x14ac:dyDescent="0.35">
      <c r="A16" s="39">
        <v>14</v>
      </c>
      <c r="B16" s="48" t="str">
        <f t="shared" si="1"/>
        <v>PS-14-OZ1</v>
      </c>
      <c r="C16" s="52" t="str">
        <f t="shared" si="2"/>
        <v>Poste de Sectionnement n°14 OZ1</v>
      </c>
      <c r="D16" s="19">
        <v>24053</v>
      </c>
      <c r="E16" s="19">
        <v>24053</v>
      </c>
      <c r="F16" s="42"/>
      <c r="G16" s="42"/>
      <c r="H16" s="42"/>
      <c r="I16" s="42" t="s">
        <v>324</v>
      </c>
      <c r="J16" s="42" t="s">
        <v>761</v>
      </c>
      <c r="K16" s="53">
        <f t="shared" si="3"/>
        <v>1100</v>
      </c>
      <c r="L16" s="44">
        <f t="shared" si="4"/>
        <v>611.375</v>
      </c>
      <c r="M16" s="42" t="s">
        <v>781</v>
      </c>
      <c r="N16" s="52" t="str">
        <f t="shared" ref="N16:N76" si="5">CONCATENATE("(",A16,",'",B16,"','",C16,"','",TEXT(D16,"aaaa-mm-jj"),"','",TEXT(E16,"aaaa-mm-jj"),"',",F16,",",G16,",",H16,"),")</f>
        <v>(14,'PS-14-OZ1','Poste de Sectionnement n°14 OZ1','1965-11-07','1965-11-07',,,),</v>
      </c>
    </row>
    <row r="17" spans="1:14" ht="20.149999999999999" customHeight="1" x14ac:dyDescent="0.35">
      <c r="A17" s="39">
        <v>15</v>
      </c>
      <c r="B17" s="48" t="str">
        <f t="shared" si="1"/>
        <v>PS-15-OZ1</v>
      </c>
      <c r="C17" s="52" t="str">
        <f t="shared" si="2"/>
        <v>Poste de Sectionnement n°15 OZ1</v>
      </c>
      <c r="D17" s="19">
        <v>24053</v>
      </c>
      <c r="E17" s="19">
        <v>24053</v>
      </c>
      <c r="F17" s="42"/>
      <c r="G17" s="42"/>
      <c r="H17" s="42"/>
      <c r="I17" s="42" t="s">
        <v>324</v>
      </c>
      <c r="J17" s="42" t="s">
        <v>762</v>
      </c>
      <c r="K17" s="53">
        <f t="shared" si="3"/>
        <v>758</v>
      </c>
      <c r="L17" s="44">
        <f t="shared" si="4"/>
        <v>648</v>
      </c>
      <c r="M17" s="42" t="s">
        <v>782</v>
      </c>
      <c r="N17" s="52" t="str">
        <f t="shared" si="5"/>
        <v>(15,'PS-15-OZ1','Poste de Sectionnement n°15 OZ1','1965-11-07','1965-11-07',,,),</v>
      </c>
    </row>
    <row r="18" spans="1:14" ht="20.149999999999999" customHeight="1" x14ac:dyDescent="0.35">
      <c r="A18" s="39">
        <v>16</v>
      </c>
      <c r="B18" s="48" t="str">
        <f t="shared" si="1"/>
        <v>PS-16-OZ1</v>
      </c>
      <c r="C18" s="52" t="str">
        <f t="shared" si="2"/>
        <v>Poste de Sectionnement n°16 OZ1</v>
      </c>
      <c r="D18" s="19">
        <v>24053</v>
      </c>
      <c r="E18" s="19">
        <v>24053</v>
      </c>
      <c r="F18" s="42"/>
      <c r="G18" s="42"/>
      <c r="H18" s="42"/>
      <c r="I18" s="42" t="s">
        <v>324</v>
      </c>
      <c r="J18" s="42" t="s">
        <v>763</v>
      </c>
      <c r="K18" s="53">
        <f t="shared" si="3"/>
        <v>620</v>
      </c>
      <c r="L18" s="44">
        <f t="shared" si="4"/>
        <v>669.30200000000002</v>
      </c>
      <c r="M18" s="42" t="s">
        <v>783</v>
      </c>
      <c r="N18" s="52" t="str">
        <f t="shared" si="5"/>
        <v>(16,'PS-16-OZ1','Poste de Sectionnement n°16 OZ1','1965-11-07','1965-11-07',,,),</v>
      </c>
    </row>
    <row r="19" spans="1:14" ht="20.149999999999999" customHeight="1" x14ac:dyDescent="0.35">
      <c r="A19" s="39">
        <v>17</v>
      </c>
      <c r="B19" s="48" t="str">
        <f t="shared" si="1"/>
        <v>PS-17-OZ1</v>
      </c>
      <c r="C19" s="52" t="str">
        <f t="shared" si="2"/>
        <v>Poste de Sectionnement n°17 OZ1</v>
      </c>
      <c r="D19" s="19">
        <v>24053</v>
      </c>
      <c r="E19" s="19">
        <v>24053</v>
      </c>
      <c r="F19" s="42"/>
      <c r="G19" s="42"/>
      <c r="H19" s="42"/>
      <c r="I19" s="42" t="s">
        <v>324</v>
      </c>
      <c r="J19" s="42" t="s">
        <v>764</v>
      </c>
      <c r="K19" s="53">
        <f t="shared" si="3"/>
        <v>270</v>
      </c>
      <c r="L19" s="44">
        <f t="shared" si="4"/>
        <v>701.54399999999998</v>
      </c>
      <c r="M19" s="42" t="s">
        <v>784</v>
      </c>
      <c r="N19" s="52" t="str">
        <f t="shared" si="5"/>
        <v>(17,'PS-17-OZ1','Poste de Sectionnement n°17 OZ1','1965-11-07','1965-11-07',,,),</v>
      </c>
    </row>
    <row r="20" spans="1:14" ht="20.149999999999999" customHeight="1" x14ac:dyDescent="0.35">
      <c r="A20" s="39">
        <v>18</v>
      </c>
      <c r="B20" s="48" t="str">
        <f t="shared" si="1"/>
        <v>PS-18-OZ1</v>
      </c>
      <c r="C20" s="52" t="str">
        <f t="shared" si="2"/>
        <v>Poste de Sectionnement n°18 OZ1</v>
      </c>
      <c r="D20" s="19">
        <v>24053</v>
      </c>
      <c r="E20" s="19">
        <v>24053</v>
      </c>
      <c r="F20" s="42"/>
      <c r="G20" s="42"/>
      <c r="H20" s="42"/>
      <c r="I20" s="42" t="s">
        <v>324</v>
      </c>
      <c r="J20" s="42" t="s">
        <v>765</v>
      </c>
      <c r="K20" s="53">
        <f t="shared" si="3"/>
        <v>87</v>
      </c>
      <c r="L20" s="44">
        <f t="shared" si="4"/>
        <v>715.88499999999999</v>
      </c>
      <c r="M20" s="42" t="s">
        <v>785</v>
      </c>
      <c r="N20" s="52" t="str">
        <f t="shared" si="5"/>
        <v>(18,'PS-18-OZ1','Poste de Sectionnement n°18 OZ1','1965-11-07','1965-11-07',,,),</v>
      </c>
    </row>
    <row r="21" spans="1:14" ht="20.149999999999999" customHeight="1" x14ac:dyDescent="0.35">
      <c r="A21" s="39">
        <v>19</v>
      </c>
      <c r="B21" s="48" t="str">
        <f t="shared" si="1"/>
        <v>PS-19-OZ1</v>
      </c>
      <c r="C21" s="52" t="str">
        <f t="shared" si="2"/>
        <v>Poste de Sectionnement n°19 OZ1</v>
      </c>
      <c r="D21" s="19">
        <v>24053</v>
      </c>
      <c r="E21" s="19">
        <v>24053</v>
      </c>
      <c r="F21" s="42"/>
      <c r="G21" s="42"/>
      <c r="H21" s="42"/>
      <c r="I21" s="42" t="s">
        <v>324</v>
      </c>
      <c r="J21" s="42" t="s">
        <v>766</v>
      </c>
      <c r="K21" s="53">
        <f t="shared" si="3"/>
        <v>25</v>
      </c>
      <c r="L21" s="44">
        <f t="shared" si="4"/>
        <v>758.279</v>
      </c>
      <c r="M21" s="42" t="s">
        <v>786</v>
      </c>
      <c r="N21" s="52" t="str">
        <f t="shared" si="5"/>
        <v>(19,'PS-19-OZ1','Poste de Sectionnement n°19 OZ1','1965-11-07','1965-11-07',,,),</v>
      </c>
    </row>
    <row r="22" spans="1:14" ht="20.149999999999999" customHeight="1" x14ac:dyDescent="0.35">
      <c r="A22" s="39">
        <v>20</v>
      </c>
      <c r="B22" s="48" t="str">
        <f t="shared" si="1"/>
        <v>PS-20-OZ1</v>
      </c>
      <c r="C22" s="52" t="str">
        <f t="shared" si="2"/>
        <v>Poste de Sectionnement n°20 OZ1</v>
      </c>
      <c r="D22" s="19">
        <v>24053</v>
      </c>
      <c r="E22" s="19">
        <v>24053</v>
      </c>
      <c r="F22" s="42"/>
      <c r="G22" s="42"/>
      <c r="H22" s="42"/>
      <c r="I22" s="42" t="s">
        <v>324</v>
      </c>
      <c r="J22" s="42" t="s">
        <v>767</v>
      </c>
      <c r="K22" s="53">
        <f t="shared" si="3"/>
        <v>8</v>
      </c>
      <c r="L22" s="44">
        <f t="shared" si="4"/>
        <v>781.59400000000005</v>
      </c>
      <c r="M22" s="42" t="s">
        <v>786</v>
      </c>
      <c r="N22" s="52" t="str">
        <f t="shared" si="5"/>
        <v>(20,'PS-20-OZ1','Poste de Sectionnement n°20 OZ1','1965-11-07','1965-11-07',,,),</v>
      </c>
    </row>
    <row r="23" spans="1:14" ht="20.149999999999999" customHeight="1" x14ac:dyDescent="0.35">
      <c r="A23" s="39">
        <v>21</v>
      </c>
      <c r="B23" s="48" t="str">
        <f t="shared" si="1"/>
        <v>PS-21-OZ1</v>
      </c>
      <c r="C23" s="52" t="str">
        <f t="shared" si="2"/>
        <v>Poste de Sectionnement n°21 OZ1</v>
      </c>
      <c r="D23" s="19">
        <v>24053</v>
      </c>
      <c r="E23" s="19">
        <v>24053</v>
      </c>
      <c r="F23" s="42"/>
      <c r="G23" s="42"/>
      <c r="H23" s="42"/>
      <c r="I23" s="42" t="s">
        <v>324</v>
      </c>
      <c r="J23" s="42" t="s">
        <v>768</v>
      </c>
      <c r="K23" s="53">
        <f t="shared" si="3"/>
        <v>8</v>
      </c>
      <c r="L23" s="44">
        <f t="shared" si="4"/>
        <v>781.72</v>
      </c>
      <c r="M23" s="42" t="s">
        <v>787</v>
      </c>
      <c r="N23" s="52" t="str">
        <f t="shared" si="5"/>
        <v>(21,'PS-21-OZ1','Poste de Sectionnement n°21 OZ1','1965-11-07','1965-11-07',,,),</v>
      </c>
    </row>
    <row r="24" spans="1:14" ht="20.149999999999999" customHeight="1" x14ac:dyDescent="0.35">
      <c r="A24" s="39">
        <v>1</v>
      </c>
      <c r="B24" s="48" t="str">
        <f t="shared" si="1"/>
        <v>PS-01-OZ2</v>
      </c>
      <c r="C24" s="52" t="str">
        <f t="shared" si="2"/>
        <v>Poste de Sectionnement n°01 OZ2</v>
      </c>
      <c r="D24" s="19">
        <v>37851</v>
      </c>
      <c r="E24" s="19">
        <v>37851</v>
      </c>
      <c r="F24" s="42"/>
      <c r="G24" s="42"/>
      <c r="H24" s="42"/>
      <c r="I24" s="42" t="s">
        <v>326</v>
      </c>
      <c r="J24" s="42" t="s">
        <v>788</v>
      </c>
      <c r="K24" s="53">
        <f t="shared" ref="K24:K48" si="6">VALUE(RIGHT(J24,LEN(J24)-SEARCH("/",J24)))</f>
        <v>142</v>
      </c>
      <c r="L24" s="44">
        <f t="shared" ref="L24:L48" si="7">VALUE(SUBSTITUTE(LEFT(J24,SEARCH("/",J24)-1),"+",","))</f>
        <v>22</v>
      </c>
      <c r="M24" s="42" t="s">
        <v>813</v>
      </c>
      <c r="N24" s="52" t="str">
        <f t="shared" si="5"/>
        <v>(1,'PS-01-OZ2','Poste de Sectionnement n°01 OZ2','2003-08-18','2003-08-18',,,),</v>
      </c>
    </row>
    <row r="25" spans="1:14" ht="20.149999999999999" customHeight="1" x14ac:dyDescent="0.35">
      <c r="A25" s="39">
        <v>2</v>
      </c>
      <c r="B25" s="48" t="str">
        <f t="shared" si="1"/>
        <v>PS-02-OZ2</v>
      </c>
      <c r="C25" s="52" t="str">
        <f t="shared" si="2"/>
        <v>Poste de Sectionnement n°02 OZ2</v>
      </c>
      <c r="D25" s="19">
        <v>37851</v>
      </c>
      <c r="E25" s="19">
        <v>37851</v>
      </c>
      <c r="F25" s="42"/>
      <c r="G25" s="42"/>
      <c r="H25" s="42"/>
      <c r="I25" s="42" t="s">
        <v>326</v>
      </c>
      <c r="J25" s="42" t="s">
        <v>789</v>
      </c>
      <c r="K25" s="53">
        <f t="shared" si="6"/>
        <v>149</v>
      </c>
      <c r="L25" s="44">
        <f t="shared" si="7"/>
        <v>43.9</v>
      </c>
      <c r="M25" s="42" t="s">
        <v>814</v>
      </c>
      <c r="N25" s="52" t="str">
        <f t="shared" si="5"/>
        <v>(2,'PS-02-OZ2','Poste de Sectionnement n°02 OZ2','2003-08-18','2003-08-18',,,),</v>
      </c>
    </row>
    <row r="26" spans="1:14" ht="20.149999999999999" customHeight="1" x14ac:dyDescent="0.35">
      <c r="A26" s="39">
        <v>3</v>
      </c>
      <c r="B26" s="48" t="str">
        <f t="shared" si="1"/>
        <v>PS-03-OZ2</v>
      </c>
      <c r="C26" s="52" t="str">
        <f t="shared" si="2"/>
        <v>Poste de Sectionnement n°03 OZ2</v>
      </c>
      <c r="D26" s="19">
        <v>37851</v>
      </c>
      <c r="E26" s="19">
        <v>37851</v>
      </c>
      <c r="F26" s="42"/>
      <c r="G26" s="42"/>
      <c r="H26" s="42"/>
      <c r="I26" s="42" t="s">
        <v>326</v>
      </c>
      <c r="J26" s="42" t="s">
        <v>790</v>
      </c>
      <c r="K26" s="53">
        <f t="shared" si="6"/>
        <v>186</v>
      </c>
      <c r="L26" s="44">
        <f t="shared" si="7"/>
        <v>73</v>
      </c>
      <c r="M26" s="42" t="s">
        <v>772</v>
      </c>
      <c r="N26" s="52" t="str">
        <f t="shared" si="5"/>
        <v>(3,'PS-03-OZ2','Poste de Sectionnement n°03 OZ2','2003-08-18','2003-08-18',,,),</v>
      </c>
    </row>
    <row r="27" spans="1:14" ht="20.149999999999999" customHeight="1" x14ac:dyDescent="0.35">
      <c r="A27" s="39">
        <v>4</v>
      </c>
      <c r="B27" s="48" t="str">
        <f t="shared" si="1"/>
        <v>PS-04-OZ2</v>
      </c>
      <c r="C27" s="52" t="str">
        <f t="shared" si="2"/>
        <v>Poste de Sectionnement n°04 OZ2</v>
      </c>
      <c r="D27" s="19">
        <v>37851</v>
      </c>
      <c r="E27" s="19">
        <v>37851</v>
      </c>
      <c r="F27" s="42"/>
      <c r="G27" s="42"/>
      <c r="H27" s="42"/>
      <c r="I27" s="42" t="s">
        <v>326</v>
      </c>
      <c r="J27" s="42" t="s">
        <v>791</v>
      </c>
      <c r="K27" s="53">
        <f t="shared" si="6"/>
        <v>223</v>
      </c>
      <c r="L27" s="44">
        <f t="shared" si="7"/>
        <v>102</v>
      </c>
      <c r="M27" s="42" t="s">
        <v>772</v>
      </c>
      <c r="N27" s="52" t="str">
        <f t="shared" si="5"/>
        <v>(4,'PS-04-OZ2','Poste de Sectionnement n°04 OZ2','2003-08-18','2003-08-18',,,),</v>
      </c>
    </row>
    <row r="28" spans="1:14" ht="20.149999999999999" customHeight="1" x14ac:dyDescent="0.35">
      <c r="A28" s="39">
        <v>5</v>
      </c>
      <c r="B28" s="48" t="str">
        <f t="shared" si="1"/>
        <v>PS-05-OZ2</v>
      </c>
      <c r="C28" s="52" t="str">
        <f t="shared" si="2"/>
        <v>Poste de Sectionnement n°05 OZ2</v>
      </c>
      <c r="D28" s="19">
        <v>37851</v>
      </c>
      <c r="E28" s="19">
        <v>37851</v>
      </c>
      <c r="F28" s="42"/>
      <c r="G28" s="42"/>
      <c r="H28" s="42"/>
      <c r="I28" s="42" t="s">
        <v>326</v>
      </c>
      <c r="J28" s="42" t="s">
        <v>792</v>
      </c>
      <c r="K28" s="53">
        <f t="shared" si="6"/>
        <v>300</v>
      </c>
      <c r="L28" s="44">
        <f t="shared" si="7"/>
        <v>150</v>
      </c>
      <c r="M28" s="42" t="s">
        <v>772</v>
      </c>
      <c r="N28" s="52" t="str">
        <f t="shared" si="5"/>
        <v>(5,'PS-05-OZ2','Poste de Sectionnement n°05 OZ2','2003-08-18','2003-08-18',,,),</v>
      </c>
    </row>
    <row r="29" spans="1:14" ht="20.149999999999999" customHeight="1" x14ac:dyDescent="0.35">
      <c r="A29" s="39">
        <v>6</v>
      </c>
      <c r="B29" s="48" t="str">
        <f t="shared" si="1"/>
        <v>PS-06-OZ2</v>
      </c>
      <c r="C29" s="52" t="str">
        <f t="shared" si="2"/>
        <v>Poste de Sectionnement n°06 OZ2</v>
      </c>
      <c r="D29" s="19">
        <v>37851</v>
      </c>
      <c r="E29" s="19">
        <v>37851</v>
      </c>
      <c r="F29" s="42"/>
      <c r="G29" s="42"/>
      <c r="H29" s="42"/>
      <c r="I29" s="42" t="s">
        <v>326</v>
      </c>
      <c r="J29" s="42" t="s">
        <v>793</v>
      </c>
      <c r="K29" s="53">
        <f t="shared" si="6"/>
        <v>350</v>
      </c>
      <c r="L29" s="44">
        <f t="shared" si="7"/>
        <v>180</v>
      </c>
      <c r="M29" s="42" t="s">
        <v>815</v>
      </c>
      <c r="N29" s="52" t="str">
        <f t="shared" si="5"/>
        <v>(6,'PS-06-OZ2','Poste de Sectionnement n°06 OZ2','2003-08-18','2003-08-18',,,),</v>
      </c>
    </row>
    <row r="30" spans="1:14" ht="20.149999999999999" customHeight="1" x14ac:dyDescent="0.35">
      <c r="A30" s="39">
        <v>7</v>
      </c>
      <c r="B30" s="48" t="str">
        <f t="shared" si="1"/>
        <v>PS-07-OZ2</v>
      </c>
      <c r="C30" s="52" t="str">
        <f t="shared" si="2"/>
        <v>Poste de Sectionnement n°07 OZ2</v>
      </c>
      <c r="D30" s="19">
        <v>37851</v>
      </c>
      <c r="E30" s="19">
        <v>37851</v>
      </c>
      <c r="F30" s="42"/>
      <c r="G30" s="42"/>
      <c r="H30" s="42"/>
      <c r="I30" s="42" t="s">
        <v>326</v>
      </c>
      <c r="J30" s="42" t="s">
        <v>794</v>
      </c>
      <c r="K30" s="53">
        <f t="shared" si="6"/>
        <v>467</v>
      </c>
      <c r="L30" s="44">
        <f t="shared" si="7"/>
        <v>210</v>
      </c>
      <c r="M30" s="42" t="s">
        <v>816</v>
      </c>
      <c r="N30" s="52" t="str">
        <f t="shared" si="5"/>
        <v>(7,'PS-07-OZ2','Poste de Sectionnement n°07 OZ2','2003-08-18','2003-08-18',,,),</v>
      </c>
    </row>
    <row r="31" spans="1:14" ht="20.149999999999999" customHeight="1" x14ac:dyDescent="0.35">
      <c r="A31" s="39">
        <v>8</v>
      </c>
      <c r="B31" s="48" t="str">
        <f t="shared" si="1"/>
        <v>PS-08-OZ2</v>
      </c>
      <c r="C31" s="52" t="str">
        <f t="shared" si="2"/>
        <v>Poste de Sectionnement n°08 OZ2</v>
      </c>
      <c r="D31" s="19">
        <v>37851</v>
      </c>
      <c r="E31" s="19">
        <v>37851</v>
      </c>
      <c r="F31" s="42"/>
      <c r="G31" s="42"/>
      <c r="H31" s="42"/>
      <c r="I31" s="42" t="s">
        <v>326</v>
      </c>
      <c r="J31" s="42" t="s">
        <v>795</v>
      </c>
      <c r="K31" s="53">
        <f t="shared" si="6"/>
        <v>566</v>
      </c>
      <c r="L31" s="44">
        <f t="shared" si="7"/>
        <v>236.5</v>
      </c>
      <c r="M31" s="42" t="s">
        <v>774</v>
      </c>
      <c r="N31" s="52" t="str">
        <f t="shared" si="5"/>
        <v>(8,'PS-08-OZ2','Poste de Sectionnement n°08 OZ2','2003-08-18','2003-08-18',,,),</v>
      </c>
    </row>
    <row r="32" spans="1:14" ht="20.149999999999999" customHeight="1" x14ac:dyDescent="0.35">
      <c r="A32" s="39">
        <v>9</v>
      </c>
      <c r="B32" s="48" t="str">
        <f t="shared" si="1"/>
        <v>PS-09-OZ2</v>
      </c>
      <c r="C32" s="52" t="str">
        <f t="shared" si="2"/>
        <v>Poste de Sectionnement n°09 OZ2</v>
      </c>
      <c r="D32" s="19">
        <v>37851</v>
      </c>
      <c r="E32" s="19">
        <v>37851</v>
      </c>
      <c r="F32" s="42"/>
      <c r="G32" s="42"/>
      <c r="H32" s="42"/>
      <c r="I32" s="42" t="s">
        <v>326</v>
      </c>
      <c r="J32" s="42" t="s">
        <v>796</v>
      </c>
      <c r="K32" s="53">
        <f t="shared" si="6"/>
        <v>688</v>
      </c>
      <c r="L32" s="44">
        <f t="shared" si="7"/>
        <v>265.75</v>
      </c>
      <c r="M32" s="42" t="s">
        <v>817</v>
      </c>
      <c r="N32" s="52" t="str">
        <f t="shared" si="5"/>
        <v>(9,'PS-09-OZ2','Poste de Sectionnement n°09 OZ2','2003-08-18','2003-08-18',,,),</v>
      </c>
    </row>
    <row r="33" spans="1:14" ht="20.149999999999999" customHeight="1" x14ac:dyDescent="0.35">
      <c r="A33" s="39">
        <v>10</v>
      </c>
      <c r="B33" s="48" t="str">
        <f t="shared" si="1"/>
        <v>PS-10-OZ2</v>
      </c>
      <c r="C33" s="52" t="str">
        <f t="shared" si="2"/>
        <v>Poste de Sectionnement n°10 OZ2</v>
      </c>
      <c r="D33" s="19">
        <v>37851</v>
      </c>
      <c r="E33" s="19">
        <v>37851</v>
      </c>
      <c r="F33" s="42"/>
      <c r="G33" s="42"/>
      <c r="H33" s="42"/>
      <c r="I33" s="42" t="s">
        <v>326</v>
      </c>
      <c r="J33" s="42" t="s">
        <v>797</v>
      </c>
      <c r="K33" s="53">
        <f t="shared" si="6"/>
        <v>756</v>
      </c>
      <c r="L33" s="44">
        <f t="shared" si="7"/>
        <v>295.5</v>
      </c>
      <c r="M33" s="42" t="s">
        <v>818</v>
      </c>
      <c r="N33" s="52" t="str">
        <f t="shared" si="5"/>
        <v>(10,'PS-10-OZ2','Poste de Sectionnement n°10 OZ2','2003-08-18','2003-08-18',,,),</v>
      </c>
    </row>
    <row r="34" spans="1:14" ht="20.149999999999999" customHeight="1" x14ac:dyDescent="0.35">
      <c r="A34" s="39">
        <v>11</v>
      </c>
      <c r="B34" s="48" t="str">
        <f t="shared" si="1"/>
        <v>PS-11-OZ2</v>
      </c>
      <c r="C34" s="52" t="str">
        <f t="shared" si="2"/>
        <v>Poste de Sectionnement n°11 OZ2</v>
      </c>
      <c r="D34" s="19">
        <v>37851</v>
      </c>
      <c r="E34" s="19">
        <v>37851</v>
      </c>
      <c r="F34" s="42"/>
      <c r="G34" s="42"/>
      <c r="H34" s="42"/>
      <c r="I34" s="42" t="s">
        <v>326</v>
      </c>
      <c r="J34" s="42" t="s">
        <v>798</v>
      </c>
      <c r="K34" s="53">
        <f t="shared" si="6"/>
        <v>766</v>
      </c>
      <c r="L34" s="44">
        <f t="shared" si="7"/>
        <v>330</v>
      </c>
      <c r="M34" s="42" t="s">
        <v>818</v>
      </c>
      <c r="N34" s="52" t="str">
        <f t="shared" si="5"/>
        <v>(11,'PS-11-OZ2','Poste de Sectionnement n°11 OZ2','2003-08-18','2003-08-18',,,),</v>
      </c>
    </row>
    <row r="35" spans="1:14" ht="20.149999999999999" customHeight="1" x14ac:dyDescent="0.35">
      <c r="A35" s="39">
        <v>12</v>
      </c>
      <c r="B35" s="48" t="str">
        <f t="shared" si="1"/>
        <v>PS-12-OZ2</v>
      </c>
      <c r="C35" s="52" t="str">
        <f t="shared" si="2"/>
        <v>Poste de Sectionnement n°12 OZ2</v>
      </c>
      <c r="D35" s="19">
        <v>37851</v>
      </c>
      <c r="E35" s="19">
        <v>37851</v>
      </c>
      <c r="F35" s="42"/>
      <c r="G35" s="42"/>
      <c r="H35" s="42"/>
      <c r="I35" s="42" t="s">
        <v>326</v>
      </c>
      <c r="J35" s="42" t="s">
        <v>799</v>
      </c>
      <c r="K35" s="53">
        <f t="shared" si="6"/>
        <v>848</v>
      </c>
      <c r="L35" s="44">
        <f t="shared" si="7"/>
        <v>360</v>
      </c>
      <c r="M35" s="42" t="s">
        <v>819</v>
      </c>
      <c r="N35" s="52" t="str">
        <f t="shared" si="5"/>
        <v>(12,'PS-12-OZ2','Poste de Sectionnement n°12 OZ2','2003-08-18','2003-08-18',,,),</v>
      </c>
    </row>
    <row r="36" spans="1:14" ht="20.149999999999999" customHeight="1" x14ac:dyDescent="0.35">
      <c r="A36" s="39">
        <v>13</v>
      </c>
      <c r="B36" s="48" t="str">
        <f t="shared" si="1"/>
        <v>PS-13-OZ2</v>
      </c>
      <c r="C36" s="52" t="str">
        <f t="shared" si="2"/>
        <v>Poste de Sectionnement n°13 OZ2</v>
      </c>
      <c r="D36" s="19">
        <v>37851</v>
      </c>
      <c r="E36" s="19">
        <v>37851</v>
      </c>
      <c r="F36" s="42"/>
      <c r="G36" s="42"/>
      <c r="H36" s="42"/>
      <c r="I36" s="42" t="s">
        <v>326</v>
      </c>
      <c r="J36" s="42" t="s">
        <v>800</v>
      </c>
      <c r="K36" s="53">
        <f t="shared" si="6"/>
        <v>790</v>
      </c>
      <c r="L36" s="44">
        <f t="shared" si="7"/>
        <v>390</v>
      </c>
      <c r="M36" s="42" t="s">
        <v>820</v>
      </c>
      <c r="N36" s="52" t="str">
        <f t="shared" si="5"/>
        <v>(13,'PS-13-OZ2','Poste de Sectionnement n°13 OZ2','2003-08-18','2003-08-18',,,),</v>
      </c>
    </row>
    <row r="37" spans="1:14" ht="20.149999999999999" customHeight="1" x14ac:dyDescent="0.35">
      <c r="A37" s="39">
        <v>14</v>
      </c>
      <c r="B37" s="48" t="str">
        <f t="shared" si="1"/>
        <v>PS-14-OZ2</v>
      </c>
      <c r="C37" s="52" t="str">
        <f t="shared" si="2"/>
        <v>Poste de Sectionnement n°14 OZ2</v>
      </c>
      <c r="D37" s="19">
        <v>37851</v>
      </c>
      <c r="E37" s="19">
        <v>37851</v>
      </c>
      <c r="F37" s="42"/>
      <c r="G37" s="42"/>
      <c r="H37" s="42"/>
      <c r="I37" s="42" t="s">
        <v>326</v>
      </c>
      <c r="J37" s="42" t="s">
        <v>801</v>
      </c>
      <c r="K37" s="53">
        <f t="shared" si="6"/>
        <v>1050</v>
      </c>
      <c r="L37" s="44">
        <f t="shared" si="7"/>
        <v>445</v>
      </c>
      <c r="M37" s="42" t="s">
        <v>821</v>
      </c>
      <c r="N37" s="52" t="str">
        <f t="shared" si="5"/>
        <v>(14,'PS-14-OZ2','Poste de Sectionnement n°14 OZ2','2003-08-18','2003-08-18',,,),</v>
      </c>
    </row>
    <row r="38" spans="1:14" ht="20.149999999999999" customHeight="1" x14ac:dyDescent="0.35">
      <c r="A38" s="39">
        <v>15</v>
      </c>
      <c r="B38" s="48" t="str">
        <f t="shared" si="1"/>
        <v>PS-15-OZ2</v>
      </c>
      <c r="C38" s="52" t="str">
        <f t="shared" si="2"/>
        <v>Poste de Sectionnement n°15 OZ2</v>
      </c>
      <c r="D38" s="19">
        <v>37851</v>
      </c>
      <c r="E38" s="19">
        <v>37851</v>
      </c>
      <c r="F38" s="42"/>
      <c r="G38" s="42"/>
      <c r="H38" s="42"/>
      <c r="I38" s="42" t="s">
        <v>326</v>
      </c>
      <c r="J38" s="42" t="s">
        <v>802</v>
      </c>
      <c r="K38" s="53">
        <f t="shared" si="6"/>
        <v>1215</v>
      </c>
      <c r="L38" s="44">
        <f t="shared" si="7"/>
        <v>475</v>
      </c>
      <c r="M38" s="42" t="s">
        <v>822</v>
      </c>
      <c r="N38" s="52" t="str">
        <f t="shared" si="5"/>
        <v>(15,'PS-15-OZ2','Poste de Sectionnement n°15 OZ2','2003-08-18','2003-08-18',,,),</v>
      </c>
    </row>
    <row r="39" spans="1:14" ht="20.149999999999999" customHeight="1" x14ac:dyDescent="0.35">
      <c r="A39" s="39">
        <v>16</v>
      </c>
      <c r="B39" s="48" t="str">
        <f t="shared" si="1"/>
        <v>PS-16-OZ2</v>
      </c>
      <c r="C39" s="52" t="str">
        <f t="shared" si="2"/>
        <v>Poste de Sectionnement n°16 OZ2</v>
      </c>
      <c r="D39" s="19">
        <v>37851</v>
      </c>
      <c r="E39" s="19">
        <v>37851</v>
      </c>
      <c r="F39" s="42"/>
      <c r="G39" s="42"/>
      <c r="H39" s="42"/>
      <c r="I39" s="42" t="s">
        <v>326</v>
      </c>
      <c r="J39" s="42" t="s">
        <v>803</v>
      </c>
      <c r="K39" s="53">
        <f t="shared" si="6"/>
        <v>986</v>
      </c>
      <c r="L39" s="44">
        <f t="shared" si="7"/>
        <v>505</v>
      </c>
      <c r="M39" s="42" t="s">
        <v>823</v>
      </c>
      <c r="N39" s="52" t="str">
        <f t="shared" si="5"/>
        <v>(16,'PS-16-OZ2','Poste de Sectionnement n°16 OZ2','2003-08-18','2003-08-18',,,),</v>
      </c>
    </row>
    <row r="40" spans="1:14" ht="20.149999999999999" customHeight="1" x14ac:dyDescent="0.35">
      <c r="A40" s="39">
        <v>17</v>
      </c>
      <c r="B40" s="48" t="str">
        <f t="shared" si="1"/>
        <v>PS-17-OZ2</v>
      </c>
      <c r="C40" s="52" t="str">
        <f t="shared" si="2"/>
        <v>Poste de Sectionnement n°17 OZ2</v>
      </c>
      <c r="D40" s="19">
        <v>37851</v>
      </c>
      <c r="E40" s="19">
        <v>37851</v>
      </c>
      <c r="F40" s="42"/>
      <c r="G40" s="42"/>
      <c r="H40" s="42"/>
      <c r="I40" s="42" t="s">
        <v>326</v>
      </c>
      <c r="J40" s="42" t="s">
        <v>804</v>
      </c>
      <c r="K40" s="53">
        <f t="shared" si="6"/>
        <v>1132</v>
      </c>
      <c r="L40" s="44">
        <f t="shared" si="7"/>
        <v>564.5</v>
      </c>
      <c r="M40" s="42" t="s">
        <v>780</v>
      </c>
      <c r="N40" s="52" t="str">
        <f t="shared" si="5"/>
        <v>(17,'PS-17-OZ2','Poste de Sectionnement n°17 OZ2','2003-08-18','2003-08-18',,,),</v>
      </c>
    </row>
    <row r="41" spans="1:14" ht="20.149999999999999" customHeight="1" x14ac:dyDescent="0.35">
      <c r="A41" s="39">
        <v>18</v>
      </c>
      <c r="B41" s="48" t="str">
        <f t="shared" si="1"/>
        <v>PS-18-OZ2</v>
      </c>
      <c r="C41" s="52" t="str">
        <f t="shared" si="2"/>
        <v>Poste de Sectionnement n°18 OZ2</v>
      </c>
      <c r="D41" s="19">
        <v>37851</v>
      </c>
      <c r="E41" s="19">
        <v>37851</v>
      </c>
      <c r="F41" s="42"/>
      <c r="G41" s="42"/>
      <c r="H41" s="42"/>
      <c r="I41" s="42" t="s">
        <v>326</v>
      </c>
      <c r="J41" s="42" t="s">
        <v>805</v>
      </c>
      <c r="K41" s="53">
        <f t="shared" si="6"/>
        <v>1225</v>
      </c>
      <c r="L41" s="44">
        <f t="shared" si="7"/>
        <v>594</v>
      </c>
      <c r="M41" s="42" t="s">
        <v>824</v>
      </c>
      <c r="N41" s="52" t="str">
        <f t="shared" si="5"/>
        <v>(18,'PS-18-OZ2','Poste de Sectionnement n°18 OZ2','2003-08-18','2003-08-18',,,),</v>
      </c>
    </row>
    <row r="42" spans="1:14" ht="20.149999999999999" customHeight="1" x14ac:dyDescent="0.35">
      <c r="A42" s="39">
        <v>19</v>
      </c>
      <c r="B42" s="48" t="str">
        <f t="shared" si="1"/>
        <v>PS-19-OZ2</v>
      </c>
      <c r="C42" s="52" t="str">
        <f t="shared" si="2"/>
        <v>Poste de Sectionnement n°19 OZ2</v>
      </c>
      <c r="D42" s="19">
        <v>37851</v>
      </c>
      <c r="E42" s="19">
        <v>37851</v>
      </c>
      <c r="F42" s="42"/>
      <c r="G42" s="42"/>
      <c r="H42" s="42"/>
      <c r="I42" s="42" t="s">
        <v>326</v>
      </c>
      <c r="J42" s="42" t="s">
        <v>806</v>
      </c>
      <c r="K42" s="53">
        <f t="shared" si="6"/>
        <v>997</v>
      </c>
      <c r="L42" s="44">
        <f t="shared" si="7"/>
        <v>624</v>
      </c>
      <c r="M42" s="42" t="s">
        <v>825</v>
      </c>
      <c r="N42" s="52" t="str">
        <f t="shared" si="5"/>
        <v>(19,'PS-19-OZ2','Poste de Sectionnement n°19 OZ2','2003-08-18','2003-08-18',,,),</v>
      </c>
    </row>
    <row r="43" spans="1:14" ht="20.149999999999999" customHeight="1" x14ac:dyDescent="0.35">
      <c r="A43" s="39">
        <v>20</v>
      </c>
      <c r="B43" s="48" t="str">
        <f t="shared" si="1"/>
        <v>PS-20-OZ2</v>
      </c>
      <c r="C43" s="52" t="str">
        <f t="shared" si="2"/>
        <v>Poste de Sectionnement n°20 OZ2</v>
      </c>
      <c r="D43" s="19">
        <v>37851</v>
      </c>
      <c r="E43" s="19">
        <v>37851</v>
      </c>
      <c r="F43" s="42"/>
      <c r="G43" s="42"/>
      <c r="H43" s="42"/>
      <c r="I43" s="42" t="s">
        <v>326</v>
      </c>
      <c r="J43" s="42" t="s">
        <v>807</v>
      </c>
      <c r="K43" s="53">
        <f t="shared" si="6"/>
        <v>599</v>
      </c>
      <c r="L43" s="44">
        <f t="shared" si="7"/>
        <v>654</v>
      </c>
      <c r="M43" s="42" t="s">
        <v>826</v>
      </c>
      <c r="N43" s="52" t="str">
        <f t="shared" si="5"/>
        <v>(20,'PS-20-OZ2','Poste de Sectionnement n°20 OZ2','2003-08-18','2003-08-18',,,),</v>
      </c>
    </row>
    <row r="44" spans="1:14" ht="20.149999999999999" customHeight="1" x14ac:dyDescent="0.35">
      <c r="A44" s="39">
        <v>21</v>
      </c>
      <c r="B44" s="48" t="str">
        <f t="shared" si="1"/>
        <v>PS-21-OZ2</v>
      </c>
      <c r="C44" s="52" t="str">
        <f t="shared" si="2"/>
        <v>Poste de Sectionnement n°21 OZ2</v>
      </c>
      <c r="D44" s="19">
        <v>37851</v>
      </c>
      <c r="E44" s="19">
        <v>37851</v>
      </c>
      <c r="F44" s="42"/>
      <c r="G44" s="42"/>
      <c r="H44" s="42"/>
      <c r="I44" s="42" t="s">
        <v>326</v>
      </c>
      <c r="J44" s="42" t="s">
        <v>808</v>
      </c>
      <c r="K44" s="53">
        <f t="shared" si="6"/>
        <v>553</v>
      </c>
      <c r="L44" s="44">
        <f t="shared" si="7"/>
        <v>684</v>
      </c>
      <c r="M44" s="42" t="s">
        <v>827</v>
      </c>
      <c r="N44" s="52" t="str">
        <f t="shared" si="5"/>
        <v>(21,'PS-21-OZ2','Poste de Sectionnement n°21 OZ2','2003-08-18','2003-08-18',,,),</v>
      </c>
    </row>
    <row r="45" spans="1:14" ht="20.149999999999999" customHeight="1" x14ac:dyDescent="0.35">
      <c r="A45" s="39">
        <v>22</v>
      </c>
      <c r="B45" s="48" t="str">
        <f t="shared" si="1"/>
        <v>PS-22-OZ2</v>
      </c>
      <c r="C45" s="52" t="str">
        <f t="shared" si="2"/>
        <v>Poste de Sectionnement n°22 OZ2</v>
      </c>
      <c r="D45" s="19">
        <v>37851</v>
      </c>
      <c r="E45" s="19">
        <v>37851</v>
      </c>
      <c r="F45" s="42"/>
      <c r="G45" s="42"/>
      <c r="H45" s="42"/>
      <c r="I45" s="42" t="s">
        <v>326</v>
      </c>
      <c r="J45" s="42" t="s">
        <v>809</v>
      </c>
      <c r="K45" s="53">
        <f t="shared" si="6"/>
        <v>146</v>
      </c>
      <c r="L45" s="44">
        <f t="shared" si="7"/>
        <v>714</v>
      </c>
      <c r="M45" s="42" t="s">
        <v>785</v>
      </c>
      <c r="N45" s="52" t="str">
        <f t="shared" si="5"/>
        <v>(22,'PS-22-OZ2','Poste de Sectionnement n°22 OZ2','2003-08-18','2003-08-18',,,),</v>
      </c>
    </row>
    <row r="46" spans="1:14" ht="20.149999999999999" customHeight="1" x14ac:dyDescent="0.35">
      <c r="A46" s="39">
        <v>23</v>
      </c>
      <c r="B46" s="48" t="str">
        <f t="shared" si="1"/>
        <v>PS-23-OZ2</v>
      </c>
      <c r="C46" s="52" t="str">
        <f t="shared" si="2"/>
        <v>Poste de Sectionnement n°23 OZ2</v>
      </c>
      <c r="D46" s="19">
        <v>37851</v>
      </c>
      <c r="E46" s="19">
        <v>37851</v>
      </c>
      <c r="F46" s="42"/>
      <c r="G46" s="42"/>
      <c r="H46" s="42"/>
      <c r="I46" s="42" t="s">
        <v>326</v>
      </c>
      <c r="J46" s="42" t="s">
        <v>810</v>
      </c>
      <c r="K46" s="53">
        <f t="shared" si="6"/>
        <v>150</v>
      </c>
      <c r="L46" s="44">
        <f t="shared" si="7"/>
        <v>744</v>
      </c>
      <c r="M46" s="42" t="s">
        <v>828</v>
      </c>
      <c r="N46" s="52" t="str">
        <f t="shared" si="5"/>
        <v>(23,'PS-23-OZ2','Poste de Sectionnement n°23 OZ2','2003-08-18','2003-08-18',,,),</v>
      </c>
    </row>
    <row r="47" spans="1:14" ht="20.149999999999999" customHeight="1" x14ac:dyDescent="0.35">
      <c r="A47" s="39">
        <v>24</v>
      </c>
      <c r="B47" s="48" t="str">
        <f t="shared" si="1"/>
        <v>PS-24-OZ2</v>
      </c>
      <c r="C47" s="52" t="str">
        <f t="shared" si="2"/>
        <v>Poste de Sectionnement n°24 OZ2</v>
      </c>
      <c r="D47" s="19">
        <v>37851</v>
      </c>
      <c r="E47" s="19">
        <v>37851</v>
      </c>
      <c r="F47" s="42"/>
      <c r="G47" s="42"/>
      <c r="H47" s="42"/>
      <c r="I47" s="42" t="s">
        <v>326</v>
      </c>
      <c r="J47" s="42" t="s">
        <v>811</v>
      </c>
      <c r="K47" s="53">
        <f t="shared" si="6"/>
        <v>26</v>
      </c>
      <c r="L47" s="44">
        <f t="shared" si="7"/>
        <v>774</v>
      </c>
      <c r="M47" s="42" t="s">
        <v>786</v>
      </c>
      <c r="N47" s="52" t="str">
        <f t="shared" si="5"/>
        <v>(24,'PS-24-OZ2','Poste de Sectionnement n°24 OZ2','2003-08-18','2003-08-18',,,),</v>
      </c>
    </row>
    <row r="48" spans="1:14" ht="20.149999999999999" customHeight="1" x14ac:dyDescent="0.35">
      <c r="A48" s="39">
        <v>25</v>
      </c>
      <c r="B48" s="48" t="str">
        <f t="shared" si="1"/>
        <v>PS-25-OZ2</v>
      </c>
      <c r="C48" s="52" t="str">
        <f t="shared" si="2"/>
        <v>Poste de Sectionnement n°25 OZ2</v>
      </c>
      <c r="D48" s="19">
        <v>37851</v>
      </c>
      <c r="E48" s="19">
        <v>37851</v>
      </c>
      <c r="F48" s="42"/>
      <c r="G48" s="42"/>
      <c r="H48" s="42"/>
      <c r="I48" s="42" t="s">
        <v>326</v>
      </c>
      <c r="J48" s="42" t="s">
        <v>812</v>
      </c>
      <c r="K48" s="53">
        <f t="shared" si="6"/>
        <v>196</v>
      </c>
      <c r="L48" s="44">
        <f t="shared" si="7"/>
        <v>804</v>
      </c>
      <c r="M48" s="42" t="s">
        <v>829</v>
      </c>
      <c r="N48" s="52" t="str">
        <f t="shared" si="5"/>
        <v>(25,'PS-25-OZ2','Poste de Sectionnement n°25 OZ2','2003-08-18','2003-08-18',,,),</v>
      </c>
    </row>
    <row r="49" spans="1:14" ht="20.149999999999999" customHeight="1" x14ac:dyDescent="0.35">
      <c r="A49" s="39">
        <v>1</v>
      </c>
      <c r="B49" s="48" t="str">
        <f t="shared" si="1"/>
        <v>PS-01-OK1</v>
      </c>
      <c r="C49" s="52" t="str">
        <f t="shared" si="2"/>
        <v>Poste de Sectionnement n°01 OK1</v>
      </c>
      <c r="D49" s="19">
        <v>26299</v>
      </c>
      <c r="E49" s="19">
        <v>26299</v>
      </c>
      <c r="F49" s="42"/>
      <c r="G49" s="42"/>
      <c r="H49" s="42"/>
      <c r="I49" s="42" t="s">
        <v>329</v>
      </c>
      <c r="J49" s="42" t="s">
        <v>830</v>
      </c>
      <c r="K49" s="53">
        <f t="shared" ref="K49:K70" si="8">VALUE(RIGHT(J49,LEN(J49)-SEARCH("/",J49)))</f>
        <v>159</v>
      </c>
      <c r="L49" s="44">
        <f t="shared" ref="L49:L70" si="9">VALUE(SUBSTITUTE(LEFT(J49,SEARCH("/",J49)-1),"+",","))</f>
        <v>0</v>
      </c>
      <c r="M49" s="42" t="s">
        <v>849</v>
      </c>
      <c r="N49" s="52" t="str">
        <f t="shared" si="5"/>
        <v>(1,'PS-01-OK1','Poste de Sectionnement n°01 OK1','1972-01-01','1972-01-01',,,),</v>
      </c>
    </row>
    <row r="50" spans="1:14" ht="20.149999999999999" customHeight="1" x14ac:dyDescent="0.35">
      <c r="A50" s="39">
        <v>2</v>
      </c>
      <c r="B50" s="48" t="str">
        <f t="shared" ref="B50:B71" si="10">CONCATENATE("PS-",TEXT(A50,"00"),"-",I50)</f>
        <v>PS-02-OK1</v>
      </c>
      <c r="C50" s="52" t="str">
        <f t="shared" ref="C50:C71" si="11">CONCATENATE("Poste de Sectionnement n°",TEXT(A50,"00")," ",I50)</f>
        <v>Poste de Sectionnement n°02 OK1</v>
      </c>
      <c r="D50" s="19">
        <v>26299</v>
      </c>
      <c r="E50" s="19">
        <v>26299</v>
      </c>
      <c r="F50" s="42"/>
      <c r="G50" s="42"/>
      <c r="H50" s="42"/>
      <c r="I50" s="42" t="s">
        <v>329</v>
      </c>
      <c r="J50" s="42" t="s">
        <v>831</v>
      </c>
      <c r="K50" s="53">
        <f t="shared" si="8"/>
        <v>160</v>
      </c>
      <c r="L50" s="44">
        <f t="shared" si="9"/>
        <v>32</v>
      </c>
      <c r="M50" s="42" t="s">
        <v>850</v>
      </c>
      <c r="N50" s="52" t="str">
        <f t="shared" si="5"/>
        <v>(2,'PS-02-OK1','Poste de Sectionnement n°02 OK1','1972-01-01','1972-01-01',,,),</v>
      </c>
    </row>
    <row r="51" spans="1:14" ht="20.149999999999999" customHeight="1" x14ac:dyDescent="0.35">
      <c r="A51" s="39">
        <v>3</v>
      </c>
      <c r="B51" s="48" t="str">
        <f t="shared" si="10"/>
        <v>PS-03-OK1</v>
      </c>
      <c r="C51" s="52" t="str">
        <f t="shared" si="11"/>
        <v>Poste de Sectionnement n°03 OK1</v>
      </c>
      <c r="D51" s="19">
        <v>26299</v>
      </c>
      <c r="E51" s="19">
        <v>26299</v>
      </c>
      <c r="F51" s="42"/>
      <c r="G51" s="42"/>
      <c r="H51" s="42"/>
      <c r="I51" s="42" t="s">
        <v>329</v>
      </c>
      <c r="J51" s="42" t="s">
        <v>832</v>
      </c>
      <c r="K51" s="53">
        <f t="shared" si="8"/>
        <v>150</v>
      </c>
      <c r="L51" s="44">
        <f t="shared" si="9"/>
        <v>63.113999999999997</v>
      </c>
      <c r="M51" s="42" t="s">
        <v>851</v>
      </c>
      <c r="N51" s="52" t="str">
        <f t="shared" si="5"/>
        <v>(3,'PS-03-OK1','Poste de Sectionnement n°03 OK1','1972-01-01','1972-01-01',,,),</v>
      </c>
    </row>
    <row r="52" spans="1:14" ht="20.149999999999999" customHeight="1" x14ac:dyDescent="0.35">
      <c r="A52" s="39">
        <v>4</v>
      </c>
      <c r="B52" s="48" t="str">
        <f t="shared" si="10"/>
        <v>PS-04-OK1</v>
      </c>
      <c r="C52" s="52" t="str">
        <f t="shared" si="11"/>
        <v>Poste de Sectionnement n°04 OK1</v>
      </c>
      <c r="D52" s="19">
        <v>26299</v>
      </c>
      <c r="E52" s="19">
        <v>26299</v>
      </c>
      <c r="F52" s="42"/>
      <c r="G52" s="42"/>
      <c r="H52" s="42"/>
      <c r="I52" s="42" t="s">
        <v>329</v>
      </c>
      <c r="J52" s="42" t="s">
        <v>833</v>
      </c>
      <c r="K52" s="53">
        <f t="shared" si="8"/>
        <v>110</v>
      </c>
      <c r="L52" s="44">
        <f t="shared" si="9"/>
        <v>126.057</v>
      </c>
      <c r="M52" s="42" t="s">
        <v>852</v>
      </c>
      <c r="N52" s="52" t="str">
        <f t="shared" si="5"/>
        <v>(4,'PS-04-OK1','Poste de Sectionnement n°04 OK1','1972-01-01','1972-01-01',,,),</v>
      </c>
    </row>
    <row r="53" spans="1:14" ht="20.149999999999999" customHeight="1" x14ac:dyDescent="0.35">
      <c r="A53" s="39">
        <v>5</v>
      </c>
      <c r="B53" s="48" t="str">
        <f t="shared" si="10"/>
        <v>PS-05-OK1</v>
      </c>
      <c r="C53" s="52" t="str">
        <f t="shared" si="11"/>
        <v>Poste de Sectionnement n°05 OK1</v>
      </c>
      <c r="D53" s="19">
        <v>26299</v>
      </c>
      <c r="E53" s="19">
        <v>26299</v>
      </c>
      <c r="F53" s="42"/>
      <c r="G53" s="42"/>
      <c r="H53" s="42"/>
      <c r="I53" s="42" t="s">
        <v>329</v>
      </c>
      <c r="J53" s="42" t="s">
        <v>834</v>
      </c>
      <c r="K53" s="53">
        <f t="shared" si="8"/>
        <v>80</v>
      </c>
      <c r="L53" s="44">
        <f t="shared" si="9"/>
        <v>190.56</v>
      </c>
      <c r="M53" s="42" t="s">
        <v>853</v>
      </c>
      <c r="N53" s="52" t="str">
        <f t="shared" si="5"/>
        <v>(5,'PS-05-OK1','Poste de Sectionnement n°05 OK1','1972-01-01','1972-01-01',,,),</v>
      </c>
    </row>
    <row r="54" spans="1:14" ht="20.149999999999999" customHeight="1" x14ac:dyDescent="0.35">
      <c r="A54" s="39">
        <v>6</v>
      </c>
      <c r="B54" s="48" t="str">
        <f t="shared" si="10"/>
        <v>PS-06-OK1</v>
      </c>
      <c r="C54" s="52" t="str">
        <f t="shared" si="11"/>
        <v>Poste de Sectionnement n°06 OK1</v>
      </c>
      <c r="D54" s="19">
        <v>26299</v>
      </c>
      <c r="E54" s="19">
        <v>26299</v>
      </c>
      <c r="F54" s="42"/>
      <c r="G54" s="42"/>
      <c r="H54" s="42"/>
      <c r="I54" s="42" t="s">
        <v>329</v>
      </c>
      <c r="J54" s="42" t="s">
        <v>834</v>
      </c>
      <c r="K54" s="53">
        <f t="shared" si="8"/>
        <v>80</v>
      </c>
      <c r="L54" s="44">
        <f t="shared" si="9"/>
        <v>190.56</v>
      </c>
      <c r="M54" s="42" t="s">
        <v>853</v>
      </c>
      <c r="N54" s="52" t="str">
        <f t="shared" si="5"/>
        <v>(6,'PS-06-OK1','Poste de Sectionnement n°06 OK1','1972-01-01','1972-01-01',,,),</v>
      </c>
    </row>
    <row r="55" spans="1:14" ht="20.149999999999999" customHeight="1" x14ac:dyDescent="0.35">
      <c r="A55" s="39">
        <v>7</v>
      </c>
      <c r="B55" s="48" t="str">
        <f t="shared" si="10"/>
        <v>PS-07-OK1</v>
      </c>
      <c r="C55" s="52" t="str">
        <f t="shared" si="11"/>
        <v>Poste de Sectionnement n°07 OK1</v>
      </c>
      <c r="D55" s="19">
        <v>26299</v>
      </c>
      <c r="E55" s="19">
        <v>26299</v>
      </c>
      <c r="F55" s="42"/>
      <c r="G55" s="42"/>
      <c r="H55" s="42"/>
      <c r="I55" s="42" t="s">
        <v>329</v>
      </c>
      <c r="J55" s="42" t="s">
        <v>835</v>
      </c>
      <c r="K55" s="53">
        <f t="shared" si="8"/>
        <v>80</v>
      </c>
      <c r="L55" s="44">
        <f t="shared" si="9"/>
        <v>233.40100000000001</v>
      </c>
      <c r="M55" s="42" t="s">
        <v>854</v>
      </c>
      <c r="N55" s="52" t="str">
        <f t="shared" si="5"/>
        <v>(7,'PS-07-OK1','Poste de Sectionnement n°07 OK1','1972-01-01','1972-01-01',,,),</v>
      </c>
    </row>
    <row r="56" spans="1:14" ht="20.149999999999999" customHeight="1" x14ac:dyDescent="0.35">
      <c r="A56" s="39">
        <v>8</v>
      </c>
      <c r="B56" s="48" t="str">
        <f t="shared" si="10"/>
        <v>PS-08-OK1</v>
      </c>
      <c r="C56" s="52" t="str">
        <f t="shared" si="11"/>
        <v>Poste de Sectionnement n°08 OK1</v>
      </c>
      <c r="D56" s="19">
        <v>26299</v>
      </c>
      <c r="E56" s="19">
        <v>26299</v>
      </c>
      <c r="F56" s="42"/>
      <c r="G56" s="42"/>
      <c r="H56" s="42"/>
      <c r="I56" s="42" t="s">
        <v>329</v>
      </c>
      <c r="J56" s="42" t="s">
        <v>836</v>
      </c>
      <c r="K56" s="53">
        <f t="shared" si="8"/>
        <v>100</v>
      </c>
      <c r="L56" s="44">
        <f t="shared" si="9"/>
        <v>265.084</v>
      </c>
      <c r="M56" s="42" t="s">
        <v>855</v>
      </c>
      <c r="N56" s="52" t="str">
        <f t="shared" si="5"/>
        <v>(8,'PS-08-OK1','Poste de Sectionnement n°08 OK1','1972-01-01','1972-01-01',,,),</v>
      </c>
    </row>
    <row r="57" spans="1:14" ht="20.149999999999999" customHeight="1" x14ac:dyDescent="0.35">
      <c r="A57" s="39">
        <v>9</v>
      </c>
      <c r="B57" s="48" t="str">
        <f t="shared" si="10"/>
        <v>PS-09-OK1</v>
      </c>
      <c r="C57" s="52" t="str">
        <f t="shared" si="11"/>
        <v>Poste de Sectionnement n°09 OK1</v>
      </c>
      <c r="D57" s="19">
        <v>26299</v>
      </c>
      <c r="E57" s="19">
        <v>26299</v>
      </c>
      <c r="F57" s="42"/>
      <c r="G57" s="42"/>
      <c r="H57" s="42"/>
      <c r="I57" s="42" t="s">
        <v>329</v>
      </c>
      <c r="J57" s="42" t="s">
        <v>837</v>
      </c>
      <c r="K57" s="53">
        <f t="shared" si="8"/>
        <v>190</v>
      </c>
      <c r="L57" s="44">
        <f t="shared" si="9"/>
        <v>338.64299999999997</v>
      </c>
      <c r="M57" s="42" t="s">
        <v>856</v>
      </c>
      <c r="N57" s="52" t="str">
        <f t="shared" si="5"/>
        <v>(9,'PS-09-OK1','Poste de Sectionnement n°09 OK1','1972-01-01','1972-01-01',,,),</v>
      </c>
    </row>
    <row r="58" spans="1:14" ht="20.149999999999999" customHeight="1" x14ac:dyDescent="0.35">
      <c r="A58" s="39">
        <v>10</v>
      </c>
      <c r="B58" s="48" t="str">
        <f t="shared" si="10"/>
        <v>PS-10-OK1</v>
      </c>
      <c r="C58" s="52" t="str">
        <f t="shared" si="11"/>
        <v>Poste de Sectionnement n°10 OK1</v>
      </c>
      <c r="D58" s="19">
        <v>26299</v>
      </c>
      <c r="E58" s="19">
        <v>26299</v>
      </c>
      <c r="F58" s="42"/>
      <c r="G58" s="42"/>
      <c r="H58" s="42"/>
      <c r="I58" s="42" t="s">
        <v>329</v>
      </c>
      <c r="J58" s="42" t="s">
        <v>837</v>
      </c>
      <c r="K58" s="53">
        <f t="shared" si="8"/>
        <v>190</v>
      </c>
      <c r="L58" s="44">
        <f t="shared" si="9"/>
        <v>338.64299999999997</v>
      </c>
      <c r="M58" s="42" t="s">
        <v>856</v>
      </c>
      <c r="N58" s="52" t="str">
        <f t="shared" si="5"/>
        <v>(10,'PS-10-OK1','Poste de Sectionnement n°10 OK1','1972-01-01','1972-01-01',,,),</v>
      </c>
    </row>
    <row r="59" spans="1:14" ht="20.149999999999999" customHeight="1" x14ac:dyDescent="0.35">
      <c r="A59" s="39" t="s">
        <v>867</v>
      </c>
      <c r="B59" s="48" t="str">
        <f t="shared" si="10"/>
        <v>PS-10Bis-OK1</v>
      </c>
      <c r="C59" s="52" t="str">
        <f t="shared" si="11"/>
        <v>Poste de Sectionnement n°10Bis OK1</v>
      </c>
      <c r="D59" s="19">
        <v>26299</v>
      </c>
      <c r="E59" s="19">
        <v>26299</v>
      </c>
      <c r="F59" s="42"/>
      <c r="G59" s="42"/>
      <c r="H59" s="42"/>
      <c r="I59" s="42" t="s">
        <v>329</v>
      </c>
      <c r="J59" s="42" t="s">
        <v>838</v>
      </c>
      <c r="K59" s="53">
        <f t="shared" ref="K59:K60" si="12">VALUE(RIGHT(J59,LEN(J59)-SEARCH("/",J59)))</f>
        <v>310</v>
      </c>
      <c r="L59" s="44">
        <f t="shared" ref="L59:L60" si="13">VALUE(SUBSTITUTE(LEFT(J59,SEARCH("/",J59)-1),"+",","))</f>
        <v>366.87</v>
      </c>
      <c r="M59" s="42" t="s">
        <v>857</v>
      </c>
      <c r="N59" s="52" t="str">
        <f t="shared" si="5"/>
        <v>(10Bis,'PS-10Bis-OK1','Poste de Sectionnement n°10Bis OK1','1972-01-01','1972-01-01',,,),</v>
      </c>
    </row>
    <row r="60" spans="1:14" ht="20.149999999999999" customHeight="1" x14ac:dyDescent="0.35">
      <c r="A60" s="39" t="s">
        <v>868</v>
      </c>
      <c r="B60" s="48" t="str">
        <f t="shared" si="10"/>
        <v>PS-10Ter-OK1</v>
      </c>
      <c r="C60" s="52" t="str">
        <f t="shared" si="11"/>
        <v>Poste de Sectionnement n°10Ter OK1</v>
      </c>
      <c r="D60" s="19">
        <v>26299</v>
      </c>
      <c r="E60" s="19">
        <v>26299</v>
      </c>
      <c r="F60" s="42"/>
      <c r="G60" s="42"/>
      <c r="H60" s="42"/>
      <c r="I60" s="42" t="s">
        <v>329</v>
      </c>
      <c r="J60" s="42" t="s">
        <v>839</v>
      </c>
      <c r="K60" s="53">
        <f t="shared" si="12"/>
        <v>280</v>
      </c>
      <c r="L60" s="44">
        <f t="shared" si="13"/>
        <v>396.85399999999998</v>
      </c>
      <c r="M60" s="42" t="s">
        <v>857</v>
      </c>
      <c r="N60" s="52" t="str">
        <f t="shared" si="5"/>
        <v>(10Ter,'PS-10Ter-OK1','Poste de Sectionnement n°10Ter OK1','1972-01-01','1972-01-01',,,),</v>
      </c>
    </row>
    <row r="61" spans="1:14" ht="20.149999999999999" customHeight="1" x14ac:dyDescent="0.35">
      <c r="A61" s="39">
        <v>11</v>
      </c>
      <c r="B61" s="48" t="str">
        <f t="shared" si="10"/>
        <v>PS-11-OK1</v>
      </c>
      <c r="C61" s="52" t="str">
        <f t="shared" si="11"/>
        <v>Poste de Sectionnement n°11 OK1</v>
      </c>
      <c r="D61" s="19">
        <v>26299</v>
      </c>
      <c r="E61" s="19">
        <v>26299</v>
      </c>
      <c r="F61" s="42"/>
      <c r="G61" s="42"/>
      <c r="H61" s="42"/>
      <c r="I61" s="42" t="s">
        <v>329</v>
      </c>
      <c r="J61" s="42" t="s">
        <v>840</v>
      </c>
      <c r="K61" s="53">
        <f t="shared" si="8"/>
        <v>640</v>
      </c>
      <c r="L61" s="44">
        <f t="shared" si="9"/>
        <v>431.42700000000002</v>
      </c>
      <c r="M61" s="42" t="s">
        <v>858</v>
      </c>
      <c r="N61" s="52" t="str">
        <f t="shared" si="5"/>
        <v>(11,'PS-11-OK1','Poste de Sectionnement n°11 OK1','1972-01-01','1972-01-01',,,),</v>
      </c>
    </row>
    <row r="62" spans="1:14" ht="20.149999999999999" customHeight="1" x14ac:dyDescent="0.35">
      <c r="A62" s="39">
        <v>12</v>
      </c>
      <c r="B62" s="48" t="str">
        <f t="shared" si="10"/>
        <v>PS-12-OK1</v>
      </c>
      <c r="C62" s="52" t="str">
        <f t="shared" si="11"/>
        <v>Poste de Sectionnement n°12 OK1</v>
      </c>
      <c r="D62" s="19">
        <v>26299</v>
      </c>
      <c r="E62" s="19">
        <v>26299</v>
      </c>
      <c r="F62" s="42"/>
      <c r="G62" s="42"/>
      <c r="H62" s="42"/>
      <c r="I62" s="42" t="s">
        <v>329</v>
      </c>
      <c r="J62" s="42" t="s">
        <v>840</v>
      </c>
      <c r="K62" s="53">
        <f t="shared" si="8"/>
        <v>640</v>
      </c>
      <c r="L62" s="44">
        <f t="shared" si="9"/>
        <v>431.42700000000002</v>
      </c>
      <c r="M62" s="42" t="s">
        <v>858</v>
      </c>
      <c r="N62" s="52" t="str">
        <f t="shared" si="5"/>
        <v>(12,'PS-12-OK1','Poste de Sectionnement n°12 OK1','1972-01-01','1972-01-01',,,),</v>
      </c>
    </row>
    <row r="63" spans="1:14" ht="20.149999999999999" customHeight="1" x14ac:dyDescent="0.35">
      <c r="A63" s="39">
        <v>13</v>
      </c>
      <c r="B63" s="48" t="str">
        <f t="shared" si="10"/>
        <v>PS-13-OK1</v>
      </c>
      <c r="C63" s="52" t="str">
        <f t="shared" si="11"/>
        <v>Poste de Sectionnement n°13 OK1</v>
      </c>
      <c r="D63" s="19">
        <v>26299</v>
      </c>
      <c r="E63" s="19">
        <v>26299</v>
      </c>
      <c r="F63" s="42"/>
      <c r="G63" s="42"/>
      <c r="H63" s="42"/>
      <c r="I63" s="42" t="s">
        <v>329</v>
      </c>
      <c r="J63" s="42" t="s">
        <v>841</v>
      </c>
      <c r="K63" s="53">
        <f t="shared" si="8"/>
        <v>930</v>
      </c>
      <c r="L63" s="44">
        <f t="shared" si="9"/>
        <v>463.12099999999998</v>
      </c>
      <c r="M63" s="42" t="s">
        <v>859</v>
      </c>
      <c r="N63" s="52" t="str">
        <f t="shared" si="5"/>
        <v>(13,'PS-13-OK1','Poste de Sectionnement n°13 OK1','1972-01-01','1972-01-01',,,),</v>
      </c>
    </row>
    <row r="64" spans="1:14" ht="20.149999999999999" customHeight="1" x14ac:dyDescent="0.35">
      <c r="A64" s="39">
        <v>14</v>
      </c>
      <c r="B64" s="48" t="str">
        <f t="shared" si="10"/>
        <v>PS-14-OK1</v>
      </c>
      <c r="C64" s="52" t="str">
        <f t="shared" si="11"/>
        <v>Poste de Sectionnement n°14 OK1</v>
      </c>
      <c r="D64" s="19">
        <v>26299</v>
      </c>
      <c r="E64" s="19">
        <v>26299</v>
      </c>
      <c r="F64" s="42"/>
      <c r="G64" s="42"/>
      <c r="H64" s="42"/>
      <c r="I64" s="42" t="s">
        <v>329</v>
      </c>
      <c r="J64" s="42" t="s">
        <v>842</v>
      </c>
      <c r="K64" s="53">
        <f t="shared" si="8"/>
        <v>950</v>
      </c>
      <c r="L64" s="44">
        <f t="shared" si="9"/>
        <v>494.38600000000002</v>
      </c>
      <c r="M64" s="42" t="s">
        <v>860</v>
      </c>
      <c r="N64" s="52" t="str">
        <f t="shared" si="5"/>
        <v>(14,'PS-14-OK1','Poste de Sectionnement n°14 OK1','1972-01-01','1972-01-01',,,),</v>
      </c>
    </row>
    <row r="65" spans="1:14" ht="20.149999999999999" customHeight="1" x14ac:dyDescent="0.35">
      <c r="A65" s="39" t="s">
        <v>869</v>
      </c>
      <c r="B65" s="48" t="str">
        <f t="shared" ref="B65" si="14">CONCATENATE("PS-",TEXT(A65,"00"),"-",I65)</f>
        <v>PS-14Bis-OK1</v>
      </c>
      <c r="C65" s="52" t="str">
        <f t="shared" ref="C65" si="15">CONCATENATE("Poste de Sectionnement n°",TEXT(A65,"00")," ",I65)</f>
        <v>Poste de Sectionnement n°14Bis OK1</v>
      </c>
      <c r="D65" s="19">
        <v>26299</v>
      </c>
      <c r="E65" s="19">
        <v>26299</v>
      </c>
      <c r="F65" s="42"/>
      <c r="G65" s="42"/>
      <c r="H65" s="42"/>
      <c r="I65" s="42" t="s">
        <v>329</v>
      </c>
      <c r="J65" s="42" t="s">
        <v>843</v>
      </c>
      <c r="K65" s="53">
        <f t="shared" ref="K65" si="16">VALUE(RIGHT(J65,LEN(J65)-SEARCH("/",J65)))</f>
        <v>830</v>
      </c>
      <c r="L65" s="44">
        <f t="shared" ref="L65" si="17">VALUE(SUBSTITUTE(LEFT(J65,SEARCH("/",J65)-1),"+",","))</f>
        <v>516.94600000000003</v>
      </c>
      <c r="M65" s="42" t="s">
        <v>861</v>
      </c>
      <c r="N65" s="52" t="str">
        <f t="shared" si="5"/>
        <v>(14Bis,'PS-14Bis-OK1','Poste de Sectionnement n°14Bis OK1','1972-01-01','1972-01-01',,,),</v>
      </c>
    </row>
    <row r="66" spans="1:14" ht="20.149999999999999" customHeight="1" x14ac:dyDescent="0.35">
      <c r="A66" s="39">
        <v>15</v>
      </c>
      <c r="B66" s="48" t="str">
        <f t="shared" si="10"/>
        <v>PS-15-OK1</v>
      </c>
      <c r="C66" s="52" t="str">
        <f t="shared" si="11"/>
        <v>Poste de Sectionnement n°15 OK1</v>
      </c>
      <c r="D66" s="19">
        <v>26299</v>
      </c>
      <c r="E66" s="19">
        <v>26299</v>
      </c>
      <c r="F66" s="42"/>
      <c r="G66" s="42"/>
      <c r="H66" s="42"/>
      <c r="I66" s="42" t="s">
        <v>329</v>
      </c>
      <c r="J66" s="42" t="s">
        <v>844</v>
      </c>
      <c r="K66" s="53">
        <f t="shared" si="8"/>
        <v>670</v>
      </c>
      <c r="L66" s="44">
        <f t="shared" si="9"/>
        <v>547.42700000000002</v>
      </c>
      <c r="M66" s="42" t="s">
        <v>862</v>
      </c>
      <c r="N66" s="52" t="str">
        <f t="shared" si="5"/>
        <v>(15,'PS-15-OK1','Poste de Sectionnement n°15 OK1','1972-01-01','1972-01-01',,,),</v>
      </c>
    </row>
    <row r="67" spans="1:14" ht="20.149999999999999" customHeight="1" x14ac:dyDescent="0.35">
      <c r="A67" s="39">
        <v>16</v>
      </c>
      <c r="B67" s="48" t="str">
        <f t="shared" si="10"/>
        <v>PS-16-OK1</v>
      </c>
      <c r="C67" s="52" t="str">
        <f t="shared" si="11"/>
        <v>Poste de Sectionnement n°16 OK1</v>
      </c>
      <c r="D67" s="19">
        <v>26299</v>
      </c>
      <c r="E67" s="19">
        <v>26299</v>
      </c>
      <c r="F67" s="42"/>
      <c r="G67" s="42"/>
      <c r="H67" s="42"/>
      <c r="I67" s="42" t="s">
        <v>329</v>
      </c>
      <c r="J67" s="42" t="s">
        <v>845</v>
      </c>
      <c r="K67" s="53">
        <f t="shared" si="8"/>
        <v>600</v>
      </c>
      <c r="L67" s="44">
        <f t="shared" si="9"/>
        <v>576.28499999999997</v>
      </c>
      <c r="M67" s="42" t="s">
        <v>863</v>
      </c>
      <c r="N67" s="52" t="str">
        <f t="shared" si="5"/>
        <v>(16,'PS-16-OK1','Poste de Sectionnement n°16 OK1','1972-01-01','1972-01-01',,,),</v>
      </c>
    </row>
    <row r="68" spans="1:14" ht="20.149999999999999" customHeight="1" x14ac:dyDescent="0.35">
      <c r="A68" s="39" t="s">
        <v>870</v>
      </c>
      <c r="B68" s="48" t="str">
        <f t="shared" ref="B68" si="18">CONCATENATE("PS-",TEXT(A68,"00"),"-",I68)</f>
        <v>PS-16Bis-OK1</v>
      </c>
      <c r="C68" s="52" t="str">
        <f t="shared" ref="C68" si="19">CONCATENATE("Poste de Sectionnement n°",TEXT(A68,"00")," ",I68)</f>
        <v>Poste de Sectionnement n°16Bis OK1</v>
      </c>
      <c r="D68" s="19">
        <v>26299</v>
      </c>
      <c r="E68" s="19">
        <v>26299</v>
      </c>
      <c r="F68" s="42"/>
      <c r="G68" s="42"/>
      <c r="H68" s="42"/>
      <c r="I68" s="42" t="s">
        <v>329</v>
      </c>
      <c r="J68" s="42" t="s">
        <v>846</v>
      </c>
      <c r="K68" s="53">
        <f t="shared" ref="K68" si="20">VALUE(RIGHT(J68,LEN(J68)-SEARCH("/",J68)))</f>
        <v>460</v>
      </c>
      <c r="L68" s="44">
        <f t="shared" ref="L68" si="21">VALUE(SUBSTITUTE(LEFT(J68,SEARCH("/",J68)-1),"+",","))</f>
        <v>596.13699999999994</v>
      </c>
      <c r="M68" s="42" t="s">
        <v>864</v>
      </c>
      <c r="N68" s="52" t="str">
        <f t="shared" si="5"/>
        <v>(16Bis,'PS-16Bis-OK1','Poste de Sectionnement n°16Bis OK1','1972-01-01','1972-01-01',,,),</v>
      </c>
    </row>
    <row r="69" spans="1:14" ht="20.149999999999999" customHeight="1" x14ac:dyDescent="0.35">
      <c r="A69" s="39">
        <v>17</v>
      </c>
      <c r="B69" s="48" t="str">
        <f t="shared" si="10"/>
        <v>PS-17-OK1</v>
      </c>
      <c r="C69" s="52" t="str">
        <f t="shared" si="11"/>
        <v>Poste de Sectionnement n°17 OK1</v>
      </c>
      <c r="D69" s="19">
        <v>26299</v>
      </c>
      <c r="E69" s="19">
        <v>26299</v>
      </c>
      <c r="F69" s="42"/>
      <c r="G69" s="42"/>
      <c r="H69" s="42"/>
      <c r="I69" s="42" t="s">
        <v>329</v>
      </c>
      <c r="J69" s="42" t="s">
        <v>847</v>
      </c>
      <c r="K69" s="53">
        <f t="shared" si="8"/>
        <v>12</v>
      </c>
      <c r="L69" s="44">
        <f t="shared" si="9"/>
        <v>615.01199999999994</v>
      </c>
      <c r="M69" s="42" t="s">
        <v>865</v>
      </c>
      <c r="N69" s="52" t="str">
        <f t="shared" si="5"/>
        <v>(17,'PS-17-OK1','Poste de Sectionnement n°17 OK1','1972-01-01','1972-01-01',,,),</v>
      </c>
    </row>
    <row r="70" spans="1:14" ht="20.149999999999999" customHeight="1" x14ac:dyDescent="0.35">
      <c r="A70" s="39">
        <v>18</v>
      </c>
      <c r="B70" s="48" t="str">
        <f t="shared" si="10"/>
        <v>PS-18-OK1</v>
      </c>
      <c r="C70" s="52" t="str">
        <f t="shared" si="11"/>
        <v>Poste de Sectionnement n°18 OK1</v>
      </c>
      <c r="D70" s="19">
        <v>26299</v>
      </c>
      <c r="E70" s="19">
        <v>26299</v>
      </c>
      <c r="F70" s="42"/>
      <c r="G70" s="42"/>
      <c r="H70" s="42"/>
      <c r="I70" s="42" t="s">
        <v>329</v>
      </c>
      <c r="J70" s="42" t="s">
        <v>848</v>
      </c>
      <c r="K70" s="53">
        <f t="shared" si="8"/>
        <v>12</v>
      </c>
      <c r="L70" s="44">
        <f t="shared" si="9"/>
        <v>646.74699999999996</v>
      </c>
      <c r="M70" s="42" t="s">
        <v>866</v>
      </c>
      <c r="N70" s="52" t="str">
        <f t="shared" si="5"/>
        <v>(18,'PS-18-OK1','Poste de Sectionnement n°18 OK1','1972-01-01','1972-01-01',,,),</v>
      </c>
    </row>
    <row r="71" spans="1:14" ht="20.149999999999999" customHeight="1" x14ac:dyDescent="0.35">
      <c r="A71" s="39">
        <v>1</v>
      </c>
      <c r="B71" s="40" t="str">
        <f t="shared" si="10"/>
        <v>PS-01-OB1</v>
      </c>
      <c r="C71" s="52" t="str">
        <f t="shared" si="11"/>
        <v>Poste de Sectionnement n°01 OB1</v>
      </c>
      <c r="D71" s="19">
        <v>21864</v>
      </c>
      <c r="E71" s="19">
        <v>21864</v>
      </c>
      <c r="F71" s="42"/>
      <c r="G71" s="42"/>
      <c r="H71" s="42"/>
      <c r="I71" s="42" t="s">
        <v>332</v>
      </c>
      <c r="J71" s="42" t="s">
        <v>872</v>
      </c>
      <c r="K71" s="53">
        <f t="shared" ref="K71:K76" si="22">VALUE(RIGHT(J71,LEN(J71)-SEARCH("/",J71)))</f>
        <v>119.9</v>
      </c>
      <c r="L71" s="44">
        <f t="shared" ref="L71:L76" si="23">VALUE(SUBSTITUTE(LEFT(J71,SEARCH("/",J71)-1),"+",","))</f>
        <v>64.447999999999993</v>
      </c>
      <c r="M71" s="42" t="s">
        <v>878</v>
      </c>
      <c r="N71" s="52" t="str">
        <f t="shared" si="5"/>
        <v>(1,'PS-01-OB1','Poste de Sectionnement n°01 OB1','1959-11-10','1959-11-10',,,),</v>
      </c>
    </row>
    <row r="72" spans="1:14" ht="20.149999999999999" customHeight="1" x14ac:dyDescent="0.35">
      <c r="A72" s="39">
        <v>2</v>
      </c>
      <c r="B72" s="40" t="str">
        <f t="shared" ref="B72:B77" si="24">CONCATENATE("PS-",TEXT(A72,"00"),"-",I72)</f>
        <v>PS-02-OB1</v>
      </c>
      <c r="C72" s="52" t="str">
        <f t="shared" ref="C72:C77" si="25">CONCATENATE("Poste de Sectionnement n°",TEXT(A72,"00")," ",I72)</f>
        <v>Poste de Sectionnement n°02 OB1</v>
      </c>
      <c r="D72" s="19">
        <v>21864</v>
      </c>
      <c r="E72" s="19">
        <v>21864</v>
      </c>
      <c r="F72" s="42"/>
      <c r="G72" s="42"/>
      <c r="H72" s="42"/>
      <c r="I72" s="42" t="s">
        <v>332</v>
      </c>
      <c r="J72" s="42" t="s">
        <v>873</v>
      </c>
      <c r="K72" s="53">
        <f t="shared" si="22"/>
        <v>89.5</v>
      </c>
      <c r="L72" s="44">
        <f t="shared" si="23"/>
        <v>134.96</v>
      </c>
      <c r="M72" s="42" t="s">
        <v>879</v>
      </c>
      <c r="N72" s="52" t="str">
        <f t="shared" si="5"/>
        <v>(2,'PS-02-OB1','Poste de Sectionnement n°02 OB1','1959-11-10','1959-11-10',,,),</v>
      </c>
    </row>
    <row r="73" spans="1:14" ht="20.149999999999999" customHeight="1" x14ac:dyDescent="0.35">
      <c r="A73" s="39">
        <v>3</v>
      </c>
      <c r="B73" s="40" t="str">
        <f t="shared" si="24"/>
        <v>PS-03-OB1</v>
      </c>
      <c r="C73" s="52" t="str">
        <f t="shared" si="25"/>
        <v>Poste de Sectionnement n°03 OB1</v>
      </c>
      <c r="D73" s="19">
        <v>21864</v>
      </c>
      <c r="E73" s="19">
        <v>21864</v>
      </c>
      <c r="F73" s="42"/>
      <c r="G73" s="42"/>
      <c r="H73" s="42"/>
      <c r="I73" s="42" t="s">
        <v>332</v>
      </c>
      <c r="J73" s="42" t="s">
        <v>874</v>
      </c>
      <c r="K73" s="53">
        <f t="shared" si="22"/>
        <v>82.82</v>
      </c>
      <c r="L73" s="44">
        <f t="shared" si="23"/>
        <v>265.02999999999997</v>
      </c>
      <c r="M73" s="42" t="s">
        <v>880</v>
      </c>
      <c r="N73" s="52" t="str">
        <f t="shared" si="5"/>
        <v>(3,'PS-03-OB1','Poste de Sectionnement n°03 OB1','1959-11-10','1959-11-10',,,),</v>
      </c>
    </row>
    <row r="74" spans="1:14" ht="20.149999999999999" customHeight="1" x14ac:dyDescent="0.35">
      <c r="A74" s="39">
        <v>4</v>
      </c>
      <c r="B74" s="40" t="str">
        <f t="shared" si="24"/>
        <v>PS-04-OB1</v>
      </c>
      <c r="C74" s="52" t="str">
        <f t="shared" si="25"/>
        <v>Poste de Sectionnement n°04 OB1</v>
      </c>
      <c r="D74" s="19">
        <v>21864</v>
      </c>
      <c r="E74" s="19">
        <v>21864</v>
      </c>
      <c r="F74" s="42"/>
      <c r="G74" s="42"/>
      <c r="H74" s="42"/>
      <c r="I74" s="42" t="s">
        <v>332</v>
      </c>
      <c r="J74" s="42" t="s">
        <v>875</v>
      </c>
      <c r="K74" s="53">
        <f t="shared" si="22"/>
        <v>46.96</v>
      </c>
      <c r="L74" s="44">
        <f t="shared" si="23"/>
        <v>313.54000000000002</v>
      </c>
      <c r="M74" s="42" t="s">
        <v>881</v>
      </c>
      <c r="N74" s="52" t="str">
        <f t="shared" si="5"/>
        <v>(4,'PS-04-OB1','Poste de Sectionnement n°04 OB1','1959-11-10','1959-11-10',,,),</v>
      </c>
    </row>
    <row r="75" spans="1:14" ht="20.149999999999999" customHeight="1" x14ac:dyDescent="0.35">
      <c r="A75" s="39" t="s">
        <v>871</v>
      </c>
      <c r="B75" s="40" t="str">
        <f t="shared" si="24"/>
        <v>PS-04Bis-OB1</v>
      </c>
      <c r="C75" s="52" t="str">
        <f t="shared" si="25"/>
        <v>Poste de Sectionnement n°04Bis OB1</v>
      </c>
      <c r="D75" s="19">
        <v>21864</v>
      </c>
      <c r="E75" s="19">
        <v>21864</v>
      </c>
      <c r="F75" s="42"/>
      <c r="G75" s="42"/>
      <c r="H75" s="42"/>
      <c r="I75" s="42" t="s">
        <v>332</v>
      </c>
      <c r="J75" s="42" t="s">
        <v>876</v>
      </c>
      <c r="K75" s="53">
        <f t="shared" si="22"/>
        <v>294.27699999999999</v>
      </c>
      <c r="L75" s="44">
        <f t="shared" si="23"/>
        <v>373.43099999999998</v>
      </c>
      <c r="M75" s="42" t="s">
        <v>882</v>
      </c>
      <c r="N75" s="52" t="str">
        <f t="shared" si="5"/>
        <v>(04Bis,'PS-04Bis-OB1','Poste de Sectionnement n°04Bis OB1','1959-11-10','1959-11-10',,,),</v>
      </c>
    </row>
    <row r="76" spans="1:14" ht="20.149999999999999" customHeight="1" x14ac:dyDescent="0.35">
      <c r="A76" s="39">
        <v>5</v>
      </c>
      <c r="B76" s="40" t="str">
        <f t="shared" si="24"/>
        <v>PS-05-OB1</v>
      </c>
      <c r="C76" s="52" t="str">
        <f t="shared" si="25"/>
        <v>Poste de Sectionnement n°05 OB1</v>
      </c>
      <c r="D76" s="19">
        <v>21864</v>
      </c>
      <c r="E76" s="19">
        <v>21864</v>
      </c>
      <c r="F76" s="42"/>
      <c r="G76" s="42"/>
      <c r="H76" s="42"/>
      <c r="I76" s="42" t="s">
        <v>332</v>
      </c>
      <c r="J76" s="42" t="s">
        <v>877</v>
      </c>
      <c r="K76" s="53">
        <f t="shared" si="22"/>
        <v>419.75</v>
      </c>
      <c r="L76" s="44">
        <f t="shared" si="23"/>
        <v>449.6</v>
      </c>
      <c r="M76" s="42" t="s">
        <v>883</v>
      </c>
      <c r="N76" s="52" t="str">
        <f t="shared" si="5"/>
        <v>(5,'PS-05-OB1','Poste de Sectionnement n°05 OB1','1959-11-10','1959-11-10',,,),</v>
      </c>
    </row>
    <row r="77" spans="1:14" ht="20.149999999999999" customHeight="1" x14ac:dyDescent="0.35">
      <c r="A77" s="39" t="s">
        <v>886</v>
      </c>
      <c r="B77" s="40" t="str">
        <f t="shared" si="24"/>
        <v>PS-N01-ROB1</v>
      </c>
      <c r="C77" s="52" t="str">
        <f t="shared" si="25"/>
        <v>Poste de Sectionnement n°N01 ROB1</v>
      </c>
      <c r="D77" s="19">
        <v>44089</v>
      </c>
      <c r="E77" s="19">
        <v>44089</v>
      </c>
      <c r="F77" s="42"/>
      <c r="G77" s="42"/>
      <c r="H77" s="42"/>
      <c r="I77" s="42" t="s">
        <v>884</v>
      </c>
      <c r="J77" s="42" t="s">
        <v>901</v>
      </c>
      <c r="K77" s="53">
        <f t="shared" ref="K77:K96" si="26">VALUE(RIGHT(J77,LEN(J77)-SEARCH("/",J77)))</f>
        <v>527</v>
      </c>
      <c r="L77" s="44">
        <f t="shared" ref="L77:L96" si="27">VALUE(SUBSTITUTE(LEFT(J77,SEARCH("/",J77)-1),"+",","))</f>
        <v>10.201000000000001</v>
      </c>
      <c r="M77" s="42" t="s">
        <v>988</v>
      </c>
      <c r="N77" s="52" t="str">
        <f t="shared" ref="N77:N96" si="28">CONCATENATE("(",A77,",'",B77,"','",C77,"','",TEXT(D77,"aaaa-mm-jj"),"','",TEXT(E77,"aaaa-mm-jj"),"',",F77,",",G77,",",H77,"),")</f>
        <v>(N01,'PS-N01-ROB1','Poste de Sectionnement n°N01 ROB1','2020-09-15','2020-09-15',,,),</v>
      </c>
    </row>
    <row r="78" spans="1:14" ht="20.149999999999999" customHeight="1" x14ac:dyDescent="0.35">
      <c r="A78" s="39" t="s">
        <v>887</v>
      </c>
      <c r="B78" s="40" t="str">
        <f t="shared" ref="B78:B82" si="29">CONCATENATE("PS-",TEXT(A78,"00"),"-",I78)</f>
        <v>PS-N02-ROB1</v>
      </c>
      <c r="C78" s="52" t="str">
        <f t="shared" ref="C78:C82" si="30">CONCATENATE("Poste de Sectionnement n°",TEXT(A78,"00")," ",I78)</f>
        <v>Poste de Sectionnement n°N02 ROB1</v>
      </c>
      <c r="D78" s="19">
        <v>44089</v>
      </c>
      <c r="E78" s="19">
        <v>44089</v>
      </c>
      <c r="F78" s="42"/>
      <c r="G78" s="42"/>
      <c r="H78" s="42"/>
      <c r="I78" s="42" t="s">
        <v>884</v>
      </c>
      <c r="J78" s="42" t="s">
        <v>902</v>
      </c>
      <c r="K78" s="53">
        <f t="shared" si="26"/>
        <v>669.4</v>
      </c>
      <c r="L78" s="44">
        <f t="shared" si="27"/>
        <v>23.334</v>
      </c>
      <c r="M78" s="42" t="s">
        <v>989</v>
      </c>
      <c r="N78" s="52" t="str">
        <f t="shared" si="28"/>
        <v>(N02,'PS-N02-ROB1','Poste de Sectionnement n°N02 ROB1','2020-09-15','2020-09-15',,,),</v>
      </c>
    </row>
    <row r="79" spans="1:14" ht="20.149999999999999" customHeight="1" x14ac:dyDescent="0.35">
      <c r="A79" s="39" t="s">
        <v>888</v>
      </c>
      <c r="B79" s="40" t="str">
        <f t="shared" si="29"/>
        <v>PS-N03-ROB1</v>
      </c>
      <c r="C79" s="52" t="str">
        <f t="shared" si="30"/>
        <v>Poste de Sectionnement n°N03 ROB1</v>
      </c>
      <c r="D79" s="19">
        <v>44089</v>
      </c>
      <c r="E79" s="19">
        <v>44089</v>
      </c>
      <c r="F79" s="42"/>
      <c r="G79" s="42"/>
      <c r="H79" s="42"/>
      <c r="I79" s="42" t="s">
        <v>884</v>
      </c>
      <c r="J79" s="42" t="s">
        <v>903</v>
      </c>
      <c r="K79" s="53">
        <f t="shared" si="26"/>
        <v>828.3</v>
      </c>
      <c r="L79" s="44">
        <f t="shared" si="27"/>
        <v>35.04</v>
      </c>
      <c r="M79" s="42" t="s">
        <v>989</v>
      </c>
      <c r="N79" s="52" t="str">
        <f t="shared" si="28"/>
        <v>(N03,'PS-N03-ROB1','Poste de Sectionnement n°N03 ROB1','2020-09-15','2020-09-15',,,),</v>
      </c>
    </row>
    <row r="80" spans="1:14" ht="20.149999999999999" customHeight="1" x14ac:dyDescent="0.35">
      <c r="A80" s="39" t="s">
        <v>891</v>
      </c>
      <c r="B80" s="40" t="str">
        <f t="shared" si="29"/>
        <v>PS-N03Bis-ROB1</v>
      </c>
      <c r="C80" s="52" t="str">
        <f t="shared" si="30"/>
        <v>Poste de Sectionnement n°N03Bis ROB1</v>
      </c>
      <c r="D80" s="19">
        <v>44089</v>
      </c>
      <c r="E80" s="19">
        <v>44089</v>
      </c>
      <c r="F80" s="42"/>
      <c r="G80" s="42"/>
      <c r="H80" s="42"/>
      <c r="I80" s="42" t="s">
        <v>884</v>
      </c>
      <c r="J80" s="42" t="s">
        <v>904</v>
      </c>
      <c r="K80" s="53">
        <f t="shared" si="26"/>
        <v>1032.25</v>
      </c>
      <c r="L80" s="44">
        <f t="shared" si="27"/>
        <v>45.691000000000003</v>
      </c>
      <c r="M80" s="42" t="s">
        <v>990</v>
      </c>
      <c r="N80" s="52" t="str">
        <f t="shared" si="28"/>
        <v>(N03Bis,'PS-N03Bis-ROB1','Poste de Sectionnement n°N03Bis ROB1','2020-09-15','2020-09-15',,,),</v>
      </c>
    </row>
    <row r="81" spans="1:14" ht="20.149999999999999" customHeight="1" x14ac:dyDescent="0.35">
      <c r="A81" s="39" t="s">
        <v>889</v>
      </c>
      <c r="B81" s="40" t="str">
        <f>CONCATENATE("PS-",TEXT(A81,"00"),"-",I81)</f>
        <v>PS-N04-ROB1</v>
      </c>
      <c r="C81" s="52" t="str">
        <f>CONCATENATE("Poste de Sectionnement n°",TEXT(A81,"00")," ",I81)</f>
        <v>Poste de Sectionnement n°N04 ROB1</v>
      </c>
      <c r="D81" s="19">
        <v>44089</v>
      </c>
      <c r="E81" s="19">
        <v>44089</v>
      </c>
      <c r="F81" s="42"/>
      <c r="G81" s="42"/>
      <c r="H81" s="42"/>
      <c r="I81" s="42" t="s">
        <v>884</v>
      </c>
      <c r="J81" s="42" t="s">
        <v>905</v>
      </c>
      <c r="K81" s="53">
        <f t="shared" si="26"/>
        <v>645.59</v>
      </c>
      <c r="L81" s="44">
        <f t="shared" si="27"/>
        <v>55.241</v>
      </c>
      <c r="M81" s="42" t="s">
        <v>990</v>
      </c>
      <c r="N81" s="52" t="str">
        <f t="shared" si="28"/>
        <v>(N04,'PS-N04-ROB1','Poste de Sectionnement n°N04 ROB1','2020-09-15','2020-09-15',,,),</v>
      </c>
    </row>
    <row r="82" spans="1:14" ht="20.149999999999999" customHeight="1" x14ac:dyDescent="0.35">
      <c r="A82" s="39" t="s">
        <v>890</v>
      </c>
      <c r="B82" s="40" t="str">
        <f t="shared" si="29"/>
        <v>PS-N05-ROB1</v>
      </c>
      <c r="C82" s="52" t="str">
        <f t="shared" si="30"/>
        <v>Poste de Sectionnement n°N05 ROB1</v>
      </c>
      <c r="D82" s="19">
        <v>44089</v>
      </c>
      <c r="E82" s="19">
        <v>44089</v>
      </c>
      <c r="F82" s="42"/>
      <c r="G82" s="42"/>
      <c r="H82" s="42"/>
      <c r="I82" s="42" t="s">
        <v>884</v>
      </c>
      <c r="J82" s="42" t="s">
        <v>906</v>
      </c>
      <c r="K82" s="53">
        <f t="shared" si="26"/>
        <v>499.52</v>
      </c>
      <c r="L82" s="44">
        <f t="shared" si="27"/>
        <v>66.156999999999996</v>
      </c>
      <c r="M82" s="42" t="s">
        <v>990</v>
      </c>
      <c r="N82" s="52" t="str">
        <f t="shared" si="28"/>
        <v>(N05,'PS-N05-ROB1','Poste de Sectionnement n°N05 ROB1','2020-09-15','2020-09-15',,,),</v>
      </c>
    </row>
    <row r="83" spans="1:14" ht="20.149999999999999" customHeight="1" x14ac:dyDescent="0.35">
      <c r="A83" s="39" t="s">
        <v>892</v>
      </c>
      <c r="B83" s="40" t="str">
        <f t="shared" ref="B83:B91" si="31">CONCATENATE("PS-",TEXT(A83,"00"),"-",I83)</f>
        <v>PS-N06-ROB1</v>
      </c>
      <c r="C83" s="52" t="str">
        <f t="shared" ref="C83:C91" si="32">CONCATENATE("Poste de Sectionnement n°",TEXT(A83,"00")," ",I83)</f>
        <v>Poste de Sectionnement n°N06 ROB1</v>
      </c>
      <c r="D83" s="19">
        <v>44089</v>
      </c>
      <c r="E83" s="19">
        <v>44089</v>
      </c>
      <c r="F83" s="42"/>
      <c r="G83" s="42"/>
      <c r="H83" s="42"/>
      <c r="I83" s="42" t="s">
        <v>884</v>
      </c>
      <c r="J83" s="42" t="s">
        <v>907</v>
      </c>
      <c r="K83" s="53">
        <f t="shared" si="26"/>
        <v>383.8</v>
      </c>
      <c r="L83" s="44">
        <f t="shared" si="27"/>
        <v>80.11</v>
      </c>
      <c r="M83" s="42" t="s">
        <v>991</v>
      </c>
      <c r="N83" s="52" t="str">
        <f t="shared" si="28"/>
        <v>(N06,'PS-N06-ROB1','Poste de Sectionnement n°N06 ROB1','2020-09-15','2020-09-15',,,),</v>
      </c>
    </row>
    <row r="84" spans="1:14" ht="20.149999999999999" customHeight="1" x14ac:dyDescent="0.35">
      <c r="A84" s="39" t="s">
        <v>900</v>
      </c>
      <c r="B84" s="40" t="str">
        <f t="shared" si="31"/>
        <v>PS-N06Bis-ROB1</v>
      </c>
      <c r="C84" s="52" t="str">
        <f t="shared" si="32"/>
        <v>Poste de Sectionnement n°N06Bis ROB1</v>
      </c>
      <c r="D84" s="19">
        <v>44089</v>
      </c>
      <c r="E84" s="19">
        <v>44089</v>
      </c>
      <c r="F84" s="42"/>
      <c r="G84" s="42"/>
      <c r="H84" s="42"/>
      <c r="I84" s="42" t="s">
        <v>884</v>
      </c>
      <c r="J84" s="42" t="s">
        <v>908</v>
      </c>
      <c r="K84" s="53">
        <f t="shared" si="26"/>
        <v>348.31</v>
      </c>
      <c r="L84" s="44">
        <f t="shared" si="27"/>
        <v>87.917000000000002</v>
      </c>
      <c r="M84" s="42" t="s">
        <v>992</v>
      </c>
      <c r="N84" s="52" t="str">
        <f t="shared" si="28"/>
        <v>(N06Bis,'PS-N06Bis-ROB1','Poste de Sectionnement n°N06Bis ROB1','2020-09-15','2020-09-15',,,),</v>
      </c>
    </row>
    <row r="85" spans="1:14" ht="20.149999999999999" customHeight="1" x14ac:dyDescent="0.35">
      <c r="A85" s="39" t="s">
        <v>893</v>
      </c>
      <c r="B85" s="40" t="str">
        <f t="shared" si="31"/>
        <v>PS-N07-ROB1</v>
      </c>
      <c r="C85" s="52" t="str">
        <f t="shared" si="32"/>
        <v>Poste de Sectionnement n°N07 ROB1</v>
      </c>
      <c r="D85" s="19">
        <v>44089</v>
      </c>
      <c r="E85" s="19">
        <v>44089</v>
      </c>
      <c r="F85" s="42"/>
      <c r="G85" s="42"/>
      <c r="H85" s="42"/>
      <c r="I85" s="42" t="s">
        <v>884</v>
      </c>
      <c r="J85" s="42" t="s">
        <v>909</v>
      </c>
      <c r="K85" s="53">
        <f t="shared" si="26"/>
        <v>228.55</v>
      </c>
      <c r="L85" s="44">
        <f t="shared" si="27"/>
        <v>99.33</v>
      </c>
      <c r="M85" s="42" t="s">
        <v>993</v>
      </c>
      <c r="N85" s="52" t="str">
        <f t="shared" si="28"/>
        <v>(N07,'PS-N07-ROB1','Poste de Sectionnement n°N07 ROB1','2020-09-15','2020-09-15',,,),</v>
      </c>
    </row>
    <row r="86" spans="1:14" ht="20.149999999999999" customHeight="1" x14ac:dyDescent="0.35">
      <c r="A86" s="39" t="s">
        <v>894</v>
      </c>
      <c r="B86" s="40" t="str">
        <f t="shared" si="31"/>
        <v>PS-N08-ROB1</v>
      </c>
      <c r="C86" s="52" t="str">
        <f t="shared" si="32"/>
        <v>Poste de Sectionnement n°N08 ROB1</v>
      </c>
      <c r="D86" s="19">
        <v>44089</v>
      </c>
      <c r="E86" s="19">
        <v>44089</v>
      </c>
      <c r="F86" s="42"/>
      <c r="G86" s="42"/>
      <c r="H86" s="42"/>
      <c r="I86" s="42" t="s">
        <v>884</v>
      </c>
      <c r="J86" s="42" t="s">
        <v>910</v>
      </c>
      <c r="K86" s="53">
        <f t="shared" si="26"/>
        <v>183.24</v>
      </c>
      <c r="L86" s="44">
        <f t="shared" si="27"/>
        <v>111.46299999999999</v>
      </c>
      <c r="M86" s="42" t="s">
        <v>994</v>
      </c>
      <c r="N86" s="52" t="str">
        <f t="shared" si="28"/>
        <v>(N08,'PS-N08-ROB1','Poste de Sectionnement n°N08 ROB1','2020-09-15','2020-09-15',,,),</v>
      </c>
    </row>
    <row r="87" spans="1:14" ht="20.149999999999999" customHeight="1" x14ac:dyDescent="0.35">
      <c r="A87" s="39" t="s">
        <v>895</v>
      </c>
      <c r="B87" s="40" t="str">
        <f t="shared" si="31"/>
        <v>PS-N09-ROB1</v>
      </c>
      <c r="C87" s="52" t="str">
        <f t="shared" si="32"/>
        <v>Poste de Sectionnement n°N09 ROB1</v>
      </c>
      <c r="D87" s="19">
        <v>44089</v>
      </c>
      <c r="E87" s="19">
        <v>44089</v>
      </c>
      <c r="F87" s="42"/>
      <c r="G87" s="42"/>
      <c r="H87" s="42"/>
      <c r="I87" s="42" t="s">
        <v>884</v>
      </c>
      <c r="J87" s="42" t="s">
        <v>911</v>
      </c>
      <c r="K87" s="53">
        <f t="shared" si="26"/>
        <v>138.97</v>
      </c>
      <c r="L87" s="44">
        <f t="shared" si="27"/>
        <v>122.13</v>
      </c>
      <c r="M87" s="42" t="s">
        <v>995</v>
      </c>
      <c r="N87" s="52" t="str">
        <f t="shared" si="28"/>
        <v>(N09,'PS-N09-ROB1','Poste de Sectionnement n°N09 ROB1','2020-09-15','2020-09-15',,,),</v>
      </c>
    </row>
    <row r="88" spans="1:14" ht="20.149999999999999" customHeight="1" x14ac:dyDescent="0.35">
      <c r="A88" s="39" t="s">
        <v>896</v>
      </c>
      <c r="B88" s="40" t="str">
        <f t="shared" si="31"/>
        <v>PS-N10-ROB1</v>
      </c>
      <c r="C88" s="52" t="str">
        <f t="shared" si="32"/>
        <v>Poste de Sectionnement n°N10 ROB1</v>
      </c>
      <c r="D88" s="19">
        <v>44089</v>
      </c>
      <c r="E88" s="19">
        <v>44089</v>
      </c>
      <c r="F88" s="42"/>
      <c r="G88" s="42"/>
      <c r="H88" s="42"/>
      <c r="I88" s="42" t="s">
        <v>884</v>
      </c>
      <c r="J88" s="42" t="s">
        <v>912</v>
      </c>
      <c r="K88" s="53">
        <f t="shared" si="26"/>
        <v>97.74</v>
      </c>
      <c r="L88" s="44">
        <f t="shared" si="27"/>
        <v>133.07</v>
      </c>
      <c r="M88" s="42" t="s">
        <v>996</v>
      </c>
      <c r="N88" s="52" t="str">
        <f t="shared" si="28"/>
        <v>(N10,'PS-N10-ROB1','Poste de Sectionnement n°N10 ROB1','2020-09-15','2020-09-15',,,),</v>
      </c>
    </row>
    <row r="89" spans="1:14" ht="20.149999999999999" customHeight="1" x14ac:dyDescent="0.35">
      <c r="A89" s="39" t="s">
        <v>897</v>
      </c>
      <c r="B89" s="40" t="str">
        <f t="shared" si="31"/>
        <v>PS-N11-ROB1</v>
      </c>
      <c r="C89" s="52" t="str">
        <f t="shared" si="32"/>
        <v>Poste de Sectionnement n°N11 ROB1</v>
      </c>
      <c r="D89" s="19">
        <v>44089</v>
      </c>
      <c r="E89" s="19">
        <v>44089</v>
      </c>
      <c r="F89" s="42"/>
      <c r="G89" s="42"/>
      <c r="H89" s="42"/>
      <c r="I89" s="42" t="s">
        <v>884</v>
      </c>
      <c r="J89" s="42" t="s">
        <v>913</v>
      </c>
      <c r="K89" s="53">
        <f t="shared" si="26"/>
        <v>64.069999999999993</v>
      </c>
      <c r="L89" s="44">
        <f t="shared" si="27"/>
        <v>145.178</v>
      </c>
      <c r="M89" s="42" t="s">
        <v>997</v>
      </c>
      <c r="N89" s="52" t="str">
        <f t="shared" si="28"/>
        <v>(N11,'PS-N11-ROB1','Poste de Sectionnement n°N11 ROB1','2020-09-15','2020-09-15',,,),</v>
      </c>
    </row>
    <row r="90" spans="1:14" ht="20.149999999999999" customHeight="1" x14ac:dyDescent="0.35">
      <c r="A90" s="39" t="s">
        <v>898</v>
      </c>
      <c r="B90" s="40" t="str">
        <f t="shared" si="31"/>
        <v>PS-N12-ROB1</v>
      </c>
      <c r="C90" s="52" t="str">
        <f t="shared" si="32"/>
        <v>Poste de Sectionnement n°N12 ROB1</v>
      </c>
      <c r="D90" s="19">
        <v>44089</v>
      </c>
      <c r="E90" s="19">
        <v>44089</v>
      </c>
      <c r="F90" s="42"/>
      <c r="G90" s="42"/>
      <c r="H90" s="42"/>
      <c r="I90" s="42" t="s">
        <v>884</v>
      </c>
      <c r="J90" s="42" t="s">
        <v>914</v>
      </c>
      <c r="K90" s="53">
        <f t="shared" si="26"/>
        <v>33.68</v>
      </c>
      <c r="L90" s="44">
        <f t="shared" si="27"/>
        <v>155.577</v>
      </c>
      <c r="M90" s="42" t="s">
        <v>998</v>
      </c>
      <c r="N90" s="52" t="str">
        <f t="shared" si="28"/>
        <v>(N12,'PS-N12-ROB1','Poste de Sectionnement n°N12 ROB1','2020-09-15','2020-09-15',,,),</v>
      </c>
    </row>
    <row r="91" spans="1:14" ht="20.149999999999999" customHeight="1" x14ac:dyDescent="0.35">
      <c r="A91" s="39" t="s">
        <v>899</v>
      </c>
      <c r="B91" s="40" t="str">
        <f t="shared" si="31"/>
        <v>PS-N13-ROB1</v>
      </c>
      <c r="C91" s="52" t="str">
        <f t="shared" si="32"/>
        <v>Poste de Sectionnement n°N13 ROB1</v>
      </c>
      <c r="D91" s="19">
        <v>44089</v>
      </c>
      <c r="E91" s="19">
        <v>44089</v>
      </c>
      <c r="F91" s="42"/>
      <c r="G91" s="42"/>
      <c r="H91" s="42"/>
      <c r="I91" s="42" t="s">
        <v>884</v>
      </c>
      <c r="J91" s="42" t="s">
        <v>915</v>
      </c>
      <c r="K91" s="53">
        <f t="shared" si="26"/>
        <v>13.17</v>
      </c>
      <c r="L91" s="44">
        <f t="shared" si="27"/>
        <v>166.18100000000001</v>
      </c>
      <c r="M91" s="42" t="s">
        <v>999</v>
      </c>
      <c r="N91" s="52" t="str">
        <f t="shared" si="28"/>
        <v>(N13,'PS-N13-ROB1','Poste de Sectionnement n°N13 ROB1','2020-09-15','2020-09-15',,,),</v>
      </c>
    </row>
    <row r="92" spans="1:14" ht="20.149999999999999" customHeight="1" x14ac:dyDescent="0.35">
      <c r="A92" s="39" t="s">
        <v>885</v>
      </c>
      <c r="B92" s="40" t="str">
        <f t="shared" ref="B92:B113" si="33">CONCATENATE("PS-",TEXT(A92,"00"),"-",I92)</f>
        <v>PS-S01-ROB1</v>
      </c>
      <c r="C92" s="52" t="str">
        <f t="shared" ref="C92:C113" si="34">CONCATENATE("Poste de Sectionnement n°",TEXT(A92,"00")," ",I92)</f>
        <v>Poste de Sectionnement n°S01 ROB1</v>
      </c>
      <c r="D92" s="19">
        <v>45231</v>
      </c>
      <c r="E92" s="19">
        <v>45231</v>
      </c>
      <c r="F92" s="42"/>
      <c r="G92" s="42"/>
      <c r="H92" s="42"/>
      <c r="I92" s="42" t="s">
        <v>884</v>
      </c>
      <c r="J92" s="42" t="s">
        <v>937</v>
      </c>
      <c r="K92" s="53">
        <f t="shared" si="26"/>
        <v>163</v>
      </c>
      <c r="L92" s="44">
        <f t="shared" si="27"/>
        <v>19</v>
      </c>
      <c r="M92" s="42" t="s">
        <v>959</v>
      </c>
      <c r="N92" s="52" t="str">
        <f t="shared" si="28"/>
        <v>(S01,'PS-S01-ROB1','Poste de Sectionnement n°S01 ROB1','2023-11-01','2023-11-01',,,),</v>
      </c>
    </row>
    <row r="93" spans="1:14" ht="20.149999999999999" customHeight="1" x14ac:dyDescent="0.35">
      <c r="A93" s="39" t="s">
        <v>916</v>
      </c>
      <c r="B93" s="40" t="str">
        <f t="shared" si="33"/>
        <v>PS-S02-ROB1</v>
      </c>
      <c r="C93" s="52" t="str">
        <f t="shared" si="34"/>
        <v>Poste de Sectionnement n°S02 ROB1</v>
      </c>
      <c r="D93" s="19">
        <v>45231</v>
      </c>
      <c r="E93" s="19">
        <v>45231</v>
      </c>
      <c r="F93" s="42"/>
      <c r="G93" s="42"/>
      <c r="H93" s="42"/>
      <c r="I93" s="42" t="s">
        <v>884</v>
      </c>
      <c r="J93" s="42" t="s">
        <v>938</v>
      </c>
      <c r="K93" s="53">
        <f t="shared" si="26"/>
        <v>140</v>
      </c>
      <c r="L93" s="44">
        <f t="shared" si="27"/>
        <v>38</v>
      </c>
      <c r="M93" s="42" t="s">
        <v>959</v>
      </c>
      <c r="N93" s="52" t="str">
        <f t="shared" si="28"/>
        <v>(S02,'PS-S02-ROB1','Poste de Sectionnement n°S02 ROB1','2023-11-01','2023-11-01',,,),</v>
      </c>
    </row>
    <row r="94" spans="1:14" ht="20.149999999999999" customHeight="1" x14ac:dyDescent="0.35">
      <c r="A94" s="39" t="s">
        <v>917</v>
      </c>
      <c r="B94" s="40" t="str">
        <f t="shared" si="33"/>
        <v>PS-S03-ROB1</v>
      </c>
      <c r="C94" s="52" t="str">
        <f t="shared" si="34"/>
        <v>Poste de Sectionnement n°S03 ROB1</v>
      </c>
      <c r="D94" s="19">
        <v>45231</v>
      </c>
      <c r="E94" s="19">
        <v>45231</v>
      </c>
      <c r="F94" s="42"/>
      <c r="G94" s="42"/>
      <c r="H94" s="42"/>
      <c r="I94" s="42" t="s">
        <v>884</v>
      </c>
      <c r="J94" s="42" t="s">
        <v>939</v>
      </c>
      <c r="K94" s="53">
        <f t="shared" si="26"/>
        <v>130</v>
      </c>
      <c r="L94" s="44">
        <f t="shared" si="27"/>
        <v>60</v>
      </c>
      <c r="M94" s="42" t="s">
        <v>960</v>
      </c>
      <c r="N94" s="52" t="str">
        <f t="shared" si="28"/>
        <v>(S03,'PS-S03-ROB1','Poste de Sectionnement n°S03 ROB1','2023-11-01','2023-11-01',,,),</v>
      </c>
    </row>
    <row r="95" spans="1:14" ht="20.149999999999999" customHeight="1" x14ac:dyDescent="0.35">
      <c r="A95" s="39" t="s">
        <v>918</v>
      </c>
      <c r="B95" s="40" t="str">
        <f t="shared" si="33"/>
        <v>PS-S04-ROB1</v>
      </c>
      <c r="C95" s="52" t="str">
        <f t="shared" si="34"/>
        <v>Poste de Sectionnement n°S04 ROB1</v>
      </c>
      <c r="D95" s="19">
        <v>45231</v>
      </c>
      <c r="E95" s="19">
        <v>45231</v>
      </c>
      <c r="F95" s="42"/>
      <c r="G95" s="42"/>
      <c r="H95" s="42"/>
      <c r="I95" s="42" t="s">
        <v>884</v>
      </c>
      <c r="J95" s="42" t="s">
        <v>940</v>
      </c>
      <c r="K95" s="53">
        <f t="shared" si="26"/>
        <v>123</v>
      </c>
      <c r="L95" s="44">
        <f t="shared" si="27"/>
        <v>77</v>
      </c>
      <c r="M95" s="42" t="s">
        <v>960</v>
      </c>
      <c r="N95" s="52" t="str">
        <f t="shared" si="28"/>
        <v>(S04,'PS-S04-ROB1','Poste de Sectionnement n°S04 ROB1','2023-11-01','2023-11-01',,,),</v>
      </c>
    </row>
    <row r="96" spans="1:14" ht="20.149999999999999" customHeight="1" x14ac:dyDescent="0.35">
      <c r="A96" s="39" t="s">
        <v>919</v>
      </c>
      <c r="B96" s="40" t="str">
        <f t="shared" si="33"/>
        <v>PS-S05-ROB1</v>
      </c>
      <c r="C96" s="52" t="str">
        <f t="shared" si="34"/>
        <v>Poste de Sectionnement n°S05 ROB1</v>
      </c>
      <c r="D96" s="19">
        <v>45231</v>
      </c>
      <c r="E96" s="19">
        <v>45231</v>
      </c>
      <c r="F96" s="42"/>
      <c r="G96" s="42"/>
      <c r="H96" s="42"/>
      <c r="I96" s="42" t="s">
        <v>884</v>
      </c>
      <c r="J96" s="42" t="s">
        <v>941</v>
      </c>
      <c r="K96" s="53">
        <f t="shared" si="26"/>
        <v>106</v>
      </c>
      <c r="L96" s="44">
        <f t="shared" si="27"/>
        <v>97</v>
      </c>
      <c r="M96" s="42" t="s">
        <v>960</v>
      </c>
      <c r="N96" s="52" t="str">
        <f t="shared" si="28"/>
        <v>(S05,'PS-S05-ROB1','Poste de Sectionnement n°S05 ROB1','2023-11-01','2023-11-01',,,),</v>
      </c>
    </row>
    <row r="97" spans="1:14" ht="20.149999999999999" customHeight="1" x14ac:dyDescent="0.35">
      <c r="A97" s="39" t="s">
        <v>920</v>
      </c>
      <c r="B97" s="40" t="str">
        <f t="shared" si="33"/>
        <v>PS-S06-ROB1</v>
      </c>
      <c r="C97" s="52" t="str">
        <f t="shared" si="34"/>
        <v>Poste de Sectionnement n°S06 ROB1</v>
      </c>
      <c r="D97" s="19">
        <v>45231</v>
      </c>
      <c r="E97" s="19">
        <v>45231</v>
      </c>
      <c r="F97" s="42"/>
      <c r="G97" s="42"/>
      <c r="H97" s="42"/>
      <c r="I97" s="42" t="s">
        <v>884</v>
      </c>
      <c r="J97" s="42" t="s">
        <v>942</v>
      </c>
      <c r="K97" s="53">
        <f t="shared" ref="K97:K113" si="35">VALUE(RIGHT(J97,LEN(J97)-SEARCH("/",J97)))</f>
        <v>98</v>
      </c>
      <c r="L97" s="44">
        <f t="shared" ref="L97:L113" si="36">VALUE(SUBSTITUTE(LEFT(J97,SEARCH("/",J97)-1),"+",","))</f>
        <v>117</v>
      </c>
      <c r="M97" s="42" t="s">
        <v>960</v>
      </c>
      <c r="N97" s="52" t="str">
        <f t="shared" ref="N97:N113" si="37">CONCATENATE("(",A97,",'",B97,"','",C97,"','",TEXT(D97,"aaaa-mm-jj"),"','",TEXT(E97,"aaaa-mm-jj"),"',",F97,",",G97,",",H97,"),")</f>
        <v>(S06,'PS-S06-ROB1','Poste de Sectionnement n°S06 ROB1','2023-11-01','2023-11-01',,,),</v>
      </c>
    </row>
    <row r="98" spans="1:14" ht="20.149999999999999" customHeight="1" x14ac:dyDescent="0.35">
      <c r="A98" s="39" t="s">
        <v>921</v>
      </c>
      <c r="B98" s="40" t="str">
        <f t="shared" si="33"/>
        <v>PS-S07-ROB1</v>
      </c>
      <c r="C98" s="52" t="str">
        <f t="shared" si="34"/>
        <v>Poste de Sectionnement n°S07 ROB1</v>
      </c>
      <c r="D98" s="19">
        <v>45231</v>
      </c>
      <c r="E98" s="19">
        <v>45231</v>
      </c>
      <c r="F98" s="42"/>
      <c r="G98" s="42"/>
      <c r="H98" s="42"/>
      <c r="I98" s="42" t="s">
        <v>884</v>
      </c>
      <c r="J98" s="42" t="s">
        <v>943</v>
      </c>
      <c r="K98" s="53">
        <f t="shared" si="35"/>
        <v>86</v>
      </c>
      <c r="L98" s="44">
        <f t="shared" si="36"/>
        <v>135</v>
      </c>
      <c r="M98" s="42" t="s">
        <v>961</v>
      </c>
      <c r="N98" s="52" t="str">
        <f t="shared" si="37"/>
        <v>(S07,'PS-S07-ROB1','Poste de Sectionnement n°S07 ROB1','2023-11-01','2023-11-01',,,),</v>
      </c>
    </row>
    <row r="99" spans="1:14" ht="20.149999999999999" customHeight="1" x14ac:dyDescent="0.35">
      <c r="A99" s="39" t="s">
        <v>922</v>
      </c>
      <c r="B99" s="40" t="str">
        <f t="shared" si="33"/>
        <v>PS-S08-ROB1</v>
      </c>
      <c r="C99" s="52" t="str">
        <f t="shared" si="34"/>
        <v>Poste de Sectionnement n°S08 ROB1</v>
      </c>
      <c r="D99" s="19">
        <v>45231</v>
      </c>
      <c r="E99" s="19">
        <v>45231</v>
      </c>
      <c r="F99" s="42"/>
      <c r="G99" s="42"/>
      <c r="H99" s="42"/>
      <c r="I99" s="42" t="s">
        <v>884</v>
      </c>
      <c r="J99" s="42" t="s">
        <v>944</v>
      </c>
      <c r="K99" s="53">
        <f t="shared" si="35"/>
        <v>69</v>
      </c>
      <c r="L99" s="44">
        <f t="shared" si="36"/>
        <v>154</v>
      </c>
      <c r="M99" s="42" t="s">
        <v>962</v>
      </c>
      <c r="N99" s="52" t="str">
        <f t="shared" si="37"/>
        <v>(S08,'PS-S08-ROB1','Poste de Sectionnement n°S08 ROB1','2023-11-01','2023-11-01',,,),</v>
      </c>
    </row>
    <row r="100" spans="1:14" ht="20.149999999999999" customHeight="1" x14ac:dyDescent="0.35">
      <c r="A100" s="39" t="s">
        <v>923</v>
      </c>
      <c r="B100" s="40" t="str">
        <f t="shared" si="33"/>
        <v>PS-S09-ROB1</v>
      </c>
      <c r="C100" s="52" t="str">
        <f t="shared" si="34"/>
        <v>Poste de Sectionnement n°S09 ROB1</v>
      </c>
      <c r="D100" s="19">
        <v>45231</v>
      </c>
      <c r="E100" s="19">
        <v>45231</v>
      </c>
      <c r="F100" s="42"/>
      <c r="G100" s="42"/>
      <c r="H100" s="42"/>
      <c r="I100" s="42" t="s">
        <v>884</v>
      </c>
      <c r="J100" s="42" t="s">
        <v>945</v>
      </c>
      <c r="K100" s="53">
        <f t="shared" si="35"/>
        <v>71</v>
      </c>
      <c r="L100" s="44">
        <f t="shared" si="36"/>
        <v>174</v>
      </c>
      <c r="M100" s="42" t="s">
        <v>963</v>
      </c>
      <c r="N100" s="52" t="str">
        <f t="shared" si="37"/>
        <v>(S09,'PS-S09-ROB1','Poste de Sectionnement n°S09 ROB1','2023-11-01','2023-11-01',,,),</v>
      </c>
    </row>
    <row r="101" spans="1:14" ht="20.149999999999999" customHeight="1" x14ac:dyDescent="0.35">
      <c r="A101" s="39" t="s">
        <v>924</v>
      </c>
      <c r="B101" s="40" t="str">
        <f t="shared" si="33"/>
        <v>PS-S10-ROB1</v>
      </c>
      <c r="C101" s="52" t="str">
        <f t="shared" si="34"/>
        <v>Poste de Sectionnement n°S10 ROB1</v>
      </c>
      <c r="D101" s="19">
        <v>46388</v>
      </c>
      <c r="E101" s="19">
        <v>46388</v>
      </c>
      <c r="F101" s="42"/>
      <c r="G101" s="42"/>
      <c r="H101" s="42"/>
      <c r="I101" s="42" t="s">
        <v>884</v>
      </c>
      <c r="J101" s="42" t="s">
        <v>946</v>
      </c>
      <c r="K101" s="53">
        <f t="shared" si="35"/>
        <v>106</v>
      </c>
      <c r="L101" s="44">
        <f t="shared" si="36"/>
        <v>211</v>
      </c>
      <c r="M101" s="42" t="s">
        <v>964</v>
      </c>
      <c r="N101" s="52" t="str">
        <f t="shared" si="37"/>
        <v>(S10,'PS-S10-ROB1','Poste de Sectionnement n°S10 ROB1','2027-01-01','2027-01-01',,,),</v>
      </c>
    </row>
    <row r="102" spans="1:14" ht="20.149999999999999" customHeight="1" x14ac:dyDescent="0.35">
      <c r="A102" s="39" t="s">
        <v>925</v>
      </c>
      <c r="B102" s="40" t="str">
        <f t="shared" si="33"/>
        <v>PS-S11-ROB1</v>
      </c>
      <c r="C102" s="52" t="str">
        <f t="shared" si="34"/>
        <v>Poste de Sectionnement n°S11 ROB1</v>
      </c>
      <c r="D102" s="19">
        <v>46388</v>
      </c>
      <c r="E102" s="19">
        <v>46388</v>
      </c>
      <c r="F102" s="42"/>
      <c r="G102" s="42"/>
      <c r="H102" s="42"/>
      <c r="I102" s="42" t="s">
        <v>884</v>
      </c>
      <c r="J102" s="42" t="s">
        <v>947</v>
      </c>
      <c r="K102" s="53">
        <f t="shared" si="35"/>
        <v>63</v>
      </c>
      <c r="L102" s="44">
        <f t="shared" si="36"/>
        <v>231</v>
      </c>
      <c r="M102" s="42" t="s">
        <v>965</v>
      </c>
      <c r="N102" s="52" t="str">
        <f t="shared" si="37"/>
        <v>(S11,'PS-S11-ROB1','Poste de Sectionnement n°S11 ROB1','2027-01-01','2027-01-01',,,),</v>
      </c>
    </row>
    <row r="103" spans="1:14" ht="20.149999999999999" customHeight="1" x14ac:dyDescent="0.35">
      <c r="A103" s="39" t="s">
        <v>926</v>
      </c>
      <c r="B103" s="40" t="str">
        <f t="shared" si="33"/>
        <v>PS-S12-ROB1</v>
      </c>
      <c r="C103" s="52" t="str">
        <f t="shared" si="34"/>
        <v>Poste de Sectionnement n°S12 ROB1</v>
      </c>
      <c r="D103" s="19">
        <v>46388</v>
      </c>
      <c r="E103" s="19">
        <v>46388</v>
      </c>
      <c r="F103" s="42"/>
      <c r="G103" s="42"/>
      <c r="H103" s="42"/>
      <c r="I103" s="42" t="s">
        <v>884</v>
      </c>
      <c r="J103" s="42" t="s">
        <v>948</v>
      </c>
      <c r="K103" s="53">
        <f t="shared" si="35"/>
        <v>79</v>
      </c>
      <c r="L103" s="44">
        <f t="shared" si="36"/>
        <v>251</v>
      </c>
      <c r="M103" s="42" t="s">
        <v>966</v>
      </c>
      <c r="N103" s="52" t="str">
        <f t="shared" si="37"/>
        <v>(S12,'PS-S12-ROB1','Poste de Sectionnement n°S12 ROB1','2027-01-01','2027-01-01',,,),</v>
      </c>
    </row>
    <row r="104" spans="1:14" ht="20.149999999999999" customHeight="1" x14ac:dyDescent="0.35">
      <c r="A104" s="39" t="s">
        <v>927</v>
      </c>
      <c r="B104" s="40" t="str">
        <f t="shared" si="33"/>
        <v>PS-S13-ROB1</v>
      </c>
      <c r="C104" s="52" t="str">
        <f t="shared" si="34"/>
        <v>Poste de Sectionnement n°S13 ROB1</v>
      </c>
      <c r="D104" s="19">
        <v>46388</v>
      </c>
      <c r="E104" s="19">
        <v>46388</v>
      </c>
      <c r="F104" s="42"/>
      <c r="G104" s="42"/>
      <c r="H104" s="42"/>
      <c r="I104" s="42" t="s">
        <v>884</v>
      </c>
      <c r="J104" s="42" t="s">
        <v>949</v>
      </c>
      <c r="K104" s="53">
        <f t="shared" si="35"/>
        <v>81</v>
      </c>
      <c r="L104" s="44">
        <f t="shared" si="36"/>
        <v>271</v>
      </c>
      <c r="M104" s="42" t="s">
        <v>967</v>
      </c>
      <c r="N104" s="52" t="str">
        <f t="shared" si="37"/>
        <v>(S13,'PS-S13-ROB1','Poste de Sectionnement n°S13 ROB1','2027-01-01','2027-01-01',,,),</v>
      </c>
    </row>
    <row r="105" spans="1:14" ht="20.149999999999999" customHeight="1" x14ac:dyDescent="0.35">
      <c r="A105" s="39" t="s">
        <v>928</v>
      </c>
      <c r="B105" s="40" t="str">
        <f t="shared" si="33"/>
        <v>PS-S14-ROB1</v>
      </c>
      <c r="C105" s="52" t="str">
        <f t="shared" si="34"/>
        <v>Poste de Sectionnement n°S14 ROB1</v>
      </c>
      <c r="D105" s="19">
        <v>46388</v>
      </c>
      <c r="E105" s="19">
        <v>46388</v>
      </c>
      <c r="F105" s="42"/>
      <c r="G105" s="42"/>
      <c r="H105" s="42"/>
      <c r="I105" s="42" t="s">
        <v>884</v>
      </c>
      <c r="J105" s="42" t="s">
        <v>950</v>
      </c>
      <c r="K105" s="53">
        <f t="shared" si="35"/>
        <v>80</v>
      </c>
      <c r="L105" s="44">
        <f t="shared" si="36"/>
        <v>291</v>
      </c>
      <c r="M105" s="42" t="s">
        <v>968</v>
      </c>
      <c r="N105" s="52" t="str">
        <f t="shared" si="37"/>
        <v>(S14,'PS-S14-ROB1','Poste de Sectionnement n°S14 ROB1','2027-01-01','2027-01-01',,,),</v>
      </c>
    </row>
    <row r="106" spans="1:14" ht="20.149999999999999" customHeight="1" x14ac:dyDescent="0.35">
      <c r="A106" s="39" t="s">
        <v>929</v>
      </c>
      <c r="B106" s="40" t="str">
        <f t="shared" si="33"/>
        <v>PS-S15-ROB1</v>
      </c>
      <c r="C106" s="52" t="str">
        <f t="shared" si="34"/>
        <v>Poste de Sectionnement n°S15 ROB1</v>
      </c>
      <c r="D106" s="19">
        <v>46388</v>
      </c>
      <c r="E106" s="19">
        <v>46388</v>
      </c>
      <c r="F106" s="42"/>
      <c r="G106" s="42"/>
      <c r="H106" s="42"/>
      <c r="I106" s="42" t="s">
        <v>884</v>
      </c>
      <c r="J106" s="42" t="s">
        <v>951</v>
      </c>
      <c r="K106" s="53">
        <f t="shared" si="35"/>
        <v>70</v>
      </c>
      <c r="L106" s="44">
        <f t="shared" si="36"/>
        <v>311</v>
      </c>
      <c r="M106" s="42" t="s">
        <v>968</v>
      </c>
      <c r="N106" s="52" t="str">
        <f t="shared" si="37"/>
        <v>(S15,'PS-S15-ROB1','Poste de Sectionnement n°S15 ROB1','2027-01-01','2027-01-01',,,),</v>
      </c>
    </row>
    <row r="107" spans="1:14" ht="20.149999999999999" customHeight="1" x14ac:dyDescent="0.35">
      <c r="A107" s="39" t="s">
        <v>930</v>
      </c>
      <c r="B107" s="40" t="str">
        <f t="shared" si="33"/>
        <v>PS-S16-ROB1</v>
      </c>
      <c r="C107" s="52" t="str">
        <f t="shared" si="34"/>
        <v>Poste de Sectionnement n°S16 ROB1</v>
      </c>
      <c r="D107" s="19">
        <v>46388</v>
      </c>
      <c r="E107" s="19">
        <v>46388</v>
      </c>
      <c r="F107" s="42"/>
      <c r="G107" s="42"/>
      <c r="H107" s="42"/>
      <c r="I107" s="42" t="s">
        <v>884</v>
      </c>
      <c r="J107" s="42" t="s">
        <v>952</v>
      </c>
      <c r="K107" s="53">
        <f t="shared" si="35"/>
        <v>215</v>
      </c>
      <c r="L107" s="44">
        <f t="shared" si="36"/>
        <v>331</v>
      </c>
      <c r="M107" s="42" t="s">
        <v>969</v>
      </c>
      <c r="N107" s="52" t="str">
        <f t="shared" si="37"/>
        <v>(S16,'PS-S16-ROB1','Poste de Sectionnement n°S16 ROB1','2027-01-01','2027-01-01',,,),</v>
      </c>
    </row>
    <row r="108" spans="1:14" ht="20.149999999999999" customHeight="1" x14ac:dyDescent="0.35">
      <c r="A108" s="39" t="s">
        <v>931</v>
      </c>
      <c r="B108" s="40" t="str">
        <f t="shared" si="33"/>
        <v>PS-S17-ROB1</v>
      </c>
      <c r="C108" s="52" t="str">
        <f t="shared" si="34"/>
        <v>Poste de Sectionnement n°S17 ROB1</v>
      </c>
      <c r="D108" s="19">
        <v>46388</v>
      </c>
      <c r="E108" s="19">
        <v>46388</v>
      </c>
      <c r="F108" s="42"/>
      <c r="G108" s="42"/>
      <c r="H108" s="42"/>
      <c r="I108" s="42" t="s">
        <v>884</v>
      </c>
      <c r="J108" s="42" t="s">
        <v>953</v>
      </c>
      <c r="K108" s="53">
        <f t="shared" si="35"/>
        <v>324</v>
      </c>
      <c r="L108" s="44">
        <f t="shared" si="36"/>
        <v>370</v>
      </c>
      <c r="M108" s="42" t="s">
        <v>970</v>
      </c>
      <c r="N108" s="52" t="str">
        <f t="shared" si="37"/>
        <v>(S17,'PS-S17-ROB1','Poste de Sectionnement n°S17 ROB1','2027-01-01','2027-01-01',,,),</v>
      </c>
    </row>
    <row r="109" spans="1:14" ht="20.149999999999999" customHeight="1" x14ac:dyDescent="0.35">
      <c r="A109" s="39" t="s">
        <v>932</v>
      </c>
      <c r="B109" s="40" t="str">
        <f t="shared" si="33"/>
        <v>PS-S18-ROB1</v>
      </c>
      <c r="C109" s="52" t="str">
        <f t="shared" si="34"/>
        <v>Poste de Sectionnement n°S18 ROB1</v>
      </c>
      <c r="D109" s="19">
        <v>46388</v>
      </c>
      <c r="E109" s="19">
        <v>46388</v>
      </c>
      <c r="F109" s="42"/>
      <c r="G109" s="42"/>
      <c r="H109" s="42"/>
      <c r="I109" s="42" t="s">
        <v>884</v>
      </c>
      <c r="J109" s="42" t="s">
        <v>954</v>
      </c>
      <c r="K109" s="53">
        <f t="shared" si="35"/>
        <v>437</v>
      </c>
      <c r="L109" s="44">
        <f t="shared" si="36"/>
        <v>389</v>
      </c>
      <c r="M109" s="42" t="s">
        <v>970</v>
      </c>
      <c r="N109" s="52" t="str">
        <f t="shared" si="37"/>
        <v>(S18,'PS-S18-ROB1','Poste de Sectionnement n°S18 ROB1','2027-01-01','2027-01-01',,,),</v>
      </c>
    </row>
    <row r="110" spans="1:14" ht="20.149999999999999" customHeight="1" x14ac:dyDescent="0.35">
      <c r="A110" s="39" t="s">
        <v>933</v>
      </c>
      <c r="B110" s="40" t="str">
        <f t="shared" si="33"/>
        <v>PS-S19-ROB1</v>
      </c>
      <c r="C110" s="52" t="str">
        <f t="shared" si="34"/>
        <v>Poste de Sectionnement n°S19 ROB1</v>
      </c>
      <c r="D110" s="19">
        <v>46388</v>
      </c>
      <c r="E110" s="19">
        <v>46388</v>
      </c>
      <c r="F110" s="42"/>
      <c r="G110" s="42"/>
      <c r="H110" s="42"/>
      <c r="I110" s="42" t="s">
        <v>884</v>
      </c>
      <c r="J110" s="42" t="s">
        <v>955</v>
      </c>
      <c r="K110" s="53">
        <f t="shared" si="35"/>
        <v>461</v>
      </c>
      <c r="L110" s="44">
        <f t="shared" si="36"/>
        <v>408</v>
      </c>
      <c r="M110" s="42" t="s">
        <v>970</v>
      </c>
      <c r="N110" s="52" t="str">
        <f t="shared" si="37"/>
        <v>(S19,'PS-S19-ROB1','Poste de Sectionnement n°S19 ROB1','2027-01-01','2027-01-01',,,),</v>
      </c>
    </row>
    <row r="111" spans="1:14" ht="20.149999999999999" customHeight="1" x14ac:dyDescent="0.35">
      <c r="A111" s="39" t="s">
        <v>934</v>
      </c>
      <c r="B111" s="40" t="str">
        <f t="shared" si="33"/>
        <v>PS-S20-ROB1</v>
      </c>
      <c r="C111" s="52" t="str">
        <f t="shared" si="34"/>
        <v>Poste de Sectionnement n°S20 ROB1</v>
      </c>
      <c r="D111" s="19">
        <v>46388</v>
      </c>
      <c r="E111" s="19">
        <v>46388</v>
      </c>
      <c r="F111" s="42"/>
      <c r="G111" s="42"/>
      <c r="H111" s="42"/>
      <c r="I111" s="42" t="s">
        <v>884</v>
      </c>
      <c r="J111" s="42" t="s">
        <v>956</v>
      </c>
      <c r="K111" s="53">
        <f t="shared" si="35"/>
        <v>417</v>
      </c>
      <c r="L111" s="44">
        <f t="shared" si="36"/>
        <v>430</v>
      </c>
      <c r="M111" s="42" t="s">
        <v>971</v>
      </c>
      <c r="N111" s="52" t="str">
        <f t="shared" si="37"/>
        <v>(S20,'PS-S20-ROB1','Poste de Sectionnement n°S20 ROB1','2027-01-01','2027-01-01',,,),</v>
      </c>
    </row>
    <row r="112" spans="1:14" ht="20.149999999999999" customHeight="1" x14ac:dyDescent="0.35">
      <c r="A112" s="39" t="s">
        <v>935</v>
      </c>
      <c r="B112" s="40" t="str">
        <f t="shared" si="33"/>
        <v>PS-S21-ROB1</v>
      </c>
      <c r="C112" s="52" t="str">
        <f t="shared" si="34"/>
        <v>Poste de Sectionnement n°S21 ROB1</v>
      </c>
      <c r="D112" s="19">
        <v>46388</v>
      </c>
      <c r="E112" s="19">
        <v>46388</v>
      </c>
      <c r="F112" s="42"/>
      <c r="G112" s="42"/>
      <c r="H112" s="42"/>
      <c r="I112" s="42" t="s">
        <v>884</v>
      </c>
      <c r="J112" s="42" t="s">
        <v>957</v>
      </c>
      <c r="K112" s="53">
        <f t="shared" si="35"/>
        <v>422</v>
      </c>
      <c r="L112" s="44">
        <f t="shared" si="36"/>
        <v>450</v>
      </c>
      <c r="M112" s="42" t="s">
        <v>972</v>
      </c>
      <c r="N112" s="52" t="str">
        <f t="shared" si="37"/>
        <v>(S21,'PS-S21-ROB1','Poste de Sectionnement n°S21 ROB1','2027-01-01','2027-01-01',,,),</v>
      </c>
    </row>
    <row r="113" spans="1:14" ht="20.149999999999999" customHeight="1" x14ac:dyDescent="0.35">
      <c r="A113" s="39" t="s">
        <v>936</v>
      </c>
      <c r="B113" s="40" t="str">
        <f t="shared" si="33"/>
        <v>PS-S22-ROB1</v>
      </c>
      <c r="C113" s="52" t="str">
        <f t="shared" si="34"/>
        <v>Poste de Sectionnement n°S22 ROB1</v>
      </c>
      <c r="D113" s="19">
        <v>46388</v>
      </c>
      <c r="E113" s="19">
        <v>46388</v>
      </c>
      <c r="F113" s="42"/>
      <c r="G113" s="42"/>
      <c r="H113" s="42"/>
      <c r="I113" s="42" t="s">
        <v>884</v>
      </c>
      <c r="J113" s="42" t="s">
        <v>958</v>
      </c>
      <c r="K113" s="53">
        <f t="shared" si="35"/>
        <v>420</v>
      </c>
      <c r="L113" s="44">
        <f t="shared" si="36"/>
        <v>477</v>
      </c>
      <c r="M113" s="42" t="s">
        <v>973</v>
      </c>
      <c r="N113" s="52" t="str">
        <f t="shared" si="37"/>
        <v>(S22,'PS-S22-ROB1','Poste de Sectionnement n°S22 ROB1','2027-01-01','2027-01-01',,,),</v>
      </c>
    </row>
    <row r="114" spans="1:14" ht="20.149999999999999" customHeight="1" x14ac:dyDescent="0.35">
      <c r="A114" s="39">
        <v>1</v>
      </c>
      <c r="B114" s="40" t="str">
        <f t="shared" ref="B114:B121" si="38">CONCATENATE("PS-",TEXT(A114,"00"),"-",I114)</f>
        <v>PS-01-OG1</v>
      </c>
      <c r="C114" s="52" t="str">
        <f t="shared" ref="C114:C121" si="39">CONCATENATE("Poste de Sectionnement n°",TEXT(A114,"00")," ",I114)</f>
        <v>Poste de Sectionnement n°01 OG1</v>
      </c>
      <c r="D114" s="19">
        <v>38537</v>
      </c>
      <c r="E114" s="19">
        <v>38537</v>
      </c>
      <c r="F114" s="42"/>
      <c r="G114" s="42"/>
      <c r="H114" s="42"/>
      <c r="I114" s="42" t="s">
        <v>338</v>
      </c>
      <c r="J114" s="42" t="s">
        <v>981</v>
      </c>
      <c r="K114" s="53">
        <f t="shared" ref="K114:K120" si="40">VALUE(RIGHT(J114,LEN(J114)-SEARCH("/",J114)))</f>
        <v>429</v>
      </c>
      <c r="L114" s="44">
        <f t="shared" ref="L114:L120" si="41">VALUE(SUBSTITUTE(LEFT(J114,SEARCH("/",J114)-1),"+",","))</f>
        <v>18.920000000000002</v>
      </c>
      <c r="M114" s="42" t="s">
        <v>974</v>
      </c>
      <c r="N114" s="52" t="str">
        <f t="shared" ref="N114:N148" si="42">CONCATENATE("(",A114,",'",B114,"','",C114,"','",TEXT(D114,"aaaa-mm-jj"),"','",TEXT(E114,"aaaa-mm-jj"),"',",F114,",",G114,",",H114,"),")</f>
        <v>(1,'PS-01-OG1','Poste de Sectionnement n°01 OG1','2005-07-04','2005-07-04',,,),</v>
      </c>
    </row>
    <row r="115" spans="1:14" ht="20.149999999999999" customHeight="1" x14ac:dyDescent="0.35">
      <c r="A115" s="39">
        <v>2</v>
      </c>
      <c r="B115" s="40" t="str">
        <f t="shared" si="38"/>
        <v>PS-02-OG1</v>
      </c>
      <c r="C115" s="52" t="str">
        <f t="shared" si="39"/>
        <v>Poste de Sectionnement n°02 OG1</v>
      </c>
      <c r="D115" s="19">
        <v>38537</v>
      </c>
      <c r="E115" s="19">
        <v>38537</v>
      </c>
      <c r="F115" s="42"/>
      <c r="G115" s="42"/>
      <c r="H115" s="42"/>
      <c r="I115" s="42" t="s">
        <v>338</v>
      </c>
      <c r="J115" s="42" t="s">
        <v>982</v>
      </c>
      <c r="K115" s="53">
        <f t="shared" si="40"/>
        <v>594</v>
      </c>
      <c r="L115" s="44">
        <f t="shared" si="41"/>
        <v>37.94</v>
      </c>
      <c r="M115" s="42" t="s">
        <v>975</v>
      </c>
      <c r="N115" s="52" t="str">
        <f t="shared" si="42"/>
        <v>(2,'PS-02-OG1','Poste de Sectionnement n°02 OG1','2005-07-04','2005-07-04',,,),</v>
      </c>
    </row>
    <row r="116" spans="1:14" ht="20.149999999999999" customHeight="1" x14ac:dyDescent="0.35">
      <c r="A116" s="39">
        <v>3</v>
      </c>
      <c r="B116" s="40" t="str">
        <f t="shared" si="38"/>
        <v>PS-03-OG1</v>
      </c>
      <c r="C116" s="52" t="str">
        <f t="shared" si="39"/>
        <v>Poste de Sectionnement n°03 OG1</v>
      </c>
      <c r="D116" s="19">
        <v>38537</v>
      </c>
      <c r="E116" s="19">
        <v>38537</v>
      </c>
      <c r="F116" s="42"/>
      <c r="G116" s="42"/>
      <c r="H116" s="42"/>
      <c r="I116" s="42" t="s">
        <v>338</v>
      </c>
      <c r="J116" s="42" t="s">
        <v>983</v>
      </c>
      <c r="K116" s="53">
        <f t="shared" si="40"/>
        <v>733</v>
      </c>
      <c r="L116" s="44">
        <f t="shared" si="41"/>
        <v>60.2</v>
      </c>
      <c r="M116" s="42" t="s">
        <v>976</v>
      </c>
      <c r="N116" s="52" t="str">
        <f t="shared" si="42"/>
        <v>(3,'PS-03-OG1','Poste de Sectionnement n°03 OG1','2005-07-04','2005-07-04',,,),</v>
      </c>
    </row>
    <row r="117" spans="1:14" ht="20.149999999999999" customHeight="1" x14ac:dyDescent="0.35">
      <c r="A117" s="39">
        <v>4</v>
      </c>
      <c r="B117" s="40" t="str">
        <f t="shared" si="38"/>
        <v>PS-04-OG1</v>
      </c>
      <c r="C117" s="52" t="str">
        <f t="shared" si="39"/>
        <v>Poste de Sectionnement n°04 OG1</v>
      </c>
      <c r="D117" s="19">
        <v>38537</v>
      </c>
      <c r="E117" s="19">
        <v>38537</v>
      </c>
      <c r="F117" s="42"/>
      <c r="G117" s="42"/>
      <c r="H117" s="42"/>
      <c r="I117" s="42" t="s">
        <v>338</v>
      </c>
      <c r="J117" s="42" t="s">
        <v>984</v>
      </c>
      <c r="K117" s="53">
        <f t="shared" si="40"/>
        <v>726</v>
      </c>
      <c r="L117" s="44">
        <f t="shared" si="41"/>
        <v>78.84</v>
      </c>
      <c r="M117" s="42" t="s">
        <v>977</v>
      </c>
      <c r="N117" s="52" t="str">
        <f t="shared" si="42"/>
        <v>(4,'PS-04-OG1','Poste de Sectionnement n°04 OG1','2005-07-04','2005-07-04',,,),</v>
      </c>
    </row>
    <row r="118" spans="1:14" ht="20.149999999999999" customHeight="1" x14ac:dyDescent="0.35">
      <c r="A118" s="39">
        <v>5</v>
      </c>
      <c r="B118" s="40" t="str">
        <f t="shared" si="38"/>
        <v>PS-05-OG1</v>
      </c>
      <c r="C118" s="52" t="str">
        <f t="shared" si="39"/>
        <v>Poste de Sectionnement n°05 OG1</v>
      </c>
      <c r="D118" s="19">
        <v>38537</v>
      </c>
      <c r="E118" s="19">
        <v>38537</v>
      </c>
      <c r="F118" s="42"/>
      <c r="G118" s="42"/>
      <c r="H118" s="42"/>
      <c r="I118" s="42" t="s">
        <v>338</v>
      </c>
      <c r="J118" s="42" t="s">
        <v>985</v>
      </c>
      <c r="K118" s="53">
        <f t="shared" si="40"/>
        <v>451</v>
      </c>
      <c r="L118" s="44">
        <f t="shared" si="41"/>
        <v>99.5</v>
      </c>
      <c r="M118" s="42" t="s">
        <v>978</v>
      </c>
      <c r="N118" s="52" t="str">
        <f t="shared" si="42"/>
        <v>(5,'PS-05-OG1','Poste de Sectionnement n°05 OG1','2005-07-04','2005-07-04',,,),</v>
      </c>
    </row>
    <row r="119" spans="1:14" ht="20.149999999999999" customHeight="1" x14ac:dyDescent="0.35">
      <c r="A119" s="39">
        <v>6</v>
      </c>
      <c r="B119" s="40" t="str">
        <f t="shared" si="38"/>
        <v>PS-06-OG1</v>
      </c>
      <c r="C119" s="52" t="str">
        <f t="shared" si="39"/>
        <v>Poste de Sectionnement n°06 OG1</v>
      </c>
      <c r="D119" s="19">
        <v>38537</v>
      </c>
      <c r="E119" s="19">
        <v>38537</v>
      </c>
      <c r="F119" s="42"/>
      <c r="G119" s="42"/>
      <c r="H119" s="42"/>
      <c r="I119" s="42" t="s">
        <v>338</v>
      </c>
      <c r="J119" s="42" t="s">
        <v>986</v>
      </c>
      <c r="K119" s="53">
        <f t="shared" si="40"/>
        <v>772</v>
      </c>
      <c r="L119" s="44">
        <f t="shared" si="41"/>
        <v>123.82</v>
      </c>
      <c r="M119" s="42" t="s">
        <v>979</v>
      </c>
      <c r="N119" s="52" t="str">
        <f t="shared" si="42"/>
        <v>(6,'PS-06-OG1','Poste de Sectionnement n°06 OG1','2005-07-04','2005-07-04',,,),</v>
      </c>
    </row>
    <row r="120" spans="1:14" ht="20.149999999999999" customHeight="1" x14ac:dyDescent="0.35">
      <c r="A120" s="39">
        <v>7</v>
      </c>
      <c r="B120" s="40" t="str">
        <f t="shared" si="38"/>
        <v>PS-07-OG1</v>
      </c>
      <c r="C120" s="52" t="str">
        <f t="shared" si="39"/>
        <v>Poste de Sectionnement n°07 OG1</v>
      </c>
      <c r="D120" s="19">
        <v>38537</v>
      </c>
      <c r="E120" s="19">
        <v>38537</v>
      </c>
      <c r="F120" s="42"/>
      <c r="G120" s="42"/>
      <c r="H120" s="42"/>
      <c r="I120" s="42" t="s">
        <v>338</v>
      </c>
      <c r="J120" s="42" t="s">
        <v>987</v>
      </c>
      <c r="K120" s="53">
        <f t="shared" si="40"/>
        <v>84</v>
      </c>
      <c r="L120" s="44">
        <f t="shared" si="41"/>
        <v>132.44999999999999</v>
      </c>
      <c r="M120" s="42" t="s">
        <v>980</v>
      </c>
      <c r="N120" s="52" t="str">
        <f t="shared" si="42"/>
        <v>(7,'PS-07-OG1','Poste de Sectionnement n°07 OG1','2005-07-04','2005-07-04',,,),</v>
      </c>
    </row>
    <row r="121" spans="1:14" ht="20.149999999999999" customHeight="1" x14ac:dyDescent="0.35">
      <c r="A121" s="39">
        <v>1</v>
      </c>
      <c r="B121" s="40" t="str">
        <f t="shared" si="38"/>
        <v>PS-01-OT1</v>
      </c>
      <c r="C121" s="52" t="str">
        <f t="shared" si="39"/>
        <v>Poste de Sectionnement n°01 OT1</v>
      </c>
      <c r="D121" s="19">
        <v>21916</v>
      </c>
      <c r="E121" s="19">
        <v>21916</v>
      </c>
      <c r="F121" s="42"/>
      <c r="G121" s="42"/>
      <c r="H121" s="42"/>
      <c r="I121" s="42" t="s">
        <v>341</v>
      </c>
      <c r="J121" s="42" t="s">
        <v>1000</v>
      </c>
      <c r="K121" s="53">
        <f t="shared" ref="K121:K127" si="43">VALUE(RIGHT(J121,LEN(J121)-SEARCH("/",J121)))</f>
        <v>544</v>
      </c>
      <c r="L121" s="44">
        <f t="shared" ref="L121:L127" si="44">VALUE(SUBSTITUTE(LEFT(J121,SEARCH("/",J121)-1),"+",","))</f>
        <v>54.1</v>
      </c>
      <c r="M121" s="42" t="s">
        <v>1007</v>
      </c>
      <c r="N121" s="52" t="str">
        <f t="shared" si="42"/>
        <v>(1,'PS-01-OT1','Poste de Sectionnement n°01 OT1','1960-01-01','1960-01-01',,,),</v>
      </c>
    </row>
    <row r="122" spans="1:14" ht="20.149999999999999" customHeight="1" x14ac:dyDescent="0.35">
      <c r="A122" s="39">
        <v>2</v>
      </c>
      <c r="B122" s="40" t="str">
        <f t="shared" ref="B122:B133" si="45">CONCATENATE("PS-",TEXT(A122,"00"),"-",I122)</f>
        <v>PS-02-OT1</v>
      </c>
      <c r="C122" s="52" t="str">
        <f t="shared" ref="C122:C133" si="46">CONCATENATE("Poste de Sectionnement n°",TEXT(A122,"00")," ",I122)</f>
        <v>Poste de Sectionnement n°02 OT1</v>
      </c>
      <c r="D122" s="19">
        <v>21916</v>
      </c>
      <c r="E122" s="19">
        <v>21916</v>
      </c>
      <c r="F122" s="42"/>
      <c r="G122" s="42"/>
      <c r="H122" s="42"/>
      <c r="I122" s="42" t="s">
        <v>341</v>
      </c>
      <c r="J122" s="42" t="s">
        <v>1001</v>
      </c>
      <c r="K122" s="53">
        <f t="shared" si="43"/>
        <v>662</v>
      </c>
      <c r="L122" s="44">
        <f t="shared" si="44"/>
        <v>83.9</v>
      </c>
      <c r="M122" s="42" t="s">
        <v>1007</v>
      </c>
      <c r="N122" s="52" t="str">
        <f t="shared" si="42"/>
        <v>(2,'PS-02-OT1','Poste de Sectionnement n°02 OT1','1960-01-01','1960-01-01',,,),</v>
      </c>
    </row>
    <row r="123" spans="1:14" ht="20.149999999999999" customHeight="1" x14ac:dyDescent="0.35">
      <c r="A123" s="39">
        <v>3</v>
      </c>
      <c r="B123" s="40" t="str">
        <f t="shared" si="45"/>
        <v>PS-03-OT1</v>
      </c>
      <c r="C123" s="52" t="str">
        <f t="shared" si="46"/>
        <v>Poste de Sectionnement n°03 OT1</v>
      </c>
      <c r="D123" s="19">
        <v>21916</v>
      </c>
      <c r="E123" s="19">
        <v>21916</v>
      </c>
      <c r="F123" s="42"/>
      <c r="G123" s="42"/>
      <c r="H123" s="42"/>
      <c r="I123" s="42" t="s">
        <v>341</v>
      </c>
      <c r="J123" s="42" t="s">
        <v>1002</v>
      </c>
      <c r="K123" s="53">
        <f t="shared" si="43"/>
        <v>600</v>
      </c>
      <c r="L123" s="44">
        <f t="shared" si="44"/>
        <v>123.1</v>
      </c>
      <c r="M123" s="42" t="s">
        <v>1007</v>
      </c>
      <c r="N123" s="52" t="str">
        <f t="shared" si="42"/>
        <v>(3,'PS-03-OT1','Poste de Sectionnement n°03 OT1','1960-01-01','1960-01-01',,,),</v>
      </c>
    </row>
    <row r="124" spans="1:14" ht="20.149999999999999" customHeight="1" x14ac:dyDescent="0.35">
      <c r="A124" s="39">
        <v>4</v>
      </c>
      <c r="B124" s="40" t="str">
        <f t="shared" si="45"/>
        <v>PS-04-OT1</v>
      </c>
      <c r="C124" s="52" t="str">
        <f t="shared" si="46"/>
        <v>Poste de Sectionnement n°04 OT1</v>
      </c>
      <c r="D124" s="19">
        <v>21916</v>
      </c>
      <c r="E124" s="19">
        <v>21916</v>
      </c>
      <c r="F124" s="42"/>
      <c r="G124" s="42"/>
      <c r="H124" s="42"/>
      <c r="I124" s="42" t="s">
        <v>341</v>
      </c>
      <c r="J124" s="42" t="s">
        <v>1003</v>
      </c>
      <c r="K124" s="53">
        <f t="shared" si="43"/>
        <v>525</v>
      </c>
      <c r="L124" s="44">
        <f t="shared" si="44"/>
        <v>151</v>
      </c>
      <c r="M124" s="42" t="s">
        <v>1008</v>
      </c>
      <c r="N124" s="52" t="str">
        <f t="shared" si="42"/>
        <v>(4,'PS-04-OT1','Poste de Sectionnement n°04 OT1','1960-01-01','1960-01-01',,,),</v>
      </c>
    </row>
    <row r="125" spans="1:14" ht="20.149999999999999" customHeight="1" x14ac:dyDescent="0.35">
      <c r="A125" s="39">
        <v>5</v>
      </c>
      <c r="B125" s="40" t="str">
        <f t="shared" si="45"/>
        <v>PS-05-OT1</v>
      </c>
      <c r="C125" s="52" t="str">
        <f t="shared" si="46"/>
        <v>Poste de Sectionnement n°05 OT1</v>
      </c>
      <c r="D125" s="19">
        <v>21916</v>
      </c>
      <c r="E125" s="19">
        <v>21916</v>
      </c>
      <c r="F125" s="42"/>
      <c r="G125" s="42"/>
      <c r="H125" s="42"/>
      <c r="I125" s="42" t="s">
        <v>341</v>
      </c>
      <c r="J125" s="42" t="s">
        <v>1004</v>
      </c>
      <c r="K125" s="53">
        <f t="shared" si="43"/>
        <v>400</v>
      </c>
      <c r="L125" s="44">
        <f t="shared" si="44"/>
        <v>210.1</v>
      </c>
      <c r="M125" s="42" t="s">
        <v>1008</v>
      </c>
      <c r="N125" s="52" t="str">
        <f t="shared" si="42"/>
        <v>(5,'PS-05-OT1','Poste de Sectionnement n°05 OT1','1960-01-01','1960-01-01',,,),</v>
      </c>
    </row>
    <row r="126" spans="1:14" ht="20.149999999999999" customHeight="1" x14ac:dyDescent="0.35">
      <c r="A126" s="39">
        <v>6</v>
      </c>
      <c r="B126" s="40" t="str">
        <f t="shared" si="45"/>
        <v>PS-06-OT1</v>
      </c>
      <c r="C126" s="52" t="str">
        <f t="shared" si="46"/>
        <v>Poste de Sectionnement n°06 OT1</v>
      </c>
      <c r="D126" s="19">
        <v>21916</v>
      </c>
      <c r="E126" s="19">
        <v>21916</v>
      </c>
      <c r="F126" s="42"/>
      <c r="G126" s="42"/>
      <c r="H126" s="42"/>
      <c r="I126" s="42" t="s">
        <v>341</v>
      </c>
      <c r="J126" s="42" t="s">
        <v>1005</v>
      </c>
      <c r="K126" s="53">
        <f t="shared" si="43"/>
        <v>315</v>
      </c>
      <c r="L126" s="44">
        <f t="shared" si="44"/>
        <v>240.7</v>
      </c>
      <c r="M126" s="42" t="s">
        <v>1008</v>
      </c>
      <c r="N126" s="52" t="str">
        <f t="shared" si="42"/>
        <v>(6,'PS-06-OT1','Poste de Sectionnement n°06 OT1','1960-01-01','1960-01-01',,,),</v>
      </c>
    </row>
    <row r="127" spans="1:14" ht="20.149999999999999" customHeight="1" x14ac:dyDescent="0.35">
      <c r="A127" s="39">
        <v>7</v>
      </c>
      <c r="B127" s="40" t="str">
        <f t="shared" si="45"/>
        <v>PS-07-OT1</v>
      </c>
      <c r="C127" s="52" t="str">
        <f t="shared" si="46"/>
        <v>Poste de Sectionnement n°07 OT1</v>
      </c>
      <c r="D127" s="19">
        <v>21916</v>
      </c>
      <c r="E127" s="19">
        <v>21916</v>
      </c>
      <c r="F127" s="42"/>
      <c r="G127" s="42"/>
      <c r="H127" s="42"/>
      <c r="I127" s="42" t="s">
        <v>341</v>
      </c>
      <c r="J127" s="42" t="s">
        <v>1006</v>
      </c>
      <c r="K127" s="53">
        <f t="shared" si="43"/>
        <v>280</v>
      </c>
      <c r="L127" s="44">
        <f t="shared" si="44"/>
        <v>263.89999999999998</v>
      </c>
      <c r="M127" s="42" t="s">
        <v>1008</v>
      </c>
      <c r="N127" s="52" t="str">
        <f t="shared" si="42"/>
        <v>(7,'PS-07-OT1','Poste de Sectionnement n°07 OT1','1960-01-01','1960-01-01',,,),</v>
      </c>
    </row>
    <row r="128" spans="1:14" ht="20.149999999999999" customHeight="1" x14ac:dyDescent="0.35">
      <c r="A128" s="39">
        <v>1</v>
      </c>
      <c r="B128" s="40" t="str">
        <f t="shared" si="45"/>
        <v>PS-01-OD1</v>
      </c>
      <c r="C128" s="52" t="str">
        <f t="shared" si="46"/>
        <v>Poste de Sectionnement n°01 OD1</v>
      </c>
      <c r="D128" s="19">
        <v>28207</v>
      </c>
      <c r="E128" s="19">
        <v>28207</v>
      </c>
      <c r="F128" s="42"/>
      <c r="G128" s="42"/>
      <c r="H128" s="42"/>
      <c r="I128" s="42" t="s">
        <v>356</v>
      </c>
      <c r="J128" s="42" t="s">
        <v>1009</v>
      </c>
      <c r="K128" s="53">
        <f t="shared" ref="K128:K131" si="47">VALUE(RIGHT(J128,LEN(J128)-SEARCH("/",J128)))</f>
        <v>224</v>
      </c>
      <c r="L128" s="44">
        <f t="shared" ref="L128:L131" si="48">VALUE(SUBSTITUTE(LEFT(J128,SEARCH("/",J128)-1),"+",","))</f>
        <v>32.4</v>
      </c>
      <c r="M128" s="42" t="s">
        <v>1013</v>
      </c>
      <c r="N128" s="52" t="str">
        <f t="shared" si="42"/>
        <v>(1,'PS-01-OD1','Poste de Sectionnement n°01 OD1','1977-03-23','1977-03-23',,,),</v>
      </c>
    </row>
    <row r="129" spans="1:14" ht="20.149999999999999" customHeight="1" x14ac:dyDescent="0.35">
      <c r="A129" s="39">
        <v>2</v>
      </c>
      <c r="B129" s="40" t="str">
        <f t="shared" si="45"/>
        <v>PS-02-OD1</v>
      </c>
      <c r="C129" s="52" t="str">
        <f t="shared" si="46"/>
        <v>Poste de Sectionnement n°02 OD1</v>
      </c>
      <c r="D129" s="19">
        <v>28207</v>
      </c>
      <c r="E129" s="19">
        <v>28207</v>
      </c>
      <c r="F129" s="42"/>
      <c r="G129" s="42"/>
      <c r="H129" s="42"/>
      <c r="I129" s="42" t="s">
        <v>356</v>
      </c>
      <c r="J129" s="42" t="s">
        <v>1010</v>
      </c>
      <c r="K129" s="53">
        <f t="shared" si="47"/>
        <v>195</v>
      </c>
      <c r="L129" s="44">
        <f t="shared" si="48"/>
        <v>74.8</v>
      </c>
      <c r="M129" s="42" t="s">
        <v>1013</v>
      </c>
      <c r="N129" s="52" t="str">
        <f t="shared" si="42"/>
        <v>(2,'PS-02-OD1','Poste de Sectionnement n°02 OD1','1977-03-23','1977-03-23',,,),</v>
      </c>
    </row>
    <row r="130" spans="1:14" ht="20.149999999999999" customHeight="1" x14ac:dyDescent="0.35">
      <c r="A130" s="39">
        <v>3</v>
      </c>
      <c r="B130" s="40" t="str">
        <f t="shared" si="45"/>
        <v>PS-03-OD1</v>
      </c>
      <c r="C130" s="52" t="str">
        <f t="shared" si="46"/>
        <v>Poste de Sectionnement n°03 OD1</v>
      </c>
      <c r="D130" s="19">
        <v>28207</v>
      </c>
      <c r="E130" s="19">
        <v>28207</v>
      </c>
      <c r="F130" s="42"/>
      <c r="G130" s="42"/>
      <c r="H130" s="42"/>
      <c r="I130" s="42" t="s">
        <v>356</v>
      </c>
      <c r="J130" s="42" t="s">
        <v>1011</v>
      </c>
      <c r="K130" s="53">
        <f t="shared" si="47"/>
        <v>162</v>
      </c>
      <c r="L130" s="44">
        <f t="shared" si="48"/>
        <v>144.80000000000001</v>
      </c>
      <c r="M130" s="42" t="s">
        <v>1013</v>
      </c>
      <c r="N130" s="52" t="str">
        <f t="shared" si="42"/>
        <v>(3,'PS-03-OD1','Poste de Sectionnement n°03 OD1','1977-03-23','1977-03-23',,,),</v>
      </c>
    </row>
    <row r="131" spans="1:14" ht="20.149999999999999" customHeight="1" x14ac:dyDescent="0.35">
      <c r="A131" s="39">
        <v>4</v>
      </c>
      <c r="B131" s="40" t="str">
        <f t="shared" si="45"/>
        <v>PS-04-OD1</v>
      </c>
      <c r="C131" s="52" t="str">
        <f t="shared" si="46"/>
        <v>Poste de Sectionnement n°04 OD1</v>
      </c>
      <c r="D131" s="19">
        <v>28207</v>
      </c>
      <c r="E131" s="19">
        <v>28207</v>
      </c>
      <c r="F131" s="42"/>
      <c r="G131" s="42"/>
      <c r="H131" s="42"/>
      <c r="I131" s="42" t="s">
        <v>356</v>
      </c>
      <c r="J131" s="42" t="s">
        <v>1012</v>
      </c>
      <c r="K131" s="53">
        <f t="shared" si="47"/>
        <v>162</v>
      </c>
      <c r="L131" s="44">
        <f t="shared" si="48"/>
        <v>239.2</v>
      </c>
      <c r="M131" s="42" t="s">
        <v>1013</v>
      </c>
      <c r="N131" s="52" t="str">
        <f t="shared" si="42"/>
        <v>(4,'PS-04-OD1','Poste de Sectionnement n°04 OD1','1977-03-23','1977-03-23',,,),</v>
      </c>
    </row>
    <row r="132" spans="1:14" ht="20.149999999999999" customHeight="1" x14ac:dyDescent="0.35">
      <c r="A132" s="39">
        <v>1</v>
      </c>
      <c r="B132" s="40" t="str">
        <f t="shared" si="45"/>
        <v>PS-01-ROD1</v>
      </c>
      <c r="C132" s="52" t="str">
        <f t="shared" si="46"/>
        <v>Poste de Sectionnement n°01 ROD1</v>
      </c>
      <c r="D132" s="19">
        <v>45444</v>
      </c>
      <c r="E132" s="19">
        <v>45444</v>
      </c>
      <c r="F132" s="42"/>
      <c r="G132" s="42"/>
      <c r="H132" s="42"/>
      <c r="I132" s="42" t="s">
        <v>359</v>
      </c>
      <c r="J132" s="42" t="s">
        <v>1014</v>
      </c>
      <c r="K132" s="53">
        <f t="shared" ref="K132:K143" si="49">VALUE(RIGHT(J132,LEN(J132)-SEARCH("/",J132)))</f>
        <v>211</v>
      </c>
      <c r="L132" s="44">
        <f t="shared" ref="L132:L143" si="50">VALUE(SUBSTITUTE(LEFT(J132,SEARCH("/",J132)-1),"+",","))</f>
        <v>25.238</v>
      </c>
      <c r="M132" s="42" t="s">
        <v>1013</v>
      </c>
      <c r="N132" s="52" t="str">
        <f t="shared" si="42"/>
        <v>(1,'PS-01-ROD1','Poste de Sectionnement n°01 ROD1','2024-06-01','2024-06-01',,,),</v>
      </c>
    </row>
    <row r="133" spans="1:14" ht="20.149999999999999" customHeight="1" x14ac:dyDescent="0.35">
      <c r="A133" s="39">
        <v>2</v>
      </c>
      <c r="B133" s="40" t="str">
        <f t="shared" si="45"/>
        <v>PS-02-ROD1</v>
      </c>
      <c r="C133" s="52" t="str">
        <f t="shared" si="46"/>
        <v>Poste de Sectionnement n°02 ROD1</v>
      </c>
      <c r="D133" s="19">
        <v>45444</v>
      </c>
      <c r="E133" s="19">
        <v>45444</v>
      </c>
      <c r="F133" s="42"/>
      <c r="G133" s="42"/>
      <c r="H133" s="42"/>
      <c r="I133" s="42" t="s">
        <v>359</v>
      </c>
      <c r="J133" s="42" t="s">
        <v>1015</v>
      </c>
      <c r="K133" s="53">
        <f t="shared" si="49"/>
        <v>197</v>
      </c>
      <c r="L133" s="44">
        <f t="shared" si="50"/>
        <v>50.671999999999997</v>
      </c>
      <c r="M133" s="42" t="s">
        <v>1013</v>
      </c>
      <c r="N133" s="52" t="str">
        <f t="shared" si="42"/>
        <v>(2,'PS-02-ROD1','Poste de Sectionnement n°02 ROD1','2024-06-01','2024-06-01',,,),</v>
      </c>
    </row>
    <row r="134" spans="1:14" ht="20.149999999999999" customHeight="1" x14ac:dyDescent="0.35">
      <c r="A134" s="39">
        <v>3</v>
      </c>
      <c r="B134" s="40" t="str">
        <f t="shared" ref="B134:B142" si="51">CONCATENATE("PS-",TEXT(A134,"00"),"-",I134)</f>
        <v>PS-03-ROD1</v>
      </c>
      <c r="C134" s="52" t="str">
        <f t="shared" ref="C134:C142" si="52">CONCATENATE("Poste de Sectionnement n°",TEXT(A134,"00")," ",I134)</f>
        <v>Poste de Sectionnement n°03 ROD1</v>
      </c>
      <c r="D134" s="19">
        <v>45444</v>
      </c>
      <c r="E134" s="19">
        <v>45444</v>
      </c>
      <c r="F134" s="42"/>
      <c r="G134" s="42"/>
      <c r="H134" s="42"/>
      <c r="I134" s="42" t="s">
        <v>359</v>
      </c>
      <c r="J134" s="42" t="s">
        <v>1016</v>
      </c>
      <c r="K134" s="53">
        <f t="shared" si="49"/>
        <v>200</v>
      </c>
      <c r="L134" s="44">
        <f t="shared" si="50"/>
        <v>74.968999999999994</v>
      </c>
      <c r="M134" s="42" t="s">
        <v>1013</v>
      </c>
      <c r="N134" s="52" t="str">
        <f t="shared" si="42"/>
        <v>(3,'PS-03-ROD1','Poste de Sectionnement n°03 ROD1','2024-06-01','2024-06-01',,,),</v>
      </c>
    </row>
    <row r="135" spans="1:14" ht="20.149999999999999" customHeight="1" x14ac:dyDescent="0.35">
      <c r="A135" s="39">
        <v>4</v>
      </c>
      <c r="B135" s="40" t="str">
        <f t="shared" si="51"/>
        <v>PS-04-ROD1</v>
      </c>
      <c r="C135" s="52" t="str">
        <f t="shared" si="52"/>
        <v>Poste de Sectionnement n°04 ROD1</v>
      </c>
      <c r="D135" s="19">
        <v>45444</v>
      </c>
      <c r="E135" s="19">
        <v>45444</v>
      </c>
      <c r="F135" s="42"/>
      <c r="G135" s="42"/>
      <c r="H135" s="42"/>
      <c r="I135" s="42" t="s">
        <v>359</v>
      </c>
      <c r="J135" s="42" t="s">
        <v>1017</v>
      </c>
      <c r="K135" s="53">
        <f t="shared" si="49"/>
        <v>166</v>
      </c>
      <c r="L135" s="44">
        <f t="shared" si="50"/>
        <v>102.209</v>
      </c>
      <c r="M135" s="42" t="s">
        <v>1013</v>
      </c>
      <c r="N135" s="52" t="str">
        <f t="shared" si="42"/>
        <v>(4,'PS-04-ROD1','Poste de Sectionnement n°04 ROD1','2024-06-01','2024-06-01',,,),</v>
      </c>
    </row>
    <row r="136" spans="1:14" ht="20.149999999999999" customHeight="1" x14ac:dyDescent="0.35">
      <c r="A136" s="39">
        <v>5</v>
      </c>
      <c r="B136" s="40" t="str">
        <f t="shared" si="51"/>
        <v>PS-05-ROD1</v>
      </c>
      <c r="C136" s="52" t="str">
        <f t="shared" si="52"/>
        <v>Poste de Sectionnement n°05 ROD1</v>
      </c>
      <c r="D136" s="19">
        <v>45444</v>
      </c>
      <c r="E136" s="19">
        <v>45444</v>
      </c>
      <c r="F136" s="42"/>
      <c r="G136" s="42"/>
      <c r="H136" s="42"/>
      <c r="I136" s="42" t="s">
        <v>359</v>
      </c>
      <c r="J136" s="42" t="s">
        <v>1018</v>
      </c>
      <c r="K136" s="53">
        <f t="shared" si="49"/>
        <v>162</v>
      </c>
      <c r="L136" s="44">
        <f t="shared" si="50"/>
        <v>119.709</v>
      </c>
      <c r="M136" s="42" t="s">
        <v>1013</v>
      </c>
      <c r="N136" s="52" t="str">
        <f t="shared" si="42"/>
        <v>(5,'PS-05-ROD1','Poste de Sectionnement n°05 ROD1','2024-06-01','2024-06-01',,,),</v>
      </c>
    </row>
    <row r="137" spans="1:14" ht="20.149999999999999" customHeight="1" x14ac:dyDescent="0.35">
      <c r="A137" s="39">
        <v>6</v>
      </c>
      <c r="B137" s="40" t="str">
        <f t="shared" si="51"/>
        <v>PS-06-ROD1</v>
      </c>
      <c r="C137" s="52" t="str">
        <f t="shared" si="52"/>
        <v>Poste de Sectionnement n°06 ROD1</v>
      </c>
      <c r="D137" s="19">
        <v>46143</v>
      </c>
      <c r="E137" s="19">
        <v>46143</v>
      </c>
      <c r="F137" s="42"/>
      <c r="G137" s="42"/>
      <c r="H137" s="42"/>
      <c r="I137" s="42" t="s">
        <v>359</v>
      </c>
      <c r="J137" s="42" t="s">
        <v>1019</v>
      </c>
      <c r="K137" s="53">
        <f t="shared" si="49"/>
        <v>155</v>
      </c>
      <c r="L137" s="44">
        <f t="shared" si="50"/>
        <v>159.51300000000001</v>
      </c>
      <c r="M137" s="42" t="s">
        <v>1013</v>
      </c>
      <c r="N137" s="52" t="str">
        <f t="shared" si="42"/>
        <v>(6,'PS-06-ROD1','Poste de Sectionnement n°06 ROD1','2026-05-01','2026-05-01',,,),</v>
      </c>
    </row>
    <row r="138" spans="1:14" ht="20.149999999999999" customHeight="1" x14ac:dyDescent="0.35">
      <c r="A138" s="39">
        <v>7</v>
      </c>
      <c r="B138" s="40" t="str">
        <f t="shared" si="51"/>
        <v>PS-07-ROD1</v>
      </c>
      <c r="C138" s="52" t="str">
        <f t="shared" si="52"/>
        <v>Poste de Sectionnement n°07 ROD1</v>
      </c>
      <c r="D138" s="19">
        <v>46143</v>
      </c>
      <c r="E138" s="19">
        <v>46143</v>
      </c>
      <c r="F138" s="42"/>
      <c r="G138" s="42"/>
      <c r="H138" s="42"/>
      <c r="I138" s="42" t="s">
        <v>359</v>
      </c>
      <c r="J138" s="42" t="s">
        <v>1020</v>
      </c>
      <c r="K138" s="53">
        <f t="shared" si="49"/>
        <v>169</v>
      </c>
      <c r="L138" s="44">
        <f t="shared" si="50"/>
        <v>182.024</v>
      </c>
      <c r="M138" s="42" t="s">
        <v>1013</v>
      </c>
      <c r="N138" s="52" t="str">
        <f t="shared" si="42"/>
        <v>(7,'PS-07-ROD1','Poste de Sectionnement n°07 ROD1','2026-05-01','2026-05-01',,,),</v>
      </c>
    </row>
    <row r="139" spans="1:14" ht="20.149999999999999" customHeight="1" x14ac:dyDescent="0.35">
      <c r="A139" s="39">
        <v>8</v>
      </c>
      <c r="B139" s="40" t="str">
        <f t="shared" si="51"/>
        <v>PS-08-ROD1</v>
      </c>
      <c r="C139" s="52" t="str">
        <f t="shared" si="52"/>
        <v>Poste de Sectionnement n°08 ROD1</v>
      </c>
      <c r="D139" s="19">
        <v>46143</v>
      </c>
      <c r="E139" s="19">
        <v>46143</v>
      </c>
      <c r="F139" s="42"/>
      <c r="G139" s="42"/>
      <c r="H139" s="42"/>
      <c r="I139" s="42" t="s">
        <v>359</v>
      </c>
      <c r="J139" s="42" t="s">
        <v>1021</v>
      </c>
      <c r="K139" s="53">
        <f t="shared" si="49"/>
        <v>151</v>
      </c>
      <c r="L139" s="44">
        <f t="shared" si="50"/>
        <v>204.429</v>
      </c>
      <c r="M139" s="42" t="s">
        <v>1013</v>
      </c>
      <c r="N139" s="52" t="str">
        <f t="shared" si="42"/>
        <v>(8,'PS-08-ROD1','Poste de Sectionnement n°08 ROD1','2026-05-01','2026-05-01',,,),</v>
      </c>
    </row>
    <row r="140" spans="1:14" ht="20.149999999999999" customHeight="1" x14ac:dyDescent="0.35">
      <c r="A140" s="39">
        <v>9</v>
      </c>
      <c r="B140" s="40" t="str">
        <f t="shared" si="51"/>
        <v>PS-09-ROD1</v>
      </c>
      <c r="C140" s="52" t="str">
        <f t="shared" si="52"/>
        <v>Poste de Sectionnement n°09 ROD1</v>
      </c>
      <c r="D140" s="19">
        <v>46143</v>
      </c>
      <c r="E140" s="19">
        <v>46143</v>
      </c>
      <c r="F140" s="42"/>
      <c r="G140" s="42"/>
      <c r="H140" s="42"/>
      <c r="I140" s="42" t="s">
        <v>359</v>
      </c>
      <c r="J140" s="42" t="s">
        <v>1022</v>
      </c>
      <c r="K140" s="53">
        <f t="shared" si="49"/>
        <v>154</v>
      </c>
      <c r="L140" s="44">
        <f t="shared" si="50"/>
        <v>227.00200000000001</v>
      </c>
      <c r="M140" s="42" t="s">
        <v>1013</v>
      </c>
      <c r="N140" s="52" t="str">
        <f t="shared" si="42"/>
        <v>(9,'PS-09-ROD1','Poste de Sectionnement n°09 ROD1','2026-05-01','2026-05-01',,,),</v>
      </c>
    </row>
    <row r="141" spans="1:14" ht="20.149999999999999" customHeight="1" x14ac:dyDescent="0.35">
      <c r="A141" s="39">
        <v>10</v>
      </c>
      <c r="B141" s="40" t="str">
        <f t="shared" si="51"/>
        <v>PS-10-ROD1</v>
      </c>
      <c r="C141" s="52" t="str">
        <f t="shared" si="52"/>
        <v>Poste de Sectionnement n°10 ROD1</v>
      </c>
      <c r="D141" s="19">
        <v>46143</v>
      </c>
      <c r="E141" s="19">
        <v>46143</v>
      </c>
      <c r="F141" s="42"/>
      <c r="G141" s="42"/>
      <c r="H141" s="42"/>
      <c r="I141" s="42" t="s">
        <v>359</v>
      </c>
      <c r="J141" s="42" t="s">
        <v>1023</v>
      </c>
      <c r="K141" s="53">
        <f t="shared" si="49"/>
        <v>155</v>
      </c>
      <c r="L141" s="44">
        <f t="shared" si="50"/>
        <v>248.065</v>
      </c>
      <c r="M141" s="42" t="s">
        <v>1013</v>
      </c>
      <c r="N141" s="52" t="str">
        <f t="shared" si="42"/>
        <v>(10,'PS-10-ROD1','Poste de Sectionnement n°10 ROD1','2026-05-01','2026-05-01',,,),</v>
      </c>
    </row>
    <row r="142" spans="1:14" ht="20.149999999999999" customHeight="1" x14ac:dyDescent="0.35">
      <c r="A142" s="39">
        <v>1</v>
      </c>
      <c r="B142" s="40" t="str">
        <f t="shared" si="51"/>
        <v>PS-01-OH2</v>
      </c>
      <c r="C142" s="52" t="str">
        <f t="shared" si="52"/>
        <v>Poste de Sectionnement n°01 OH2</v>
      </c>
      <c r="D142" s="19">
        <v>26399</v>
      </c>
      <c r="E142" s="19">
        <v>26399</v>
      </c>
      <c r="F142" s="42"/>
      <c r="G142" s="42"/>
      <c r="H142" s="42"/>
      <c r="I142" s="42" t="s">
        <v>348</v>
      </c>
      <c r="J142" s="42" t="s">
        <v>1024</v>
      </c>
      <c r="K142" s="53">
        <f t="shared" si="49"/>
        <v>155</v>
      </c>
      <c r="L142" s="44">
        <f t="shared" si="50"/>
        <v>19.7</v>
      </c>
      <c r="M142" s="42" t="s">
        <v>1026</v>
      </c>
      <c r="N142" s="52" t="str">
        <f t="shared" si="42"/>
        <v>(1,'PS-01-OH2','Poste de Sectionnement n°01 OH2','1972-04-10','1972-04-10',,,),</v>
      </c>
    </row>
    <row r="143" spans="1:14" ht="20.149999999999999" customHeight="1" x14ac:dyDescent="0.35">
      <c r="A143" s="39">
        <v>2</v>
      </c>
      <c r="B143" s="40" t="str">
        <f t="shared" ref="B143" si="53">CONCATENATE("PS-",TEXT(A143,"00"),"-",I143)</f>
        <v>PS-02-OH2</v>
      </c>
      <c r="C143" s="52" t="str">
        <f t="shared" ref="C143" si="54">CONCATENATE("Poste de Sectionnement n°",TEXT(A143,"00")," ",I143)</f>
        <v>Poste de Sectionnement n°02 OH2</v>
      </c>
      <c r="D143" s="19">
        <v>26399</v>
      </c>
      <c r="E143" s="19">
        <v>26399</v>
      </c>
      <c r="F143" s="42"/>
      <c r="G143" s="42"/>
      <c r="H143" s="42"/>
      <c r="I143" s="42" t="s">
        <v>348</v>
      </c>
      <c r="J143" s="42" t="s">
        <v>1025</v>
      </c>
      <c r="K143" s="53">
        <f t="shared" si="49"/>
        <v>145</v>
      </c>
      <c r="L143" s="44">
        <f t="shared" si="50"/>
        <v>62</v>
      </c>
      <c r="M143" s="42" t="s">
        <v>1026</v>
      </c>
      <c r="N143" s="52" t="str">
        <f t="shared" si="42"/>
        <v>(2,'PS-02-OH2','Poste de Sectionnement n°02 OH2','1972-04-10','1972-04-10',,,),</v>
      </c>
    </row>
    <row r="144" spans="1:14" ht="20.149999999999999" customHeight="1" x14ac:dyDescent="0.3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42"/>
        <v>(,'','','1900-01-00','1900-01-00',,,),</v>
      </c>
    </row>
    <row r="145" spans="1:14" ht="20.149999999999999" customHeight="1" x14ac:dyDescent="0.3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42"/>
        <v>(,'','','1900-01-00','1900-01-00',,,),</v>
      </c>
    </row>
    <row r="146" spans="1:14" ht="20.149999999999999" customHeight="1" x14ac:dyDescent="0.3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42"/>
        <v>(,'','','1900-01-00','1900-01-00',,,),</v>
      </c>
    </row>
    <row r="147" spans="1:14" ht="20.149999999999999" customHeight="1" x14ac:dyDescent="0.3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42"/>
        <v>(,'','','1900-01-00','1900-01-00',,,),</v>
      </c>
    </row>
    <row r="148" spans="1:14" ht="20.149999999999999" customHeight="1" x14ac:dyDescent="0.3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42"/>
        <v>(,'','','1900-01-00','1900-01-00',,,),</v>
      </c>
    </row>
    <row r="149" spans="1:14" ht="20.149999999999999" customHeight="1" x14ac:dyDescent="0.3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ref="N149:N212" si="55">CONCATENATE("(",A149,",'",B149,"','",C149,"','",TEXT(D149,"aaaa-mm-jj"),"','",TEXT(E149,"aaaa-mm-jj"),"',",F149,",",G149,",",H149,"),")</f>
        <v>(,'','','1900-01-00','1900-01-00',,,),</v>
      </c>
    </row>
    <row r="150" spans="1:14" ht="20.149999999999999" customHeight="1" x14ac:dyDescent="0.3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55"/>
        <v>(,'','','1900-01-00','1900-01-00',,,),</v>
      </c>
    </row>
    <row r="151" spans="1:14" ht="20.149999999999999" customHeight="1" x14ac:dyDescent="0.3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55"/>
        <v>(,'','','1900-01-00','1900-01-00',,,),</v>
      </c>
    </row>
    <row r="152" spans="1:14" ht="20.149999999999999" customHeight="1" x14ac:dyDescent="0.3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55"/>
        <v>(,'','','1900-01-00','1900-01-00',,,),</v>
      </c>
    </row>
    <row r="153" spans="1:14" ht="20.149999999999999" customHeight="1" x14ac:dyDescent="0.3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55"/>
        <v>(,'','','1900-01-00','1900-01-00',,,),</v>
      </c>
    </row>
    <row r="154" spans="1:14" ht="20.149999999999999" customHeight="1" x14ac:dyDescent="0.3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55"/>
        <v>(,'','','1900-01-00','1900-01-00',,,),</v>
      </c>
    </row>
    <row r="155" spans="1:14" ht="20.149999999999999" customHeight="1" x14ac:dyDescent="0.3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55"/>
        <v>(,'','','1900-01-00','1900-01-00',,,),</v>
      </c>
    </row>
    <row r="156" spans="1:14" ht="20.149999999999999" customHeight="1" x14ac:dyDescent="0.3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55"/>
        <v>(,'','','1900-01-00','1900-01-00',,,),</v>
      </c>
    </row>
    <row r="157" spans="1:14" ht="20.149999999999999" customHeight="1" x14ac:dyDescent="0.3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55"/>
        <v>(,'','','1900-01-00','1900-01-00',,,),</v>
      </c>
    </row>
    <row r="158" spans="1:14" ht="20.149999999999999" customHeight="1" x14ac:dyDescent="0.3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55"/>
        <v>(,'','','1900-01-00','1900-01-00',,,),</v>
      </c>
    </row>
    <row r="159" spans="1:14" ht="20.149999999999999" customHeight="1" x14ac:dyDescent="0.3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55"/>
        <v>(,'','','1900-01-00','1900-01-00',,,),</v>
      </c>
    </row>
    <row r="160" spans="1:14" ht="20.149999999999999" customHeight="1" x14ac:dyDescent="0.3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55"/>
        <v>(,'','','1900-01-00','1900-01-00',,,),</v>
      </c>
    </row>
    <row r="161" spans="1:14" ht="20.149999999999999" customHeight="1" x14ac:dyDescent="0.3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55"/>
        <v>(,'','','1900-01-00','1900-01-00',,,),</v>
      </c>
    </row>
    <row r="162" spans="1:14" ht="20.149999999999999" customHeight="1" x14ac:dyDescent="0.3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55"/>
        <v>(,'','','1900-01-00','1900-01-00',,,),</v>
      </c>
    </row>
    <row r="163" spans="1:14" ht="20.149999999999999" customHeight="1" x14ac:dyDescent="0.3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55"/>
        <v>(,'','','1900-01-00','1900-01-00',,,),</v>
      </c>
    </row>
    <row r="164" spans="1:14" ht="20.149999999999999" customHeight="1" x14ac:dyDescent="0.3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55"/>
        <v>(,'','','1900-01-00','1900-01-00',,,),</v>
      </c>
    </row>
    <row r="165" spans="1:14" ht="20.149999999999999" customHeight="1" x14ac:dyDescent="0.3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55"/>
        <v>(,'','','1900-01-00','1900-01-00',,,),</v>
      </c>
    </row>
    <row r="166" spans="1:14" ht="20.149999999999999" customHeight="1" x14ac:dyDescent="0.3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55"/>
        <v>(,'','','1900-01-00','1900-01-00',,,),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55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55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55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55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55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55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55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55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55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55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55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55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55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55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55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55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55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55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55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55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55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55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55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55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55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55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55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55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si="55"/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55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55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55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55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55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55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55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55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55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55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55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55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55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55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55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55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55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ref="N213:N231" si="56">CONCATENATE("(",A213,",'",B213,"','",C213,"','",TEXT(D213,"aaaa-mm-jj"),"','",TEXT(E213,"aaaa-mm-jj"),"',",F213,",",G213,",",H213,"),")</f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56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56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56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56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56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56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56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56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56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56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56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56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56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56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56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56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56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56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ref="N232:N237" si="57">CONCATENATE("(",A232,",'",B232,"','",C232,"','",TEXT(D232,"aaaa-mm-jj"),"','",TEXT(E232,"aaaa-mm-jj"),"',",F232,",",G232,",",H232,"),")</f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57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57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57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57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57"/>
        <v>(,'','','1900-01-00','1900-01-00',,,),</v>
      </c>
    </row>
  </sheetData>
  <autoFilter ref="A1:N238" xr:uid="{00000000-0001-0000-0300-000000000000}"/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0454-8B6D-47D9-8D4A-A6A7C837DE97}">
  <sheetPr>
    <tabColor rgb="FFFFFF00"/>
  </sheetPr>
  <dimension ref="A1:N237"/>
  <sheetViews>
    <sheetView topLeftCell="D1" zoomScaleNormal="100" workbookViewId="0">
      <selection activeCell="G7" sqref="G7"/>
    </sheetView>
  </sheetViews>
  <sheetFormatPr baseColWidth="10" defaultColWidth="10.81640625" defaultRowHeight="15.5" x14ac:dyDescent="0.35"/>
  <cols>
    <col min="1" max="1" width="6.9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6328125" style="2" customWidth="1"/>
    <col min="10" max="10" width="15.54296875" style="2" customWidth="1"/>
    <col min="11" max="12" width="10.632812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716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/>
      <c r="C3" s="52"/>
      <c r="D3" s="19"/>
      <c r="E3" s="19"/>
      <c r="F3" s="42"/>
      <c r="G3" s="42"/>
      <c r="H3" s="42"/>
      <c r="I3" s="42" t="s">
        <v>324</v>
      </c>
      <c r="J3" s="42" t="s">
        <v>748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769</v>
      </c>
      <c r="N3" s="52" t="str">
        <f t="shared" ref="N3:N66" si="0">CONCATENATE("(",A3,",'",B3,"','",C3,"','",TEXT(D3,"aaaa-mm-jj"),"','",TEXT(E3,"aaaa-mm-jj"),"',",F3,",",G3,",",H3,"),")</f>
        <v>(1,'','','1900-01-00','1900-01-00',,,),</v>
      </c>
    </row>
    <row r="4" spans="1:14" ht="20.149999999999999" customHeight="1" x14ac:dyDescent="0.35">
      <c r="A4" s="39">
        <v>2</v>
      </c>
      <c r="B4" s="48"/>
      <c r="C4" s="52"/>
      <c r="D4" s="19"/>
      <c r="E4" s="19"/>
      <c r="F4" s="42"/>
      <c r="G4" s="42"/>
      <c r="H4" s="42"/>
      <c r="I4" s="42"/>
      <c r="J4" s="42"/>
      <c r="K4" s="53"/>
      <c r="L4" s="44"/>
      <c r="M4" s="42"/>
      <c r="N4" s="52" t="str">
        <f t="shared" si="0"/>
        <v>(2,'','','1900-01-00','1900-01-00',,,),</v>
      </c>
    </row>
    <row r="5" spans="1:14" ht="20.149999999999999" customHeight="1" x14ac:dyDescent="0.35">
      <c r="A5" s="39">
        <v>3</v>
      </c>
      <c r="B5" s="48"/>
      <c r="C5" s="52"/>
      <c r="D5" s="19"/>
      <c r="E5" s="19"/>
      <c r="F5" s="42"/>
      <c r="G5" s="42"/>
      <c r="H5" s="42"/>
      <c r="I5" s="42"/>
      <c r="J5" s="42"/>
      <c r="K5" s="53"/>
      <c r="L5" s="44"/>
      <c r="M5" s="42"/>
      <c r="N5" s="52" t="str">
        <f t="shared" si="0"/>
        <v>(3,'','','1900-01-00','1900-01-00',,,),</v>
      </c>
    </row>
    <row r="6" spans="1:14" ht="20.149999999999999" customHeight="1" x14ac:dyDescent="0.35">
      <c r="A6" s="39">
        <v>4</v>
      </c>
      <c r="B6" s="48"/>
      <c r="C6" s="52"/>
      <c r="D6" s="19"/>
      <c r="E6" s="19"/>
      <c r="F6" s="42"/>
      <c r="G6" s="42"/>
      <c r="H6" s="42"/>
      <c r="I6" s="42"/>
      <c r="J6" s="42"/>
      <c r="K6" s="53"/>
      <c r="L6" s="44"/>
      <c r="M6" s="42"/>
      <c r="N6" s="52" t="str">
        <f t="shared" si="0"/>
        <v>(4,'','','1900-01-00','1900-01-00',,,),</v>
      </c>
    </row>
    <row r="7" spans="1:14" ht="20.149999999999999" customHeight="1" x14ac:dyDescent="0.35">
      <c r="A7" s="39">
        <v>5</v>
      </c>
      <c r="B7" s="48"/>
      <c r="C7" s="52"/>
      <c r="D7" s="19"/>
      <c r="E7" s="19"/>
      <c r="F7" s="42"/>
      <c r="G7" s="42"/>
      <c r="H7" s="42"/>
      <c r="I7" s="42"/>
      <c r="J7" s="42"/>
      <c r="K7" s="53"/>
      <c r="L7" s="44"/>
      <c r="M7" s="42"/>
      <c r="N7" s="52" t="str">
        <f t="shared" si="0"/>
        <v>(5,'','','1900-01-00','1900-01-00',,,),</v>
      </c>
    </row>
    <row r="8" spans="1:14" ht="20.149999999999999" customHeight="1" x14ac:dyDescent="0.35">
      <c r="A8" s="39">
        <v>6</v>
      </c>
      <c r="B8" s="48"/>
      <c r="C8" s="52"/>
      <c r="D8" s="19"/>
      <c r="E8" s="19"/>
      <c r="F8" s="42"/>
      <c r="G8" s="42"/>
      <c r="H8" s="42"/>
      <c r="I8" s="42"/>
      <c r="J8" s="42"/>
      <c r="K8" s="53"/>
      <c r="L8" s="44"/>
      <c r="M8" s="42"/>
      <c r="N8" s="52" t="str">
        <f t="shared" si="0"/>
        <v>(6,'','','1900-01-00','1900-01-00',,,),</v>
      </c>
    </row>
    <row r="9" spans="1:14" ht="20.149999999999999" customHeight="1" x14ac:dyDescent="0.35">
      <c r="A9" s="39">
        <v>7</v>
      </c>
      <c r="B9" s="48"/>
      <c r="C9" s="52"/>
      <c r="D9" s="19"/>
      <c r="E9" s="19"/>
      <c r="F9" s="42"/>
      <c r="G9" s="42"/>
      <c r="H9" s="42"/>
      <c r="I9" s="42"/>
      <c r="J9" s="42"/>
      <c r="K9" s="53"/>
      <c r="L9" s="44"/>
      <c r="M9" s="42"/>
      <c r="N9" s="52" t="str">
        <f t="shared" si="0"/>
        <v>(7,'','','1900-01-00','1900-01-00',,,),</v>
      </c>
    </row>
    <row r="10" spans="1:14" ht="20.149999999999999" customHeight="1" x14ac:dyDescent="0.35">
      <c r="A10" s="39">
        <v>8</v>
      </c>
      <c r="B10" s="48"/>
      <c r="C10" s="52"/>
      <c r="D10" s="19"/>
      <c r="E10" s="19"/>
      <c r="F10" s="42"/>
      <c r="G10" s="42"/>
      <c r="H10" s="42"/>
      <c r="I10" s="42"/>
      <c r="J10" s="42"/>
      <c r="K10" s="53"/>
      <c r="L10" s="44"/>
      <c r="M10" s="42"/>
      <c r="N10" s="52" t="str">
        <f t="shared" si="0"/>
        <v>(8,'','','1900-01-00','1900-01-00',,,),</v>
      </c>
    </row>
    <row r="11" spans="1:14" ht="20.149999999999999" customHeight="1" x14ac:dyDescent="0.35">
      <c r="A11" s="39">
        <v>9</v>
      </c>
      <c r="B11" s="48"/>
      <c r="C11" s="52"/>
      <c r="D11" s="19"/>
      <c r="E11" s="19"/>
      <c r="F11" s="42"/>
      <c r="G11" s="42"/>
      <c r="H11" s="42"/>
      <c r="I11" s="42"/>
      <c r="J11" s="42"/>
      <c r="K11" s="53"/>
      <c r="L11" s="44"/>
      <c r="M11" s="42"/>
      <c r="N11" s="52" t="str">
        <f t="shared" si="0"/>
        <v>(9,'','','1900-01-00','1900-01-00',,,),</v>
      </c>
    </row>
    <row r="12" spans="1:14" ht="20.149999999999999" customHeight="1" x14ac:dyDescent="0.35">
      <c r="A12" s="39">
        <v>10</v>
      </c>
      <c r="B12" s="48"/>
      <c r="C12" s="52"/>
      <c r="D12" s="19"/>
      <c r="E12" s="19"/>
      <c r="F12" s="42"/>
      <c r="G12" s="42"/>
      <c r="H12" s="42"/>
      <c r="I12" s="42"/>
      <c r="J12" s="42"/>
      <c r="K12" s="53"/>
      <c r="L12" s="44"/>
      <c r="M12" s="42"/>
      <c r="N12" s="52" t="str">
        <f t="shared" si="0"/>
        <v>(10,'','','1900-01-00','1900-01-00',,,),</v>
      </c>
    </row>
    <row r="13" spans="1:14" ht="20.149999999999999" customHeight="1" x14ac:dyDescent="0.35">
      <c r="A13" s="39">
        <v>11</v>
      </c>
      <c r="B13" s="48"/>
      <c r="C13" s="52"/>
      <c r="D13" s="19"/>
      <c r="E13" s="19"/>
      <c r="F13" s="42"/>
      <c r="G13" s="42"/>
      <c r="H13" s="42"/>
      <c r="I13" s="42"/>
      <c r="J13" s="42"/>
      <c r="K13" s="53"/>
      <c r="L13" s="44"/>
      <c r="M13" s="42"/>
      <c r="N13" s="52" t="str">
        <f t="shared" si="0"/>
        <v>(11,'','','1900-01-00','1900-01-00',,,),</v>
      </c>
    </row>
    <row r="14" spans="1:14" ht="20.149999999999999" customHeight="1" x14ac:dyDescent="0.35">
      <c r="A14" s="39">
        <v>12</v>
      </c>
      <c r="B14" s="48"/>
      <c r="C14" s="52"/>
      <c r="D14" s="19"/>
      <c r="E14" s="19"/>
      <c r="F14" s="42"/>
      <c r="G14" s="42"/>
      <c r="H14" s="42"/>
      <c r="I14" s="42"/>
      <c r="J14" s="42"/>
      <c r="K14" s="53"/>
      <c r="L14" s="44"/>
      <c r="M14" s="42"/>
      <c r="N14" s="52" t="str">
        <f t="shared" si="0"/>
        <v>(12,'','','1900-01-00','1900-01-00',,,),</v>
      </c>
    </row>
    <row r="15" spans="1:14" ht="20.149999999999999" customHeight="1" x14ac:dyDescent="0.35">
      <c r="A15" s="39">
        <v>13</v>
      </c>
      <c r="B15" s="48"/>
      <c r="C15" s="52"/>
      <c r="D15" s="19"/>
      <c r="E15" s="19"/>
      <c r="F15" s="42"/>
      <c r="G15" s="42"/>
      <c r="H15" s="42"/>
      <c r="I15" s="42"/>
      <c r="J15" s="42"/>
      <c r="K15" s="53"/>
      <c r="L15" s="44"/>
      <c r="M15" s="42"/>
      <c r="N15" s="52" t="str">
        <f t="shared" si="0"/>
        <v>(13,'','','1900-01-00','1900-01-00',,,),</v>
      </c>
    </row>
    <row r="16" spans="1:14" ht="20.149999999999999" customHeight="1" x14ac:dyDescent="0.35">
      <c r="A16" s="39">
        <v>14</v>
      </c>
      <c r="B16" s="48"/>
      <c r="C16" s="52"/>
      <c r="D16" s="19"/>
      <c r="E16" s="19"/>
      <c r="F16" s="42"/>
      <c r="G16" s="42"/>
      <c r="H16" s="42"/>
      <c r="I16" s="42"/>
      <c r="J16" s="42"/>
      <c r="K16" s="53"/>
      <c r="L16" s="44"/>
      <c r="M16" s="42"/>
      <c r="N16" s="52" t="str">
        <f t="shared" si="0"/>
        <v>(14,'','','1900-01-00','1900-01-00',,,),</v>
      </c>
    </row>
    <row r="17" spans="1:14" ht="20.149999999999999" customHeight="1" x14ac:dyDescent="0.35">
      <c r="A17" s="39">
        <v>15</v>
      </c>
      <c r="B17" s="48"/>
      <c r="C17" s="52"/>
      <c r="D17" s="19"/>
      <c r="E17" s="19"/>
      <c r="F17" s="42"/>
      <c r="G17" s="42"/>
      <c r="H17" s="42"/>
      <c r="I17" s="42"/>
      <c r="J17" s="42"/>
      <c r="K17" s="53"/>
      <c r="L17" s="44"/>
      <c r="M17" s="42"/>
      <c r="N17" s="52" t="str">
        <f t="shared" si="0"/>
        <v>(15,'','','1900-01-00','1900-01-00',,,),</v>
      </c>
    </row>
    <row r="18" spans="1:14" ht="20.149999999999999" customHeight="1" x14ac:dyDescent="0.35">
      <c r="A18" s="39">
        <v>16</v>
      </c>
      <c r="B18" s="48"/>
      <c r="C18" s="52"/>
      <c r="D18" s="19"/>
      <c r="E18" s="19"/>
      <c r="F18" s="42"/>
      <c r="G18" s="42"/>
      <c r="H18" s="42"/>
      <c r="I18" s="42"/>
      <c r="J18" s="42"/>
      <c r="K18" s="53"/>
      <c r="L18" s="44"/>
      <c r="M18" s="42"/>
      <c r="N18" s="52" t="str">
        <f t="shared" si="0"/>
        <v>(16,'','','1900-01-00','1900-01-00',,,),</v>
      </c>
    </row>
    <row r="19" spans="1:14" ht="20.149999999999999" customHeight="1" x14ac:dyDescent="0.35">
      <c r="A19" s="39">
        <v>17</v>
      </c>
      <c r="B19" s="48"/>
      <c r="C19" s="52"/>
      <c r="D19" s="19"/>
      <c r="E19" s="19"/>
      <c r="F19" s="42"/>
      <c r="G19" s="42"/>
      <c r="H19" s="42"/>
      <c r="I19" s="42"/>
      <c r="J19" s="42"/>
      <c r="K19" s="53"/>
      <c r="L19" s="44"/>
      <c r="M19" s="42"/>
      <c r="N19" s="52" t="str">
        <f t="shared" si="0"/>
        <v>(17,'','','1900-01-00','1900-01-00',,,),</v>
      </c>
    </row>
    <row r="20" spans="1:14" ht="20.149999999999999" customHeight="1" x14ac:dyDescent="0.35">
      <c r="A20" s="39">
        <v>18</v>
      </c>
      <c r="B20" s="48"/>
      <c r="C20" s="52"/>
      <c r="D20" s="19"/>
      <c r="E20" s="19"/>
      <c r="F20" s="42"/>
      <c r="G20" s="42"/>
      <c r="H20" s="42"/>
      <c r="I20" s="42"/>
      <c r="J20" s="42"/>
      <c r="K20" s="53"/>
      <c r="L20" s="44"/>
      <c r="M20" s="42"/>
      <c r="N20" s="52" t="str">
        <f t="shared" si="0"/>
        <v>(18,'','','1900-01-00','1900-01-00',,,),</v>
      </c>
    </row>
    <row r="21" spans="1:14" ht="20.149999999999999" customHeight="1" x14ac:dyDescent="0.35">
      <c r="A21" s="39">
        <v>19</v>
      </c>
      <c r="B21" s="48"/>
      <c r="C21" s="52"/>
      <c r="D21" s="19"/>
      <c r="E21" s="19"/>
      <c r="F21" s="42"/>
      <c r="G21" s="42"/>
      <c r="H21" s="42"/>
      <c r="I21" s="42"/>
      <c r="J21" s="42"/>
      <c r="K21" s="53"/>
      <c r="L21" s="44"/>
      <c r="M21" s="42"/>
      <c r="N21" s="52" t="str">
        <f t="shared" si="0"/>
        <v>(19,'','','1900-01-00','1900-01-00',,,),</v>
      </c>
    </row>
    <row r="22" spans="1:14" ht="20.149999999999999" customHeight="1" x14ac:dyDescent="0.35">
      <c r="A22" s="39">
        <v>20</v>
      </c>
      <c r="B22" s="48"/>
      <c r="C22" s="52"/>
      <c r="D22" s="19"/>
      <c r="E22" s="19"/>
      <c r="F22" s="42"/>
      <c r="G22" s="42"/>
      <c r="H22" s="42"/>
      <c r="I22" s="42"/>
      <c r="J22" s="42"/>
      <c r="K22" s="53"/>
      <c r="L22" s="44"/>
      <c r="M22" s="42"/>
      <c r="N22" s="52" t="str">
        <f t="shared" si="0"/>
        <v>(20,'','','1900-01-00','1900-01-00',,,),</v>
      </c>
    </row>
    <row r="23" spans="1:14" ht="20.149999999999999" customHeight="1" x14ac:dyDescent="0.35">
      <c r="A23" s="39">
        <v>21</v>
      </c>
      <c r="B23" s="48"/>
      <c r="C23" s="52"/>
      <c r="D23" s="19"/>
      <c r="E23" s="19"/>
      <c r="F23" s="42"/>
      <c r="G23" s="42"/>
      <c r="H23" s="42"/>
      <c r="I23" s="42"/>
      <c r="J23" s="42"/>
      <c r="K23" s="53"/>
      <c r="L23" s="44"/>
      <c r="M23" s="42"/>
      <c r="N23" s="52" t="str">
        <f t="shared" si="0"/>
        <v>(21,'','','1900-01-00','1900-01-00',,,),</v>
      </c>
    </row>
    <row r="24" spans="1:14" ht="20.149999999999999" customHeight="1" x14ac:dyDescent="0.35">
      <c r="A24" s="39">
        <v>1</v>
      </c>
      <c r="B24" s="48"/>
      <c r="C24" s="52"/>
      <c r="D24" s="19"/>
      <c r="E24" s="19"/>
      <c r="F24" s="42"/>
      <c r="G24" s="42"/>
      <c r="H24" s="42"/>
      <c r="I24" s="42"/>
      <c r="J24" s="42"/>
      <c r="K24" s="53"/>
      <c r="L24" s="44"/>
      <c r="M24" s="42"/>
      <c r="N24" s="52" t="str">
        <f t="shared" si="0"/>
        <v>(1,'','','1900-01-00','1900-01-00',,,),</v>
      </c>
    </row>
    <row r="25" spans="1:14" ht="20.149999999999999" customHeight="1" x14ac:dyDescent="0.35">
      <c r="A25" s="39">
        <v>2</v>
      </c>
      <c r="B25" s="48"/>
      <c r="C25" s="52"/>
      <c r="D25" s="19"/>
      <c r="E25" s="19"/>
      <c r="F25" s="42"/>
      <c r="G25" s="42"/>
      <c r="H25" s="42"/>
      <c r="I25" s="42"/>
      <c r="J25" s="42"/>
      <c r="K25" s="53"/>
      <c r="L25" s="44"/>
      <c r="M25" s="42"/>
      <c r="N25" s="52" t="str">
        <f t="shared" si="0"/>
        <v>(2,'','','1900-01-00','1900-01-00',,,),</v>
      </c>
    </row>
    <row r="26" spans="1:14" ht="20.149999999999999" customHeight="1" x14ac:dyDescent="0.35">
      <c r="A26" s="39">
        <v>3</v>
      </c>
      <c r="B26" s="48"/>
      <c r="C26" s="52"/>
      <c r="D26" s="19"/>
      <c r="E26" s="19"/>
      <c r="F26" s="42"/>
      <c r="G26" s="42"/>
      <c r="H26" s="42"/>
      <c r="I26" s="42"/>
      <c r="J26" s="42"/>
      <c r="K26" s="53"/>
      <c r="L26" s="44"/>
      <c r="M26" s="42"/>
      <c r="N26" s="52" t="str">
        <f t="shared" si="0"/>
        <v>(3,'','','1900-01-00','1900-01-00',,,),</v>
      </c>
    </row>
    <row r="27" spans="1:14" ht="20.149999999999999" customHeight="1" x14ac:dyDescent="0.35">
      <c r="A27" s="39">
        <v>4</v>
      </c>
      <c r="B27" s="48"/>
      <c r="C27" s="52"/>
      <c r="D27" s="19"/>
      <c r="E27" s="19"/>
      <c r="F27" s="42"/>
      <c r="G27" s="42"/>
      <c r="H27" s="42"/>
      <c r="I27" s="42"/>
      <c r="J27" s="42"/>
      <c r="K27" s="53"/>
      <c r="L27" s="44"/>
      <c r="M27" s="42"/>
      <c r="N27" s="52" t="str">
        <f t="shared" si="0"/>
        <v>(4,'','','1900-01-00','1900-01-00',,,),</v>
      </c>
    </row>
    <row r="28" spans="1:14" ht="20.149999999999999" customHeight="1" x14ac:dyDescent="0.35">
      <c r="A28" s="39">
        <v>5</v>
      </c>
      <c r="B28" s="48"/>
      <c r="C28" s="52"/>
      <c r="D28" s="19"/>
      <c r="E28" s="19"/>
      <c r="F28" s="42"/>
      <c r="G28" s="42"/>
      <c r="H28" s="42"/>
      <c r="I28" s="42"/>
      <c r="J28" s="42"/>
      <c r="K28" s="53"/>
      <c r="L28" s="44"/>
      <c r="M28" s="42"/>
      <c r="N28" s="52" t="str">
        <f t="shared" si="0"/>
        <v>(5,'','','1900-01-00','1900-01-00',,,),</v>
      </c>
    </row>
    <row r="29" spans="1:14" ht="20.149999999999999" customHeight="1" x14ac:dyDescent="0.35">
      <c r="A29" s="39">
        <v>6</v>
      </c>
      <c r="B29" s="48"/>
      <c r="C29" s="52"/>
      <c r="D29" s="19"/>
      <c r="E29" s="19"/>
      <c r="F29" s="42"/>
      <c r="G29" s="42"/>
      <c r="H29" s="42"/>
      <c r="I29" s="42"/>
      <c r="J29" s="42"/>
      <c r="K29" s="53"/>
      <c r="L29" s="44"/>
      <c r="M29" s="42"/>
      <c r="N29" s="52" t="str">
        <f t="shared" si="0"/>
        <v>(6,'','','1900-01-00','1900-01-00',,,),</v>
      </c>
    </row>
    <row r="30" spans="1:14" ht="20.149999999999999" customHeight="1" x14ac:dyDescent="0.35">
      <c r="A30" s="39">
        <v>7</v>
      </c>
      <c r="B30" s="48"/>
      <c r="C30" s="52"/>
      <c r="D30" s="19"/>
      <c r="E30" s="19"/>
      <c r="F30" s="42"/>
      <c r="G30" s="42"/>
      <c r="H30" s="42"/>
      <c r="I30" s="42"/>
      <c r="J30" s="42"/>
      <c r="K30" s="53"/>
      <c r="L30" s="44"/>
      <c r="M30" s="42"/>
      <c r="N30" s="52" t="str">
        <f t="shared" si="0"/>
        <v>(7,'','','1900-01-00','1900-01-00',,,),</v>
      </c>
    </row>
    <row r="31" spans="1:14" ht="20.149999999999999" customHeight="1" x14ac:dyDescent="0.35">
      <c r="A31" s="39">
        <v>8</v>
      </c>
      <c r="B31" s="48"/>
      <c r="C31" s="52"/>
      <c r="D31" s="19"/>
      <c r="E31" s="19"/>
      <c r="F31" s="42"/>
      <c r="G31" s="42"/>
      <c r="H31" s="42"/>
      <c r="I31" s="42"/>
      <c r="J31" s="42"/>
      <c r="K31" s="53"/>
      <c r="L31" s="44"/>
      <c r="M31" s="42"/>
      <c r="N31" s="52" t="str">
        <f t="shared" si="0"/>
        <v>(8,'','','1900-01-00','1900-01-00',,,),</v>
      </c>
    </row>
    <row r="32" spans="1:14" ht="20.149999999999999" customHeight="1" x14ac:dyDescent="0.35">
      <c r="A32" s="39">
        <v>9</v>
      </c>
      <c r="B32" s="48"/>
      <c r="C32" s="52"/>
      <c r="D32" s="19"/>
      <c r="E32" s="19"/>
      <c r="F32" s="42"/>
      <c r="G32" s="42"/>
      <c r="H32" s="42"/>
      <c r="I32" s="42"/>
      <c r="J32" s="42"/>
      <c r="K32" s="53"/>
      <c r="L32" s="44"/>
      <c r="M32" s="42"/>
      <c r="N32" s="52" t="str">
        <f t="shared" si="0"/>
        <v>(9,'','','1900-01-00','1900-01-00',,,),</v>
      </c>
    </row>
    <row r="33" spans="1:14" ht="20.149999999999999" customHeight="1" x14ac:dyDescent="0.35">
      <c r="A33" s="39">
        <v>10</v>
      </c>
      <c r="B33" s="48"/>
      <c r="C33" s="52"/>
      <c r="D33" s="19"/>
      <c r="E33" s="19"/>
      <c r="F33" s="42"/>
      <c r="G33" s="42"/>
      <c r="H33" s="42"/>
      <c r="I33" s="42"/>
      <c r="J33" s="42"/>
      <c r="K33" s="53"/>
      <c r="L33" s="44"/>
      <c r="M33" s="42"/>
      <c r="N33" s="52" t="str">
        <f t="shared" si="0"/>
        <v>(10,'','','1900-01-00','1900-01-00',,,),</v>
      </c>
    </row>
    <row r="34" spans="1:14" ht="20.149999999999999" customHeight="1" x14ac:dyDescent="0.35">
      <c r="A34" s="39">
        <v>11</v>
      </c>
      <c r="B34" s="48"/>
      <c r="C34" s="52"/>
      <c r="D34" s="19"/>
      <c r="E34" s="19"/>
      <c r="F34" s="42"/>
      <c r="G34" s="42"/>
      <c r="H34" s="42"/>
      <c r="I34" s="42"/>
      <c r="J34" s="42"/>
      <c r="K34" s="53"/>
      <c r="L34" s="44"/>
      <c r="M34" s="42"/>
      <c r="N34" s="52" t="str">
        <f t="shared" si="0"/>
        <v>(11,'','','1900-01-00','1900-01-00',,,),</v>
      </c>
    </row>
    <row r="35" spans="1:14" ht="20.149999999999999" customHeight="1" x14ac:dyDescent="0.35">
      <c r="A35" s="39">
        <v>12</v>
      </c>
      <c r="B35" s="48"/>
      <c r="C35" s="52"/>
      <c r="D35" s="19"/>
      <c r="E35" s="19"/>
      <c r="F35" s="42"/>
      <c r="G35" s="42"/>
      <c r="H35" s="42"/>
      <c r="I35" s="42"/>
      <c r="J35" s="42"/>
      <c r="K35" s="53"/>
      <c r="L35" s="44"/>
      <c r="M35" s="42"/>
      <c r="N35" s="52" t="str">
        <f t="shared" si="0"/>
        <v>(12,'','','1900-01-00','1900-01-00',,,),</v>
      </c>
    </row>
    <row r="36" spans="1:14" ht="20.149999999999999" customHeight="1" x14ac:dyDescent="0.35">
      <c r="A36" s="39">
        <v>13</v>
      </c>
      <c r="B36" s="48"/>
      <c r="C36" s="52"/>
      <c r="D36" s="19"/>
      <c r="E36" s="19"/>
      <c r="F36" s="42"/>
      <c r="G36" s="42"/>
      <c r="H36" s="42"/>
      <c r="I36" s="42"/>
      <c r="J36" s="42"/>
      <c r="K36" s="53"/>
      <c r="L36" s="44"/>
      <c r="M36" s="42"/>
      <c r="N36" s="52" t="str">
        <f t="shared" si="0"/>
        <v>(13,'','','1900-01-00','1900-01-00',,,),</v>
      </c>
    </row>
    <row r="37" spans="1:14" ht="20.149999999999999" customHeight="1" x14ac:dyDescent="0.35">
      <c r="A37" s="39">
        <v>14</v>
      </c>
      <c r="B37" s="48"/>
      <c r="C37" s="52"/>
      <c r="D37" s="19"/>
      <c r="E37" s="19"/>
      <c r="F37" s="42"/>
      <c r="G37" s="42"/>
      <c r="H37" s="42"/>
      <c r="I37" s="42"/>
      <c r="J37" s="42"/>
      <c r="K37" s="53"/>
      <c r="L37" s="44"/>
      <c r="M37" s="42"/>
      <c r="N37" s="52" t="str">
        <f t="shared" si="0"/>
        <v>(14,'','','1900-01-00','1900-01-00',,,),</v>
      </c>
    </row>
    <row r="38" spans="1:14" ht="20.149999999999999" customHeight="1" x14ac:dyDescent="0.35">
      <c r="A38" s="39">
        <v>15</v>
      </c>
      <c r="B38" s="48"/>
      <c r="C38" s="52"/>
      <c r="D38" s="19"/>
      <c r="E38" s="19"/>
      <c r="F38" s="42"/>
      <c r="G38" s="42"/>
      <c r="H38" s="42"/>
      <c r="I38" s="42"/>
      <c r="J38" s="42"/>
      <c r="K38" s="53"/>
      <c r="L38" s="44"/>
      <c r="M38" s="42"/>
      <c r="N38" s="52" t="str">
        <f t="shared" si="0"/>
        <v>(15,'','','1900-01-00','1900-01-00',,,),</v>
      </c>
    </row>
    <row r="39" spans="1:14" ht="20.149999999999999" customHeight="1" x14ac:dyDescent="0.35">
      <c r="A39" s="39">
        <v>16</v>
      </c>
      <c r="B39" s="48"/>
      <c r="C39" s="52"/>
      <c r="D39" s="19"/>
      <c r="E39" s="19"/>
      <c r="F39" s="42"/>
      <c r="G39" s="42"/>
      <c r="H39" s="42"/>
      <c r="I39" s="42"/>
      <c r="J39" s="42"/>
      <c r="K39" s="53"/>
      <c r="L39" s="44"/>
      <c r="M39" s="42"/>
      <c r="N39" s="52" t="str">
        <f t="shared" si="0"/>
        <v>(16,'','','1900-01-00','1900-01-00',,,),</v>
      </c>
    </row>
    <row r="40" spans="1:14" ht="20.149999999999999" customHeight="1" x14ac:dyDescent="0.35">
      <c r="A40" s="39">
        <v>17</v>
      </c>
      <c r="B40" s="48"/>
      <c r="C40" s="52"/>
      <c r="D40" s="19"/>
      <c r="E40" s="19"/>
      <c r="F40" s="42"/>
      <c r="G40" s="42"/>
      <c r="H40" s="42"/>
      <c r="I40" s="42"/>
      <c r="J40" s="42"/>
      <c r="K40" s="53"/>
      <c r="L40" s="44"/>
      <c r="M40" s="42"/>
      <c r="N40" s="52" t="str">
        <f t="shared" si="0"/>
        <v>(17,'','','1900-01-00','1900-01-00',,,),</v>
      </c>
    </row>
    <row r="41" spans="1:14" ht="20.149999999999999" customHeight="1" x14ac:dyDescent="0.35">
      <c r="A41" s="39">
        <v>18</v>
      </c>
      <c r="B41" s="48"/>
      <c r="C41" s="52"/>
      <c r="D41" s="19"/>
      <c r="E41" s="19"/>
      <c r="F41" s="42"/>
      <c r="G41" s="42"/>
      <c r="H41" s="42"/>
      <c r="I41" s="42"/>
      <c r="J41" s="42"/>
      <c r="K41" s="53"/>
      <c r="L41" s="44"/>
      <c r="M41" s="42"/>
      <c r="N41" s="52" t="str">
        <f t="shared" si="0"/>
        <v>(18,'','','1900-01-00','1900-01-00',,,),</v>
      </c>
    </row>
    <row r="42" spans="1:14" ht="20.149999999999999" customHeight="1" x14ac:dyDescent="0.35">
      <c r="A42" s="39">
        <v>19</v>
      </c>
      <c r="B42" s="48"/>
      <c r="C42" s="52"/>
      <c r="D42" s="19"/>
      <c r="E42" s="19"/>
      <c r="F42" s="42"/>
      <c r="G42" s="42"/>
      <c r="H42" s="42"/>
      <c r="I42" s="42"/>
      <c r="J42" s="42"/>
      <c r="K42" s="53"/>
      <c r="L42" s="44"/>
      <c r="M42" s="42"/>
      <c r="N42" s="52" t="str">
        <f t="shared" si="0"/>
        <v>(19,'','','1900-01-00','1900-01-00',,,),</v>
      </c>
    </row>
    <row r="43" spans="1:14" ht="20.149999999999999" customHeight="1" x14ac:dyDescent="0.35">
      <c r="A43" s="39">
        <v>20</v>
      </c>
      <c r="B43" s="48"/>
      <c r="C43" s="52"/>
      <c r="D43" s="19"/>
      <c r="E43" s="19"/>
      <c r="F43" s="42"/>
      <c r="G43" s="42"/>
      <c r="H43" s="42"/>
      <c r="I43" s="42"/>
      <c r="J43" s="42"/>
      <c r="K43" s="53"/>
      <c r="L43" s="44"/>
      <c r="M43" s="42"/>
      <c r="N43" s="52" t="str">
        <f t="shared" si="0"/>
        <v>(20,'','','1900-01-00','1900-01-00',,,),</v>
      </c>
    </row>
    <row r="44" spans="1:14" ht="20.149999999999999" customHeight="1" x14ac:dyDescent="0.35">
      <c r="A44" s="39">
        <v>21</v>
      </c>
      <c r="B44" s="48"/>
      <c r="C44" s="52"/>
      <c r="D44" s="19"/>
      <c r="E44" s="19"/>
      <c r="F44" s="42"/>
      <c r="G44" s="42"/>
      <c r="H44" s="42"/>
      <c r="I44" s="42"/>
      <c r="J44" s="42"/>
      <c r="K44" s="53"/>
      <c r="L44" s="44"/>
      <c r="M44" s="42"/>
      <c r="N44" s="52" t="str">
        <f t="shared" si="0"/>
        <v>(21,'','','1900-01-00','1900-01-00',,,),</v>
      </c>
    </row>
    <row r="45" spans="1:14" ht="20.149999999999999" customHeight="1" x14ac:dyDescent="0.35">
      <c r="A45" s="39">
        <v>22</v>
      </c>
      <c r="B45" s="48"/>
      <c r="C45" s="52"/>
      <c r="D45" s="19"/>
      <c r="E45" s="19"/>
      <c r="F45" s="42"/>
      <c r="G45" s="42"/>
      <c r="H45" s="42"/>
      <c r="I45" s="42"/>
      <c r="J45" s="42"/>
      <c r="K45" s="53"/>
      <c r="L45" s="44"/>
      <c r="M45" s="42"/>
      <c r="N45" s="52" t="str">
        <f t="shared" si="0"/>
        <v>(22,'','','1900-01-00','1900-01-00',,,),</v>
      </c>
    </row>
    <row r="46" spans="1:14" ht="20.149999999999999" customHeight="1" x14ac:dyDescent="0.35">
      <c r="A46" s="39">
        <v>23</v>
      </c>
      <c r="B46" s="48"/>
      <c r="C46" s="52"/>
      <c r="D46" s="19"/>
      <c r="E46" s="19"/>
      <c r="F46" s="42"/>
      <c r="G46" s="42"/>
      <c r="H46" s="42"/>
      <c r="I46" s="42"/>
      <c r="J46" s="42"/>
      <c r="K46" s="53"/>
      <c r="L46" s="44"/>
      <c r="M46" s="42"/>
      <c r="N46" s="52" t="str">
        <f t="shared" si="0"/>
        <v>(23,'','','1900-01-00','1900-01-00',,,),</v>
      </c>
    </row>
    <row r="47" spans="1:14" ht="20.149999999999999" customHeight="1" x14ac:dyDescent="0.35">
      <c r="A47" s="39">
        <v>24</v>
      </c>
      <c r="B47" s="48"/>
      <c r="C47" s="52"/>
      <c r="D47" s="19"/>
      <c r="E47" s="19"/>
      <c r="F47" s="42"/>
      <c r="G47" s="42"/>
      <c r="H47" s="42"/>
      <c r="I47" s="42"/>
      <c r="J47" s="42"/>
      <c r="K47" s="53"/>
      <c r="L47" s="44"/>
      <c r="M47" s="42"/>
      <c r="N47" s="52" t="str">
        <f t="shared" si="0"/>
        <v>(24,'','','1900-01-00','1900-01-00',,,),</v>
      </c>
    </row>
    <row r="48" spans="1:14" ht="20.149999999999999" customHeight="1" x14ac:dyDescent="0.35">
      <c r="A48" s="39">
        <v>25</v>
      </c>
      <c r="B48" s="48"/>
      <c r="C48" s="52"/>
      <c r="D48" s="19"/>
      <c r="E48" s="19"/>
      <c r="F48" s="42"/>
      <c r="G48" s="42"/>
      <c r="H48" s="42"/>
      <c r="I48" s="42"/>
      <c r="J48" s="42"/>
      <c r="K48" s="53"/>
      <c r="L48" s="44"/>
      <c r="M48" s="42"/>
      <c r="N48" s="52" t="str">
        <f t="shared" si="0"/>
        <v>(25,'','','1900-01-00','1900-01-00',,,),</v>
      </c>
    </row>
    <row r="49" spans="1:14" ht="20.149999999999999" customHeight="1" x14ac:dyDescent="0.35">
      <c r="A49" s="39">
        <v>1</v>
      </c>
      <c r="B49" s="48"/>
      <c r="C49" s="52"/>
      <c r="D49" s="19"/>
      <c r="E49" s="19"/>
      <c r="F49" s="42"/>
      <c r="G49" s="42"/>
      <c r="H49" s="42"/>
      <c r="I49" s="42"/>
      <c r="J49" s="42"/>
      <c r="K49" s="53"/>
      <c r="L49" s="44"/>
      <c r="M49" s="42"/>
      <c r="N49" s="52" t="str">
        <f t="shared" si="0"/>
        <v>(1,'','','1900-01-00','1900-01-00',,,),</v>
      </c>
    </row>
    <row r="50" spans="1:14" ht="20.149999999999999" customHeight="1" x14ac:dyDescent="0.35">
      <c r="A50" s="39">
        <v>2</v>
      </c>
      <c r="B50" s="48"/>
      <c r="C50" s="52"/>
      <c r="D50" s="19"/>
      <c r="E50" s="19"/>
      <c r="F50" s="42"/>
      <c r="G50" s="42"/>
      <c r="H50" s="42"/>
      <c r="I50" s="42"/>
      <c r="J50" s="42"/>
      <c r="K50" s="53"/>
      <c r="L50" s="44"/>
      <c r="M50" s="42"/>
      <c r="N50" s="52" t="str">
        <f t="shared" si="0"/>
        <v>(2,'','','1900-01-00','1900-01-00',,,),</v>
      </c>
    </row>
    <row r="51" spans="1:14" ht="20.149999999999999" customHeight="1" x14ac:dyDescent="0.35">
      <c r="A51" s="39">
        <v>3</v>
      </c>
      <c r="B51" s="48"/>
      <c r="C51" s="52"/>
      <c r="D51" s="19"/>
      <c r="E51" s="19"/>
      <c r="F51" s="42"/>
      <c r="G51" s="42"/>
      <c r="H51" s="42"/>
      <c r="I51" s="42"/>
      <c r="J51" s="42"/>
      <c r="K51" s="53"/>
      <c r="L51" s="44"/>
      <c r="M51" s="42"/>
      <c r="N51" s="52" t="str">
        <f t="shared" si="0"/>
        <v>(3,'','','1900-01-00','1900-01-00',,,),</v>
      </c>
    </row>
    <row r="52" spans="1:14" ht="20.149999999999999" customHeight="1" x14ac:dyDescent="0.35">
      <c r="A52" s="39">
        <v>4</v>
      </c>
      <c r="B52" s="48"/>
      <c r="C52" s="52"/>
      <c r="D52" s="19"/>
      <c r="E52" s="19"/>
      <c r="F52" s="42"/>
      <c r="G52" s="42"/>
      <c r="H52" s="42"/>
      <c r="I52" s="42"/>
      <c r="J52" s="42"/>
      <c r="K52" s="53"/>
      <c r="L52" s="44"/>
      <c r="M52" s="42"/>
      <c r="N52" s="52" t="str">
        <f t="shared" si="0"/>
        <v>(4,'','','1900-01-00','1900-01-00',,,),</v>
      </c>
    </row>
    <row r="53" spans="1:14" ht="20.149999999999999" customHeight="1" x14ac:dyDescent="0.35">
      <c r="A53" s="39">
        <v>5</v>
      </c>
      <c r="B53" s="48"/>
      <c r="C53" s="52"/>
      <c r="D53" s="19"/>
      <c r="E53" s="19"/>
      <c r="F53" s="42"/>
      <c r="G53" s="42"/>
      <c r="H53" s="42"/>
      <c r="I53" s="42"/>
      <c r="J53" s="42"/>
      <c r="K53" s="53"/>
      <c r="L53" s="44"/>
      <c r="M53" s="42"/>
      <c r="N53" s="52" t="str">
        <f t="shared" si="0"/>
        <v>(5,'','','1900-01-00','1900-01-00',,,),</v>
      </c>
    </row>
    <row r="54" spans="1:14" ht="20.149999999999999" customHeight="1" x14ac:dyDescent="0.35">
      <c r="A54" s="39">
        <v>6</v>
      </c>
      <c r="B54" s="48"/>
      <c r="C54" s="52"/>
      <c r="D54" s="19"/>
      <c r="E54" s="19"/>
      <c r="F54" s="42"/>
      <c r="G54" s="42"/>
      <c r="H54" s="42"/>
      <c r="I54" s="42"/>
      <c r="J54" s="42"/>
      <c r="K54" s="53"/>
      <c r="L54" s="44"/>
      <c r="M54" s="42"/>
      <c r="N54" s="52" t="str">
        <f t="shared" si="0"/>
        <v>(6,'','','1900-01-00','1900-01-00',,,),</v>
      </c>
    </row>
    <row r="55" spans="1:14" ht="20.149999999999999" customHeight="1" x14ac:dyDescent="0.35">
      <c r="A55" s="39">
        <v>7</v>
      </c>
      <c r="B55" s="48"/>
      <c r="C55" s="52"/>
      <c r="D55" s="19"/>
      <c r="E55" s="19"/>
      <c r="F55" s="42"/>
      <c r="G55" s="42"/>
      <c r="H55" s="42"/>
      <c r="I55" s="42"/>
      <c r="J55" s="42"/>
      <c r="K55" s="53"/>
      <c r="L55" s="44"/>
      <c r="M55" s="42"/>
      <c r="N55" s="52" t="str">
        <f t="shared" si="0"/>
        <v>(7,'','','1900-01-00','1900-01-00',,,),</v>
      </c>
    </row>
    <row r="56" spans="1:14" ht="20.149999999999999" customHeight="1" x14ac:dyDescent="0.35">
      <c r="A56" s="39">
        <v>8</v>
      </c>
      <c r="B56" s="48"/>
      <c r="C56" s="52"/>
      <c r="D56" s="19"/>
      <c r="E56" s="19"/>
      <c r="F56" s="42"/>
      <c r="G56" s="42"/>
      <c r="H56" s="42"/>
      <c r="I56" s="42"/>
      <c r="J56" s="42"/>
      <c r="K56" s="53"/>
      <c r="L56" s="44"/>
      <c r="M56" s="42"/>
      <c r="N56" s="52" t="str">
        <f t="shared" si="0"/>
        <v>(8,'','','1900-01-00','1900-01-00',,,),</v>
      </c>
    </row>
    <row r="57" spans="1:14" ht="20.149999999999999" customHeight="1" x14ac:dyDescent="0.35">
      <c r="A57" s="39">
        <v>9</v>
      </c>
      <c r="B57" s="48"/>
      <c r="C57" s="52"/>
      <c r="D57" s="19"/>
      <c r="E57" s="19"/>
      <c r="F57" s="42"/>
      <c r="G57" s="42"/>
      <c r="H57" s="42"/>
      <c r="I57" s="42"/>
      <c r="J57" s="42"/>
      <c r="K57" s="53"/>
      <c r="L57" s="44"/>
      <c r="M57" s="42"/>
      <c r="N57" s="52" t="str">
        <f t="shared" si="0"/>
        <v>(9,'','','1900-01-00','1900-01-00',,,),</v>
      </c>
    </row>
    <row r="58" spans="1:14" ht="20.149999999999999" customHeight="1" x14ac:dyDescent="0.35">
      <c r="A58" s="39">
        <v>10</v>
      </c>
      <c r="B58" s="48"/>
      <c r="C58" s="52"/>
      <c r="D58" s="19"/>
      <c r="E58" s="19"/>
      <c r="F58" s="42"/>
      <c r="G58" s="42"/>
      <c r="H58" s="42"/>
      <c r="I58" s="42"/>
      <c r="J58" s="42"/>
      <c r="K58" s="53"/>
      <c r="L58" s="44"/>
      <c r="M58" s="42"/>
      <c r="N58" s="52" t="str">
        <f t="shared" si="0"/>
        <v>(10,'','','1900-01-00','1900-01-00',,,),</v>
      </c>
    </row>
    <row r="59" spans="1:14" ht="20.149999999999999" customHeight="1" x14ac:dyDescent="0.35">
      <c r="A59" s="39" t="s">
        <v>867</v>
      </c>
      <c r="B59" s="48"/>
      <c r="C59" s="52"/>
      <c r="D59" s="19"/>
      <c r="E59" s="19"/>
      <c r="F59" s="42"/>
      <c r="G59" s="42"/>
      <c r="H59" s="42"/>
      <c r="I59" s="42"/>
      <c r="J59" s="42"/>
      <c r="K59" s="53"/>
      <c r="L59" s="44"/>
      <c r="M59" s="42"/>
      <c r="N59" s="52" t="str">
        <f t="shared" si="0"/>
        <v>(10Bis,'','','1900-01-00','1900-01-00',,,),</v>
      </c>
    </row>
    <row r="60" spans="1:14" ht="20.149999999999999" customHeight="1" x14ac:dyDescent="0.35">
      <c r="A60" s="39" t="s">
        <v>868</v>
      </c>
      <c r="B60" s="48"/>
      <c r="C60" s="52"/>
      <c r="D60" s="19"/>
      <c r="E60" s="19"/>
      <c r="F60" s="42"/>
      <c r="G60" s="42"/>
      <c r="H60" s="42"/>
      <c r="I60" s="42"/>
      <c r="J60" s="42"/>
      <c r="K60" s="53"/>
      <c r="L60" s="44"/>
      <c r="M60" s="42"/>
      <c r="N60" s="52" t="str">
        <f t="shared" si="0"/>
        <v>(10Ter,'','','1900-01-00','1900-01-00',,,),</v>
      </c>
    </row>
    <row r="61" spans="1:14" ht="20.149999999999999" customHeight="1" x14ac:dyDescent="0.35">
      <c r="A61" s="39">
        <v>11</v>
      </c>
      <c r="B61" s="48"/>
      <c r="C61" s="52"/>
      <c r="D61" s="19"/>
      <c r="E61" s="19"/>
      <c r="F61" s="42"/>
      <c r="G61" s="42"/>
      <c r="H61" s="42"/>
      <c r="I61" s="42"/>
      <c r="J61" s="42"/>
      <c r="K61" s="53"/>
      <c r="L61" s="44"/>
      <c r="M61" s="42"/>
      <c r="N61" s="52" t="str">
        <f t="shared" si="0"/>
        <v>(11,'','','1900-01-00','1900-01-00',,,),</v>
      </c>
    </row>
    <row r="62" spans="1:14" ht="20.149999999999999" customHeight="1" x14ac:dyDescent="0.35">
      <c r="A62" s="39">
        <v>12</v>
      </c>
      <c r="B62" s="48"/>
      <c r="C62" s="52"/>
      <c r="D62" s="19"/>
      <c r="E62" s="19"/>
      <c r="F62" s="42"/>
      <c r="G62" s="42"/>
      <c r="H62" s="42"/>
      <c r="I62" s="42"/>
      <c r="J62" s="42"/>
      <c r="K62" s="53"/>
      <c r="L62" s="44"/>
      <c r="M62" s="42"/>
      <c r="N62" s="52" t="str">
        <f t="shared" si="0"/>
        <v>(12,'','','1900-01-00','1900-01-00',,,),</v>
      </c>
    </row>
    <row r="63" spans="1:14" ht="20.149999999999999" customHeight="1" x14ac:dyDescent="0.35">
      <c r="A63" s="39">
        <v>13</v>
      </c>
      <c r="B63" s="48"/>
      <c r="C63" s="52"/>
      <c r="D63" s="19"/>
      <c r="E63" s="19"/>
      <c r="F63" s="42"/>
      <c r="G63" s="42"/>
      <c r="H63" s="42"/>
      <c r="I63" s="42"/>
      <c r="J63" s="42"/>
      <c r="K63" s="53"/>
      <c r="L63" s="44"/>
      <c r="M63" s="42"/>
      <c r="N63" s="52" t="str">
        <f t="shared" si="0"/>
        <v>(13,'','','1900-01-00','1900-01-00',,,),</v>
      </c>
    </row>
    <row r="64" spans="1:14" ht="20.149999999999999" customHeight="1" x14ac:dyDescent="0.35">
      <c r="A64" s="39">
        <v>14</v>
      </c>
      <c r="B64" s="48"/>
      <c r="C64" s="52"/>
      <c r="D64" s="19"/>
      <c r="E64" s="19"/>
      <c r="F64" s="42"/>
      <c r="G64" s="42"/>
      <c r="H64" s="42"/>
      <c r="I64" s="42"/>
      <c r="J64" s="42"/>
      <c r="K64" s="53"/>
      <c r="L64" s="44"/>
      <c r="M64" s="42"/>
      <c r="N64" s="52" t="str">
        <f t="shared" si="0"/>
        <v>(14,'','','1900-01-00','1900-01-00',,,),</v>
      </c>
    </row>
    <row r="65" spans="1:14" ht="20.149999999999999" customHeight="1" x14ac:dyDescent="0.35">
      <c r="A65" s="39" t="s">
        <v>869</v>
      </c>
      <c r="B65" s="48"/>
      <c r="C65" s="52"/>
      <c r="D65" s="19"/>
      <c r="E65" s="19"/>
      <c r="F65" s="42"/>
      <c r="G65" s="42"/>
      <c r="H65" s="42"/>
      <c r="I65" s="42"/>
      <c r="J65" s="42"/>
      <c r="K65" s="53"/>
      <c r="L65" s="44"/>
      <c r="M65" s="42"/>
      <c r="N65" s="52" t="str">
        <f t="shared" si="0"/>
        <v>(14Bis,'','','1900-01-00','1900-01-00',,,),</v>
      </c>
    </row>
    <row r="66" spans="1:14" ht="20.149999999999999" customHeight="1" x14ac:dyDescent="0.35">
      <c r="A66" s="39">
        <v>15</v>
      </c>
      <c r="B66" s="48"/>
      <c r="C66" s="52"/>
      <c r="D66" s="19"/>
      <c r="E66" s="19"/>
      <c r="F66" s="42"/>
      <c r="G66" s="42"/>
      <c r="H66" s="42"/>
      <c r="I66" s="42"/>
      <c r="J66" s="42"/>
      <c r="K66" s="53"/>
      <c r="L66" s="44"/>
      <c r="M66" s="42"/>
      <c r="N66" s="52" t="str">
        <f t="shared" si="0"/>
        <v>(15,'','','1900-01-00','1900-01-00',,,),</v>
      </c>
    </row>
    <row r="67" spans="1:14" ht="20.149999999999999" customHeight="1" x14ac:dyDescent="0.35">
      <c r="A67" s="39">
        <v>16</v>
      </c>
      <c r="B67" s="48"/>
      <c r="C67" s="52"/>
      <c r="D67" s="19"/>
      <c r="E67" s="19"/>
      <c r="F67" s="42"/>
      <c r="G67" s="42"/>
      <c r="H67" s="42"/>
      <c r="I67" s="42"/>
      <c r="J67" s="42"/>
      <c r="K67" s="53"/>
      <c r="L67" s="44"/>
      <c r="M67" s="42"/>
      <c r="N67" s="52" t="str">
        <f t="shared" ref="N67:N130" si="1">CONCATENATE("(",A67,",'",B67,"','",C67,"','",TEXT(D67,"aaaa-mm-jj"),"','",TEXT(E67,"aaaa-mm-jj"),"',",F67,",",G67,",",H67,"),")</f>
        <v>(16,'','','1900-01-00','1900-01-00',,,),</v>
      </c>
    </row>
    <row r="68" spans="1:14" ht="20.149999999999999" customHeight="1" x14ac:dyDescent="0.35">
      <c r="A68" s="39" t="s">
        <v>870</v>
      </c>
      <c r="B68" s="48"/>
      <c r="C68" s="52"/>
      <c r="D68" s="19"/>
      <c r="E68" s="19"/>
      <c r="F68" s="42"/>
      <c r="G68" s="42"/>
      <c r="H68" s="42"/>
      <c r="I68" s="42"/>
      <c r="J68" s="42"/>
      <c r="K68" s="53"/>
      <c r="L68" s="44"/>
      <c r="M68" s="42"/>
      <c r="N68" s="52" t="str">
        <f t="shared" si="1"/>
        <v>(16Bis,'','','1900-01-00','1900-01-00',,,),</v>
      </c>
    </row>
    <row r="69" spans="1:14" ht="20.149999999999999" customHeight="1" x14ac:dyDescent="0.35">
      <c r="A69" s="39">
        <v>17</v>
      </c>
      <c r="B69" s="48"/>
      <c r="C69" s="52"/>
      <c r="D69" s="19"/>
      <c r="E69" s="19"/>
      <c r="F69" s="42"/>
      <c r="G69" s="42"/>
      <c r="H69" s="42"/>
      <c r="I69" s="42"/>
      <c r="J69" s="42"/>
      <c r="K69" s="53"/>
      <c r="L69" s="44"/>
      <c r="M69" s="42"/>
      <c r="N69" s="52" t="str">
        <f t="shared" si="1"/>
        <v>(17,'','','1900-01-00','1900-01-00',,,),</v>
      </c>
    </row>
    <row r="70" spans="1:14" ht="20.149999999999999" customHeight="1" x14ac:dyDescent="0.35">
      <c r="A70" s="39">
        <v>18</v>
      </c>
      <c r="B70" s="48"/>
      <c r="C70" s="52"/>
      <c r="D70" s="19"/>
      <c r="E70" s="19"/>
      <c r="F70" s="42"/>
      <c r="G70" s="42"/>
      <c r="H70" s="42"/>
      <c r="I70" s="42"/>
      <c r="J70" s="42"/>
      <c r="K70" s="53"/>
      <c r="L70" s="44"/>
      <c r="M70" s="42"/>
      <c r="N70" s="52" t="str">
        <f t="shared" si="1"/>
        <v>(18,'','','1900-01-00','1900-01-00',,,),</v>
      </c>
    </row>
    <row r="71" spans="1:14" ht="20.149999999999999" customHeight="1" x14ac:dyDescent="0.35">
      <c r="A71" s="39">
        <v>1</v>
      </c>
      <c r="B71" s="40"/>
      <c r="C71" s="52"/>
      <c r="D71" s="19"/>
      <c r="E71" s="19"/>
      <c r="F71" s="42"/>
      <c r="G71" s="42"/>
      <c r="H71" s="42"/>
      <c r="I71" s="42"/>
      <c r="J71" s="42"/>
      <c r="K71" s="53"/>
      <c r="L71" s="44"/>
      <c r="M71" s="42"/>
      <c r="N71" s="52" t="str">
        <f t="shared" si="1"/>
        <v>(1,'','','1900-01-00','1900-01-00',,,),</v>
      </c>
    </row>
    <row r="72" spans="1:14" ht="20.149999999999999" customHeight="1" x14ac:dyDescent="0.35">
      <c r="A72" s="39">
        <v>2</v>
      </c>
      <c r="B72" s="40"/>
      <c r="C72" s="52"/>
      <c r="D72" s="19"/>
      <c r="E72" s="19"/>
      <c r="F72" s="42"/>
      <c r="G72" s="42"/>
      <c r="H72" s="42"/>
      <c r="I72" s="42"/>
      <c r="J72" s="42"/>
      <c r="K72" s="53"/>
      <c r="L72" s="44"/>
      <c r="M72" s="42"/>
      <c r="N72" s="52" t="str">
        <f t="shared" si="1"/>
        <v>(2,'','','1900-01-00','1900-01-00',,,),</v>
      </c>
    </row>
    <row r="73" spans="1:14" ht="20.149999999999999" customHeight="1" x14ac:dyDescent="0.35">
      <c r="A73" s="39">
        <v>3</v>
      </c>
      <c r="B73" s="40"/>
      <c r="C73" s="52"/>
      <c r="D73" s="19"/>
      <c r="E73" s="19"/>
      <c r="F73" s="42"/>
      <c r="G73" s="42"/>
      <c r="H73" s="42"/>
      <c r="I73" s="42"/>
      <c r="J73" s="42"/>
      <c r="K73" s="53"/>
      <c r="L73" s="44"/>
      <c r="M73" s="42"/>
      <c r="N73" s="52" t="str">
        <f t="shared" si="1"/>
        <v>(3,'','','1900-01-00','1900-01-00',,,),</v>
      </c>
    </row>
    <row r="74" spans="1:14" ht="20.149999999999999" customHeight="1" x14ac:dyDescent="0.35">
      <c r="A74" s="39">
        <v>4</v>
      </c>
      <c r="B74" s="40"/>
      <c r="C74" s="52"/>
      <c r="D74" s="19"/>
      <c r="E74" s="19"/>
      <c r="F74" s="42"/>
      <c r="G74" s="42"/>
      <c r="H74" s="42"/>
      <c r="I74" s="42"/>
      <c r="J74" s="42"/>
      <c r="K74" s="53"/>
      <c r="L74" s="44"/>
      <c r="M74" s="42"/>
      <c r="N74" s="52" t="str">
        <f t="shared" si="1"/>
        <v>(4,'','','1900-01-00','1900-01-00',,,),</v>
      </c>
    </row>
    <row r="75" spans="1:14" ht="20.149999999999999" customHeight="1" x14ac:dyDescent="0.35">
      <c r="A75" s="39" t="s">
        <v>871</v>
      </c>
      <c r="B75" s="40"/>
      <c r="C75" s="52"/>
      <c r="D75" s="19"/>
      <c r="E75" s="19"/>
      <c r="F75" s="42"/>
      <c r="G75" s="42"/>
      <c r="H75" s="42"/>
      <c r="I75" s="42"/>
      <c r="J75" s="42"/>
      <c r="K75" s="53"/>
      <c r="L75" s="44"/>
      <c r="M75" s="42"/>
      <c r="N75" s="52" t="str">
        <f t="shared" si="1"/>
        <v>(04Bis,'','','1900-01-00','1900-01-00',,,),</v>
      </c>
    </row>
    <row r="76" spans="1:14" ht="20.149999999999999" customHeight="1" x14ac:dyDescent="0.35">
      <c r="A76" s="39">
        <v>5</v>
      </c>
      <c r="B76" s="40"/>
      <c r="C76" s="52"/>
      <c r="D76" s="19"/>
      <c r="E76" s="19"/>
      <c r="F76" s="42"/>
      <c r="G76" s="42"/>
      <c r="H76" s="42"/>
      <c r="I76" s="42"/>
      <c r="J76" s="42"/>
      <c r="K76" s="53"/>
      <c r="L76" s="44"/>
      <c r="M76" s="42"/>
      <c r="N76" s="52" t="str">
        <f t="shared" si="1"/>
        <v>(5,'','','1900-01-00','1900-01-00',,,),</v>
      </c>
    </row>
    <row r="77" spans="1:14" ht="20.149999999999999" customHeight="1" x14ac:dyDescent="0.35">
      <c r="A77" s="39" t="s">
        <v>886</v>
      </c>
      <c r="B77" s="40"/>
      <c r="C77" s="52"/>
      <c r="D77" s="19"/>
      <c r="E77" s="19"/>
      <c r="F77" s="42"/>
      <c r="G77" s="42"/>
      <c r="H77" s="42"/>
      <c r="I77" s="42"/>
      <c r="J77" s="42"/>
      <c r="K77" s="53"/>
      <c r="L77" s="44"/>
      <c r="M77" s="42"/>
      <c r="N77" s="52" t="str">
        <f t="shared" si="1"/>
        <v>(N01,'','','1900-01-00','1900-01-00',,,),</v>
      </c>
    </row>
    <row r="78" spans="1:14" ht="20.149999999999999" customHeight="1" x14ac:dyDescent="0.35">
      <c r="A78" s="39" t="s">
        <v>887</v>
      </c>
      <c r="B78" s="40"/>
      <c r="C78" s="52"/>
      <c r="D78" s="19"/>
      <c r="E78" s="19"/>
      <c r="F78" s="42"/>
      <c r="G78" s="42"/>
      <c r="H78" s="42"/>
      <c r="I78" s="42"/>
      <c r="J78" s="42"/>
      <c r="K78" s="53"/>
      <c r="L78" s="44"/>
      <c r="M78" s="42"/>
      <c r="N78" s="52" t="str">
        <f t="shared" si="1"/>
        <v>(N02,'','','1900-01-00','1900-01-00',,,),</v>
      </c>
    </row>
    <row r="79" spans="1:14" ht="20.149999999999999" customHeight="1" x14ac:dyDescent="0.35">
      <c r="A79" s="39" t="s">
        <v>888</v>
      </c>
      <c r="B79" s="40"/>
      <c r="C79" s="52"/>
      <c r="D79" s="19"/>
      <c r="E79" s="19"/>
      <c r="F79" s="42"/>
      <c r="G79" s="42"/>
      <c r="H79" s="42"/>
      <c r="I79" s="42"/>
      <c r="J79" s="42"/>
      <c r="K79" s="53"/>
      <c r="L79" s="44"/>
      <c r="M79" s="42"/>
      <c r="N79" s="52" t="str">
        <f t="shared" si="1"/>
        <v>(N03,'','','1900-01-00','1900-01-00',,,),</v>
      </c>
    </row>
    <row r="80" spans="1:14" ht="20.149999999999999" customHeight="1" x14ac:dyDescent="0.35">
      <c r="A80" s="39" t="s">
        <v>891</v>
      </c>
      <c r="B80" s="40"/>
      <c r="C80" s="52"/>
      <c r="D80" s="19"/>
      <c r="E80" s="19"/>
      <c r="F80" s="42"/>
      <c r="G80" s="42"/>
      <c r="H80" s="42"/>
      <c r="I80" s="42"/>
      <c r="J80" s="42"/>
      <c r="K80" s="53"/>
      <c r="L80" s="44"/>
      <c r="M80" s="42"/>
      <c r="N80" s="52" t="str">
        <f t="shared" si="1"/>
        <v>(N03Bis,'','','1900-01-00','1900-01-00',,,),</v>
      </c>
    </row>
    <row r="81" spans="1:14" ht="20.149999999999999" customHeight="1" x14ac:dyDescent="0.35">
      <c r="A81" s="39" t="s">
        <v>889</v>
      </c>
      <c r="B81" s="40"/>
      <c r="C81" s="52"/>
      <c r="D81" s="19"/>
      <c r="E81" s="19"/>
      <c r="F81" s="42"/>
      <c r="G81" s="42"/>
      <c r="H81" s="42"/>
      <c r="I81" s="42"/>
      <c r="J81" s="42"/>
      <c r="K81" s="53"/>
      <c r="L81" s="44"/>
      <c r="M81" s="42"/>
      <c r="N81" s="52" t="str">
        <f t="shared" si="1"/>
        <v>(N04,'','','1900-01-00','1900-01-00',,,),</v>
      </c>
    </row>
    <row r="82" spans="1:14" ht="20.149999999999999" customHeight="1" x14ac:dyDescent="0.35">
      <c r="A82" s="39" t="s">
        <v>890</v>
      </c>
      <c r="B82" s="40"/>
      <c r="C82" s="52"/>
      <c r="D82" s="19"/>
      <c r="E82" s="19"/>
      <c r="F82" s="42"/>
      <c r="G82" s="42"/>
      <c r="H82" s="42"/>
      <c r="I82" s="42"/>
      <c r="J82" s="42"/>
      <c r="K82" s="53"/>
      <c r="L82" s="44"/>
      <c r="M82" s="42"/>
      <c r="N82" s="52" t="str">
        <f t="shared" si="1"/>
        <v>(N05,'','','1900-01-00','1900-01-00',,,),</v>
      </c>
    </row>
    <row r="83" spans="1:14" ht="20.149999999999999" customHeight="1" x14ac:dyDescent="0.35">
      <c r="A83" s="39" t="s">
        <v>892</v>
      </c>
      <c r="B83" s="40"/>
      <c r="C83" s="52"/>
      <c r="D83" s="19"/>
      <c r="E83" s="19"/>
      <c r="F83" s="42"/>
      <c r="G83" s="42"/>
      <c r="H83" s="42"/>
      <c r="I83" s="42"/>
      <c r="J83" s="42"/>
      <c r="K83" s="53"/>
      <c r="L83" s="44"/>
      <c r="M83" s="42"/>
      <c r="N83" s="52" t="str">
        <f t="shared" si="1"/>
        <v>(N06,'','','1900-01-00','1900-01-00',,,),</v>
      </c>
    </row>
    <row r="84" spans="1:14" ht="20.149999999999999" customHeight="1" x14ac:dyDescent="0.35">
      <c r="A84" s="39" t="s">
        <v>900</v>
      </c>
      <c r="B84" s="40"/>
      <c r="C84" s="52"/>
      <c r="D84" s="19"/>
      <c r="E84" s="19"/>
      <c r="F84" s="42"/>
      <c r="G84" s="42"/>
      <c r="H84" s="42"/>
      <c r="I84" s="42"/>
      <c r="J84" s="42"/>
      <c r="K84" s="53"/>
      <c r="L84" s="44"/>
      <c r="M84" s="42"/>
      <c r="N84" s="52" t="str">
        <f t="shared" si="1"/>
        <v>(N06Bis,'','','1900-01-00','1900-01-00',,,),</v>
      </c>
    </row>
    <row r="85" spans="1:14" ht="20.149999999999999" customHeight="1" x14ac:dyDescent="0.35">
      <c r="A85" s="39" t="s">
        <v>893</v>
      </c>
      <c r="B85" s="40"/>
      <c r="C85" s="52"/>
      <c r="D85" s="19"/>
      <c r="E85" s="19"/>
      <c r="F85" s="42"/>
      <c r="G85" s="42"/>
      <c r="H85" s="42"/>
      <c r="I85" s="42"/>
      <c r="J85" s="42"/>
      <c r="K85" s="53"/>
      <c r="L85" s="44"/>
      <c r="M85" s="42"/>
      <c r="N85" s="52" t="str">
        <f t="shared" si="1"/>
        <v>(N07,'','','1900-01-00','1900-01-00',,,),</v>
      </c>
    </row>
    <row r="86" spans="1:14" ht="20.149999999999999" customHeight="1" x14ac:dyDescent="0.35">
      <c r="A86" s="39" t="s">
        <v>894</v>
      </c>
      <c r="B86" s="40"/>
      <c r="C86" s="52"/>
      <c r="D86" s="19"/>
      <c r="E86" s="19"/>
      <c r="F86" s="42"/>
      <c r="G86" s="42"/>
      <c r="H86" s="42"/>
      <c r="I86" s="42"/>
      <c r="J86" s="42"/>
      <c r="K86" s="53"/>
      <c r="L86" s="44"/>
      <c r="M86" s="42"/>
      <c r="N86" s="52" t="str">
        <f t="shared" si="1"/>
        <v>(N08,'','','1900-01-00','1900-01-00',,,),</v>
      </c>
    </row>
    <row r="87" spans="1:14" ht="20.149999999999999" customHeight="1" x14ac:dyDescent="0.35">
      <c r="A87" s="39" t="s">
        <v>895</v>
      </c>
      <c r="B87" s="40"/>
      <c r="C87" s="52"/>
      <c r="D87" s="19"/>
      <c r="E87" s="19"/>
      <c r="F87" s="42"/>
      <c r="G87" s="42"/>
      <c r="H87" s="42"/>
      <c r="I87" s="42"/>
      <c r="J87" s="42"/>
      <c r="K87" s="53"/>
      <c r="L87" s="44"/>
      <c r="M87" s="42"/>
      <c r="N87" s="52" t="str">
        <f t="shared" si="1"/>
        <v>(N09,'','','1900-01-00','1900-01-00',,,),</v>
      </c>
    </row>
    <row r="88" spans="1:14" ht="20.149999999999999" customHeight="1" x14ac:dyDescent="0.35">
      <c r="A88" s="39" t="s">
        <v>896</v>
      </c>
      <c r="B88" s="40"/>
      <c r="C88" s="52"/>
      <c r="D88" s="19"/>
      <c r="E88" s="19"/>
      <c r="F88" s="42"/>
      <c r="G88" s="42"/>
      <c r="H88" s="42"/>
      <c r="I88" s="42"/>
      <c r="J88" s="42"/>
      <c r="K88" s="53"/>
      <c r="L88" s="44"/>
      <c r="M88" s="42"/>
      <c r="N88" s="52" t="str">
        <f t="shared" si="1"/>
        <v>(N10,'','','1900-01-00','1900-01-00',,,),</v>
      </c>
    </row>
    <row r="89" spans="1:14" ht="20.149999999999999" customHeight="1" x14ac:dyDescent="0.35">
      <c r="A89" s="39" t="s">
        <v>897</v>
      </c>
      <c r="B89" s="40"/>
      <c r="C89" s="52"/>
      <c r="D89" s="19"/>
      <c r="E89" s="19"/>
      <c r="F89" s="42"/>
      <c r="G89" s="42"/>
      <c r="H89" s="42"/>
      <c r="I89" s="42"/>
      <c r="J89" s="42"/>
      <c r="K89" s="53"/>
      <c r="L89" s="44"/>
      <c r="M89" s="42"/>
      <c r="N89" s="52" t="str">
        <f t="shared" si="1"/>
        <v>(N11,'','','1900-01-00','1900-01-00',,,),</v>
      </c>
    </row>
    <row r="90" spans="1:14" ht="20.149999999999999" customHeight="1" x14ac:dyDescent="0.35">
      <c r="A90" s="39" t="s">
        <v>898</v>
      </c>
      <c r="B90" s="40"/>
      <c r="C90" s="52"/>
      <c r="D90" s="19"/>
      <c r="E90" s="19"/>
      <c r="F90" s="42"/>
      <c r="G90" s="42"/>
      <c r="H90" s="42"/>
      <c r="I90" s="42"/>
      <c r="J90" s="42"/>
      <c r="K90" s="53"/>
      <c r="L90" s="44"/>
      <c r="M90" s="42"/>
      <c r="N90" s="52" t="str">
        <f t="shared" si="1"/>
        <v>(N12,'','','1900-01-00','1900-01-00',,,),</v>
      </c>
    </row>
    <row r="91" spans="1:14" ht="20.149999999999999" customHeight="1" x14ac:dyDescent="0.35">
      <c r="A91" s="39" t="s">
        <v>899</v>
      </c>
      <c r="B91" s="40"/>
      <c r="C91" s="52"/>
      <c r="D91" s="19"/>
      <c r="E91" s="19"/>
      <c r="F91" s="42"/>
      <c r="G91" s="42"/>
      <c r="H91" s="42"/>
      <c r="I91" s="42"/>
      <c r="J91" s="42"/>
      <c r="K91" s="53"/>
      <c r="L91" s="44"/>
      <c r="M91" s="42"/>
      <c r="N91" s="52" t="str">
        <f t="shared" si="1"/>
        <v>(N13,'','','1900-01-00','1900-01-00',,,),</v>
      </c>
    </row>
    <row r="92" spans="1:14" ht="20.149999999999999" customHeight="1" x14ac:dyDescent="0.35">
      <c r="A92" s="39" t="s">
        <v>885</v>
      </c>
      <c r="B92" s="40"/>
      <c r="C92" s="52"/>
      <c r="D92" s="19"/>
      <c r="E92" s="19"/>
      <c r="F92" s="42"/>
      <c r="G92" s="42"/>
      <c r="H92" s="42"/>
      <c r="I92" s="42"/>
      <c r="J92" s="42"/>
      <c r="K92" s="53"/>
      <c r="L92" s="44"/>
      <c r="M92" s="42"/>
      <c r="N92" s="52" t="str">
        <f t="shared" si="1"/>
        <v>(S01,'','','1900-01-00','1900-01-00',,,),</v>
      </c>
    </row>
    <row r="93" spans="1:14" ht="20.149999999999999" customHeight="1" x14ac:dyDescent="0.35">
      <c r="A93" s="39" t="s">
        <v>916</v>
      </c>
      <c r="B93" s="40"/>
      <c r="C93" s="52"/>
      <c r="D93" s="19"/>
      <c r="E93" s="19"/>
      <c r="F93" s="42"/>
      <c r="G93" s="42"/>
      <c r="H93" s="42"/>
      <c r="I93" s="42"/>
      <c r="J93" s="42"/>
      <c r="K93" s="53"/>
      <c r="L93" s="44"/>
      <c r="M93" s="42"/>
      <c r="N93" s="52" t="str">
        <f t="shared" si="1"/>
        <v>(S02,'','','1900-01-00','1900-01-00',,,),</v>
      </c>
    </row>
    <row r="94" spans="1:14" ht="20.149999999999999" customHeight="1" x14ac:dyDescent="0.35">
      <c r="A94" s="39" t="s">
        <v>917</v>
      </c>
      <c r="B94" s="40"/>
      <c r="C94" s="52"/>
      <c r="D94" s="19"/>
      <c r="E94" s="19"/>
      <c r="F94" s="42"/>
      <c r="G94" s="42"/>
      <c r="H94" s="42"/>
      <c r="I94" s="42"/>
      <c r="J94" s="42"/>
      <c r="K94" s="53"/>
      <c r="L94" s="44"/>
      <c r="M94" s="42"/>
      <c r="N94" s="52" t="str">
        <f t="shared" si="1"/>
        <v>(S03,'','','1900-01-00','1900-01-00',,,),</v>
      </c>
    </row>
    <row r="95" spans="1:14" ht="20.149999999999999" customHeight="1" x14ac:dyDescent="0.35">
      <c r="A95" s="39" t="s">
        <v>918</v>
      </c>
      <c r="B95" s="40"/>
      <c r="C95" s="52"/>
      <c r="D95" s="19"/>
      <c r="E95" s="19"/>
      <c r="F95" s="42"/>
      <c r="G95" s="42"/>
      <c r="H95" s="42"/>
      <c r="I95" s="42"/>
      <c r="J95" s="42"/>
      <c r="K95" s="53"/>
      <c r="L95" s="44"/>
      <c r="M95" s="42"/>
      <c r="N95" s="52" t="str">
        <f t="shared" si="1"/>
        <v>(S04,'','','1900-01-00','1900-01-00',,,),</v>
      </c>
    </row>
    <row r="96" spans="1:14" ht="20.149999999999999" customHeight="1" x14ac:dyDescent="0.35">
      <c r="A96" s="39" t="s">
        <v>919</v>
      </c>
      <c r="B96" s="40"/>
      <c r="C96" s="52"/>
      <c r="D96" s="19"/>
      <c r="E96" s="19"/>
      <c r="F96" s="42"/>
      <c r="G96" s="42"/>
      <c r="H96" s="42"/>
      <c r="I96" s="42"/>
      <c r="J96" s="42"/>
      <c r="K96" s="53"/>
      <c r="L96" s="44"/>
      <c r="M96" s="42"/>
      <c r="N96" s="52" t="str">
        <f t="shared" si="1"/>
        <v>(S05,'','','1900-01-00','1900-01-00',,,),</v>
      </c>
    </row>
    <row r="97" spans="1:14" ht="20.149999999999999" customHeight="1" x14ac:dyDescent="0.35">
      <c r="A97" s="39" t="s">
        <v>920</v>
      </c>
      <c r="B97" s="40"/>
      <c r="C97" s="52"/>
      <c r="D97" s="19"/>
      <c r="E97" s="19"/>
      <c r="F97" s="42"/>
      <c r="G97" s="42"/>
      <c r="H97" s="42"/>
      <c r="I97" s="42"/>
      <c r="J97" s="42"/>
      <c r="K97" s="53"/>
      <c r="L97" s="44"/>
      <c r="M97" s="42"/>
      <c r="N97" s="52" t="str">
        <f t="shared" si="1"/>
        <v>(S06,'','','1900-01-00','1900-01-00',,,),</v>
      </c>
    </row>
    <row r="98" spans="1:14" ht="20.149999999999999" customHeight="1" x14ac:dyDescent="0.35">
      <c r="A98" s="39" t="s">
        <v>921</v>
      </c>
      <c r="B98" s="40"/>
      <c r="C98" s="52"/>
      <c r="D98" s="19"/>
      <c r="E98" s="19"/>
      <c r="F98" s="42"/>
      <c r="G98" s="42"/>
      <c r="H98" s="42"/>
      <c r="I98" s="42"/>
      <c r="J98" s="42"/>
      <c r="K98" s="53"/>
      <c r="L98" s="44"/>
      <c r="M98" s="42"/>
      <c r="N98" s="52" t="str">
        <f t="shared" si="1"/>
        <v>(S07,'','','1900-01-00','1900-01-00',,,),</v>
      </c>
    </row>
    <row r="99" spans="1:14" ht="20.149999999999999" customHeight="1" x14ac:dyDescent="0.35">
      <c r="A99" s="39" t="s">
        <v>922</v>
      </c>
      <c r="B99" s="40"/>
      <c r="C99" s="52"/>
      <c r="D99" s="19"/>
      <c r="E99" s="19"/>
      <c r="F99" s="42"/>
      <c r="G99" s="42"/>
      <c r="H99" s="42"/>
      <c r="I99" s="42"/>
      <c r="J99" s="42"/>
      <c r="K99" s="53"/>
      <c r="L99" s="44"/>
      <c r="M99" s="42"/>
      <c r="N99" s="52" t="str">
        <f t="shared" si="1"/>
        <v>(S08,'','','1900-01-00','1900-01-00',,,),</v>
      </c>
    </row>
    <row r="100" spans="1:14" ht="20.149999999999999" customHeight="1" x14ac:dyDescent="0.35">
      <c r="A100" s="39" t="s">
        <v>923</v>
      </c>
      <c r="B100" s="40"/>
      <c r="C100" s="52"/>
      <c r="D100" s="19"/>
      <c r="E100" s="19"/>
      <c r="F100" s="42"/>
      <c r="G100" s="42"/>
      <c r="H100" s="42"/>
      <c r="I100" s="42"/>
      <c r="J100" s="42"/>
      <c r="K100" s="53"/>
      <c r="L100" s="44"/>
      <c r="M100" s="42"/>
      <c r="N100" s="52" t="str">
        <f t="shared" si="1"/>
        <v>(S09,'','','1900-01-00','1900-01-00',,,),</v>
      </c>
    </row>
    <row r="101" spans="1:14" ht="20.149999999999999" customHeight="1" x14ac:dyDescent="0.35">
      <c r="A101" s="39" t="s">
        <v>924</v>
      </c>
      <c r="B101" s="40"/>
      <c r="C101" s="52"/>
      <c r="D101" s="19"/>
      <c r="E101" s="19"/>
      <c r="F101" s="42"/>
      <c r="G101" s="42"/>
      <c r="H101" s="42"/>
      <c r="I101" s="42"/>
      <c r="J101" s="42"/>
      <c r="K101" s="53"/>
      <c r="L101" s="44"/>
      <c r="M101" s="42"/>
      <c r="N101" s="52" t="str">
        <f t="shared" si="1"/>
        <v>(S10,'','','1900-01-00','1900-01-00',,,),</v>
      </c>
    </row>
    <row r="102" spans="1:14" ht="20.149999999999999" customHeight="1" x14ac:dyDescent="0.35">
      <c r="A102" s="39" t="s">
        <v>925</v>
      </c>
      <c r="B102" s="40"/>
      <c r="C102" s="52"/>
      <c r="D102" s="19"/>
      <c r="E102" s="19"/>
      <c r="F102" s="42"/>
      <c r="G102" s="42"/>
      <c r="H102" s="42"/>
      <c r="I102" s="42"/>
      <c r="J102" s="42"/>
      <c r="K102" s="53"/>
      <c r="L102" s="44"/>
      <c r="M102" s="42"/>
      <c r="N102" s="52" t="str">
        <f t="shared" si="1"/>
        <v>(S11,'','','1900-01-00','1900-01-00',,,),</v>
      </c>
    </row>
    <row r="103" spans="1:14" ht="20.149999999999999" customHeight="1" x14ac:dyDescent="0.35">
      <c r="A103" s="39" t="s">
        <v>926</v>
      </c>
      <c r="B103" s="40"/>
      <c r="C103" s="52"/>
      <c r="D103" s="19"/>
      <c r="E103" s="19"/>
      <c r="F103" s="42"/>
      <c r="G103" s="42"/>
      <c r="H103" s="42"/>
      <c r="I103" s="42"/>
      <c r="J103" s="42"/>
      <c r="K103" s="53"/>
      <c r="L103" s="44"/>
      <c r="M103" s="42"/>
      <c r="N103" s="52" t="str">
        <f t="shared" si="1"/>
        <v>(S12,'','','1900-01-00','1900-01-00',,,),</v>
      </c>
    </row>
    <row r="104" spans="1:14" ht="20.149999999999999" customHeight="1" x14ac:dyDescent="0.35">
      <c r="A104" s="39" t="s">
        <v>927</v>
      </c>
      <c r="B104" s="40"/>
      <c r="C104" s="52"/>
      <c r="D104" s="19"/>
      <c r="E104" s="19"/>
      <c r="F104" s="42"/>
      <c r="G104" s="42"/>
      <c r="H104" s="42"/>
      <c r="I104" s="42"/>
      <c r="J104" s="42"/>
      <c r="K104" s="53"/>
      <c r="L104" s="44"/>
      <c r="M104" s="42"/>
      <c r="N104" s="52" t="str">
        <f t="shared" si="1"/>
        <v>(S13,'','','1900-01-00','1900-01-00',,,),</v>
      </c>
    </row>
    <row r="105" spans="1:14" ht="20.149999999999999" customHeight="1" x14ac:dyDescent="0.35">
      <c r="A105" s="39" t="s">
        <v>928</v>
      </c>
      <c r="B105" s="40"/>
      <c r="C105" s="52"/>
      <c r="D105" s="19"/>
      <c r="E105" s="19"/>
      <c r="F105" s="42"/>
      <c r="G105" s="42"/>
      <c r="H105" s="42"/>
      <c r="I105" s="42"/>
      <c r="J105" s="42"/>
      <c r="K105" s="53"/>
      <c r="L105" s="44"/>
      <c r="M105" s="42"/>
      <c r="N105" s="52" t="str">
        <f t="shared" si="1"/>
        <v>(S14,'','','1900-01-00','1900-01-00',,,),</v>
      </c>
    </row>
    <row r="106" spans="1:14" ht="20.149999999999999" customHeight="1" x14ac:dyDescent="0.35">
      <c r="A106" s="39" t="s">
        <v>929</v>
      </c>
      <c r="B106" s="40"/>
      <c r="C106" s="52"/>
      <c r="D106" s="19"/>
      <c r="E106" s="19"/>
      <c r="F106" s="42"/>
      <c r="G106" s="42"/>
      <c r="H106" s="42"/>
      <c r="I106" s="42"/>
      <c r="J106" s="42"/>
      <c r="K106" s="53"/>
      <c r="L106" s="44"/>
      <c r="M106" s="42"/>
      <c r="N106" s="52" t="str">
        <f t="shared" si="1"/>
        <v>(S15,'','','1900-01-00','1900-01-00',,,),</v>
      </c>
    </row>
    <row r="107" spans="1:14" ht="20.149999999999999" customHeight="1" x14ac:dyDescent="0.35">
      <c r="A107" s="39" t="s">
        <v>930</v>
      </c>
      <c r="B107" s="40"/>
      <c r="C107" s="52"/>
      <c r="D107" s="19"/>
      <c r="E107" s="19"/>
      <c r="F107" s="42"/>
      <c r="G107" s="42"/>
      <c r="H107" s="42"/>
      <c r="I107" s="42"/>
      <c r="J107" s="42"/>
      <c r="K107" s="53"/>
      <c r="L107" s="44"/>
      <c r="M107" s="42"/>
      <c r="N107" s="52" t="str">
        <f t="shared" si="1"/>
        <v>(S16,'','','1900-01-00','1900-01-00',,,),</v>
      </c>
    </row>
    <row r="108" spans="1:14" ht="20.149999999999999" customHeight="1" x14ac:dyDescent="0.35">
      <c r="A108" s="39" t="s">
        <v>931</v>
      </c>
      <c r="B108" s="40"/>
      <c r="C108" s="52"/>
      <c r="D108" s="19"/>
      <c r="E108" s="19"/>
      <c r="F108" s="42"/>
      <c r="G108" s="42"/>
      <c r="H108" s="42"/>
      <c r="I108" s="42"/>
      <c r="J108" s="42"/>
      <c r="K108" s="53"/>
      <c r="L108" s="44"/>
      <c r="M108" s="42"/>
      <c r="N108" s="52" t="str">
        <f t="shared" si="1"/>
        <v>(S17,'','','1900-01-00','1900-01-00',,,),</v>
      </c>
    </row>
    <row r="109" spans="1:14" ht="20.149999999999999" customHeight="1" x14ac:dyDescent="0.35">
      <c r="A109" s="39" t="s">
        <v>932</v>
      </c>
      <c r="B109" s="40"/>
      <c r="C109" s="52"/>
      <c r="D109" s="19"/>
      <c r="E109" s="19"/>
      <c r="F109" s="42"/>
      <c r="G109" s="42"/>
      <c r="H109" s="42"/>
      <c r="I109" s="42"/>
      <c r="J109" s="42"/>
      <c r="K109" s="53"/>
      <c r="L109" s="44"/>
      <c r="M109" s="42"/>
      <c r="N109" s="52" t="str">
        <f t="shared" si="1"/>
        <v>(S18,'','','1900-01-00','1900-01-00',,,),</v>
      </c>
    </row>
    <row r="110" spans="1:14" ht="20.149999999999999" customHeight="1" x14ac:dyDescent="0.35">
      <c r="A110" s="39" t="s">
        <v>933</v>
      </c>
      <c r="B110" s="40"/>
      <c r="C110" s="52"/>
      <c r="D110" s="19"/>
      <c r="E110" s="19"/>
      <c r="F110" s="42"/>
      <c r="G110" s="42"/>
      <c r="H110" s="42"/>
      <c r="I110" s="42"/>
      <c r="J110" s="42"/>
      <c r="K110" s="53"/>
      <c r="L110" s="44"/>
      <c r="M110" s="42"/>
      <c r="N110" s="52" t="str">
        <f t="shared" si="1"/>
        <v>(S19,'','','1900-01-00','1900-01-00',,,),</v>
      </c>
    </row>
    <row r="111" spans="1:14" ht="20.149999999999999" customHeight="1" x14ac:dyDescent="0.35">
      <c r="A111" s="39" t="s">
        <v>934</v>
      </c>
      <c r="B111" s="40"/>
      <c r="C111" s="52"/>
      <c r="D111" s="19"/>
      <c r="E111" s="19"/>
      <c r="F111" s="42"/>
      <c r="G111" s="42"/>
      <c r="H111" s="42"/>
      <c r="I111" s="42"/>
      <c r="J111" s="42"/>
      <c r="K111" s="53"/>
      <c r="L111" s="44"/>
      <c r="M111" s="42"/>
      <c r="N111" s="52" t="str">
        <f t="shared" si="1"/>
        <v>(S20,'','','1900-01-00','1900-01-00',,,),</v>
      </c>
    </row>
    <row r="112" spans="1:14" ht="20.149999999999999" customHeight="1" x14ac:dyDescent="0.35">
      <c r="A112" s="39" t="s">
        <v>935</v>
      </c>
      <c r="B112" s="40"/>
      <c r="C112" s="52"/>
      <c r="D112" s="19"/>
      <c r="E112" s="19"/>
      <c r="F112" s="42"/>
      <c r="G112" s="42"/>
      <c r="H112" s="42"/>
      <c r="I112" s="42"/>
      <c r="J112" s="42"/>
      <c r="K112" s="53"/>
      <c r="L112" s="44"/>
      <c r="M112" s="42"/>
      <c r="N112" s="52" t="str">
        <f t="shared" si="1"/>
        <v>(S21,'','','1900-01-00','1900-01-00',,,),</v>
      </c>
    </row>
    <row r="113" spans="1:14" ht="20.149999999999999" customHeight="1" x14ac:dyDescent="0.35">
      <c r="A113" s="39" t="s">
        <v>936</v>
      </c>
      <c r="B113" s="40"/>
      <c r="C113" s="52"/>
      <c r="D113" s="19"/>
      <c r="E113" s="19"/>
      <c r="F113" s="42"/>
      <c r="G113" s="42"/>
      <c r="H113" s="42"/>
      <c r="I113" s="42"/>
      <c r="J113" s="42"/>
      <c r="K113" s="53"/>
      <c r="L113" s="44"/>
      <c r="M113" s="42"/>
      <c r="N113" s="52" t="str">
        <f t="shared" si="1"/>
        <v>(S22,'','','1900-01-00','1900-01-00',,,),</v>
      </c>
    </row>
    <row r="114" spans="1:14" ht="20.149999999999999" customHeight="1" x14ac:dyDescent="0.35">
      <c r="A114" s="39">
        <v>1</v>
      </c>
      <c r="B114" s="40"/>
      <c r="C114" s="52"/>
      <c r="D114" s="19"/>
      <c r="E114" s="19"/>
      <c r="F114" s="42"/>
      <c r="G114" s="42"/>
      <c r="H114" s="42"/>
      <c r="I114" s="42"/>
      <c r="J114" s="42"/>
      <c r="K114" s="53"/>
      <c r="L114" s="44"/>
      <c r="M114" s="42"/>
      <c r="N114" s="52" t="str">
        <f t="shared" si="1"/>
        <v>(1,'','','1900-01-00','1900-01-00',,,),</v>
      </c>
    </row>
    <row r="115" spans="1:14" ht="20.149999999999999" customHeight="1" x14ac:dyDescent="0.35">
      <c r="A115" s="39">
        <v>2</v>
      </c>
      <c r="B115" s="40"/>
      <c r="C115" s="52"/>
      <c r="D115" s="19"/>
      <c r="E115" s="19"/>
      <c r="F115" s="42"/>
      <c r="G115" s="42"/>
      <c r="H115" s="42"/>
      <c r="I115" s="42"/>
      <c r="J115" s="42"/>
      <c r="K115" s="53"/>
      <c r="L115" s="44"/>
      <c r="M115" s="42"/>
      <c r="N115" s="52" t="str">
        <f t="shared" si="1"/>
        <v>(2,'','','1900-01-00','1900-01-00',,,),</v>
      </c>
    </row>
    <row r="116" spans="1:14" ht="20.149999999999999" customHeight="1" x14ac:dyDescent="0.35">
      <c r="A116" s="39">
        <v>3</v>
      </c>
      <c r="B116" s="40"/>
      <c r="C116" s="52"/>
      <c r="D116" s="19"/>
      <c r="E116" s="19"/>
      <c r="F116" s="42"/>
      <c r="G116" s="42"/>
      <c r="H116" s="42"/>
      <c r="I116" s="42"/>
      <c r="J116" s="42"/>
      <c r="K116" s="53"/>
      <c r="L116" s="44"/>
      <c r="M116" s="42"/>
      <c r="N116" s="52" t="str">
        <f t="shared" si="1"/>
        <v>(3,'','','1900-01-00','1900-01-00',,,),</v>
      </c>
    </row>
    <row r="117" spans="1:14" ht="20.149999999999999" customHeight="1" x14ac:dyDescent="0.35">
      <c r="A117" s="39">
        <v>4</v>
      </c>
      <c r="B117" s="40"/>
      <c r="C117" s="52"/>
      <c r="D117" s="19"/>
      <c r="E117" s="19"/>
      <c r="F117" s="42"/>
      <c r="G117" s="42"/>
      <c r="H117" s="42"/>
      <c r="I117" s="42"/>
      <c r="J117" s="42"/>
      <c r="K117" s="53"/>
      <c r="L117" s="44"/>
      <c r="M117" s="42"/>
      <c r="N117" s="52" t="str">
        <f t="shared" si="1"/>
        <v>(4,'','','1900-01-00','1900-01-00',,,),</v>
      </c>
    </row>
    <row r="118" spans="1:14" ht="20.149999999999999" customHeight="1" x14ac:dyDescent="0.35">
      <c r="A118" s="39">
        <v>5</v>
      </c>
      <c r="B118" s="40"/>
      <c r="C118" s="52"/>
      <c r="D118" s="19"/>
      <c r="E118" s="19"/>
      <c r="F118" s="42"/>
      <c r="G118" s="42"/>
      <c r="H118" s="42"/>
      <c r="I118" s="42"/>
      <c r="J118" s="42"/>
      <c r="K118" s="53"/>
      <c r="L118" s="44"/>
      <c r="M118" s="42"/>
      <c r="N118" s="52" t="str">
        <f t="shared" si="1"/>
        <v>(5,'','','1900-01-00','1900-01-00',,,),</v>
      </c>
    </row>
    <row r="119" spans="1:14" ht="20.149999999999999" customHeight="1" x14ac:dyDescent="0.35">
      <c r="A119" s="39">
        <v>6</v>
      </c>
      <c r="B119" s="40"/>
      <c r="C119" s="52"/>
      <c r="D119" s="19"/>
      <c r="E119" s="19"/>
      <c r="F119" s="42"/>
      <c r="G119" s="42"/>
      <c r="H119" s="42"/>
      <c r="I119" s="42"/>
      <c r="J119" s="42"/>
      <c r="K119" s="53"/>
      <c r="L119" s="44"/>
      <c r="M119" s="42"/>
      <c r="N119" s="52" t="str">
        <f t="shared" si="1"/>
        <v>(6,'','','1900-01-00','1900-01-00',,,),</v>
      </c>
    </row>
    <row r="120" spans="1:14" ht="20.149999999999999" customHeight="1" x14ac:dyDescent="0.35">
      <c r="A120" s="39">
        <v>7</v>
      </c>
      <c r="B120" s="40"/>
      <c r="C120" s="52"/>
      <c r="D120" s="19"/>
      <c r="E120" s="19"/>
      <c r="F120" s="42"/>
      <c r="G120" s="42"/>
      <c r="H120" s="42"/>
      <c r="I120" s="42"/>
      <c r="J120" s="42"/>
      <c r="K120" s="53"/>
      <c r="L120" s="44"/>
      <c r="M120" s="42"/>
      <c r="N120" s="52" t="str">
        <f t="shared" si="1"/>
        <v>(7,'','','1900-01-00','1900-01-00',,,),</v>
      </c>
    </row>
    <row r="121" spans="1:14" ht="20.149999999999999" customHeight="1" x14ac:dyDescent="0.35">
      <c r="A121" s="39">
        <v>1</v>
      </c>
      <c r="B121" s="40"/>
      <c r="C121" s="52"/>
      <c r="D121" s="19"/>
      <c r="E121" s="19"/>
      <c r="F121" s="42"/>
      <c r="G121" s="42"/>
      <c r="H121" s="42"/>
      <c r="I121" s="42"/>
      <c r="J121" s="42"/>
      <c r="K121" s="53"/>
      <c r="L121" s="44"/>
      <c r="M121" s="42"/>
      <c r="N121" s="52" t="str">
        <f t="shared" si="1"/>
        <v>(1,'','','1900-01-00','1900-01-00',,,),</v>
      </c>
    </row>
    <row r="122" spans="1:14" ht="20.149999999999999" customHeight="1" x14ac:dyDescent="0.35">
      <c r="A122" s="39">
        <v>2</v>
      </c>
      <c r="B122" s="40"/>
      <c r="C122" s="52"/>
      <c r="D122" s="19"/>
      <c r="E122" s="19"/>
      <c r="F122" s="42"/>
      <c r="G122" s="42"/>
      <c r="H122" s="42"/>
      <c r="I122" s="42"/>
      <c r="J122" s="42"/>
      <c r="K122" s="53"/>
      <c r="L122" s="44"/>
      <c r="M122" s="42"/>
      <c r="N122" s="52" t="str">
        <f t="shared" si="1"/>
        <v>(2,'','','1900-01-00','1900-01-00',,,),</v>
      </c>
    </row>
    <row r="123" spans="1:14" ht="20.149999999999999" customHeight="1" x14ac:dyDescent="0.35">
      <c r="A123" s="39">
        <v>3</v>
      </c>
      <c r="B123" s="40"/>
      <c r="C123" s="52"/>
      <c r="D123" s="19"/>
      <c r="E123" s="19"/>
      <c r="F123" s="42"/>
      <c r="G123" s="42"/>
      <c r="H123" s="42"/>
      <c r="I123" s="42"/>
      <c r="J123" s="42"/>
      <c r="K123" s="53"/>
      <c r="L123" s="44"/>
      <c r="M123" s="42"/>
      <c r="N123" s="52" t="str">
        <f t="shared" si="1"/>
        <v>(3,'','','1900-01-00','1900-01-00',,,),</v>
      </c>
    </row>
    <row r="124" spans="1:14" ht="20.149999999999999" customHeight="1" x14ac:dyDescent="0.35">
      <c r="A124" s="39">
        <v>4</v>
      </c>
      <c r="B124" s="40"/>
      <c r="C124" s="52"/>
      <c r="D124" s="19"/>
      <c r="E124" s="19"/>
      <c r="F124" s="42"/>
      <c r="G124" s="42"/>
      <c r="H124" s="42"/>
      <c r="I124" s="42"/>
      <c r="J124" s="42"/>
      <c r="K124" s="53"/>
      <c r="L124" s="44"/>
      <c r="M124" s="42"/>
      <c r="N124" s="52" t="str">
        <f t="shared" si="1"/>
        <v>(4,'','','1900-01-00','1900-01-00',,,),</v>
      </c>
    </row>
    <row r="125" spans="1:14" ht="20.149999999999999" customHeight="1" x14ac:dyDescent="0.35">
      <c r="A125" s="39">
        <v>5</v>
      </c>
      <c r="B125" s="40"/>
      <c r="C125" s="52"/>
      <c r="D125" s="19"/>
      <c r="E125" s="19"/>
      <c r="F125" s="42"/>
      <c r="G125" s="42"/>
      <c r="H125" s="42"/>
      <c r="I125" s="42"/>
      <c r="J125" s="42"/>
      <c r="K125" s="53"/>
      <c r="L125" s="44"/>
      <c r="M125" s="42"/>
      <c r="N125" s="52" t="str">
        <f t="shared" si="1"/>
        <v>(5,'','','1900-01-00','1900-01-00',,,),</v>
      </c>
    </row>
    <row r="126" spans="1:14" ht="20.149999999999999" customHeight="1" x14ac:dyDescent="0.35">
      <c r="A126" s="39">
        <v>6</v>
      </c>
      <c r="B126" s="40"/>
      <c r="C126" s="52"/>
      <c r="D126" s="19"/>
      <c r="E126" s="19"/>
      <c r="F126" s="42"/>
      <c r="G126" s="42"/>
      <c r="H126" s="42"/>
      <c r="I126" s="42"/>
      <c r="J126" s="42"/>
      <c r="K126" s="53"/>
      <c r="L126" s="44"/>
      <c r="M126" s="42"/>
      <c r="N126" s="52" t="str">
        <f t="shared" si="1"/>
        <v>(6,'','','1900-01-00','1900-01-00',,,),</v>
      </c>
    </row>
    <row r="127" spans="1:14" ht="20.149999999999999" customHeight="1" x14ac:dyDescent="0.35">
      <c r="A127" s="39">
        <v>7</v>
      </c>
      <c r="B127" s="40"/>
      <c r="C127" s="52"/>
      <c r="D127" s="19"/>
      <c r="E127" s="19"/>
      <c r="F127" s="42"/>
      <c r="G127" s="42"/>
      <c r="H127" s="42"/>
      <c r="I127" s="42"/>
      <c r="J127" s="42"/>
      <c r="K127" s="53"/>
      <c r="L127" s="44"/>
      <c r="M127" s="42"/>
      <c r="N127" s="52" t="str">
        <f t="shared" si="1"/>
        <v>(7,'','','1900-01-00','1900-01-00',,,),</v>
      </c>
    </row>
    <row r="128" spans="1:14" ht="20.149999999999999" customHeight="1" x14ac:dyDescent="0.35">
      <c r="A128" s="39">
        <v>1</v>
      </c>
      <c r="B128" s="40"/>
      <c r="C128" s="52"/>
      <c r="D128" s="19"/>
      <c r="E128" s="19"/>
      <c r="F128" s="42"/>
      <c r="G128" s="42"/>
      <c r="H128" s="42"/>
      <c r="I128" s="42"/>
      <c r="J128" s="42"/>
      <c r="K128" s="53"/>
      <c r="L128" s="44"/>
      <c r="M128" s="42"/>
      <c r="N128" s="52" t="str">
        <f t="shared" si="1"/>
        <v>(1,'','','1900-01-00','1900-01-00',,,),</v>
      </c>
    </row>
    <row r="129" spans="1:14" ht="20.149999999999999" customHeight="1" x14ac:dyDescent="0.35">
      <c r="A129" s="39">
        <v>2</v>
      </c>
      <c r="B129" s="40"/>
      <c r="C129" s="52"/>
      <c r="D129" s="19"/>
      <c r="E129" s="19"/>
      <c r="F129" s="42"/>
      <c r="G129" s="42"/>
      <c r="H129" s="42"/>
      <c r="I129" s="42"/>
      <c r="J129" s="42"/>
      <c r="K129" s="53"/>
      <c r="L129" s="44"/>
      <c r="M129" s="42"/>
      <c r="N129" s="52" t="str">
        <f t="shared" si="1"/>
        <v>(2,'','','1900-01-00','1900-01-00',,,),</v>
      </c>
    </row>
    <row r="130" spans="1:14" ht="20.149999999999999" customHeight="1" x14ac:dyDescent="0.35">
      <c r="A130" s="39">
        <v>3</v>
      </c>
      <c r="B130" s="40"/>
      <c r="C130" s="52"/>
      <c r="D130" s="19"/>
      <c r="E130" s="19"/>
      <c r="F130" s="42"/>
      <c r="G130" s="42"/>
      <c r="H130" s="42"/>
      <c r="I130" s="42"/>
      <c r="J130" s="42"/>
      <c r="K130" s="53"/>
      <c r="L130" s="44"/>
      <c r="M130" s="42"/>
      <c r="N130" s="52" t="str">
        <f t="shared" si="1"/>
        <v>(3,'','','1900-01-00','1900-01-00',,,),</v>
      </c>
    </row>
    <row r="131" spans="1:14" ht="20.149999999999999" customHeight="1" x14ac:dyDescent="0.35">
      <c r="A131" s="39">
        <v>4</v>
      </c>
      <c r="B131" s="40"/>
      <c r="C131" s="52"/>
      <c r="D131" s="19"/>
      <c r="E131" s="19"/>
      <c r="F131" s="42"/>
      <c r="G131" s="42"/>
      <c r="H131" s="42"/>
      <c r="I131" s="42"/>
      <c r="J131" s="42"/>
      <c r="K131" s="53"/>
      <c r="L131" s="44"/>
      <c r="M131" s="42"/>
      <c r="N131" s="52" t="str">
        <f t="shared" ref="N131:N194" si="2">CONCATENATE("(",A131,",'",B131,"','",C131,"','",TEXT(D131,"aaaa-mm-jj"),"','",TEXT(E131,"aaaa-mm-jj"),"',",F131,",",G131,",",H131,"),")</f>
        <v>(4,'','','1900-01-00','1900-01-00',,,),</v>
      </c>
    </row>
    <row r="132" spans="1:14" ht="20.149999999999999" customHeight="1" x14ac:dyDescent="0.35">
      <c r="A132" s="39">
        <v>1</v>
      </c>
      <c r="B132" s="40"/>
      <c r="C132" s="52"/>
      <c r="D132" s="19"/>
      <c r="E132" s="19"/>
      <c r="F132" s="42"/>
      <c r="G132" s="42"/>
      <c r="H132" s="42"/>
      <c r="I132" s="42"/>
      <c r="J132" s="42"/>
      <c r="K132" s="53"/>
      <c r="L132" s="44"/>
      <c r="M132" s="42"/>
      <c r="N132" s="52" t="str">
        <f t="shared" si="2"/>
        <v>(1,'','','1900-01-00','1900-01-00',,,),</v>
      </c>
    </row>
    <row r="133" spans="1:14" ht="20.149999999999999" customHeight="1" x14ac:dyDescent="0.35">
      <c r="A133" s="39">
        <v>2</v>
      </c>
      <c r="B133" s="40"/>
      <c r="C133" s="52"/>
      <c r="D133" s="19"/>
      <c r="E133" s="19"/>
      <c r="F133" s="42"/>
      <c r="G133" s="42"/>
      <c r="H133" s="42"/>
      <c r="I133" s="42"/>
      <c r="J133" s="42"/>
      <c r="K133" s="53"/>
      <c r="L133" s="44"/>
      <c r="M133" s="42"/>
      <c r="N133" s="52" t="str">
        <f t="shared" si="2"/>
        <v>(2,'','','1900-01-00','1900-01-00',,,),</v>
      </c>
    </row>
    <row r="134" spans="1:14" ht="20.149999999999999" customHeight="1" x14ac:dyDescent="0.35">
      <c r="A134" s="39">
        <v>3</v>
      </c>
      <c r="B134" s="40"/>
      <c r="C134" s="52"/>
      <c r="D134" s="19"/>
      <c r="E134" s="19"/>
      <c r="F134" s="42"/>
      <c r="G134" s="42"/>
      <c r="H134" s="42"/>
      <c r="I134" s="42"/>
      <c r="J134" s="42"/>
      <c r="K134" s="53"/>
      <c r="L134" s="44"/>
      <c r="M134" s="42"/>
      <c r="N134" s="52" t="str">
        <f t="shared" si="2"/>
        <v>(3,'','','1900-01-00','1900-01-00',,,),</v>
      </c>
    </row>
    <row r="135" spans="1:14" ht="20.149999999999999" customHeight="1" x14ac:dyDescent="0.35">
      <c r="A135" s="39">
        <v>4</v>
      </c>
      <c r="B135" s="40"/>
      <c r="C135" s="52"/>
      <c r="D135" s="19"/>
      <c r="E135" s="19"/>
      <c r="F135" s="42"/>
      <c r="G135" s="42"/>
      <c r="H135" s="42"/>
      <c r="I135" s="42"/>
      <c r="J135" s="42"/>
      <c r="K135" s="53"/>
      <c r="L135" s="44"/>
      <c r="M135" s="42"/>
      <c r="N135" s="52" t="str">
        <f t="shared" si="2"/>
        <v>(4,'','','1900-01-00','1900-01-00',,,),</v>
      </c>
    </row>
    <row r="136" spans="1:14" ht="20.149999999999999" customHeight="1" x14ac:dyDescent="0.35">
      <c r="A136" s="39">
        <v>5</v>
      </c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 t="str">
        <f t="shared" si="2"/>
        <v>(5,'','','1900-01-00','1900-01-00',,,),</v>
      </c>
    </row>
    <row r="137" spans="1:14" ht="20.149999999999999" customHeight="1" x14ac:dyDescent="0.35">
      <c r="A137" s="39">
        <v>6</v>
      </c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si="2"/>
        <v>(6,'','','1900-01-00','1900-01-00',,,),</v>
      </c>
    </row>
    <row r="138" spans="1:14" ht="20.149999999999999" customHeight="1" x14ac:dyDescent="0.35">
      <c r="A138" s="39">
        <v>7</v>
      </c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2"/>
        <v>(7,'','','1900-01-00','1900-01-00',,,),</v>
      </c>
    </row>
    <row r="139" spans="1:14" ht="20.149999999999999" customHeight="1" x14ac:dyDescent="0.35">
      <c r="A139" s="39">
        <v>8</v>
      </c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2"/>
        <v>(8,'','','1900-01-00','1900-01-00',,,),</v>
      </c>
    </row>
    <row r="140" spans="1:14" ht="20.149999999999999" customHeight="1" x14ac:dyDescent="0.35">
      <c r="A140" s="39">
        <v>9</v>
      </c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2"/>
        <v>(9,'','','1900-01-00','1900-01-00',,,),</v>
      </c>
    </row>
    <row r="141" spans="1:14" ht="20.149999999999999" customHeight="1" x14ac:dyDescent="0.35">
      <c r="A141" s="39">
        <v>10</v>
      </c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2"/>
        <v>(10,'','','1900-01-00','1900-01-00',,,),</v>
      </c>
    </row>
    <row r="142" spans="1:14" ht="20.149999999999999" customHeight="1" x14ac:dyDescent="0.35">
      <c r="A142" s="39">
        <v>1</v>
      </c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2"/>
        <v>(1,'','','1900-01-00','1900-01-00',,,),</v>
      </c>
    </row>
    <row r="143" spans="1:14" ht="20.149999999999999" customHeight="1" x14ac:dyDescent="0.35">
      <c r="A143" s="39">
        <v>2</v>
      </c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2"/>
        <v>(2,'','','1900-01-00','1900-01-00',,,),</v>
      </c>
    </row>
    <row r="144" spans="1:14" ht="20.149999999999999" customHeight="1" x14ac:dyDescent="0.3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2"/>
        <v>(,'','','1900-01-00','1900-01-00',,,),</v>
      </c>
    </row>
    <row r="145" spans="1:14" ht="20.149999999999999" customHeight="1" x14ac:dyDescent="0.3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2"/>
        <v>(,'','','1900-01-00','1900-01-00',,,),</v>
      </c>
    </row>
    <row r="146" spans="1:14" ht="20.149999999999999" customHeight="1" x14ac:dyDescent="0.3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2"/>
        <v>(,'','','1900-01-00','1900-01-00',,,),</v>
      </c>
    </row>
    <row r="147" spans="1:14" ht="20.149999999999999" customHeight="1" x14ac:dyDescent="0.3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2"/>
        <v>(,'','','1900-01-00','1900-01-00',,,),</v>
      </c>
    </row>
    <row r="148" spans="1:14" ht="20.149999999999999" customHeight="1" x14ac:dyDescent="0.3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2"/>
        <v>(,'','','1900-01-00','1900-01-00',,,),</v>
      </c>
    </row>
    <row r="149" spans="1:14" ht="20.149999999999999" customHeight="1" x14ac:dyDescent="0.3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2"/>
        <v>(,'','','1900-01-00','1900-01-00',,,),</v>
      </c>
    </row>
    <row r="150" spans="1:14" ht="20.149999999999999" customHeight="1" x14ac:dyDescent="0.3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2"/>
        <v>(,'','','1900-01-00','1900-01-00',,,),</v>
      </c>
    </row>
    <row r="151" spans="1:14" ht="20.149999999999999" customHeight="1" x14ac:dyDescent="0.3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2"/>
        <v>(,'','','1900-01-00','1900-01-00',,,),</v>
      </c>
    </row>
    <row r="152" spans="1:14" ht="20.149999999999999" customHeight="1" x14ac:dyDescent="0.3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2"/>
        <v>(,'','','1900-01-00','1900-01-00',,,),</v>
      </c>
    </row>
    <row r="153" spans="1:14" ht="20.149999999999999" customHeight="1" x14ac:dyDescent="0.3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2"/>
        <v>(,'','','1900-01-00','1900-01-00',,,),</v>
      </c>
    </row>
    <row r="154" spans="1:14" ht="20.149999999999999" customHeight="1" x14ac:dyDescent="0.3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2"/>
        <v>(,'','','1900-01-00','1900-01-00',,,),</v>
      </c>
    </row>
    <row r="155" spans="1:14" ht="20.149999999999999" customHeight="1" x14ac:dyDescent="0.3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2"/>
        <v>(,'','','1900-01-00','1900-01-00',,,),</v>
      </c>
    </row>
    <row r="156" spans="1:14" ht="20.149999999999999" customHeight="1" x14ac:dyDescent="0.3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2"/>
        <v>(,'','','1900-01-00','1900-01-00',,,),</v>
      </c>
    </row>
    <row r="157" spans="1:14" ht="20.149999999999999" customHeight="1" x14ac:dyDescent="0.3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2"/>
        <v>(,'','','1900-01-00','1900-01-00',,,),</v>
      </c>
    </row>
    <row r="158" spans="1:14" ht="20.149999999999999" customHeight="1" x14ac:dyDescent="0.3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2"/>
        <v>(,'','','1900-01-00','1900-01-00',,,),</v>
      </c>
    </row>
    <row r="159" spans="1:14" ht="20.149999999999999" customHeight="1" x14ac:dyDescent="0.3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2"/>
        <v>(,'','','1900-01-00','1900-01-00',,,),</v>
      </c>
    </row>
    <row r="160" spans="1:14" ht="20.149999999999999" customHeight="1" x14ac:dyDescent="0.3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2"/>
        <v>(,'','','1900-01-00','1900-01-00',,,),</v>
      </c>
    </row>
    <row r="161" spans="1:14" ht="20.149999999999999" customHeight="1" x14ac:dyDescent="0.3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2"/>
        <v>(,'','','1900-01-00','1900-01-00',,,),</v>
      </c>
    </row>
    <row r="162" spans="1:14" ht="20.149999999999999" customHeight="1" x14ac:dyDescent="0.3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2"/>
        <v>(,'','','1900-01-00','1900-01-00',,,),</v>
      </c>
    </row>
    <row r="163" spans="1:14" ht="20.149999999999999" customHeight="1" x14ac:dyDescent="0.3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2"/>
        <v>(,'','','1900-01-00','1900-01-00',,,),</v>
      </c>
    </row>
    <row r="164" spans="1:14" ht="20.149999999999999" customHeight="1" x14ac:dyDescent="0.3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2"/>
        <v>(,'','','1900-01-00','1900-01-00',,,),</v>
      </c>
    </row>
    <row r="165" spans="1:14" ht="20.149999999999999" customHeight="1" x14ac:dyDescent="0.3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2"/>
        <v>(,'','','1900-01-00','1900-01-00',,,),</v>
      </c>
    </row>
    <row r="166" spans="1:14" ht="20.149999999999999" customHeight="1" x14ac:dyDescent="0.3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2"/>
        <v>(,'','','1900-01-00','1900-01-00',,,),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2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2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2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2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2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2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2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2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2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2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2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2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2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2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2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2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2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2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2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2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2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2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2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2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2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2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2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2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58" si="3">CONCATENATE("(",A195,",'",B195,"','",C195,"','",TEXT(D195,"aaaa-mm-jj"),"','",TEXT(E195,"aaaa-mm-jj"),"',",F195,",",G195,",",H195,"),")</f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3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3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3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3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3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3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3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3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3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3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3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3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3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3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3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3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3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3"/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3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3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3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3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3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3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3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3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3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3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3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3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3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3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3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3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3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3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3"/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3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3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3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3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3"/>
        <v>(,'','','1900-01-00','1900-01-00',,,),</v>
      </c>
    </row>
  </sheetData>
  <autoFilter ref="A1:N238" xr:uid="{00000000-0001-0000-03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9F396-0F0A-4A37-9C9C-10B00AAFDF3A}">
  <sheetPr>
    <tabColor rgb="FFFFFF00"/>
  </sheetPr>
  <dimension ref="A1:N237"/>
  <sheetViews>
    <sheetView topLeftCell="D1" zoomScaleNormal="100" workbookViewId="0">
      <selection activeCell="H11" sqref="H11"/>
    </sheetView>
  </sheetViews>
  <sheetFormatPr baseColWidth="10" defaultColWidth="10.81640625" defaultRowHeight="15.5" x14ac:dyDescent="0.35"/>
  <cols>
    <col min="1" max="1" width="6.90625" style="2" bestFit="1" customWidth="1"/>
    <col min="2" max="2" width="15" style="2" bestFit="1" customWidth="1"/>
    <col min="3" max="3" width="33.81640625" style="2" bestFit="1" customWidth="1"/>
    <col min="4" max="5" width="15.54296875" style="2" customWidth="1"/>
    <col min="6" max="6" width="17.26953125" style="2" customWidth="1"/>
    <col min="7" max="8" width="15.54296875" style="2" customWidth="1"/>
    <col min="9" max="9" width="6.6328125" style="2" customWidth="1"/>
    <col min="10" max="10" width="15.54296875" style="2" customWidth="1"/>
    <col min="11" max="12" width="10.6328125" style="2" customWidth="1"/>
    <col min="13" max="13" width="27.453125" style="2" bestFit="1" customWidth="1"/>
    <col min="14" max="14" width="89.54296875" style="2" bestFit="1" customWidth="1"/>
    <col min="15" max="16384" width="10.81640625" style="2"/>
  </cols>
  <sheetData>
    <row r="1" spans="1:14" ht="20.149999999999999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716</v>
      </c>
      <c r="J1" s="1"/>
      <c r="K1" s="1"/>
      <c r="L1" s="1"/>
      <c r="M1" s="1"/>
      <c r="N1" s="1" t="s">
        <v>8</v>
      </c>
    </row>
    <row r="2" spans="1:14" ht="20.149999999999999" customHeight="1" x14ac:dyDescent="0.3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49999999999999" customHeight="1" x14ac:dyDescent="0.35">
      <c r="A3" s="39">
        <v>1</v>
      </c>
      <c r="B3" s="48"/>
      <c r="C3" s="52"/>
      <c r="D3" s="19"/>
      <c r="E3" s="19"/>
      <c r="F3" s="42"/>
      <c r="G3" s="42"/>
      <c r="H3" s="42"/>
      <c r="I3" s="42" t="s">
        <v>324</v>
      </c>
      <c r="J3" s="42" t="s">
        <v>748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769</v>
      </c>
      <c r="N3" s="52" t="str">
        <f t="shared" ref="N3:N66" si="0">CONCATENATE("(",A3,",'",B3,"','",C3,"','",TEXT(D3,"aaaa-mm-jj"),"','",TEXT(E3,"aaaa-mm-jj"),"',",F3,",",G3,",",H3,"),")</f>
        <v>(1,'','','1900-01-00','1900-01-00',,,),</v>
      </c>
    </row>
    <row r="4" spans="1:14" ht="20.149999999999999" customHeight="1" x14ac:dyDescent="0.35">
      <c r="A4" s="39">
        <v>2</v>
      </c>
      <c r="B4" s="48"/>
      <c r="C4" s="52"/>
      <c r="D4" s="19"/>
      <c r="E4" s="19"/>
      <c r="F4" s="42"/>
      <c r="G4" s="42"/>
      <c r="H4" s="42"/>
      <c r="I4" s="42"/>
      <c r="J4" s="42"/>
      <c r="K4" s="53"/>
      <c r="L4" s="44"/>
      <c r="M4" s="42"/>
      <c r="N4" s="52" t="str">
        <f t="shared" si="0"/>
        <v>(2,'','','1900-01-00','1900-01-00',,,),</v>
      </c>
    </row>
    <row r="5" spans="1:14" ht="20.149999999999999" customHeight="1" x14ac:dyDescent="0.35">
      <c r="A5" s="39">
        <v>3</v>
      </c>
      <c r="B5" s="48"/>
      <c r="C5" s="52"/>
      <c r="D5" s="19"/>
      <c r="E5" s="19"/>
      <c r="F5" s="42"/>
      <c r="G5" s="42"/>
      <c r="H5" s="42"/>
      <c r="I5" s="42"/>
      <c r="J5" s="42"/>
      <c r="K5" s="53"/>
      <c r="L5" s="44"/>
      <c r="M5" s="42"/>
      <c r="N5" s="52" t="str">
        <f t="shared" si="0"/>
        <v>(3,'','','1900-01-00','1900-01-00',,,),</v>
      </c>
    </row>
    <row r="6" spans="1:14" ht="20.149999999999999" customHeight="1" x14ac:dyDescent="0.35">
      <c r="A6" s="39">
        <v>4</v>
      </c>
      <c r="B6" s="48"/>
      <c r="C6" s="52"/>
      <c r="D6" s="19"/>
      <c r="E6" s="19"/>
      <c r="F6" s="42"/>
      <c r="G6" s="42"/>
      <c r="H6" s="42"/>
      <c r="I6" s="42"/>
      <c r="J6" s="42"/>
      <c r="K6" s="53"/>
      <c r="L6" s="44"/>
      <c r="M6" s="42"/>
      <c r="N6" s="52" t="str">
        <f t="shared" si="0"/>
        <v>(4,'','','1900-01-00','1900-01-00',,,),</v>
      </c>
    </row>
    <row r="7" spans="1:14" ht="20.149999999999999" customHeight="1" x14ac:dyDescent="0.35">
      <c r="A7" s="39">
        <v>5</v>
      </c>
      <c r="B7" s="48"/>
      <c r="C7" s="52"/>
      <c r="D7" s="19"/>
      <c r="E7" s="19"/>
      <c r="F7" s="42"/>
      <c r="G7" s="42"/>
      <c r="H7" s="42"/>
      <c r="I7" s="42"/>
      <c r="J7" s="42"/>
      <c r="K7" s="53"/>
      <c r="L7" s="44"/>
      <c r="M7" s="42"/>
      <c r="N7" s="52" t="str">
        <f t="shared" si="0"/>
        <v>(5,'','','1900-01-00','1900-01-00',,,),</v>
      </c>
    </row>
    <row r="8" spans="1:14" ht="20.149999999999999" customHeight="1" x14ac:dyDescent="0.35">
      <c r="A8" s="39">
        <v>6</v>
      </c>
      <c r="B8" s="48"/>
      <c r="C8" s="52"/>
      <c r="D8" s="19"/>
      <c r="E8" s="19"/>
      <c r="F8" s="42"/>
      <c r="G8" s="42"/>
      <c r="H8" s="42"/>
      <c r="I8" s="42"/>
      <c r="J8" s="42"/>
      <c r="K8" s="53"/>
      <c r="L8" s="44"/>
      <c r="M8" s="42"/>
      <c r="N8" s="52" t="str">
        <f t="shared" si="0"/>
        <v>(6,'','','1900-01-00','1900-01-00',,,),</v>
      </c>
    </row>
    <row r="9" spans="1:14" ht="20.149999999999999" customHeight="1" x14ac:dyDescent="0.35">
      <c r="A9" s="39">
        <v>7</v>
      </c>
      <c r="B9" s="48"/>
      <c r="C9" s="52"/>
      <c r="D9" s="19"/>
      <c r="E9" s="19"/>
      <c r="F9" s="42"/>
      <c r="G9" s="42"/>
      <c r="H9" s="42"/>
      <c r="I9" s="42"/>
      <c r="J9" s="42"/>
      <c r="K9" s="53"/>
      <c r="L9" s="44"/>
      <c r="M9" s="42"/>
      <c r="N9" s="52" t="str">
        <f t="shared" si="0"/>
        <v>(7,'','','1900-01-00','1900-01-00',,,),</v>
      </c>
    </row>
    <row r="10" spans="1:14" ht="20.149999999999999" customHeight="1" x14ac:dyDescent="0.35">
      <c r="A10" s="39">
        <v>8</v>
      </c>
      <c r="B10" s="48"/>
      <c r="C10" s="52"/>
      <c r="D10" s="19"/>
      <c r="E10" s="19"/>
      <c r="F10" s="42"/>
      <c r="G10" s="42"/>
      <c r="H10" s="42"/>
      <c r="I10" s="42"/>
      <c r="J10" s="42"/>
      <c r="K10" s="53"/>
      <c r="L10" s="44"/>
      <c r="M10" s="42"/>
      <c r="N10" s="52" t="str">
        <f t="shared" si="0"/>
        <v>(8,'','','1900-01-00','1900-01-00',,,),</v>
      </c>
    </row>
    <row r="11" spans="1:14" ht="20.149999999999999" customHeight="1" x14ac:dyDescent="0.35">
      <c r="A11" s="39">
        <v>9</v>
      </c>
      <c r="B11" s="48"/>
      <c r="C11" s="52"/>
      <c r="D11" s="19"/>
      <c r="E11" s="19"/>
      <c r="F11" s="42"/>
      <c r="G11" s="42"/>
      <c r="H11" s="42"/>
      <c r="I11" s="42"/>
      <c r="J11" s="42"/>
      <c r="K11" s="53"/>
      <c r="L11" s="44"/>
      <c r="M11" s="42"/>
      <c r="N11" s="52" t="str">
        <f t="shared" si="0"/>
        <v>(9,'','','1900-01-00','1900-01-00',,,),</v>
      </c>
    </row>
    <row r="12" spans="1:14" ht="20.149999999999999" customHeight="1" x14ac:dyDescent="0.35">
      <c r="A12" s="39">
        <v>10</v>
      </c>
      <c r="B12" s="48"/>
      <c r="C12" s="52"/>
      <c r="D12" s="19"/>
      <c r="E12" s="19"/>
      <c r="F12" s="42"/>
      <c r="G12" s="42"/>
      <c r="H12" s="42"/>
      <c r="I12" s="42"/>
      <c r="J12" s="42"/>
      <c r="K12" s="53"/>
      <c r="L12" s="44"/>
      <c r="M12" s="42"/>
      <c r="N12" s="52" t="str">
        <f t="shared" si="0"/>
        <v>(10,'','','1900-01-00','1900-01-00',,,),</v>
      </c>
    </row>
    <row r="13" spans="1:14" ht="20.149999999999999" customHeight="1" x14ac:dyDescent="0.35">
      <c r="A13" s="39">
        <v>11</v>
      </c>
      <c r="B13" s="48"/>
      <c r="C13" s="52"/>
      <c r="D13" s="19"/>
      <c r="E13" s="19"/>
      <c r="F13" s="42"/>
      <c r="G13" s="42"/>
      <c r="H13" s="42"/>
      <c r="I13" s="42"/>
      <c r="J13" s="42"/>
      <c r="K13" s="53"/>
      <c r="L13" s="44"/>
      <c r="M13" s="42"/>
      <c r="N13" s="52" t="str">
        <f t="shared" si="0"/>
        <v>(11,'','','1900-01-00','1900-01-00',,,),</v>
      </c>
    </row>
    <row r="14" spans="1:14" ht="20.149999999999999" customHeight="1" x14ac:dyDescent="0.35">
      <c r="A14" s="39">
        <v>12</v>
      </c>
      <c r="B14" s="48"/>
      <c r="C14" s="52"/>
      <c r="D14" s="19"/>
      <c r="E14" s="19"/>
      <c r="F14" s="42"/>
      <c r="G14" s="42"/>
      <c r="H14" s="42"/>
      <c r="I14" s="42"/>
      <c r="J14" s="42"/>
      <c r="K14" s="53"/>
      <c r="L14" s="44"/>
      <c r="M14" s="42"/>
      <c r="N14" s="52" t="str">
        <f t="shared" si="0"/>
        <v>(12,'','','1900-01-00','1900-01-00',,,),</v>
      </c>
    </row>
    <row r="15" spans="1:14" ht="20.149999999999999" customHeight="1" x14ac:dyDescent="0.35">
      <c r="A15" s="39">
        <v>13</v>
      </c>
      <c r="B15" s="48"/>
      <c r="C15" s="52"/>
      <c r="D15" s="19"/>
      <c r="E15" s="19"/>
      <c r="F15" s="42"/>
      <c r="G15" s="42"/>
      <c r="H15" s="42"/>
      <c r="I15" s="42"/>
      <c r="J15" s="42"/>
      <c r="K15" s="53"/>
      <c r="L15" s="44"/>
      <c r="M15" s="42"/>
      <c r="N15" s="52" t="str">
        <f t="shared" si="0"/>
        <v>(13,'','','1900-01-00','1900-01-00',,,),</v>
      </c>
    </row>
    <row r="16" spans="1:14" ht="20.149999999999999" customHeight="1" x14ac:dyDescent="0.35">
      <c r="A16" s="39">
        <v>14</v>
      </c>
      <c r="B16" s="48"/>
      <c r="C16" s="52"/>
      <c r="D16" s="19"/>
      <c r="E16" s="19"/>
      <c r="F16" s="42"/>
      <c r="G16" s="42"/>
      <c r="H16" s="42"/>
      <c r="I16" s="42"/>
      <c r="J16" s="42"/>
      <c r="K16" s="53"/>
      <c r="L16" s="44"/>
      <c r="M16" s="42"/>
      <c r="N16" s="52" t="str">
        <f t="shared" si="0"/>
        <v>(14,'','','1900-01-00','1900-01-00',,,),</v>
      </c>
    </row>
    <row r="17" spans="1:14" ht="20.149999999999999" customHeight="1" x14ac:dyDescent="0.35">
      <c r="A17" s="39">
        <v>15</v>
      </c>
      <c r="B17" s="48"/>
      <c r="C17" s="52"/>
      <c r="D17" s="19"/>
      <c r="E17" s="19"/>
      <c r="F17" s="42"/>
      <c r="G17" s="42"/>
      <c r="H17" s="42"/>
      <c r="I17" s="42"/>
      <c r="J17" s="42"/>
      <c r="K17" s="53"/>
      <c r="L17" s="44"/>
      <c r="M17" s="42"/>
      <c r="N17" s="52" t="str">
        <f t="shared" si="0"/>
        <v>(15,'','','1900-01-00','1900-01-00',,,),</v>
      </c>
    </row>
    <row r="18" spans="1:14" ht="20.149999999999999" customHeight="1" x14ac:dyDescent="0.35">
      <c r="A18" s="39">
        <v>16</v>
      </c>
      <c r="B18" s="48"/>
      <c r="C18" s="52"/>
      <c r="D18" s="19"/>
      <c r="E18" s="19"/>
      <c r="F18" s="42"/>
      <c r="G18" s="42"/>
      <c r="H18" s="42"/>
      <c r="I18" s="42"/>
      <c r="J18" s="42"/>
      <c r="K18" s="53"/>
      <c r="L18" s="44"/>
      <c r="M18" s="42"/>
      <c r="N18" s="52" t="str">
        <f t="shared" si="0"/>
        <v>(16,'','','1900-01-00','1900-01-00',,,),</v>
      </c>
    </row>
    <row r="19" spans="1:14" ht="20.149999999999999" customHeight="1" x14ac:dyDescent="0.35">
      <c r="A19" s="39">
        <v>17</v>
      </c>
      <c r="B19" s="48"/>
      <c r="C19" s="52"/>
      <c r="D19" s="19"/>
      <c r="E19" s="19"/>
      <c r="F19" s="42"/>
      <c r="G19" s="42"/>
      <c r="H19" s="42"/>
      <c r="I19" s="42"/>
      <c r="J19" s="42"/>
      <c r="K19" s="53"/>
      <c r="L19" s="44"/>
      <c r="M19" s="42"/>
      <c r="N19" s="52" t="str">
        <f t="shared" si="0"/>
        <v>(17,'','','1900-01-00','1900-01-00',,,),</v>
      </c>
    </row>
    <row r="20" spans="1:14" ht="20.149999999999999" customHeight="1" x14ac:dyDescent="0.35">
      <c r="A20" s="39">
        <v>18</v>
      </c>
      <c r="B20" s="48"/>
      <c r="C20" s="52"/>
      <c r="D20" s="19"/>
      <c r="E20" s="19"/>
      <c r="F20" s="42"/>
      <c r="G20" s="42"/>
      <c r="H20" s="42"/>
      <c r="I20" s="42"/>
      <c r="J20" s="42"/>
      <c r="K20" s="53"/>
      <c r="L20" s="44"/>
      <c r="M20" s="42"/>
      <c r="N20" s="52" t="str">
        <f t="shared" si="0"/>
        <v>(18,'','','1900-01-00','1900-01-00',,,),</v>
      </c>
    </row>
    <row r="21" spans="1:14" ht="20.149999999999999" customHeight="1" x14ac:dyDescent="0.35">
      <c r="A21" s="39">
        <v>19</v>
      </c>
      <c r="B21" s="48"/>
      <c r="C21" s="52"/>
      <c r="D21" s="19"/>
      <c r="E21" s="19"/>
      <c r="F21" s="42"/>
      <c r="G21" s="42"/>
      <c r="H21" s="42"/>
      <c r="I21" s="42"/>
      <c r="J21" s="42"/>
      <c r="K21" s="53"/>
      <c r="L21" s="44"/>
      <c r="M21" s="42"/>
      <c r="N21" s="52" t="str">
        <f t="shared" si="0"/>
        <v>(19,'','','1900-01-00','1900-01-00',,,),</v>
      </c>
    </row>
    <row r="22" spans="1:14" ht="20.149999999999999" customHeight="1" x14ac:dyDescent="0.35">
      <c r="A22" s="39">
        <v>20</v>
      </c>
      <c r="B22" s="48"/>
      <c r="C22" s="52"/>
      <c r="D22" s="19"/>
      <c r="E22" s="19"/>
      <c r="F22" s="42"/>
      <c r="G22" s="42"/>
      <c r="H22" s="42"/>
      <c r="I22" s="42"/>
      <c r="J22" s="42"/>
      <c r="K22" s="53"/>
      <c r="L22" s="44"/>
      <c r="M22" s="42"/>
      <c r="N22" s="52" t="str">
        <f t="shared" si="0"/>
        <v>(20,'','','1900-01-00','1900-01-00',,,),</v>
      </c>
    </row>
    <row r="23" spans="1:14" ht="20.149999999999999" customHeight="1" x14ac:dyDescent="0.35">
      <c r="A23" s="39">
        <v>21</v>
      </c>
      <c r="B23" s="48"/>
      <c r="C23" s="52"/>
      <c r="D23" s="19"/>
      <c r="E23" s="19"/>
      <c r="F23" s="42"/>
      <c r="G23" s="42"/>
      <c r="H23" s="42"/>
      <c r="I23" s="42"/>
      <c r="J23" s="42"/>
      <c r="K23" s="53"/>
      <c r="L23" s="44"/>
      <c r="M23" s="42"/>
      <c r="N23" s="52" t="str">
        <f t="shared" si="0"/>
        <v>(21,'','','1900-01-00','1900-01-00',,,),</v>
      </c>
    </row>
    <row r="24" spans="1:14" ht="20.149999999999999" customHeight="1" x14ac:dyDescent="0.35">
      <c r="A24" s="39">
        <v>1</v>
      </c>
      <c r="B24" s="48"/>
      <c r="C24" s="52"/>
      <c r="D24" s="19"/>
      <c r="E24" s="19"/>
      <c r="F24" s="42"/>
      <c r="G24" s="42"/>
      <c r="H24" s="42"/>
      <c r="I24" s="42"/>
      <c r="J24" s="42"/>
      <c r="K24" s="53"/>
      <c r="L24" s="44"/>
      <c r="M24" s="42"/>
      <c r="N24" s="52" t="str">
        <f t="shared" si="0"/>
        <v>(1,'','','1900-01-00','1900-01-00',,,),</v>
      </c>
    </row>
    <row r="25" spans="1:14" ht="20.149999999999999" customHeight="1" x14ac:dyDescent="0.35">
      <c r="A25" s="39">
        <v>2</v>
      </c>
      <c r="B25" s="48"/>
      <c r="C25" s="52"/>
      <c r="D25" s="19"/>
      <c r="E25" s="19"/>
      <c r="F25" s="42"/>
      <c r="G25" s="42"/>
      <c r="H25" s="42"/>
      <c r="I25" s="42"/>
      <c r="J25" s="42"/>
      <c r="K25" s="53"/>
      <c r="L25" s="44"/>
      <c r="M25" s="42"/>
      <c r="N25" s="52" t="str">
        <f t="shared" si="0"/>
        <v>(2,'','','1900-01-00','1900-01-00',,,),</v>
      </c>
    </row>
    <row r="26" spans="1:14" ht="20.149999999999999" customHeight="1" x14ac:dyDescent="0.35">
      <c r="A26" s="39">
        <v>3</v>
      </c>
      <c r="B26" s="48"/>
      <c r="C26" s="52"/>
      <c r="D26" s="19"/>
      <c r="E26" s="19"/>
      <c r="F26" s="42"/>
      <c r="G26" s="42"/>
      <c r="H26" s="42"/>
      <c r="I26" s="42"/>
      <c r="J26" s="42"/>
      <c r="K26" s="53"/>
      <c r="L26" s="44"/>
      <c r="M26" s="42"/>
      <c r="N26" s="52" t="str">
        <f t="shared" si="0"/>
        <v>(3,'','','1900-01-00','1900-01-00',,,),</v>
      </c>
    </row>
    <row r="27" spans="1:14" ht="20.149999999999999" customHeight="1" x14ac:dyDescent="0.35">
      <c r="A27" s="39">
        <v>4</v>
      </c>
      <c r="B27" s="48"/>
      <c r="C27" s="52"/>
      <c r="D27" s="19"/>
      <c r="E27" s="19"/>
      <c r="F27" s="42"/>
      <c r="G27" s="42"/>
      <c r="H27" s="42"/>
      <c r="I27" s="42"/>
      <c r="J27" s="42"/>
      <c r="K27" s="53"/>
      <c r="L27" s="44"/>
      <c r="M27" s="42"/>
      <c r="N27" s="52" t="str">
        <f t="shared" si="0"/>
        <v>(4,'','','1900-01-00','1900-01-00',,,),</v>
      </c>
    </row>
    <row r="28" spans="1:14" ht="20.149999999999999" customHeight="1" x14ac:dyDescent="0.35">
      <c r="A28" s="39">
        <v>5</v>
      </c>
      <c r="B28" s="48"/>
      <c r="C28" s="52"/>
      <c r="D28" s="19"/>
      <c r="E28" s="19"/>
      <c r="F28" s="42"/>
      <c r="G28" s="42"/>
      <c r="H28" s="42"/>
      <c r="I28" s="42"/>
      <c r="J28" s="42"/>
      <c r="K28" s="53"/>
      <c r="L28" s="44"/>
      <c r="M28" s="42"/>
      <c r="N28" s="52" t="str">
        <f t="shared" si="0"/>
        <v>(5,'','','1900-01-00','1900-01-00',,,),</v>
      </c>
    </row>
    <row r="29" spans="1:14" ht="20.149999999999999" customHeight="1" x14ac:dyDescent="0.35">
      <c r="A29" s="39">
        <v>6</v>
      </c>
      <c r="B29" s="48"/>
      <c r="C29" s="52"/>
      <c r="D29" s="19"/>
      <c r="E29" s="19"/>
      <c r="F29" s="42"/>
      <c r="G29" s="42"/>
      <c r="H29" s="42"/>
      <c r="I29" s="42"/>
      <c r="J29" s="42"/>
      <c r="K29" s="53"/>
      <c r="L29" s="44"/>
      <c r="M29" s="42"/>
      <c r="N29" s="52" t="str">
        <f t="shared" si="0"/>
        <v>(6,'','','1900-01-00','1900-01-00',,,),</v>
      </c>
    </row>
    <row r="30" spans="1:14" ht="20.149999999999999" customHeight="1" x14ac:dyDescent="0.35">
      <c r="A30" s="39">
        <v>7</v>
      </c>
      <c r="B30" s="48"/>
      <c r="C30" s="52"/>
      <c r="D30" s="19"/>
      <c r="E30" s="19"/>
      <c r="F30" s="42"/>
      <c r="G30" s="42"/>
      <c r="H30" s="42"/>
      <c r="I30" s="42"/>
      <c r="J30" s="42"/>
      <c r="K30" s="53"/>
      <c r="L30" s="44"/>
      <c r="M30" s="42"/>
      <c r="N30" s="52" t="str">
        <f t="shared" si="0"/>
        <v>(7,'','','1900-01-00','1900-01-00',,,),</v>
      </c>
    </row>
    <row r="31" spans="1:14" ht="20.149999999999999" customHeight="1" x14ac:dyDescent="0.35">
      <c r="A31" s="39">
        <v>8</v>
      </c>
      <c r="B31" s="48"/>
      <c r="C31" s="52"/>
      <c r="D31" s="19"/>
      <c r="E31" s="19"/>
      <c r="F31" s="42"/>
      <c r="G31" s="42"/>
      <c r="H31" s="42"/>
      <c r="I31" s="42"/>
      <c r="J31" s="42"/>
      <c r="K31" s="53"/>
      <c r="L31" s="44"/>
      <c r="M31" s="42"/>
      <c r="N31" s="52" t="str">
        <f t="shared" si="0"/>
        <v>(8,'','','1900-01-00','1900-01-00',,,),</v>
      </c>
    </row>
    <row r="32" spans="1:14" ht="20.149999999999999" customHeight="1" x14ac:dyDescent="0.35">
      <c r="A32" s="39">
        <v>9</v>
      </c>
      <c r="B32" s="48"/>
      <c r="C32" s="52"/>
      <c r="D32" s="19"/>
      <c r="E32" s="19"/>
      <c r="F32" s="42"/>
      <c r="G32" s="42"/>
      <c r="H32" s="42"/>
      <c r="I32" s="42"/>
      <c r="J32" s="42"/>
      <c r="K32" s="53"/>
      <c r="L32" s="44"/>
      <c r="M32" s="42"/>
      <c r="N32" s="52" t="str">
        <f t="shared" si="0"/>
        <v>(9,'','','1900-01-00','1900-01-00',,,),</v>
      </c>
    </row>
    <row r="33" spans="1:14" ht="20.149999999999999" customHeight="1" x14ac:dyDescent="0.35">
      <c r="A33" s="39">
        <v>10</v>
      </c>
      <c r="B33" s="48"/>
      <c r="C33" s="52"/>
      <c r="D33" s="19"/>
      <c r="E33" s="19"/>
      <c r="F33" s="42"/>
      <c r="G33" s="42"/>
      <c r="H33" s="42"/>
      <c r="I33" s="42"/>
      <c r="J33" s="42"/>
      <c r="K33" s="53"/>
      <c r="L33" s="44"/>
      <c r="M33" s="42"/>
      <c r="N33" s="52" t="str">
        <f t="shared" si="0"/>
        <v>(10,'','','1900-01-00','1900-01-00',,,),</v>
      </c>
    </row>
    <row r="34" spans="1:14" ht="20.149999999999999" customHeight="1" x14ac:dyDescent="0.35">
      <c r="A34" s="39">
        <v>11</v>
      </c>
      <c r="B34" s="48"/>
      <c r="C34" s="52"/>
      <c r="D34" s="19"/>
      <c r="E34" s="19"/>
      <c r="F34" s="42"/>
      <c r="G34" s="42"/>
      <c r="H34" s="42"/>
      <c r="I34" s="42"/>
      <c r="J34" s="42"/>
      <c r="K34" s="53"/>
      <c r="L34" s="44"/>
      <c r="M34" s="42"/>
      <c r="N34" s="52" t="str">
        <f t="shared" si="0"/>
        <v>(11,'','','1900-01-00','1900-01-00',,,),</v>
      </c>
    </row>
    <row r="35" spans="1:14" ht="20.149999999999999" customHeight="1" x14ac:dyDescent="0.35">
      <c r="A35" s="39">
        <v>12</v>
      </c>
      <c r="B35" s="48"/>
      <c r="C35" s="52"/>
      <c r="D35" s="19"/>
      <c r="E35" s="19"/>
      <c r="F35" s="42"/>
      <c r="G35" s="42"/>
      <c r="H35" s="42"/>
      <c r="I35" s="42"/>
      <c r="J35" s="42"/>
      <c r="K35" s="53"/>
      <c r="L35" s="44"/>
      <c r="M35" s="42"/>
      <c r="N35" s="52" t="str">
        <f t="shared" si="0"/>
        <v>(12,'','','1900-01-00','1900-01-00',,,),</v>
      </c>
    </row>
    <row r="36" spans="1:14" ht="20.149999999999999" customHeight="1" x14ac:dyDescent="0.35">
      <c r="A36" s="39">
        <v>13</v>
      </c>
      <c r="B36" s="48"/>
      <c r="C36" s="52"/>
      <c r="D36" s="19"/>
      <c r="E36" s="19"/>
      <c r="F36" s="42"/>
      <c r="G36" s="42"/>
      <c r="H36" s="42"/>
      <c r="I36" s="42"/>
      <c r="J36" s="42"/>
      <c r="K36" s="53"/>
      <c r="L36" s="44"/>
      <c r="M36" s="42"/>
      <c r="N36" s="52" t="str">
        <f t="shared" si="0"/>
        <v>(13,'','','1900-01-00','1900-01-00',,,),</v>
      </c>
    </row>
    <row r="37" spans="1:14" ht="20.149999999999999" customHeight="1" x14ac:dyDescent="0.35">
      <c r="A37" s="39">
        <v>14</v>
      </c>
      <c r="B37" s="48"/>
      <c r="C37" s="52"/>
      <c r="D37" s="19"/>
      <c r="E37" s="19"/>
      <c r="F37" s="42"/>
      <c r="G37" s="42"/>
      <c r="H37" s="42"/>
      <c r="I37" s="42"/>
      <c r="J37" s="42"/>
      <c r="K37" s="53"/>
      <c r="L37" s="44"/>
      <c r="M37" s="42"/>
      <c r="N37" s="52" t="str">
        <f t="shared" si="0"/>
        <v>(14,'','','1900-01-00','1900-01-00',,,),</v>
      </c>
    </row>
    <row r="38" spans="1:14" ht="20.149999999999999" customHeight="1" x14ac:dyDescent="0.35">
      <c r="A38" s="39">
        <v>15</v>
      </c>
      <c r="B38" s="48"/>
      <c r="C38" s="52"/>
      <c r="D38" s="19"/>
      <c r="E38" s="19"/>
      <c r="F38" s="42"/>
      <c r="G38" s="42"/>
      <c r="H38" s="42"/>
      <c r="I38" s="42"/>
      <c r="J38" s="42"/>
      <c r="K38" s="53"/>
      <c r="L38" s="44"/>
      <c r="M38" s="42"/>
      <c r="N38" s="52" t="str">
        <f t="shared" si="0"/>
        <v>(15,'','','1900-01-00','1900-01-00',,,),</v>
      </c>
    </row>
    <row r="39" spans="1:14" ht="20.149999999999999" customHeight="1" x14ac:dyDescent="0.35">
      <c r="A39" s="39">
        <v>16</v>
      </c>
      <c r="B39" s="48"/>
      <c r="C39" s="52"/>
      <c r="D39" s="19"/>
      <c r="E39" s="19"/>
      <c r="F39" s="42"/>
      <c r="G39" s="42"/>
      <c r="H39" s="42"/>
      <c r="I39" s="42"/>
      <c r="J39" s="42"/>
      <c r="K39" s="53"/>
      <c r="L39" s="44"/>
      <c r="M39" s="42"/>
      <c r="N39" s="52" t="str">
        <f t="shared" si="0"/>
        <v>(16,'','','1900-01-00','1900-01-00',,,),</v>
      </c>
    </row>
    <row r="40" spans="1:14" ht="20.149999999999999" customHeight="1" x14ac:dyDescent="0.35">
      <c r="A40" s="39">
        <v>17</v>
      </c>
      <c r="B40" s="48"/>
      <c r="C40" s="52"/>
      <c r="D40" s="19"/>
      <c r="E40" s="19"/>
      <c r="F40" s="42"/>
      <c r="G40" s="42"/>
      <c r="H40" s="42"/>
      <c r="I40" s="42"/>
      <c r="J40" s="42"/>
      <c r="K40" s="53"/>
      <c r="L40" s="44"/>
      <c r="M40" s="42"/>
      <c r="N40" s="52" t="str">
        <f t="shared" si="0"/>
        <v>(17,'','','1900-01-00','1900-01-00',,,),</v>
      </c>
    </row>
    <row r="41" spans="1:14" ht="20.149999999999999" customHeight="1" x14ac:dyDescent="0.35">
      <c r="A41" s="39">
        <v>18</v>
      </c>
      <c r="B41" s="48"/>
      <c r="C41" s="52"/>
      <c r="D41" s="19"/>
      <c r="E41" s="19"/>
      <c r="F41" s="42"/>
      <c r="G41" s="42"/>
      <c r="H41" s="42"/>
      <c r="I41" s="42"/>
      <c r="J41" s="42"/>
      <c r="K41" s="53"/>
      <c r="L41" s="44"/>
      <c r="M41" s="42"/>
      <c r="N41" s="52" t="str">
        <f t="shared" si="0"/>
        <v>(18,'','','1900-01-00','1900-01-00',,,),</v>
      </c>
    </row>
    <row r="42" spans="1:14" ht="20.149999999999999" customHeight="1" x14ac:dyDescent="0.35">
      <c r="A42" s="39">
        <v>19</v>
      </c>
      <c r="B42" s="48"/>
      <c r="C42" s="52"/>
      <c r="D42" s="19"/>
      <c r="E42" s="19"/>
      <c r="F42" s="42"/>
      <c r="G42" s="42"/>
      <c r="H42" s="42"/>
      <c r="I42" s="42"/>
      <c r="J42" s="42"/>
      <c r="K42" s="53"/>
      <c r="L42" s="44"/>
      <c r="M42" s="42"/>
      <c r="N42" s="52" t="str">
        <f t="shared" si="0"/>
        <v>(19,'','','1900-01-00','1900-01-00',,,),</v>
      </c>
    </row>
    <row r="43" spans="1:14" ht="20.149999999999999" customHeight="1" x14ac:dyDescent="0.35">
      <c r="A43" s="39">
        <v>20</v>
      </c>
      <c r="B43" s="48"/>
      <c r="C43" s="52"/>
      <c r="D43" s="19"/>
      <c r="E43" s="19"/>
      <c r="F43" s="42"/>
      <c r="G43" s="42"/>
      <c r="H43" s="42"/>
      <c r="I43" s="42"/>
      <c r="J43" s="42"/>
      <c r="K43" s="53"/>
      <c r="L43" s="44"/>
      <c r="M43" s="42"/>
      <c r="N43" s="52" t="str">
        <f t="shared" si="0"/>
        <v>(20,'','','1900-01-00','1900-01-00',,,),</v>
      </c>
    </row>
    <row r="44" spans="1:14" ht="20.149999999999999" customHeight="1" x14ac:dyDescent="0.35">
      <c r="A44" s="39">
        <v>21</v>
      </c>
      <c r="B44" s="48"/>
      <c r="C44" s="52"/>
      <c r="D44" s="19"/>
      <c r="E44" s="19"/>
      <c r="F44" s="42"/>
      <c r="G44" s="42"/>
      <c r="H44" s="42"/>
      <c r="I44" s="42"/>
      <c r="J44" s="42"/>
      <c r="K44" s="53"/>
      <c r="L44" s="44"/>
      <c r="M44" s="42"/>
      <c r="N44" s="52" t="str">
        <f t="shared" si="0"/>
        <v>(21,'','','1900-01-00','1900-01-00',,,),</v>
      </c>
    </row>
    <row r="45" spans="1:14" ht="20.149999999999999" customHeight="1" x14ac:dyDescent="0.35">
      <c r="A45" s="39">
        <v>22</v>
      </c>
      <c r="B45" s="48"/>
      <c r="C45" s="52"/>
      <c r="D45" s="19"/>
      <c r="E45" s="19"/>
      <c r="F45" s="42"/>
      <c r="G45" s="42"/>
      <c r="H45" s="42"/>
      <c r="I45" s="42"/>
      <c r="J45" s="42"/>
      <c r="K45" s="53"/>
      <c r="L45" s="44"/>
      <c r="M45" s="42"/>
      <c r="N45" s="52" t="str">
        <f t="shared" si="0"/>
        <v>(22,'','','1900-01-00','1900-01-00',,,),</v>
      </c>
    </row>
    <row r="46" spans="1:14" ht="20.149999999999999" customHeight="1" x14ac:dyDescent="0.35">
      <c r="A46" s="39">
        <v>23</v>
      </c>
      <c r="B46" s="48"/>
      <c r="C46" s="52"/>
      <c r="D46" s="19"/>
      <c r="E46" s="19"/>
      <c r="F46" s="42"/>
      <c r="G46" s="42"/>
      <c r="H46" s="42"/>
      <c r="I46" s="42"/>
      <c r="J46" s="42"/>
      <c r="K46" s="53"/>
      <c r="L46" s="44"/>
      <c r="M46" s="42"/>
      <c r="N46" s="52" t="str">
        <f t="shared" si="0"/>
        <v>(23,'','','1900-01-00','1900-01-00',,,),</v>
      </c>
    </row>
    <row r="47" spans="1:14" ht="20.149999999999999" customHeight="1" x14ac:dyDescent="0.35">
      <c r="A47" s="39">
        <v>24</v>
      </c>
      <c r="B47" s="48"/>
      <c r="C47" s="52"/>
      <c r="D47" s="19"/>
      <c r="E47" s="19"/>
      <c r="F47" s="42"/>
      <c r="G47" s="42"/>
      <c r="H47" s="42"/>
      <c r="I47" s="42"/>
      <c r="J47" s="42"/>
      <c r="K47" s="53"/>
      <c r="L47" s="44"/>
      <c r="M47" s="42"/>
      <c r="N47" s="52" t="str">
        <f t="shared" si="0"/>
        <v>(24,'','','1900-01-00','1900-01-00',,,),</v>
      </c>
    </row>
    <row r="48" spans="1:14" ht="20.149999999999999" customHeight="1" x14ac:dyDescent="0.35">
      <c r="A48" s="39">
        <v>25</v>
      </c>
      <c r="B48" s="48"/>
      <c r="C48" s="52"/>
      <c r="D48" s="19"/>
      <c r="E48" s="19"/>
      <c r="F48" s="42"/>
      <c r="G48" s="42"/>
      <c r="H48" s="42"/>
      <c r="I48" s="42"/>
      <c r="J48" s="42"/>
      <c r="K48" s="53"/>
      <c r="L48" s="44"/>
      <c r="M48" s="42"/>
      <c r="N48" s="52" t="str">
        <f t="shared" si="0"/>
        <v>(25,'','','1900-01-00','1900-01-00',,,),</v>
      </c>
    </row>
    <row r="49" spans="1:14" ht="20.149999999999999" customHeight="1" x14ac:dyDescent="0.35">
      <c r="A49" s="39">
        <v>1</v>
      </c>
      <c r="B49" s="48"/>
      <c r="C49" s="52"/>
      <c r="D49" s="19"/>
      <c r="E49" s="19"/>
      <c r="F49" s="42"/>
      <c r="G49" s="42"/>
      <c r="H49" s="42"/>
      <c r="I49" s="42"/>
      <c r="J49" s="42"/>
      <c r="K49" s="53"/>
      <c r="L49" s="44"/>
      <c r="M49" s="42"/>
      <c r="N49" s="52" t="str">
        <f t="shared" si="0"/>
        <v>(1,'','','1900-01-00','1900-01-00',,,),</v>
      </c>
    </row>
    <row r="50" spans="1:14" ht="20.149999999999999" customHeight="1" x14ac:dyDescent="0.35">
      <c r="A50" s="39">
        <v>2</v>
      </c>
      <c r="B50" s="48"/>
      <c r="C50" s="52"/>
      <c r="D50" s="19"/>
      <c r="E50" s="19"/>
      <c r="F50" s="42"/>
      <c r="G50" s="42"/>
      <c r="H50" s="42"/>
      <c r="I50" s="42"/>
      <c r="J50" s="42"/>
      <c r="K50" s="53"/>
      <c r="L50" s="44"/>
      <c r="M50" s="42"/>
      <c r="N50" s="52" t="str">
        <f t="shared" si="0"/>
        <v>(2,'','','1900-01-00','1900-01-00',,,),</v>
      </c>
    </row>
    <row r="51" spans="1:14" ht="20.149999999999999" customHeight="1" x14ac:dyDescent="0.35">
      <c r="A51" s="39">
        <v>3</v>
      </c>
      <c r="B51" s="48"/>
      <c r="C51" s="52"/>
      <c r="D51" s="19"/>
      <c r="E51" s="19"/>
      <c r="F51" s="42"/>
      <c r="G51" s="42"/>
      <c r="H51" s="42"/>
      <c r="I51" s="42"/>
      <c r="J51" s="42"/>
      <c r="K51" s="53"/>
      <c r="L51" s="44"/>
      <c r="M51" s="42"/>
      <c r="N51" s="52" t="str">
        <f t="shared" si="0"/>
        <v>(3,'','','1900-01-00','1900-01-00',,,),</v>
      </c>
    </row>
    <row r="52" spans="1:14" ht="20.149999999999999" customHeight="1" x14ac:dyDescent="0.35">
      <c r="A52" s="39">
        <v>4</v>
      </c>
      <c r="B52" s="48"/>
      <c r="C52" s="52"/>
      <c r="D52" s="19"/>
      <c r="E52" s="19"/>
      <c r="F52" s="42"/>
      <c r="G52" s="42"/>
      <c r="H52" s="42"/>
      <c r="I52" s="42"/>
      <c r="J52" s="42"/>
      <c r="K52" s="53"/>
      <c r="L52" s="44"/>
      <c r="M52" s="42"/>
      <c r="N52" s="52" t="str">
        <f t="shared" si="0"/>
        <v>(4,'','','1900-01-00','1900-01-00',,,),</v>
      </c>
    </row>
    <row r="53" spans="1:14" ht="20.149999999999999" customHeight="1" x14ac:dyDescent="0.35">
      <c r="A53" s="39">
        <v>5</v>
      </c>
      <c r="B53" s="48"/>
      <c r="C53" s="52"/>
      <c r="D53" s="19"/>
      <c r="E53" s="19"/>
      <c r="F53" s="42"/>
      <c r="G53" s="42"/>
      <c r="H53" s="42"/>
      <c r="I53" s="42"/>
      <c r="J53" s="42"/>
      <c r="K53" s="53"/>
      <c r="L53" s="44"/>
      <c r="M53" s="42"/>
      <c r="N53" s="52" t="str">
        <f t="shared" si="0"/>
        <v>(5,'','','1900-01-00','1900-01-00',,,),</v>
      </c>
    </row>
    <row r="54" spans="1:14" ht="20.149999999999999" customHeight="1" x14ac:dyDescent="0.35">
      <c r="A54" s="39">
        <v>6</v>
      </c>
      <c r="B54" s="48"/>
      <c r="C54" s="52"/>
      <c r="D54" s="19"/>
      <c r="E54" s="19"/>
      <c r="F54" s="42"/>
      <c r="G54" s="42"/>
      <c r="H54" s="42"/>
      <c r="I54" s="42"/>
      <c r="J54" s="42"/>
      <c r="K54" s="53"/>
      <c r="L54" s="44"/>
      <c r="M54" s="42"/>
      <c r="N54" s="52" t="str">
        <f t="shared" si="0"/>
        <v>(6,'','','1900-01-00','1900-01-00',,,),</v>
      </c>
    </row>
    <row r="55" spans="1:14" ht="20.149999999999999" customHeight="1" x14ac:dyDescent="0.35">
      <c r="A55" s="39">
        <v>7</v>
      </c>
      <c r="B55" s="48"/>
      <c r="C55" s="52"/>
      <c r="D55" s="19"/>
      <c r="E55" s="19"/>
      <c r="F55" s="42"/>
      <c r="G55" s="42"/>
      <c r="H55" s="42"/>
      <c r="I55" s="42"/>
      <c r="J55" s="42"/>
      <c r="K55" s="53"/>
      <c r="L55" s="44"/>
      <c r="M55" s="42"/>
      <c r="N55" s="52" t="str">
        <f t="shared" si="0"/>
        <v>(7,'','','1900-01-00','1900-01-00',,,),</v>
      </c>
    </row>
    <row r="56" spans="1:14" ht="20.149999999999999" customHeight="1" x14ac:dyDescent="0.35">
      <c r="A56" s="39">
        <v>8</v>
      </c>
      <c r="B56" s="48"/>
      <c r="C56" s="52"/>
      <c r="D56" s="19"/>
      <c r="E56" s="19"/>
      <c r="F56" s="42"/>
      <c r="G56" s="42"/>
      <c r="H56" s="42"/>
      <c r="I56" s="42"/>
      <c r="J56" s="42"/>
      <c r="K56" s="53"/>
      <c r="L56" s="44"/>
      <c r="M56" s="42"/>
      <c r="N56" s="52" t="str">
        <f t="shared" si="0"/>
        <v>(8,'','','1900-01-00','1900-01-00',,,),</v>
      </c>
    </row>
    <row r="57" spans="1:14" ht="20.149999999999999" customHeight="1" x14ac:dyDescent="0.35">
      <c r="A57" s="39">
        <v>9</v>
      </c>
      <c r="B57" s="48"/>
      <c r="C57" s="52"/>
      <c r="D57" s="19"/>
      <c r="E57" s="19"/>
      <c r="F57" s="42"/>
      <c r="G57" s="42"/>
      <c r="H57" s="42"/>
      <c r="I57" s="42"/>
      <c r="J57" s="42"/>
      <c r="K57" s="53"/>
      <c r="L57" s="44"/>
      <c r="M57" s="42"/>
      <c r="N57" s="52" t="str">
        <f t="shared" si="0"/>
        <v>(9,'','','1900-01-00','1900-01-00',,,),</v>
      </c>
    </row>
    <row r="58" spans="1:14" ht="20.149999999999999" customHeight="1" x14ac:dyDescent="0.35">
      <c r="A58" s="39">
        <v>10</v>
      </c>
      <c r="B58" s="48"/>
      <c r="C58" s="52"/>
      <c r="D58" s="19"/>
      <c r="E58" s="19"/>
      <c r="F58" s="42"/>
      <c r="G58" s="42"/>
      <c r="H58" s="42"/>
      <c r="I58" s="42"/>
      <c r="J58" s="42"/>
      <c r="K58" s="53"/>
      <c r="L58" s="44"/>
      <c r="M58" s="42"/>
      <c r="N58" s="52" t="str">
        <f t="shared" si="0"/>
        <v>(10,'','','1900-01-00','1900-01-00',,,),</v>
      </c>
    </row>
    <row r="59" spans="1:14" ht="20.149999999999999" customHeight="1" x14ac:dyDescent="0.35">
      <c r="A59" s="39" t="s">
        <v>867</v>
      </c>
      <c r="B59" s="48"/>
      <c r="C59" s="52"/>
      <c r="D59" s="19"/>
      <c r="E59" s="19"/>
      <c r="F59" s="42"/>
      <c r="G59" s="42"/>
      <c r="H59" s="42"/>
      <c r="I59" s="42"/>
      <c r="J59" s="42"/>
      <c r="K59" s="53"/>
      <c r="L59" s="44"/>
      <c r="M59" s="42"/>
      <c r="N59" s="52" t="str">
        <f t="shared" si="0"/>
        <v>(10Bis,'','','1900-01-00','1900-01-00',,,),</v>
      </c>
    </row>
    <row r="60" spans="1:14" ht="20.149999999999999" customHeight="1" x14ac:dyDescent="0.35">
      <c r="A60" s="39" t="s">
        <v>868</v>
      </c>
      <c r="B60" s="48"/>
      <c r="C60" s="52"/>
      <c r="D60" s="19"/>
      <c r="E60" s="19"/>
      <c r="F60" s="42"/>
      <c r="G60" s="42"/>
      <c r="H60" s="42"/>
      <c r="I60" s="42"/>
      <c r="J60" s="42"/>
      <c r="K60" s="53"/>
      <c r="L60" s="44"/>
      <c r="M60" s="42"/>
      <c r="N60" s="52" t="str">
        <f t="shared" si="0"/>
        <v>(10Ter,'','','1900-01-00','1900-01-00',,,),</v>
      </c>
    </row>
    <row r="61" spans="1:14" ht="20.149999999999999" customHeight="1" x14ac:dyDescent="0.35">
      <c r="A61" s="39">
        <v>11</v>
      </c>
      <c r="B61" s="48"/>
      <c r="C61" s="52"/>
      <c r="D61" s="19"/>
      <c r="E61" s="19"/>
      <c r="F61" s="42"/>
      <c r="G61" s="42"/>
      <c r="H61" s="42"/>
      <c r="I61" s="42"/>
      <c r="J61" s="42"/>
      <c r="K61" s="53"/>
      <c r="L61" s="44"/>
      <c r="M61" s="42"/>
      <c r="N61" s="52" t="str">
        <f t="shared" si="0"/>
        <v>(11,'','','1900-01-00','1900-01-00',,,),</v>
      </c>
    </row>
    <row r="62" spans="1:14" ht="20.149999999999999" customHeight="1" x14ac:dyDescent="0.35">
      <c r="A62" s="39">
        <v>12</v>
      </c>
      <c r="B62" s="48"/>
      <c r="C62" s="52"/>
      <c r="D62" s="19"/>
      <c r="E62" s="19"/>
      <c r="F62" s="42"/>
      <c r="G62" s="42"/>
      <c r="H62" s="42"/>
      <c r="I62" s="42"/>
      <c r="J62" s="42"/>
      <c r="K62" s="53"/>
      <c r="L62" s="44"/>
      <c r="M62" s="42"/>
      <c r="N62" s="52" t="str">
        <f t="shared" si="0"/>
        <v>(12,'','','1900-01-00','1900-01-00',,,),</v>
      </c>
    </row>
    <row r="63" spans="1:14" ht="20.149999999999999" customHeight="1" x14ac:dyDescent="0.35">
      <c r="A63" s="39">
        <v>13</v>
      </c>
      <c r="B63" s="48"/>
      <c r="C63" s="52"/>
      <c r="D63" s="19"/>
      <c r="E63" s="19"/>
      <c r="F63" s="42"/>
      <c r="G63" s="42"/>
      <c r="H63" s="42"/>
      <c r="I63" s="42"/>
      <c r="J63" s="42"/>
      <c r="K63" s="53"/>
      <c r="L63" s="44"/>
      <c r="M63" s="42"/>
      <c r="N63" s="52" t="str">
        <f t="shared" si="0"/>
        <v>(13,'','','1900-01-00','1900-01-00',,,),</v>
      </c>
    </row>
    <row r="64" spans="1:14" ht="20.149999999999999" customHeight="1" x14ac:dyDescent="0.35">
      <c r="A64" s="39">
        <v>14</v>
      </c>
      <c r="B64" s="48"/>
      <c r="C64" s="52"/>
      <c r="D64" s="19"/>
      <c r="E64" s="19"/>
      <c r="F64" s="42"/>
      <c r="G64" s="42"/>
      <c r="H64" s="42"/>
      <c r="I64" s="42"/>
      <c r="J64" s="42"/>
      <c r="K64" s="53"/>
      <c r="L64" s="44"/>
      <c r="M64" s="42"/>
      <c r="N64" s="52" t="str">
        <f t="shared" si="0"/>
        <v>(14,'','','1900-01-00','1900-01-00',,,),</v>
      </c>
    </row>
    <row r="65" spans="1:14" ht="20.149999999999999" customHeight="1" x14ac:dyDescent="0.35">
      <c r="A65" s="39" t="s">
        <v>869</v>
      </c>
      <c r="B65" s="48"/>
      <c r="C65" s="52"/>
      <c r="D65" s="19"/>
      <c r="E65" s="19"/>
      <c r="F65" s="42"/>
      <c r="G65" s="42"/>
      <c r="H65" s="42"/>
      <c r="I65" s="42"/>
      <c r="J65" s="42"/>
      <c r="K65" s="53"/>
      <c r="L65" s="44"/>
      <c r="M65" s="42"/>
      <c r="N65" s="52" t="str">
        <f t="shared" si="0"/>
        <v>(14Bis,'','','1900-01-00','1900-01-00',,,),</v>
      </c>
    </row>
    <row r="66" spans="1:14" ht="20.149999999999999" customHeight="1" x14ac:dyDescent="0.35">
      <c r="A66" s="39">
        <v>15</v>
      </c>
      <c r="B66" s="48"/>
      <c r="C66" s="52"/>
      <c r="D66" s="19"/>
      <c r="E66" s="19"/>
      <c r="F66" s="42"/>
      <c r="G66" s="42"/>
      <c r="H66" s="42"/>
      <c r="I66" s="42"/>
      <c r="J66" s="42"/>
      <c r="K66" s="53"/>
      <c r="L66" s="44"/>
      <c r="M66" s="42"/>
      <c r="N66" s="52" t="str">
        <f t="shared" si="0"/>
        <v>(15,'','','1900-01-00','1900-01-00',,,),</v>
      </c>
    </row>
    <row r="67" spans="1:14" ht="20.149999999999999" customHeight="1" x14ac:dyDescent="0.35">
      <c r="A67" s="39">
        <v>16</v>
      </c>
      <c r="B67" s="48"/>
      <c r="C67" s="52"/>
      <c r="D67" s="19"/>
      <c r="E67" s="19"/>
      <c r="F67" s="42"/>
      <c r="G67" s="42"/>
      <c r="H67" s="42"/>
      <c r="I67" s="42"/>
      <c r="J67" s="42"/>
      <c r="K67" s="53"/>
      <c r="L67" s="44"/>
      <c r="M67" s="42"/>
      <c r="N67" s="52" t="str">
        <f t="shared" ref="N67:N130" si="1">CONCATENATE("(",A67,",'",B67,"','",C67,"','",TEXT(D67,"aaaa-mm-jj"),"','",TEXT(E67,"aaaa-mm-jj"),"',",F67,",",G67,",",H67,"),")</f>
        <v>(16,'','','1900-01-00','1900-01-00',,,),</v>
      </c>
    </row>
    <row r="68" spans="1:14" ht="20.149999999999999" customHeight="1" x14ac:dyDescent="0.35">
      <c r="A68" s="39" t="s">
        <v>870</v>
      </c>
      <c r="B68" s="48"/>
      <c r="C68" s="52"/>
      <c r="D68" s="19"/>
      <c r="E68" s="19"/>
      <c r="F68" s="42"/>
      <c r="G68" s="42"/>
      <c r="H68" s="42"/>
      <c r="I68" s="42"/>
      <c r="J68" s="42"/>
      <c r="K68" s="53"/>
      <c r="L68" s="44"/>
      <c r="M68" s="42"/>
      <c r="N68" s="52" t="str">
        <f t="shared" si="1"/>
        <v>(16Bis,'','','1900-01-00','1900-01-00',,,),</v>
      </c>
    </row>
    <row r="69" spans="1:14" ht="20.149999999999999" customHeight="1" x14ac:dyDescent="0.35">
      <c r="A69" s="39">
        <v>17</v>
      </c>
      <c r="B69" s="48"/>
      <c r="C69" s="52"/>
      <c r="D69" s="19"/>
      <c r="E69" s="19"/>
      <c r="F69" s="42"/>
      <c r="G69" s="42"/>
      <c r="H69" s="42"/>
      <c r="I69" s="42"/>
      <c r="J69" s="42"/>
      <c r="K69" s="53"/>
      <c r="L69" s="44"/>
      <c r="M69" s="42"/>
      <c r="N69" s="52" t="str">
        <f t="shared" si="1"/>
        <v>(17,'','','1900-01-00','1900-01-00',,,),</v>
      </c>
    </row>
    <row r="70" spans="1:14" ht="20.149999999999999" customHeight="1" x14ac:dyDescent="0.35">
      <c r="A70" s="39">
        <v>18</v>
      </c>
      <c r="B70" s="48"/>
      <c r="C70" s="52"/>
      <c r="D70" s="19"/>
      <c r="E70" s="19"/>
      <c r="F70" s="42"/>
      <c r="G70" s="42"/>
      <c r="H70" s="42"/>
      <c r="I70" s="42"/>
      <c r="J70" s="42"/>
      <c r="K70" s="53"/>
      <c r="L70" s="44"/>
      <c r="M70" s="42"/>
      <c r="N70" s="52" t="str">
        <f t="shared" si="1"/>
        <v>(18,'','','1900-01-00','1900-01-00',,,),</v>
      </c>
    </row>
    <row r="71" spans="1:14" ht="20.149999999999999" customHeight="1" x14ac:dyDescent="0.35">
      <c r="A71" s="39">
        <v>1</v>
      </c>
      <c r="B71" s="40"/>
      <c r="C71" s="52"/>
      <c r="D71" s="19"/>
      <c r="E71" s="19"/>
      <c r="F71" s="42"/>
      <c r="G71" s="42"/>
      <c r="H71" s="42"/>
      <c r="I71" s="42"/>
      <c r="J71" s="42"/>
      <c r="K71" s="53"/>
      <c r="L71" s="44"/>
      <c r="M71" s="42"/>
      <c r="N71" s="52" t="str">
        <f t="shared" si="1"/>
        <v>(1,'','','1900-01-00','1900-01-00',,,),</v>
      </c>
    </row>
    <row r="72" spans="1:14" ht="20.149999999999999" customHeight="1" x14ac:dyDescent="0.35">
      <c r="A72" s="39">
        <v>2</v>
      </c>
      <c r="B72" s="40"/>
      <c r="C72" s="52"/>
      <c r="D72" s="19"/>
      <c r="E72" s="19"/>
      <c r="F72" s="42"/>
      <c r="G72" s="42"/>
      <c r="H72" s="42"/>
      <c r="I72" s="42"/>
      <c r="J72" s="42"/>
      <c r="K72" s="53"/>
      <c r="L72" s="44"/>
      <c r="M72" s="42"/>
      <c r="N72" s="52" t="str">
        <f t="shared" si="1"/>
        <v>(2,'','','1900-01-00','1900-01-00',,,),</v>
      </c>
    </row>
    <row r="73" spans="1:14" ht="20.149999999999999" customHeight="1" x14ac:dyDescent="0.35">
      <c r="A73" s="39">
        <v>3</v>
      </c>
      <c r="B73" s="40"/>
      <c r="C73" s="52"/>
      <c r="D73" s="19"/>
      <c r="E73" s="19"/>
      <c r="F73" s="42"/>
      <c r="G73" s="42"/>
      <c r="H73" s="42"/>
      <c r="I73" s="42"/>
      <c r="J73" s="42"/>
      <c r="K73" s="53"/>
      <c r="L73" s="44"/>
      <c r="M73" s="42"/>
      <c r="N73" s="52" t="str">
        <f t="shared" si="1"/>
        <v>(3,'','','1900-01-00','1900-01-00',,,),</v>
      </c>
    </row>
    <row r="74" spans="1:14" ht="20.149999999999999" customHeight="1" x14ac:dyDescent="0.35">
      <c r="A74" s="39">
        <v>4</v>
      </c>
      <c r="B74" s="40"/>
      <c r="C74" s="52"/>
      <c r="D74" s="19"/>
      <c r="E74" s="19"/>
      <c r="F74" s="42"/>
      <c r="G74" s="42"/>
      <c r="H74" s="42"/>
      <c r="I74" s="42"/>
      <c r="J74" s="42"/>
      <c r="K74" s="53"/>
      <c r="L74" s="44"/>
      <c r="M74" s="42"/>
      <c r="N74" s="52" t="str">
        <f t="shared" si="1"/>
        <v>(4,'','','1900-01-00','1900-01-00',,,),</v>
      </c>
    </row>
    <row r="75" spans="1:14" ht="20.149999999999999" customHeight="1" x14ac:dyDescent="0.35">
      <c r="A75" s="39" t="s">
        <v>871</v>
      </c>
      <c r="B75" s="40"/>
      <c r="C75" s="52"/>
      <c r="D75" s="19"/>
      <c r="E75" s="19"/>
      <c r="F75" s="42"/>
      <c r="G75" s="42"/>
      <c r="H75" s="42"/>
      <c r="I75" s="42"/>
      <c r="J75" s="42"/>
      <c r="K75" s="53"/>
      <c r="L75" s="44"/>
      <c r="M75" s="42"/>
      <c r="N75" s="52" t="str">
        <f t="shared" si="1"/>
        <v>(04Bis,'','','1900-01-00','1900-01-00',,,),</v>
      </c>
    </row>
    <row r="76" spans="1:14" ht="20.149999999999999" customHeight="1" x14ac:dyDescent="0.35">
      <c r="A76" s="39">
        <v>5</v>
      </c>
      <c r="B76" s="40"/>
      <c r="C76" s="52"/>
      <c r="D76" s="19"/>
      <c r="E76" s="19"/>
      <c r="F76" s="42"/>
      <c r="G76" s="42"/>
      <c r="H76" s="42"/>
      <c r="I76" s="42"/>
      <c r="J76" s="42"/>
      <c r="K76" s="53"/>
      <c r="L76" s="44"/>
      <c r="M76" s="42"/>
      <c r="N76" s="52" t="str">
        <f t="shared" si="1"/>
        <v>(5,'','','1900-01-00','1900-01-00',,,),</v>
      </c>
    </row>
    <row r="77" spans="1:14" ht="20.149999999999999" customHeight="1" x14ac:dyDescent="0.35">
      <c r="A77" s="39" t="s">
        <v>886</v>
      </c>
      <c r="B77" s="40"/>
      <c r="C77" s="52"/>
      <c r="D77" s="19"/>
      <c r="E77" s="19"/>
      <c r="F77" s="42"/>
      <c r="G77" s="42"/>
      <c r="H77" s="42"/>
      <c r="I77" s="42"/>
      <c r="J77" s="42"/>
      <c r="K77" s="53"/>
      <c r="L77" s="44"/>
      <c r="M77" s="42"/>
      <c r="N77" s="52" t="str">
        <f t="shared" si="1"/>
        <v>(N01,'','','1900-01-00','1900-01-00',,,),</v>
      </c>
    </row>
    <row r="78" spans="1:14" ht="20.149999999999999" customHeight="1" x14ac:dyDescent="0.35">
      <c r="A78" s="39" t="s">
        <v>887</v>
      </c>
      <c r="B78" s="40"/>
      <c r="C78" s="52"/>
      <c r="D78" s="19"/>
      <c r="E78" s="19"/>
      <c r="F78" s="42"/>
      <c r="G78" s="42"/>
      <c r="H78" s="42"/>
      <c r="I78" s="42"/>
      <c r="J78" s="42"/>
      <c r="K78" s="53"/>
      <c r="L78" s="44"/>
      <c r="M78" s="42"/>
      <c r="N78" s="52" t="str">
        <f t="shared" si="1"/>
        <v>(N02,'','','1900-01-00','1900-01-00',,,),</v>
      </c>
    </row>
    <row r="79" spans="1:14" ht="20.149999999999999" customHeight="1" x14ac:dyDescent="0.35">
      <c r="A79" s="39" t="s">
        <v>888</v>
      </c>
      <c r="B79" s="40"/>
      <c r="C79" s="52"/>
      <c r="D79" s="19"/>
      <c r="E79" s="19"/>
      <c r="F79" s="42"/>
      <c r="G79" s="42"/>
      <c r="H79" s="42"/>
      <c r="I79" s="42"/>
      <c r="J79" s="42"/>
      <c r="K79" s="53"/>
      <c r="L79" s="44"/>
      <c r="M79" s="42"/>
      <c r="N79" s="52" t="str">
        <f t="shared" si="1"/>
        <v>(N03,'','','1900-01-00','1900-01-00',,,),</v>
      </c>
    </row>
    <row r="80" spans="1:14" ht="20.149999999999999" customHeight="1" x14ac:dyDescent="0.35">
      <c r="A80" s="39" t="s">
        <v>891</v>
      </c>
      <c r="B80" s="40"/>
      <c r="C80" s="52"/>
      <c r="D80" s="19"/>
      <c r="E80" s="19"/>
      <c r="F80" s="42"/>
      <c r="G80" s="42"/>
      <c r="H80" s="42"/>
      <c r="I80" s="42"/>
      <c r="J80" s="42"/>
      <c r="K80" s="53"/>
      <c r="L80" s="44"/>
      <c r="M80" s="42"/>
      <c r="N80" s="52" t="str">
        <f t="shared" si="1"/>
        <v>(N03Bis,'','','1900-01-00','1900-01-00',,,),</v>
      </c>
    </row>
    <row r="81" spans="1:14" ht="20.149999999999999" customHeight="1" x14ac:dyDescent="0.35">
      <c r="A81" s="39" t="s">
        <v>889</v>
      </c>
      <c r="B81" s="40"/>
      <c r="C81" s="52"/>
      <c r="D81" s="19"/>
      <c r="E81" s="19"/>
      <c r="F81" s="42"/>
      <c r="G81" s="42"/>
      <c r="H81" s="42"/>
      <c r="I81" s="42"/>
      <c r="J81" s="42"/>
      <c r="K81" s="53"/>
      <c r="L81" s="44"/>
      <c r="M81" s="42"/>
      <c r="N81" s="52" t="str">
        <f t="shared" si="1"/>
        <v>(N04,'','','1900-01-00','1900-01-00',,,),</v>
      </c>
    </row>
    <row r="82" spans="1:14" ht="20.149999999999999" customHeight="1" x14ac:dyDescent="0.35">
      <c r="A82" s="39" t="s">
        <v>890</v>
      </c>
      <c r="B82" s="40"/>
      <c r="C82" s="52"/>
      <c r="D82" s="19"/>
      <c r="E82" s="19"/>
      <c r="F82" s="42"/>
      <c r="G82" s="42"/>
      <c r="H82" s="42"/>
      <c r="I82" s="42"/>
      <c r="J82" s="42"/>
      <c r="K82" s="53"/>
      <c r="L82" s="44"/>
      <c r="M82" s="42"/>
      <c r="N82" s="52" t="str">
        <f t="shared" si="1"/>
        <v>(N05,'','','1900-01-00','1900-01-00',,,),</v>
      </c>
    </row>
    <row r="83" spans="1:14" ht="20.149999999999999" customHeight="1" x14ac:dyDescent="0.35">
      <c r="A83" s="39" t="s">
        <v>892</v>
      </c>
      <c r="B83" s="40"/>
      <c r="C83" s="52"/>
      <c r="D83" s="19"/>
      <c r="E83" s="19"/>
      <c r="F83" s="42"/>
      <c r="G83" s="42"/>
      <c r="H83" s="42"/>
      <c r="I83" s="42"/>
      <c r="J83" s="42"/>
      <c r="K83" s="53"/>
      <c r="L83" s="44"/>
      <c r="M83" s="42"/>
      <c r="N83" s="52" t="str">
        <f t="shared" si="1"/>
        <v>(N06,'','','1900-01-00','1900-01-00',,,),</v>
      </c>
    </row>
    <row r="84" spans="1:14" ht="20.149999999999999" customHeight="1" x14ac:dyDescent="0.35">
      <c r="A84" s="39" t="s">
        <v>900</v>
      </c>
      <c r="B84" s="40"/>
      <c r="C84" s="52"/>
      <c r="D84" s="19"/>
      <c r="E84" s="19"/>
      <c r="F84" s="42"/>
      <c r="G84" s="42"/>
      <c r="H84" s="42"/>
      <c r="I84" s="42"/>
      <c r="J84" s="42"/>
      <c r="K84" s="53"/>
      <c r="L84" s="44"/>
      <c r="M84" s="42"/>
      <c r="N84" s="52" t="str">
        <f t="shared" si="1"/>
        <v>(N06Bis,'','','1900-01-00','1900-01-00',,,),</v>
      </c>
    </row>
    <row r="85" spans="1:14" ht="20.149999999999999" customHeight="1" x14ac:dyDescent="0.35">
      <c r="A85" s="39" t="s">
        <v>893</v>
      </c>
      <c r="B85" s="40"/>
      <c r="C85" s="52"/>
      <c r="D85" s="19"/>
      <c r="E85" s="19"/>
      <c r="F85" s="42"/>
      <c r="G85" s="42"/>
      <c r="H85" s="42"/>
      <c r="I85" s="42"/>
      <c r="J85" s="42"/>
      <c r="K85" s="53"/>
      <c r="L85" s="44"/>
      <c r="M85" s="42"/>
      <c r="N85" s="52" t="str">
        <f t="shared" si="1"/>
        <v>(N07,'','','1900-01-00','1900-01-00',,,),</v>
      </c>
    </row>
    <row r="86" spans="1:14" ht="20.149999999999999" customHeight="1" x14ac:dyDescent="0.35">
      <c r="A86" s="39" t="s">
        <v>894</v>
      </c>
      <c r="B86" s="40"/>
      <c r="C86" s="52"/>
      <c r="D86" s="19"/>
      <c r="E86" s="19"/>
      <c r="F86" s="42"/>
      <c r="G86" s="42"/>
      <c r="H86" s="42"/>
      <c r="I86" s="42"/>
      <c r="J86" s="42"/>
      <c r="K86" s="53"/>
      <c r="L86" s="44"/>
      <c r="M86" s="42"/>
      <c r="N86" s="52" t="str">
        <f t="shared" si="1"/>
        <v>(N08,'','','1900-01-00','1900-01-00',,,),</v>
      </c>
    </row>
    <row r="87" spans="1:14" ht="20.149999999999999" customHeight="1" x14ac:dyDescent="0.35">
      <c r="A87" s="39" t="s">
        <v>895</v>
      </c>
      <c r="B87" s="40"/>
      <c r="C87" s="52"/>
      <c r="D87" s="19"/>
      <c r="E87" s="19"/>
      <c r="F87" s="42"/>
      <c r="G87" s="42"/>
      <c r="H87" s="42"/>
      <c r="I87" s="42"/>
      <c r="J87" s="42"/>
      <c r="K87" s="53"/>
      <c r="L87" s="44"/>
      <c r="M87" s="42"/>
      <c r="N87" s="52" t="str">
        <f t="shared" si="1"/>
        <v>(N09,'','','1900-01-00','1900-01-00',,,),</v>
      </c>
    </row>
    <row r="88" spans="1:14" ht="20.149999999999999" customHeight="1" x14ac:dyDescent="0.35">
      <c r="A88" s="39" t="s">
        <v>896</v>
      </c>
      <c r="B88" s="40"/>
      <c r="C88" s="52"/>
      <c r="D88" s="19"/>
      <c r="E88" s="19"/>
      <c r="F88" s="42"/>
      <c r="G88" s="42"/>
      <c r="H88" s="42"/>
      <c r="I88" s="42"/>
      <c r="J88" s="42"/>
      <c r="K88" s="53"/>
      <c r="L88" s="44"/>
      <c r="M88" s="42"/>
      <c r="N88" s="52" t="str">
        <f t="shared" si="1"/>
        <v>(N10,'','','1900-01-00','1900-01-00',,,),</v>
      </c>
    </row>
    <row r="89" spans="1:14" ht="20.149999999999999" customHeight="1" x14ac:dyDescent="0.35">
      <c r="A89" s="39" t="s">
        <v>897</v>
      </c>
      <c r="B89" s="40"/>
      <c r="C89" s="52"/>
      <c r="D89" s="19"/>
      <c r="E89" s="19"/>
      <c r="F89" s="42"/>
      <c r="G89" s="42"/>
      <c r="H89" s="42"/>
      <c r="I89" s="42"/>
      <c r="J89" s="42"/>
      <c r="K89" s="53"/>
      <c r="L89" s="44"/>
      <c r="M89" s="42"/>
      <c r="N89" s="52" t="str">
        <f t="shared" si="1"/>
        <v>(N11,'','','1900-01-00','1900-01-00',,,),</v>
      </c>
    </row>
    <row r="90" spans="1:14" ht="20.149999999999999" customHeight="1" x14ac:dyDescent="0.35">
      <c r="A90" s="39" t="s">
        <v>898</v>
      </c>
      <c r="B90" s="40"/>
      <c r="C90" s="52"/>
      <c r="D90" s="19"/>
      <c r="E90" s="19"/>
      <c r="F90" s="42"/>
      <c r="G90" s="42"/>
      <c r="H90" s="42"/>
      <c r="I90" s="42"/>
      <c r="J90" s="42"/>
      <c r="K90" s="53"/>
      <c r="L90" s="44"/>
      <c r="M90" s="42"/>
      <c r="N90" s="52" t="str">
        <f t="shared" si="1"/>
        <v>(N12,'','','1900-01-00','1900-01-00',,,),</v>
      </c>
    </row>
    <row r="91" spans="1:14" ht="20.149999999999999" customHeight="1" x14ac:dyDescent="0.35">
      <c r="A91" s="39" t="s">
        <v>899</v>
      </c>
      <c r="B91" s="40"/>
      <c r="C91" s="52"/>
      <c r="D91" s="19"/>
      <c r="E91" s="19"/>
      <c r="F91" s="42"/>
      <c r="G91" s="42"/>
      <c r="H91" s="42"/>
      <c r="I91" s="42"/>
      <c r="J91" s="42"/>
      <c r="K91" s="53"/>
      <c r="L91" s="44"/>
      <c r="M91" s="42"/>
      <c r="N91" s="52" t="str">
        <f t="shared" si="1"/>
        <v>(N13,'','','1900-01-00','1900-01-00',,,),</v>
      </c>
    </row>
    <row r="92" spans="1:14" ht="20.149999999999999" customHeight="1" x14ac:dyDescent="0.35">
      <c r="A92" s="39" t="s">
        <v>885</v>
      </c>
      <c r="B92" s="40"/>
      <c r="C92" s="52"/>
      <c r="D92" s="19"/>
      <c r="E92" s="19"/>
      <c r="F92" s="42"/>
      <c r="G92" s="42"/>
      <c r="H92" s="42"/>
      <c r="I92" s="42"/>
      <c r="J92" s="42"/>
      <c r="K92" s="53"/>
      <c r="L92" s="44"/>
      <c r="M92" s="42"/>
      <c r="N92" s="52" t="str">
        <f t="shared" si="1"/>
        <v>(S01,'','','1900-01-00','1900-01-00',,,),</v>
      </c>
    </row>
    <row r="93" spans="1:14" ht="20.149999999999999" customHeight="1" x14ac:dyDescent="0.35">
      <c r="A93" s="39" t="s">
        <v>916</v>
      </c>
      <c r="B93" s="40"/>
      <c r="C93" s="52"/>
      <c r="D93" s="19"/>
      <c r="E93" s="19"/>
      <c r="F93" s="42"/>
      <c r="G93" s="42"/>
      <c r="H93" s="42"/>
      <c r="I93" s="42"/>
      <c r="J93" s="42"/>
      <c r="K93" s="53"/>
      <c r="L93" s="44"/>
      <c r="M93" s="42"/>
      <c r="N93" s="52" t="str">
        <f t="shared" si="1"/>
        <v>(S02,'','','1900-01-00','1900-01-00',,,),</v>
      </c>
    </row>
    <row r="94" spans="1:14" ht="20.149999999999999" customHeight="1" x14ac:dyDescent="0.35">
      <c r="A94" s="39" t="s">
        <v>917</v>
      </c>
      <c r="B94" s="40"/>
      <c r="C94" s="52"/>
      <c r="D94" s="19"/>
      <c r="E94" s="19"/>
      <c r="F94" s="42"/>
      <c r="G94" s="42"/>
      <c r="H94" s="42"/>
      <c r="I94" s="42"/>
      <c r="J94" s="42"/>
      <c r="K94" s="53"/>
      <c r="L94" s="44"/>
      <c r="M94" s="42"/>
      <c r="N94" s="52" t="str">
        <f t="shared" si="1"/>
        <v>(S03,'','','1900-01-00','1900-01-00',,,),</v>
      </c>
    </row>
    <row r="95" spans="1:14" ht="20.149999999999999" customHeight="1" x14ac:dyDescent="0.35">
      <c r="A95" s="39" t="s">
        <v>918</v>
      </c>
      <c r="B95" s="40"/>
      <c r="C95" s="52"/>
      <c r="D95" s="19"/>
      <c r="E95" s="19"/>
      <c r="F95" s="42"/>
      <c r="G95" s="42"/>
      <c r="H95" s="42"/>
      <c r="I95" s="42"/>
      <c r="J95" s="42"/>
      <c r="K95" s="53"/>
      <c r="L95" s="44"/>
      <c r="M95" s="42"/>
      <c r="N95" s="52" t="str">
        <f t="shared" si="1"/>
        <v>(S04,'','','1900-01-00','1900-01-00',,,),</v>
      </c>
    </row>
    <row r="96" spans="1:14" ht="20.149999999999999" customHeight="1" x14ac:dyDescent="0.35">
      <c r="A96" s="39" t="s">
        <v>919</v>
      </c>
      <c r="B96" s="40"/>
      <c r="C96" s="52"/>
      <c r="D96" s="19"/>
      <c r="E96" s="19"/>
      <c r="F96" s="42"/>
      <c r="G96" s="42"/>
      <c r="H96" s="42"/>
      <c r="I96" s="42"/>
      <c r="J96" s="42"/>
      <c r="K96" s="53"/>
      <c r="L96" s="44"/>
      <c r="M96" s="42"/>
      <c r="N96" s="52" t="str">
        <f t="shared" si="1"/>
        <v>(S05,'','','1900-01-00','1900-01-00',,,),</v>
      </c>
    </row>
    <row r="97" spans="1:14" ht="20.149999999999999" customHeight="1" x14ac:dyDescent="0.35">
      <c r="A97" s="39" t="s">
        <v>920</v>
      </c>
      <c r="B97" s="40"/>
      <c r="C97" s="52"/>
      <c r="D97" s="19"/>
      <c r="E97" s="19"/>
      <c r="F97" s="42"/>
      <c r="G97" s="42"/>
      <c r="H97" s="42"/>
      <c r="I97" s="42"/>
      <c r="J97" s="42"/>
      <c r="K97" s="53"/>
      <c r="L97" s="44"/>
      <c r="M97" s="42"/>
      <c r="N97" s="52" t="str">
        <f t="shared" si="1"/>
        <v>(S06,'','','1900-01-00','1900-01-00',,,),</v>
      </c>
    </row>
    <row r="98" spans="1:14" ht="20.149999999999999" customHeight="1" x14ac:dyDescent="0.35">
      <c r="A98" s="39" t="s">
        <v>921</v>
      </c>
      <c r="B98" s="40"/>
      <c r="C98" s="52"/>
      <c r="D98" s="19"/>
      <c r="E98" s="19"/>
      <c r="F98" s="42"/>
      <c r="G98" s="42"/>
      <c r="H98" s="42"/>
      <c r="I98" s="42"/>
      <c r="J98" s="42"/>
      <c r="K98" s="53"/>
      <c r="L98" s="44"/>
      <c r="M98" s="42"/>
      <c r="N98" s="52" t="str">
        <f t="shared" si="1"/>
        <v>(S07,'','','1900-01-00','1900-01-00',,,),</v>
      </c>
    </row>
    <row r="99" spans="1:14" ht="20.149999999999999" customHeight="1" x14ac:dyDescent="0.35">
      <c r="A99" s="39" t="s">
        <v>922</v>
      </c>
      <c r="B99" s="40"/>
      <c r="C99" s="52"/>
      <c r="D99" s="19"/>
      <c r="E99" s="19"/>
      <c r="F99" s="42"/>
      <c r="G99" s="42"/>
      <c r="H99" s="42"/>
      <c r="I99" s="42"/>
      <c r="J99" s="42"/>
      <c r="K99" s="53"/>
      <c r="L99" s="44"/>
      <c r="M99" s="42"/>
      <c r="N99" s="52" t="str">
        <f t="shared" si="1"/>
        <v>(S08,'','','1900-01-00','1900-01-00',,,),</v>
      </c>
    </row>
    <row r="100" spans="1:14" ht="20.149999999999999" customHeight="1" x14ac:dyDescent="0.35">
      <c r="A100" s="39" t="s">
        <v>923</v>
      </c>
      <c r="B100" s="40"/>
      <c r="C100" s="52"/>
      <c r="D100" s="19"/>
      <c r="E100" s="19"/>
      <c r="F100" s="42"/>
      <c r="G100" s="42"/>
      <c r="H100" s="42"/>
      <c r="I100" s="42"/>
      <c r="J100" s="42"/>
      <c r="K100" s="53"/>
      <c r="L100" s="44"/>
      <c r="M100" s="42"/>
      <c r="N100" s="52" t="str">
        <f t="shared" si="1"/>
        <v>(S09,'','','1900-01-00','1900-01-00',,,),</v>
      </c>
    </row>
    <row r="101" spans="1:14" ht="20.149999999999999" customHeight="1" x14ac:dyDescent="0.35">
      <c r="A101" s="39" t="s">
        <v>924</v>
      </c>
      <c r="B101" s="40"/>
      <c r="C101" s="52"/>
      <c r="D101" s="19"/>
      <c r="E101" s="19"/>
      <c r="F101" s="42"/>
      <c r="G101" s="42"/>
      <c r="H101" s="42"/>
      <c r="I101" s="42"/>
      <c r="J101" s="42"/>
      <c r="K101" s="53"/>
      <c r="L101" s="44"/>
      <c r="M101" s="42"/>
      <c r="N101" s="52" t="str">
        <f t="shared" si="1"/>
        <v>(S10,'','','1900-01-00','1900-01-00',,,),</v>
      </c>
    </row>
    <row r="102" spans="1:14" ht="20.149999999999999" customHeight="1" x14ac:dyDescent="0.35">
      <c r="A102" s="39" t="s">
        <v>925</v>
      </c>
      <c r="B102" s="40"/>
      <c r="C102" s="52"/>
      <c r="D102" s="19"/>
      <c r="E102" s="19"/>
      <c r="F102" s="42"/>
      <c r="G102" s="42"/>
      <c r="H102" s="42"/>
      <c r="I102" s="42"/>
      <c r="J102" s="42"/>
      <c r="K102" s="53"/>
      <c r="L102" s="44"/>
      <c r="M102" s="42"/>
      <c r="N102" s="52" t="str">
        <f t="shared" si="1"/>
        <v>(S11,'','','1900-01-00','1900-01-00',,,),</v>
      </c>
    </row>
    <row r="103" spans="1:14" ht="20.149999999999999" customHeight="1" x14ac:dyDescent="0.35">
      <c r="A103" s="39" t="s">
        <v>926</v>
      </c>
      <c r="B103" s="40"/>
      <c r="C103" s="52"/>
      <c r="D103" s="19"/>
      <c r="E103" s="19"/>
      <c r="F103" s="42"/>
      <c r="G103" s="42"/>
      <c r="H103" s="42"/>
      <c r="I103" s="42"/>
      <c r="J103" s="42"/>
      <c r="K103" s="53"/>
      <c r="L103" s="44"/>
      <c r="M103" s="42"/>
      <c r="N103" s="52" t="str">
        <f t="shared" si="1"/>
        <v>(S12,'','','1900-01-00','1900-01-00',,,),</v>
      </c>
    </row>
    <row r="104" spans="1:14" ht="20.149999999999999" customHeight="1" x14ac:dyDescent="0.35">
      <c r="A104" s="39" t="s">
        <v>927</v>
      </c>
      <c r="B104" s="40"/>
      <c r="C104" s="52"/>
      <c r="D104" s="19"/>
      <c r="E104" s="19"/>
      <c r="F104" s="42"/>
      <c r="G104" s="42"/>
      <c r="H104" s="42"/>
      <c r="I104" s="42"/>
      <c r="J104" s="42"/>
      <c r="K104" s="53"/>
      <c r="L104" s="44"/>
      <c r="M104" s="42"/>
      <c r="N104" s="52" t="str">
        <f t="shared" si="1"/>
        <v>(S13,'','','1900-01-00','1900-01-00',,,),</v>
      </c>
    </row>
    <row r="105" spans="1:14" ht="20.149999999999999" customHeight="1" x14ac:dyDescent="0.35">
      <c r="A105" s="39" t="s">
        <v>928</v>
      </c>
      <c r="B105" s="40"/>
      <c r="C105" s="52"/>
      <c r="D105" s="19"/>
      <c r="E105" s="19"/>
      <c r="F105" s="42"/>
      <c r="G105" s="42"/>
      <c r="H105" s="42"/>
      <c r="I105" s="42"/>
      <c r="J105" s="42"/>
      <c r="K105" s="53"/>
      <c r="L105" s="44"/>
      <c r="M105" s="42"/>
      <c r="N105" s="52" t="str">
        <f t="shared" si="1"/>
        <v>(S14,'','','1900-01-00','1900-01-00',,,),</v>
      </c>
    </row>
    <row r="106" spans="1:14" ht="20.149999999999999" customHeight="1" x14ac:dyDescent="0.35">
      <c r="A106" s="39" t="s">
        <v>929</v>
      </c>
      <c r="B106" s="40"/>
      <c r="C106" s="52"/>
      <c r="D106" s="19"/>
      <c r="E106" s="19"/>
      <c r="F106" s="42"/>
      <c r="G106" s="42"/>
      <c r="H106" s="42"/>
      <c r="I106" s="42"/>
      <c r="J106" s="42"/>
      <c r="K106" s="53"/>
      <c r="L106" s="44"/>
      <c r="M106" s="42"/>
      <c r="N106" s="52" t="str">
        <f t="shared" si="1"/>
        <v>(S15,'','','1900-01-00','1900-01-00',,,),</v>
      </c>
    </row>
    <row r="107" spans="1:14" ht="20.149999999999999" customHeight="1" x14ac:dyDescent="0.35">
      <c r="A107" s="39" t="s">
        <v>930</v>
      </c>
      <c r="B107" s="40"/>
      <c r="C107" s="52"/>
      <c r="D107" s="19"/>
      <c r="E107" s="19"/>
      <c r="F107" s="42"/>
      <c r="G107" s="42"/>
      <c r="H107" s="42"/>
      <c r="I107" s="42"/>
      <c r="J107" s="42"/>
      <c r="K107" s="53"/>
      <c r="L107" s="44"/>
      <c r="M107" s="42"/>
      <c r="N107" s="52" t="str">
        <f t="shared" si="1"/>
        <v>(S16,'','','1900-01-00','1900-01-00',,,),</v>
      </c>
    </row>
    <row r="108" spans="1:14" ht="20.149999999999999" customHeight="1" x14ac:dyDescent="0.35">
      <c r="A108" s="39" t="s">
        <v>931</v>
      </c>
      <c r="B108" s="40"/>
      <c r="C108" s="52"/>
      <c r="D108" s="19"/>
      <c r="E108" s="19"/>
      <c r="F108" s="42"/>
      <c r="G108" s="42"/>
      <c r="H108" s="42"/>
      <c r="I108" s="42"/>
      <c r="J108" s="42"/>
      <c r="K108" s="53"/>
      <c r="L108" s="44"/>
      <c r="M108" s="42"/>
      <c r="N108" s="52" t="str">
        <f t="shared" si="1"/>
        <v>(S17,'','','1900-01-00','1900-01-00',,,),</v>
      </c>
    </row>
    <row r="109" spans="1:14" ht="20.149999999999999" customHeight="1" x14ac:dyDescent="0.35">
      <c r="A109" s="39" t="s">
        <v>932</v>
      </c>
      <c r="B109" s="40"/>
      <c r="C109" s="52"/>
      <c r="D109" s="19"/>
      <c r="E109" s="19"/>
      <c r="F109" s="42"/>
      <c r="G109" s="42"/>
      <c r="H109" s="42"/>
      <c r="I109" s="42"/>
      <c r="J109" s="42"/>
      <c r="K109" s="53"/>
      <c r="L109" s="44"/>
      <c r="M109" s="42"/>
      <c r="N109" s="52" t="str">
        <f t="shared" si="1"/>
        <v>(S18,'','','1900-01-00','1900-01-00',,,),</v>
      </c>
    </row>
    <row r="110" spans="1:14" ht="20.149999999999999" customHeight="1" x14ac:dyDescent="0.35">
      <c r="A110" s="39" t="s">
        <v>933</v>
      </c>
      <c r="B110" s="40"/>
      <c r="C110" s="52"/>
      <c r="D110" s="19"/>
      <c r="E110" s="19"/>
      <c r="F110" s="42"/>
      <c r="G110" s="42"/>
      <c r="H110" s="42"/>
      <c r="I110" s="42"/>
      <c r="J110" s="42"/>
      <c r="K110" s="53"/>
      <c r="L110" s="44"/>
      <c r="M110" s="42"/>
      <c r="N110" s="52" t="str">
        <f t="shared" si="1"/>
        <v>(S19,'','','1900-01-00','1900-01-00',,,),</v>
      </c>
    </row>
    <row r="111" spans="1:14" ht="20.149999999999999" customHeight="1" x14ac:dyDescent="0.35">
      <c r="A111" s="39" t="s">
        <v>934</v>
      </c>
      <c r="B111" s="40"/>
      <c r="C111" s="52"/>
      <c r="D111" s="19"/>
      <c r="E111" s="19"/>
      <c r="F111" s="42"/>
      <c r="G111" s="42"/>
      <c r="H111" s="42"/>
      <c r="I111" s="42"/>
      <c r="J111" s="42"/>
      <c r="K111" s="53"/>
      <c r="L111" s="44"/>
      <c r="M111" s="42"/>
      <c r="N111" s="52" t="str">
        <f t="shared" si="1"/>
        <v>(S20,'','','1900-01-00','1900-01-00',,,),</v>
      </c>
    </row>
    <row r="112" spans="1:14" ht="20.149999999999999" customHeight="1" x14ac:dyDescent="0.35">
      <c r="A112" s="39" t="s">
        <v>935</v>
      </c>
      <c r="B112" s="40"/>
      <c r="C112" s="52"/>
      <c r="D112" s="19"/>
      <c r="E112" s="19"/>
      <c r="F112" s="42"/>
      <c r="G112" s="42"/>
      <c r="H112" s="42"/>
      <c r="I112" s="42"/>
      <c r="J112" s="42"/>
      <c r="K112" s="53"/>
      <c r="L112" s="44"/>
      <c r="M112" s="42"/>
      <c r="N112" s="52" t="str">
        <f t="shared" si="1"/>
        <v>(S21,'','','1900-01-00','1900-01-00',,,),</v>
      </c>
    </row>
    <row r="113" spans="1:14" ht="20.149999999999999" customHeight="1" x14ac:dyDescent="0.35">
      <c r="A113" s="39" t="s">
        <v>936</v>
      </c>
      <c r="B113" s="40"/>
      <c r="C113" s="52"/>
      <c r="D113" s="19"/>
      <c r="E113" s="19"/>
      <c r="F113" s="42"/>
      <c r="G113" s="42"/>
      <c r="H113" s="42"/>
      <c r="I113" s="42"/>
      <c r="J113" s="42"/>
      <c r="K113" s="53"/>
      <c r="L113" s="44"/>
      <c r="M113" s="42"/>
      <c r="N113" s="52" t="str">
        <f t="shared" si="1"/>
        <v>(S22,'','','1900-01-00','1900-01-00',,,),</v>
      </c>
    </row>
    <row r="114" spans="1:14" ht="20.149999999999999" customHeight="1" x14ac:dyDescent="0.35">
      <c r="A114" s="39">
        <v>1</v>
      </c>
      <c r="B114" s="40"/>
      <c r="C114" s="52"/>
      <c r="D114" s="19"/>
      <c r="E114" s="19"/>
      <c r="F114" s="42"/>
      <c r="G114" s="42"/>
      <c r="H114" s="42"/>
      <c r="I114" s="42"/>
      <c r="J114" s="42"/>
      <c r="K114" s="53"/>
      <c r="L114" s="44"/>
      <c r="M114" s="42"/>
      <c r="N114" s="52" t="str">
        <f t="shared" si="1"/>
        <v>(1,'','','1900-01-00','1900-01-00',,,),</v>
      </c>
    </row>
    <row r="115" spans="1:14" ht="20.149999999999999" customHeight="1" x14ac:dyDescent="0.35">
      <c r="A115" s="39">
        <v>2</v>
      </c>
      <c r="B115" s="40"/>
      <c r="C115" s="52"/>
      <c r="D115" s="19"/>
      <c r="E115" s="19"/>
      <c r="F115" s="42"/>
      <c r="G115" s="42"/>
      <c r="H115" s="42"/>
      <c r="I115" s="42"/>
      <c r="J115" s="42"/>
      <c r="K115" s="53"/>
      <c r="L115" s="44"/>
      <c r="M115" s="42"/>
      <c r="N115" s="52" t="str">
        <f t="shared" si="1"/>
        <v>(2,'','','1900-01-00','1900-01-00',,,),</v>
      </c>
    </row>
    <row r="116" spans="1:14" ht="20.149999999999999" customHeight="1" x14ac:dyDescent="0.35">
      <c r="A116" s="39">
        <v>3</v>
      </c>
      <c r="B116" s="40"/>
      <c r="C116" s="52"/>
      <c r="D116" s="19"/>
      <c r="E116" s="19"/>
      <c r="F116" s="42"/>
      <c r="G116" s="42"/>
      <c r="H116" s="42"/>
      <c r="I116" s="42"/>
      <c r="J116" s="42"/>
      <c r="K116" s="53"/>
      <c r="L116" s="44"/>
      <c r="M116" s="42"/>
      <c r="N116" s="52" t="str">
        <f t="shared" si="1"/>
        <v>(3,'','','1900-01-00','1900-01-00',,,),</v>
      </c>
    </row>
    <row r="117" spans="1:14" ht="20.149999999999999" customHeight="1" x14ac:dyDescent="0.35">
      <c r="A117" s="39">
        <v>4</v>
      </c>
      <c r="B117" s="40"/>
      <c r="C117" s="52"/>
      <c r="D117" s="19"/>
      <c r="E117" s="19"/>
      <c r="F117" s="42"/>
      <c r="G117" s="42"/>
      <c r="H117" s="42"/>
      <c r="I117" s="42"/>
      <c r="J117" s="42"/>
      <c r="K117" s="53"/>
      <c r="L117" s="44"/>
      <c r="M117" s="42"/>
      <c r="N117" s="52" t="str">
        <f t="shared" si="1"/>
        <v>(4,'','','1900-01-00','1900-01-00',,,),</v>
      </c>
    </row>
    <row r="118" spans="1:14" ht="20.149999999999999" customHeight="1" x14ac:dyDescent="0.35">
      <c r="A118" s="39">
        <v>5</v>
      </c>
      <c r="B118" s="40"/>
      <c r="C118" s="52"/>
      <c r="D118" s="19"/>
      <c r="E118" s="19"/>
      <c r="F118" s="42"/>
      <c r="G118" s="42"/>
      <c r="H118" s="42"/>
      <c r="I118" s="42"/>
      <c r="J118" s="42"/>
      <c r="K118" s="53"/>
      <c r="L118" s="44"/>
      <c r="M118" s="42"/>
      <c r="N118" s="52" t="str">
        <f t="shared" si="1"/>
        <v>(5,'','','1900-01-00','1900-01-00',,,),</v>
      </c>
    </row>
    <row r="119" spans="1:14" ht="20.149999999999999" customHeight="1" x14ac:dyDescent="0.35">
      <c r="A119" s="39">
        <v>6</v>
      </c>
      <c r="B119" s="40"/>
      <c r="C119" s="52"/>
      <c r="D119" s="19"/>
      <c r="E119" s="19"/>
      <c r="F119" s="42"/>
      <c r="G119" s="42"/>
      <c r="H119" s="42"/>
      <c r="I119" s="42"/>
      <c r="J119" s="42"/>
      <c r="K119" s="53"/>
      <c r="L119" s="44"/>
      <c r="M119" s="42"/>
      <c r="N119" s="52" t="str">
        <f t="shared" si="1"/>
        <v>(6,'','','1900-01-00','1900-01-00',,,),</v>
      </c>
    </row>
    <row r="120" spans="1:14" ht="20.149999999999999" customHeight="1" x14ac:dyDescent="0.35">
      <c r="A120" s="39">
        <v>7</v>
      </c>
      <c r="B120" s="40"/>
      <c r="C120" s="52"/>
      <c r="D120" s="19"/>
      <c r="E120" s="19"/>
      <c r="F120" s="42"/>
      <c r="G120" s="42"/>
      <c r="H120" s="42"/>
      <c r="I120" s="42"/>
      <c r="J120" s="42"/>
      <c r="K120" s="53"/>
      <c r="L120" s="44"/>
      <c r="M120" s="42"/>
      <c r="N120" s="52" t="str">
        <f t="shared" si="1"/>
        <v>(7,'','','1900-01-00','1900-01-00',,,),</v>
      </c>
    </row>
    <row r="121" spans="1:14" ht="20.149999999999999" customHeight="1" x14ac:dyDescent="0.35">
      <c r="A121" s="39">
        <v>1</v>
      </c>
      <c r="B121" s="40"/>
      <c r="C121" s="52"/>
      <c r="D121" s="19"/>
      <c r="E121" s="19"/>
      <c r="F121" s="42"/>
      <c r="G121" s="42"/>
      <c r="H121" s="42"/>
      <c r="I121" s="42"/>
      <c r="J121" s="42"/>
      <c r="K121" s="53"/>
      <c r="L121" s="44"/>
      <c r="M121" s="42"/>
      <c r="N121" s="52" t="str">
        <f t="shared" si="1"/>
        <v>(1,'','','1900-01-00','1900-01-00',,,),</v>
      </c>
    </row>
    <row r="122" spans="1:14" ht="20.149999999999999" customHeight="1" x14ac:dyDescent="0.35">
      <c r="A122" s="39">
        <v>2</v>
      </c>
      <c r="B122" s="40"/>
      <c r="C122" s="52"/>
      <c r="D122" s="19"/>
      <c r="E122" s="19"/>
      <c r="F122" s="42"/>
      <c r="G122" s="42"/>
      <c r="H122" s="42"/>
      <c r="I122" s="42"/>
      <c r="J122" s="42"/>
      <c r="K122" s="53"/>
      <c r="L122" s="44"/>
      <c r="M122" s="42"/>
      <c r="N122" s="52" t="str">
        <f t="shared" si="1"/>
        <v>(2,'','','1900-01-00','1900-01-00',,,),</v>
      </c>
    </row>
    <row r="123" spans="1:14" ht="20.149999999999999" customHeight="1" x14ac:dyDescent="0.35">
      <c r="A123" s="39">
        <v>3</v>
      </c>
      <c r="B123" s="40"/>
      <c r="C123" s="52"/>
      <c r="D123" s="19"/>
      <c r="E123" s="19"/>
      <c r="F123" s="42"/>
      <c r="G123" s="42"/>
      <c r="H123" s="42"/>
      <c r="I123" s="42"/>
      <c r="J123" s="42"/>
      <c r="K123" s="53"/>
      <c r="L123" s="44"/>
      <c r="M123" s="42"/>
      <c r="N123" s="52" t="str">
        <f t="shared" si="1"/>
        <v>(3,'','','1900-01-00','1900-01-00',,,),</v>
      </c>
    </row>
    <row r="124" spans="1:14" ht="20.149999999999999" customHeight="1" x14ac:dyDescent="0.35">
      <c r="A124" s="39">
        <v>4</v>
      </c>
      <c r="B124" s="40"/>
      <c r="C124" s="52"/>
      <c r="D124" s="19"/>
      <c r="E124" s="19"/>
      <c r="F124" s="42"/>
      <c r="G124" s="42"/>
      <c r="H124" s="42"/>
      <c r="I124" s="42"/>
      <c r="J124" s="42"/>
      <c r="K124" s="53"/>
      <c r="L124" s="44"/>
      <c r="M124" s="42"/>
      <c r="N124" s="52" t="str">
        <f t="shared" si="1"/>
        <v>(4,'','','1900-01-00','1900-01-00',,,),</v>
      </c>
    </row>
    <row r="125" spans="1:14" ht="20.149999999999999" customHeight="1" x14ac:dyDescent="0.35">
      <c r="A125" s="39">
        <v>5</v>
      </c>
      <c r="B125" s="40"/>
      <c r="C125" s="52"/>
      <c r="D125" s="19"/>
      <c r="E125" s="19"/>
      <c r="F125" s="42"/>
      <c r="G125" s="42"/>
      <c r="H125" s="42"/>
      <c r="I125" s="42"/>
      <c r="J125" s="42"/>
      <c r="K125" s="53"/>
      <c r="L125" s="44"/>
      <c r="M125" s="42"/>
      <c r="N125" s="52" t="str">
        <f t="shared" si="1"/>
        <v>(5,'','','1900-01-00','1900-01-00',,,),</v>
      </c>
    </row>
    <row r="126" spans="1:14" ht="20.149999999999999" customHeight="1" x14ac:dyDescent="0.35">
      <c r="A126" s="39">
        <v>6</v>
      </c>
      <c r="B126" s="40"/>
      <c r="C126" s="52"/>
      <c r="D126" s="19"/>
      <c r="E126" s="19"/>
      <c r="F126" s="42"/>
      <c r="G126" s="42"/>
      <c r="H126" s="42"/>
      <c r="I126" s="42"/>
      <c r="J126" s="42"/>
      <c r="K126" s="53"/>
      <c r="L126" s="44"/>
      <c r="M126" s="42"/>
      <c r="N126" s="52" t="str">
        <f t="shared" si="1"/>
        <v>(6,'','','1900-01-00','1900-01-00',,,),</v>
      </c>
    </row>
    <row r="127" spans="1:14" ht="20.149999999999999" customHeight="1" x14ac:dyDescent="0.35">
      <c r="A127" s="39">
        <v>7</v>
      </c>
      <c r="B127" s="40"/>
      <c r="C127" s="52"/>
      <c r="D127" s="19"/>
      <c r="E127" s="19"/>
      <c r="F127" s="42"/>
      <c r="G127" s="42"/>
      <c r="H127" s="42"/>
      <c r="I127" s="42"/>
      <c r="J127" s="42"/>
      <c r="K127" s="53"/>
      <c r="L127" s="44"/>
      <c r="M127" s="42"/>
      <c r="N127" s="52" t="str">
        <f t="shared" si="1"/>
        <v>(7,'','','1900-01-00','1900-01-00',,,),</v>
      </c>
    </row>
    <row r="128" spans="1:14" ht="20.149999999999999" customHeight="1" x14ac:dyDescent="0.35">
      <c r="A128" s="39">
        <v>1</v>
      </c>
      <c r="B128" s="40"/>
      <c r="C128" s="52"/>
      <c r="D128" s="19"/>
      <c r="E128" s="19"/>
      <c r="F128" s="42"/>
      <c r="G128" s="42"/>
      <c r="H128" s="42"/>
      <c r="I128" s="42"/>
      <c r="J128" s="42"/>
      <c r="K128" s="53"/>
      <c r="L128" s="44"/>
      <c r="M128" s="42"/>
      <c r="N128" s="52" t="str">
        <f t="shared" si="1"/>
        <v>(1,'','','1900-01-00','1900-01-00',,,),</v>
      </c>
    </row>
    <row r="129" spans="1:14" ht="20.149999999999999" customHeight="1" x14ac:dyDescent="0.35">
      <c r="A129" s="39">
        <v>2</v>
      </c>
      <c r="B129" s="40"/>
      <c r="C129" s="52"/>
      <c r="D129" s="19"/>
      <c r="E129" s="19"/>
      <c r="F129" s="42"/>
      <c r="G129" s="42"/>
      <c r="H129" s="42"/>
      <c r="I129" s="42"/>
      <c r="J129" s="42"/>
      <c r="K129" s="53"/>
      <c r="L129" s="44"/>
      <c r="M129" s="42"/>
      <c r="N129" s="52" t="str">
        <f t="shared" si="1"/>
        <v>(2,'','','1900-01-00','1900-01-00',,,),</v>
      </c>
    </row>
    <row r="130" spans="1:14" ht="20.149999999999999" customHeight="1" x14ac:dyDescent="0.35">
      <c r="A130" s="39">
        <v>3</v>
      </c>
      <c r="B130" s="40"/>
      <c r="C130" s="52"/>
      <c r="D130" s="19"/>
      <c r="E130" s="19"/>
      <c r="F130" s="42"/>
      <c r="G130" s="42"/>
      <c r="H130" s="42"/>
      <c r="I130" s="42"/>
      <c r="J130" s="42"/>
      <c r="K130" s="53"/>
      <c r="L130" s="44"/>
      <c r="M130" s="42"/>
      <c r="N130" s="52" t="str">
        <f t="shared" si="1"/>
        <v>(3,'','','1900-01-00','1900-01-00',,,),</v>
      </c>
    </row>
    <row r="131" spans="1:14" ht="20.149999999999999" customHeight="1" x14ac:dyDescent="0.35">
      <c r="A131" s="39">
        <v>4</v>
      </c>
      <c r="B131" s="40"/>
      <c r="C131" s="52"/>
      <c r="D131" s="19"/>
      <c r="E131" s="19"/>
      <c r="F131" s="42"/>
      <c r="G131" s="42"/>
      <c r="H131" s="42"/>
      <c r="I131" s="42"/>
      <c r="J131" s="42"/>
      <c r="K131" s="53"/>
      <c r="L131" s="44"/>
      <c r="M131" s="42"/>
      <c r="N131" s="52" t="str">
        <f t="shared" ref="N131:N194" si="2">CONCATENATE("(",A131,",'",B131,"','",C131,"','",TEXT(D131,"aaaa-mm-jj"),"','",TEXT(E131,"aaaa-mm-jj"),"',",F131,",",G131,",",H131,"),")</f>
        <v>(4,'','','1900-01-00','1900-01-00',,,),</v>
      </c>
    </row>
    <row r="132" spans="1:14" ht="20.149999999999999" customHeight="1" x14ac:dyDescent="0.35">
      <c r="A132" s="39">
        <v>1</v>
      </c>
      <c r="B132" s="40"/>
      <c r="C132" s="52"/>
      <c r="D132" s="19"/>
      <c r="E132" s="19"/>
      <c r="F132" s="42"/>
      <c r="G132" s="42"/>
      <c r="H132" s="42"/>
      <c r="I132" s="42"/>
      <c r="J132" s="42"/>
      <c r="K132" s="53"/>
      <c r="L132" s="44"/>
      <c r="M132" s="42"/>
      <c r="N132" s="52" t="str">
        <f t="shared" si="2"/>
        <v>(1,'','','1900-01-00','1900-01-00',,,),</v>
      </c>
    </row>
    <row r="133" spans="1:14" ht="20.149999999999999" customHeight="1" x14ac:dyDescent="0.35">
      <c r="A133" s="39">
        <v>2</v>
      </c>
      <c r="B133" s="40"/>
      <c r="C133" s="52"/>
      <c r="D133" s="19"/>
      <c r="E133" s="19"/>
      <c r="F133" s="42"/>
      <c r="G133" s="42"/>
      <c r="H133" s="42"/>
      <c r="I133" s="42"/>
      <c r="J133" s="42"/>
      <c r="K133" s="53"/>
      <c r="L133" s="44"/>
      <c r="M133" s="42"/>
      <c r="N133" s="52" t="str">
        <f t="shared" si="2"/>
        <v>(2,'','','1900-01-00','1900-01-00',,,),</v>
      </c>
    </row>
    <row r="134" spans="1:14" ht="20.149999999999999" customHeight="1" x14ac:dyDescent="0.35">
      <c r="A134" s="39">
        <v>3</v>
      </c>
      <c r="B134" s="40"/>
      <c r="C134" s="52"/>
      <c r="D134" s="19"/>
      <c r="E134" s="19"/>
      <c r="F134" s="42"/>
      <c r="G134" s="42"/>
      <c r="H134" s="42"/>
      <c r="I134" s="42"/>
      <c r="J134" s="42"/>
      <c r="K134" s="53"/>
      <c r="L134" s="44"/>
      <c r="M134" s="42"/>
      <c r="N134" s="52" t="str">
        <f t="shared" si="2"/>
        <v>(3,'','','1900-01-00','1900-01-00',,,),</v>
      </c>
    </row>
    <row r="135" spans="1:14" ht="20.149999999999999" customHeight="1" x14ac:dyDescent="0.35">
      <c r="A135" s="39">
        <v>4</v>
      </c>
      <c r="B135" s="40"/>
      <c r="C135" s="52"/>
      <c r="D135" s="19"/>
      <c r="E135" s="19"/>
      <c r="F135" s="42"/>
      <c r="G135" s="42"/>
      <c r="H135" s="42"/>
      <c r="I135" s="42"/>
      <c r="J135" s="42"/>
      <c r="K135" s="53"/>
      <c r="L135" s="44"/>
      <c r="M135" s="42"/>
      <c r="N135" s="52" t="str">
        <f t="shared" si="2"/>
        <v>(4,'','','1900-01-00','1900-01-00',,,),</v>
      </c>
    </row>
    <row r="136" spans="1:14" ht="20.149999999999999" customHeight="1" x14ac:dyDescent="0.35">
      <c r="A136" s="39">
        <v>5</v>
      </c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 t="str">
        <f t="shared" si="2"/>
        <v>(5,'','','1900-01-00','1900-01-00',,,),</v>
      </c>
    </row>
    <row r="137" spans="1:14" ht="20.149999999999999" customHeight="1" x14ac:dyDescent="0.35">
      <c r="A137" s="39">
        <v>6</v>
      </c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si="2"/>
        <v>(6,'','','1900-01-00','1900-01-00',,,),</v>
      </c>
    </row>
    <row r="138" spans="1:14" ht="20.149999999999999" customHeight="1" x14ac:dyDescent="0.35">
      <c r="A138" s="39">
        <v>7</v>
      </c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2"/>
        <v>(7,'','','1900-01-00','1900-01-00',,,),</v>
      </c>
    </row>
    <row r="139" spans="1:14" ht="20.149999999999999" customHeight="1" x14ac:dyDescent="0.35">
      <c r="A139" s="39">
        <v>8</v>
      </c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2"/>
        <v>(8,'','','1900-01-00','1900-01-00',,,),</v>
      </c>
    </row>
    <row r="140" spans="1:14" ht="20.149999999999999" customHeight="1" x14ac:dyDescent="0.35">
      <c r="A140" s="39">
        <v>9</v>
      </c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2"/>
        <v>(9,'','','1900-01-00','1900-01-00',,,),</v>
      </c>
    </row>
    <row r="141" spans="1:14" ht="20.149999999999999" customHeight="1" x14ac:dyDescent="0.35">
      <c r="A141" s="39">
        <v>10</v>
      </c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2"/>
        <v>(10,'','','1900-01-00','1900-01-00',,,),</v>
      </c>
    </row>
    <row r="142" spans="1:14" ht="20.149999999999999" customHeight="1" x14ac:dyDescent="0.35">
      <c r="A142" s="39">
        <v>1</v>
      </c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2"/>
        <v>(1,'','','1900-01-00','1900-01-00',,,),</v>
      </c>
    </row>
    <row r="143" spans="1:14" ht="20.149999999999999" customHeight="1" x14ac:dyDescent="0.35">
      <c r="A143" s="39">
        <v>2</v>
      </c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2"/>
        <v>(2,'','','1900-01-00','1900-01-00',,,),</v>
      </c>
    </row>
    <row r="144" spans="1:14" ht="20.149999999999999" customHeight="1" x14ac:dyDescent="0.3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2"/>
        <v>(,'','','1900-01-00','1900-01-00',,,),</v>
      </c>
    </row>
    <row r="145" spans="1:14" ht="20.149999999999999" customHeight="1" x14ac:dyDescent="0.3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2"/>
        <v>(,'','','1900-01-00','1900-01-00',,,),</v>
      </c>
    </row>
    <row r="146" spans="1:14" ht="20.149999999999999" customHeight="1" x14ac:dyDescent="0.3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2"/>
        <v>(,'','','1900-01-00','1900-01-00',,,),</v>
      </c>
    </row>
    <row r="147" spans="1:14" ht="20.149999999999999" customHeight="1" x14ac:dyDescent="0.3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2"/>
        <v>(,'','','1900-01-00','1900-01-00',,,),</v>
      </c>
    </row>
    <row r="148" spans="1:14" ht="20.149999999999999" customHeight="1" x14ac:dyDescent="0.3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2"/>
        <v>(,'','','1900-01-00','1900-01-00',,,),</v>
      </c>
    </row>
    <row r="149" spans="1:14" ht="20.149999999999999" customHeight="1" x14ac:dyDescent="0.3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2"/>
        <v>(,'','','1900-01-00','1900-01-00',,,),</v>
      </c>
    </row>
    <row r="150" spans="1:14" ht="20.149999999999999" customHeight="1" x14ac:dyDescent="0.3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2"/>
        <v>(,'','','1900-01-00','1900-01-00',,,),</v>
      </c>
    </row>
    <row r="151" spans="1:14" ht="20.149999999999999" customHeight="1" x14ac:dyDescent="0.3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2"/>
        <v>(,'','','1900-01-00','1900-01-00',,,),</v>
      </c>
    </row>
    <row r="152" spans="1:14" ht="20.149999999999999" customHeight="1" x14ac:dyDescent="0.3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2"/>
        <v>(,'','','1900-01-00','1900-01-00',,,),</v>
      </c>
    </row>
    <row r="153" spans="1:14" ht="20.149999999999999" customHeight="1" x14ac:dyDescent="0.3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2"/>
        <v>(,'','','1900-01-00','1900-01-00',,,),</v>
      </c>
    </row>
    <row r="154" spans="1:14" ht="20.149999999999999" customHeight="1" x14ac:dyDescent="0.3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2"/>
        <v>(,'','','1900-01-00','1900-01-00',,,),</v>
      </c>
    </row>
    <row r="155" spans="1:14" ht="20.149999999999999" customHeight="1" x14ac:dyDescent="0.3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2"/>
        <v>(,'','','1900-01-00','1900-01-00',,,),</v>
      </c>
    </row>
    <row r="156" spans="1:14" ht="20.149999999999999" customHeight="1" x14ac:dyDescent="0.3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2"/>
        <v>(,'','','1900-01-00','1900-01-00',,,),</v>
      </c>
    </row>
    <row r="157" spans="1:14" ht="20.149999999999999" customHeight="1" x14ac:dyDescent="0.3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2"/>
        <v>(,'','','1900-01-00','1900-01-00',,,),</v>
      </c>
    </row>
    <row r="158" spans="1:14" ht="20.149999999999999" customHeight="1" x14ac:dyDescent="0.3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2"/>
        <v>(,'','','1900-01-00','1900-01-00',,,),</v>
      </c>
    </row>
    <row r="159" spans="1:14" ht="20.149999999999999" customHeight="1" x14ac:dyDescent="0.3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2"/>
        <v>(,'','','1900-01-00','1900-01-00',,,),</v>
      </c>
    </row>
    <row r="160" spans="1:14" ht="20.149999999999999" customHeight="1" x14ac:dyDescent="0.3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2"/>
        <v>(,'','','1900-01-00','1900-01-00',,,),</v>
      </c>
    </row>
    <row r="161" spans="1:14" ht="20.149999999999999" customHeight="1" x14ac:dyDescent="0.3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2"/>
        <v>(,'','','1900-01-00','1900-01-00',,,),</v>
      </c>
    </row>
    <row r="162" spans="1:14" ht="20.149999999999999" customHeight="1" x14ac:dyDescent="0.3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2"/>
        <v>(,'','','1900-01-00','1900-01-00',,,),</v>
      </c>
    </row>
    <row r="163" spans="1:14" ht="20.149999999999999" customHeight="1" x14ac:dyDescent="0.3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2"/>
        <v>(,'','','1900-01-00','1900-01-00',,,),</v>
      </c>
    </row>
    <row r="164" spans="1:14" ht="20.149999999999999" customHeight="1" x14ac:dyDescent="0.3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2"/>
        <v>(,'','','1900-01-00','1900-01-00',,,),</v>
      </c>
    </row>
    <row r="165" spans="1:14" ht="20.149999999999999" customHeight="1" x14ac:dyDescent="0.3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2"/>
        <v>(,'','','1900-01-00','1900-01-00',,,),</v>
      </c>
    </row>
    <row r="166" spans="1:14" ht="20.149999999999999" customHeight="1" x14ac:dyDescent="0.3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2"/>
        <v>(,'','','1900-01-00','1900-01-00',,,),</v>
      </c>
    </row>
    <row r="167" spans="1:14" ht="20.149999999999999" customHeight="1" x14ac:dyDescent="0.3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2"/>
        <v>(,'','','1900-01-00','1900-01-00',,,),</v>
      </c>
    </row>
    <row r="168" spans="1:14" ht="20.149999999999999" customHeight="1" x14ac:dyDescent="0.3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2"/>
        <v>(,'','','1900-01-00','1900-01-00',,,),</v>
      </c>
    </row>
    <row r="169" spans="1:14" ht="20.149999999999999" customHeight="1" x14ac:dyDescent="0.3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2"/>
        <v>(,'','','1900-01-00','1900-01-00',,,),</v>
      </c>
    </row>
    <row r="170" spans="1:14" ht="20.149999999999999" customHeight="1" x14ac:dyDescent="0.3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2"/>
        <v>(,'','','1900-01-00','1900-01-00',,,),</v>
      </c>
    </row>
    <row r="171" spans="1:14" ht="20.149999999999999" customHeight="1" x14ac:dyDescent="0.3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2"/>
        <v>(,'','','1900-01-00','1900-01-00',,,),</v>
      </c>
    </row>
    <row r="172" spans="1:14" ht="20.149999999999999" customHeight="1" x14ac:dyDescent="0.3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2"/>
        <v>(,'','','1900-01-00','1900-01-00',,,),</v>
      </c>
    </row>
    <row r="173" spans="1:14" ht="20.149999999999999" customHeight="1" x14ac:dyDescent="0.3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2"/>
        <v>(,'','','1900-01-00','1900-01-00',,,),</v>
      </c>
    </row>
    <row r="174" spans="1:14" ht="20.149999999999999" customHeight="1" x14ac:dyDescent="0.3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2"/>
        <v>(,'','','1900-01-00','1900-01-00',,,),</v>
      </c>
    </row>
    <row r="175" spans="1:14" ht="20.149999999999999" customHeight="1" x14ac:dyDescent="0.3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2"/>
        <v>(,'','','1900-01-00','1900-01-00',,,),</v>
      </c>
    </row>
    <row r="176" spans="1:14" ht="20.149999999999999" customHeight="1" x14ac:dyDescent="0.3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2"/>
        <v>(,'','','1900-01-00','1900-01-00',,,),</v>
      </c>
    </row>
    <row r="177" spans="1:14" ht="20.149999999999999" customHeight="1" x14ac:dyDescent="0.3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2"/>
        <v>(,'','','1900-01-00','1900-01-00',,,),</v>
      </c>
    </row>
    <row r="178" spans="1:14" ht="20.149999999999999" customHeight="1" x14ac:dyDescent="0.3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2"/>
        <v>(,'','','1900-01-00','1900-01-00',,,),</v>
      </c>
    </row>
    <row r="179" spans="1:14" ht="20.149999999999999" customHeight="1" x14ac:dyDescent="0.3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2"/>
        <v>(,'','','1900-01-00','1900-01-00',,,),</v>
      </c>
    </row>
    <row r="180" spans="1:14" ht="20.149999999999999" customHeight="1" x14ac:dyDescent="0.3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2"/>
        <v>(,'','','1900-01-00','1900-01-00',,,),</v>
      </c>
    </row>
    <row r="181" spans="1:14" ht="20.149999999999999" customHeight="1" x14ac:dyDescent="0.3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2"/>
        <v>(,'','','1900-01-00','1900-01-00',,,),</v>
      </c>
    </row>
    <row r="182" spans="1:14" ht="20.149999999999999" customHeight="1" x14ac:dyDescent="0.3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2"/>
        <v>(,'','','1900-01-00','1900-01-00',,,),</v>
      </c>
    </row>
    <row r="183" spans="1:14" ht="20.149999999999999" customHeight="1" x14ac:dyDescent="0.3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2"/>
        <v>(,'','','1900-01-00','1900-01-00',,,),</v>
      </c>
    </row>
    <row r="184" spans="1:14" ht="20.149999999999999" customHeight="1" x14ac:dyDescent="0.3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2"/>
        <v>(,'','','1900-01-00','1900-01-00',,,),</v>
      </c>
    </row>
    <row r="185" spans="1:14" ht="20.149999999999999" customHeight="1" x14ac:dyDescent="0.3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2"/>
        <v>(,'','','1900-01-00','1900-01-00',,,),</v>
      </c>
    </row>
    <row r="186" spans="1:14" ht="20.149999999999999" customHeight="1" x14ac:dyDescent="0.3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2"/>
        <v>(,'','','1900-01-00','1900-01-00',,,),</v>
      </c>
    </row>
    <row r="187" spans="1:14" ht="20.149999999999999" customHeight="1" x14ac:dyDescent="0.3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2"/>
        <v>(,'','','1900-01-00','1900-01-00',,,),</v>
      </c>
    </row>
    <row r="188" spans="1:14" ht="20.149999999999999" customHeight="1" x14ac:dyDescent="0.3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2"/>
        <v>(,'','','1900-01-00','1900-01-00',,,),</v>
      </c>
    </row>
    <row r="189" spans="1:14" ht="20.149999999999999" customHeight="1" x14ac:dyDescent="0.3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2"/>
        <v>(,'','','1900-01-00','1900-01-00',,,),</v>
      </c>
    </row>
    <row r="190" spans="1:14" ht="20.149999999999999" customHeight="1" x14ac:dyDescent="0.3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2"/>
        <v>(,'','','1900-01-00','1900-01-00',,,),</v>
      </c>
    </row>
    <row r="191" spans="1:14" ht="20.149999999999999" customHeight="1" x14ac:dyDescent="0.3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2"/>
        <v>(,'','','1900-01-00','1900-01-00',,,),</v>
      </c>
    </row>
    <row r="192" spans="1:14" ht="20.149999999999999" customHeight="1" x14ac:dyDescent="0.3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2"/>
        <v>(,'','','1900-01-00','1900-01-00',,,),</v>
      </c>
    </row>
    <row r="193" spans="1:14" ht="20.149999999999999" customHeight="1" x14ac:dyDescent="0.3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2"/>
        <v>(,'','','1900-01-00','1900-01-00',,,),</v>
      </c>
    </row>
    <row r="194" spans="1:14" ht="20.149999999999999" customHeight="1" x14ac:dyDescent="0.3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2"/>
        <v>(,'','','1900-01-00','1900-01-00',,,),</v>
      </c>
    </row>
    <row r="195" spans="1:14" ht="20.149999999999999" customHeight="1" x14ac:dyDescent="0.3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58" si="3">CONCATENATE("(",A195,",'",B195,"','",C195,"','",TEXT(D195,"aaaa-mm-jj"),"','",TEXT(E195,"aaaa-mm-jj"),"',",F195,",",G195,",",H195,"),")</f>
        <v>(,'','','1900-01-00','1900-01-00',,,),</v>
      </c>
    </row>
    <row r="196" spans="1:14" ht="20.149999999999999" customHeight="1" x14ac:dyDescent="0.3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3"/>
        <v>(,'','','1900-01-00','1900-01-00',,,),</v>
      </c>
    </row>
    <row r="197" spans="1:14" ht="20.149999999999999" customHeight="1" x14ac:dyDescent="0.3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3"/>
        <v>(,'','','1900-01-00','1900-01-00',,,),</v>
      </c>
    </row>
    <row r="198" spans="1:14" ht="20.149999999999999" customHeight="1" x14ac:dyDescent="0.3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3"/>
        <v>(,'','','1900-01-00','1900-01-00',,,),</v>
      </c>
    </row>
    <row r="199" spans="1:14" ht="20.149999999999999" customHeight="1" x14ac:dyDescent="0.3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3"/>
        <v>(,'','','1900-01-00','1900-01-00',,,),</v>
      </c>
    </row>
    <row r="200" spans="1:14" ht="20.149999999999999" customHeight="1" x14ac:dyDescent="0.3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3"/>
        <v>(,'','','1900-01-00','1900-01-00',,,),</v>
      </c>
    </row>
    <row r="201" spans="1:14" ht="20.149999999999999" customHeight="1" x14ac:dyDescent="0.3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3"/>
        <v>(,'','','1900-01-00','1900-01-00',,,),</v>
      </c>
    </row>
    <row r="202" spans="1:14" ht="20.149999999999999" customHeight="1" x14ac:dyDescent="0.3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3"/>
        <v>(,'','','1900-01-00','1900-01-00',,,),</v>
      </c>
    </row>
    <row r="203" spans="1:14" ht="20.149999999999999" customHeight="1" x14ac:dyDescent="0.3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3"/>
        <v>(,'','','1900-01-00','1900-01-00',,,),</v>
      </c>
    </row>
    <row r="204" spans="1:14" ht="20.149999999999999" customHeight="1" x14ac:dyDescent="0.3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3"/>
        <v>(,'','','1900-01-00','1900-01-00',,,),</v>
      </c>
    </row>
    <row r="205" spans="1:14" ht="20.149999999999999" customHeight="1" x14ac:dyDescent="0.3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3"/>
        <v>(,'','','1900-01-00','1900-01-00',,,),</v>
      </c>
    </row>
    <row r="206" spans="1:14" ht="20.149999999999999" customHeight="1" x14ac:dyDescent="0.3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3"/>
        <v>(,'','','1900-01-00','1900-01-00',,,),</v>
      </c>
    </row>
    <row r="207" spans="1:14" ht="20.149999999999999" customHeight="1" x14ac:dyDescent="0.3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3"/>
        <v>(,'','','1900-01-00','1900-01-00',,,),</v>
      </c>
    </row>
    <row r="208" spans="1:14" ht="20.149999999999999" customHeight="1" x14ac:dyDescent="0.3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3"/>
        <v>(,'','','1900-01-00','1900-01-00',,,),</v>
      </c>
    </row>
    <row r="209" spans="1:14" ht="20.149999999999999" customHeight="1" x14ac:dyDescent="0.3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3"/>
        <v>(,'','','1900-01-00','1900-01-00',,,),</v>
      </c>
    </row>
    <row r="210" spans="1:14" ht="20.149999999999999" customHeight="1" x14ac:dyDescent="0.3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3"/>
        <v>(,'','','1900-01-00','1900-01-00',,,),</v>
      </c>
    </row>
    <row r="211" spans="1:14" ht="20.149999999999999" customHeight="1" x14ac:dyDescent="0.3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3"/>
        <v>(,'','','1900-01-00','1900-01-00',,,),</v>
      </c>
    </row>
    <row r="212" spans="1:14" ht="20.149999999999999" customHeight="1" x14ac:dyDescent="0.3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3"/>
        <v>(,'','','1900-01-00','1900-01-00',,,),</v>
      </c>
    </row>
    <row r="213" spans="1:14" ht="20.149999999999999" customHeight="1" x14ac:dyDescent="0.3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3"/>
        <v>(,'','','1900-01-00','1900-01-00',,,),</v>
      </c>
    </row>
    <row r="214" spans="1:14" ht="20.149999999999999" customHeight="1" x14ac:dyDescent="0.3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3"/>
        <v>(,'','','1900-01-00','1900-01-00',,,),</v>
      </c>
    </row>
    <row r="215" spans="1:14" ht="20.149999999999999" customHeight="1" x14ac:dyDescent="0.3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3"/>
        <v>(,'','','1900-01-00','1900-01-00',,,),</v>
      </c>
    </row>
    <row r="216" spans="1:14" ht="20.149999999999999" customHeight="1" x14ac:dyDescent="0.3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3"/>
        <v>(,'','','1900-01-00','1900-01-00',,,),</v>
      </c>
    </row>
    <row r="217" spans="1:14" ht="20.149999999999999" customHeight="1" x14ac:dyDescent="0.3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3"/>
        <v>(,'','','1900-01-00','1900-01-00',,,),</v>
      </c>
    </row>
    <row r="218" spans="1:14" ht="20.149999999999999" customHeight="1" x14ac:dyDescent="0.3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3"/>
        <v>(,'','','1900-01-00','1900-01-00',,,),</v>
      </c>
    </row>
    <row r="219" spans="1:14" ht="20.149999999999999" customHeight="1" x14ac:dyDescent="0.3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3"/>
        <v>(,'','','1900-01-00','1900-01-00',,,),</v>
      </c>
    </row>
    <row r="220" spans="1:14" ht="20.149999999999999" customHeight="1" x14ac:dyDescent="0.3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3"/>
        <v>(,'','','1900-01-00','1900-01-00',,,),</v>
      </c>
    </row>
    <row r="221" spans="1:14" ht="20.149999999999999" customHeight="1" x14ac:dyDescent="0.3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3"/>
        <v>(,'','','1900-01-00','1900-01-00',,,),</v>
      </c>
    </row>
    <row r="222" spans="1:14" ht="20.149999999999999" customHeight="1" x14ac:dyDescent="0.3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3"/>
        <v>(,'','','1900-01-00','1900-01-00',,,),</v>
      </c>
    </row>
    <row r="223" spans="1:14" ht="20.149999999999999" customHeight="1" x14ac:dyDescent="0.3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3"/>
        <v>(,'','','1900-01-00','1900-01-00',,,),</v>
      </c>
    </row>
    <row r="224" spans="1:14" ht="20.149999999999999" customHeight="1" x14ac:dyDescent="0.3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3"/>
        <v>(,'','','1900-01-00','1900-01-00',,,),</v>
      </c>
    </row>
    <row r="225" spans="1:14" ht="20.149999999999999" customHeight="1" x14ac:dyDescent="0.3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3"/>
        <v>(,'','','1900-01-00','1900-01-00',,,),</v>
      </c>
    </row>
    <row r="226" spans="1:14" ht="20.149999999999999" customHeight="1" x14ac:dyDescent="0.3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3"/>
        <v>(,'','','1900-01-00','1900-01-00',,,),</v>
      </c>
    </row>
    <row r="227" spans="1:14" ht="20.149999999999999" customHeight="1" x14ac:dyDescent="0.3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3"/>
        <v>(,'','','1900-01-00','1900-01-00',,,),</v>
      </c>
    </row>
    <row r="228" spans="1:14" ht="20.149999999999999" customHeight="1" x14ac:dyDescent="0.3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3"/>
        <v>(,'','','1900-01-00','1900-01-00',,,),</v>
      </c>
    </row>
    <row r="229" spans="1:14" ht="20.149999999999999" customHeight="1" x14ac:dyDescent="0.3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3"/>
        <v>(,'','','1900-01-00','1900-01-00',,,),</v>
      </c>
    </row>
    <row r="230" spans="1:14" ht="20.149999999999999" customHeight="1" x14ac:dyDescent="0.3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3"/>
        <v>(,'','','1900-01-00','1900-01-00',,,),</v>
      </c>
    </row>
    <row r="231" spans="1:14" ht="20.149999999999999" customHeight="1" x14ac:dyDescent="0.3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3"/>
        <v>(,'','','1900-01-00','1900-01-00',,,),</v>
      </c>
    </row>
    <row r="232" spans="1:14" ht="20.149999999999999" customHeight="1" x14ac:dyDescent="0.3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3"/>
        <v>(,'','','1900-01-00','1900-01-00',,,),</v>
      </c>
    </row>
    <row r="233" spans="1:14" ht="20.149999999999999" customHeight="1" x14ac:dyDescent="0.3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3"/>
        <v>(,'','','1900-01-00','1900-01-00',,,),</v>
      </c>
    </row>
    <row r="234" spans="1:14" ht="20.149999999999999" customHeight="1" x14ac:dyDescent="0.3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3"/>
        <v>(,'','','1900-01-00','1900-01-00',,,),</v>
      </c>
    </row>
    <row r="235" spans="1:14" ht="20.149999999999999" customHeight="1" x14ac:dyDescent="0.3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3"/>
        <v>(,'','','1900-01-00','1900-01-00',,,),</v>
      </c>
    </row>
    <row r="236" spans="1:14" ht="20.149999999999999" customHeight="1" x14ac:dyDescent="0.3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3"/>
        <v>(,'','','1900-01-00','1900-01-00',,,),</v>
      </c>
    </row>
    <row r="237" spans="1:14" ht="20.149999999999999" customHeight="1" x14ac:dyDescent="0.3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3"/>
        <v>(,'','','1900-01-00','1900-01-00',,,),</v>
      </c>
    </row>
  </sheetData>
  <autoFilter ref="A1:N238" xr:uid="{00000000-0001-0000-0300-000000000000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E4D3-2D38-4425-B10A-13800C75DFC7}">
  <sheetPr>
    <tabColor rgb="FFFFFF00"/>
  </sheetPr>
  <dimension ref="A1:AZ236"/>
  <sheetViews>
    <sheetView topLeftCell="AT1" zoomScaleNormal="100" workbookViewId="0">
      <selection activeCell="BA1" sqref="BA1:BC1048576"/>
    </sheetView>
  </sheetViews>
  <sheetFormatPr baseColWidth="10" defaultColWidth="10.81640625" defaultRowHeight="15.5" x14ac:dyDescent="0.35"/>
  <cols>
    <col min="1" max="1" width="6.90625" style="2" bestFit="1" customWidth="1"/>
    <col min="2" max="2" width="30.6328125" style="2" customWidth="1"/>
    <col min="3" max="52" width="10.632812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324</v>
      </c>
      <c r="D1" s="54" t="s">
        <v>326</v>
      </c>
      <c r="E1" s="54" t="s">
        <v>329</v>
      </c>
      <c r="F1" s="54" t="s">
        <v>332</v>
      </c>
      <c r="G1" s="54" t="s">
        <v>884</v>
      </c>
      <c r="H1" s="54" t="s">
        <v>338</v>
      </c>
      <c r="I1" s="54" t="s">
        <v>341</v>
      </c>
      <c r="J1" s="54" t="s">
        <v>343</v>
      </c>
      <c r="K1" s="54" t="s">
        <v>356</v>
      </c>
      <c r="L1" s="54" t="s">
        <v>359</v>
      </c>
      <c r="M1" s="54" t="s">
        <v>363</v>
      </c>
      <c r="N1" s="54" t="s">
        <v>348</v>
      </c>
      <c r="O1" s="54" t="s">
        <v>351</v>
      </c>
      <c r="P1" s="54" t="s">
        <v>353</v>
      </c>
      <c r="Q1" s="55" t="s">
        <v>365</v>
      </c>
      <c r="R1" s="55" t="s">
        <v>368</v>
      </c>
      <c r="S1" s="55" t="s">
        <v>371</v>
      </c>
      <c r="T1" s="57" t="s">
        <v>376</v>
      </c>
      <c r="U1" s="57" t="s">
        <v>374</v>
      </c>
      <c r="V1" s="57" t="s">
        <v>379</v>
      </c>
      <c r="W1" s="57" t="s">
        <v>382</v>
      </c>
      <c r="X1" s="57" t="s">
        <v>388</v>
      </c>
      <c r="Y1" s="57" t="s">
        <v>385</v>
      </c>
      <c r="Z1" s="1" t="s">
        <v>391</v>
      </c>
      <c r="AA1" s="1" t="s">
        <v>393</v>
      </c>
      <c r="AB1" s="1" t="s">
        <v>396</v>
      </c>
      <c r="AC1" s="1" t="s">
        <v>1027</v>
      </c>
      <c r="AD1" s="1" t="s">
        <v>399</v>
      </c>
      <c r="AE1" s="1" t="s">
        <v>401</v>
      </c>
      <c r="AF1" s="1" t="s">
        <v>403</v>
      </c>
      <c r="AG1" s="1" t="s">
        <v>1028</v>
      </c>
      <c r="AH1" s="1" t="s">
        <v>666</v>
      </c>
      <c r="AI1" s="1" t="s">
        <v>1029</v>
      </c>
      <c r="AJ1" s="1" t="s">
        <v>418</v>
      </c>
      <c r="AK1" s="1" t="s">
        <v>422</v>
      </c>
      <c r="AL1" s="1" t="s">
        <v>679</v>
      </c>
      <c r="AM1" s="1" t="s">
        <v>1030</v>
      </c>
      <c r="AN1" s="1" t="s">
        <v>431</v>
      </c>
      <c r="AO1" s="1" t="s">
        <v>434</v>
      </c>
      <c r="AP1" s="1" t="s">
        <v>458</v>
      </c>
      <c r="AQ1" s="1" t="s">
        <v>460</v>
      </c>
      <c r="AR1" s="1" t="s">
        <v>463</v>
      </c>
      <c r="AS1" s="1" t="s">
        <v>465</v>
      </c>
      <c r="AT1" s="1" t="s">
        <v>468</v>
      </c>
      <c r="AU1" s="1" t="s">
        <v>439</v>
      </c>
      <c r="AV1" s="1" t="s">
        <v>442</v>
      </c>
      <c r="AW1" s="1" t="s">
        <v>447</v>
      </c>
      <c r="AX1" s="1" t="s">
        <v>449</v>
      </c>
      <c r="AY1" s="1" t="s">
        <v>452</v>
      </c>
      <c r="AZ1" s="1" t="s">
        <v>455</v>
      </c>
    </row>
    <row r="2" spans="1:52" ht="20.149999999999999" customHeight="1" x14ac:dyDescent="0.35">
      <c r="A2" s="39">
        <v>1</v>
      </c>
      <c r="B2" s="48"/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/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/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/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/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/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/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/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/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/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/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/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/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/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/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/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/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/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/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/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/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1</v>
      </c>
      <c r="B23" s="48"/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</v>
      </c>
      <c r="B24" s="48"/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3</v>
      </c>
      <c r="B25" s="48"/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4</v>
      </c>
      <c r="B26" s="48"/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5</v>
      </c>
      <c r="B27" s="48"/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6</v>
      </c>
      <c r="B28" s="48"/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7</v>
      </c>
      <c r="B29" s="48"/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8</v>
      </c>
      <c r="B30" s="48"/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9</v>
      </c>
      <c r="B31" s="48"/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10</v>
      </c>
      <c r="B32" s="48"/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11</v>
      </c>
      <c r="B33" s="48"/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12</v>
      </c>
      <c r="B34" s="48"/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13</v>
      </c>
      <c r="B35" s="48"/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14</v>
      </c>
      <c r="B36" s="48"/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15</v>
      </c>
      <c r="B37" s="48"/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16</v>
      </c>
      <c r="B38" s="48"/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17</v>
      </c>
      <c r="B39" s="48"/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18</v>
      </c>
      <c r="B40" s="48"/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19</v>
      </c>
      <c r="B41" s="48"/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20</v>
      </c>
      <c r="B42" s="48"/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21</v>
      </c>
      <c r="B43" s="48"/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22</v>
      </c>
      <c r="B44" s="48"/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23</v>
      </c>
      <c r="B45" s="48"/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24</v>
      </c>
      <c r="B46" s="48"/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25</v>
      </c>
      <c r="B47" s="48"/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1</v>
      </c>
      <c r="B48" s="48"/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2</v>
      </c>
      <c r="B49" s="48"/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3</v>
      </c>
      <c r="B50" s="48"/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4</v>
      </c>
      <c r="B51" s="48"/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</v>
      </c>
      <c r="B52" s="48"/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6</v>
      </c>
      <c r="B53" s="48"/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7</v>
      </c>
      <c r="B54" s="48"/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8</v>
      </c>
      <c r="B55" s="48"/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9</v>
      </c>
      <c r="B56" s="48"/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10</v>
      </c>
      <c r="B57" s="48"/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 t="s">
        <v>867</v>
      </c>
      <c r="B58" s="48"/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 t="s">
        <v>868</v>
      </c>
      <c r="B59" s="48"/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11</v>
      </c>
      <c r="B60" s="48"/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12</v>
      </c>
      <c r="B61" s="48"/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13</v>
      </c>
      <c r="B62" s="48"/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14</v>
      </c>
      <c r="B63" s="48"/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 t="s">
        <v>869</v>
      </c>
      <c r="B64" s="48"/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15</v>
      </c>
      <c r="B65" s="48"/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16</v>
      </c>
      <c r="B66" s="48"/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 t="s">
        <v>870</v>
      </c>
      <c r="B67" s="48"/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17</v>
      </c>
      <c r="B68" s="48"/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18</v>
      </c>
      <c r="B69" s="48"/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1</v>
      </c>
      <c r="B70" s="40"/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2</v>
      </c>
      <c r="B71" s="40"/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3</v>
      </c>
      <c r="B72" s="40"/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4</v>
      </c>
      <c r="B73" s="40"/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 t="s">
        <v>871</v>
      </c>
      <c r="B74" s="40"/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49999999999999" customHeight="1" x14ac:dyDescent="0.35">
      <c r="A75" s="39">
        <v>5</v>
      </c>
      <c r="B75" s="40"/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49999999999999" customHeight="1" x14ac:dyDescent="0.35">
      <c r="A76" s="39" t="s">
        <v>886</v>
      </c>
      <c r="B76" s="40"/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49999999999999" customHeight="1" x14ac:dyDescent="0.35">
      <c r="A77" s="39" t="s">
        <v>887</v>
      </c>
      <c r="B77" s="40"/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49999999999999" customHeight="1" x14ac:dyDescent="0.35">
      <c r="A78" s="39" t="s">
        <v>888</v>
      </c>
      <c r="B78" s="40"/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49999999999999" customHeight="1" x14ac:dyDescent="0.35">
      <c r="A79" s="39" t="s">
        <v>891</v>
      </c>
      <c r="B79" s="40"/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49999999999999" customHeight="1" x14ac:dyDescent="0.35">
      <c r="A80" s="39" t="s">
        <v>889</v>
      </c>
      <c r="B80" s="40"/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49999999999999" customHeight="1" x14ac:dyDescent="0.35">
      <c r="A81" s="39" t="s">
        <v>890</v>
      </c>
      <c r="B81" s="40"/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49999999999999" customHeight="1" x14ac:dyDescent="0.35">
      <c r="A82" s="39" t="s">
        <v>892</v>
      </c>
      <c r="B82" s="40"/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49999999999999" customHeight="1" x14ac:dyDescent="0.35">
      <c r="A83" s="39" t="s">
        <v>900</v>
      </c>
      <c r="B83" s="40"/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49999999999999" customHeight="1" x14ac:dyDescent="0.35">
      <c r="A84" s="39" t="s">
        <v>893</v>
      </c>
      <c r="B84" s="40"/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49999999999999" customHeight="1" x14ac:dyDescent="0.35">
      <c r="A85" s="39" t="s">
        <v>894</v>
      </c>
      <c r="B85" s="40"/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49999999999999" customHeight="1" x14ac:dyDescent="0.35">
      <c r="A86" s="39" t="s">
        <v>895</v>
      </c>
      <c r="B86" s="40"/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49999999999999" customHeight="1" x14ac:dyDescent="0.35">
      <c r="A87" s="39" t="s">
        <v>896</v>
      </c>
      <c r="B87" s="40"/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49999999999999" customHeight="1" x14ac:dyDescent="0.35">
      <c r="A88" s="39" t="s">
        <v>897</v>
      </c>
      <c r="B88" s="40"/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49999999999999" customHeight="1" x14ac:dyDescent="0.35">
      <c r="A89" s="39" t="s">
        <v>898</v>
      </c>
      <c r="B89" s="40"/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49999999999999" customHeight="1" x14ac:dyDescent="0.35">
      <c r="A90" s="39" t="s">
        <v>899</v>
      </c>
      <c r="B90" s="40"/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49999999999999" customHeight="1" x14ac:dyDescent="0.35">
      <c r="A91" s="39" t="s">
        <v>885</v>
      </c>
      <c r="B91" s="40"/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49999999999999" customHeight="1" x14ac:dyDescent="0.35">
      <c r="A92" s="39" t="s">
        <v>916</v>
      </c>
      <c r="B92" s="40"/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49999999999999" customHeight="1" x14ac:dyDescent="0.35">
      <c r="A93" s="39" t="s">
        <v>917</v>
      </c>
      <c r="B93" s="40"/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 t="s">
        <v>918</v>
      </c>
      <c r="B94" s="40"/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49999999999999" customHeight="1" x14ac:dyDescent="0.35">
      <c r="A95" s="39" t="s">
        <v>919</v>
      </c>
      <c r="B95" s="40"/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 t="s">
        <v>920</v>
      </c>
      <c r="B96" s="40"/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 t="s">
        <v>921</v>
      </c>
      <c r="B97" s="40"/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 t="s">
        <v>922</v>
      </c>
      <c r="B98" s="40"/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 t="s">
        <v>923</v>
      </c>
      <c r="B99" s="40"/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 t="s">
        <v>924</v>
      </c>
      <c r="B100" s="40"/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 t="s">
        <v>925</v>
      </c>
      <c r="B101" s="40"/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 t="s">
        <v>926</v>
      </c>
      <c r="B102" s="40"/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 t="s">
        <v>927</v>
      </c>
      <c r="B103" s="40"/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 t="s">
        <v>928</v>
      </c>
      <c r="B104" s="40"/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 t="s">
        <v>929</v>
      </c>
      <c r="B105" s="40"/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 t="s">
        <v>930</v>
      </c>
      <c r="B106" s="40"/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 t="s">
        <v>931</v>
      </c>
      <c r="B107" s="40"/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 t="s">
        <v>932</v>
      </c>
      <c r="B108" s="40"/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 t="s">
        <v>933</v>
      </c>
      <c r="B109" s="40"/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 t="s">
        <v>934</v>
      </c>
      <c r="B110" s="40"/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 t="s">
        <v>935</v>
      </c>
      <c r="B111" s="40"/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 t="s">
        <v>936</v>
      </c>
      <c r="B112" s="40"/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</v>
      </c>
      <c r="B113" s="40"/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2</v>
      </c>
      <c r="B114" s="40"/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3</v>
      </c>
      <c r="B115" s="40"/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4</v>
      </c>
      <c r="B116" s="40"/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5</v>
      </c>
      <c r="B117" s="40"/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6</v>
      </c>
      <c r="B118" s="40"/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7</v>
      </c>
      <c r="B119" s="40"/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</v>
      </c>
      <c r="B120" s="40"/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2</v>
      </c>
      <c r="B121" s="40"/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3</v>
      </c>
      <c r="B122" s="40"/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4</v>
      </c>
      <c r="B123" s="40"/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5</v>
      </c>
      <c r="B124" s="40"/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6</v>
      </c>
      <c r="B125" s="40"/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7</v>
      </c>
      <c r="B126" s="40"/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</v>
      </c>
      <c r="B127" s="40"/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2</v>
      </c>
      <c r="B128" s="40"/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3</v>
      </c>
      <c r="B129" s="40"/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4</v>
      </c>
      <c r="B130" s="40"/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</v>
      </c>
      <c r="B131" s="40"/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2</v>
      </c>
      <c r="B132" s="40"/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3</v>
      </c>
      <c r="B133" s="40"/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4</v>
      </c>
      <c r="B134" s="40"/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5</v>
      </c>
      <c r="B135" s="40"/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6</v>
      </c>
      <c r="B136" s="40"/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7</v>
      </c>
      <c r="B137" s="40"/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8</v>
      </c>
      <c r="B138" s="40"/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9</v>
      </c>
      <c r="B139" s="40"/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10</v>
      </c>
      <c r="B140" s="40"/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</v>
      </c>
      <c r="B141" s="40"/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2</v>
      </c>
      <c r="B142" s="40"/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/>
      <c r="B143" s="40"/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/>
      <c r="B144" s="40"/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/>
      <c r="B145" s="40"/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/>
      <c r="B146" s="40"/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/>
      <c r="B147" s="40"/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/>
      <c r="B148" s="40"/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/>
      <c r="B149" s="40"/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/>
      <c r="B150" s="40"/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/>
      <c r="B151" s="40"/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/>
      <c r="B152" s="40"/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/>
      <c r="B153" s="40"/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/>
      <c r="B154" s="40"/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/>
      <c r="B155" s="40"/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/>
      <c r="B156" s="40"/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/>
      <c r="B157" s="40"/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/>
      <c r="B158" s="40"/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/>
      <c r="B159" s="40"/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/>
      <c r="B160" s="40"/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/>
      <c r="B161" s="40"/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/>
      <c r="B162" s="40"/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/>
      <c r="B163" s="40"/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/>
      <c r="B164" s="40"/>
      <c r="C164" s="16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/>
      <c r="B165" s="40"/>
      <c r="C165" s="16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/>
      <c r="B166" s="40"/>
      <c r="C166" s="16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/>
      <c r="B167" s="40"/>
      <c r="C167" s="16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/>
      <c r="B168" s="40"/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/>
      <c r="B169" s="40"/>
      <c r="C169" s="16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/>
      <c r="B170" s="40"/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/>
      <c r="B171" s="40"/>
      <c r="C171" s="16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/>
      <c r="B172" s="40"/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/>
      <c r="B173" s="40"/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/>
      <c r="B174" s="48"/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/>
      <c r="B175" s="40"/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/>
      <c r="B176" s="40"/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/>
      <c r="B177" s="40"/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/>
      <c r="B178" s="40"/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/>
      <c r="B179" s="40"/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/>
      <c r="B180" s="40"/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/>
      <c r="B181" s="40"/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/>
      <c r="B182" s="40"/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/>
      <c r="B183" s="40"/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/>
      <c r="B184" s="40"/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/>
      <c r="B185" s="40"/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/>
      <c r="B186" s="40"/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/>
      <c r="B187" s="40"/>
      <c r="C187" s="16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/>
      <c r="B188" s="40"/>
      <c r="C188" s="16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/>
      <c r="B189" s="40"/>
      <c r="C189" s="16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/>
      <c r="B190" s="40"/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/>
      <c r="B191" s="40"/>
      <c r="C191" s="16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/>
      <c r="B192" s="40"/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/>
      <c r="B193" s="40"/>
      <c r="C193" s="16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/>
      <c r="B194" s="40"/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/>
      <c r="B195" s="40"/>
      <c r="C195" s="16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/>
      <c r="B196" s="40"/>
      <c r="C196" s="16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/>
      <c r="B197" s="40"/>
      <c r="C197" s="16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/>
      <c r="B198" s="40"/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/>
      <c r="B199" s="40"/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/>
      <c r="B200" s="40"/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/>
      <c r="B201" s="40"/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/>
      <c r="B202" s="40"/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/>
      <c r="B203" s="40"/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/>
      <c r="B204" s="40"/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/>
      <c r="B205" s="40"/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/>
      <c r="B206" s="40"/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/>
      <c r="B207" s="40"/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/>
      <c r="B208" s="40"/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/>
      <c r="B209" s="40"/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/>
      <c r="B210" s="40"/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/>
      <c r="B211" s="40"/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/>
      <c r="B212" s="40"/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/>
      <c r="B213" s="40"/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49999999999999" customHeight="1" x14ac:dyDescent="0.35">
      <c r="A214" s="39"/>
      <c r="B214" s="40"/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49999999999999" customHeight="1" x14ac:dyDescent="0.35">
      <c r="A215" s="39"/>
      <c r="B215" s="40"/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49999999999999" customHeight="1" x14ac:dyDescent="0.35">
      <c r="A216" s="39"/>
      <c r="B216" s="40"/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49999999999999" customHeight="1" x14ac:dyDescent="0.35">
      <c r="A217" s="39"/>
      <c r="B217" s="40"/>
      <c r="C217" s="16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49999999999999" customHeight="1" x14ac:dyDescent="0.35">
      <c r="A218" s="39"/>
      <c r="B218" s="40"/>
      <c r="C218" s="16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49999999999999" customHeight="1" x14ac:dyDescent="0.35">
      <c r="A219" s="39"/>
      <c r="B219" s="40"/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49999999999999" customHeight="1" x14ac:dyDescent="0.35">
      <c r="A220" s="39"/>
      <c r="B220" s="40"/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49999999999999" customHeight="1" x14ac:dyDescent="0.35">
      <c r="A221" s="39"/>
      <c r="B221" s="40"/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49999999999999" customHeight="1" x14ac:dyDescent="0.35">
      <c r="A222" s="39"/>
      <c r="B222" s="40"/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49999999999999" customHeight="1" x14ac:dyDescent="0.35">
      <c r="A223" s="39"/>
      <c r="B223" s="40"/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49999999999999" customHeight="1" x14ac:dyDescent="0.35">
      <c r="A224" s="39"/>
      <c r="B224" s="40"/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49999999999999" customHeight="1" x14ac:dyDescent="0.35">
      <c r="A225" s="39"/>
      <c r="B225" s="40"/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49999999999999" customHeight="1" x14ac:dyDescent="0.35">
      <c r="A226" s="39"/>
      <c r="B226" s="40"/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49999999999999" customHeight="1" x14ac:dyDescent="0.35">
      <c r="A227" s="39"/>
      <c r="B227" s="40"/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49999999999999" customHeight="1" x14ac:dyDescent="0.35">
      <c r="A228" s="39"/>
      <c r="B228" s="40"/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49999999999999" customHeight="1" x14ac:dyDescent="0.35">
      <c r="A229" s="39"/>
      <c r="B229" s="40"/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49999999999999" customHeight="1" x14ac:dyDescent="0.35">
      <c r="A230" s="39"/>
      <c r="B230" s="40"/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49999999999999" customHeight="1" x14ac:dyDescent="0.35">
      <c r="A231" s="39"/>
      <c r="B231" s="40"/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49999999999999" customHeight="1" x14ac:dyDescent="0.35">
      <c r="A232" s="39"/>
      <c r="B232" s="40"/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49999999999999" customHeight="1" x14ac:dyDescent="0.35">
      <c r="A233" s="39"/>
      <c r="B233" s="40"/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49999999999999" customHeight="1" x14ac:dyDescent="0.35">
      <c r="A234" s="39"/>
      <c r="B234" s="40"/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49999999999999" customHeight="1" x14ac:dyDescent="0.35">
      <c r="A235" s="39"/>
      <c r="B235" s="40"/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49999999999999" customHeight="1" x14ac:dyDescent="0.35">
      <c r="A236" s="39"/>
      <c r="B236" s="40"/>
      <c r="C236" s="16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 xr:uid="{5075E4D3-2D38-4425-B10A-13800C75DFC7}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8F28B-2561-40DB-A441-03BE3BD49E40}">
  <sheetPr>
    <tabColor rgb="FFFFFF00"/>
  </sheetPr>
  <dimension ref="A1:AZ236"/>
  <sheetViews>
    <sheetView tabSelected="1" zoomScaleNormal="100" workbookViewId="0">
      <selection activeCell="F12" sqref="F12"/>
    </sheetView>
  </sheetViews>
  <sheetFormatPr baseColWidth="10" defaultColWidth="10.81640625" defaultRowHeight="15.5" x14ac:dyDescent="0.35"/>
  <cols>
    <col min="1" max="1" width="6.90625" style="2" bestFit="1" customWidth="1"/>
    <col min="2" max="2" width="30.6328125" style="2" customWidth="1"/>
    <col min="3" max="52" width="10.632812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324</v>
      </c>
      <c r="D1" s="54" t="s">
        <v>326</v>
      </c>
      <c r="E1" s="54" t="s">
        <v>329</v>
      </c>
      <c r="F1" s="54" t="s">
        <v>332</v>
      </c>
      <c r="G1" s="54" t="s">
        <v>884</v>
      </c>
      <c r="H1" s="54" t="s">
        <v>338</v>
      </c>
      <c r="I1" s="54" t="s">
        <v>341</v>
      </c>
      <c r="J1" s="54" t="s">
        <v>343</v>
      </c>
      <c r="K1" s="54" t="s">
        <v>356</v>
      </c>
      <c r="L1" s="54" t="s">
        <v>359</v>
      </c>
      <c r="M1" s="54" t="s">
        <v>363</v>
      </c>
      <c r="N1" s="54" t="s">
        <v>348</v>
      </c>
      <c r="O1" s="54" t="s">
        <v>351</v>
      </c>
      <c r="P1" s="54" t="s">
        <v>353</v>
      </c>
      <c r="Q1" s="55" t="s">
        <v>365</v>
      </c>
      <c r="R1" s="55" t="s">
        <v>368</v>
      </c>
      <c r="S1" s="55" t="s">
        <v>371</v>
      </c>
      <c r="T1" s="57" t="s">
        <v>376</v>
      </c>
      <c r="U1" s="57" t="s">
        <v>374</v>
      </c>
      <c r="V1" s="57" t="s">
        <v>379</v>
      </c>
      <c r="W1" s="57" t="s">
        <v>382</v>
      </c>
      <c r="X1" s="57" t="s">
        <v>388</v>
      </c>
      <c r="Y1" s="57" t="s">
        <v>385</v>
      </c>
      <c r="Z1" s="1" t="s">
        <v>391</v>
      </c>
      <c r="AA1" s="1" t="s">
        <v>393</v>
      </c>
      <c r="AB1" s="1" t="s">
        <v>396</v>
      </c>
      <c r="AC1" s="1" t="s">
        <v>1027</v>
      </c>
      <c r="AD1" s="1" t="s">
        <v>399</v>
      </c>
      <c r="AE1" s="1" t="s">
        <v>401</v>
      </c>
      <c r="AF1" s="1" t="s">
        <v>403</v>
      </c>
      <c r="AG1" s="1" t="s">
        <v>1028</v>
      </c>
      <c r="AH1" s="1" t="s">
        <v>666</v>
      </c>
      <c r="AI1" s="1" t="s">
        <v>1029</v>
      </c>
      <c r="AJ1" s="1" t="s">
        <v>418</v>
      </c>
      <c r="AK1" s="1" t="s">
        <v>422</v>
      </c>
      <c r="AL1" s="1" t="s">
        <v>679</v>
      </c>
      <c r="AM1" s="1" t="s">
        <v>1030</v>
      </c>
      <c r="AN1" s="1" t="s">
        <v>431</v>
      </c>
      <c r="AO1" s="1" t="s">
        <v>434</v>
      </c>
      <c r="AP1" s="1" t="s">
        <v>458</v>
      </c>
      <c r="AQ1" s="1" t="s">
        <v>460</v>
      </c>
      <c r="AR1" s="1" t="s">
        <v>463</v>
      </c>
      <c r="AS1" s="1" t="s">
        <v>465</v>
      </c>
      <c r="AT1" s="1" t="s">
        <v>468</v>
      </c>
      <c r="AU1" s="1" t="s">
        <v>439</v>
      </c>
      <c r="AV1" s="1" t="s">
        <v>442</v>
      </c>
      <c r="AW1" s="1" t="s">
        <v>447</v>
      </c>
      <c r="AX1" s="1" t="s">
        <v>449</v>
      </c>
      <c r="AY1" s="1" t="s">
        <v>452</v>
      </c>
      <c r="AZ1" s="1" t="s">
        <v>455</v>
      </c>
    </row>
    <row r="2" spans="1:52" ht="20.149999999999999" customHeight="1" x14ac:dyDescent="0.35">
      <c r="A2" s="39">
        <v>1</v>
      </c>
      <c r="B2" s="48" t="s">
        <v>1031</v>
      </c>
      <c r="C2" s="18" t="s">
        <v>1035</v>
      </c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 t="s">
        <v>633</v>
      </c>
      <c r="C3" s="18" t="s">
        <v>1035</v>
      </c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 t="s">
        <v>1032</v>
      </c>
      <c r="C4" s="18"/>
      <c r="D4" s="17" t="s">
        <v>1035</v>
      </c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 t="s">
        <v>1033</v>
      </c>
      <c r="C5" s="18"/>
      <c r="D5" s="17" t="s">
        <v>1035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 t="s">
        <v>1034</v>
      </c>
      <c r="C6" s="18"/>
      <c r="D6" s="17" t="s">
        <v>1035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 t="s">
        <v>1038</v>
      </c>
      <c r="C7" s="18"/>
      <c r="D7" s="17" t="s">
        <v>1035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 t="s">
        <v>1039</v>
      </c>
      <c r="C8" s="16"/>
      <c r="D8" s="17" t="s">
        <v>1035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 t="s">
        <v>1036</v>
      </c>
      <c r="C9" s="16"/>
      <c r="D9" s="17"/>
      <c r="E9" s="17" t="s">
        <v>1035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 t="s">
        <v>1037</v>
      </c>
      <c r="C10" s="16"/>
      <c r="D10" s="17"/>
      <c r="E10" s="17" t="s">
        <v>1035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 t="s">
        <v>574</v>
      </c>
      <c r="C11" s="16"/>
      <c r="D11" s="17"/>
      <c r="E11" s="17"/>
      <c r="F11" s="18" t="s">
        <v>1035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/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/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/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/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/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/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/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/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/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/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/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1</v>
      </c>
      <c r="B23" s="48"/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</v>
      </c>
      <c r="B24" s="48"/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3</v>
      </c>
      <c r="B25" s="48"/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4</v>
      </c>
      <c r="B26" s="48"/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5</v>
      </c>
      <c r="B27" s="48"/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6</v>
      </c>
      <c r="B28" s="48"/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7</v>
      </c>
      <c r="B29" s="48"/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8</v>
      </c>
      <c r="B30" s="48"/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9</v>
      </c>
      <c r="B31" s="48"/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10</v>
      </c>
      <c r="B32" s="48"/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11</v>
      </c>
      <c r="B33" s="48"/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12</v>
      </c>
      <c r="B34" s="48"/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13</v>
      </c>
      <c r="B35" s="48"/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14</v>
      </c>
      <c r="B36" s="48"/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15</v>
      </c>
      <c r="B37" s="48"/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16</v>
      </c>
      <c r="B38" s="48"/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17</v>
      </c>
      <c r="B39" s="48"/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18</v>
      </c>
      <c r="B40" s="48"/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19</v>
      </c>
      <c r="B41" s="48"/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20</v>
      </c>
      <c r="B42" s="48"/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21</v>
      </c>
      <c r="B43" s="48"/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22</v>
      </c>
      <c r="B44" s="48"/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23</v>
      </c>
      <c r="B45" s="48"/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24</v>
      </c>
      <c r="B46" s="48"/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25</v>
      </c>
      <c r="B47" s="48"/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1</v>
      </c>
      <c r="B48" s="48"/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2</v>
      </c>
      <c r="B49" s="48"/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3</v>
      </c>
      <c r="B50" s="48"/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4</v>
      </c>
      <c r="B51" s="48"/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</v>
      </c>
      <c r="B52" s="48"/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6</v>
      </c>
      <c r="B53" s="48"/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7</v>
      </c>
      <c r="B54" s="48"/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8</v>
      </c>
      <c r="B55" s="48"/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9</v>
      </c>
      <c r="B56" s="48"/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10</v>
      </c>
      <c r="B57" s="48"/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 t="s">
        <v>867</v>
      </c>
      <c r="B58" s="48"/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 t="s">
        <v>868</v>
      </c>
      <c r="B59" s="48"/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11</v>
      </c>
      <c r="B60" s="48"/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12</v>
      </c>
      <c r="B61" s="48"/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13</v>
      </c>
      <c r="B62" s="48"/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14</v>
      </c>
      <c r="B63" s="48"/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 t="s">
        <v>869</v>
      </c>
      <c r="B64" s="48"/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15</v>
      </c>
      <c r="B65" s="48"/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16</v>
      </c>
      <c r="B66" s="48"/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 t="s">
        <v>870</v>
      </c>
      <c r="B67" s="48"/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17</v>
      </c>
      <c r="B68" s="48"/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18</v>
      </c>
      <c r="B69" s="48"/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1</v>
      </c>
      <c r="B70" s="40"/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2</v>
      </c>
      <c r="B71" s="40"/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3</v>
      </c>
      <c r="B72" s="40"/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4</v>
      </c>
      <c r="B73" s="40"/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 t="s">
        <v>871</v>
      </c>
      <c r="B74" s="40"/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49999999999999" customHeight="1" x14ac:dyDescent="0.35">
      <c r="A75" s="39">
        <v>5</v>
      </c>
      <c r="B75" s="40"/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49999999999999" customHeight="1" x14ac:dyDescent="0.35">
      <c r="A76" s="39" t="s">
        <v>886</v>
      </c>
      <c r="B76" s="40"/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49999999999999" customHeight="1" x14ac:dyDescent="0.35">
      <c r="A77" s="39" t="s">
        <v>887</v>
      </c>
      <c r="B77" s="40"/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49999999999999" customHeight="1" x14ac:dyDescent="0.35">
      <c r="A78" s="39" t="s">
        <v>888</v>
      </c>
      <c r="B78" s="40"/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49999999999999" customHeight="1" x14ac:dyDescent="0.35">
      <c r="A79" s="39" t="s">
        <v>891</v>
      </c>
      <c r="B79" s="40"/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49999999999999" customHeight="1" x14ac:dyDescent="0.35">
      <c r="A80" s="39" t="s">
        <v>889</v>
      </c>
      <c r="B80" s="40"/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49999999999999" customHeight="1" x14ac:dyDescent="0.35">
      <c r="A81" s="39" t="s">
        <v>890</v>
      </c>
      <c r="B81" s="40"/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49999999999999" customHeight="1" x14ac:dyDescent="0.35">
      <c r="A82" s="39" t="s">
        <v>892</v>
      </c>
      <c r="B82" s="40"/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49999999999999" customHeight="1" x14ac:dyDescent="0.35">
      <c r="A83" s="39" t="s">
        <v>900</v>
      </c>
      <c r="B83" s="40"/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49999999999999" customHeight="1" x14ac:dyDescent="0.35">
      <c r="A84" s="39" t="s">
        <v>893</v>
      </c>
      <c r="B84" s="40"/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49999999999999" customHeight="1" x14ac:dyDescent="0.35">
      <c r="A85" s="39" t="s">
        <v>894</v>
      </c>
      <c r="B85" s="40"/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49999999999999" customHeight="1" x14ac:dyDescent="0.35">
      <c r="A86" s="39" t="s">
        <v>895</v>
      </c>
      <c r="B86" s="40"/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49999999999999" customHeight="1" x14ac:dyDescent="0.35">
      <c r="A87" s="39" t="s">
        <v>896</v>
      </c>
      <c r="B87" s="40"/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49999999999999" customHeight="1" x14ac:dyDescent="0.35">
      <c r="A88" s="39" t="s">
        <v>897</v>
      </c>
      <c r="B88" s="40"/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49999999999999" customHeight="1" x14ac:dyDescent="0.35">
      <c r="A89" s="39" t="s">
        <v>898</v>
      </c>
      <c r="B89" s="40"/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49999999999999" customHeight="1" x14ac:dyDescent="0.35">
      <c r="A90" s="39" t="s">
        <v>899</v>
      </c>
      <c r="B90" s="40"/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49999999999999" customHeight="1" x14ac:dyDescent="0.35">
      <c r="A91" s="39" t="s">
        <v>885</v>
      </c>
      <c r="B91" s="40"/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49999999999999" customHeight="1" x14ac:dyDescent="0.35">
      <c r="A92" s="39" t="s">
        <v>916</v>
      </c>
      <c r="B92" s="40"/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49999999999999" customHeight="1" x14ac:dyDescent="0.35">
      <c r="A93" s="39" t="s">
        <v>917</v>
      </c>
      <c r="B93" s="40"/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 t="s">
        <v>918</v>
      </c>
      <c r="B94" s="40"/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49999999999999" customHeight="1" x14ac:dyDescent="0.35">
      <c r="A95" s="39" t="s">
        <v>919</v>
      </c>
      <c r="B95" s="40"/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 t="s">
        <v>920</v>
      </c>
      <c r="B96" s="40"/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 t="s">
        <v>921</v>
      </c>
      <c r="B97" s="40"/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 t="s">
        <v>922</v>
      </c>
      <c r="B98" s="40"/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 t="s">
        <v>923</v>
      </c>
      <c r="B99" s="40"/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 t="s">
        <v>924</v>
      </c>
      <c r="B100" s="40"/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 t="s">
        <v>925</v>
      </c>
      <c r="B101" s="40"/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 t="s">
        <v>926</v>
      </c>
      <c r="B102" s="40"/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 t="s">
        <v>927</v>
      </c>
      <c r="B103" s="40"/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 t="s">
        <v>928</v>
      </c>
      <c r="B104" s="40"/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 t="s">
        <v>929</v>
      </c>
      <c r="B105" s="40"/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 t="s">
        <v>930</v>
      </c>
      <c r="B106" s="40"/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 t="s">
        <v>931</v>
      </c>
      <c r="B107" s="40"/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 t="s">
        <v>932</v>
      </c>
      <c r="B108" s="40"/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 t="s">
        <v>933</v>
      </c>
      <c r="B109" s="40"/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 t="s">
        <v>934</v>
      </c>
      <c r="B110" s="40"/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 t="s">
        <v>935</v>
      </c>
      <c r="B111" s="40"/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 t="s">
        <v>936</v>
      </c>
      <c r="B112" s="40"/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</v>
      </c>
      <c r="B113" s="40"/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2</v>
      </c>
      <c r="B114" s="40"/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3</v>
      </c>
      <c r="B115" s="40"/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4</v>
      </c>
      <c r="B116" s="40"/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5</v>
      </c>
      <c r="B117" s="40"/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6</v>
      </c>
      <c r="B118" s="40"/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7</v>
      </c>
      <c r="B119" s="40"/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</v>
      </c>
      <c r="B120" s="40"/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2</v>
      </c>
      <c r="B121" s="40"/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3</v>
      </c>
      <c r="B122" s="40"/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4</v>
      </c>
      <c r="B123" s="40"/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5</v>
      </c>
      <c r="B124" s="40"/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6</v>
      </c>
      <c r="B125" s="40"/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7</v>
      </c>
      <c r="B126" s="40"/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</v>
      </c>
      <c r="B127" s="40"/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2</v>
      </c>
      <c r="B128" s="40"/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3</v>
      </c>
      <c r="B129" s="40"/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4</v>
      </c>
      <c r="B130" s="40"/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</v>
      </c>
      <c r="B131" s="40"/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2</v>
      </c>
      <c r="B132" s="40"/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3</v>
      </c>
      <c r="B133" s="40"/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4</v>
      </c>
      <c r="B134" s="40"/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5</v>
      </c>
      <c r="B135" s="40"/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6</v>
      </c>
      <c r="B136" s="40"/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7</v>
      </c>
      <c r="B137" s="40"/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8</v>
      </c>
      <c r="B138" s="40"/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9</v>
      </c>
      <c r="B139" s="40"/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10</v>
      </c>
      <c r="B140" s="40"/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</v>
      </c>
      <c r="B141" s="40"/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2</v>
      </c>
      <c r="B142" s="40"/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/>
      <c r="B143" s="40"/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/>
      <c r="B144" s="40"/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/>
      <c r="B145" s="40"/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/>
      <c r="B146" s="40"/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/>
      <c r="B147" s="40"/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/>
      <c r="B148" s="40"/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/>
      <c r="B149" s="40"/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/>
      <c r="B150" s="40"/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/>
      <c r="B151" s="40"/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/>
      <c r="B152" s="40"/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/>
      <c r="B153" s="40"/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/>
      <c r="B154" s="40"/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/>
      <c r="B155" s="40"/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/>
      <c r="B156" s="40"/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/>
      <c r="B157" s="40"/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/>
      <c r="B158" s="40"/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/>
      <c r="B159" s="40"/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/>
      <c r="B160" s="40"/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/>
      <c r="B161" s="40"/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/>
      <c r="B162" s="40"/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/>
      <c r="B163" s="40"/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/>
      <c r="B164" s="40"/>
      <c r="C164" s="16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/>
      <c r="B165" s="40"/>
      <c r="C165" s="16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/>
      <c r="B166" s="40"/>
      <c r="C166" s="16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/>
      <c r="B167" s="40"/>
      <c r="C167" s="16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/>
      <c r="B168" s="40"/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/>
      <c r="B169" s="40"/>
      <c r="C169" s="16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/>
      <c r="B170" s="40"/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/>
      <c r="B171" s="40"/>
      <c r="C171" s="16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/>
      <c r="B172" s="40"/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/>
      <c r="B173" s="40"/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/>
      <c r="B174" s="48"/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/>
      <c r="B175" s="40"/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/>
      <c r="B176" s="40"/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/>
      <c r="B177" s="40"/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/>
      <c r="B178" s="40"/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/>
      <c r="B179" s="40"/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/>
      <c r="B180" s="40"/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/>
      <c r="B181" s="40"/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/>
      <c r="B182" s="40"/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/>
      <c r="B183" s="40"/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/>
      <c r="B184" s="40"/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/>
      <c r="B185" s="40"/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/>
      <c r="B186" s="40"/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/>
      <c r="B187" s="40"/>
      <c r="C187" s="16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/>
      <c r="B188" s="40"/>
      <c r="C188" s="16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/>
      <c r="B189" s="40"/>
      <c r="C189" s="16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/>
      <c r="B190" s="40"/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/>
      <c r="B191" s="40"/>
      <c r="C191" s="16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/>
      <c r="B192" s="40"/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/>
      <c r="B193" s="40"/>
      <c r="C193" s="16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/>
      <c r="B194" s="40"/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/>
      <c r="B195" s="40"/>
      <c r="C195" s="16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/>
      <c r="B196" s="40"/>
      <c r="C196" s="16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/>
      <c r="B197" s="40"/>
      <c r="C197" s="16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/>
      <c r="B198" s="40"/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/>
      <c r="B199" s="40"/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/>
      <c r="B200" s="40"/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/>
      <c r="B201" s="40"/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/>
      <c r="B202" s="40"/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/>
      <c r="B203" s="40"/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/>
      <c r="B204" s="40"/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/>
      <c r="B205" s="40"/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/>
      <c r="B206" s="40"/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/>
      <c r="B207" s="40"/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/>
      <c r="B208" s="40"/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/>
      <c r="B209" s="40"/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/>
      <c r="B210" s="40"/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/>
      <c r="B211" s="40"/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/>
      <c r="B212" s="40"/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/>
      <c r="B213" s="40"/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49999999999999" customHeight="1" x14ac:dyDescent="0.35">
      <c r="A214" s="39"/>
      <c r="B214" s="40"/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49999999999999" customHeight="1" x14ac:dyDescent="0.35">
      <c r="A215" s="39"/>
      <c r="B215" s="40"/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49999999999999" customHeight="1" x14ac:dyDescent="0.35">
      <c r="A216" s="39"/>
      <c r="B216" s="40"/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49999999999999" customHeight="1" x14ac:dyDescent="0.35">
      <c r="A217" s="39"/>
      <c r="B217" s="40"/>
      <c r="C217" s="16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49999999999999" customHeight="1" x14ac:dyDescent="0.35">
      <c r="A218" s="39"/>
      <c r="B218" s="40"/>
      <c r="C218" s="16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49999999999999" customHeight="1" x14ac:dyDescent="0.35">
      <c r="A219" s="39"/>
      <c r="B219" s="40"/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49999999999999" customHeight="1" x14ac:dyDescent="0.35">
      <c r="A220" s="39"/>
      <c r="B220" s="40"/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49999999999999" customHeight="1" x14ac:dyDescent="0.35">
      <c r="A221" s="39"/>
      <c r="B221" s="40"/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49999999999999" customHeight="1" x14ac:dyDescent="0.35">
      <c r="A222" s="39"/>
      <c r="B222" s="40"/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49999999999999" customHeight="1" x14ac:dyDescent="0.35">
      <c r="A223" s="39"/>
      <c r="B223" s="40"/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49999999999999" customHeight="1" x14ac:dyDescent="0.35">
      <c r="A224" s="39"/>
      <c r="B224" s="40"/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49999999999999" customHeight="1" x14ac:dyDescent="0.35">
      <c r="A225" s="39"/>
      <c r="B225" s="40"/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49999999999999" customHeight="1" x14ac:dyDescent="0.35">
      <c r="A226" s="39"/>
      <c r="B226" s="40"/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49999999999999" customHeight="1" x14ac:dyDescent="0.35">
      <c r="A227" s="39"/>
      <c r="B227" s="40"/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49999999999999" customHeight="1" x14ac:dyDescent="0.35">
      <c r="A228" s="39"/>
      <c r="B228" s="40"/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49999999999999" customHeight="1" x14ac:dyDescent="0.35">
      <c r="A229" s="39"/>
      <c r="B229" s="40"/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49999999999999" customHeight="1" x14ac:dyDescent="0.35">
      <c r="A230" s="39"/>
      <c r="B230" s="40"/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49999999999999" customHeight="1" x14ac:dyDescent="0.35">
      <c r="A231" s="39"/>
      <c r="B231" s="40"/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49999999999999" customHeight="1" x14ac:dyDescent="0.35">
      <c r="A232" s="39"/>
      <c r="B232" s="40"/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49999999999999" customHeight="1" x14ac:dyDescent="0.35">
      <c r="A233" s="39"/>
      <c r="B233" s="40"/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49999999999999" customHeight="1" x14ac:dyDescent="0.35">
      <c r="A234" s="39"/>
      <c r="B234" s="40"/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49999999999999" customHeight="1" x14ac:dyDescent="0.35">
      <c r="A235" s="39"/>
      <c r="B235" s="40"/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49999999999999" customHeight="1" x14ac:dyDescent="0.35">
      <c r="A236" s="39"/>
      <c r="B236" s="40"/>
      <c r="C236" s="16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 xr:uid="{5075E4D3-2D38-4425-B10A-13800C75DFC7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4727A-5F5D-4EFC-8D66-424D3F09DB73}">
  <sheetPr>
    <tabColor rgb="FFFFFF00"/>
  </sheetPr>
  <dimension ref="A1:AZ236"/>
  <sheetViews>
    <sheetView zoomScaleNormal="100" workbookViewId="0">
      <selection activeCell="BA1" sqref="BA1:BC1048576"/>
    </sheetView>
  </sheetViews>
  <sheetFormatPr baseColWidth="10" defaultColWidth="10.81640625" defaultRowHeight="15.5" x14ac:dyDescent="0.35"/>
  <cols>
    <col min="1" max="1" width="6.90625" style="2" bestFit="1" customWidth="1"/>
    <col min="2" max="2" width="30.6328125" style="2" customWidth="1"/>
    <col min="3" max="52" width="10.6328125" style="2" customWidth="1"/>
    <col min="53" max="16384" width="10.81640625" style="2"/>
  </cols>
  <sheetData>
    <row r="1" spans="1:52" ht="20.149999999999999" customHeight="1" x14ac:dyDescent="0.35">
      <c r="A1" s="1" t="s">
        <v>0</v>
      </c>
      <c r="B1" s="1" t="s">
        <v>1</v>
      </c>
      <c r="C1" s="54" t="s">
        <v>324</v>
      </c>
      <c r="D1" s="54" t="s">
        <v>326</v>
      </c>
      <c r="E1" s="54" t="s">
        <v>329</v>
      </c>
      <c r="F1" s="54" t="s">
        <v>332</v>
      </c>
      <c r="G1" s="54" t="s">
        <v>884</v>
      </c>
      <c r="H1" s="54" t="s">
        <v>338</v>
      </c>
      <c r="I1" s="54" t="s">
        <v>341</v>
      </c>
      <c r="J1" s="54" t="s">
        <v>343</v>
      </c>
      <c r="K1" s="54" t="s">
        <v>356</v>
      </c>
      <c r="L1" s="54" t="s">
        <v>359</v>
      </c>
      <c r="M1" s="54" t="s">
        <v>363</v>
      </c>
      <c r="N1" s="54" t="s">
        <v>348</v>
      </c>
      <c r="O1" s="54" t="s">
        <v>351</v>
      </c>
      <c r="P1" s="54" t="s">
        <v>353</v>
      </c>
      <c r="Q1" s="55" t="s">
        <v>365</v>
      </c>
      <c r="R1" s="55" t="s">
        <v>368</v>
      </c>
      <c r="S1" s="55" t="s">
        <v>371</v>
      </c>
      <c r="T1" s="57" t="s">
        <v>376</v>
      </c>
      <c r="U1" s="57" t="s">
        <v>374</v>
      </c>
      <c r="V1" s="57" t="s">
        <v>379</v>
      </c>
      <c r="W1" s="57" t="s">
        <v>382</v>
      </c>
      <c r="X1" s="57" t="s">
        <v>388</v>
      </c>
      <c r="Y1" s="57" t="s">
        <v>385</v>
      </c>
      <c r="Z1" s="1" t="s">
        <v>391</v>
      </c>
      <c r="AA1" s="1" t="s">
        <v>393</v>
      </c>
      <c r="AB1" s="1" t="s">
        <v>396</v>
      </c>
      <c r="AC1" s="1" t="s">
        <v>1027</v>
      </c>
      <c r="AD1" s="1" t="s">
        <v>399</v>
      </c>
      <c r="AE1" s="1" t="s">
        <v>401</v>
      </c>
      <c r="AF1" s="1" t="s">
        <v>403</v>
      </c>
      <c r="AG1" s="1" t="s">
        <v>1028</v>
      </c>
      <c r="AH1" s="1" t="s">
        <v>666</v>
      </c>
      <c r="AI1" s="1" t="s">
        <v>1029</v>
      </c>
      <c r="AJ1" s="1" t="s">
        <v>418</v>
      </c>
      <c r="AK1" s="1" t="s">
        <v>422</v>
      </c>
      <c r="AL1" s="1" t="s">
        <v>679</v>
      </c>
      <c r="AM1" s="1" t="s">
        <v>1030</v>
      </c>
      <c r="AN1" s="1" t="s">
        <v>431</v>
      </c>
      <c r="AO1" s="1" t="s">
        <v>434</v>
      </c>
      <c r="AP1" s="1" t="s">
        <v>458</v>
      </c>
      <c r="AQ1" s="1" t="s">
        <v>460</v>
      </c>
      <c r="AR1" s="1" t="s">
        <v>463</v>
      </c>
      <c r="AS1" s="1" t="s">
        <v>465</v>
      </c>
      <c r="AT1" s="1" t="s">
        <v>468</v>
      </c>
      <c r="AU1" s="1" t="s">
        <v>439</v>
      </c>
      <c r="AV1" s="1" t="s">
        <v>442</v>
      </c>
      <c r="AW1" s="1" t="s">
        <v>447</v>
      </c>
      <c r="AX1" s="1" t="s">
        <v>449</v>
      </c>
      <c r="AY1" s="1" t="s">
        <v>452</v>
      </c>
      <c r="AZ1" s="1" t="s">
        <v>455</v>
      </c>
    </row>
    <row r="2" spans="1:52" ht="20.149999999999999" customHeight="1" x14ac:dyDescent="0.35">
      <c r="A2" s="39">
        <v>1</v>
      </c>
      <c r="B2" s="48"/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49999999999999" customHeight="1" x14ac:dyDescent="0.35">
      <c r="A3" s="39">
        <v>2</v>
      </c>
      <c r="B3" s="48"/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49999999999999" customHeight="1" x14ac:dyDescent="0.35">
      <c r="A4" s="39">
        <v>3</v>
      </c>
      <c r="B4" s="48"/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49999999999999" customHeight="1" x14ac:dyDescent="0.35">
      <c r="A5" s="39">
        <v>4</v>
      </c>
      <c r="B5" s="48"/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49999999999999" customHeight="1" x14ac:dyDescent="0.35">
      <c r="A6" s="39">
        <v>5</v>
      </c>
      <c r="B6" s="48"/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49999999999999" customHeight="1" x14ac:dyDescent="0.35">
      <c r="A7" s="39">
        <v>6</v>
      </c>
      <c r="B7" s="48"/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49999999999999" customHeight="1" x14ac:dyDescent="0.35">
      <c r="A8" s="39">
        <v>7</v>
      </c>
      <c r="B8" s="48"/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49999999999999" customHeight="1" x14ac:dyDescent="0.35">
      <c r="A9" s="39">
        <v>8</v>
      </c>
      <c r="B9" s="48"/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49999999999999" customHeight="1" x14ac:dyDescent="0.35">
      <c r="A10" s="39">
        <v>9</v>
      </c>
      <c r="B10" s="48"/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49999999999999" customHeight="1" x14ac:dyDescent="0.35">
      <c r="A11" s="39">
        <v>10</v>
      </c>
      <c r="B11" s="48"/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49999999999999" customHeight="1" x14ac:dyDescent="0.35">
      <c r="A12" s="39">
        <v>11</v>
      </c>
      <c r="B12" s="48"/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49999999999999" customHeight="1" x14ac:dyDescent="0.35">
      <c r="A13" s="39">
        <v>12</v>
      </c>
      <c r="B13" s="48"/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49999999999999" customHeight="1" x14ac:dyDescent="0.35">
      <c r="A14" s="39">
        <v>13</v>
      </c>
      <c r="B14" s="48"/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49999999999999" customHeight="1" x14ac:dyDescent="0.35">
      <c r="A15" s="39">
        <v>14</v>
      </c>
      <c r="B15" s="48"/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49999999999999" customHeight="1" x14ac:dyDescent="0.35">
      <c r="A16" s="39">
        <v>15</v>
      </c>
      <c r="B16" s="48"/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49999999999999" customHeight="1" x14ac:dyDescent="0.35">
      <c r="A17" s="39">
        <v>16</v>
      </c>
      <c r="B17" s="48"/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49999999999999" customHeight="1" x14ac:dyDescent="0.35">
      <c r="A18" s="39">
        <v>17</v>
      </c>
      <c r="B18" s="48"/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49999999999999" customHeight="1" x14ac:dyDescent="0.35">
      <c r="A19" s="39">
        <v>18</v>
      </c>
      <c r="B19" s="48"/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49999999999999" customHeight="1" x14ac:dyDescent="0.35">
      <c r="A20" s="39">
        <v>19</v>
      </c>
      <c r="B20" s="48"/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49999999999999" customHeight="1" x14ac:dyDescent="0.35">
      <c r="A21" s="39">
        <v>20</v>
      </c>
      <c r="B21" s="48"/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49999999999999" customHeight="1" x14ac:dyDescent="0.35">
      <c r="A22" s="39">
        <v>21</v>
      </c>
      <c r="B22" s="48"/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49999999999999" customHeight="1" x14ac:dyDescent="0.35">
      <c r="A23" s="39">
        <v>1</v>
      </c>
      <c r="B23" s="48"/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49999999999999" customHeight="1" x14ac:dyDescent="0.35">
      <c r="A24" s="39">
        <v>2</v>
      </c>
      <c r="B24" s="48"/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49999999999999" customHeight="1" x14ac:dyDescent="0.35">
      <c r="A25" s="39">
        <v>3</v>
      </c>
      <c r="B25" s="48"/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49999999999999" customHeight="1" x14ac:dyDescent="0.35">
      <c r="A26" s="39">
        <v>4</v>
      </c>
      <c r="B26" s="48"/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49999999999999" customHeight="1" x14ac:dyDescent="0.35">
      <c r="A27" s="39">
        <v>5</v>
      </c>
      <c r="B27" s="48"/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49999999999999" customHeight="1" x14ac:dyDescent="0.35">
      <c r="A28" s="39">
        <v>6</v>
      </c>
      <c r="B28" s="48"/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49999999999999" customHeight="1" x14ac:dyDescent="0.35">
      <c r="A29" s="39">
        <v>7</v>
      </c>
      <c r="B29" s="48"/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49999999999999" customHeight="1" x14ac:dyDescent="0.35">
      <c r="A30" s="39">
        <v>8</v>
      </c>
      <c r="B30" s="48"/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49999999999999" customHeight="1" x14ac:dyDescent="0.35">
      <c r="A31" s="39">
        <v>9</v>
      </c>
      <c r="B31" s="48"/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49999999999999" customHeight="1" x14ac:dyDescent="0.35">
      <c r="A32" s="39">
        <v>10</v>
      </c>
      <c r="B32" s="48"/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49999999999999" customHeight="1" x14ac:dyDescent="0.35">
      <c r="A33" s="39">
        <v>11</v>
      </c>
      <c r="B33" s="48"/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49999999999999" customHeight="1" x14ac:dyDescent="0.35">
      <c r="A34" s="39">
        <v>12</v>
      </c>
      <c r="B34" s="48"/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49999999999999" customHeight="1" x14ac:dyDescent="0.35">
      <c r="A35" s="39">
        <v>13</v>
      </c>
      <c r="B35" s="48"/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49999999999999" customHeight="1" x14ac:dyDescent="0.35">
      <c r="A36" s="39">
        <v>14</v>
      </c>
      <c r="B36" s="48"/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49999999999999" customHeight="1" x14ac:dyDescent="0.35">
      <c r="A37" s="39">
        <v>15</v>
      </c>
      <c r="B37" s="48"/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49999999999999" customHeight="1" x14ac:dyDescent="0.35">
      <c r="A38" s="39">
        <v>16</v>
      </c>
      <c r="B38" s="48"/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49999999999999" customHeight="1" x14ac:dyDescent="0.35">
      <c r="A39" s="39">
        <v>17</v>
      </c>
      <c r="B39" s="48"/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49999999999999" customHeight="1" x14ac:dyDescent="0.35">
      <c r="A40" s="39">
        <v>18</v>
      </c>
      <c r="B40" s="48"/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49999999999999" customHeight="1" x14ac:dyDescent="0.35">
      <c r="A41" s="39">
        <v>19</v>
      </c>
      <c r="B41" s="48"/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49999999999999" customHeight="1" x14ac:dyDescent="0.35">
      <c r="A42" s="39">
        <v>20</v>
      </c>
      <c r="B42" s="48"/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49999999999999" customHeight="1" x14ac:dyDescent="0.35">
      <c r="A43" s="39">
        <v>21</v>
      </c>
      <c r="B43" s="48"/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49999999999999" customHeight="1" x14ac:dyDescent="0.35">
      <c r="A44" s="39">
        <v>22</v>
      </c>
      <c r="B44" s="48"/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49999999999999" customHeight="1" x14ac:dyDescent="0.35">
      <c r="A45" s="39">
        <v>23</v>
      </c>
      <c r="B45" s="48"/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49999999999999" customHeight="1" x14ac:dyDescent="0.35">
      <c r="A46" s="39">
        <v>24</v>
      </c>
      <c r="B46" s="48"/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49999999999999" customHeight="1" x14ac:dyDescent="0.35">
      <c r="A47" s="39">
        <v>25</v>
      </c>
      <c r="B47" s="48"/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49999999999999" customHeight="1" x14ac:dyDescent="0.35">
      <c r="A48" s="39">
        <v>1</v>
      </c>
      <c r="B48" s="48"/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49999999999999" customHeight="1" x14ac:dyDescent="0.35">
      <c r="A49" s="39">
        <v>2</v>
      </c>
      <c r="B49" s="48"/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49999999999999" customHeight="1" x14ac:dyDescent="0.35">
      <c r="A50" s="39">
        <v>3</v>
      </c>
      <c r="B50" s="48"/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49999999999999" customHeight="1" x14ac:dyDescent="0.35">
      <c r="A51" s="39">
        <v>4</v>
      </c>
      <c r="B51" s="48"/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49999999999999" customHeight="1" x14ac:dyDescent="0.35">
      <c r="A52" s="39">
        <v>5</v>
      </c>
      <c r="B52" s="48"/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49999999999999" customHeight="1" x14ac:dyDescent="0.35">
      <c r="A53" s="39">
        <v>6</v>
      </c>
      <c r="B53" s="48"/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49999999999999" customHeight="1" x14ac:dyDescent="0.35">
      <c r="A54" s="39">
        <v>7</v>
      </c>
      <c r="B54" s="48"/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49999999999999" customHeight="1" x14ac:dyDescent="0.35">
      <c r="A55" s="39">
        <v>8</v>
      </c>
      <c r="B55" s="48"/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49999999999999" customHeight="1" x14ac:dyDescent="0.35">
      <c r="A56" s="39">
        <v>9</v>
      </c>
      <c r="B56" s="48"/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49999999999999" customHeight="1" x14ac:dyDescent="0.35">
      <c r="A57" s="39">
        <v>10</v>
      </c>
      <c r="B57" s="48"/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49999999999999" customHeight="1" x14ac:dyDescent="0.35">
      <c r="A58" s="39" t="s">
        <v>867</v>
      </c>
      <c r="B58" s="48"/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49999999999999" customHeight="1" x14ac:dyDescent="0.35">
      <c r="A59" s="39" t="s">
        <v>868</v>
      </c>
      <c r="B59" s="48"/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49999999999999" customHeight="1" x14ac:dyDescent="0.35">
      <c r="A60" s="39">
        <v>11</v>
      </c>
      <c r="B60" s="48"/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49999999999999" customHeight="1" x14ac:dyDescent="0.35">
      <c r="A61" s="39">
        <v>12</v>
      </c>
      <c r="B61" s="48"/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49999999999999" customHeight="1" x14ac:dyDescent="0.35">
      <c r="A62" s="39">
        <v>13</v>
      </c>
      <c r="B62" s="48"/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49999999999999" customHeight="1" x14ac:dyDescent="0.35">
      <c r="A63" s="39">
        <v>14</v>
      </c>
      <c r="B63" s="48"/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49999999999999" customHeight="1" x14ac:dyDescent="0.35">
      <c r="A64" s="39" t="s">
        <v>869</v>
      </c>
      <c r="B64" s="48"/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49999999999999" customHeight="1" x14ac:dyDescent="0.35">
      <c r="A65" s="39">
        <v>15</v>
      </c>
      <c r="B65" s="48"/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49999999999999" customHeight="1" x14ac:dyDescent="0.35">
      <c r="A66" s="39">
        <v>16</v>
      </c>
      <c r="B66" s="48"/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49999999999999" customHeight="1" x14ac:dyDescent="0.35">
      <c r="A67" s="39" t="s">
        <v>870</v>
      </c>
      <c r="B67" s="48"/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49999999999999" customHeight="1" x14ac:dyDescent="0.35">
      <c r="A68" s="39">
        <v>17</v>
      </c>
      <c r="B68" s="48"/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49999999999999" customHeight="1" x14ac:dyDescent="0.35">
      <c r="A69" s="39">
        <v>18</v>
      </c>
      <c r="B69" s="48"/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49999999999999" customHeight="1" x14ac:dyDescent="0.35">
      <c r="A70" s="39">
        <v>1</v>
      </c>
      <c r="B70" s="40"/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49999999999999" customHeight="1" x14ac:dyDescent="0.35">
      <c r="A71" s="39">
        <v>2</v>
      </c>
      <c r="B71" s="40"/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49999999999999" customHeight="1" x14ac:dyDescent="0.35">
      <c r="A72" s="39">
        <v>3</v>
      </c>
      <c r="B72" s="40"/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49999999999999" customHeight="1" x14ac:dyDescent="0.35">
      <c r="A73" s="39">
        <v>4</v>
      </c>
      <c r="B73" s="40"/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49999999999999" customHeight="1" x14ac:dyDescent="0.35">
      <c r="A74" s="39" t="s">
        <v>871</v>
      </c>
      <c r="B74" s="40"/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49999999999999" customHeight="1" x14ac:dyDescent="0.35">
      <c r="A75" s="39">
        <v>5</v>
      </c>
      <c r="B75" s="40"/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49999999999999" customHeight="1" x14ac:dyDescent="0.35">
      <c r="A76" s="39" t="s">
        <v>886</v>
      </c>
      <c r="B76" s="40"/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49999999999999" customHeight="1" x14ac:dyDescent="0.35">
      <c r="A77" s="39" t="s">
        <v>887</v>
      </c>
      <c r="B77" s="40"/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49999999999999" customHeight="1" x14ac:dyDescent="0.35">
      <c r="A78" s="39" t="s">
        <v>888</v>
      </c>
      <c r="B78" s="40"/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49999999999999" customHeight="1" x14ac:dyDescent="0.35">
      <c r="A79" s="39" t="s">
        <v>891</v>
      </c>
      <c r="B79" s="40"/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49999999999999" customHeight="1" x14ac:dyDescent="0.35">
      <c r="A80" s="39" t="s">
        <v>889</v>
      </c>
      <c r="B80" s="40"/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49999999999999" customHeight="1" x14ac:dyDescent="0.35">
      <c r="A81" s="39" t="s">
        <v>890</v>
      </c>
      <c r="B81" s="40"/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49999999999999" customHeight="1" x14ac:dyDescent="0.35">
      <c r="A82" s="39" t="s">
        <v>892</v>
      </c>
      <c r="B82" s="40"/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49999999999999" customHeight="1" x14ac:dyDescent="0.35">
      <c r="A83" s="39" t="s">
        <v>900</v>
      </c>
      <c r="B83" s="40"/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49999999999999" customHeight="1" x14ac:dyDescent="0.35">
      <c r="A84" s="39" t="s">
        <v>893</v>
      </c>
      <c r="B84" s="40"/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49999999999999" customHeight="1" x14ac:dyDescent="0.35">
      <c r="A85" s="39" t="s">
        <v>894</v>
      </c>
      <c r="B85" s="40"/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49999999999999" customHeight="1" x14ac:dyDescent="0.35">
      <c r="A86" s="39" t="s">
        <v>895</v>
      </c>
      <c r="B86" s="40"/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49999999999999" customHeight="1" x14ac:dyDescent="0.35">
      <c r="A87" s="39" t="s">
        <v>896</v>
      </c>
      <c r="B87" s="40"/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49999999999999" customHeight="1" x14ac:dyDescent="0.35">
      <c r="A88" s="39" t="s">
        <v>897</v>
      </c>
      <c r="B88" s="40"/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49999999999999" customHeight="1" x14ac:dyDescent="0.35">
      <c r="A89" s="39" t="s">
        <v>898</v>
      </c>
      <c r="B89" s="40"/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49999999999999" customHeight="1" x14ac:dyDescent="0.35">
      <c r="A90" s="39" t="s">
        <v>899</v>
      </c>
      <c r="B90" s="40"/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49999999999999" customHeight="1" x14ac:dyDescent="0.35">
      <c r="A91" s="39" t="s">
        <v>885</v>
      </c>
      <c r="B91" s="40"/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49999999999999" customHeight="1" x14ac:dyDescent="0.35">
      <c r="A92" s="39" t="s">
        <v>916</v>
      </c>
      <c r="B92" s="40"/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49999999999999" customHeight="1" x14ac:dyDescent="0.35">
      <c r="A93" s="39" t="s">
        <v>917</v>
      </c>
      <c r="B93" s="40"/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49999999999999" customHeight="1" x14ac:dyDescent="0.35">
      <c r="A94" s="39" t="s">
        <v>918</v>
      </c>
      <c r="B94" s="40"/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49999999999999" customHeight="1" x14ac:dyDescent="0.35">
      <c r="A95" s="39" t="s">
        <v>919</v>
      </c>
      <c r="B95" s="40"/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49999999999999" customHeight="1" x14ac:dyDescent="0.35">
      <c r="A96" s="39" t="s">
        <v>920</v>
      </c>
      <c r="B96" s="40"/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49999999999999" customHeight="1" x14ac:dyDescent="0.35">
      <c r="A97" s="39" t="s">
        <v>921</v>
      </c>
      <c r="B97" s="40"/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49999999999999" customHeight="1" x14ac:dyDescent="0.35">
      <c r="A98" s="39" t="s">
        <v>922</v>
      </c>
      <c r="B98" s="40"/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49999999999999" customHeight="1" x14ac:dyDescent="0.35">
      <c r="A99" s="39" t="s">
        <v>923</v>
      </c>
      <c r="B99" s="40"/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49999999999999" customHeight="1" x14ac:dyDescent="0.35">
      <c r="A100" s="39" t="s">
        <v>924</v>
      </c>
      <c r="B100" s="40"/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49999999999999" customHeight="1" x14ac:dyDescent="0.35">
      <c r="A101" s="39" t="s">
        <v>925</v>
      </c>
      <c r="B101" s="40"/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49999999999999" customHeight="1" x14ac:dyDescent="0.35">
      <c r="A102" s="39" t="s">
        <v>926</v>
      </c>
      <c r="B102" s="40"/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49999999999999" customHeight="1" x14ac:dyDescent="0.35">
      <c r="A103" s="39" t="s">
        <v>927</v>
      </c>
      <c r="B103" s="40"/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49999999999999" customHeight="1" x14ac:dyDescent="0.35">
      <c r="A104" s="39" t="s">
        <v>928</v>
      </c>
      <c r="B104" s="40"/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49999999999999" customHeight="1" x14ac:dyDescent="0.35">
      <c r="A105" s="39" t="s">
        <v>929</v>
      </c>
      <c r="B105" s="40"/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49999999999999" customHeight="1" x14ac:dyDescent="0.35">
      <c r="A106" s="39" t="s">
        <v>930</v>
      </c>
      <c r="B106" s="40"/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49999999999999" customHeight="1" x14ac:dyDescent="0.35">
      <c r="A107" s="39" t="s">
        <v>931</v>
      </c>
      <c r="B107" s="40"/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49999999999999" customHeight="1" x14ac:dyDescent="0.35">
      <c r="A108" s="39" t="s">
        <v>932</v>
      </c>
      <c r="B108" s="40"/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49999999999999" customHeight="1" x14ac:dyDescent="0.35">
      <c r="A109" s="39" t="s">
        <v>933</v>
      </c>
      <c r="B109" s="40"/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49999999999999" customHeight="1" x14ac:dyDescent="0.35">
      <c r="A110" s="39" t="s">
        <v>934</v>
      </c>
      <c r="B110" s="40"/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49999999999999" customHeight="1" x14ac:dyDescent="0.35">
      <c r="A111" s="39" t="s">
        <v>935</v>
      </c>
      <c r="B111" s="40"/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49999999999999" customHeight="1" x14ac:dyDescent="0.35">
      <c r="A112" s="39" t="s">
        <v>936</v>
      </c>
      <c r="B112" s="40"/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49999999999999" customHeight="1" x14ac:dyDescent="0.35">
      <c r="A113" s="39">
        <v>1</v>
      </c>
      <c r="B113" s="40"/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49999999999999" customHeight="1" x14ac:dyDescent="0.35">
      <c r="A114" s="39">
        <v>2</v>
      </c>
      <c r="B114" s="40"/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49999999999999" customHeight="1" x14ac:dyDescent="0.35">
      <c r="A115" s="39">
        <v>3</v>
      </c>
      <c r="B115" s="40"/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49999999999999" customHeight="1" x14ac:dyDescent="0.35">
      <c r="A116" s="39">
        <v>4</v>
      </c>
      <c r="B116" s="40"/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49999999999999" customHeight="1" x14ac:dyDescent="0.35">
      <c r="A117" s="39">
        <v>5</v>
      </c>
      <c r="B117" s="40"/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49999999999999" customHeight="1" x14ac:dyDescent="0.35">
      <c r="A118" s="39">
        <v>6</v>
      </c>
      <c r="B118" s="40"/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49999999999999" customHeight="1" x14ac:dyDescent="0.35">
      <c r="A119" s="39">
        <v>7</v>
      </c>
      <c r="B119" s="40"/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49999999999999" customHeight="1" x14ac:dyDescent="0.35">
      <c r="A120" s="39">
        <v>1</v>
      </c>
      <c r="B120" s="40"/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49999999999999" customHeight="1" x14ac:dyDescent="0.35">
      <c r="A121" s="39">
        <v>2</v>
      </c>
      <c r="B121" s="40"/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49999999999999" customHeight="1" x14ac:dyDescent="0.35">
      <c r="A122" s="39">
        <v>3</v>
      </c>
      <c r="B122" s="40"/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49999999999999" customHeight="1" x14ac:dyDescent="0.35">
      <c r="A123" s="39">
        <v>4</v>
      </c>
      <c r="B123" s="40"/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49999999999999" customHeight="1" x14ac:dyDescent="0.35">
      <c r="A124" s="39">
        <v>5</v>
      </c>
      <c r="B124" s="40"/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49999999999999" customHeight="1" x14ac:dyDescent="0.35">
      <c r="A125" s="39">
        <v>6</v>
      </c>
      <c r="B125" s="40"/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49999999999999" customHeight="1" x14ac:dyDescent="0.35">
      <c r="A126" s="39">
        <v>7</v>
      </c>
      <c r="B126" s="40"/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49999999999999" customHeight="1" x14ac:dyDescent="0.35">
      <c r="A127" s="39">
        <v>1</v>
      </c>
      <c r="B127" s="40"/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49999999999999" customHeight="1" x14ac:dyDescent="0.35">
      <c r="A128" s="39">
        <v>2</v>
      </c>
      <c r="B128" s="40"/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49999999999999" customHeight="1" x14ac:dyDescent="0.35">
      <c r="A129" s="39">
        <v>3</v>
      </c>
      <c r="B129" s="40"/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49999999999999" customHeight="1" x14ac:dyDescent="0.35">
      <c r="A130" s="39">
        <v>4</v>
      </c>
      <c r="B130" s="40"/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49999999999999" customHeight="1" x14ac:dyDescent="0.35">
      <c r="A131" s="39">
        <v>1</v>
      </c>
      <c r="B131" s="40"/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49999999999999" customHeight="1" x14ac:dyDescent="0.35">
      <c r="A132" s="39">
        <v>2</v>
      </c>
      <c r="B132" s="40"/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49999999999999" customHeight="1" x14ac:dyDescent="0.35">
      <c r="A133" s="39">
        <v>3</v>
      </c>
      <c r="B133" s="40"/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49999999999999" customHeight="1" x14ac:dyDescent="0.35">
      <c r="A134" s="39">
        <v>4</v>
      </c>
      <c r="B134" s="40"/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49999999999999" customHeight="1" x14ac:dyDescent="0.35">
      <c r="A135" s="39">
        <v>5</v>
      </c>
      <c r="B135" s="40"/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49999999999999" customHeight="1" x14ac:dyDescent="0.35">
      <c r="A136" s="39">
        <v>6</v>
      </c>
      <c r="B136" s="40"/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49999999999999" customHeight="1" x14ac:dyDescent="0.35">
      <c r="A137" s="39">
        <v>7</v>
      </c>
      <c r="B137" s="40"/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49999999999999" customHeight="1" x14ac:dyDescent="0.35">
      <c r="A138" s="39">
        <v>8</v>
      </c>
      <c r="B138" s="40"/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49999999999999" customHeight="1" x14ac:dyDescent="0.35">
      <c r="A139" s="39">
        <v>9</v>
      </c>
      <c r="B139" s="40"/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49999999999999" customHeight="1" x14ac:dyDescent="0.35">
      <c r="A140" s="39">
        <v>10</v>
      </c>
      <c r="B140" s="40"/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49999999999999" customHeight="1" x14ac:dyDescent="0.35">
      <c r="A141" s="39">
        <v>1</v>
      </c>
      <c r="B141" s="40"/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49999999999999" customHeight="1" x14ac:dyDescent="0.35">
      <c r="A142" s="39">
        <v>2</v>
      </c>
      <c r="B142" s="40"/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49999999999999" customHeight="1" x14ac:dyDescent="0.35">
      <c r="A143" s="39"/>
      <c r="B143" s="40"/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49999999999999" customHeight="1" x14ac:dyDescent="0.35">
      <c r="A144" s="39"/>
      <c r="B144" s="40"/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49999999999999" customHeight="1" x14ac:dyDescent="0.35">
      <c r="A145" s="39"/>
      <c r="B145" s="40"/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49999999999999" customHeight="1" x14ac:dyDescent="0.35">
      <c r="A146" s="39"/>
      <c r="B146" s="40"/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49999999999999" customHeight="1" x14ac:dyDescent="0.35">
      <c r="A147" s="39"/>
      <c r="B147" s="40"/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49999999999999" customHeight="1" x14ac:dyDescent="0.35">
      <c r="A148" s="39"/>
      <c r="B148" s="40"/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49999999999999" customHeight="1" x14ac:dyDescent="0.35">
      <c r="A149" s="39"/>
      <c r="B149" s="40"/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49999999999999" customHeight="1" x14ac:dyDescent="0.35">
      <c r="A150" s="39"/>
      <c r="B150" s="40"/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49999999999999" customHeight="1" x14ac:dyDescent="0.35">
      <c r="A151" s="39"/>
      <c r="B151" s="40"/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49999999999999" customHeight="1" x14ac:dyDescent="0.35">
      <c r="A152" s="39"/>
      <c r="B152" s="40"/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49999999999999" customHeight="1" x14ac:dyDescent="0.35">
      <c r="A153" s="39"/>
      <c r="B153" s="40"/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49999999999999" customHeight="1" x14ac:dyDescent="0.35">
      <c r="A154" s="39"/>
      <c r="B154" s="40"/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49999999999999" customHeight="1" x14ac:dyDescent="0.35">
      <c r="A155" s="39"/>
      <c r="B155" s="40"/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49999999999999" customHeight="1" x14ac:dyDescent="0.35">
      <c r="A156" s="39"/>
      <c r="B156" s="40"/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49999999999999" customHeight="1" x14ac:dyDescent="0.35">
      <c r="A157" s="39"/>
      <c r="B157" s="40"/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49999999999999" customHeight="1" x14ac:dyDescent="0.35">
      <c r="A158" s="39"/>
      <c r="B158" s="40"/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49999999999999" customHeight="1" x14ac:dyDescent="0.35">
      <c r="A159" s="39"/>
      <c r="B159" s="40"/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49999999999999" customHeight="1" x14ac:dyDescent="0.35">
      <c r="A160" s="39"/>
      <c r="B160" s="40"/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49999999999999" customHeight="1" x14ac:dyDescent="0.35">
      <c r="A161" s="39"/>
      <c r="B161" s="40"/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49999999999999" customHeight="1" x14ac:dyDescent="0.35">
      <c r="A162" s="39"/>
      <c r="B162" s="40"/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49999999999999" customHeight="1" x14ac:dyDescent="0.35">
      <c r="A163" s="39"/>
      <c r="B163" s="40"/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49999999999999" customHeight="1" x14ac:dyDescent="0.35">
      <c r="A164" s="39"/>
      <c r="B164" s="40"/>
      <c r="C164" s="16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49999999999999" customHeight="1" x14ac:dyDescent="0.35">
      <c r="A165" s="39"/>
      <c r="B165" s="40"/>
      <c r="C165" s="16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49999999999999" customHeight="1" x14ac:dyDescent="0.35">
      <c r="A166" s="39"/>
      <c r="B166" s="40"/>
      <c r="C166" s="16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49999999999999" customHeight="1" x14ac:dyDescent="0.35">
      <c r="A167" s="39"/>
      <c r="B167" s="40"/>
      <c r="C167" s="16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49999999999999" customHeight="1" x14ac:dyDescent="0.35">
      <c r="A168" s="39"/>
      <c r="B168" s="40"/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49999999999999" customHeight="1" x14ac:dyDescent="0.35">
      <c r="A169" s="39"/>
      <c r="B169" s="40"/>
      <c r="C169" s="16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49999999999999" customHeight="1" x14ac:dyDescent="0.35">
      <c r="A170" s="39"/>
      <c r="B170" s="40"/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49999999999999" customHeight="1" x14ac:dyDescent="0.35">
      <c r="A171" s="39"/>
      <c r="B171" s="40"/>
      <c r="C171" s="16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49999999999999" customHeight="1" x14ac:dyDescent="0.35">
      <c r="A172" s="39"/>
      <c r="B172" s="40"/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49999999999999" customHeight="1" x14ac:dyDescent="0.35">
      <c r="A173" s="39"/>
      <c r="B173" s="40"/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49999999999999" customHeight="1" x14ac:dyDescent="0.35">
      <c r="A174" s="39"/>
      <c r="B174" s="48"/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49999999999999" customHeight="1" x14ac:dyDescent="0.35">
      <c r="A175" s="39"/>
      <c r="B175" s="40"/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49999999999999" customHeight="1" x14ac:dyDescent="0.35">
      <c r="A176" s="39"/>
      <c r="B176" s="40"/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49999999999999" customHeight="1" x14ac:dyDescent="0.35">
      <c r="A177" s="39"/>
      <c r="B177" s="40"/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49999999999999" customHeight="1" x14ac:dyDescent="0.35">
      <c r="A178" s="39"/>
      <c r="B178" s="40"/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49999999999999" customHeight="1" x14ac:dyDescent="0.35">
      <c r="A179" s="39"/>
      <c r="B179" s="40"/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49999999999999" customHeight="1" x14ac:dyDescent="0.35">
      <c r="A180" s="39"/>
      <c r="B180" s="40"/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49999999999999" customHeight="1" x14ac:dyDescent="0.35">
      <c r="A181" s="39"/>
      <c r="B181" s="40"/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49999999999999" customHeight="1" x14ac:dyDescent="0.35">
      <c r="A182" s="39"/>
      <c r="B182" s="40"/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49999999999999" customHeight="1" x14ac:dyDescent="0.35">
      <c r="A183" s="39"/>
      <c r="B183" s="40"/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49999999999999" customHeight="1" x14ac:dyDescent="0.35">
      <c r="A184" s="39"/>
      <c r="B184" s="40"/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49999999999999" customHeight="1" x14ac:dyDescent="0.35">
      <c r="A185" s="39"/>
      <c r="B185" s="40"/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49999999999999" customHeight="1" x14ac:dyDescent="0.35">
      <c r="A186" s="39"/>
      <c r="B186" s="40"/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49999999999999" customHeight="1" x14ac:dyDescent="0.35">
      <c r="A187" s="39"/>
      <c r="B187" s="40"/>
      <c r="C187" s="16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49999999999999" customHeight="1" x14ac:dyDescent="0.35">
      <c r="A188" s="39"/>
      <c r="B188" s="40"/>
      <c r="C188" s="16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49999999999999" customHeight="1" x14ac:dyDescent="0.35">
      <c r="A189" s="39"/>
      <c r="B189" s="40"/>
      <c r="C189" s="16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49999999999999" customHeight="1" x14ac:dyDescent="0.35">
      <c r="A190" s="39"/>
      <c r="B190" s="40"/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49999999999999" customHeight="1" x14ac:dyDescent="0.35">
      <c r="A191" s="39"/>
      <c r="B191" s="40"/>
      <c r="C191" s="16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49999999999999" customHeight="1" x14ac:dyDescent="0.35">
      <c r="A192" s="39"/>
      <c r="B192" s="40"/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49999999999999" customHeight="1" x14ac:dyDescent="0.35">
      <c r="A193" s="39"/>
      <c r="B193" s="40"/>
      <c r="C193" s="16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49999999999999" customHeight="1" x14ac:dyDescent="0.35">
      <c r="A194" s="39"/>
      <c r="B194" s="40"/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49999999999999" customHeight="1" x14ac:dyDescent="0.35">
      <c r="A195" s="39"/>
      <c r="B195" s="40"/>
      <c r="C195" s="16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49999999999999" customHeight="1" x14ac:dyDescent="0.35">
      <c r="A196" s="39"/>
      <c r="B196" s="40"/>
      <c r="C196" s="16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49999999999999" customHeight="1" x14ac:dyDescent="0.35">
      <c r="A197" s="39"/>
      <c r="B197" s="40"/>
      <c r="C197" s="16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49999999999999" customHeight="1" x14ac:dyDescent="0.35">
      <c r="A198" s="39"/>
      <c r="B198" s="40"/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49999999999999" customHeight="1" x14ac:dyDescent="0.35">
      <c r="A199" s="39"/>
      <c r="B199" s="40"/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49999999999999" customHeight="1" x14ac:dyDescent="0.35">
      <c r="A200" s="39"/>
      <c r="B200" s="40"/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49999999999999" customHeight="1" x14ac:dyDescent="0.35">
      <c r="A201" s="39"/>
      <c r="B201" s="40"/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49999999999999" customHeight="1" x14ac:dyDescent="0.35">
      <c r="A202" s="39"/>
      <c r="B202" s="40"/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49999999999999" customHeight="1" x14ac:dyDescent="0.35">
      <c r="A203" s="39"/>
      <c r="B203" s="40"/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49999999999999" customHeight="1" x14ac:dyDescent="0.35">
      <c r="A204" s="39"/>
      <c r="B204" s="40"/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49999999999999" customHeight="1" x14ac:dyDescent="0.35">
      <c r="A205" s="39"/>
      <c r="B205" s="40"/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49999999999999" customHeight="1" x14ac:dyDescent="0.35">
      <c r="A206" s="39"/>
      <c r="B206" s="40"/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49999999999999" customHeight="1" x14ac:dyDescent="0.35">
      <c r="A207" s="39"/>
      <c r="B207" s="40"/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49999999999999" customHeight="1" x14ac:dyDescent="0.35">
      <c r="A208" s="39"/>
      <c r="B208" s="40"/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49999999999999" customHeight="1" x14ac:dyDescent="0.35">
      <c r="A209" s="39"/>
      <c r="B209" s="40"/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49999999999999" customHeight="1" x14ac:dyDescent="0.35">
      <c r="A210" s="39"/>
      <c r="B210" s="40"/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49999999999999" customHeight="1" x14ac:dyDescent="0.35">
      <c r="A211" s="39"/>
      <c r="B211" s="40"/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49999999999999" customHeight="1" x14ac:dyDescent="0.35">
      <c r="A212" s="39"/>
      <c r="B212" s="40"/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49999999999999" customHeight="1" x14ac:dyDescent="0.35">
      <c r="A213" s="39"/>
      <c r="B213" s="40"/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49999999999999" customHeight="1" x14ac:dyDescent="0.35">
      <c r="A214" s="39"/>
      <c r="B214" s="40"/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49999999999999" customHeight="1" x14ac:dyDescent="0.35">
      <c r="A215" s="39"/>
      <c r="B215" s="40"/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49999999999999" customHeight="1" x14ac:dyDescent="0.35">
      <c r="A216" s="39"/>
      <c r="B216" s="40"/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49999999999999" customHeight="1" x14ac:dyDescent="0.35">
      <c r="A217" s="39"/>
      <c r="B217" s="40"/>
      <c r="C217" s="16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49999999999999" customHeight="1" x14ac:dyDescent="0.35">
      <c r="A218" s="39"/>
      <c r="B218" s="40"/>
      <c r="C218" s="16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49999999999999" customHeight="1" x14ac:dyDescent="0.35">
      <c r="A219" s="39"/>
      <c r="B219" s="40"/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49999999999999" customHeight="1" x14ac:dyDescent="0.35">
      <c r="A220" s="39"/>
      <c r="B220" s="40"/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49999999999999" customHeight="1" x14ac:dyDescent="0.35">
      <c r="A221" s="39"/>
      <c r="B221" s="40"/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49999999999999" customHeight="1" x14ac:dyDescent="0.35">
      <c r="A222" s="39"/>
      <c r="B222" s="40"/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49999999999999" customHeight="1" x14ac:dyDescent="0.35">
      <c r="A223" s="39"/>
      <c r="B223" s="40"/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49999999999999" customHeight="1" x14ac:dyDescent="0.35">
      <c r="A224" s="39"/>
      <c r="B224" s="40"/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49999999999999" customHeight="1" x14ac:dyDescent="0.35">
      <c r="A225" s="39"/>
      <c r="B225" s="40"/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49999999999999" customHeight="1" x14ac:dyDescent="0.35">
      <c r="A226" s="39"/>
      <c r="B226" s="40"/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49999999999999" customHeight="1" x14ac:dyDescent="0.35">
      <c r="A227" s="39"/>
      <c r="B227" s="40"/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49999999999999" customHeight="1" x14ac:dyDescent="0.35">
      <c r="A228" s="39"/>
      <c r="B228" s="40"/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49999999999999" customHeight="1" x14ac:dyDescent="0.35">
      <c r="A229" s="39"/>
      <c r="B229" s="40"/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49999999999999" customHeight="1" x14ac:dyDescent="0.35">
      <c r="A230" s="39"/>
      <c r="B230" s="40"/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49999999999999" customHeight="1" x14ac:dyDescent="0.35">
      <c r="A231" s="39"/>
      <c r="B231" s="40"/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49999999999999" customHeight="1" x14ac:dyDescent="0.35">
      <c r="A232" s="39"/>
      <c r="B232" s="40"/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49999999999999" customHeight="1" x14ac:dyDescent="0.35">
      <c r="A233" s="39"/>
      <c r="B233" s="40"/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49999999999999" customHeight="1" x14ac:dyDescent="0.35">
      <c r="A234" s="39"/>
      <c r="B234" s="40"/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49999999999999" customHeight="1" x14ac:dyDescent="0.35">
      <c r="A235" s="39"/>
      <c r="B235" s="40"/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49999999999999" customHeight="1" x14ac:dyDescent="0.35">
      <c r="A236" s="39"/>
      <c r="B236" s="40"/>
      <c r="C236" s="16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 xr:uid="{5075E4D3-2D38-4425-B10A-13800C75DFC7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3"/>
  <sheetViews>
    <sheetView workbookViewId="0">
      <selection activeCell="D18" sqref="D18"/>
    </sheetView>
  </sheetViews>
  <sheetFormatPr baseColWidth="10" defaultRowHeight="14.5" x14ac:dyDescent="0.35"/>
  <sheetData>
    <row r="13" spans="3:3" ht="15.5" x14ac:dyDescent="0.35">
      <c r="C13" s="52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02-03-01</vt:lpstr>
      <vt:lpstr>02-03-08</vt:lpstr>
      <vt:lpstr>02-03-09</vt:lpstr>
      <vt:lpstr>02-03-PS</vt:lpstr>
      <vt:lpstr>02-03-PC</vt:lpstr>
      <vt:lpstr>02-03-PU</vt:lpstr>
      <vt:lpstr>02-03-PI</vt:lpstr>
      <vt:lpstr>02-03-PP</vt:lpstr>
      <vt:lpstr>02-03-PRV</vt:lpstr>
      <vt:lpstr>Feuil1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2026-02-17T11:47:56Z</dcterms:created>
  <dcterms:modified xsi:type="dcterms:W3CDTF">2026-02-17T22:37:51Z</dcterms:modified>
</cp:coreProperties>
</file>