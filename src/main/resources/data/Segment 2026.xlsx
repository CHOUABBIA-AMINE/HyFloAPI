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-105" yWindow="-105" windowWidth="19425" windowHeight="10425" tabRatio="718" activeTab="3"/>
  </bookViews>
  <sheets>
    <sheet name="02-03-01" sheetId="1" r:id="rId1"/>
    <sheet name="02-03-08" sheetId="2" r:id="rId2"/>
    <sheet name="02-03-09" sheetId="3" r:id="rId3"/>
    <sheet name="02-03-PS" sheetId="5" r:id="rId4"/>
    <sheet name="02-03-PC" sheetId="8" r:id="rId5"/>
    <sheet name="02-03-PPR" sheetId="10" r:id="rId6"/>
    <sheet name="02-03-PI" sheetId="7" r:id="rId7"/>
    <sheet name="02-03-PP" sheetId="9" r:id="rId8"/>
    <sheet name="02-03-PRVD" sheetId="11" r:id="rId9"/>
    <sheet name="Feuil1" sheetId="6" r:id="rId10"/>
  </sheets>
  <definedNames>
    <definedName name="_xlnm._FilterDatabase" localSheetId="0" hidden="1">'02-03-01'!$A$2:$H$179</definedName>
    <definedName name="_xlnm._FilterDatabase" localSheetId="1" hidden="1">'02-03-08'!$A$1:$AC$59</definedName>
    <definedName name="_xlnm._FilterDatabase" localSheetId="2" hidden="1">'02-03-09'!$A$1:$Z$82</definedName>
    <definedName name="_xlnm._FilterDatabase" localSheetId="4" hidden="1">'02-03-PC'!$A$1:$N$238</definedName>
    <definedName name="_xlnm._FilterDatabase" localSheetId="6" hidden="1">'02-03-PI'!$A$1:$AZ$236</definedName>
    <definedName name="_xlnm._FilterDatabase" localSheetId="7" hidden="1">'02-03-PP'!$A$1:$AZ$296</definedName>
    <definedName name="_xlnm._FilterDatabase" localSheetId="5" hidden="1">'02-03-PPR'!$A$1:$N$238</definedName>
    <definedName name="_xlnm._FilterDatabase" localSheetId="8" hidden="1">'02-03-PRVD'!$A$1:$AZ$37</definedName>
    <definedName name="_xlnm._FilterDatabase" localSheetId="3" hidden="1">'02-03-PS'!$A$1:$N$368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47" i="5" l="1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K247" i="5"/>
  <c r="L247" i="5"/>
  <c r="K248" i="5"/>
  <c r="L248" i="5"/>
  <c r="K249" i="5"/>
  <c r="L249" i="5"/>
  <c r="K250" i="5"/>
  <c r="L250" i="5"/>
  <c r="K251" i="5"/>
  <c r="L251" i="5"/>
  <c r="K252" i="5"/>
  <c r="L252" i="5"/>
  <c r="K253" i="5"/>
  <c r="L253" i="5"/>
  <c r="K254" i="5"/>
  <c r="L254" i="5"/>
  <c r="K255" i="5"/>
  <c r="L255" i="5"/>
  <c r="K256" i="5"/>
  <c r="L256" i="5"/>
  <c r="K257" i="5"/>
  <c r="L257" i="5"/>
  <c r="K258" i="5"/>
  <c r="L258" i="5"/>
  <c r="K259" i="5"/>
  <c r="L259" i="5"/>
  <c r="K260" i="5"/>
  <c r="L260" i="5"/>
  <c r="K261" i="5"/>
  <c r="L261" i="5"/>
  <c r="K262" i="5"/>
  <c r="L262" i="5"/>
  <c r="K263" i="5"/>
  <c r="L263" i="5"/>
  <c r="K264" i="5"/>
  <c r="L264" i="5"/>
  <c r="K265" i="5"/>
  <c r="L265" i="5"/>
  <c r="K266" i="5"/>
  <c r="L266" i="5"/>
  <c r="K267" i="5"/>
  <c r="L267" i="5"/>
  <c r="K268" i="5"/>
  <c r="L268" i="5"/>
  <c r="K269" i="5"/>
  <c r="L269" i="5"/>
  <c r="K270" i="5"/>
  <c r="L270" i="5"/>
  <c r="K271" i="5"/>
  <c r="L271" i="5"/>
  <c r="K272" i="5"/>
  <c r="L272" i="5"/>
  <c r="K273" i="5"/>
  <c r="L273" i="5"/>
  <c r="K274" i="5"/>
  <c r="L274" i="5"/>
  <c r="K275" i="5"/>
  <c r="L275" i="5"/>
  <c r="K276" i="5"/>
  <c r="L276" i="5"/>
  <c r="K277" i="5"/>
  <c r="L277" i="5"/>
  <c r="B231" i="5"/>
  <c r="N231" i="5" s="1"/>
  <c r="C231" i="5"/>
  <c r="B230" i="5"/>
  <c r="N230" i="5" s="1"/>
  <c r="C230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K230" i="5"/>
  <c r="L230" i="5"/>
  <c r="K231" i="5"/>
  <c r="L231" i="5"/>
  <c r="K232" i="5"/>
  <c r="L232" i="5"/>
  <c r="K233" i="5"/>
  <c r="L233" i="5"/>
  <c r="K234" i="5"/>
  <c r="L234" i="5"/>
  <c r="K235" i="5"/>
  <c r="L235" i="5"/>
  <c r="K236" i="5"/>
  <c r="L236" i="5"/>
  <c r="K237" i="5"/>
  <c r="L237" i="5"/>
  <c r="K238" i="5"/>
  <c r="L238" i="5"/>
  <c r="K239" i="5"/>
  <c r="L239" i="5"/>
  <c r="K240" i="5"/>
  <c r="L240" i="5"/>
  <c r="K241" i="5"/>
  <c r="L241" i="5"/>
  <c r="K242" i="5"/>
  <c r="L242" i="5"/>
  <c r="K243" i="5"/>
  <c r="L243" i="5"/>
  <c r="K244" i="5"/>
  <c r="L244" i="5"/>
  <c r="K245" i="5"/>
  <c r="L245" i="5"/>
  <c r="K246" i="5"/>
  <c r="L246" i="5"/>
  <c r="B224" i="5"/>
  <c r="N224" i="5" s="1"/>
  <c r="C224" i="5"/>
  <c r="B225" i="5"/>
  <c r="N225" i="5" s="1"/>
  <c r="C225" i="5"/>
  <c r="B226" i="5"/>
  <c r="C226" i="5"/>
  <c r="B227" i="5"/>
  <c r="C227" i="5"/>
  <c r="N227" i="5" s="1"/>
  <c r="B228" i="5"/>
  <c r="N228" i="5" s="1"/>
  <c r="C228" i="5"/>
  <c r="B229" i="5"/>
  <c r="N229" i="5" s="1"/>
  <c r="C229" i="5"/>
  <c r="B223" i="5"/>
  <c r="N223" i="5" s="1"/>
  <c r="C223" i="5"/>
  <c r="B222" i="5"/>
  <c r="N222" i="5" s="1"/>
  <c r="C222" i="5"/>
  <c r="B221" i="5"/>
  <c r="N221" i="5" s="1"/>
  <c r="C221" i="5"/>
  <c r="B220" i="5"/>
  <c r="N220" i="5" s="1"/>
  <c r="C220" i="5"/>
  <c r="K220" i="5"/>
  <c r="L220" i="5"/>
  <c r="K221" i="5"/>
  <c r="L221" i="5"/>
  <c r="K222" i="5"/>
  <c r="L222" i="5"/>
  <c r="K223" i="5"/>
  <c r="L223" i="5"/>
  <c r="K224" i="5"/>
  <c r="L224" i="5"/>
  <c r="K225" i="5"/>
  <c r="L225" i="5"/>
  <c r="K226" i="5"/>
  <c r="L226" i="5"/>
  <c r="K227" i="5"/>
  <c r="L227" i="5"/>
  <c r="K228" i="5"/>
  <c r="L228" i="5"/>
  <c r="K229" i="5"/>
  <c r="L229" i="5"/>
  <c r="N226" i="5"/>
  <c r="B202" i="5"/>
  <c r="N202" i="5" s="1"/>
  <c r="C202" i="5"/>
  <c r="B203" i="5"/>
  <c r="N203" i="5" s="1"/>
  <c r="C203" i="5"/>
  <c r="B204" i="5"/>
  <c r="C204" i="5"/>
  <c r="N204" i="5" s="1"/>
  <c r="B205" i="5"/>
  <c r="C205" i="5"/>
  <c r="B206" i="5"/>
  <c r="C206" i="5"/>
  <c r="N206" i="5" s="1"/>
  <c r="B207" i="5"/>
  <c r="N207" i="5" s="1"/>
  <c r="C207" i="5"/>
  <c r="B208" i="5"/>
  <c r="C208" i="5"/>
  <c r="B209" i="5"/>
  <c r="C209" i="5"/>
  <c r="N209" i="5" s="1"/>
  <c r="B210" i="5"/>
  <c r="N210" i="5" s="1"/>
  <c r="C210" i="5"/>
  <c r="B211" i="5"/>
  <c r="N211" i="5" s="1"/>
  <c r="C211" i="5"/>
  <c r="B212" i="5"/>
  <c r="C212" i="5"/>
  <c r="N212" i="5" s="1"/>
  <c r="B213" i="5"/>
  <c r="C213" i="5"/>
  <c r="B214" i="5"/>
  <c r="N214" i="5" s="1"/>
  <c r="C214" i="5"/>
  <c r="B215" i="5"/>
  <c r="N215" i="5" s="1"/>
  <c r="C215" i="5"/>
  <c r="B216" i="5"/>
  <c r="C216" i="5"/>
  <c r="B217" i="5"/>
  <c r="C217" i="5"/>
  <c r="N217" i="5" s="1"/>
  <c r="B218" i="5"/>
  <c r="N218" i="5" s="1"/>
  <c r="C218" i="5"/>
  <c r="B219" i="5"/>
  <c r="N219" i="5" s="1"/>
  <c r="C219" i="5"/>
  <c r="N205" i="5"/>
  <c r="N208" i="5"/>
  <c r="N213" i="5"/>
  <c r="N216" i="5"/>
  <c r="K202" i="5"/>
  <c r="L202" i="5"/>
  <c r="K203" i="5"/>
  <c r="L203" i="5"/>
  <c r="K204" i="5"/>
  <c r="L204" i="5"/>
  <c r="K205" i="5"/>
  <c r="L205" i="5"/>
  <c r="K206" i="5"/>
  <c r="L206" i="5"/>
  <c r="K207" i="5"/>
  <c r="L207" i="5"/>
  <c r="K208" i="5"/>
  <c r="L208" i="5"/>
  <c r="K209" i="5"/>
  <c r="L209" i="5"/>
  <c r="K210" i="5"/>
  <c r="L210" i="5"/>
  <c r="K211" i="5"/>
  <c r="L211" i="5"/>
  <c r="K212" i="5"/>
  <c r="L212" i="5"/>
  <c r="K213" i="5"/>
  <c r="L213" i="5"/>
  <c r="K214" i="5"/>
  <c r="L214" i="5"/>
  <c r="K215" i="5"/>
  <c r="L215" i="5"/>
  <c r="K216" i="5"/>
  <c r="L216" i="5"/>
  <c r="K217" i="5"/>
  <c r="L217" i="5"/>
  <c r="K218" i="5"/>
  <c r="L218" i="5"/>
  <c r="K219" i="5"/>
  <c r="L219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C196" i="5"/>
  <c r="B197" i="5"/>
  <c r="C197" i="5"/>
  <c r="B198" i="5"/>
  <c r="C198" i="5"/>
  <c r="B199" i="5"/>
  <c r="C199" i="5"/>
  <c r="B200" i="5"/>
  <c r="C200" i="5"/>
  <c r="B201" i="5"/>
  <c r="C201" i="5"/>
  <c r="B185" i="5"/>
  <c r="C185" i="5"/>
  <c r="B184" i="5"/>
  <c r="C184" i="5"/>
  <c r="K201" i="5"/>
  <c r="L201" i="5"/>
  <c r="K185" i="5"/>
  <c r="L185" i="5"/>
  <c r="K186" i="5"/>
  <c r="L186" i="5"/>
  <c r="K187" i="5"/>
  <c r="L187" i="5"/>
  <c r="K188" i="5"/>
  <c r="L188" i="5"/>
  <c r="K189" i="5"/>
  <c r="L189" i="5"/>
  <c r="K190" i="5"/>
  <c r="L190" i="5"/>
  <c r="K191" i="5"/>
  <c r="L191" i="5"/>
  <c r="K192" i="5"/>
  <c r="L192" i="5"/>
  <c r="K193" i="5"/>
  <c r="L193" i="5"/>
  <c r="K194" i="5"/>
  <c r="L194" i="5"/>
  <c r="K195" i="5"/>
  <c r="L195" i="5"/>
  <c r="K196" i="5"/>
  <c r="L196" i="5"/>
  <c r="K197" i="5"/>
  <c r="L197" i="5"/>
  <c r="K198" i="5"/>
  <c r="L198" i="5"/>
  <c r="K199" i="5"/>
  <c r="L199" i="5"/>
  <c r="K200" i="5"/>
  <c r="L200" i="5"/>
  <c r="L184" i="5"/>
  <c r="K184" i="5"/>
  <c r="B164" i="5" l="1"/>
  <c r="C164" i="5"/>
  <c r="N164" i="5" s="1"/>
  <c r="B165" i="5"/>
  <c r="N165" i="5" s="1"/>
  <c r="C165" i="5"/>
  <c r="B166" i="5"/>
  <c r="C166" i="5"/>
  <c r="B167" i="5"/>
  <c r="C167" i="5"/>
  <c r="N167" i="5" s="1"/>
  <c r="B168" i="5"/>
  <c r="N168" i="5" s="1"/>
  <c r="C168" i="5"/>
  <c r="B169" i="5"/>
  <c r="N169" i="5" s="1"/>
  <c r="C169" i="5"/>
  <c r="B170" i="5"/>
  <c r="C170" i="5"/>
  <c r="N170" i="5" s="1"/>
  <c r="B171" i="5"/>
  <c r="C171" i="5"/>
  <c r="B172" i="5"/>
  <c r="C172" i="5"/>
  <c r="N172" i="5" s="1"/>
  <c r="B173" i="5"/>
  <c r="N173" i="5" s="1"/>
  <c r="C173" i="5"/>
  <c r="B174" i="5"/>
  <c r="C174" i="5"/>
  <c r="B175" i="5"/>
  <c r="C175" i="5"/>
  <c r="N175" i="5" s="1"/>
  <c r="B176" i="5"/>
  <c r="N176" i="5" s="1"/>
  <c r="C176" i="5"/>
  <c r="B177" i="5"/>
  <c r="N177" i="5" s="1"/>
  <c r="C177" i="5"/>
  <c r="B178" i="5"/>
  <c r="C178" i="5"/>
  <c r="N178" i="5" s="1"/>
  <c r="B179" i="5"/>
  <c r="C179" i="5"/>
  <c r="B180" i="5"/>
  <c r="N180" i="5" s="1"/>
  <c r="C180" i="5"/>
  <c r="B181" i="5"/>
  <c r="N181" i="5" s="1"/>
  <c r="C181" i="5"/>
  <c r="B182" i="5"/>
  <c r="C182" i="5"/>
  <c r="B183" i="5"/>
  <c r="C183" i="5"/>
  <c r="B163" i="5"/>
  <c r="N163" i="5" s="1"/>
  <c r="C163" i="5"/>
  <c r="B162" i="5"/>
  <c r="N162" i="5" s="1"/>
  <c r="C162" i="5"/>
  <c r="B161" i="5"/>
  <c r="N161" i="5" s="1"/>
  <c r="C161" i="5"/>
  <c r="B160" i="5"/>
  <c r="C160" i="5"/>
  <c r="N166" i="5"/>
  <c r="N171" i="5"/>
  <c r="N174" i="5"/>
  <c r="N179" i="5"/>
  <c r="N182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60" i="5"/>
  <c r="K151" i="5"/>
  <c r="L151" i="5"/>
  <c r="K152" i="5"/>
  <c r="L152" i="5"/>
  <c r="K153" i="5"/>
  <c r="L153" i="5"/>
  <c r="K154" i="5"/>
  <c r="L154" i="5"/>
  <c r="K155" i="5"/>
  <c r="L155" i="5"/>
  <c r="K156" i="5"/>
  <c r="L156" i="5"/>
  <c r="K157" i="5"/>
  <c r="L157" i="5"/>
  <c r="K158" i="5"/>
  <c r="L158" i="5"/>
  <c r="K159" i="5"/>
  <c r="L159" i="5"/>
  <c r="C152" i="5"/>
  <c r="C153" i="5"/>
  <c r="C154" i="5"/>
  <c r="C155" i="5"/>
  <c r="C156" i="5"/>
  <c r="C157" i="5"/>
  <c r="C158" i="5"/>
  <c r="C159" i="5"/>
  <c r="B152" i="5"/>
  <c r="B153" i="5"/>
  <c r="B154" i="5"/>
  <c r="B155" i="5"/>
  <c r="B156" i="5"/>
  <c r="B157" i="5"/>
  <c r="B158" i="5"/>
  <c r="B159" i="5"/>
  <c r="B146" i="5"/>
  <c r="C146" i="5"/>
  <c r="B147" i="5"/>
  <c r="C147" i="5"/>
  <c r="B148" i="5"/>
  <c r="C148" i="5"/>
  <c r="B149" i="5"/>
  <c r="C149" i="5"/>
  <c r="B150" i="5"/>
  <c r="C150" i="5"/>
  <c r="B151" i="5"/>
  <c r="C151" i="5"/>
  <c r="B145" i="5"/>
  <c r="C145" i="5"/>
  <c r="B144" i="5"/>
  <c r="C144" i="5"/>
  <c r="K144" i="5"/>
  <c r="L144" i="5"/>
  <c r="K145" i="5"/>
  <c r="L145" i="5"/>
  <c r="K146" i="5"/>
  <c r="L146" i="5"/>
  <c r="K147" i="5"/>
  <c r="L147" i="5"/>
  <c r="K148" i="5"/>
  <c r="L148" i="5"/>
  <c r="K149" i="5"/>
  <c r="L149" i="5"/>
  <c r="K150" i="5"/>
  <c r="L150" i="5"/>
  <c r="N237" i="10" l="1"/>
  <c r="N236" i="10"/>
  <c r="N235" i="10"/>
  <c r="N234" i="10"/>
  <c r="N233" i="10"/>
  <c r="N232" i="10"/>
  <c r="N231" i="10"/>
  <c r="N230" i="10"/>
  <c r="N229" i="10"/>
  <c r="N228" i="10"/>
  <c r="N227" i="10"/>
  <c r="N226" i="10"/>
  <c r="N225" i="10"/>
  <c r="N224" i="10"/>
  <c r="N223" i="10"/>
  <c r="N222" i="10"/>
  <c r="N221" i="10"/>
  <c r="N220" i="10"/>
  <c r="N219" i="10"/>
  <c r="N218" i="10"/>
  <c r="N217" i="10"/>
  <c r="N216" i="10"/>
  <c r="N215" i="10"/>
  <c r="N214" i="10"/>
  <c r="N213" i="10"/>
  <c r="N212" i="10"/>
  <c r="N211" i="10"/>
  <c r="N210" i="10"/>
  <c r="N209" i="10"/>
  <c r="N208" i="10"/>
  <c r="N207" i="10"/>
  <c r="N206" i="10"/>
  <c r="N205" i="10"/>
  <c r="N204" i="10"/>
  <c r="N203" i="10"/>
  <c r="N202" i="10"/>
  <c r="N201" i="10"/>
  <c r="N200" i="10"/>
  <c r="N199" i="10"/>
  <c r="N198" i="10"/>
  <c r="N197" i="10"/>
  <c r="N196" i="10"/>
  <c r="N195" i="10"/>
  <c r="N194" i="10"/>
  <c r="N193" i="10"/>
  <c r="N192" i="10"/>
  <c r="N191" i="10"/>
  <c r="N190" i="10"/>
  <c r="N189" i="10"/>
  <c r="N188" i="10"/>
  <c r="N187" i="10"/>
  <c r="N186" i="10"/>
  <c r="N185" i="10"/>
  <c r="N184" i="10"/>
  <c r="N183" i="10"/>
  <c r="N182" i="10"/>
  <c r="N181" i="10"/>
  <c r="N180" i="10"/>
  <c r="N179" i="10"/>
  <c r="N178" i="10"/>
  <c r="N177" i="10"/>
  <c r="N176" i="10"/>
  <c r="N175" i="10"/>
  <c r="N174" i="10"/>
  <c r="N173" i="10"/>
  <c r="N172" i="10"/>
  <c r="N171" i="10"/>
  <c r="N170" i="10"/>
  <c r="N169" i="10"/>
  <c r="N168" i="10"/>
  <c r="N167" i="10"/>
  <c r="N166" i="10"/>
  <c r="N165" i="10"/>
  <c r="N164" i="10"/>
  <c r="N163" i="10"/>
  <c r="N162" i="10"/>
  <c r="N161" i="10"/>
  <c r="N160" i="10"/>
  <c r="N159" i="10"/>
  <c r="N158" i="10"/>
  <c r="N157" i="10"/>
  <c r="N156" i="10"/>
  <c r="N155" i="10"/>
  <c r="N154" i="10"/>
  <c r="N153" i="10"/>
  <c r="N152" i="10"/>
  <c r="N151" i="10"/>
  <c r="N150" i="10"/>
  <c r="N149" i="10"/>
  <c r="N148" i="10"/>
  <c r="N147" i="10"/>
  <c r="N146" i="10"/>
  <c r="N145" i="10"/>
  <c r="N144" i="10"/>
  <c r="N143" i="10"/>
  <c r="N142" i="10"/>
  <c r="N141" i="10"/>
  <c r="N140" i="10"/>
  <c r="N139" i="10"/>
  <c r="N138" i="10"/>
  <c r="N137" i="10"/>
  <c r="N136" i="10"/>
  <c r="N135" i="10"/>
  <c r="N134" i="10"/>
  <c r="N133" i="10"/>
  <c r="N132" i="10"/>
  <c r="N131" i="10"/>
  <c r="N130" i="10"/>
  <c r="N129" i="10"/>
  <c r="N128" i="10"/>
  <c r="N127" i="10"/>
  <c r="N126" i="10"/>
  <c r="N125" i="10"/>
  <c r="N124" i="10"/>
  <c r="N123" i="10"/>
  <c r="N122" i="10"/>
  <c r="N121" i="10"/>
  <c r="N120" i="10"/>
  <c r="N119" i="10"/>
  <c r="N118" i="10"/>
  <c r="N117" i="10"/>
  <c r="N116" i="10"/>
  <c r="N115" i="10"/>
  <c r="N114" i="10"/>
  <c r="N113" i="10"/>
  <c r="N112" i="10"/>
  <c r="N111" i="10"/>
  <c r="N110" i="10"/>
  <c r="N109" i="10"/>
  <c r="N108" i="10"/>
  <c r="N107" i="10"/>
  <c r="N106" i="10"/>
  <c r="N105" i="10"/>
  <c r="N104" i="10"/>
  <c r="N103" i="10"/>
  <c r="N102" i="10"/>
  <c r="N101" i="10"/>
  <c r="N100" i="10"/>
  <c r="N99" i="10"/>
  <c r="N98" i="10"/>
  <c r="N97" i="10"/>
  <c r="N96" i="10"/>
  <c r="N95" i="10"/>
  <c r="N94" i="10"/>
  <c r="N93" i="10"/>
  <c r="N92" i="10"/>
  <c r="N91" i="10"/>
  <c r="N90" i="10"/>
  <c r="N89" i="10"/>
  <c r="N88" i="10"/>
  <c r="N87" i="10"/>
  <c r="N86" i="10"/>
  <c r="N85" i="10"/>
  <c r="N84" i="10"/>
  <c r="N83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53" i="10"/>
  <c r="N52" i="10"/>
  <c r="N51" i="10"/>
  <c r="N50" i="10"/>
  <c r="N49" i="10"/>
  <c r="N48" i="10"/>
  <c r="N47" i="10"/>
  <c r="N46" i="10"/>
  <c r="N45" i="10"/>
  <c r="N44" i="10"/>
  <c r="N43" i="10"/>
  <c r="N42" i="10"/>
  <c r="N41" i="10"/>
  <c r="N40" i="10"/>
  <c r="N39" i="10"/>
  <c r="N38" i="10"/>
  <c r="N37" i="10"/>
  <c r="N36" i="10"/>
  <c r="N35" i="10"/>
  <c r="N34" i="10"/>
  <c r="N33" i="10"/>
  <c r="N32" i="10"/>
  <c r="N31" i="10"/>
  <c r="N30" i="10"/>
  <c r="N29" i="10"/>
  <c r="N28" i="10"/>
  <c r="N27" i="10"/>
  <c r="N26" i="10"/>
  <c r="N25" i="10"/>
  <c r="N24" i="10"/>
  <c r="N23" i="10"/>
  <c r="N22" i="10"/>
  <c r="N21" i="10"/>
  <c r="N20" i="10"/>
  <c r="N19" i="10"/>
  <c r="N18" i="10"/>
  <c r="N17" i="10"/>
  <c r="N16" i="10"/>
  <c r="N15" i="10"/>
  <c r="N14" i="10"/>
  <c r="N13" i="10"/>
  <c r="N12" i="10"/>
  <c r="N11" i="10"/>
  <c r="N10" i="10"/>
  <c r="N9" i="10"/>
  <c r="N8" i="10"/>
  <c r="N7" i="10"/>
  <c r="N6" i="10"/>
  <c r="N5" i="10"/>
  <c r="N4" i="10"/>
  <c r="N3" i="10"/>
  <c r="L3" i="10"/>
  <c r="K3" i="10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36" i="8"/>
  <c r="N135" i="8"/>
  <c r="N134" i="8"/>
  <c r="N133" i="8"/>
  <c r="N132" i="8"/>
  <c r="N131" i="8"/>
  <c r="N130" i="8"/>
  <c r="N129" i="8"/>
  <c r="N128" i="8"/>
  <c r="N127" i="8"/>
  <c r="N126" i="8"/>
  <c r="N125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N76" i="8"/>
  <c r="N75" i="8"/>
  <c r="N74" i="8"/>
  <c r="N73" i="8"/>
  <c r="N72" i="8"/>
  <c r="N71" i="8"/>
  <c r="N70" i="8"/>
  <c r="N69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L3" i="8"/>
  <c r="K3" i="8"/>
  <c r="K132" i="5"/>
  <c r="L132" i="5"/>
  <c r="K133" i="5"/>
  <c r="L133" i="5"/>
  <c r="K134" i="5"/>
  <c r="L134" i="5"/>
  <c r="K135" i="5"/>
  <c r="L135" i="5"/>
  <c r="K136" i="5"/>
  <c r="L136" i="5"/>
  <c r="K137" i="5"/>
  <c r="L137" i="5"/>
  <c r="K138" i="5"/>
  <c r="L138" i="5"/>
  <c r="K139" i="5"/>
  <c r="L139" i="5"/>
  <c r="K140" i="5"/>
  <c r="L140" i="5"/>
  <c r="K141" i="5"/>
  <c r="L141" i="5"/>
  <c r="K142" i="5"/>
  <c r="L142" i="5"/>
  <c r="K143" i="5"/>
  <c r="L143" i="5"/>
  <c r="B143" i="5"/>
  <c r="C143" i="5"/>
  <c r="B142" i="5"/>
  <c r="C142" i="5"/>
  <c r="B134" i="5"/>
  <c r="C134" i="5"/>
  <c r="B135" i="5"/>
  <c r="C135" i="5"/>
  <c r="B136" i="5"/>
  <c r="C136" i="5"/>
  <c r="N136" i="5" s="1"/>
  <c r="B137" i="5"/>
  <c r="N137" i="5" s="1"/>
  <c r="C137" i="5"/>
  <c r="B138" i="5"/>
  <c r="N138" i="5" s="1"/>
  <c r="C138" i="5"/>
  <c r="B139" i="5"/>
  <c r="N139" i="5" s="1"/>
  <c r="C139" i="5"/>
  <c r="B140" i="5"/>
  <c r="C140" i="5"/>
  <c r="B141" i="5"/>
  <c r="N141" i="5" s="1"/>
  <c r="C141" i="5"/>
  <c r="B133" i="5"/>
  <c r="C133" i="5"/>
  <c r="B132" i="5"/>
  <c r="N132" i="5" s="1"/>
  <c r="C132" i="5"/>
  <c r="K128" i="5"/>
  <c r="L128" i="5"/>
  <c r="K129" i="5"/>
  <c r="L129" i="5"/>
  <c r="K130" i="5"/>
  <c r="L130" i="5"/>
  <c r="K131" i="5"/>
  <c r="L131" i="5"/>
  <c r="B131" i="5"/>
  <c r="C131" i="5"/>
  <c r="B130" i="5"/>
  <c r="N130" i="5" s="1"/>
  <c r="C130" i="5"/>
  <c r="B129" i="5"/>
  <c r="C129" i="5"/>
  <c r="N129" i="5" s="1"/>
  <c r="B128" i="5"/>
  <c r="N128" i="5" s="1"/>
  <c r="C128" i="5"/>
  <c r="K121" i="5"/>
  <c r="L121" i="5"/>
  <c r="K122" i="5"/>
  <c r="L122" i="5"/>
  <c r="K123" i="5"/>
  <c r="L123" i="5"/>
  <c r="K124" i="5"/>
  <c r="L124" i="5"/>
  <c r="K125" i="5"/>
  <c r="L125" i="5"/>
  <c r="K126" i="5"/>
  <c r="L126" i="5"/>
  <c r="K127" i="5"/>
  <c r="L127" i="5"/>
  <c r="B122" i="5"/>
  <c r="C122" i="5"/>
  <c r="B123" i="5"/>
  <c r="C123" i="5"/>
  <c r="N123" i="5" s="1"/>
  <c r="B124" i="5"/>
  <c r="C124" i="5"/>
  <c r="B125" i="5"/>
  <c r="C125" i="5"/>
  <c r="B126" i="5"/>
  <c r="C126" i="5"/>
  <c r="B127" i="5"/>
  <c r="C127" i="5"/>
  <c r="N125" i="5"/>
  <c r="N126" i="5"/>
  <c r="N127" i="5"/>
  <c r="B121" i="5"/>
  <c r="N121" i="5" s="1"/>
  <c r="C121" i="5"/>
  <c r="K114" i="5"/>
  <c r="L114" i="5"/>
  <c r="K115" i="5"/>
  <c r="L115" i="5"/>
  <c r="K116" i="5"/>
  <c r="L116" i="5"/>
  <c r="K117" i="5"/>
  <c r="L117" i="5"/>
  <c r="K118" i="5"/>
  <c r="L118" i="5"/>
  <c r="K119" i="5"/>
  <c r="L119" i="5"/>
  <c r="K120" i="5"/>
  <c r="L120" i="5"/>
  <c r="B114" i="5"/>
  <c r="C114" i="5"/>
  <c r="B115" i="5"/>
  <c r="C115" i="5"/>
  <c r="B116" i="5"/>
  <c r="C116" i="5"/>
  <c r="B117" i="5"/>
  <c r="N117" i="5" s="1"/>
  <c r="C117" i="5"/>
  <c r="B118" i="5"/>
  <c r="N118" i="5" s="1"/>
  <c r="C118" i="5"/>
  <c r="B119" i="5"/>
  <c r="N119" i="5" s="1"/>
  <c r="C119" i="5"/>
  <c r="B120" i="5"/>
  <c r="C120" i="5"/>
  <c r="K97" i="5"/>
  <c r="L97" i="5"/>
  <c r="N97" i="5"/>
  <c r="K98" i="5"/>
  <c r="L98" i="5"/>
  <c r="N98" i="5"/>
  <c r="K99" i="5"/>
  <c r="L99" i="5"/>
  <c r="N99" i="5"/>
  <c r="K100" i="5"/>
  <c r="L100" i="5"/>
  <c r="N100" i="5"/>
  <c r="K101" i="5"/>
  <c r="L101" i="5"/>
  <c r="N101" i="5"/>
  <c r="K102" i="5"/>
  <c r="L102" i="5"/>
  <c r="N102" i="5"/>
  <c r="K103" i="5"/>
  <c r="L103" i="5"/>
  <c r="N103" i="5"/>
  <c r="K104" i="5"/>
  <c r="L104" i="5"/>
  <c r="N104" i="5"/>
  <c r="K105" i="5"/>
  <c r="L105" i="5"/>
  <c r="N105" i="5"/>
  <c r="K106" i="5"/>
  <c r="L106" i="5"/>
  <c r="N106" i="5"/>
  <c r="K107" i="5"/>
  <c r="L107" i="5"/>
  <c r="N107" i="5"/>
  <c r="K108" i="5"/>
  <c r="L108" i="5"/>
  <c r="N108" i="5"/>
  <c r="K109" i="5"/>
  <c r="L109" i="5"/>
  <c r="N109" i="5"/>
  <c r="K110" i="5"/>
  <c r="L110" i="5"/>
  <c r="N110" i="5"/>
  <c r="K111" i="5"/>
  <c r="L111" i="5"/>
  <c r="N111" i="5"/>
  <c r="K112" i="5"/>
  <c r="L112" i="5"/>
  <c r="N112" i="5"/>
  <c r="K113" i="5"/>
  <c r="L113" i="5"/>
  <c r="N113" i="5"/>
  <c r="B92" i="5"/>
  <c r="C92" i="5"/>
  <c r="B93" i="5"/>
  <c r="N93" i="5" s="1"/>
  <c r="C93" i="5"/>
  <c r="B94" i="5"/>
  <c r="C94" i="5"/>
  <c r="B95" i="5"/>
  <c r="C95" i="5"/>
  <c r="B96" i="5"/>
  <c r="C96" i="5"/>
  <c r="B97" i="5"/>
  <c r="C97" i="5"/>
  <c r="B98" i="5"/>
  <c r="C98" i="5"/>
  <c r="B99" i="5"/>
  <c r="C99" i="5"/>
  <c r="B100" i="5"/>
  <c r="C100" i="5"/>
  <c r="B101" i="5"/>
  <c r="C101" i="5"/>
  <c r="B102" i="5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K77" i="5"/>
  <c r="L77" i="5"/>
  <c r="N77" i="5"/>
  <c r="K78" i="5"/>
  <c r="L78" i="5"/>
  <c r="N78" i="5"/>
  <c r="K79" i="5"/>
  <c r="L79" i="5"/>
  <c r="N79" i="5"/>
  <c r="K80" i="5"/>
  <c r="L80" i="5"/>
  <c r="N80" i="5"/>
  <c r="K81" i="5"/>
  <c r="L81" i="5"/>
  <c r="N81" i="5"/>
  <c r="K82" i="5"/>
  <c r="L82" i="5"/>
  <c r="N82" i="5"/>
  <c r="K83" i="5"/>
  <c r="L83" i="5"/>
  <c r="N83" i="5"/>
  <c r="K84" i="5"/>
  <c r="L84" i="5"/>
  <c r="N84" i="5"/>
  <c r="K85" i="5"/>
  <c r="L85" i="5"/>
  <c r="N85" i="5"/>
  <c r="K86" i="5"/>
  <c r="L86" i="5"/>
  <c r="N86" i="5"/>
  <c r="K87" i="5"/>
  <c r="L87" i="5"/>
  <c r="N87" i="5"/>
  <c r="K88" i="5"/>
  <c r="L88" i="5"/>
  <c r="N88" i="5"/>
  <c r="K89" i="5"/>
  <c r="L89" i="5"/>
  <c r="N89" i="5"/>
  <c r="K90" i="5"/>
  <c r="L90" i="5"/>
  <c r="N90" i="5"/>
  <c r="K91" i="5"/>
  <c r="L91" i="5"/>
  <c r="N91" i="5"/>
  <c r="K92" i="5"/>
  <c r="L92" i="5"/>
  <c r="N92" i="5"/>
  <c r="K93" i="5"/>
  <c r="L93" i="5"/>
  <c r="K94" i="5"/>
  <c r="L94" i="5"/>
  <c r="K95" i="5"/>
  <c r="L95" i="5"/>
  <c r="K96" i="5"/>
  <c r="L96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C89" i="5"/>
  <c r="B90" i="5"/>
  <c r="C90" i="5"/>
  <c r="B91" i="5"/>
  <c r="C91" i="5"/>
  <c r="B78" i="5"/>
  <c r="C78" i="5"/>
  <c r="B79" i="5"/>
  <c r="C79" i="5"/>
  <c r="B81" i="5"/>
  <c r="C81" i="5"/>
  <c r="B80" i="5"/>
  <c r="C80" i="5"/>
  <c r="B82" i="5"/>
  <c r="C82" i="5"/>
  <c r="B77" i="5"/>
  <c r="C77" i="5"/>
  <c r="K71" i="5"/>
  <c r="L71" i="5"/>
  <c r="K72" i="5"/>
  <c r="L72" i="5"/>
  <c r="K73" i="5"/>
  <c r="L73" i="5"/>
  <c r="K74" i="5"/>
  <c r="L74" i="5"/>
  <c r="K75" i="5"/>
  <c r="L75" i="5"/>
  <c r="K76" i="5"/>
  <c r="L76" i="5"/>
  <c r="B72" i="5"/>
  <c r="C72" i="5"/>
  <c r="B73" i="5"/>
  <c r="N73" i="5" s="1"/>
  <c r="C73" i="5"/>
  <c r="B74" i="5"/>
  <c r="C74" i="5"/>
  <c r="B75" i="5"/>
  <c r="C75" i="5"/>
  <c r="B76" i="5"/>
  <c r="C76" i="5"/>
  <c r="B71" i="5"/>
  <c r="C71" i="5"/>
  <c r="N114" i="5"/>
  <c r="N115" i="5"/>
  <c r="N116" i="5"/>
  <c r="N120" i="5"/>
  <c r="N122" i="5"/>
  <c r="N124" i="5"/>
  <c r="N131" i="5"/>
  <c r="N133" i="5"/>
  <c r="N134" i="5"/>
  <c r="N135" i="5"/>
  <c r="N140" i="5"/>
  <c r="N142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83" i="5"/>
  <c r="K68" i="5"/>
  <c r="L68" i="5"/>
  <c r="B68" i="5"/>
  <c r="C68" i="5"/>
  <c r="B65" i="5"/>
  <c r="C65" i="5"/>
  <c r="K65" i="5"/>
  <c r="L65" i="5"/>
  <c r="K59" i="5"/>
  <c r="L59" i="5"/>
  <c r="K60" i="5"/>
  <c r="L60" i="5"/>
  <c r="C59" i="5"/>
  <c r="C60" i="5"/>
  <c r="B59" i="5"/>
  <c r="B60" i="5"/>
  <c r="B50" i="5"/>
  <c r="C50" i="5"/>
  <c r="B51" i="5"/>
  <c r="C51" i="5"/>
  <c r="B52" i="5"/>
  <c r="C52" i="5"/>
  <c r="B53" i="5"/>
  <c r="C53" i="5"/>
  <c r="B54" i="5"/>
  <c r="C54" i="5"/>
  <c r="B55" i="5"/>
  <c r="C55" i="5"/>
  <c r="B56" i="5"/>
  <c r="C56" i="5"/>
  <c r="B57" i="5"/>
  <c r="C57" i="5"/>
  <c r="B58" i="5"/>
  <c r="C58" i="5"/>
  <c r="B61" i="5"/>
  <c r="C61" i="5"/>
  <c r="B62" i="5"/>
  <c r="C62" i="5"/>
  <c r="B63" i="5"/>
  <c r="C63" i="5"/>
  <c r="B64" i="5"/>
  <c r="C64" i="5"/>
  <c r="B66" i="5"/>
  <c r="C66" i="5"/>
  <c r="B67" i="5"/>
  <c r="C67" i="5"/>
  <c r="B69" i="5"/>
  <c r="C69" i="5"/>
  <c r="B70" i="5"/>
  <c r="C70" i="5"/>
  <c r="K49" i="5"/>
  <c r="L49" i="5"/>
  <c r="K50" i="5"/>
  <c r="L50" i="5"/>
  <c r="K51" i="5"/>
  <c r="L51" i="5"/>
  <c r="K52" i="5"/>
  <c r="L52" i="5"/>
  <c r="K53" i="5"/>
  <c r="L53" i="5"/>
  <c r="K54" i="5"/>
  <c r="L54" i="5"/>
  <c r="K55" i="5"/>
  <c r="L55" i="5"/>
  <c r="K56" i="5"/>
  <c r="L56" i="5"/>
  <c r="K57" i="5"/>
  <c r="L57" i="5"/>
  <c r="K58" i="5"/>
  <c r="L58" i="5"/>
  <c r="K61" i="5"/>
  <c r="L61" i="5"/>
  <c r="K62" i="5"/>
  <c r="L62" i="5"/>
  <c r="K63" i="5"/>
  <c r="L63" i="5"/>
  <c r="K64" i="5"/>
  <c r="L64" i="5"/>
  <c r="K66" i="5"/>
  <c r="L66" i="5"/>
  <c r="K67" i="5"/>
  <c r="L67" i="5"/>
  <c r="K69" i="5"/>
  <c r="L69" i="5"/>
  <c r="K70" i="5"/>
  <c r="L70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3" i="5"/>
  <c r="B49" i="5"/>
  <c r="B4" i="5"/>
  <c r="B5" i="5"/>
  <c r="B6" i="5"/>
  <c r="B7" i="5"/>
  <c r="B8" i="5"/>
  <c r="B9" i="5"/>
  <c r="B10" i="5"/>
  <c r="B11" i="5"/>
  <c r="B12" i="5"/>
  <c r="B13" i="5"/>
  <c r="B14" i="5"/>
  <c r="B15" i="5"/>
  <c r="N15" i="5" s="1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3" i="5"/>
  <c r="K24" i="5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N143" i="5" l="1"/>
  <c r="N95" i="5"/>
  <c r="N94" i="5"/>
  <c r="N96" i="5"/>
  <c r="N76" i="5"/>
  <c r="N67" i="5"/>
  <c r="N74" i="5"/>
  <c r="N75" i="5"/>
  <c r="N70" i="5"/>
  <c r="N62" i="5"/>
  <c r="N72" i="5"/>
  <c r="N69" i="5"/>
  <c r="N71" i="5"/>
  <c r="N60" i="5"/>
  <c r="N68" i="5"/>
  <c r="N63" i="5"/>
  <c r="N65" i="5"/>
  <c r="N61" i="5"/>
  <c r="N64" i="5"/>
  <c r="N66" i="5"/>
  <c r="N59" i="5"/>
  <c r="N367" i="5"/>
  <c r="N366" i="5"/>
  <c r="N365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<sst xmlns="http://schemas.openxmlformats.org/spreadsheetml/2006/main" count="3746" uniqueCount="1819">
  <si>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</si>
  <si>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</si>
  <si>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</si>
  <si>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</si>
  <si>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</si>
  <si>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</si>
  <si>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</si>
  <si>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</si>
  <si>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</si>
  <si>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</si>
  <si>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</si>
  <si>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</si>
  <si>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</si>
  <si>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</si>
  <si>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</si>
  <si>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</si>
  <si>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</si>
  <si>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</si>
  <si>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</si>
  <si>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</si>
  <si>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</si>
  <si>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</si>
  <si>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</si>
  <si>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</si>
  <si>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</si>
  <si>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</si>
  <si>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</si>
  <si>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</si>
  <si>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Terminal d\'Exportation Maritime Export port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</si>
  <si>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</si>
  <si>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</si>
  <si>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</si>
  <si>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</si>
  <si>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</si>
  <si>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</si>
  <si>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</si>
  <si>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</si>
  <si>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</si>
  <si>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</si>
  <si>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</si>
  <si>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</si>
  <si>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</si>
  <si>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</si>
  <si>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</si>
  <si>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</si>
  <si>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</si>
  <si>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</si>
  <si>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</si>
  <si>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</si>
  <si>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</si>
  <si>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</si>
  <si>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</si>
  <si>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</si>
  <si>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</si>
  <si>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</si>
  <si>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</si>
  <si>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</si>
  <si>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</si>
  <si>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</si>
  <si>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</si>
  <si>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</si>
  <si>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</si>
  <si>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</si>
  <si>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</si>
  <si>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</si>
  <si>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</si>
  <si>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</si>
  <si>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</si>
  <si>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Terminal de Pipeline Bord Menaiel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</si>
  <si>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</si>
  <si>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</si>
  <si>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</si>
  <si>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</si>
  <si>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</si>
  <si>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</si>
  <si>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</si>
  <si>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</si>
  <si>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</si>
  <si>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</si>
  <si>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</si>
  <si>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</si>
  <si>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</si>
  <si>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</si>
  <si>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</si>
  <si>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</si>
  <si>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</si>
  <si>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</si>
  <si>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</si>
  <si>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</si>
  <si>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SP1-OZ1/OZ2</t>
  </si>
  <si>
    <t>Station de Pompage SP1-OZ1/OZ2</t>
  </si>
  <si>
    <t>SP1-OZ2</t>
  </si>
  <si>
    <t>Station de Pompage SP1-OZ2</t>
  </si>
  <si>
    <t>SP2-OZ1/OZ2</t>
  </si>
  <si>
    <t>Station de Pompage SP2-OZ1/OZ2</t>
  </si>
  <si>
    <t>SP2-OZ2</t>
  </si>
  <si>
    <t>Station de Pompage SP2-OZ2</t>
  </si>
  <si>
    <t>SP3-OZ1/OZ2</t>
  </si>
  <si>
    <t>SP3-OZ2</t>
  </si>
  <si>
    <t>SP4-OZ1/OZ2</t>
  </si>
  <si>
    <t>SP4-OZ2</t>
  </si>
  <si>
    <t>SP5-OZ1/OZ2</t>
  </si>
  <si>
    <t>SP5-OZ2</t>
  </si>
  <si>
    <t>SP6-OZ1/OZ2</t>
  </si>
  <si>
    <t>SP6-OZ2</t>
  </si>
  <si>
    <t>PRS-OZ1/OZ2</t>
  </si>
  <si>
    <t>Station de Pompage PRS-OZ1/OZ2</t>
  </si>
  <si>
    <t>PRS-OZ2</t>
  </si>
  <si>
    <t>Station de Régulation PRS-OZ2</t>
  </si>
  <si>
    <t>SP1-OK1</t>
  </si>
  <si>
    <t>Station de Pompage SP1-OK1</t>
  </si>
  <si>
    <t>SP1-OK1-NEW</t>
  </si>
  <si>
    <t>Station de Pompage SP1-OK1-NEW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</si>
  <si>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</si>
  <si>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</si>
  <si>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</si>
  <si>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</si>
  <si>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</si>
  <si>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</si>
  <si>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</si>
  <si>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</si>
  <si>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</si>
  <si>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</si>
  <si>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</si>
  <si>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</si>
  <si>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</si>
  <si>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</si>
  <si>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</si>
  <si>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</si>
  <si>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</si>
  <si>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</si>
  <si>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</si>
  <si>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</si>
  <si>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</si>
  <si>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</si>
  <si>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</si>
  <si>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</si>
  <si>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</si>
  <si>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</si>
  <si>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</si>
  <si>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</si>
  <si>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</si>
  <si>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</si>
  <si>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</si>
  <si>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</si>
  <si>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</si>
  <si>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</si>
  <si>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</si>
  <si>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</si>
  <si>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</si>
  <si>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</si>
  <si>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</si>
  <si>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</si>
  <si>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</si>
  <si>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</si>
  <si>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</si>
  <si>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</si>
  <si>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</si>
  <si>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</si>
  <si>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</si>
  <si>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</si>
  <si>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</si>
  <si>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</si>
  <si>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</si>
  <si>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</si>
  <si>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</si>
  <si>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</si>
  <si>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</si>
  <si>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</si>
  <si>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</si>
  <si>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</si>
  <si>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</si>
  <si>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</si>
  <si>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</si>
  <si>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</si>
  <si>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</si>
  <si>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</si>
  <si>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</si>
  <si>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</si>
  <si>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</si>
  <si>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</si>
  <si>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</si>
  <si>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</si>
  <si>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</si>
  <si>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</si>
  <si>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</si>
  <si>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</si>
  <si>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</si>
  <si>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</si>
  <si>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</si>
  <si>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</si>
  <si>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</si>
  <si>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</si>
  <si>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</si>
  <si>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</si>
  <si>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</si>
  <si>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</si>
  <si>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</si>
  <si>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</si>
  <si>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</si>
  <si>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</si>
  <si>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</si>
  <si>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</si>
  <si>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</si>
  <si>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</si>
  <si>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</si>
  <si>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</si>
  <si>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</si>
  <si>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</si>
  <si>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</si>
  <si>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</si>
  <si>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</si>
  <si>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</si>
  <si>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</si>
  <si>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</si>
  <si>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</si>
  <si>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</si>
  <si>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</si>
  <si>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</si>
  <si>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</si>
  <si>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</si>
  <si>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</si>
  <si>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</si>
  <si>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</si>
  <si>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</si>
  <si>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</si>
  <si>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</si>
  <si>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</si>
  <si>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</si>
  <si>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</si>
  <si>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</si>
  <si>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</si>
  <si>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</si>
  <si>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</si>
  <si>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</si>
  <si>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</si>
  <si>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</si>
  <si>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</si>
  <si>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S01-GO2</t>
  </si>
  <si>
    <t>Station de Compression S01-GO2</t>
  </si>
  <si>
    <t>S01-GG1</t>
  </si>
  <si>
    <t>Station de Compression S01-GG1</t>
  </si>
  <si>
    <t>S01-GR5</t>
  </si>
  <si>
    <t>Station de Compression S01-GR5</t>
  </si>
  <si>
    <t>S01-GR7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</si>
  <si>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</si>
  <si>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</si>
  <si>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</si>
  <si>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</si>
  <si>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</si>
  <si>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</si>
  <si>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</si>
  <si>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</si>
  <si>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</si>
  <si>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</si>
  <si>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</si>
  <si>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</si>
  <si>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</si>
  <si>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</si>
  <si>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</si>
  <si>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</si>
  <si>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</si>
  <si>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</si>
  <si>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</si>
  <si>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</si>
  <si>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</si>
  <si>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</si>
  <si>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</si>
  <si>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</si>
  <si>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</si>
  <si>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</si>
  <si>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</si>
  <si>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</si>
  <si>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</si>
  <si>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</si>
  <si>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</si>
  <si>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</si>
  <si>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</si>
  <si>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</si>
  <si>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</si>
  <si>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</si>
  <si>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</si>
  <si>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</si>
  <si>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</si>
  <si>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</si>
  <si>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</si>
  <si>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</si>
  <si>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</si>
  <si>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</si>
  <si>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</si>
  <si>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</si>
  <si>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</si>
  <si>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</si>
  <si>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</si>
  <si>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</si>
  <si>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</si>
  <si>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</si>
  <si>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</si>
  <si>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</si>
  <si>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</si>
  <si>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</si>
  <si>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</si>
  <si>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</si>
  <si>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</si>
  <si>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</si>
  <si>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</si>
  <si>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</si>
  <si>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</si>
  <si>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</si>
  <si>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</si>
  <si>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</si>
  <si>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</si>
  <si>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</si>
  <si>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</si>
  <si>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</si>
  <si>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</si>
  <si>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</si>
  <si>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</si>
  <si>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</si>
  <si>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</si>
  <si>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</si>
  <si>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</si>
  <si>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</si>
  <si>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</si>
  <si>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</si>
  <si>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</si>
  <si>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</si>
  <si>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</si>
  <si>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</si>
  <si>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</si>
  <si>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</si>
  <si>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</si>
  <si>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</si>
  <si>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</si>
  <si>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</si>
  <si>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</si>
  <si>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</si>
  <si>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</si>
  <si>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</si>
  <si>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</si>
  <si>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</si>
  <si>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</si>
  <si>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</si>
  <si>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</si>
  <si>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</si>
  <si>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</si>
  <si>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</si>
  <si>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</si>
  <si>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</si>
  <si>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</si>
  <si>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</si>
  <si>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</si>
  <si>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</si>
  <si>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</si>
  <si>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</si>
  <si>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</si>
  <si>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</si>
  <si>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</si>
  <si>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</si>
  <si>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</si>
  <si>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</si>
  <si>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</si>
  <si>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</si>
  <si>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</si>
  <si>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</si>
  <si>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</si>
  <si>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</si>
  <si>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</si>
  <si>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</si>
  <si>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</si>
  <si>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</si>
  <si>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</si>
  <si>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</si>
  <si>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</si>
  <si>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</si>
  <si>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</si>
  <si>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</si>
  <si>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</si>
  <si>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</si>
  <si>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</si>
  <si>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</si>
  <si>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</si>
  <si>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</si>
  <si>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</si>
  <si>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</si>
  <si>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</si>
  <si>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</si>
  <si>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</si>
  <si>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</si>
  <si>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</si>
  <si>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</si>
  <si>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</si>
  <si>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</si>
  <si>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</si>
  <si>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</si>
  <si>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</si>
  <si>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</si>
  <si>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</si>
  <si>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</si>
  <si>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</si>
  <si>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</si>
  <si>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</si>
  <si>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</si>
  <si>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</si>
  <si>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</si>
  <si>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</si>
  <si>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</si>
  <si>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</si>
  <si>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</si>
  <si>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</si>
  <si>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</si>
  <si>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</si>
  <si>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</si>
  <si>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</si>
  <si>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</si>
  <si>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</si>
  <si>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</si>
  <si>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</si>
  <si>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</si>
  <si>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</si>
  <si>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</si>
  <si>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</si>
  <si>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</si>
  <si>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</si>
  <si>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</si>
  <si>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</si>
  <si>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</si>
  <si>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</si>
  <si>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</si>
  <si>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</si>
  <si>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</si>
  <si>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</si>
  <si>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</si>
  <si>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</si>
  <si>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</si>
  <si>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</si>
  <si>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</si>
  <si>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</si>
  <si>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</si>
  <si>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</si>
  <si>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</si>
  <si>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</si>
  <si>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</si>
  <si>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</si>
  <si>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</si>
  <si>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</si>
  <si>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</si>
  <si>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</si>
  <si>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</si>
  <si>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</si>
  <si>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</si>
  <si>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</si>
  <si>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</si>
  <si>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</si>
  <si>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</si>
  <si>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</si>
  <si>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</si>
  <si>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</si>
  <si>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</si>
  <si>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</si>
  <si>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</si>
  <si>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</si>
  <si>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</si>
  <si>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</si>
  <si>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</si>
  <si>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</si>
  <si>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</si>
  <si>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</si>
  <si>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</si>
  <si>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</si>
  <si>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</si>
  <si>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</si>
  <si>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</si>
  <si>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</si>
  <si>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</si>
  <si>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</si>
  <si>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</si>
  <si>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</si>
  <si>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</si>
  <si>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</si>
  <si>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</si>
  <si>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</si>
  <si>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</si>
  <si>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</si>
  <si>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</si>
  <si>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</si>
  <si>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</si>
  <si>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</si>
  <si>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</si>
  <si>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</si>
  <si>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</si>
  <si>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</si>
  <si>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</si>
  <si>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</si>
  <si>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</si>
  <si>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</si>
  <si>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</si>
  <si>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</si>
  <si>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</si>
  <si>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</si>
  <si>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</si>
  <si>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</si>
  <si>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</si>
  <si>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</si>
  <si>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</si>
  <si>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</si>
  <si>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</si>
  <si>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</si>
  <si>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</si>
  <si>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</si>
  <si>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</si>
  <si>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</si>
  <si>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</si>
  <si>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</si>
  <si>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</si>
  <si>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</si>
  <si>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</si>
  <si>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</si>
  <si>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</si>
  <si>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</si>
  <si>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</si>
  <si>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</si>
  <si>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</si>
  <si>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</si>
  <si>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</si>
  <si>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</si>
  <si>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</si>
  <si>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</si>
  <si>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</si>
  <si>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</si>
  <si>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</si>
  <si>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</si>
  <si>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</si>
  <si>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</si>
  <si>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</si>
  <si>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</si>
  <si>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</si>
  <si>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</si>
  <si>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</si>
  <si>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</si>
  <si>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</si>
  <si>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</si>
  <si>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</si>
  <si>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</si>
  <si>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</si>
  <si>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</si>
  <si>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</si>
  <si>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</si>
  <si>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</si>
  <si>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</si>
  <si>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</si>
  <si>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</si>
  <si>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</si>
  <si>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</si>
  <si>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</si>
  <si>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</si>
  <si>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</si>
  <si>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</si>
  <si>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</si>
  <si>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</si>
  <si>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</si>
  <si>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</si>
  <si>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</si>
  <si>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</si>
  <si>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</si>
  <si>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</si>
  <si>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</si>
  <si>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</si>
  <si>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</si>
  <si>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</si>
  <si>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</si>
  <si>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</si>
  <si>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</si>
  <si>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</si>
  <si>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</si>
  <si>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</si>
  <si>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</si>
  <si>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</si>
  <si>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</si>
  <si>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</si>
  <si>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</si>
  <si>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</si>
  <si>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</si>
  <si>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</si>
  <si>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</si>
  <si>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</si>
  <si>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</si>
  <si>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</si>
  <si>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</si>
  <si>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</si>
  <si>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</si>
  <si>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</si>
  <si>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</si>
  <si>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</si>
  <si>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</si>
  <si>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</si>
  <si>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</si>
  <si>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</si>
  <si>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</si>
  <si>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</si>
  <si>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</si>
  <si>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</si>
  <si>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</si>
  <si>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</si>
  <si>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</si>
  <si>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</si>
  <si>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</si>
  <si>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</si>
  <si>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</si>
  <si>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</si>
  <si>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</si>
  <si>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</si>
  <si>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</si>
  <si>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</si>
  <si>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</si>
  <si>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</si>
  <si>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</si>
  <si>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</si>
  <si>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</si>
  <si>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</si>
  <si>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</si>
  <si>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</si>
  <si>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</si>
  <si>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</si>
  <si>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</si>
  <si>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</si>
  <si>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</si>
  <si>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</si>
  <si>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</si>
  <si>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</si>
  <si>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</si>
  <si>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</si>
  <si>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</si>
  <si>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</si>
  <si>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</si>
  <si>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</si>
  <si>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</si>
  <si>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</si>
  <si>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</si>
  <si>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</si>
  <si>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</si>
  <si>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</si>
  <si>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</si>
  <si>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</si>
  <si>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</si>
  <si>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</si>
  <si>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</si>
  <si>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</si>
  <si>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</si>
  <si>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</si>
  <si>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</si>
  <si>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</si>
  <si>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</si>
  <si>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</si>
  <si>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</si>
  <si>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</si>
  <si>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</si>
  <si>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</si>
  <si>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</si>
  <si>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</si>
  <si>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</si>
  <si>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</si>
  <si>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</si>
  <si>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</si>
  <si>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</si>
  <si>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</si>
  <si>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</si>
  <si>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</si>
  <si>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</si>
  <si>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</si>
  <si>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</si>
  <si>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</si>
  <si>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</si>
  <si>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</si>
  <si>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</si>
  <si>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</si>
  <si>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</si>
  <si>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</si>
  <si>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</si>
  <si>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</si>
  <si>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</si>
  <si>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</si>
  <si>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</si>
  <si>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</si>
  <si>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</si>
  <si>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</si>
  <si>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</si>
  <si>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</si>
  <si>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</si>
  <si>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</si>
  <si>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</si>
  <si>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</si>
  <si>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</si>
  <si>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</si>
  <si>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</si>
  <si>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</si>
  <si>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</si>
  <si>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</si>
  <si>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</si>
  <si>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</si>
  <si>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</si>
  <si>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</si>
  <si>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</si>
  <si>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</si>
  <si>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</si>
  <si>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</si>
  <si>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</si>
  <si>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</si>
  <si>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</si>
  <si>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</si>
  <si>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</si>
  <si>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</si>
  <si>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</si>
  <si>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</si>
  <si>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</si>
  <si>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</si>
  <si>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</si>
  <si>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</si>
  <si>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</si>
  <si>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</si>
  <si>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</si>
  <si>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</si>
  <si>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</si>
  <si>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</si>
  <si>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</si>
  <si>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</si>
  <si>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</si>
  <si>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</si>
  <si>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</si>
  <si>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</si>
  <si>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</si>
  <si>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</si>
  <si>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</si>
  <si>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</si>
  <si>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</si>
  <si>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</si>
  <si>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</si>
  <si>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</si>
  <si>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</si>
  <si>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</si>
  <si>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</si>
  <si>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</si>
  <si>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</si>
  <si>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</si>
  <si>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</si>
  <si>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</si>
  <si>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</si>
  <si>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</si>
  <si>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</si>
  <si>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</si>
  <si>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</si>
  <si>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</si>
  <si>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</si>
  <si>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</si>
  <si>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</si>
  <si>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</si>
  <si>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</si>
  <si>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</si>
  <si>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</si>
  <si>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</si>
  <si>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</si>
  <si>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</si>
  <si>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</si>
  <si>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</si>
  <si>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</si>
  <si>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</si>
  <si>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</si>
  <si>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</si>
  <si>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</si>
  <si>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</si>
  <si>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</si>
  <si>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</si>
  <si>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</si>
  <si>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</si>
  <si>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</si>
  <si>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</si>
  <si>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</si>
  <si>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</si>
  <si>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</si>
  <si>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</si>
  <si>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</si>
  <si>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</si>
  <si>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</si>
  <si>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</si>
  <si>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</si>
  <si>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</si>
  <si>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</si>
  <si>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</si>
  <si>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</si>
  <si>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</si>
  <si>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</si>
  <si>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</si>
  <si>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</si>
  <si>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</si>
  <si>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</si>
  <si>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</si>
  <si>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</si>
  <si>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</si>
  <si>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</si>
  <si>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</si>
  <si>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</si>
  <si>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</si>
  <si>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</si>
  <si>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</si>
  <si>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</si>
  <si>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</si>
  <si>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</si>
  <si>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</si>
  <si>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</si>
  <si>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</si>
  <si>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</si>
  <si>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</si>
  <si>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</si>
  <si>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</si>
  <si>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</si>
  <si>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</si>
  <si>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</si>
  <si>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</si>
  <si>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</si>
  <si>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</si>
  <si>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</si>
  <si>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</si>
  <si>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</si>
  <si>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</si>
  <si>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</si>
  <si>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</si>
  <si>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</si>
  <si>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</si>
  <si>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</si>
  <si>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</si>
  <si>
    <t>00+000 / 159</t>
  </si>
  <si>
    <t>32+000 / 160</t>
  </si>
  <si>
    <t>63+114 / 150</t>
  </si>
  <si>
    <t>126+057 / 110</t>
  </si>
  <si>
    <t>190+560 / 80</t>
  </si>
  <si>
    <t>233+401 / 80</t>
  </si>
  <si>
    <t>265+084 / 100</t>
  </si>
  <si>
    <t>338+643 / 190</t>
  </si>
  <si>
    <t>366+870 / 310</t>
  </si>
  <si>
    <t>396+854 / 280</t>
  </si>
  <si>
    <t>431+427 / 640</t>
  </si>
  <si>
    <t>463+121 / 930</t>
  </si>
  <si>
    <t>494+386 / 950</t>
  </si>
  <si>
    <t>516+946 / 830</t>
  </si>
  <si>
    <t>547+427 / 670</t>
  </si>
  <si>
    <t>576+285 / 600</t>
  </si>
  <si>
    <t>596+137 / 460</t>
  </si>
  <si>
    <t>615+012 / 12</t>
  </si>
  <si>
    <t>646+747 / 12</t>
  </si>
  <si>
    <t>Hassi Messaoud / Hassi Messaoud / OUARGLA</t>
  </si>
  <si>
    <t>Hassi Ben Abdellah / Sidi Khouiled / OUARGLA</t>
  </si>
  <si>
    <t>Hassi Ben Abdellah /Sidi Khouiled/OUARGLA</t>
  </si>
  <si>
    <t>El Allia /El Hadjira / TOUGGOURT</t>
  </si>
  <si>
    <t>El M’rara / Djamaa / EL MEGHAÏER</t>
  </si>
  <si>
    <t>El Meghaïer /El Meghaïer / EL MEGHAÏER</t>
  </si>
  <si>
    <t>Oum Touyour /El-Meghaïer / EL MEGHAÏER</t>
  </si>
  <si>
    <t>Tolga / Tolga / BISKRA</t>
  </si>
  <si>
    <t>Bitam / Barika / BATNA</t>
  </si>
  <si>
    <t>Boumagueur / N'gaous / BATNA</t>
  </si>
  <si>
    <t>Lemsane / Ouled Si Slimane / BATNA</t>
  </si>
  <si>
    <t>Ain Djasser / Ain Djasser / BATNA</t>
  </si>
  <si>
    <t>M'chira / Teleghma / MILA</t>
  </si>
  <si>
    <t>Oued Seguen / Teleghma / MILA</t>
  </si>
  <si>
    <t>Constantine / Constantine / CONSTANTINE</t>
  </si>
  <si>
    <t>Zighoud Youcef / Zighoud Youcef / CONSTANTINE</t>
  </si>
  <si>
    <t>El Harrouch / El Harrouch / SKIKDA</t>
  </si>
  <si>
    <t>Hammadi Krouma / Skikda / SKIKDA</t>
  </si>
  <si>
    <t>10Bis</t>
  </si>
  <si>
    <t>10Ter</t>
  </si>
  <si>
    <t>14Bis</t>
  </si>
  <si>
    <t>16Bis</t>
  </si>
  <si>
    <t>04Bis</t>
  </si>
  <si>
    <t>64+448 / 119,90</t>
  </si>
  <si>
    <t>134+960 / 89,50</t>
  </si>
  <si>
    <t>265+030 / 82,82</t>
  </si>
  <si>
    <t>313+540 / 46,960</t>
  </si>
  <si>
    <t>373+431 / 294,277</t>
  </si>
  <si>
    <t>449+600 / 419,750</t>
  </si>
  <si>
    <t>Square Bresson / Hassi Ben Abdellah / OUARGLA</t>
  </si>
  <si>
    <t>Touggourt / TOUGGOURT</t>
  </si>
  <si>
    <t>Stile / EL MEGHAIER</t>
  </si>
  <si>
    <t>Oumache / BISKRA</t>
  </si>
  <si>
    <t>Fontaine des Gazelles / Kantara / BISKRA</t>
  </si>
  <si>
    <t>Oued Enfida / Ain Khadra / M’SILA</t>
  </si>
  <si>
    <t>ROB1</t>
  </si>
  <si>
    <t>S01</t>
  </si>
  <si>
    <t>N01</t>
  </si>
  <si>
    <t>N02</t>
  </si>
  <si>
    <t>N03</t>
  </si>
  <si>
    <t>N04</t>
  </si>
  <si>
    <t>N05</t>
  </si>
  <si>
    <t>N03Bis</t>
  </si>
  <si>
    <t>N06</t>
  </si>
  <si>
    <t>N07</t>
  </si>
  <si>
    <t>N08</t>
  </si>
  <si>
    <t>N09</t>
  </si>
  <si>
    <t>N10</t>
  </si>
  <si>
    <t>N11</t>
  </si>
  <si>
    <t>N12</t>
  </si>
  <si>
    <t>N13</t>
  </si>
  <si>
    <t>N06Bis</t>
  </si>
  <si>
    <t>010+201 / 527</t>
  </si>
  <si>
    <t>023+334 / 669,4</t>
  </si>
  <si>
    <t>035+040 / 828,3</t>
  </si>
  <si>
    <t>045+691 / 1032,25</t>
  </si>
  <si>
    <t>055+241 / 645,59</t>
  </si>
  <si>
    <t>066+157 / 499,52</t>
  </si>
  <si>
    <t>080+110 / 383,8</t>
  </si>
  <si>
    <t>087+917 / 348,31</t>
  </si>
  <si>
    <t>099+330 / 228,55</t>
  </si>
  <si>
    <t>111+463 / 183,24</t>
  </si>
  <si>
    <t>122+130 / 138,97</t>
  </si>
  <si>
    <t>133+070 / 97,74</t>
  </si>
  <si>
    <t>145+178 / 64,07</t>
  </si>
  <si>
    <t>155+577 / 33,68</t>
  </si>
  <si>
    <t>166+181 / 13,17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</si>
  <si>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</si>
  <si>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</si>
  <si>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</si>
  <si>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</si>
  <si>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</si>
  <si>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</si>
  <si>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</si>
  <si>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</si>
  <si>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</si>
  <si>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</si>
  <si>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</si>
  <si>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</si>
  <si>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</si>
  <si>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</si>
  <si>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</si>
  <si>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</si>
  <si>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</si>
  <si>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</si>
  <si>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</si>
  <si>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</si>
  <si>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</si>
  <si>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19 / 163</t>
  </si>
  <si>
    <t>38 / 140</t>
  </si>
  <si>
    <t>60 / 130</t>
  </si>
  <si>
    <t>77 / 123</t>
  </si>
  <si>
    <t>97 / 106</t>
  </si>
  <si>
    <t>117 / 98</t>
  </si>
  <si>
    <t>135 / 86</t>
  </si>
  <si>
    <t>154 / 69</t>
  </si>
  <si>
    <t>174 / 71</t>
  </si>
  <si>
    <t>211 / 106</t>
  </si>
  <si>
    <t>231 / 63</t>
  </si>
  <si>
    <t>251 / 79</t>
  </si>
  <si>
    <t>271 / 81</t>
  </si>
  <si>
    <t>291 / 80</t>
  </si>
  <si>
    <t>311 / 70</t>
  </si>
  <si>
    <t>331 / 215</t>
  </si>
  <si>
    <t>370 / 324</t>
  </si>
  <si>
    <t>389 / 437</t>
  </si>
  <si>
    <t>408 / 461</t>
  </si>
  <si>
    <t>430 / 417</t>
  </si>
  <si>
    <t>450 / 422</t>
  </si>
  <si>
    <t>477 / 420</t>
  </si>
  <si>
    <t>Hassi Ben Abdallah / OUARGLA</t>
  </si>
  <si>
    <t>Elhadjira / OUARGLA</t>
  </si>
  <si>
    <t>Temacine / OUARGLA</t>
  </si>
  <si>
    <t>Megharine / OUARGLA</t>
  </si>
  <si>
    <t>Sidi Amrane / EL MEGHAIER</t>
  </si>
  <si>
    <t>Sidi Khelil / EL MEGHAIER</t>
  </si>
  <si>
    <t>EL MGHAIR / EL MEGHAIER</t>
  </si>
  <si>
    <t>Oum Touyour / EL MEGHAIER</t>
  </si>
  <si>
    <t>Still / EL MEGHAIER</t>
  </si>
  <si>
    <t>Mlili / BISKRA</t>
  </si>
  <si>
    <t>Tolga / BISKRA</t>
  </si>
  <si>
    <t>Bitam / BISKRA</t>
  </si>
  <si>
    <t>Barika / BATNA</t>
  </si>
  <si>
    <t>Azil Abd El Kader / BATNA</t>
  </si>
  <si>
    <t>Souamaa / BATNA</t>
  </si>
  <si>
    <t>El Adjiba / BOUIRA</t>
  </si>
  <si>
    <t>Oued El Berdj / BOUIRA</t>
  </si>
  <si>
    <t>Ain Alloui / BOUIRA</t>
  </si>
  <si>
    <t>Kherbouzia / BOUIRA</t>
  </si>
  <si>
    <t>Mezeghna / MEDEA</t>
  </si>
  <si>
    <t>Souhane / BLIDA</t>
  </si>
  <si>
    <t>Larbaa / BLIDA</t>
  </si>
  <si>
    <t>18+920 / 429</t>
  </si>
  <si>
    <t>37+940 / 594</t>
  </si>
  <si>
    <t>60+200 / 733</t>
  </si>
  <si>
    <t>78+840 / 726</t>
  </si>
  <si>
    <t>99+500 / 451</t>
  </si>
  <si>
    <t>123+820 / 772</t>
  </si>
  <si>
    <t>132+450 / 84</t>
  </si>
  <si>
    <t>Ouled Mansour / H. Delaa / M’SILA</t>
  </si>
  <si>
    <t>H. Delaa / M’SILA</t>
  </si>
  <si>
    <t>El M’hir / M’SILA</t>
  </si>
  <si>
    <t>Boudjelil / BÉJAÏA</t>
  </si>
  <si>
    <t>Ait Mansour / BÉJAÏA</t>
  </si>
  <si>
    <t>AIT R'ZINE/ BÉJAÏA</t>
  </si>
  <si>
    <t>Akbou / BÉJAÏA</t>
  </si>
  <si>
    <t>Ouzellaguene / BÉJAÏA</t>
  </si>
  <si>
    <t>El Felay / BÉJAÏA</t>
  </si>
  <si>
    <t>Timezrit / BÉJAÏA</t>
  </si>
  <si>
    <t>Amizour / BÉJAÏA</t>
  </si>
  <si>
    <t>Oued Ghir / BÉJAÏA</t>
  </si>
  <si>
    <t>54+100 / 544</t>
  </si>
  <si>
    <t>83+900 / 662</t>
  </si>
  <si>
    <t>123+100 / 600</t>
  </si>
  <si>
    <t>151+000 / 525</t>
  </si>
  <si>
    <t>210+100 / 400</t>
  </si>
  <si>
    <t>240+700 / 315</t>
  </si>
  <si>
    <t>263+900 / 280</t>
  </si>
  <si>
    <t>In Aménas / ILLIZI</t>
  </si>
  <si>
    <t>Deb Deb / ILLIZI</t>
  </si>
  <si>
    <t>32+400 / 224</t>
  </si>
  <si>
    <t>74+800 / 195</t>
  </si>
  <si>
    <t>144+800 / 162</t>
  </si>
  <si>
    <t>239+200 / 162</t>
  </si>
  <si>
    <t>El Borma / OUARGLA</t>
  </si>
  <si>
    <t>25+238 / 211</t>
  </si>
  <si>
    <t>50+672 / 197</t>
  </si>
  <si>
    <t>74+969 / 200</t>
  </si>
  <si>
    <t>102+209 / 166</t>
  </si>
  <si>
    <t>119+709 / 162</t>
  </si>
  <si>
    <t>159+513 / 155</t>
  </si>
  <si>
    <t>182+024 / 169</t>
  </si>
  <si>
    <t>204+429 / 151</t>
  </si>
  <si>
    <t>227+002 / 154</t>
  </si>
  <si>
    <t>248+065 / 155</t>
  </si>
  <si>
    <t>19+700 / 155</t>
  </si>
  <si>
    <t>62+000 / 145</t>
  </si>
  <si>
    <t>Hassi Messaoud / OUARGLA</t>
  </si>
  <si>
    <t>RGZ1</t>
  </si>
  <si>
    <t>RGZ3</t>
  </si>
  <si>
    <t>GZ4 Bis</t>
  </si>
  <si>
    <t>GK3 Bis</t>
  </si>
  <si>
    <t>CJB</t>
  </si>
  <si>
    <t>Stroystransgas</t>
  </si>
  <si>
    <t>X</t>
  </si>
  <si>
    <t>SOCEA</t>
  </si>
  <si>
    <t>GRESS</t>
  </si>
  <si>
    <t>BRC</t>
  </si>
  <si>
    <t>GTP</t>
  </si>
  <si>
    <t>MANNESSMAN</t>
  </si>
  <si>
    <t>SH-DTC</t>
  </si>
  <si>
    <t>SNAMPROGETTI</t>
  </si>
  <si>
    <t>SPIE</t>
  </si>
  <si>
    <t>CAPAG</t>
  </si>
  <si>
    <t>ABB</t>
  </si>
  <si>
    <t>GREP</t>
  </si>
  <si>
    <t>SOCOMAN</t>
  </si>
  <si>
    <t>GCB</t>
  </si>
  <si>
    <t xml:space="preserve">Sofregaz </t>
  </si>
  <si>
    <t>Entrepose</t>
  </si>
  <si>
    <t>SARPI</t>
  </si>
  <si>
    <t>GE</t>
  </si>
  <si>
    <t>NACAP</t>
  </si>
  <si>
    <t>MASA</t>
  </si>
  <si>
    <t>ZAKHEM</t>
  </si>
  <si>
    <t>WILLBROS</t>
  </si>
  <si>
    <t xml:space="preserve">PETROJET </t>
  </si>
  <si>
    <t>DTC</t>
  </si>
  <si>
    <t>GIP</t>
  </si>
  <si>
    <t>JGC</t>
  </si>
  <si>
    <t>TMPE</t>
  </si>
  <si>
    <t>31+400 / 196</t>
  </si>
  <si>
    <t>63+500 / 185</t>
  </si>
  <si>
    <t>93+400 / 187</t>
  </si>
  <si>
    <t>123+400 / 190</t>
  </si>
  <si>
    <t>173+300 / 184</t>
  </si>
  <si>
    <t>204+000 / 165</t>
  </si>
  <si>
    <t>233+000 / 156,79</t>
  </si>
  <si>
    <t>262+000 / 169,65</t>
  </si>
  <si>
    <t>El-Borma / OUARGLA</t>
  </si>
  <si>
    <t>93+500 / 187</t>
  </si>
  <si>
    <t>173+245 / 184</t>
  </si>
  <si>
    <t>204+010 / 165</t>
  </si>
  <si>
    <t>233+041 / 156,79</t>
  </si>
  <si>
    <t>263+000 / 169,65</t>
  </si>
  <si>
    <t>0+446</t>
  </si>
  <si>
    <t>7+000</t>
  </si>
  <si>
    <t>22+960</t>
  </si>
  <si>
    <t>77+000</t>
  </si>
  <si>
    <t>95+000</t>
  </si>
  <si>
    <t>109+274</t>
  </si>
  <si>
    <t>139+086</t>
  </si>
  <si>
    <t>194+551</t>
  </si>
  <si>
    <t>230+022</t>
  </si>
  <si>
    <t>247+400</t>
  </si>
  <si>
    <t>262+000</t>
  </si>
  <si>
    <t>306+786</t>
  </si>
  <si>
    <t>317+500</t>
  </si>
  <si>
    <t>337+300</t>
  </si>
  <si>
    <t>364+367</t>
  </si>
  <si>
    <t>397+328</t>
  </si>
  <si>
    <t>411+438</t>
  </si>
  <si>
    <t>424+000</t>
  </si>
  <si>
    <t>463+666</t>
  </si>
  <si>
    <t>477+000</t>
  </si>
  <si>
    <t>488+000</t>
  </si>
  <si>
    <t>490+605</t>
  </si>
  <si>
    <t>Hassi R’mel</t>
  </si>
  <si>
    <t>Tadjemout</t>
  </si>
  <si>
    <t>Guertoufa</t>
  </si>
  <si>
    <t>Rahouia</t>
  </si>
  <si>
    <t>Zemmoura</t>
  </si>
  <si>
    <t>Hassi R’mel/LAGHOUAT</t>
  </si>
  <si>
    <t>Benaceur Benchahra/LAGHOUAT</t>
  </si>
  <si>
    <t>Elkheneg/LAGHOUAT</t>
  </si>
  <si>
    <t>Tadjemout/LAGHOUAT</t>
  </si>
  <si>
    <t>Faidja/TIARET</t>
  </si>
  <si>
    <t>Sougueur/TIARET</t>
  </si>
  <si>
    <t>Guertoufa/TIARET</t>
  </si>
  <si>
    <t>Rahouia/TIARET</t>
  </si>
  <si>
    <t>Zemmoura/RELIZANE</t>
  </si>
  <si>
    <t>Barmadia/RELIZANE</t>
  </si>
  <si>
    <t>Matmar/RELIZANE</t>
  </si>
  <si>
    <t>Mohamadia/MASCARA</t>
  </si>
  <si>
    <t>Mocta douz/MASCARA</t>
  </si>
  <si>
    <t>Granine/MASCARA</t>
  </si>
  <si>
    <t>El Baida/LAGHOUAT</t>
  </si>
  <si>
    <t>DP Hassi R’mel</t>
  </si>
  <si>
    <t>Touat Gaz</t>
  </si>
  <si>
    <t>HAOUD BERKAOUI</t>
  </si>
  <si>
    <t>GUELLALA</t>
  </si>
  <si>
    <t>OUED NOUMER</t>
  </si>
  <si>
    <t>HASSI R’ MEL</t>
  </si>
  <si>
    <t>74+700 / 210</t>
  </si>
  <si>
    <t>77+300 / 201</t>
  </si>
  <si>
    <t>206+100 / 440</t>
  </si>
  <si>
    <t>296+400 / 756</t>
  </si>
  <si>
    <t>74+500 / 210</t>
  </si>
  <si>
    <t>77+200 / 201</t>
  </si>
  <si>
    <t>207+100 / 440</t>
  </si>
  <si>
    <t>297+000 / 756</t>
  </si>
  <si>
    <t>Djebel Onk</t>
  </si>
  <si>
    <t>Ras Toumb</t>
  </si>
  <si>
    <t>Guetirini</t>
  </si>
  <si>
    <t>350+830 / 217,1</t>
  </si>
  <si>
    <t>495+009 / 455,7</t>
  </si>
  <si>
    <t>Mereksen</t>
  </si>
  <si>
    <t>Stah</t>
  </si>
  <si>
    <t>66 / 700</t>
  </si>
  <si>
    <t>125 / 590</t>
  </si>
  <si>
    <t>0 / 545</t>
  </si>
  <si>
    <t>Zarzaitine</t>
  </si>
  <si>
    <t>Tifernine</t>
  </si>
  <si>
    <t>Edjeleh</t>
  </si>
  <si>
    <t>Tiguentourine</t>
  </si>
  <si>
    <t>Acheb</t>
  </si>
  <si>
    <t>DP/Stah</t>
  </si>
  <si>
    <t>Tamadanet (à l’arrêt)</t>
  </si>
  <si>
    <t>DP/ Ohanet</t>
  </si>
  <si>
    <t>DP / TFT (avec Tifernine)</t>
  </si>
  <si>
    <t>DP / Rhourd Nouss</t>
  </si>
  <si>
    <t>DP / Gassi Touil</t>
  </si>
  <si>
    <t>Nezla (à l’arrêt)</t>
  </si>
  <si>
    <t>80 / 672</t>
  </si>
  <si>
    <t>112+500 / 567</t>
  </si>
  <si>
    <t>270+500 / 302</t>
  </si>
  <si>
    <t>376 / 258</t>
  </si>
  <si>
    <t>452 / 208</t>
  </si>
  <si>
    <t>545+500 / 159</t>
  </si>
  <si>
    <t>BIR EL MSANA (BMS) (AST)</t>
  </si>
  <si>
    <t>BIR R’BAA NORD (BRN) (AST)</t>
  </si>
  <si>
    <t>RHOURDE EL BAGUEL</t>
  </si>
  <si>
    <t>HASSI BIR REKAIZ (HBR) (AST)</t>
  </si>
  <si>
    <t>0 / 246</t>
  </si>
  <si>
    <t xml:space="preserve">76+700/195 </t>
  </si>
  <si>
    <t>74+700 / 181,5</t>
  </si>
  <si>
    <t xml:space="preserve">0 / 172 </t>
  </si>
  <si>
    <t>0 / 157</t>
  </si>
  <si>
    <t>Ourhoud</t>
  </si>
  <si>
    <t>HBNS (Pôle Hassi Berkine)</t>
  </si>
  <si>
    <t>Bir Berkine Nord (BBK)</t>
  </si>
  <si>
    <t>EL MERK</t>
  </si>
  <si>
    <t>Rhourd El Khrouf (RKF)</t>
  </si>
  <si>
    <t>MENZEL LEDJMET EAST(MLE)</t>
  </si>
  <si>
    <t>CAFC</t>
  </si>
  <si>
    <t>0 / 185</t>
  </si>
  <si>
    <t>Menzel Ledjmet Nord (MLN)</t>
  </si>
  <si>
    <t>31+582 / 196</t>
  </si>
  <si>
    <t>0 / 780</t>
  </si>
  <si>
    <t>DP Hassi Messaoud</t>
  </si>
  <si>
    <t>Arrivée STC NH2</t>
  </si>
  <si>
    <t>0 / 172</t>
  </si>
  <si>
    <t>Tinhert *</t>
  </si>
  <si>
    <t>DP Ohanet</t>
  </si>
  <si>
    <t>In Aménas (SH/ENI/EQUINOR)</t>
  </si>
  <si>
    <t>DP TFT</t>
  </si>
  <si>
    <t>Isaréne</t>
  </si>
  <si>
    <t>Hamra</t>
  </si>
  <si>
    <t>Rhourde Nouss</t>
  </si>
  <si>
    <t>CPF MLE</t>
  </si>
  <si>
    <t>263+600</t>
  </si>
  <si>
    <t>339+500</t>
  </si>
  <si>
    <t>Arrivée STC LR1/DLR1/ELR1 et LNZ1 12’’</t>
  </si>
  <si>
    <t>0 / 777</t>
  </si>
  <si>
    <t>- Alrar</t>
  </si>
  <si>
    <t>- In Amenas (injection à l’arrêt)</t>
  </si>
  <si>
    <t>- DP Ohanet</t>
  </si>
  <si>
    <t>- BP Tiguentourine</t>
  </si>
  <si>
    <t>- Groupement TFT</t>
  </si>
  <si>
    <t>- Groupement Isarene / Ain Tsila</t>
  </si>
  <si>
    <t>- Hamra</t>
  </si>
  <si>
    <t>- Rhourd Nouss</t>
  </si>
  <si>
    <t>- MLE+CAFC</t>
  </si>
  <si>
    <t>- EL MERK</t>
  </si>
  <si>
    <t>- Gassi Touil</t>
  </si>
  <si>
    <t>- Bir Rbaa Nord</t>
  </si>
  <si>
    <t>- Berkin Nord et Sud</t>
  </si>
  <si>
    <t>- Hassi Messaoud Sud 2</t>
  </si>
  <si>
    <t>- Hassi Messaoud Sud 1</t>
  </si>
  <si>
    <t>- Z-CINA</t>
  </si>
  <si>
    <t>- Guellala</t>
  </si>
  <si>
    <t>- Oued Noumer</t>
  </si>
  <si>
    <t>0 / 702</t>
  </si>
  <si>
    <t>40 / 694</t>
  </si>
  <si>
    <t>100+085 / 555</t>
  </si>
  <si>
    <t>232+300 / 469</t>
  </si>
  <si>
    <t>395+700 / 274</t>
  </si>
  <si>
    <t>430+700 / 252</t>
  </si>
  <si>
    <t>503+500 / 208</t>
  </si>
  <si>
    <t>653+500 / 167</t>
  </si>
  <si>
    <t>681+500 / 151</t>
  </si>
  <si>
    <t>756+000 / 160</t>
  </si>
  <si>
    <t>892+000 / 496</t>
  </si>
  <si>
    <t>0 / 151</t>
  </si>
  <si>
    <t>33 / 151</t>
  </si>
  <si>
    <t>CP4 HASSI R'MEL</t>
  </si>
  <si>
    <t>Benchohra</t>
  </si>
  <si>
    <t>Laghouat</t>
  </si>
  <si>
    <t>CP5 LAGHOUAT</t>
  </si>
  <si>
    <t>Tajmout</t>
  </si>
  <si>
    <t>Aflou</t>
  </si>
  <si>
    <t>Ain Chouhada</t>
  </si>
  <si>
    <t>Sidi Bouzid&amp;Idrissia</t>
  </si>
  <si>
    <t>El Beida</t>
  </si>
  <si>
    <t>Zemalet Amir Aek</t>
  </si>
  <si>
    <t>CP6 TIARET</t>
  </si>
  <si>
    <t>Ain D’heb</t>
  </si>
  <si>
    <t>Naima II</t>
  </si>
  <si>
    <t>Sougueur 1</t>
  </si>
  <si>
    <t>Mellakou</t>
  </si>
  <si>
    <t>Centrale Tiaret</t>
  </si>
  <si>
    <t>ENTPL Tiaret</t>
  </si>
  <si>
    <t>DP Tiaret</t>
  </si>
  <si>
    <t>Relizane 1</t>
  </si>
  <si>
    <t>Relizane 2</t>
  </si>
  <si>
    <t>10+500</t>
  </si>
  <si>
    <t>91+600</t>
  </si>
  <si>
    <t>101+100</t>
  </si>
  <si>
    <t>119+600</t>
  </si>
  <si>
    <t>131+000</t>
  </si>
  <si>
    <t>160+800</t>
  </si>
  <si>
    <t>162+300</t>
  </si>
  <si>
    <t>188+100</t>
  </si>
  <si>
    <t>196+000</t>
  </si>
  <si>
    <t>238+000</t>
  </si>
  <si>
    <t>239+000</t>
  </si>
  <si>
    <t>274+800</t>
  </si>
  <si>
    <t>302+200</t>
  </si>
  <si>
    <t>312+800</t>
  </si>
  <si>
    <t>327+000</t>
  </si>
  <si>
    <t>332+500</t>
  </si>
  <si>
    <t>332+700</t>
  </si>
  <si>
    <t>333+600</t>
  </si>
  <si>
    <t>369+800</t>
  </si>
  <si>
    <t>421+300</t>
  </si>
  <si>
    <t>Ain Nouissy</t>
  </si>
  <si>
    <t>Beni Yahi</t>
  </si>
  <si>
    <t>Fornaka</t>
  </si>
  <si>
    <t>Fornaka 2</t>
  </si>
  <si>
    <t>M.E.Hadjadj</t>
  </si>
  <si>
    <t>Bethouia</t>
  </si>
  <si>
    <t>IAP Arzew II</t>
  </si>
  <si>
    <t>DP Arzew I</t>
  </si>
  <si>
    <t>466+600</t>
  </si>
  <si>
    <t>471+000</t>
  </si>
  <si>
    <t>475+600</t>
  </si>
  <si>
    <t>476+800</t>
  </si>
  <si>
    <t>492+500</t>
  </si>
  <si>
    <t>501+000</t>
  </si>
  <si>
    <t>505+000</t>
  </si>
  <si>
    <t>505+800</t>
  </si>
  <si>
    <t>507+000</t>
  </si>
  <si>
    <t>508+000</t>
  </si>
  <si>
    <t>508+100</t>
  </si>
  <si>
    <t>CP4 Hassi R'mel</t>
  </si>
  <si>
    <t>Ben Chohra</t>
  </si>
  <si>
    <t>CP5 Laghouat</t>
  </si>
  <si>
    <t>El Idrissia &amp; Sidi Bouzid</t>
  </si>
  <si>
    <t>CP6 Tiaret</t>
  </si>
  <si>
    <t>Sougueur / PC4</t>
  </si>
  <si>
    <t>160+900</t>
  </si>
  <si>
    <t>202+700</t>
  </si>
  <si>
    <t>237+972</t>
  </si>
  <si>
    <t>239+217</t>
  </si>
  <si>
    <t>295+872</t>
  </si>
  <si>
    <t>Sougueur II</t>
  </si>
  <si>
    <t>Naima</t>
  </si>
  <si>
    <t>Sougueur I</t>
  </si>
  <si>
    <t>PRS</t>
  </si>
  <si>
    <t>Melakou</t>
  </si>
  <si>
    <t>Tiaret II (C.E Tiaret)</t>
  </si>
  <si>
    <t>ENTPL Tiaret (SOTREFIT)</t>
  </si>
  <si>
    <t>Tiaret I</t>
  </si>
  <si>
    <t>Lala Abdia (DP Tiaret III)</t>
  </si>
  <si>
    <t>Oued Lili</t>
  </si>
  <si>
    <t>Mechraa Sfa</t>
  </si>
  <si>
    <t>Oued Essalem</t>
  </si>
  <si>
    <t>Mendes</t>
  </si>
  <si>
    <t>Relizane I (Chlef)</t>
  </si>
  <si>
    <t>Relizane II (Maghnia)</t>
  </si>
  <si>
    <t>Relizane III (Centrale)</t>
  </si>
  <si>
    <t>Bouguirat</t>
  </si>
  <si>
    <t>299+200</t>
  </si>
  <si>
    <t>318+242</t>
  </si>
  <si>
    <t>327+428</t>
  </si>
  <si>
    <t>339+000</t>
  </si>
  <si>
    <t>344+000</t>
  </si>
  <si>
    <t>351+400</t>
  </si>
  <si>
    <t>357+000</t>
  </si>
  <si>
    <t>380+000</t>
  </si>
  <si>
    <t>393+000</t>
  </si>
  <si>
    <t>398+500</t>
  </si>
  <si>
    <t>407+400</t>
  </si>
  <si>
    <t>429+700</t>
  </si>
  <si>
    <t>453+200</t>
  </si>
  <si>
    <t>Centrale Electrique Mostaganem</t>
  </si>
  <si>
    <t>Sirat</t>
  </si>
  <si>
    <t>Renforcement amont Mostaganem</t>
  </si>
  <si>
    <t>El Bordjia</t>
  </si>
  <si>
    <t>El Hassiane (Beni Yahi)</t>
  </si>
  <si>
    <t>Fornaka II</t>
  </si>
  <si>
    <t>Fornaka III</t>
  </si>
  <si>
    <t>Fornaka I</t>
  </si>
  <si>
    <t>M.E.Hadjadj II</t>
  </si>
  <si>
    <t>FERTIAL</t>
  </si>
  <si>
    <t>SORFET ALGERIE</t>
  </si>
  <si>
    <t>Araba,Houaoua,Gr anine</t>
  </si>
  <si>
    <t>459+200</t>
  </si>
  <si>
    <t>478+100</t>
  </si>
  <si>
    <t>458+800</t>
  </si>
  <si>
    <t>473+000</t>
  </si>
  <si>
    <t>476+400</t>
  </si>
  <si>
    <t>478+800</t>
  </si>
  <si>
    <t>506+700</t>
  </si>
  <si>
    <t>507+280</t>
  </si>
  <si>
    <t>TOSYIALI</t>
  </si>
  <si>
    <t>CE M.E.Hadjadj I</t>
  </si>
  <si>
    <t>CE Kahrama</t>
  </si>
  <si>
    <t>IAP Arzew</t>
  </si>
  <si>
    <t>508+140</t>
  </si>
  <si>
    <t xml:space="preserve">511+000 </t>
  </si>
  <si>
    <t xml:space="preserve">517+000 </t>
  </si>
  <si>
    <t>00+800</t>
  </si>
  <si>
    <t>01+900</t>
  </si>
  <si>
    <t>03+539</t>
  </si>
  <si>
    <t>SOUGUEUR / PC4</t>
  </si>
  <si>
    <t>OUED SABBAH (VANNE DE RACCORDEMENT)</t>
  </si>
  <si>
    <t>TERGA</t>
  </si>
  <si>
    <t>297+202</t>
  </si>
  <si>
    <t>74+250</t>
  </si>
  <si>
    <t>113+700</t>
  </si>
  <si>
    <t>Hassi Dalaa</t>
  </si>
  <si>
    <t>Oum Laadham</t>
  </si>
  <si>
    <t>Ras El Miaad</t>
  </si>
  <si>
    <t>Chegga</t>
  </si>
  <si>
    <t>Biskra (Chaiba)</t>
  </si>
  <si>
    <t>M’doukel</t>
  </si>
  <si>
    <t>Barika I</t>
  </si>
  <si>
    <t>Bitam II</t>
  </si>
  <si>
    <t>Bitam</t>
  </si>
  <si>
    <t>Barika II</t>
  </si>
  <si>
    <t>Barika IV</t>
  </si>
  <si>
    <t>Barika III</t>
  </si>
  <si>
    <t>Batna II (SEFIANE)</t>
  </si>
  <si>
    <t>Boumagueur</t>
  </si>
  <si>
    <t>N’gaous</t>
  </si>
  <si>
    <t>Ouled Si Slimane</t>
  </si>
  <si>
    <t>Ras Layoun</t>
  </si>
  <si>
    <t>Talkhamt</t>
  </si>
  <si>
    <t>Merouana</t>
  </si>
  <si>
    <t>Karyat Kherba</t>
  </si>
  <si>
    <t>Ouled Sellam</t>
  </si>
  <si>
    <t>Batna I Ain Djasser</t>
  </si>
  <si>
    <t>C.E Ain Djasser</t>
  </si>
  <si>
    <t>Ain Arnat</t>
  </si>
  <si>
    <t>M’chira</t>
  </si>
  <si>
    <t>Teleghma I/II</t>
  </si>
  <si>
    <t>Teleghma III</t>
  </si>
  <si>
    <t>Ouled Smail</t>
  </si>
  <si>
    <t>Mila</t>
  </si>
  <si>
    <t>Ali Mendjeli</t>
  </si>
  <si>
    <t>Ain S’mara</t>
  </si>
  <si>
    <t>Constantine I/II (El Djebasse)</t>
  </si>
  <si>
    <t>Ibn Ziad</t>
  </si>
  <si>
    <t>Messaod Boudjeriou</t>
  </si>
  <si>
    <t>Hamma Bouziane / Didouche Mourad</t>
  </si>
  <si>
    <t>Hamma Bouziane Bellara</t>
  </si>
  <si>
    <t>Zighoud Youcef (Doghra)</t>
  </si>
  <si>
    <t>El-Harrouch</t>
  </si>
  <si>
    <t>Ain Bouziane</t>
  </si>
  <si>
    <t>Ramdane Djamel I/II</t>
  </si>
  <si>
    <t>Bouchettata</t>
  </si>
  <si>
    <t>El-Haddaiek</t>
  </si>
  <si>
    <t>Hamadi Krouma</t>
  </si>
  <si>
    <t>Filfila</t>
  </si>
  <si>
    <t>Skikda I</t>
  </si>
  <si>
    <t>Skikda II SKS</t>
  </si>
  <si>
    <t>Raffinerie RA2K (Topping Condensat)</t>
  </si>
  <si>
    <t>Complexe Pétrolier (CP1K)</t>
  </si>
  <si>
    <t>27+748</t>
  </si>
  <si>
    <t>64+900</t>
  </si>
  <si>
    <t>-</t>
  </si>
  <si>
    <t>133+753</t>
  </si>
  <si>
    <t>176+600</t>
  </si>
  <si>
    <t>233+954</t>
  </si>
  <si>
    <t>270+785</t>
  </si>
  <si>
    <t>270+512</t>
  </si>
  <si>
    <t>310+600</t>
  </si>
  <si>
    <t>338+000</t>
  </si>
  <si>
    <t>338+479</t>
  </si>
  <si>
    <t>339+067</t>
  </si>
  <si>
    <t>342+686</t>
  </si>
  <si>
    <t>342+333</t>
  </si>
  <si>
    <t>350+613</t>
  </si>
  <si>
    <t>350+818</t>
  </si>
  <si>
    <t>353+600</t>
  </si>
  <si>
    <t>354+800</t>
  </si>
  <si>
    <t>363+300</t>
  </si>
  <si>
    <t>375+000</t>
  </si>
  <si>
    <t>373+779</t>
  </si>
  <si>
    <t>380+800</t>
  </si>
  <si>
    <t>388+270</t>
  </si>
  <si>
    <t>395+054</t>
  </si>
  <si>
    <t>395+922</t>
  </si>
  <si>
    <t>399+712</t>
  </si>
  <si>
    <t>399+504</t>
  </si>
  <si>
    <t>407+955</t>
  </si>
  <si>
    <t>415+079</t>
  </si>
  <si>
    <t>430+120</t>
  </si>
  <si>
    <t>429+826</t>
  </si>
  <si>
    <t>430+160</t>
  </si>
  <si>
    <t>438+372</t>
  </si>
  <si>
    <t>439+522</t>
  </si>
  <si>
    <t>451+061</t>
  </si>
  <si>
    <t>458+520</t>
  </si>
  <si>
    <t>458+654</t>
  </si>
  <si>
    <t>464+245</t>
  </si>
  <si>
    <t>462+944</t>
  </si>
  <si>
    <t>468+700</t>
  </si>
  <si>
    <t>475+605</t>
  </si>
  <si>
    <t>474+323</t>
  </si>
  <si>
    <t>492+099</t>
  </si>
  <si>
    <t>492+836</t>
  </si>
  <si>
    <t>498+399</t>
  </si>
  <si>
    <t>497+400</t>
  </si>
  <si>
    <t>504+806</t>
  </si>
  <si>
    <t>503+102</t>
  </si>
  <si>
    <t>507+764</t>
  </si>
  <si>
    <t>514+548</t>
  </si>
  <si>
    <t>513+560</t>
  </si>
  <si>
    <t>514+528</t>
  </si>
  <si>
    <t>515+070</t>
  </si>
  <si>
    <t>527+460</t>
  </si>
  <si>
    <t>529+396</t>
  </si>
  <si>
    <t>547+462</t>
  </si>
  <si>
    <t>544+230</t>
  </si>
  <si>
    <t>545+690</t>
  </si>
  <si>
    <t>554+981</t>
  </si>
  <si>
    <t>555+094</t>
  </si>
  <si>
    <t>563+562</t>
  </si>
  <si>
    <t>566+940</t>
  </si>
  <si>
    <t>566+700</t>
  </si>
  <si>
    <t>571+700</t>
  </si>
  <si>
    <t>Ain Djasser</t>
  </si>
  <si>
    <t>Ouled Hamla</t>
  </si>
  <si>
    <t>Khazara</t>
  </si>
  <si>
    <t>Chihani</t>
  </si>
  <si>
    <t>Chafia</t>
  </si>
  <si>
    <t>Attente</t>
  </si>
  <si>
    <t>Bouteldja</t>
  </si>
  <si>
    <t>BERIHANE</t>
  </si>
  <si>
    <t>C.E. K.Eddraouche</t>
  </si>
  <si>
    <t>433+483</t>
  </si>
  <si>
    <t>50+301</t>
  </si>
  <si>
    <t>148+816</t>
  </si>
  <si>
    <t>201+646</t>
  </si>
  <si>
    <t>222+765</t>
  </si>
  <si>
    <t>234+704</t>
  </si>
  <si>
    <t>241+926</t>
  </si>
  <si>
    <t>256+182</t>
  </si>
  <si>
    <t>267+300</t>
  </si>
  <si>
    <t>Ras layoun</t>
  </si>
  <si>
    <t>Bouhamdene et Ouled H’Ababa</t>
  </si>
  <si>
    <t>10+164</t>
  </si>
  <si>
    <t>30+777</t>
  </si>
  <si>
    <t>TILGHEMT</t>
  </si>
  <si>
    <t>OULED BELLIL</t>
  </si>
  <si>
    <t>KSAR EL HIRANE</t>
  </si>
  <si>
    <t>SED RAHAL</t>
  </si>
  <si>
    <t>MESSAAD</t>
  </si>
  <si>
    <t>MOUDJEBARA</t>
  </si>
  <si>
    <t>DJELFA</t>
  </si>
  <si>
    <t>MOUILAH</t>
  </si>
  <si>
    <t>DAR CHIOUKH</t>
  </si>
  <si>
    <t>SLIM</t>
  </si>
  <si>
    <t>20+800</t>
  </si>
  <si>
    <t>31+000</t>
  </si>
  <si>
    <t>94+500</t>
  </si>
  <si>
    <t>109+660</t>
  </si>
  <si>
    <t>138+700</t>
  </si>
  <si>
    <t>175+500</t>
  </si>
  <si>
    <t>192+000</t>
  </si>
  <si>
    <t>200+420</t>
  </si>
  <si>
    <t>216+410</t>
  </si>
  <si>
    <t>223+000</t>
  </si>
  <si>
    <t>BOUSSAADA</t>
  </si>
  <si>
    <t>HAD S’HARI</t>
  </si>
  <si>
    <t>OULED ALI</t>
  </si>
  <si>
    <t>AIN LAHDJEL (MSILA)</t>
  </si>
  <si>
    <t>253+500</t>
  </si>
  <si>
    <t>286+600</t>
  </si>
  <si>
    <t>301+321</t>
  </si>
  <si>
    <t>312+000</t>
  </si>
  <si>
    <t>SIDI AISSA II</t>
  </si>
  <si>
    <t>SIDI AISSA I</t>
  </si>
  <si>
    <t>325+000</t>
  </si>
  <si>
    <t>336+000</t>
  </si>
  <si>
    <t>DIRAH</t>
  </si>
  <si>
    <t>DIRAH II</t>
  </si>
  <si>
    <t>EL HAKIMIA</t>
  </si>
  <si>
    <t>SOUR EL GHOZLANE</t>
  </si>
  <si>
    <t>AIN BESSAM</t>
  </si>
  <si>
    <t>BOUIRA II (BEJAIA)</t>
  </si>
  <si>
    <t>AIN EL HADJAR</t>
  </si>
  <si>
    <t>BOUIRA I</t>
  </si>
  <si>
    <t>AIN EL TURK (HAIZER)</t>
  </si>
  <si>
    <t>LAKHDARIA</t>
  </si>
  <si>
    <t>DRAA EL MIZAN</t>
  </si>
  <si>
    <t>M’KIRA</t>
  </si>
  <si>
    <t>CHAABET EL AMEUR</t>
  </si>
  <si>
    <t>BORDJ MENAIL (ALGER)</t>
  </si>
  <si>
    <t>349+000</t>
  </si>
  <si>
    <t>349+250</t>
  </si>
  <si>
    <t>360+920</t>
  </si>
  <si>
    <t>366+600</t>
  </si>
  <si>
    <t>386+000</t>
  </si>
  <si>
    <t>390+000</t>
  </si>
  <si>
    <t>390+600</t>
  </si>
  <si>
    <t>396+150</t>
  </si>
  <si>
    <t>405+900</t>
  </si>
  <si>
    <t>409+700</t>
  </si>
  <si>
    <t>418+000</t>
  </si>
  <si>
    <t>423+000</t>
  </si>
  <si>
    <t>431+400</t>
  </si>
  <si>
    <t>437+000</t>
  </si>
  <si>
    <t>DJABAHIA &amp; EL MADJENE</t>
  </si>
  <si>
    <t>CE BREZINA</t>
  </si>
  <si>
    <t>BREZINA</t>
  </si>
  <si>
    <t>ARBAOUAT</t>
  </si>
  <si>
    <t>EL BAYADH</t>
  </si>
  <si>
    <t>M’HARA</t>
  </si>
  <si>
    <t>Ben Hadjame</t>
  </si>
  <si>
    <t>TOUADJER</t>
  </si>
  <si>
    <t>CE NAAMA (MECHRIA/ BOUGTOB)</t>
  </si>
  <si>
    <t>CC NAAMA II</t>
  </si>
  <si>
    <t>MEKMEN BEN AMAR</t>
  </si>
  <si>
    <t>ABDEL MOULA</t>
  </si>
  <si>
    <t>Aricha (kasdir)</t>
  </si>
  <si>
    <t>382+900</t>
  </si>
  <si>
    <t>194+606</t>
  </si>
  <si>
    <t>213+045</t>
  </si>
  <si>
    <t>267+599</t>
  </si>
  <si>
    <t>281+900</t>
  </si>
  <si>
    <t>293+901</t>
  </si>
  <si>
    <t>314+533</t>
  </si>
  <si>
    <t>326+217</t>
  </si>
  <si>
    <t>361+740</t>
  </si>
  <si>
    <t>381+459</t>
  </si>
  <si>
    <t>421+190</t>
  </si>
  <si>
    <t>460+999</t>
  </si>
  <si>
    <t>LABIODH SIDI CHEIKH &amp; Bechar</t>
  </si>
  <si>
    <t>500+697</t>
  </si>
  <si>
    <t>Besbes</t>
  </si>
  <si>
    <t>Ouled Djelal</t>
  </si>
  <si>
    <t>Bouclage de la ville de Biskra (Lioua)</t>
  </si>
  <si>
    <t>SP3 SELGA RTE NK1</t>
  </si>
  <si>
    <t>Sidi Okba, M’ghair</t>
  </si>
  <si>
    <t>SP1 bis OB1</t>
  </si>
  <si>
    <t>Ain Naga</t>
  </si>
  <si>
    <t>Zeribet El Oued</t>
  </si>
  <si>
    <t>R’ouidjel Harzelli,El Feidh</t>
  </si>
  <si>
    <t>C.E Labrag</t>
  </si>
  <si>
    <t>Ferkane - Negrine</t>
  </si>
  <si>
    <t>Bir El Ater (Tebessa)</t>
  </si>
  <si>
    <t>235+850</t>
  </si>
  <si>
    <t>246+550</t>
  </si>
  <si>
    <t>283+965</t>
  </si>
  <si>
    <t>284+125</t>
  </si>
  <si>
    <t>319+205</t>
  </si>
  <si>
    <t>319+228</t>
  </si>
  <si>
    <t>375+600</t>
  </si>
  <si>
    <t>382+128</t>
  </si>
  <si>
    <t>432+950</t>
  </si>
  <si>
    <t>433+080</t>
  </si>
  <si>
    <t>433+000</t>
  </si>
  <si>
    <t>460+550</t>
  </si>
  <si>
    <t>531+074</t>
  </si>
  <si>
    <t>20+244</t>
  </si>
  <si>
    <t>53+141</t>
  </si>
  <si>
    <t>68+019</t>
  </si>
  <si>
    <t>78+495</t>
  </si>
  <si>
    <t>97+567</t>
  </si>
  <si>
    <t>102+614</t>
  </si>
  <si>
    <t>116+648</t>
  </si>
  <si>
    <t>116+649</t>
  </si>
  <si>
    <t>129+753</t>
  </si>
  <si>
    <t>136+083</t>
  </si>
  <si>
    <t>147+411</t>
  </si>
  <si>
    <t>156+511</t>
  </si>
  <si>
    <t>160+000</t>
  </si>
  <si>
    <t>160+457</t>
  </si>
  <si>
    <t>168+146</t>
  </si>
  <si>
    <t>176+202</t>
  </si>
  <si>
    <t>180+235</t>
  </si>
  <si>
    <t>196+297</t>
  </si>
  <si>
    <t>196+298</t>
  </si>
  <si>
    <t>198+978</t>
  </si>
  <si>
    <t>Groupement TFT</t>
  </si>
  <si>
    <t>Isarène</t>
  </si>
  <si>
    <t>URGA Gassi Touil</t>
  </si>
  <si>
    <t>CIS HMD</t>
  </si>
  <si>
    <t>Guellala</t>
  </si>
  <si>
    <t>Oued Noumer</t>
  </si>
  <si>
    <t>PC Leima</t>
  </si>
  <si>
    <t>Mesdar / SH/DP</t>
  </si>
  <si>
    <t>R. El Baguel / Association</t>
  </si>
  <si>
    <t>H. Messaoud / SH/DP CIS Sud</t>
  </si>
  <si>
    <t>Sonelgaz / HMD CINA</t>
  </si>
  <si>
    <t>Sonahess</t>
  </si>
  <si>
    <t>HMD Ouest (nouvelle)</t>
  </si>
  <si>
    <t>HMD El Oued</t>
  </si>
  <si>
    <t>Hassi Ben Abdellah</t>
  </si>
  <si>
    <t>Sidi Khouiled</t>
  </si>
  <si>
    <t>Ouargla</t>
  </si>
  <si>
    <t>Bamendil</t>
  </si>
  <si>
    <t>Ouargla II (TG Mobile Ouargla)</t>
  </si>
  <si>
    <t>SP2 Oléoduc OZ1/2 SH/TRC</t>
  </si>
  <si>
    <t>Zelfana</t>
  </si>
  <si>
    <t>Ghardaïa II (Vallée du M’Zab)</t>
  </si>
  <si>
    <t>SP3 Oléoduc OZ1/2 /SH/TRC</t>
  </si>
  <si>
    <t>Berriane</t>
  </si>
  <si>
    <t>40+130</t>
  </si>
  <si>
    <t>298+370</t>
  </si>
  <si>
    <t>588+400</t>
  </si>
  <si>
    <t>655+600</t>
  </si>
  <si>
    <t>675+300</t>
  </si>
  <si>
    <t>241+238</t>
  </si>
  <si>
    <t>694+000</t>
  </si>
  <si>
    <t>262+250</t>
  </si>
  <si>
    <t>714+230</t>
  </si>
  <si>
    <t>725+600</t>
  </si>
  <si>
    <t>733+100</t>
  </si>
  <si>
    <t>741+500</t>
  </si>
  <si>
    <t>742+661</t>
  </si>
  <si>
    <t>799+100</t>
  </si>
  <si>
    <t>850+700</t>
  </si>
  <si>
    <t>890+990</t>
  </si>
  <si>
    <t>892+200</t>
  </si>
  <si>
    <t>910+900</t>
  </si>
  <si>
    <t>Reggane Nord</t>
  </si>
  <si>
    <t>Touat</t>
  </si>
  <si>
    <t>Timimoun</t>
  </si>
  <si>
    <t>Tinrkouk (Hassi Mouina Sud)</t>
  </si>
  <si>
    <t>Reg Mouaed (Hassi Ba Hamo)</t>
  </si>
  <si>
    <t>Hassi Tidjerane (Hassi Mouina Nord)</t>
  </si>
  <si>
    <t>AOULEF</t>
  </si>
  <si>
    <t>El GOLEA</t>
  </si>
  <si>
    <t>19+142 / 173</t>
  </si>
  <si>
    <t>39+030 / 170</t>
  </si>
  <si>
    <t>58+423 / 127</t>
  </si>
  <si>
    <t>78+000 / 119</t>
  </si>
  <si>
    <t>97+503 / 112</t>
  </si>
  <si>
    <t>117+112 / 98</t>
  </si>
  <si>
    <t>136+698 / 88</t>
  </si>
  <si>
    <t>156+448 / 71</t>
  </si>
  <si>
    <t>175+500 / 77</t>
  </si>
  <si>
    <t>209+315 / 110</t>
  </si>
  <si>
    <t>228+535 / 78</t>
  </si>
  <si>
    <t>248+003 / 42</t>
  </si>
  <si>
    <t>267+651 / 93</t>
  </si>
  <si>
    <t>287+163 / 85</t>
  </si>
  <si>
    <t>306+745 / 78</t>
  </si>
  <si>
    <t>326+507 / 150</t>
  </si>
  <si>
    <t>357+114 / 241</t>
  </si>
  <si>
    <t>375+164 / 403</t>
  </si>
  <si>
    <t>Hassi Ben Abdallah / Sidi khouiled / OUARGLA</t>
  </si>
  <si>
    <t>Elhadjira / Elhadjira / OUARGLA</t>
  </si>
  <si>
    <t>Temacine / Temacine / OUARGLA</t>
  </si>
  <si>
    <t>Megharine / Megharine / OUARGLA</t>
  </si>
  <si>
    <t>Sidi Amrane / Djamâa / M’GHAIER</t>
  </si>
  <si>
    <t>Djamâa / Djamâa / M’GHAIER</t>
  </si>
  <si>
    <t>Sidi Khelil / M'ghaier / M’GHAIER</t>
  </si>
  <si>
    <t>M’ghaier / M'ghaier / M’GHAIER</t>
  </si>
  <si>
    <t>Oum Touyour / M'ghaier / M’GHAIER</t>
  </si>
  <si>
    <t>Still / M'ghaier / M’GHAIER</t>
  </si>
  <si>
    <t>Mlili / Ouarlal / BISKRA</t>
  </si>
  <si>
    <t>El hadjeb / Tolga / BISKRA</t>
  </si>
  <si>
    <t>El outaya / El outaya / BISKRA</t>
  </si>
  <si>
    <t>N’gaous / N’gaous / BATNA</t>
  </si>
  <si>
    <t>Lemcen / Ouled Si Slimane / BATNA</t>
  </si>
  <si>
    <t>Talkhemt / Ras El Aioun / BATNA</t>
  </si>
  <si>
    <t>Aindjasser / Ain djasser / MILA</t>
  </si>
  <si>
    <t>Ouled khlouf / Tadjenent / MILA</t>
  </si>
  <si>
    <t>M’chira / Teleghma / MILA</t>
  </si>
  <si>
    <t>Teleghma / Teleghma / MILA</t>
  </si>
  <si>
    <t>Oued Sguine / Teleghma / MILA</t>
  </si>
  <si>
    <t>Ain Smara / Khroub / CONSTANTINE</t>
  </si>
  <si>
    <t>Didouche Mourad / Didouche Mourad / CONSTANTINE</t>
  </si>
  <si>
    <t>Zighout youcef / Zighout youcef / CONSTANTINE</t>
  </si>
  <si>
    <t>El Harouche / El Harouche / SKIKDA</t>
  </si>
  <si>
    <t>Salah bouchaour / El Harouche / SKIKDA</t>
  </si>
  <si>
    <t>Ramdane Djamel / Ramdane Djamel / SKIKDA</t>
  </si>
  <si>
    <t>394+301 / 538</t>
  </si>
  <si>
    <t>411+129 / 474</t>
  </si>
  <si>
    <t>446+337 / 705</t>
  </si>
  <si>
    <t>461+375 / 854</t>
  </si>
  <si>
    <t>478+150 / 934</t>
  </si>
  <si>
    <t>496+241 / 874</t>
  </si>
  <si>
    <t>508+364 / 957</t>
  </si>
  <si>
    <t>525+239 / 833</t>
  </si>
  <si>
    <t>540+753 / 780</t>
  </si>
  <si>
    <t>554+193 / 660</t>
  </si>
  <si>
    <t>568+761 / 770</t>
  </si>
  <si>
    <t>576+080 / 432</t>
  </si>
  <si>
    <t>588+960 / 594</t>
  </si>
  <si>
    <t>599+888 / 568</t>
  </si>
  <si>
    <t>614+435 / 172</t>
  </si>
  <si>
    <t>623+417 / 149</t>
  </si>
  <si>
    <t>633+085 / 60</t>
  </si>
  <si>
    <t>641+444 / 30</t>
  </si>
  <si>
    <t>27 / 637</t>
  </si>
  <si>
    <t>40 / 515</t>
  </si>
  <si>
    <t>78 / 438</t>
  </si>
  <si>
    <t>117+300 / 373</t>
  </si>
  <si>
    <t>201+600 / 273</t>
  </si>
  <si>
    <t>255+300 / 242</t>
  </si>
  <si>
    <t>293+600 / 226</t>
  </si>
  <si>
    <t>386 / 183</t>
  </si>
  <si>
    <t>435+100 / 159</t>
  </si>
  <si>
    <t>475+100 / 145</t>
  </si>
  <si>
    <t>Ohanet / ILLIZI</t>
  </si>
  <si>
    <t>Bordj Omar Driss / ILLIZI</t>
  </si>
  <si>
    <t>33+400 / 800</t>
  </si>
  <si>
    <t>66+800 / 920</t>
  </si>
  <si>
    <t>91+300 / 820</t>
  </si>
  <si>
    <t>153+500 / 1250</t>
  </si>
  <si>
    <t>189 / 1000</t>
  </si>
  <si>
    <t>219 / 920</t>
  </si>
  <si>
    <t>249 / 1100</t>
  </si>
  <si>
    <t>281 / 1250</t>
  </si>
  <si>
    <t>329 / 1000</t>
  </si>
  <si>
    <t>349+400 /480</t>
  </si>
  <si>
    <t>372+800 /550</t>
  </si>
  <si>
    <t>388 /510</t>
  </si>
  <si>
    <t>412+200 /180</t>
  </si>
  <si>
    <t>436+300 /110</t>
  </si>
  <si>
    <t>451+400 /107</t>
  </si>
  <si>
    <t>474+300 /30</t>
  </si>
  <si>
    <t>492+700 /160</t>
  </si>
  <si>
    <t>El Kheneg / LAGHOUAT</t>
  </si>
  <si>
    <t>Tadjmout / LAGHOUAT</t>
  </si>
  <si>
    <t>Sidi Bouzid / LAGHOUAT</t>
  </si>
  <si>
    <t>Naima / TIARET</t>
  </si>
  <si>
    <t>Mellakou / TIARET</t>
  </si>
  <si>
    <t>Sidi Lazreg / RELIZANE</t>
  </si>
  <si>
    <t>Bendaoud / RELIZANE</t>
  </si>
  <si>
    <t>Sedjarara / MASCARA</t>
  </si>
  <si>
    <t>El Ghomri / MASCARA</t>
  </si>
  <si>
    <t>Ras Ain Amirouche / MASCARA</t>
  </si>
  <si>
    <t>Mers El Hadjadj / ORAN</t>
  </si>
  <si>
    <t>20+983 / 760</t>
  </si>
  <si>
    <t>41+247 / 824</t>
  </si>
  <si>
    <t>60+604 / 875</t>
  </si>
  <si>
    <t>80+141 / 800</t>
  </si>
  <si>
    <t>97+958 / 795</t>
  </si>
  <si>
    <t>119+566 / 953</t>
  </si>
  <si>
    <t>140+999 / 1069</t>
  </si>
  <si>
    <t>160+134 / 1237</t>
  </si>
  <si>
    <t>182+012 / 1136</t>
  </si>
  <si>
    <t>199+477 / 971</t>
  </si>
  <si>
    <t>219+487 / 978</t>
  </si>
  <si>
    <t>241+804 / 1056</t>
  </si>
  <si>
    <t>261+913 / 1147</t>
  </si>
  <si>
    <t>282+038 / 1266</t>
  </si>
  <si>
    <t>301+416 / 1173</t>
  </si>
  <si>
    <t>325+534 / 995</t>
  </si>
  <si>
    <t>336+228 / 1015</t>
  </si>
  <si>
    <t>346+717 / 786</t>
  </si>
  <si>
    <t>358+621 / 673</t>
  </si>
  <si>
    <t>369+781 / 636</t>
  </si>
  <si>
    <t>382+146 / 538</t>
  </si>
  <si>
    <t>393+132 / 269</t>
  </si>
  <si>
    <t>404+398 / 116</t>
  </si>
  <si>
    <t>412+418 / 120</t>
  </si>
  <si>
    <t>425+319 / 311</t>
  </si>
  <si>
    <t>433+722 / 314</t>
  </si>
  <si>
    <t>447+168 / 75</t>
  </si>
  <si>
    <t>457+033 / 24</t>
  </si>
  <si>
    <t>467+132 /15</t>
  </si>
  <si>
    <t>477+352 / 8</t>
  </si>
  <si>
    <t>486+013 /16</t>
  </si>
  <si>
    <t>Hassi r’mel / LAGHOUAT</t>
  </si>
  <si>
    <t>Beidha / LAGHOUAT</t>
  </si>
  <si>
    <t>Tousnina / TIARET</t>
  </si>
  <si>
    <t>Sidi Mhamed Benaouda / RELIZANE</t>
  </si>
  <si>
    <t>Ain Rahma / RELIZANE</t>
  </si>
  <si>
    <t>Sedjrara / RELIZANE</t>
  </si>
  <si>
    <t>Sidi Abdelmoumene / MASCARA</t>
  </si>
  <si>
    <t>Mactaa Douz / MASCARA</t>
  </si>
  <si>
    <t>Ras el Ain Amirouche / MASCARA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</si>
</sst>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69" formatCode="_(* #,##0.000_);_(* \(#,##0.000\);_(* &quot;-&quot;??_);_(@_)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6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69" fontId="2" fillId="0" borderId="1" xfId="1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right" vertical="center"/>
    </xf>
    <xf numFmtId="169" fontId="2" fillId="0" borderId="1" xfId="1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165" fontId="2" fillId="0" borderId="4" xfId="0" applyNumberFormat="1" applyFont="1" applyFill="1" applyBorder="1" applyAlignment="1">
      <alignment horizontal="left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I232"/>
  <sheetViews>
    <sheetView topLeftCell="A33" workbookViewId="0">
      <selection activeCell="B63" sqref="B63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4" si="0">CONCATENATE("(",A3,",'",B3,"','",C3,"','",TEXT(D3,"aaaa-mm-jj"),"','",TEXT(E3,"aaaa-mm-jj"),"',",F3,",",G3,",",H3,"),")</f>
        <v>(1,'ONET-DD','Terminal d\'Exportation Terrestre Deb Deb','2005-03-15','2007-11-20',NULL,1,10),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Saf','2008-06-10','2010-09-15',NULL,1,10),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Saf','2006-04-20','2008-12-10',NULL,1,10),</v>
      </c>
    </row>
    <row r="6" spans="1:9" ht="20.100000000000001" customHeight="1" x14ac:dyDescent="0.25">
      <c r="A6" s="3">
        <v>4</v>
      </c>
      <c r="B6" s="8" t="s">
        <v>25</v>
      </c>
      <c r="C6" s="9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Kala','2012-01-01','2012-01-01',NULL,1,10),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28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Export port','1978-01-15','1981-06-20',NULL,1,10),</v>
      </c>
    </row>
    <row r="8" spans="1:9" ht="20.100000000000001" customHeight="1" x14ac:dyDescent="0.25">
      <c r="A8" s="3">
        <v>6</v>
      </c>
      <c r="B8" s="8" t="s">
        <v>29</v>
      </c>
      <c r="C8" s="5" t="s">
        <v>28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Export port','1972-03-10','1975-09-25',NULL,1,10),</v>
      </c>
    </row>
    <row r="9" spans="1:9" ht="20.100000000000001" customHeight="1" x14ac:dyDescent="0.25">
      <c r="A9" s="3">
        <v>7</v>
      </c>
      <c r="B9" s="8" t="s">
        <v>30</v>
      </c>
      <c r="C9" s="5" t="s">
        <v>28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Export port','1998-05-12','2001-03-18',NULL,1,10),</v>
      </c>
    </row>
    <row r="10" spans="1:9" ht="20.100000000000001" customHeight="1" x14ac:dyDescent="0.25">
      <c r="A10" s="3">
        <v>8</v>
      </c>
      <c r="B10" s="8" t="s">
        <v>31</v>
      </c>
      <c r="C10" s="5" t="s">
        <v>32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CDHL','2003-02-08','2005-10-15',NULL,1,10),</v>
      </c>
    </row>
    <row r="11" spans="1:9" ht="20.100000000000001" customHeight="1" x14ac:dyDescent="0.25">
      <c r="A11" s="3">
        <v>9</v>
      </c>
      <c r="B11" s="8" t="s">
        <v>33</v>
      </c>
      <c r="C11" s="5" t="s">
        <v>34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CNDG','2004-07-20','2006-11-30',NULL,1,10),</v>
      </c>
    </row>
    <row r="12" spans="1:9" ht="20.100000000000001" customHeight="1" x14ac:dyDescent="0.25">
      <c r="A12" s="3">
        <v>10</v>
      </c>
      <c r="B12" s="8" t="s">
        <v>35</v>
      </c>
      <c r="C12" s="5" t="s">
        <v>36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Medjedel','2007-09-15','2009-08-22',NULL,1,10),</v>
      </c>
    </row>
    <row r="13" spans="1:9" ht="20.100000000000001" customHeight="1" x14ac:dyDescent="0.25">
      <c r="A13" s="3">
        <v>11</v>
      </c>
      <c r="B13" s="8" t="s">
        <v>37</v>
      </c>
      <c r="C13" s="5" t="s">
        <v>38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M\'Sila','2008-04-18','2010-07-12',NULL,1,10),</v>
      </c>
    </row>
    <row r="14" spans="1:9" ht="20.100000000000001" customHeight="1" x14ac:dyDescent="0.25">
      <c r="A14" s="3">
        <v>12</v>
      </c>
      <c r="B14" s="8" t="s">
        <v>39</v>
      </c>
      <c r="C14" s="5" t="s">
        <v>40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Djamaa','2009-11-05','2011-06-25',NULL,1,10),</v>
      </c>
    </row>
    <row r="15" spans="1:9" ht="20.100000000000001" customHeight="1" x14ac:dyDescent="0.25">
      <c r="A15" s="3">
        <v>13</v>
      </c>
      <c r="B15" s="8" t="s">
        <v>41</v>
      </c>
      <c r="C15" s="9" t="s">
        <v>42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/>
    </row>
    <row r="16" spans="1:9" ht="20.100000000000001" customHeight="1" x14ac:dyDescent="0.25">
      <c r="A16" s="3">
        <v>14</v>
      </c>
      <c r="B16" s="8" t="s">
        <v>43</v>
      </c>
      <c r="C16" s="5" t="s">
        <v>44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79" si="1">CONCATENATE("(",A16,",'",B16,"','",C16,"','",TEXT(D16,"aaaa-mm-jj"),"','",TEXT(E16,"aaaa-mm-jj"),"',",F16,",",G16,",",H16,"),")</f>
        <v>(14,'TT-ARH','Terminal de Transfert Al Aricha','2010-03-12','2012-09-08',NULL,1,10),</v>
      </c>
    </row>
    <row r="17" spans="1:9" ht="20.100000000000001" customHeight="1" x14ac:dyDescent="0.25">
      <c r="A17" s="3">
        <v>15</v>
      </c>
      <c r="B17" s="8" t="s">
        <v>45</v>
      </c>
      <c r="C17" s="5" t="s">
        <v>46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Mensour','2011-05-20','2013-11-15',NULL,1,10),</v>
      </c>
    </row>
    <row r="18" spans="1:9" ht="20.100000000000001" customHeight="1" x14ac:dyDescent="0.25">
      <c r="A18" s="3">
        <v>16</v>
      </c>
      <c r="B18" s="8" t="s">
        <v>47</v>
      </c>
      <c r="C18" s="5" t="s">
        <v>48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Messaoud','2002-08-10','2004-12-20',NULL,1,10),</v>
      </c>
    </row>
    <row r="19" spans="1:9" ht="20.100000000000001" customHeight="1" x14ac:dyDescent="0.25">
      <c r="A19" s="3">
        <v>17</v>
      </c>
      <c r="B19" s="8" t="s">
        <v>49</v>
      </c>
      <c r="C19" s="5" t="s">
        <v>50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Mesdar','2005-06-15','2007-10-30',NULL,1,10),</v>
      </c>
    </row>
    <row r="20" spans="1:9" ht="20.100000000000001" customHeight="1" x14ac:dyDescent="0.25">
      <c r="A20" s="3">
        <v>18</v>
      </c>
      <c r="B20" s="8" t="s">
        <v>51</v>
      </c>
      <c r="C20" s="5" t="s">
        <v>52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Ohanet','2006-09-22','2008-08-18',NULL,1,10),</v>
      </c>
    </row>
    <row r="21" spans="1:9" ht="20.100000000000001" customHeight="1" x14ac:dyDescent="0.25">
      <c r="A21" s="3">
        <v>19</v>
      </c>
      <c r="B21" s="8" t="s">
        <v>53</v>
      </c>
      <c r="C21" s="5" t="s">
        <v>54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PC1/PK137','2007-12-05','2009-07-20',NULL,1,10),</v>
      </c>
    </row>
    <row r="22" spans="1:9" ht="20.100000000000001" customHeight="1" x14ac:dyDescent="0.25">
      <c r="A22" s="3">
        <v>20</v>
      </c>
      <c r="B22" s="8" t="s">
        <v>55</v>
      </c>
      <c r="C22" s="5" t="s">
        <v>56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Nouss','2008-03-18','2010-05-25',NULL,1,10),</v>
      </c>
    </row>
    <row r="23" spans="1:9" ht="20.100000000000001" customHeight="1" x14ac:dyDescent="0.25">
      <c r="A23" s="3">
        <v>21</v>
      </c>
      <c r="B23" s="8" t="s">
        <v>57</v>
      </c>
      <c r="C23" s="5" t="s">
        <v>58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Alger','1995-01-10','1997-09-15',NULL,1,10),</v>
      </c>
    </row>
    <row r="24" spans="1:9" ht="20.100000000000001" customHeight="1" x14ac:dyDescent="0.25">
      <c r="A24" s="3">
        <v>22</v>
      </c>
      <c r="B24" s="8" t="s">
        <v>59</v>
      </c>
      <c r="C24" s="5" t="s">
        <v>60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Alrar','1998-04-22','2000-11-30',NULL,1,10),</v>
      </c>
    </row>
    <row r="25" spans="1:9" ht="20.100000000000001" customHeight="1" x14ac:dyDescent="0.25">
      <c r="A25" s="3">
        <v>23</v>
      </c>
      <c r="B25" s="8" t="s">
        <v>61</v>
      </c>
      <c r="C25" s="5" t="s">
        <v>62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Arzew','1980-06-15','1983-02-28',NULL,1,10),</v>
      </c>
    </row>
    <row r="26" spans="1:9" ht="20.100000000000001" customHeight="1" x14ac:dyDescent="0.25">
      <c r="A26" s="3">
        <v>24</v>
      </c>
      <c r="B26" s="8" t="s">
        <v>63</v>
      </c>
      <c r="C26" s="5" t="s">
        <v>64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Bejaia','1997-08-20','1999-12-10',NULL,1,10),</v>
      </c>
    </row>
    <row r="27" spans="1:9" ht="20.100000000000001" customHeight="1" x14ac:dyDescent="0.25">
      <c r="A27" s="3">
        <v>25</v>
      </c>
      <c r="B27" s="8" t="s">
        <v>65</v>
      </c>
      <c r="C27" s="5" t="s">
        <v>66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North','2001-03-15','2003-07-25',NULL,1,10),</v>
      </c>
    </row>
    <row r="28" spans="1:9" ht="20.100000000000001" customHeight="1" x14ac:dyDescent="0.25">
      <c r="A28" s="3">
        <v>26</v>
      </c>
      <c r="B28" s="8" t="s">
        <v>67</v>
      </c>
      <c r="C28" s="5" t="s">
        <v>68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 Menaiel','1996-11-08','1998-08-22',NULL,1,10),</v>
      </c>
    </row>
    <row r="29" spans="1:9" ht="20.100000000000001" customHeight="1" x14ac:dyDescent="0.25">
      <c r="A29" s="3">
        <v>27</v>
      </c>
      <c r="B29" s="8" t="s">
        <v>69</v>
      </c>
      <c r="C29" s="5" t="s">
        <v>70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Borma','2000-05-12','2002-10-18',NULL,1,10),</v>
      </c>
    </row>
    <row r="30" spans="1:9" ht="20.100000000000001" customHeight="1" x14ac:dyDescent="0.25">
      <c r="A30" s="3">
        <v>28</v>
      </c>
      <c r="B30" s="8" t="s">
        <v>71</v>
      </c>
      <c r="C30" s="5" t="s">
        <v>72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Touil','2003-09-05','2005-06-20',NULL,1,10),</v>
      </c>
    </row>
    <row r="31" spans="1:9" ht="20.100000000000001" customHeight="1" x14ac:dyDescent="0.25">
      <c r="A31" s="3">
        <v>29</v>
      </c>
      <c r="B31" s="8" t="s">
        <v>73</v>
      </c>
      <c r="C31" s="5" t="s">
        <v>74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Berkine','2004-02-18','2006-04-30',NULL,1,10),</v>
      </c>
    </row>
    <row r="32" spans="1:9" ht="20.100000000000001" customHeight="1" x14ac:dyDescent="0.25">
      <c r="A32" s="3">
        <v>30</v>
      </c>
      <c r="B32" s="8" t="s">
        <v>75</v>
      </c>
      <c r="C32" s="5" t="s">
        <v>76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tedjirane','2005-07-22','2007-09-15',NULL,1,10),</v>
      </c>
    </row>
    <row r="33" spans="1:9" ht="20.100000000000001" customHeight="1" x14ac:dyDescent="0.25">
      <c r="A33" s="3">
        <v>31</v>
      </c>
      <c r="B33" s="8" t="s">
        <v>77</v>
      </c>
      <c r="C33" s="5" t="s">
        <v>78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Amenas','2002-10-08','2004-08-25',NULL,1,10),</v>
      </c>
    </row>
    <row r="34" spans="1:9" ht="20.100000000000001" customHeight="1" x14ac:dyDescent="0.25">
      <c r="A34" s="3">
        <v>32</v>
      </c>
      <c r="B34" s="8" t="s">
        <v>79</v>
      </c>
      <c r="C34" s="5" t="s">
        <v>80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Salah','2006-12-15','2008-11-20',NULL,1,10),</v>
      </c>
    </row>
    <row r="35" spans="1:9" ht="20.100000000000001" customHeight="1" x14ac:dyDescent="0.25">
      <c r="A35" s="3">
        <v>33</v>
      </c>
      <c r="B35" s="8" t="s">
        <v>81</v>
      </c>
      <c r="C35" s="5" t="s">
        <v>82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Isser','1997-03-20','1999-05-10',NULL,1,10),</v>
      </c>
    </row>
    <row r="36" spans="1:9" ht="20.100000000000001" customHeight="1" x14ac:dyDescent="0.25">
      <c r="A36" s="3">
        <v>34</v>
      </c>
      <c r="B36" s="8" t="s">
        <v>83</v>
      </c>
      <c r="C36" s="5" t="s">
        <v>84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Reggane','2010-06-12','2012-10-30',NULL,1,10),</v>
      </c>
    </row>
    <row r="37" spans="1:9" ht="20.100000000000001" customHeight="1" x14ac:dyDescent="0.25">
      <c r="A37" s="3">
        <v>35</v>
      </c>
      <c r="B37" s="8" t="s">
        <v>85</v>
      </c>
      <c r="C37" s="5" t="s">
        <v>86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Baguel','2001-09-18','2003-12-22',NULL,1,10),</v>
      </c>
    </row>
    <row r="38" spans="1:9" ht="20.100000000000001" customHeight="1" x14ac:dyDescent="0.25">
      <c r="A38" s="3">
        <v>36</v>
      </c>
      <c r="B38" s="8" t="s">
        <v>87</v>
      </c>
      <c r="C38" s="5" t="s">
        <v>88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Skikda','1975-04-10','1978-01-15',NULL,1,10),</v>
      </c>
    </row>
    <row r="39" spans="1:9" ht="20.100000000000001" customHeight="1" x14ac:dyDescent="0.25">
      <c r="A39" s="3">
        <v>37</v>
      </c>
      <c r="B39" s="8" t="s">
        <v>89</v>
      </c>
      <c r="C39" s="5" t="s">
        <v>90</v>
      </c>
      <c r="D39" s="6">
        <v>36540</v>
      </c>
      <c r="E39" s="6">
        <v>37154</v>
      </c>
      <c r="F39" s="7" t="s">
        <v>20</v>
      </c>
      <c r="G39" s="7">
        <v>1</v>
      </c>
      <c r="H39" s="7">
        <v>10</v>
      </c>
      <c r="I39" s="5" t="str">
        <f t="shared" si="1"/>
        <v>(37,'SP1-OZ1/OZ2','Station de Pompage SP1-OZ1/OZ2','2000-01-15','2001-09-20',NULL,1,10),</v>
      </c>
    </row>
    <row r="40" spans="1:9" ht="20.100000000000001" customHeight="1" x14ac:dyDescent="0.25">
      <c r="A40" s="10">
        <v>38</v>
      </c>
      <c r="B40" s="11" t="s">
        <v>91</v>
      </c>
      <c r="C40" s="9" t="s">
        <v>92</v>
      </c>
      <c r="D40" s="12">
        <v>36540</v>
      </c>
      <c r="E40" s="12">
        <v>37154</v>
      </c>
      <c r="F40" s="13" t="s">
        <v>20</v>
      </c>
      <c r="G40" s="13">
        <v>1</v>
      </c>
      <c r="H40" s="13">
        <v>10</v>
      </c>
      <c r="I40" s="9" t="str">
        <f t="shared" si="1"/>
        <v>(38,'SP1-OZ2','Station de Pompage SP1-OZ2','2000-01-15','2001-09-20',NULL,1,10),</v>
      </c>
    </row>
    <row r="41" spans="1:9" ht="20.100000000000001" customHeight="1" x14ac:dyDescent="0.25">
      <c r="A41" s="3">
        <v>39</v>
      </c>
      <c r="B41" s="8" t="s">
        <v>93</v>
      </c>
      <c r="C41" s="5" t="s">
        <v>94</v>
      </c>
      <c r="D41" s="6">
        <v>36960</v>
      </c>
      <c r="E41" s="6">
        <v>37575</v>
      </c>
      <c r="F41" s="7" t="s">
        <v>20</v>
      </c>
      <c r="G41" s="7">
        <v>1</v>
      </c>
      <c r="H41" s="7">
        <v>10</v>
      </c>
      <c r="I41" s="5" t="str">
        <f t="shared" si="1"/>
        <v>(39,'SP2-OZ1/OZ2','Station de Pompage SP2-OZ1/OZ2','2001-03-10','2002-11-15',NULL,1,10),</v>
      </c>
    </row>
    <row r="42" spans="1:9" ht="20.100000000000001" customHeight="1" x14ac:dyDescent="0.25">
      <c r="A42" s="10">
        <v>40</v>
      </c>
      <c r="B42" s="11" t="s">
        <v>95</v>
      </c>
      <c r="C42" s="9" t="s">
        <v>96</v>
      </c>
      <c r="D42" s="12">
        <v>36960</v>
      </c>
      <c r="E42" s="12">
        <v>37575</v>
      </c>
      <c r="F42" s="13" t="s">
        <v>20</v>
      </c>
      <c r="G42" s="13">
        <v>1</v>
      </c>
      <c r="H42" s="13">
        <v>10</v>
      </c>
      <c r="I42" s="9" t="str">
        <f t="shared" si="1"/>
        <v>(40,'SP2-OZ2','Station de Pompage SP2-OZ2','2001-03-10','2002-11-15',NULL,1,10),</v>
      </c>
    </row>
    <row r="43" spans="1:9" ht="20.100000000000001" customHeight="1" x14ac:dyDescent="0.25">
      <c r="A43" s="3">
        <v>41</v>
      </c>
      <c r="B43" s="8" t="s">
        <v>97</v>
      </c>
      <c r="C43" s="5" t="s">
        <v>94</v>
      </c>
      <c r="D43" s="6">
        <v>37396</v>
      </c>
      <c r="E43" s="6">
        <v>37985</v>
      </c>
      <c r="F43" s="7" t="s">
        <v>20</v>
      </c>
      <c r="G43" s="7">
        <v>1</v>
      </c>
      <c r="H43" s="7">
        <v>10</v>
      </c>
      <c r="I43" s="5" t="str">
        <f t="shared" si="1"/>
        <v>(41,'SP3-OZ1/OZ2','Station de Pompage SP2-OZ1/OZ2','2002-05-20','2003-12-30',NULL,1,10),</v>
      </c>
    </row>
    <row r="44" spans="1:9" ht="20.100000000000001" customHeight="1" x14ac:dyDescent="0.25">
      <c r="A44" s="10">
        <v>42</v>
      </c>
      <c r="B44" s="11" t="s">
        <v>98</v>
      </c>
      <c r="C44" s="9" t="s">
        <v>96</v>
      </c>
      <c r="D44" s="12">
        <v>37396</v>
      </c>
      <c r="E44" s="12">
        <v>37985</v>
      </c>
      <c r="F44" s="13" t="s">
        <v>20</v>
      </c>
      <c r="G44" s="13">
        <v>1</v>
      </c>
      <c r="H44" s="13">
        <v>10</v>
      </c>
      <c r="I44" s="9" t="str">
        <f t="shared" si="1"/>
        <v>(42,'SP3-OZ2','Station de Pompage SP2-OZ2','2002-05-20','2003-12-30',NULL,1,10),</v>
      </c>
    </row>
    <row r="45" spans="1:9" ht="20.100000000000001" customHeight="1" x14ac:dyDescent="0.25">
      <c r="A45" s="3">
        <v>43</v>
      </c>
      <c r="B45" s="8" t="s">
        <v>99</v>
      </c>
      <c r="C45" s="5" t="s">
        <v>94</v>
      </c>
      <c r="D45" s="6">
        <v>37848</v>
      </c>
      <c r="E45" s="6">
        <v>38433</v>
      </c>
      <c r="F45" s="7" t="s">
        <v>20</v>
      </c>
      <c r="G45" s="7">
        <v>1</v>
      </c>
      <c r="H45" s="7">
        <v>10</v>
      </c>
      <c r="I45" s="5" t="str">
        <f t="shared" si="1"/>
        <v>(43,'SP4-OZ1/OZ2','Station de Pompage SP2-OZ1/OZ2','2003-08-15','2005-03-22',NULL,1,10),</v>
      </c>
    </row>
    <row r="46" spans="1:9" ht="20.100000000000001" customHeight="1" x14ac:dyDescent="0.25">
      <c r="A46" s="10">
        <v>44</v>
      </c>
      <c r="B46" s="11" t="s">
        <v>100</v>
      </c>
      <c r="C46" s="9" t="s">
        <v>96</v>
      </c>
      <c r="D46" s="12">
        <v>37848</v>
      </c>
      <c r="E46" s="12">
        <v>38433</v>
      </c>
      <c r="F46" s="13" t="s">
        <v>20</v>
      </c>
      <c r="G46" s="13">
        <v>1</v>
      </c>
      <c r="H46" s="13">
        <v>10</v>
      </c>
      <c r="I46" s="9" t="str">
        <f t="shared" si="1"/>
        <v>(44,'SP4-OZ2','Station de Pompage SP2-OZ2','2003-08-15','2005-03-22',NULL,1,10),</v>
      </c>
    </row>
    <row r="47" spans="1:9" ht="20.100000000000001" customHeight="1" x14ac:dyDescent="0.25">
      <c r="A47" s="3">
        <v>45</v>
      </c>
      <c r="B47" s="8" t="s">
        <v>101</v>
      </c>
      <c r="C47" s="5" t="s">
        <v>94</v>
      </c>
      <c r="D47" s="6">
        <v>38265</v>
      </c>
      <c r="E47" s="6">
        <v>38886</v>
      </c>
      <c r="F47" s="7" t="s">
        <v>20</v>
      </c>
      <c r="G47" s="7">
        <v>1</v>
      </c>
      <c r="H47" s="7">
        <v>10</v>
      </c>
      <c r="I47" s="5" t="str">
        <f t="shared" si="1"/>
        <v>(45,'SP5-OZ1/OZ2','Station de Pompage SP2-OZ1/OZ2','2004-10-05','2006-06-18',NULL,1,10),</v>
      </c>
    </row>
    <row r="48" spans="1:9" ht="20.100000000000001" customHeight="1" x14ac:dyDescent="0.25">
      <c r="A48" s="10">
        <v>46</v>
      </c>
      <c r="B48" s="11" t="s">
        <v>102</v>
      </c>
      <c r="C48" s="9" t="s">
        <v>96</v>
      </c>
      <c r="D48" s="12">
        <v>38265</v>
      </c>
      <c r="E48" s="12">
        <v>38886</v>
      </c>
      <c r="F48" s="13" t="s">
        <v>20</v>
      </c>
      <c r="G48" s="13">
        <v>1</v>
      </c>
      <c r="H48" s="13">
        <v>10</v>
      </c>
      <c r="I48" s="9" t="str">
        <f t="shared" si="1"/>
        <v>(46,'SP5-OZ2','Station de Pompage SP2-OZ2','2004-10-05','2006-06-18',NULL,1,10),</v>
      </c>
    </row>
    <row r="49" spans="1:9" ht="20.100000000000001" customHeight="1" x14ac:dyDescent="0.25">
      <c r="A49" s="3">
        <v>47</v>
      </c>
      <c r="B49" s="8" t="s">
        <v>103</v>
      </c>
      <c r="C49" s="5" t="s">
        <v>94</v>
      </c>
      <c r="D49" s="6">
        <v>38698</v>
      </c>
      <c r="E49" s="6">
        <v>39319</v>
      </c>
      <c r="F49" s="7" t="s">
        <v>20</v>
      </c>
      <c r="G49" s="7">
        <v>1</v>
      </c>
      <c r="H49" s="7">
        <v>10</v>
      </c>
      <c r="I49" s="5" t="str">
        <f t="shared" si="1"/>
        <v>(47,'SP6-OZ1/OZ2','Station de Pompage SP2-OZ1/OZ2','2005-12-12','2007-08-25',NULL,1,10),</v>
      </c>
    </row>
    <row r="50" spans="1:9" ht="20.100000000000001" customHeight="1" x14ac:dyDescent="0.25">
      <c r="A50" s="10">
        <v>48</v>
      </c>
      <c r="B50" s="11" t="s">
        <v>104</v>
      </c>
      <c r="C50" s="9" t="s">
        <v>96</v>
      </c>
      <c r="D50" s="12">
        <v>38698</v>
      </c>
      <c r="E50" s="12">
        <v>39319</v>
      </c>
      <c r="F50" s="13" t="s">
        <v>20</v>
      </c>
      <c r="G50" s="13">
        <v>1</v>
      </c>
      <c r="H50" s="13">
        <v>10</v>
      </c>
      <c r="I50" s="9" t="str">
        <f t="shared" si="1"/>
        <v>(48,'SP6-OZ2','Station de Pompage SP2-OZ2','2005-12-12','2007-08-25',NULL,1,10),</v>
      </c>
    </row>
    <row r="51" spans="1:9" ht="20.100000000000001" customHeight="1" x14ac:dyDescent="0.25">
      <c r="A51" s="3">
        <v>49</v>
      </c>
      <c r="B51" s="8" t="s">
        <v>105</v>
      </c>
      <c r="C51" s="5" t="s">
        <v>106</v>
      </c>
      <c r="D51" s="6">
        <v>38796</v>
      </c>
      <c r="E51" s="6">
        <v>39396</v>
      </c>
      <c r="F51" s="7" t="s">
        <v>20</v>
      </c>
      <c r="G51" s="7">
        <v>1</v>
      </c>
      <c r="H51" s="7">
        <v>10</v>
      </c>
      <c r="I51" s="5" t="str">
        <f t="shared" si="1"/>
        <v>(49,'PRS-OZ1/OZ2','Station de Pompage PRS-OZ1/OZ2','2006-03-20','2007-11-10',NULL,1,10),</v>
      </c>
    </row>
    <row r="52" spans="1:9" ht="20.100000000000001" customHeight="1" x14ac:dyDescent="0.25">
      <c r="A52" s="10">
        <v>50</v>
      </c>
      <c r="B52" s="11" t="s">
        <v>107</v>
      </c>
      <c r="C52" s="9" t="s">
        <v>108</v>
      </c>
      <c r="D52" s="12">
        <v>38796</v>
      </c>
      <c r="E52" s="12">
        <v>39396</v>
      </c>
      <c r="F52" s="13" t="s">
        <v>20</v>
      </c>
      <c r="G52" s="13">
        <v>1</v>
      </c>
      <c r="H52" s="13">
        <v>10</v>
      </c>
      <c r="I52" s="9" t="str">
        <f t="shared" si="1"/>
        <v>(50,'PRS-OZ2','Station de Régulation PRS-OZ2','2006-03-20','2007-11-10',NULL,1,10),</v>
      </c>
    </row>
    <row r="53" spans="1:9" ht="20.100000000000001" customHeight="1" x14ac:dyDescent="0.25">
      <c r="A53" s="3">
        <v>51</v>
      </c>
      <c r="B53" s="8" t="s">
        <v>109</v>
      </c>
      <c r="C53" s="5" t="s">
        <v>110</v>
      </c>
      <c r="D53" s="6">
        <v>37057</v>
      </c>
      <c r="E53" s="6">
        <v>37672</v>
      </c>
      <c r="F53" s="7" t="s">
        <v>20</v>
      </c>
      <c r="G53" s="7">
        <v>1</v>
      </c>
      <c r="H53" s="7">
        <v>10</v>
      </c>
      <c r="I53" s="5" t="str">
        <f t="shared" si="1"/>
        <v>(51,'SP1-OK1','Station de Pompage SP1-OK1','2001-06-15','2003-02-20',NULL,1,10),</v>
      </c>
    </row>
    <row r="54" spans="1:9" ht="20.100000000000001" customHeight="1" x14ac:dyDescent="0.25">
      <c r="A54" s="3">
        <v>52</v>
      </c>
      <c r="B54" s="8" t="s">
        <v>111</v>
      </c>
      <c r="C54" s="5" t="s">
        <v>112</v>
      </c>
      <c r="D54" s="6">
        <v>40278</v>
      </c>
      <c r="E54" s="6">
        <v>40923</v>
      </c>
      <c r="F54" s="7" t="s">
        <v>20</v>
      </c>
      <c r="G54" s="7">
        <v>1</v>
      </c>
      <c r="H54" s="7">
        <v>10</v>
      </c>
      <c r="I54" s="5" t="str">
        <f t="shared" si="1"/>
        <v>(52,'SP1-OK1-NEW','Station de Pompage SP1-OK1-NEW','2010-04-10','2012-01-15',NULL,1,10),</v>
      </c>
    </row>
    <row r="55" spans="1:9" ht="20.100000000000001" customHeight="1" x14ac:dyDescent="0.25">
      <c r="A55" s="3">
        <v>53</v>
      </c>
      <c r="B55" s="8" t="s">
        <v>113</v>
      </c>
      <c r="C55" s="5" t="s">
        <v>114</v>
      </c>
      <c r="D55" s="6">
        <v>37490</v>
      </c>
      <c r="E55" s="6">
        <v>38137</v>
      </c>
      <c r="F55" s="7" t="s">
        <v>20</v>
      </c>
      <c r="G55" s="7">
        <v>1</v>
      </c>
      <c r="H55" s="7">
        <v>10</v>
      </c>
      <c r="I55" s="5" t="str">
        <f t="shared" si="1"/>
        <v>(53,'SP2-OK1','Station de Pompage SP2-OK1','2002-08-22','2004-05-30',NULL,1,10),</v>
      </c>
    </row>
    <row r="56" spans="1:9" ht="20.100000000000001" customHeight="1" x14ac:dyDescent="0.25">
      <c r="A56" s="3">
        <v>54</v>
      </c>
      <c r="B56" s="8" t="s">
        <v>115</v>
      </c>
      <c r="C56" s="5" t="s">
        <v>116</v>
      </c>
      <c r="D56" s="6">
        <v>37930</v>
      </c>
      <c r="E56" s="6">
        <v>38551</v>
      </c>
      <c r="F56" s="7" t="s">
        <v>20</v>
      </c>
      <c r="G56" s="7">
        <v>1</v>
      </c>
      <c r="H56" s="7">
        <v>10</v>
      </c>
      <c r="I56" s="5" t="str">
        <f t="shared" si="1"/>
        <v>(54,'SP3-OK1','Station de Pompage SP3-OK1','2003-11-05','2005-07-18',NULL,1,10),</v>
      </c>
    </row>
    <row r="57" spans="1:9" ht="20.100000000000001" customHeight="1" x14ac:dyDescent="0.25">
      <c r="A57" s="3">
        <v>55</v>
      </c>
      <c r="B57" s="8" t="s">
        <v>117</v>
      </c>
      <c r="C57" s="5" t="s">
        <v>118</v>
      </c>
      <c r="D57" s="6">
        <v>39859</v>
      </c>
      <c r="E57" s="6">
        <v>40479</v>
      </c>
      <c r="F57" s="7" t="s">
        <v>20</v>
      </c>
      <c r="G57" s="7">
        <v>1</v>
      </c>
      <c r="H57" s="7">
        <v>10</v>
      </c>
      <c r="I57" s="5" t="str">
        <f t="shared" si="1"/>
        <v>(55,'SP3-OK1-BIS','Station de Pompage SP3-OK1-BIS','2009-02-15','2010-10-28',NULL,1,10),</v>
      </c>
    </row>
    <row r="58" spans="1:9" ht="20.100000000000001" customHeight="1" x14ac:dyDescent="0.25">
      <c r="A58" s="3">
        <v>56</v>
      </c>
      <c r="B58" s="8" t="s">
        <v>119</v>
      </c>
      <c r="C58" s="5" t="s">
        <v>120</v>
      </c>
      <c r="D58" s="6">
        <v>38125</v>
      </c>
      <c r="E58" s="6">
        <v>38739</v>
      </c>
      <c r="F58" s="7" t="s">
        <v>20</v>
      </c>
      <c r="G58" s="7">
        <v>1</v>
      </c>
      <c r="H58" s="7">
        <v>10</v>
      </c>
      <c r="I58" s="5" t="str">
        <f t="shared" si="1"/>
        <v>(56,'SP4-OK1','Station de Pompage SP4-OK1','2004-05-18','2006-01-22',NULL,1,10),</v>
      </c>
    </row>
    <row r="59" spans="1:9" ht="20.100000000000001" customHeight="1" x14ac:dyDescent="0.25">
      <c r="A59" s="3">
        <v>57</v>
      </c>
      <c r="B59" s="8" t="s">
        <v>121</v>
      </c>
      <c r="C59" s="5" t="s">
        <v>122</v>
      </c>
      <c r="D59" s="6">
        <v>37327</v>
      </c>
      <c r="E59" s="6">
        <v>37950</v>
      </c>
      <c r="F59" s="7" t="s">
        <v>20</v>
      </c>
      <c r="G59" s="7">
        <v>1</v>
      </c>
      <c r="H59" s="7">
        <v>10</v>
      </c>
      <c r="I59" s="5" t="str">
        <f t="shared" si="1"/>
        <v>(57,'SP1-OB1','Station de Pompage SP1-OB1','2002-03-12','2003-11-25',NULL,1,10),</v>
      </c>
    </row>
    <row r="60" spans="1:9" ht="20.100000000000001" customHeight="1" x14ac:dyDescent="0.25">
      <c r="A60" s="3">
        <v>58</v>
      </c>
      <c r="B60" s="8" t="s">
        <v>123</v>
      </c>
      <c r="C60" s="5" t="s">
        <v>124</v>
      </c>
      <c r="D60" s="6">
        <v>39649</v>
      </c>
      <c r="E60" s="6">
        <v>40283</v>
      </c>
      <c r="F60" s="7" t="s">
        <v>20</v>
      </c>
      <c r="G60" s="7">
        <v>1</v>
      </c>
      <c r="H60" s="7">
        <v>10</v>
      </c>
      <c r="I60" s="5" t="str">
        <f t="shared" si="1"/>
        <v>(58,'SP1-BIS-OB1','Station de Pompage SP1-BIS-OB1','2008-07-20','2010-04-15',NULL,1,10),</v>
      </c>
    </row>
    <row r="61" spans="1:9" ht="20.100000000000001" customHeight="1" x14ac:dyDescent="0.25">
      <c r="A61" s="3">
        <v>59</v>
      </c>
      <c r="B61" s="8" t="s">
        <v>125</v>
      </c>
      <c r="C61" s="5" t="s">
        <v>126</v>
      </c>
      <c r="D61" s="6">
        <v>37874</v>
      </c>
      <c r="E61" s="6">
        <v>38521</v>
      </c>
      <c r="F61" s="7" t="s">
        <v>20</v>
      </c>
      <c r="G61" s="7">
        <v>1</v>
      </c>
      <c r="H61" s="7">
        <v>10</v>
      </c>
      <c r="I61" s="5" t="str">
        <f t="shared" si="1"/>
        <v>(59,'SP2-OB1','Station de Pompage SP2-OB1','2003-09-10','2005-06-18',NULL,1,10),</v>
      </c>
    </row>
    <row r="62" spans="1:9" ht="20.100000000000001" customHeight="1" x14ac:dyDescent="0.25">
      <c r="A62" s="3">
        <v>60</v>
      </c>
      <c r="B62" s="8" t="s">
        <v>127</v>
      </c>
      <c r="C62" s="5" t="s">
        <v>128</v>
      </c>
      <c r="D62" s="6">
        <v>38326</v>
      </c>
      <c r="E62" s="6">
        <v>38951</v>
      </c>
      <c r="F62" s="7" t="s">
        <v>20</v>
      </c>
      <c r="G62" s="7">
        <v>1</v>
      </c>
      <c r="H62" s="7">
        <v>10</v>
      </c>
      <c r="I62" s="5" t="str">
        <f t="shared" si="1"/>
        <v>(60,'SP3-OB1','Station de Pompage SP3-OB1','2004-12-05','2006-08-22',NULL,1,10),</v>
      </c>
    </row>
    <row r="63" spans="1:9" ht="20.100000000000001" customHeight="1" x14ac:dyDescent="0.25">
      <c r="A63" s="3">
        <v>61</v>
      </c>
      <c r="B63" s="8" t="s">
        <v>129</v>
      </c>
      <c r="C63" s="5" t="s">
        <v>130</v>
      </c>
      <c r="D63" s="6">
        <v>39190</v>
      </c>
      <c r="E63" s="6">
        <v>39843</v>
      </c>
      <c r="F63" s="7" t="s">
        <v>20</v>
      </c>
      <c r="G63" s="7">
        <v>1</v>
      </c>
      <c r="H63" s="7">
        <v>10</v>
      </c>
      <c r="I63" s="5" t="str">
        <f t="shared" si="1"/>
        <v>(61,'SP1-BIS-OG1','Station de Pompage SP1-BIS-OG1','2007-04-18','2009-01-30',NULL,1,10),</v>
      </c>
    </row>
    <row r="64" spans="1:9" ht="20.100000000000001" customHeight="1" x14ac:dyDescent="0.25">
      <c r="A64" s="3">
        <v>62</v>
      </c>
      <c r="B64" s="8" t="s">
        <v>131</v>
      </c>
      <c r="C64" s="5" t="s">
        <v>132</v>
      </c>
      <c r="D64" s="6">
        <v>38405</v>
      </c>
      <c r="E64" s="6">
        <v>39005</v>
      </c>
      <c r="F64" s="7" t="s">
        <v>20</v>
      </c>
      <c r="G64" s="7">
        <v>1</v>
      </c>
      <c r="H64" s="7">
        <v>10</v>
      </c>
      <c r="I64" s="5" t="str">
        <f t="shared" si="1"/>
        <v>(62,'SP1-OT1','Station de Pompage SP1-OT1','2005-02-22','2006-10-15',NULL,1,10),</v>
      </c>
    </row>
    <row r="65" spans="1:9" ht="20.100000000000001" customHeight="1" x14ac:dyDescent="0.25">
      <c r="A65" s="3">
        <v>63</v>
      </c>
      <c r="B65" s="8" t="s">
        <v>133</v>
      </c>
      <c r="C65" s="5" t="s">
        <v>134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(63,'SP2-OT1','Station de Pompage SP2-OT1','2005-02-22','2006-10-15',NULL,1,10),</v>
      </c>
    </row>
    <row r="66" spans="1:9" ht="20.100000000000001" customHeight="1" x14ac:dyDescent="0.25">
      <c r="A66" s="3">
        <v>64</v>
      </c>
      <c r="B66" s="8" t="s">
        <v>135</v>
      </c>
      <c r="C66" s="5" t="s">
        <v>136</v>
      </c>
      <c r="D66" s="6">
        <v>38852</v>
      </c>
      <c r="E66" s="6">
        <v>39467</v>
      </c>
      <c r="F66" s="7" t="s">
        <v>20</v>
      </c>
      <c r="G66" s="7">
        <v>1</v>
      </c>
      <c r="H66" s="7">
        <v>10</v>
      </c>
      <c r="I66" s="5" t="str">
        <f t="shared" si="1"/>
        <v>(64,'SP1-OH1','Station de Pompage SP1-OH1','2006-05-15','2008-01-20',NULL,1,10),</v>
      </c>
    </row>
    <row r="67" spans="1:9" ht="20.100000000000001" customHeight="1" x14ac:dyDescent="0.25">
      <c r="A67" s="3">
        <v>65</v>
      </c>
      <c r="B67" s="8" t="s">
        <v>137</v>
      </c>
      <c r="C67" s="5" t="s">
        <v>138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(65,'SP2-OH1','Station de Pompage SP2-OH1','2006-05-15','2008-01-20',NULL,1,10),</v>
      </c>
    </row>
    <row r="68" spans="1:9" ht="20.100000000000001" customHeight="1" x14ac:dyDescent="0.25">
      <c r="A68" s="3">
        <v>66</v>
      </c>
      <c r="B68" s="8" t="s">
        <v>139</v>
      </c>
      <c r="C68" s="5" t="s">
        <v>140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(66,'SP3-OH1','Station de Pompage SP3-OH1','2006-05-15','2008-01-20',NULL,1,10),</v>
      </c>
    </row>
    <row r="69" spans="1:9" ht="20.100000000000001" customHeight="1" x14ac:dyDescent="0.25">
      <c r="A69" s="14">
        <v>66</v>
      </c>
      <c r="B69" s="15" t="s">
        <v>141</v>
      </c>
      <c r="C69" s="16" t="s">
        <v>142</v>
      </c>
      <c r="D69" s="17">
        <v>38852</v>
      </c>
      <c r="E69" s="17">
        <v>39467</v>
      </c>
      <c r="F69" s="18" t="s">
        <v>20</v>
      </c>
      <c r="G69" s="18">
        <v>1</v>
      </c>
      <c r="H69" s="18">
        <v>10</v>
      </c>
      <c r="I69" s="16" t="str">
        <f t="shared" si="1"/>
        <v>(66,'SP4-OH1','Station de Pompage SP4-OH1','2006-05-15','2008-01-20',NULL,1,10),</v>
      </c>
    </row>
    <row r="70" spans="1:9" ht="20.100000000000001" customHeight="1" x14ac:dyDescent="0.25">
      <c r="A70" s="3">
        <v>67</v>
      </c>
      <c r="B70" s="8" t="s">
        <v>143</v>
      </c>
      <c r="C70" s="5" t="s">
        <v>144</v>
      </c>
      <c r="D70" s="6">
        <v>39304</v>
      </c>
      <c r="E70" s="6">
        <v>39928</v>
      </c>
      <c r="F70" s="7" t="s">
        <v>20</v>
      </c>
      <c r="G70" s="7">
        <v>1</v>
      </c>
      <c r="H70" s="7">
        <v>10</v>
      </c>
      <c r="I70" s="5" t="str">
        <f t="shared" si="1"/>
        <v>(67,'SP1-OD1','Station de Pompage SP1-OD1','2007-08-10','2009-04-25',NULL,1,10),</v>
      </c>
    </row>
    <row r="71" spans="1:9" ht="20.100000000000001" customHeight="1" x14ac:dyDescent="0.25">
      <c r="A71" s="3">
        <v>68</v>
      </c>
      <c r="B71" s="8" t="s">
        <v>145</v>
      </c>
      <c r="C71" s="5" t="s">
        <v>146</v>
      </c>
      <c r="D71" s="6">
        <v>39767</v>
      </c>
      <c r="E71" s="6">
        <v>40389</v>
      </c>
      <c r="F71" s="7" t="s">
        <v>20</v>
      </c>
      <c r="G71" s="7">
        <v>1</v>
      </c>
      <c r="H71" s="7">
        <v>10</v>
      </c>
      <c r="I71" s="5" t="str">
        <f t="shared" si="1"/>
        <v>(68,'SP1-OH2','Station de Pompage SP1-OH2','2008-11-15','2010-07-30',NULL,1,10),</v>
      </c>
    </row>
    <row r="72" spans="1:9" ht="20.100000000000001" customHeight="1" x14ac:dyDescent="0.25">
      <c r="A72" s="3">
        <v>69</v>
      </c>
      <c r="B72" s="8" t="s">
        <v>147</v>
      </c>
      <c r="C72" s="5" t="s">
        <v>148</v>
      </c>
      <c r="D72" s="6">
        <v>39892</v>
      </c>
      <c r="E72" s="6">
        <v>40558</v>
      </c>
      <c r="F72" s="7" t="s">
        <v>20</v>
      </c>
      <c r="G72" s="7">
        <v>1</v>
      </c>
      <c r="H72" s="7">
        <v>10</v>
      </c>
      <c r="I72" s="5" t="str">
        <f t="shared" si="1"/>
        <v>(69,'SP1-OH3/OH4','Station de Pompage SP1-OH3/OH4','2009-03-20','2011-01-15',NULL,1,10),</v>
      </c>
    </row>
    <row r="73" spans="1:9" ht="20.100000000000001" customHeight="1" x14ac:dyDescent="0.25">
      <c r="A73" s="3">
        <v>70</v>
      </c>
      <c r="B73" s="8" t="s">
        <v>149</v>
      </c>
      <c r="C73" s="5" t="s">
        <v>150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(70,'SP2-OH3/OH4','Station de Pompage SP2-OH3/OH4','2009-03-20','2011-01-15',NULL,1,10),</v>
      </c>
    </row>
    <row r="74" spans="1:9" ht="20.100000000000001" customHeight="1" x14ac:dyDescent="0.25">
      <c r="A74" s="3">
        <v>71</v>
      </c>
      <c r="B74" s="8" t="s">
        <v>151</v>
      </c>
      <c r="C74" s="5" t="s">
        <v>152</v>
      </c>
      <c r="D74" s="6">
        <v>40337</v>
      </c>
      <c r="E74" s="6">
        <v>40990</v>
      </c>
      <c r="F74" s="7" t="s">
        <v>20</v>
      </c>
      <c r="G74" s="7">
        <v>1</v>
      </c>
      <c r="H74" s="7">
        <v>10</v>
      </c>
      <c r="I74" s="5" t="str">
        <f t="shared" si="1"/>
        <v>(71,'SP4-NZ1','Station de Pompage SP4-NZ1','2010-06-08','2012-03-22',NULL,1,10),</v>
      </c>
    </row>
    <row r="75" spans="1:9" ht="20.100000000000001" customHeight="1" x14ac:dyDescent="0.25">
      <c r="A75" s="3">
        <v>72</v>
      </c>
      <c r="B75" s="8" t="s">
        <v>153</v>
      </c>
      <c r="C75" s="5" t="s">
        <v>154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(72,'SP5-NZ1','Station de Pompage SP5-NZ1','2010-06-08','2012-03-22',NULL,1,10),</v>
      </c>
    </row>
    <row r="76" spans="1:9" ht="20.100000000000001" customHeight="1" x14ac:dyDescent="0.25">
      <c r="A76" s="3">
        <v>73</v>
      </c>
      <c r="B76" s="8" t="s">
        <v>155</v>
      </c>
      <c r="C76" s="5" t="s">
        <v>156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(73,'SP6-NZ1','Station de Pompage SP6-NZ1','2010-06-08','2012-03-22',NULL,1,10),</v>
      </c>
    </row>
    <row r="77" spans="1:9" ht="20.100000000000001" customHeight="1" x14ac:dyDescent="0.25">
      <c r="A77" s="3">
        <v>74</v>
      </c>
      <c r="B77" s="8" t="s">
        <v>157</v>
      </c>
      <c r="C77" s="5" t="s">
        <v>158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(74,'PRS-NZ1','Station de Régulation PRS-NZ1','2010-06-08','2012-03-22',NULL,1,10),</v>
      </c>
    </row>
    <row r="78" spans="1:9" ht="20.100000000000001" customHeight="1" x14ac:dyDescent="0.25">
      <c r="A78" s="3">
        <v>75</v>
      </c>
      <c r="B78" s="8" t="s">
        <v>159</v>
      </c>
      <c r="C78" s="5" t="s">
        <v>160</v>
      </c>
      <c r="D78" s="6">
        <v>40798</v>
      </c>
      <c r="E78" s="6">
        <v>41443</v>
      </c>
      <c r="F78" s="7" t="s">
        <v>20</v>
      </c>
      <c r="G78" s="7">
        <v>1</v>
      </c>
      <c r="H78" s="7">
        <v>10</v>
      </c>
      <c r="I78" s="5" t="str">
        <f t="shared" si="1"/>
        <v>(75,'SP1-NK1','Station de Pompage SP1-NK1','2011-09-12','2013-06-18',NULL,1,10),</v>
      </c>
    </row>
    <row r="79" spans="1:9" ht="20.100000000000001" customHeight="1" x14ac:dyDescent="0.25">
      <c r="A79" s="3">
        <v>76</v>
      </c>
      <c r="B79" s="8" t="s">
        <v>161</v>
      </c>
      <c r="C79" s="5" t="s">
        <v>162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(76,'SP3-NK1','Station de Pompage SP3-NK1','2011-09-12','2013-06-18',NULL,1,10),</v>
      </c>
    </row>
    <row r="80" spans="1:9" ht="20.100000000000001" customHeight="1" x14ac:dyDescent="0.25">
      <c r="A80" s="3">
        <v>77</v>
      </c>
      <c r="B80" s="8" t="s">
        <v>163</v>
      </c>
      <c r="C80" s="5" t="s">
        <v>164</v>
      </c>
      <c r="D80" s="6">
        <v>40954</v>
      </c>
      <c r="E80" s="6">
        <v>41598</v>
      </c>
      <c r="F80" s="7" t="s">
        <v>20</v>
      </c>
      <c r="G80" s="7">
        <v>1</v>
      </c>
      <c r="H80" s="7">
        <v>10</v>
      </c>
      <c r="I80" s="5" t="str">
        <f t="shared" ref="I80:I143" si="2">CONCATENATE("(",A80,",'",B80,"','",C80,"','",TEXT(D80,"aaaa-mm-jj"),"','",TEXT(E80,"aaaa-mm-jj"),"',",F80,",",G80,",",H80,"),")</f>
        <v>(77,'SP4-LNZ1','Station de Pompage SP4-LNZ1','2012-02-15','2013-11-20',NULL,1,10),</v>
      </c>
    </row>
    <row r="81" spans="1:9" ht="20.100000000000001" customHeight="1" x14ac:dyDescent="0.25">
      <c r="A81" s="3">
        <v>78</v>
      </c>
      <c r="B81" s="8" t="s">
        <v>165</v>
      </c>
      <c r="C81" s="5" t="s">
        <v>166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si="2"/>
        <v>(78,'SP5-LNZ1','Station de Pompage SP5-LNZ1','2012-02-15','2013-11-20',NULL,1,10),</v>
      </c>
    </row>
    <row r="82" spans="1:9" ht="20.100000000000001" customHeight="1" x14ac:dyDescent="0.25">
      <c r="A82" s="3">
        <v>79</v>
      </c>
      <c r="B82" s="8" t="s">
        <v>167</v>
      </c>
      <c r="C82" s="5" t="s">
        <v>168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(79,'SP6-LNZ1','Station de Pompage SP6-LNZ1','2012-02-15','2013-11-20',NULL,1,10),</v>
      </c>
    </row>
    <row r="83" spans="1:9" ht="20.100000000000001" customHeight="1" x14ac:dyDescent="0.25">
      <c r="A83" s="3">
        <v>80</v>
      </c>
      <c r="B83" s="8" t="s">
        <v>169</v>
      </c>
      <c r="C83" s="5" t="s">
        <v>170</v>
      </c>
      <c r="D83" s="6">
        <v>41374</v>
      </c>
      <c r="E83" s="6">
        <v>42029</v>
      </c>
      <c r="F83" s="7" t="s">
        <v>20</v>
      </c>
      <c r="G83" s="7">
        <v>1</v>
      </c>
      <c r="H83" s="7">
        <v>10</v>
      </c>
      <c r="I83" s="5" t="str">
        <f t="shared" si="2"/>
        <v>(80,'SP0-LZ1','Station de Pompage SP0-LZ1','2013-04-10','2015-01-25',NULL,1,10),</v>
      </c>
    </row>
    <row r="84" spans="1:9" ht="20.100000000000001" customHeight="1" x14ac:dyDescent="0.25">
      <c r="A84" s="3">
        <v>81</v>
      </c>
      <c r="B84" s="8" t="s">
        <v>171</v>
      </c>
      <c r="C84" s="5" t="s">
        <v>172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(81,'SP1-LZ1','Station de Pompage SP1-LZ1','2013-04-10','2015-01-25',NULL,1,10),</v>
      </c>
    </row>
    <row r="85" spans="1:9" ht="20.100000000000001" customHeight="1" x14ac:dyDescent="0.25">
      <c r="A85" s="3">
        <v>82</v>
      </c>
      <c r="B85" s="8" t="s">
        <v>173</v>
      </c>
      <c r="C85" s="5" t="s">
        <v>174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(82,'SP1-LZ2','Station de Pompage SP1-LZ2','2013-04-10','2015-01-25',NULL,1,10),</v>
      </c>
    </row>
    <row r="86" spans="1:9" ht="20.100000000000001" customHeight="1" x14ac:dyDescent="0.25">
      <c r="A86" s="3">
        <v>83</v>
      </c>
      <c r="B86" s="8" t="s">
        <v>175</v>
      </c>
      <c r="C86" s="5" t="s">
        <v>176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(83,'PRS-LZ1/LZ2','Station de Régulation PRS-LZ1/LZ2','2013-04-10','2015-01-25',NULL,1,10),</v>
      </c>
    </row>
    <row r="87" spans="1:9" ht="20.100000000000001" customHeight="1" x14ac:dyDescent="0.25">
      <c r="A87" s="3">
        <v>84</v>
      </c>
      <c r="B87" s="8" t="s">
        <v>177</v>
      </c>
      <c r="C87" s="5" t="s">
        <v>178</v>
      </c>
      <c r="D87" s="6">
        <v>41838</v>
      </c>
      <c r="E87" s="6">
        <v>42490</v>
      </c>
      <c r="F87" s="7" t="s">
        <v>20</v>
      </c>
      <c r="G87" s="7">
        <v>1</v>
      </c>
      <c r="H87" s="7">
        <v>10</v>
      </c>
      <c r="I87" s="5" t="str">
        <f t="shared" si="2"/>
        <v>(84,'SPRN-LR1','Station de Pompage SPRN-LR1','2014-07-18','2016-04-30',NULL,1,10),</v>
      </c>
    </row>
    <row r="88" spans="1:9" ht="20.100000000000001" customHeight="1" x14ac:dyDescent="0.25">
      <c r="A88" s="3">
        <v>85</v>
      </c>
      <c r="B88" s="8" t="s">
        <v>179</v>
      </c>
      <c r="C88" s="5" t="s">
        <v>180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(85,'SP0-LR1','Station de Pompage SP1-LR1','2014-07-18','2016-04-30',NULL,1,10),</v>
      </c>
    </row>
    <row r="89" spans="1:9" ht="20.100000000000001" customHeight="1" x14ac:dyDescent="0.25">
      <c r="A89" s="3">
        <v>86</v>
      </c>
      <c r="B89" s="8" t="s">
        <v>181</v>
      </c>
      <c r="C89" s="5" t="s">
        <v>180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(86,'SP1-LR1','Station de Pompage SP1-LR1','2014-07-18','2016-04-30',NULL,1,10),</v>
      </c>
    </row>
    <row r="90" spans="1:9" ht="20.100000000000001" customHeight="1" x14ac:dyDescent="0.25">
      <c r="A90" s="3">
        <v>87</v>
      </c>
      <c r="B90" s="8" t="s">
        <v>182</v>
      </c>
      <c r="C90" s="5" t="s">
        <v>183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(87,'SP2-LR1','Station de Pompage SP2-LR1','2014-07-18','2016-04-30',NULL,1,10),</v>
      </c>
    </row>
    <row r="91" spans="1:9" ht="20.100000000000001" customHeight="1" x14ac:dyDescent="0.25">
      <c r="A91" s="3">
        <v>88</v>
      </c>
      <c r="B91" s="8" t="s">
        <v>184</v>
      </c>
      <c r="C91" s="5" t="s">
        <v>185</v>
      </c>
      <c r="D91" s="6">
        <v>42299</v>
      </c>
      <c r="E91" s="6">
        <v>42962</v>
      </c>
      <c r="F91" s="7" t="s">
        <v>20</v>
      </c>
      <c r="G91" s="7">
        <v>1</v>
      </c>
      <c r="H91" s="7">
        <v>10</v>
      </c>
      <c r="I91" s="5" t="str">
        <f t="shared" si="2"/>
        <v>(88,'SP1-LNZ1','Station de Pompage SP1-LNZ1','2015-10-22','2017-08-15',NULL,1,10),</v>
      </c>
    </row>
    <row r="92" spans="1:9" ht="20.100000000000001" customHeight="1" x14ac:dyDescent="0.25">
      <c r="A92" s="3">
        <v>89</v>
      </c>
      <c r="B92" s="8" t="s">
        <v>186</v>
      </c>
      <c r="C92" s="5" t="s">
        <v>187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(89,'SP3-LNZ1','Station de Pompage SP3-LNZ1','2015-10-22','2017-08-15',NULL,1,10),</v>
      </c>
    </row>
    <row r="93" spans="1:9" ht="20.100000000000001" customHeight="1" x14ac:dyDescent="0.25">
      <c r="A93" s="3">
        <v>90</v>
      </c>
      <c r="B93" s="8" t="s">
        <v>188</v>
      </c>
      <c r="C93" s="5" t="s">
        <v>189</v>
      </c>
      <c r="D93" s="6">
        <v>36566</v>
      </c>
      <c r="E93" s="6">
        <v>37271</v>
      </c>
      <c r="F93" s="7" t="s">
        <v>20</v>
      </c>
      <c r="G93" s="7">
        <v>1</v>
      </c>
      <c r="H93" s="7">
        <v>10</v>
      </c>
      <c r="I93" s="5" t="str">
        <f t="shared" si="2"/>
        <v>(90,'SC1-GZ0','Station de Compression SC1-GZ0','2000-02-10','2002-01-15',NULL,1,10),</v>
      </c>
    </row>
    <row r="94" spans="1:9" ht="20.100000000000001" customHeight="1" x14ac:dyDescent="0.25">
      <c r="A94" s="3">
        <v>91</v>
      </c>
      <c r="B94" s="8" t="s">
        <v>190</v>
      </c>
      <c r="C94" s="5" t="s">
        <v>191</v>
      </c>
      <c r="D94" s="6">
        <v>36566</v>
      </c>
      <c r="E94" s="6">
        <v>37271</v>
      </c>
      <c r="F94" s="7" t="s">
        <v>20</v>
      </c>
      <c r="G94" s="7">
        <v>1</v>
      </c>
      <c r="H94" s="7">
        <v>10</v>
      </c>
      <c r="I94" s="5" t="str">
        <f t="shared" si="2"/>
        <v>(91,'SC2-GZ0','Station de Compression SC2-GZ0','2000-02-10','2002-01-15',NULL,1,10),</v>
      </c>
    </row>
    <row r="95" spans="1:9" ht="20.100000000000001" customHeight="1" x14ac:dyDescent="0.25">
      <c r="A95" s="3">
        <v>92</v>
      </c>
      <c r="B95" s="8" t="s">
        <v>192</v>
      </c>
      <c r="C95" s="5" t="s">
        <v>193</v>
      </c>
      <c r="D95" s="6">
        <v>36566</v>
      </c>
      <c r="E95" s="6">
        <v>37271</v>
      </c>
      <c r="F95" s="7" t="s">
        <v>20</v>
      </c>
      <c r="G95" s="7">
        <v>1</v>
      </c>
      <c r="H95" s="7">
        <v>10</v>
      </c>
      <c r="I95" s="5" t="str">
        <f t="shared" si="2"/>
        <v>(92,'SC3-GZ0','Station de Compression SC3-GZ0','2000-02-10','2002-01-15',NULL,1,10),</v>
      </c>
    </row>
    <row r="96" spans="1:9" ht="20.100000000000001" customHeight="1" x14ac:dyDescent="0.25">
      <c r="A96" s="3">
        <v>93</v>
      </c>
      <c r="B96" s="8" t="s">
        <v>194</v>
      </c>
      <c r="C96" s="5" t="s">
        <v>195</v>
      </c>
      <c r="D96" s="6">
        <v>36566</v>
      </c>
      <c r="E96" s="6">
        <v>37271</v>
      </c>
      <c r="F96" s="7" t="s">
        <v>20</v>
      </c>
      <c r="G96" s="7">
        <v>1</v>
      </c>
      <c r="H96" s="7">
        <v>10</v>
      </c>
      <c r="I96" s="5" t="str">
        <f t="shared" si="2"/>
        <v>(93,'SC4-GZ0','Station de Compression SC4-GZ0','2000-02-10','2002-01-15',NULL,1,10),</v>
      </c>
    </row>
    <row r="97" spans="1:9" ht="20.100000000000001" customHeight="1" x14ac:dyDescent="0.25">
      <c r="A97" s="3">
        <v>94</v>
      </c>
      <c r="B97" s="8" t="s">
        <v>196</v>
      </c>
      <c r="C97" s="5" t="s">
        <v>197</v>
      </c>
      <c r="D97" s="6">
        <v>37756</v>
      </c>
      <c r="E97" s="6">
        <v>38462</v>
      </c>
      <c r="F97" s="7" t="s">
        <v>20</v>
      </c>
      <c r="G97" s="7">
        <v>1</v>
      </c>
      <c r="H97" s="7">
        <v>10</v>
      </c>
      <c r="I97" s="5" t="str">
        <f t="shared" si="2"/>
        <v>(94,'SC1-GZ1','Station de Compression SC1-GZ1','2003-05-15','2005-04-20',NULL,1,10),</v>
      </c>
    </row>
    <row r="98" spans="1:9" ht="20.100000000000001" customHeight="1" x14ac:dyDescent="0.25">
      <c r="A98" s="3">
        <v>95</v>
      </c>
      <c r="B98" s="8" t="s">
        <v>198</v>
      </c>
      <c r="C98" s="5" t="s">
        <v>199</v>
      </c>
      <c r="D98" s="6">
        <v>37756</v>
      </c>
      <c r="E98" s="6">
        <v>38462</v>
      </c>
      <c r="F98" s="7" t="s">
        <v>20</v>
      </c>
      <c r="G98" s="7">
        <v>1</v>
      </c>
      <c r="H98" s="7">
        <v>10</v>
      </c>
      <c r="I98" s="5" t="str">
        <f t="shared" si="2"/>
        <v>(95,'SC1-GZ2','Station de Compression SC1-GZ2','2003-05-15','2005-04-20',NULL,1,10),</v>
      </c>
    </row>
    <row r="99" spans="1:9" ht="20.100000000000001" customHeight="1" x14ac:dyDescent="0.25">
      <c r="A99" s="3">
        <v>96</v>
      </c>
      <c r="B99" s="8" t="s">
        <v>200</v>
      </c>
      <c r="C99" s="5" t="s">
        <v>201</v>
      </c>
      <c r="D99" s="6">
        <v>37756</v>
      </c>
      <c r="E99" s="6">
        <v>38462</v>
      </c>
      <c r="F99" s="7" t="s">
        <v>20</v>
      </c>
      <c r="G99" s="7">
        <v>1</v>
      </c>
      <c r="H99" s="7">
        <v>10</v>
      </c>
      <c r="I99" s="5" t="str">
        <f t="shared" si="2"/>
        <v>(96,'SC1-GZ3','Station de Compression SC1-GZ3','2003-05-15','2005-04-20',NULL,1,10),</v>
      </c>
    </row>
    <row r="100" spans="1:9" ht="20.100000000000001" customHeight="1" x14ac:dyDescent="0.25">
      <c r="A100" s="3">
        <v>97</v>
      </c>
      <c r="B100" s="8" t="s">
        <v>202</v>
      </c>
      <c r="C100" s="5" t="s">
        <v>203</v>
      </c>
      <c r="D100" s="6">
        <v>38219</v>
      </c>
      <c r="E100" s="6">
        <v>38923</v>
      </c>
      <c r="F100" s="7" t="s">
        <v>20</v>
      </c>
      <c r="G100" s="7">
        <v>1</v>
      </c>
      <c r="H100" s="7">
        <v>10</v>
      </c>
      <c r="I100" s="5" t="str">
        <f t="shared" si="2"/>
        <v>(97,'SC2-GZ1','Station de Compression SC2-GZ1','2004-08-20','2006-07-25',NULL,1,10),</v>
      </c>
    </row>
    <row r="101" spans="1:9" ht="20.100000000000001" customHeight="1" x14ac:dyDescent="0.25">
      <c r="A101" s="3">
        <v>98</v>
      </c>
      <c r="B101" s="8" t="s">
        <v>204</v>
      </c>
      <c r="C101" s="5" t="s">
        <v>205</v>
      </c>
      <c r="D101" s="6">
        <v>38219</v>
      </c>
      <c r="E101" s="6">
        <v>38923</v>
      </c>
      <c r="F101" s="7" t="s">
        <v>20</v>
      </c>
      <c r="G101" s="7">
        <v>1</v>
      </c>
      <c r="H101" s="7">
        <v>10</v>
      </c>
      <c r="I101" s="5" t="str">
        <f t="shared" si="2"/>
        <v>(98,'SC2-GZ2','Station de Compression SC2-GZ2','2004-08-20','2006-07-25',NULL,1,10),</v>
      </c>
    </row>
    <row r="102" spans="1:9" ht="20.100000000000001" customHeight="1" x14ac:dyDescent="0.25">
      <c r="A102" s="3">
        <v>99</v>
      </c>
      <c r="B102" s="8" t="s">
        <v>206</v>
      </c>
      <c r="C102" s="5" t="s">
        <v>207</v>
      </c>
      <c r="D102" s="6">
        <v>38219</v>
      </c>
      <c r="E102" s="6">
        <v>38923</v>
      </c>
      <c r="F102" s="7" t="s">
        <v>20</v>
      </c>
      <c r="G102" s="7">
        <v>1</v>
      </c>
      <c r="H102" s="7">
        <v>10</v>
      </c>
      <c r="I102" s="5" t="str">
        <f t="shared" si="2"/>
        <v>(99,'SC2-GZ3','Station de Compression SC2-GZ3','2004-08-20','2006-07-25',NULL,1,10),</v>
      </c>
    </row>
    <row r="103" spans="1:9" ht="20.100000000000001" customHeight="1" x14ac:dyDescent="0.25">
      <c r="A103" s="3">
        <v>100</v>
      </c>
      <c r="B103" s="8" t="s">
        <v>208</v>
      </c>
      <c r="C103" s="5" t="s">
        <v>209</v>
      </c>
      <c r="D103" s="6">
        <v>38666</v>
      </c>
      <c r="E103" s="6">
        <v>39370</v>
      </c>
      <c r="F103" s="7" t="s">
        <v>20</v>
      </c>
      <c r="G103" s="7">
        <v>1</v>
      </c>
      <c r="H103" s="7">
        <v>10</v>
      </c>
      <c r="I103" s="5" t="str">
        <f t="shared" si="2"/>
        <v>(100,'SC3-GZ1','Station de Compression SC3-GZ1','2005-11-10','2007-10-15',NULL,1,10),</v>
      </c>
    </row>
    <row r="104" spans="1:9" ht="20.100000000000001" customHeight="1" x14ac:dyDescent="0.25">
      <c r="A104" s="3">
        <v>101</v>
      </c>
      <c r="B104" s="8" t="s">
        <v>210</v>
      </c>
      <c r="C104" s="5" t="s">
        <v>211</v>
      </c>
      <c r="D104" s="6">
        <v>38666</v>
      </c>
      <c r="E104" s="6">
        <v>39370</v>
      </c>
      <c r="F104" s="7" t="s">
        <v>20</v>
      </c>
      <c r="G104" s="7">
        <v>1</v>
      </c>
      <c r="H104" s="7">
        <v>10</v>
      </c>
      <c r="I104" s="5" t="str">
        <f t="shared" si="2"/>
        <v>(101,'SC3-GZ2','Station de Compression SC3-GZ2','2005-11-10','2007-10-15',NULL,1,10),</v>
      </c>
    </row>
    <row r="105" spans="1:9" ht="20.100000000000001" customHeight="1" x14ac:dyDescent="0.25">
      <c r="A105" s="3">
        <v>102</v>
      </c>
      <c r="B105" s="8" t="s">
        <v>212</v>
      </c>
      <c r="C105" s="5" t="s">
        <v>213</v>
      </c>
      <c r="D105" s="6">
        <v>38666</v>
      </c>
      <c r="E105" s="6">
        <v>39370</v>
      </c>
      <c r="F105" s="7" t="s">
        <v>20</v>
      </c>
      <c r="G105" s="7">
        <v>1</v>
      </c>
      <c r="H105" s="7">
        <v>10</v>
      </c>
      <c r="I105" s="5" t="str">
        <f t="shared" si="2"/>
        <v>(102,'SC3-GZ3','Station de Compression SC3-GZ3','2005-11-10','2007-10-15',NULL,1,10),</v>
      </c>
    </row>
    <row r="106" spans="1:9" ht="20.100000000000001" customHeight="1" x14ac:dyDescent="0.25">
      <c r="A106" s="3">
        <v>103</v>
      </c>
      <c r="B106" s="8" t="s">
        <v>214</v>
      </c>
      <c r="C106" s="5" t="s">
        <v>215</v>
      </c>
      <c r="D106" s="6">
        <v>38791</v>
      </c>
      <c r="E106" s="6">
        <v>39498</v>
      </c>
      <c r="F106" s="7" t="s">
        <v>20</v>
      </c>
      <c r="G106" s="7">
        <v>1</v>
      </c>
      <c r="H106" s="7">
        <v>10</v>
      </c>
      <c r="I106" s="5" t="str">
        <f t="shared" si="2"/>
        <v>(103,'SC4-GZ1','Station de Compression SC4-GZ1','2006-03-15','2008-02-20',NULL,1,10),</v>
      </c>
    </row>
    <row r="107" spans="1:9" ht="20.100000000000001" customHeight="1" x14ac:dyDescent="0.25">
      <c r="A107" s="3">
        <v>104</v>
      </c>
      <c r="B107" s="8" t="s">
        <v>216</v>
      </c>
      <c r="C107" s="5" t="s">
        <v>217</v>
      </c>
      <c r="D107" s="6">
        <v>38791</v>
      </c>
      <c r="E107" s="6">
        <v>39498</v>
      </c>
      <c r="F107" s="7" t="s">
        <v>20</v>
      </c>
      <c r="G107" s="7">
        <v>1</v>
      </c>
      <c r="H107" s="7">
        <v>10</v>
      </c>
      <c r="I107" s="5" t="str">
        <f t="shared" si="2"/>
        <v>(104,'SC4-GZ2','Station de Compression SC4-GZ2','2006-03-15','2008-02-20',NULL,1,10),</v>
      </c>
    </row>
    <row r="108" spans="1:9" ht="20.100000000000001" customHeight="1" x14ac:dyDescent="0.25">
      <c r="A108" s="3">
        <v>105</v>
      </c>
      <c r="B108" s="8" t="s">
        <v>218</v>
      </c>
      <c r="C108" s="5" t="s">
        <v>219</v>
      </c>
      <c r="D108" s="6">
        <v>38791</v>
      </c>
      <c r="E108" s="6">
        <v>39498</v>
      </c>
      <c r="F108" s="7" t="s">
        <v>20</v>
      </c>
      <c r="G108" s="7">
        <v>1</v>
      </c>
      <c r="H108" s="7">
        <v>10</v>
      </c>
      <c r="I108" s="5" t="str">
        <f t="shared" si="2"/>
        <v>(105,'SC4-GZ3','Station de Compression SC4-GZ3','2006-03-15','2008-02-20',NULL,1,10),</v>
      </c>
    </row>
    <row r="109" spans="1:9" ht="20.100000000000001" customHeight="1" x14ac:dyDescent="0.25">
      <c r="A109" s="3">
        <v>106</v>
      </c>
      <c r="B109" s="8" t="s">
        <v>220</v>
      </c>
      <c r="C109" s="5" t="s">
        <v>221</v>
      </c>
      <c r="D109" s="6">
        <v>39253</v>
      </c>
      <c r="E109" s="6">
        <v>39958</v>
      </c>
      <c r="F109" s="7" t="s">
        <v>20</v>
      </c>
      <c r="G109" s="7">
        <v>1</v>
      </c>
      <c r="H109" s="7">
        <v>10</v>
      </c>
      <c r="I109" s="5" t="str">
        <f t="shared" si="2"/>
        <v>(106,'SC5-GZ1','Station de Compression SC5-GZ1','2007-06-20','2009-05-25',NULL,1,10),</v>
      </c>
    </row>
    <row r="110" spans="1:9" ht="20.100000000000001" customHeight="1" x14ac:dyDescent="0.25">
      <c r="A110" s="3">
        <v>107</v>
      </c>
      <c r="B110" s="8" t="s">
        <v>222</v>
      </c>
      <c r="C110" s="5" t="s">
        <v>223</v>
      </c>
      <c r="D110" s="6">
        <v>39253</v>
      </c>
      <c r="E110" s="6">
        <v>39958</v>
      </c>
      <c r="F110" s="7" t="s">
        <v>20</v>
      </c>
      <c r="G110" s="7">
        <v>1</v>
      </c>
      <c r="H110" s="7">
        <v>10</v>
      </c>
      <c r="I110" s="5" t="str">
        <f t="shared" si="2"/>
        <v>(107,'SC5-GZ2','Station de Compression SC5-GZ2','2007-06-20','2009-05-25',NULL,1,10),</v>
      </c>
    </row>
    <row r="111" spans="1:9" ht="20.100000000000001" customHeight="1" x14ac:dyDescent="0.25">
      <c r="A111" s="3">
        <v>108</v>
      </c>
      <c r="B111" s="8" t="s">
        <v>224</v>
      </c>
      <c r="C111" s="5" t="s">
        <v>225</v>
      </c>
      <c r="D111" s="6">
        <v>39253</v>
      </c>
      <c r="E111" s="6">
        <v>39958</v>
      </c>
      <c r="F111" s="7" t="s">
        <v>20</v>
      </c>
      <c r="G111" s="7">
        <v>1</v>
      </c>
      <c r="H111" s="7">
        <v>10</v>
      </c>
      <c r="I111" s="5" t="str">
        <f t="shared" si="2"/>
        <v>(108,'SC5-GZ3','Station de Compression SC5-GZ3','2007-06-20','2009-05-25',NULL,1,10),</v>
      </c>
    </row>
    <row r="112" spans="1:9" ht="20.100000000000001" customHeight="1" x14ac:dyDescent="0.25">
      <c r="A112" s="3">
        <v>109</v>
      </c>
      <c r="B112" s="8" t="s">
        <v>226</v>
      </c>
      <c r="C112" s="5" t="s">
        <v>227</v>
      </c>
      <c r="D112" s="6">
        <v>39703</v>
      </c>
      <c r="E112" s="6">
        <v>40408</v>
      </c>
      <c r="F112" s="7" t="s">
        <v>20</v>
      </c>
      <c r="G112" s="7">
        <v>1</v>
      </c>
      <c r="H112" s="7">
        <v>10</v>
      </c>
      <c r="I112" s="5" t="str">
        <f t="shared" si="2"/>
        <v>(109,'SC3-GPDF','Station de Compression SC3-GPDF','2008-09-12','2010-08-18',NULL,1,10),</v>
      </c>
    </row>
    <row r="113" spans="1:9" ht="20.100000000000001" customHeight="1" x14ac:dyDescent="0.25">
      <c r="A113" s="3">
        <v>110</v>
      </c>
      <c r="B113" s="8" t="s">
        <v>228</v>
      </c>
      <c r="C113" s="5" t="s">
        <v>229</v>
      </c>
      <c r="D113" s="6">
        <v>40152</v>
      </c>
      <c r="E113" s="6">
        <v>40857</v>
      </c>
      <c r="F113" s="7" t="s">
        <v>20</v>
      </c>
      <c r="G113" s="7">
        <v>1</v>
      </c>
      <c r="H113" s="7">
        <v>10</v>
      </c>
      <c r="I113" s="5" t="str">
        <f t="shared" si="2"/>
        <v>(110,'SC1-GK1','Station de Compression SC1-GK1','2009-12-05','2011-11-10',NULL,1,10),</v>
      </c>
    </row>
    <row r="114" spans="1:9" ht="20.100000000000001" customHeight="1" x14ac:dyDescent="0.25">
      <c r="A114" s="3">
        <v>111</v>
      </c>
      <c r="B114" s="8" t="s">
        <v>230</v>
      </c>
      <c r="C114" s="5" t="s">
        <v>231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(111,'SC2-GK1','Station de Compression SC2-GK1','2009-12-05','2011-11-10',NULL,1,10),</v>
      </c>
    </row>
    <row r="115" spans="1:9" ht="20.100000000000001" customHeight="1" x14ac:dyDescent="0.25">
      <c r="A115" s="3">
        <v>112</v>
      </c>
      <c r="B115" s="8" t="s">
        <v>232</v>
      </c>
      <c r="C115" s="5" t="s">
        <v>233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(112,'SC3-GK1','Station de Compression SC3-GK1','2009-12-05','2011-11-10',NULL,1,10),</v>
      </c>
    </row>
    <row r="116" spans="1:9" ht="20.100000000000001" customHeight="1" x14ac:dyDescent="0.25">
      <c r="A116" s="3">
        <v>113</v>
      </c>
      <c r="B116" s="8" t="s">
        <v>234</v>
      </c>
      <c r="C116" s="5" t="s">
        <v>235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(113,'SC4-GK1','Station de Compression SC4-GK1','2009-12-05','2011-11-10',NULL,1,10),</v>
      </c>
    </row>
    <row r="117" spans="1:9" ht="20.100000000000001" customHeight="1" x14ac:dyDescent="0.25">
      <c r="A117" s="3">
        <v>114</v>
      </c>
      <c r="B117" s="8" t="s">
        <v>236</v>
      </c>
      <c r="C117" s="5" t="s">
        <v>237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(114,'SC5-GK1','Station de Compression SC5-GK1','2009-12-05','2011-11-10',NULL,1,10),</v>
      </c>
    </row>
    <row r="118" spans="1:9" ht="20.100000000000001" customHeight="1" x14ac:dyDescent="0.25">
      <c r="A118" s="3">
        <v>115</v>
      </c>
      <c r="B118" s="8" t="s">
        <v>238</v>
      </c>
      <c r="C118" s="5" t="s">
        <v>239</v>
      </c>
      <c r="D118" s="6">
        <v>40283</v>
      </c>
      <c r="E118" s="6">
        <v>40988</v>
      </c>
      <c r="F118" s="7" t="s">
        <v>20</v>
      </c>
      <c r="G118" s="7">
        <v>1</v>
      </c>
      <c r="H118" s="7">
        <v>10</v>
      </c>
      <c r="I118" s="5" t="str">
        <f t="shared" si="2"/>
        <v>(115,'S01-GO2','Station de Compression S01-GO2','2010-04-15','2012-03-20',NULL,1,10),</v>
      </c>
    </row>
    <row r="119" spans="1:9" ht="20.100000000000001" customHeight="1" x14ac:dyDescent="0.25">
      <c r="A119" s="3">
        <v>116</v>
      </c>
      <c r="B119" s="8" t="s">
        <v>240</v>
      </c>
      <c r="C119" s="5" t="s">
        <v>241</v>
      </c>
      <c r="D119" s="6">
        <v>40744</v>
      </c>
      <c r="E119" s="6">
        <v>41450</v>
      </c>
      <c r="F119" s="7" t="s">
        <v>20</v>
      </c>
      <c r="G119" s="7">
        <v>1</v>
      </c>
      <c r="H119" s="7">
        <v>10</v>
      </c>
      <c r="I119" s="5" t="str">
        <f t="shared" si="2"/>
        <v>(116,'S01-GG1','Station de Compression S01-GG1','2011-07-20','2013-06-25',NULL,1,10),</v>
      </c>
    </row>
    <row r="120" spans="1:9" ht="20.100000000000001" customHeight="1" x14ac:dyDescent="0.25">
      <c r="A120" s="3">
        <v>117</v>
      </c>
      <c r="B120" s="8" t="s">
        <v>242</v>
      </c>
      <c r="C120" s="5" t="s">
        <v>243</v>
      </c>
      <c r="D120" s="6">
        <v>41192</v>
      </c>
      <c r="E120" s="6">
        <v>41897</v>
      </c>
      <c r="F120" s="7" t="s">
        <v>20</v>
      </c>
      <c r="G120" s="7">
        <v>1</v>
      </c>
      <c r="H120" s="7">
        <v>10</v>
      </c>
      <c r="I120" s="5" t="str">
        <f t="shared" si="2"/>
        <v>(117,'S01-GR5','Station de Compression S01-GR5','2012-10-10','2014-09-15',NULL,1,10),</v>
      </c>
    </row>
    <row r="121" spans="1:9" ht="20.100000000000001" customHeight="1" x14ac:dyDescent="0.25">
      <c r="A121" s="3">
        <v>118</v>
      </c>
      <c r="B121" s="8" t="s">
        <v>244</v>
      </c>
      <c r="C121" s="5" t="s">
        <v>245</v>
      </c>
      <c r="D121" s="6">
        <v>41323</v>
      </c>
      <c r="E121" s="6">
        <v>42026</v>
      </c>
      <c r="F121" s="7" t="s">
        <v>20</v>
      </c>
      <c r="G121" s="7">
        <v>1</v>
      </c>
      <c r="H121" s="7">
        <v>10</v>
      </c>
      <c r="I121" s="5" t="str">
        <f t="shared" si="2"/>
        <v>(118,'S01-GR7','Station de Compression S01-GR7','2013-02-18','2015-01-22',NULL,1,10),</v>
      </c>
    </row>
    <row r="122" spans="1:9" ht="20.100000000000001" customHeight="1" x14ac:dyDescent="0.25">
      <c r="A122" s="3">
        <v>119</v>
      </c>
      <c r="B122" s="8" t="s">
        <v>246</v>
      </c>
      <c r="C122" s="5" t="s">
        <v>247</v>
      </c>
      <c r="D122" s="6">
        <v>41781</v>
      </c>
      <c r="E122" s="6">
        <v>42488</v>
      </c>
      <c r="F122" s="7" t="s">
        <v>20</v>
      </c>
      <c r="G122" s="7">
        <v>1</v>
      </c>
      <c r="H122" s="7">
        <v>10</v>
      </c>
      <c r="I122" s="5" t="str">
        <f t="shared" si="2"/>
        <v>(119,'SC-TFT','Station de Compression SC-TFT','2014-05-22','2016-04-28',NULL,1,10),</v>
      </c>
    </row>
    <row r="123" spans="1:9" ht="20.100000000000001" customHeight="1" x14ac:dyDescent="0.25">
      <c r="A123" s="3">
        <v>120</v>
      </c>
      <c r="B123" s="8" t="s">
        <v>248</v>
      </c>
      <c r="C123" s="5" t="s">
        <v>249</v>
      </c>
      <c r="D123" s="6">
        <v>42228</v>
      </c>
      <c r="E123" s="6">
        <v>42934</v>
      </c>
      <c r="F123" s="7" t="s">
        <v>20</v>
      </c>
      <c r="G123" s="7">
        <v>1</v>
      </c>
      <c r="H123" s="7">
        <v>10</v>
      </c>
      <c r="I123" s="5" t="str">
        <f t="shared" si="2"/>
        <v>(120,'SC1-GR2','Station de Compression SC1-GR2','2015-08-12','2017-07-18',NULL,1,10),</v>
      </c>
    </row>
    <row r="124" spans="1:9" ht="20.100000000000001" customHeight="1" x14ac:dyDescent="0.25">
      <c r="A124" s="3">
        <v>121</v>
      </c>
      <c r="B124" s="8" t="s">
        <v>250</v>
      </c>
      <c r="C124" s="5" t="s">
        <v>251</v>
      </c>
      <c r="D124" s="6">
        <v>42228</v>
      </c>
      <c r="E124" s="6">
        <v>42934</v>
      </c>
      <c r="F124" s="7" t="s">
        <v>20</v>
      </c>
      <c r="G124" s="7">
        <v>1</v>
      </c>
      <c r="H124" s="7">
        <v>10</v>
      </c>
      <c r="I124" s="5" t="str">
        <f t="shared" si="2"/>
        <v>(121,'SC2-GR2','Station de Compression SC2-GR2','2015-08-12','2017-07-18',NULL,1,10),</v>
      </c>
    </row>
    <row r="125" spans="1:9" ht="20.100000000000001" customHeight="1" x14ac:dyDescent="0.25">
      <c r="A125" s="3">
        <v>122</v>
      </c>
      <c r="B125" s="8" t="s">
        <v>252</v>
      </c>
      <c r="C125" s="5" t="s">
        <v>253</v>
      </c>
      <c r="D125" s="6">
        <v>42228</v>
      </c>
      <c r="E125" s="6">
        <v>42934</v>
      </c>
      <c r="F125" s="7" t="s">
        <v>20</v>
      </c>
      <c r="G125" s="7">
        <v>1</v>
      </c>
      <c r="H125" s="7">
        <v>10</v>
      </c>
      <c r="I125" s="5" t="str">
        <f t="shared" si="2"/>
        <v>(122,'SC3-GR2','Station de Compression SC3-GR2','2015-08-12','2017-07-18',NULL,1,10),</v>
      </c>
    </row>
    <row r="126" spans="1:9" ht="20.100000000000001" customHeight="1" x14ac:dyDescent="0.25">
      <c r="A126" s="3">
        <v>123</v>
      </c>
      <c r="B126" s="8" t="s">
        <v>254</v>
      </c>
      <c r="C126" s="5" t="s">
        <v>255</v>
      </c>
      <c r="D126" s="6">
        <v>42228</v>
      </c>
      <c r="E126" s="6">
        <v>42934</v>
      </c>
      <c r="F126" s="7" t="s">
        <v>20</v>
      </c>
      <c r="G126" s="7">
        <v>1</v>
      </c>
      <c r="H126" s="7">
        <v>10</v>
      </c>
      <c r="I126" s="5" t="str">
        <f t="shared" si="2"/>
        <v>(123,'SC4-GR2','Station de Compression SC4-GR2','2015-08-12','2017-07-18',NULL,1,10),</v>
      </c>
    </row>
    <row r="127" spans="1:9" ht="20.100000000000001" customHeight="1" x14ac:dyDescent="0.25">
      <c r="A127" s="3">
        <v>124</v>
      </c>
      <c r="B127" s="8" t="s">
        <v>256</v>
      </c>
      <c r="C127" s="5" t="s">
        <v>257</v>
      </c>
      <c r="D127" s="6">
        <v>22903</v>
      </c>
      <c r="E127" s="6">
        <v>23652</v>
      </c>
      <c r="F127" s="7" t="s">
        <v>20</v>
      </c>
      <c r="G127" s="7">
        <v>1</v>
      </c>
      <c r="H127" s="7">
        <v>4</v>
      </c>
      <c r="I127" s="5" t="str">
        <f t="shared" si="2"/>
        <v>(124,'GL1Z','Complexe GNL GL1Z','1962-09-14','1964-10-02',NULL,1,4),</v>
      </c>
    </row>
    <row r="128" spans="1:9" ht="20.100000000000001" customHeight="1" x14ac:dyDescent="0.25">
      <c r="A128" s="3">
        <v>125</v>
      </c>
      <c r="B128" s="8" t="s">
        <v>258</v>
      </c>
      <c r="C128" s="5" t="s">
        <v>259</v>
      </c>
      <c r="D128" s="6">
        <v>28564</v>
      </c>
      <c r="E128" s="6">
        <v>29849</v>
      </c>
      <c r="F128" s="7" t="s">
        <v>20</v>
      </c>
      <c r="G128" s="7">
        <v>1</v>
      </c>
      <c r="H128" s="7">
        <v>4</v>
      </c>
      <c r="I128" s="5" t="str">
        <f t="shared" si="2"/>
        <v>(125,'GL2Z','Complexe GNL GL2Z','1978-03-15','1981-09-20',NULL,1,4),</v>
      </c>
    </row>
    <row r="129" spans="1:9" ht="20.100000000000001" customHeight="1" x14ac:dyDescent="0.25">
      <c r="A129" s="3">
        <v>126</v>
      </c>
      <c r="B129" s="8" t="s">
        <v>260</v>
      </c>
      <c r="C129" s="5" t="s">
        <v>261</v>
      </c>
      <c r="D129" s="6">
        <v>40318</v>
      </c>
      <c r="E129" s="6">
        <v>41618</v>
      </c>
      <c r="F129" s="7" t="s">
        <v>20</v>
      </c>
      <c r="G129" s="7">
        <v>1</v>
      </c>
      <c r="H129" s="7">
        <v>4</v>
      </c>
      <c r="I129" s="5" t="str">
        <f t="shared" si="2"/>
        <v>(126,'GL3Z','Complexe GNL GL3Z','2010-05-20','2013-12-10',NULL,1,4),</v>
      </c>
    </row>
    <row r="130" spans="1:9" ht="20.100000000000001" customHeight="1" x14ac:dyDescent="0.25">
      <c r="A130" s="3">
        <v>127</v>
      </c>
      <c r="B130" s="8" t="s">
        <v>262</v>
      </c>
      <c r="C130" s="5" t="s">
        <v>263</v>
      </c>
      <c r="D130" s="6">
        <v>24473</v>
      </c>
      <c r="E130" s="6">
        <v>26495</v>
      </c>
      <c r="F130" s="7" t="s">
        <v>20</v>
      </c>
      <c r="G130" s="7">
        <v>1</v>
      </c>
      <c r="H130" s="7">
        <v>4</v>
      </c>
      <c r="I130" s="5" t="str">
        <f t="shared" si="2"/>
        <v>(127,'GL1K','Complexe GNL GL1K','1967-01-01','1972-07-15',NULL,1,4),</v>
      </c>
    </row>
    <row r="131" spans="1:9" ht="20.100000000000001" customHeight="1" x14ac:dyDescent="0.25">
      <c r="A131" s="3">
        <v>128</v>
      </c>
      <c r="B131" s="8" t="s">
        <v>264</v>
      </c>
      <c r="C131" s="5" t="s">
        <v>265</v>
      </c>
      <c r="D131" s="6">
        <v>25617</v>
      </c>
      <c r="E131" s="6">
        <v>27240</v>
      </c>
      <c r="F131" s="7" t="s">
        <v>20</v>
      </c>
      <c r="G131" s="7">
        <v>1</v>
      </c>
      <c r="H131" s="7">
        <v>4</v>
      </c>
      <c r="I131" s="5" t="str">
        <f t="shared" si="2"/>
        <v>(128,'GP1Z','Usine GPL GP1Z','1970-02-18','1974-07-30',NULL,1,4),</v>
      </c>
    </row>
    <row r="132" spans="1:9" ht="20.100000000000001" customHeight="1" x14ac:dyDescent="0.25">
      <c r="A132" s="3">
        <v>129</v>
      </c>
      <c r="B132" s="8" t="s">
        <v>266</v>
      </c>
      <c r="C132" s="5" t="s">
        <v>267</v>
      </c>
      <c r="D132" s="6">
        <v>27872</v>
      </c>
      <c r="E132" s="6">
        <v>29509</v>
      </c>
      <c r="F132" s="7" t="s">
        <v>20</v>
      </c>
      <c r="G132" s="7">
        <v>1</v>
      </c>
      <c r="H132" s="7">
        <v>4</v>
      </c>
      <c r="I132" s="5" t="str">
        <f t="shared" si="2"/>
        <v>(129,'GP2Z','Usine GPL GP2Z','1976-04-22','1980-10-15',NULL,1,4),</v>
      </c>
    </row>
    <row r="133" spans="1:9" ht="20.100000000000001" customHeight="1" x14ac:dyDescent="0.25">
      <c r="A133" s="3">
        <v>130</v>
      </c>
      <c r="B133" s="8" t="s">
        <v>268</v>
      </c>
      <c r="C133" s="5" t="s">
        <v>269</v>
      </c>
      <c r="D133" s="6">
        <v>22442</v>
      </c>
      <c r="E133" s="6">
        <v>23456</v>
      </c>
      <c r="F133" s="7" t="s">
        <v>20</v>
      </c>
      <c r="G133" s="7">
        <v>1</v>
      </c>
      <c r="H133" s="7">
        <v>5</v>
      </c>
      <c r="I133" s="5" t="str">
        <f t="shared" si="2"/>
        <v>(130,'RA1G','Raffinerie RA1G','1961-06-10','1964-03-20',NULL,1,5),</v>
      </c>
    </row>
    <row r="134" spans="1:9" ht="20.100000000000001" customHeight="1" x14ac:dyDescent="0.25">
      <c r="A134" s="3">
        <v>131</v>
      </c>
      <c r="B134" s="8" t="s">
        <v>270</v>
      </c>
      <c r="C134" s="5" t="s">
        <v>271</v>
      </c>
      <c r="D134" s="6">
        <v>26191</v>
      </c>
      <c r="E134" s="6">
        <v>27539</v>
      </c>
      <c r="F134" s="7" t="s">
        <v>20</v>
      </c>
      <c r="G134" s="7">
        <v>1</v>
      </c>
      <c r="H134" s="7">
        <v>5</v>
      </c>
      <c r="I134" s="5" t="str">
        <f t="shared" si="2"/>
        <v>(131,'RA1Z','Raffinerie RA1Z','1971-09-15','1975-05-25',NULL,1,5),</v>
      </c>
    </row>
    <row r="135" spans="1:9" ht="20.100000000000001" customHeight="1" x14ac:dyDescent="0.25">
      <c r="A135" s="3">
        <v>132</v>
      </c>
      <c r="B135" s="8" t="s">
        <v>272</v>
      </c>
      <c r="C135" s="5" t="s">
        <v>273</v>
      </c>
      <c r="D135" s="6">
        <v>35023</v>
      </c>
      <c r="E135" s="6">
        <v>36037</v>
      </c>
      <c r="F135" s="7" t="s">
        <v>20</v>
      </c>
      <c r="G135" s="7">
        <v>1</v>
      </c>
      <c r="H135" s="7">
        <v>5</v>
      </c>
      <c r="I135" s="5" t="str">
        <f t="shared" si="2"/>
        <v>(132,'RHM2','Raffinerie RHM2','1995-11-20','1998-08-30',NULL,1,5),</v>
      </c>
    </row>
    <row r="136" spans="1:9" ht="20.100000000000001" customHeight="1" x14ac:dyDescent="0.25">
      <c r="A136" s="3">
        <v>133</v>
      </c>
      <c r="B136" s="8" t="s">
        <v>274</v>
      </c>
      <c r="C136" s="5" t="s">
        <v>275</v>
      </c>
      <c r="D136" s="6">
        <v>28196</v>
      </c>
      <c r="E136" s="6">
        <v>29573</v>
      </c>
      <c r="F136" s="7" t="s">
        <v>20</v>
      </c>
      <c r="G136" s="7">
        <v>1</v>
      </c>
      <c r="H136" s="7">
        <v>5</v>
      </c>
      <c r="I136" s="5" t="str">
        <f t="shared" si="2"/>
        <v>(133,'RA1K','Raffinerie RA1K','1977-03-12','1980-12-18',NULL,1,5),</v>
      </c>
    </row>
    <row r="137" spans="1:9" ht="20.100000000000001" customHeight="1" x14ac:dyDescent="0.25">
      <c r="A137" s="3">
        <v>134</v>
      </c>
      <c r="B137" s="8" t="s">
        <v>276</v>
      </c>
      <c r="C137" s="5" t="s">
        <v>277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(134,'RA2K','Raffinerie RA2K','1977-03-12','1980-12-18',NULL,1,5),</v>
      </c>
    </row>
    <row r="138" spans="1:9" ht="20.100000000000001" customHeight="1" x14ac:dyDescent="0.25">
      <c r="A138" s="3">
        <v>135</v>
      </c>
      <c r="B138" s="8" t="s">
        <v>278</v>
      </c>
      <c r="C138" s="5" t="s">
        <v>279</v>
      </c>
      <c r="D138" s="6">
        <v>24966</v>
      </c>
      <c r="E138" s="6">
        <v>26710</v>
      </c>
      <c r="F138" s="7" t="s">
        <v>20</v>
      </c>
      <c r="G138" s="7">
        <v>1</v>
      </c>
      <c r="H138" s="7">
        <v>5</v>
      </c>
      <c r="I138" s="5" t="str">
        <f t="shared" si="2"/>
        <v>(135,'RA1D','Raffinerie RA1D','1968-05-08','1973-02-15',NULL,1,5),</v>
      </c>
    </row>
    <row r="139" spans="1:9" ht="20.100000000000001" customHeight="1" x14ac:dyDescent="0.25">
      <c r="A139" s="3">
        <v>136</v>
      </c>
      <c r="B139" s="8" t="s">
        <v>280</v>
      </c>
      <c r="C139" s="5" t="s">
        <v>281</v>
      </c>
      <c r="D139" s="6">
        <v>29054</v>
      </c>
      <c r="E139" s="6">
        <v>30277</v>
      </c>
      <c r="F139" s="7" t="s">
        <v>20</v>
      </c>
      <c r="G139" s="7">
        <v>1</v>
      </c>
      <c r="H139" s="7">
        <v>4</v>
      </c>
      <c r="I139" s="5" t="str">
        <f t="shared" si="2"/>
        <v>(136,'CP1Z','Usine de Condensats CP1Z','1979-07-18','1982-11-22',NULL,1,4),</v>
      </c>
    </row>
    <row r="140" spans="1:9" ht="20.100000000000001" customHeight="1" x14ac:dyDescent="0.25">
      <c r="A140" s="3">
        <v>137</v>
      </c>
      <c r="B140" s="8" t="s">
        <v>282</v>
      </c>
      <c r="C140" s="5" t="s">
        <v>283</v>
      </c>
      <c r="D140" s="6">
        <v>29519</v>
      </c>
      <c r="E140" s="6">
        <v>30863</v>
      </c>
      <c r="F140" s="7" t="s">
        <v>20</v>
      </c>
      <c r="G140" s="7">
        <v>1</v>
      </c>
      <c r="H140" s="7">
        <v>4</v>
      </c>
      <c r="I140" s="5" t="str">
        <f t="shared" si="2"/>
        <v>(137,'CP2K','Usine de Condensats CP2K','1980-10-25','1984-06-30',NULL,1,4),</v>
      </c>
    </row>
    <row r="141" spans="1:9" ht="20.100000000000001" customHeight="1" x14ac:dyDescent="0.25">
      <c r="A141" s="3">
        <v>138</v>
      </c>
      <c r="B141" s="8" t="s">
        <v>284</v>
      </c>
      <c r="C141" s="5" t="s">
        <v>285</v>
      </c>
      <c r="D141" s="6">
        <v>25583</v>
      </c>
      <c r="E141" s="6">
        <v>27657</v>
      </c>
      <c r="F141" s="7" t="s">
        <v>20</v>
      </c>
      <c r="G141" s="7">
        <v>1</v>
      </c>
      <c r="H141" s="7">
        <v>5</v>
      </c>
      <c r="I141" s="5" t="str">
        <f t="shared" si="2"/>
        <v>(138,'SORFERT','Complexe Pétrochimique SORFERT','1970-01-15','1975-09-20',NULL,1,5),</v>
      </c>
    </row>
    <row r="142" spans="1:9" ht="20.100000000000001" customHeight="1" x14ac:dyDescent="0.25">
      <c r="A142" s="3">
        <v>139</v>
      </c>
      <c r="B142" s="8" t="s">
        <v>286</v>
      </c>
      <c r="C142" s="5" t="s">
        <v>287</v>
      </c>
      <c r="D142" s="6">
        <v>37721</v>
      </c>
      <c r="E142" s="6">
        <v>39767</v>
      </c>
      <c r="F142" s="7" t="s">
        <v>20</v>
      </c>
      <c r="G142" s="7">
        <v>1</v>
      </c>
      <c r="H142" s="7">
        <v>5</v>
      </c>
      <c r="I142" s="5" t="str">
        <f t="shared" si="2"/>
        <v>(139,'AOA','Complexe Pétrochimique AOA','2003-04-10','2008-11-15',NULL,1,5),</v>
      </c>
    </row>
    <row r="143" spans="1:9" ht="20.100000000000001" customHeight="1" x14ac:dyDescent="0.25">
      <c r="A143" s="3">
        <v>140</v>
      </c>
      <c r="B143" s="8" t="s">
        <v>288</v>
      </c>
      <c r="C143" s="5" t="s">
        <v>289</v>
      </c>
      <c r="D143" s="6">
        <v>35966</v>
      </c>
      <c r="E143" s="6">
        <v>37253</v>
      </c>
      <c r="F143" s="7" t="s">
        <v>20</v>
      </c>
      <c r="G143" s="7">
        <v>1</v>
      </c>
      <c r="H143" s="7">
        <v>2</v>
      </c>
      <c r="I143" s="5" t="str">
        <f t="shared" si="2"/>
        <v>(140,'CPF-OHD','Usine d\'Ourhoud','1998-06-20','2001-12-28',NULL,1,2),</v>
      </c>
    </row>
    <row r="144" spans="1:9" ht="20.100000000000001" customHeight="1" x14ac:dyDescent="0.25">
      <c r="A144" s="3">
        <v>141</v>
      </c>
      <c r="B144" s="8" t="s">
        <v>290</v>
      </c>
      <c r="C144" s="5" t="s">
        <v>291</v>
      </c>
      <c r="D144" s="6">
        <v>36784</v>
      </c>
      <c r="E144" s="6">
        <v>37863</v>
      </c>
      <c r="F144" s="7" t="s">
        <v>20</v>
      </c>
      <c r="G144" s="7">
        <v>1</v>
      </c>
      <c r="H144" s="7">
        <v>2</v>
      </c>
      <c r="I144" s="5" t="str">
        <f t="shared" ref="I144:I207" si="3">CONCATENATE("(",A144,",'",B144,"','",C144,"','",TEXT(D144,"aaaa-mm-jj"),"','",TEXT(E144,"aaaa-mm-jj"),"',",F144,",",G144,",",H144,"),")</f>
        <v>(141,'CPF-MNS','Unité de Traitement Central d\'In Amenas','2000-09-15','2003-08-30',NULL,1,2),</v>
      </c>
    </row>
    <row r="145" spans="1:9" ht="20.100000000000001" customHeight="1" x14ac:dyDescent="0.25">
      <c r="A145" s="3">
        <v>142</v>
      </c>
      <c r="B145" s="8" t="s">
        <v>292</v>
      </c>
      <c r="C145" s="5" t="s">
        <v>293</v>
      </c>
      <c r="D145" s="6">
        <v>37215</v>
      </c>
      <c r="E145" s="6">
        <v>38285</v>
      </c>
      <c r="F145" s="7" t="s">
        <v>20</v>
      </c>
      <c r="G145" s="7">
        <v>1</v>
      </c>
      <c r="H145" s="7">
        <v>2</v>
      </c>
      <c r="I145" s="5" t="str">
        <f t="shared" si="3"/>
        <v>(142,'CPF-BBK','Unité de Traitement Central de Berkine (El Merk)','2001-11-20','2004-10-25',NULL,1,2),</v>
      </c>
    </row>
    <row r="146" spans="1:9" ht="20.100000000000001" customHeight="1" x14ac:dyDescent="0.25">
      <c r="A146" s="3">
        <v>143</v>
      </c>
      <c r="B146" s="8" t="s">
        <v>294</v>
      </c>
      <c r="C146" s="5" t="s">
        <v>295</v>
      </c>
      <c r="D146" s="6">
        <v>28559</v>
      </c>
      <c r="E146" s="6">
        <v>30147</v>
      </c>
      <c r="F146" s="7" t="s">
        <v>20</v>
      </c>
      <c r="G146" s="7">
        <v>1</v>
      </c>
      <c r="H146" s="7">
        <v>2</v>
      </c>
      <c r="I146" s="5" t="str">
        <f t="shared" si="3"/>
        <v>(143,'GPC-HRM','Station Centrale de Hassi R\'Mel','1978-03-10','1982-07-15',NULL,1,2),</v>
      </c>
    </row>
    <row r="147" spans="1:9" ht="20.100000000000001" customHeight="1" x14ac:dyDescent="0.25">
      <c r="A147" s="3">
        <v>144</v>
      </c>
      <c r="B147" s="8" t="s">
        <v>296</v>
      </c>
      <c r="C147" s="5" t="s">
        <v>297</v>
      </c>
      <c r="D147" s="6">
        <v>36658</v>
      </c>
      <c r="E147" s="6">
        <v>37945</v>
      </c>
      <c r="F147" s="7" t="s">
        <v>20</v>
      </c>
      <c r="G147" s="7">
        <v>1</v>
      </c>
      <c r="H147" s="7">
        <v>2</v>
      </c>
      <c r="I147" s="5" t="str">
        <f t="shared" si="3"/>
        <v>(144,'GPC-OHT','Unité de Traitement Central d\'Ohanet - Train de Gaz','2000-05-12','2003-11-20',NULL,1,2),</v>
      </c>
    </row>
    <row r="148" spans="1:9" ht="20.100000000000001" customHeight="1" x14ac:dyDescent="0.25">
      <c r="A148" s="3">
        <v>145</v>
      </c>
      <c r="B148" s="8" t="s">
        <v>298</v>
      </c>
      <c r="C148" s="5" t="s">
        <v>299</v>
      </c>
      <c r="D148" s="6">
        <v>38217</v>
      </c>
      <c r="E148" s="6">
        <v>39258</v>
      </c>
      <c r="F148" s="7" t="s">
        <v>20</v>
      </c>
      <c r="G148" s="7">
        <v>1</v>
      </c>
      <c r="H148" s="7">
        <v>2</v>
      </c>
      <c r="I148" s="5" t="str">
        <f t="shared" si="3"/>
        <v>(145,'GPC-TFT','Unité de Traitement Central de Tin-Fouyé-Tabenkort','2004-08-18','2007-06-25',NULL,1,2),</v>
      </c>
    </row>
    <row r="149" spans="1:9" ht="20.100000000000001" customHeight="1" x14ac:dyDescent="0.25">
      <c r="A149" s="3">
        <v>146</v>
      </c>
      <c r="B149" s="8" t="s">
        <v>300</v>
      </c>
      <c r="C149" s="5" t="s">
        <v>301</v>
      </c>
      <c r="D149" s="6">
        <v>44635</v>
      </c>
      <c r="E149" s="6">
        <v>45889</v>
      </c>
      <c r="F149" s="7" t="s">
        <v>20</v>
      </c>
      <c r="G149" s="7">
        <v>1</v>
      </c>
      <c r="H149" s="7">
        <v>2</v>
      </c>
      <c r="I149" s="5" t="str">
        <f t="shared" si="3"/>
        <v>(146,'GPC-TSL','Complexe Gazier d\'Ain Tsila','2022-03-15','2025-08-20',NULL,1,2),</v>
      </c>
    </row>
    <row r="150" spans="1:9" ht="20.100000000000001" customHeight="1" x14ac:dyDescent="0.25">
      <c r="A150" s="3">
        <v>147</v>
      </c>
      <c r="B150" s="8" t="s">
        <v>302</v>
      </c>
      <c r="C150" s="5" t="s">
        <v>303</v>
      </c>
      <c r="D150" s="6">
        <v>40473</v>
      </c>
      <c r="E150" s="6">
        <v>41759</v>
      </c>
      <c r="F150" s="7" t="s">
        <v>20</v>
      </c>
      <c r="G150" s="7">
        <v>1</v>
      </c>
      <c r="H150" s="7">
        <v>2</v>
      </c>
      <c r="I150" s="5" t="str">
        <f t="shared" si="3"/>
        <v>(147,'GPC-RGN','Traitement du Gaz du Bassin de Reggane','2010-10-22','2014-04-30',NULL,1,2),</v>
      </c>
    </row>
    <row r="151" spans="1:9" ht="20.100000000000001" customHeight="1" x14ac:dyDescent="0.25">
      <c r="A151" s="3">
        <v>148</v>
      </c>
      <c r="B151" s="8" t="s">
        <v>304</v>
      </c>
      <c r="C151" s="5" t="s">
        <v>305</v>
      </c>
      <c r="D151" s="6">
        <v>37087</v>
      </c>
      <c r="E151" s="6">
        <v>38066</v>
      </c>
      <c r="F151" s="7" t="s">
        <v>20</v>
      </c>
      <c r="G151" s="7">
        <v>1</v>
      </c>
      <c r="H151" s="7">
        <v>2</v>
      </c>
      <c r="I151" s="5" t="str">
        <f t="shared" si="3"/>
        <v>(148,'CRP-OHT','Unité de Condensats d\'Ohanet','2001-07-15','2004-03-20',NULL,1,2),</v>
      </c>
    </row>
    <row r="152" spans="1:9" ht="20.100000000000001" customHeight="1" x14ac:dyDescent="0.25">
      <c r="A152" s="3">
        <v>149</v>
      </c>
      <c r="B152" s="8" t="s">
        <v>306</v>
      </c>
      <c r="C152" s="5" t="s">
        <v>307</v>
      </c>
      <c r="D152" s="6">
        <v>38615</v>
      </c>
      <c r="E152" s="6">
        <v>39596</v>
      </c>
      <c r="F152" s="7" t="s">
        <v>20</v>
      </c>
      <c r="G152" s="7">
        <v>1</v>
      </c>
      <c r="H152" s="7">
        <v>2</v>
      </c>
      <c r="I152" s="5" t="str">
        <f t="shared" si="3"/>
        <v>(149,'CRP-TFT','Unité de Condensats de Tin-Fouyé','2005-09-20','2008-05-28',NULL,1,2),</v>
      </c>
    </row>
    <row r="153" spans="1:9" ht="20.100000000000001" customHeight="1" x14ac:dyDescent="0.25">
      <c r="A153" s="3">
        <v>150</v>
      </c>
      <c r="B153" s="8" t="s">
        <v>308</v>
      </c>
      <c r="C153" s="5" t="s">
        <v>309</v>
      </c>
      <c r="D153" s="6">
        <v>44936</v>
      </c>
      <c r="E153" s="6">
        <v>45945</v>
      </c>
      <c r="F153" s="7" t="s">
        <v>20</v>
      </c>
      <c r="G153" s="7">
        <v>1</v>
      </c>
      <c r="H153" s="7">
        <v>2</v>
      </c>
      <c r="I153" s="5" t="str">
        <f t="shared" si="3"/>
        <v>(150,'CRP-TSL','Usine de récupération des Condensats d\'Ain Tsila','2023-01-10','2025-10-15',NULL,1,2),</v>
      </c>
    </row>
    <row r="154" spans="1:9" ht="20.100000000000001" customHeight="1" x14ac:dyDescent="0.25">
      <c r="A154" s="3">
        <v>151</v>
      </c>
      <c r="B154" s="8" t="s">
        <v>310</v>
      </c>
      <c r="C154" s="5" t="s">
        <v>311</v>
      </c>
      <c r="D154" s="6">
        <v>37565</v>
      </c>
      <c r="E154" s="6">
        <v>38545</v>
      </c>
      <c r="F154" s="7" t="s">
        <v>20</v>
      </c>
      <c r="G154" s="7">
        <v>1</v>
      </c>
      <c r="H154" s="7">
        <v>2</v>
      </c>
      <c r="I154" s="5" t="str">
        <f t="shared" si="3"/>
        <v>(151,'CRP-MRK','Unité de Condensats d\'El Merk','2002-11-05','2005-07-12',NULL,1,2),</v>
      </c>
    </row>
    <row r="155" spans="1:9" ht="20.100000000000001" customHeight="1" x14ac:dyDescent="0.25">
      <c r="A155" s="3">
        <v>152</v>
      </c>
      <c r="B155" s="8" t="s">
        <v>312</v>
      </c>
      <c r="C155" s="5" t="s">
        <v>313</v>
      </c>
      <c r="D155" s="6">
        <v>37060</v>
      </c>
      <c r="E155" s="6">
        <v>38042</v>
      </c>
      <c r="F155" s="7" t="s">
        <v>20</v>
      </c>
      <c r="G155" s="7">
        <v>1</v>
      </c>
      <c r="H155" s="7">
        <v>2</v>
      </c>
      <c r="I155" s="5" t="str">
        <f t="shared" si="3"/>
        <v>(152,'CRP-MNS','Usine de récupération des Condensats d\'In Amenas','2001-06-18','2004-02-25',NULL,1,2),</v>
      </c>
    </row>
    <row r="156" spans="1:9" ht="20.100000000000001" customHeight="1" x14ac:dyDescent="0.25">
      <c r="A156" s="3">
        <v>153</v>
      </c>
      <c r="B156" s="8" t="s">
        <v>314</v>
      </c>
      <c r="C156" s="5" t="s">
        <v>315</v>
      </c>
      <c r="D156" s="6">
        <v>30061</v>
      </c>
      <c r="E156" s="6">
        <v>31396</v>
      </c>
      <c r="F156" s="7" t="s">
        <v>20</v>
      </c>
      <c r="G156" s="7">
        <v>1</v>
      </c>
      <c r="H156" s="7">
        <v>2</v>
      </c>
      <c r="I156" s="5" t="str">
        <f t="shared" si="3"/>
        <v>(153,'LPG1-HRM','Unités GPL/Condensats de Hassi R\'Mel','1982-04-20','1985-12-15',NULL,1,2),</v>
      </c>
    </row>
    <row r="157" spans="1:9" ht="20.100000000000001" customHeight="1" x14ac:dyDescent="0.25">
      <c r="A157" s="3">
        <v>154</v>
      </c>
      <c r="B157" s="8" t="s">
        <v>316</v>
      </c>
      <c r="C157" s="5" t="s">
        <v>317</v>
      </c>
      <c r="D157" s="6">
        <v>33095</v>
      </c>
      <c r="E157" s="6">
        <v>34140</v>
      </c>
      <c r="F157" s="7" t="s">
        <v>20</v>
      </c>
      <c r="G157" s="7">
        <v>1</v>
      </c>
      <c r="H157" s="7">
        <v>2</v>
      </c>
      <c r="I157" s="5" t="str">
        <f t="shared" si="3"/>
        <v>(154,'LPG2-HRM','Complexe de récupération Centrale GPL de Hassi R\'Mel','1990-08-10','1993-06-20',NULL,1,2),</v>
      </c>
    </row>
    <row r="158" spans="1:9" ht="20.100000000000001" customHeight="1" x14ac:dyDescent="0.25">
      <c r="A158" s="3">
        <v>155</v>
      </c>
      <c r="B158" s="8" t="s">
        <v>318</v>
      </c>
      <c r="C158" s="5" t="s">
        <v>319</v>
      </c>
      <c r="D158" s="6">
        <v>35018</v>
      </c>
      <c r="E158" s="6">
        <v>36060</v>
      </c>
      <c r="F158" s="7" t="s">
        <v>20</v>
      </c>
      <c r="G158" s="7">
        <v>1</v>
      </c>
      <c r="H158" s="7">
        <v>2</v>
      </c>
      <c r="I158" s="5" t="str">
        <f t="shared" si="3"/>
        <v>(155,'LPGE-HRM','Complexe de récupération d\'Éthane de Hassi R\'Mel','1995-11-15','1998-09-22',NULL,1,2),</v>
      </c>
    </row>
    <row r="159" spans="1:9" ht="20.100000000000001" customHeight="1" x14ac:dyDescent="0.25">
      <c r="A159" s="3">
        <v>156</v>
      </c>
      <c r="B159" s="8" t="s">
        <v>320</v>
      </c>
      <c r="C159" s="5" t="s">
        <v>321</v>
      </c>
      <c r="D159" s="6">
        <v>38801</v>
      </c>
      <c r="E159" s="6">
        <v>39843</v>
      </c>
      <c r="F159" s="7" t="s">
        <v>20</v>
      </c>
      <c r="G159" s="7">
        <v>1</v>
      </c>
      <c r="H159" s="7">
        <v>2</v>
      </c>
      <c r="I159" s="5" t="str">
        <f t="shared" si="3"/>
        <v>(156,'LPG-TFT','Complexe de récupération GPL de Tin-Fouyé','2006-03-25','2009-01-30',NULL,1,2),</v>
      </c>
    </row>
    <row r="160" spans="1:9" ht="20.100000000000001" customHeight="1" x14ac:dyDescent="0.25">
      <c r="A160" s="3">
        <v>157</v>
      </c>
      <c r="B160" s="8" t="s">
        <v>322</v>
      </c>
      <c r="C160" s="5" t="s">
        <v>323</v>
      </c>
      <c r="D160" s="6">
        <v>45089</v>
      </c>
      <c r="E160" s="6">
        <v>46009</v>
      </c>
      <c r="F160" s="7" t="s">
        <v>20</v>
      </c>
      <c r="G160" s="7">
        <v>1</v>
      </c>
      <c r="H160" s="7">
        <v>2</v>
      </c>
      <c r="I160" s="5" t="str">
        <f t="shared" si="3"/>
        <v>(157,'LPG-TSL','Complexe de récupération GPL d\'Ain Tsila','2023-06-12','2025-12-18',NULL,1,2),</v>
      </c>
    </row>
    <row r="161" spans="1:9" ht="20.100000000000001" customHeight="1" x14ac:dyDescent="0.25">
      <c r="A161" s="3">
        <v>158</v>
      </c>
      <c r="B161" s="8" t="s">
        <v>324</v>
      </c>
      <c r="C161" s="5" t="s">
        <v>325</v>
      </c>
      <c r="D161" s="6">
        <v>23788</v>
      </c>
      <c r="E161" s="6">
        <v>24775</v>
      </c>
      <c r="F161" s="7" t="s">
        <v>20</v>
      </c>
      <c r="G161" s="7">
        <v>1</v>
      </c>
      <c r="H161" s="7">
        <v>10</v>
      </c>
      <c r="I161" s="5" t="str">
        <f t="shared" si="3"/>
        <v>(158,'OZ1','Pipeline OZ1','1965-02-15','1967-10-30',NULL,1,10),</v>
      </c>
    </row>
    <row r="162" spans="1:9" ht="20.100000000000001" customHeight="1" x14ac:dyDescent="0.25">
      <c r="A162" s="3">
        <v>159</v>
      </c>
      <c r="B162" s="8" t="s">
        <v>326</v>
      </c>
      <c r="C162" s="5" t="s">
        <v>327</v>
      </c>
      <c r="D162" s="7" t="s">
        <v>328</v>
      </c>
      <c r="E162" s="7" t="s">
        <v>328</v>
      </c>
      <c r="F162" s="7" t="s">
        <v>20</v>
      </c>
      <c r="G162" s="7">
        <v>1</v>
      </c>
      <c r="H162" s="7">
        <v>10</v>
      </c>
      <c r="I162" s="5" t="str">
        <f t="shared" si="3"/>
        <v>(159,'OZ2','Pipeline OZ2','2003-08-18','2003-08-18',NULL,1,10),</v>
      </c>
    </row>
    <row r="163" spans="1:9" ht="20.100000000000001" customHeight="1" x14ac:dyDescent="0.25">
      <c r="A163" s="3">
        <v>160</v>
      </c>
      <c r="B163" s="8" t="s">
        <v>329</v>
      </c>
      <c r="C163" s="5" t="s">
        <v>330</v>
      </c>
      <c r="D163" s="7" t="s">
        <v>331</v>
      </c>
      <c r="E163" s="7" t="s">
        <v>331</v>
      </c>
      <c r="F163" s="7" t="s">
        <v>20</v>
      </c>
      <c r="G163" s="7">
        <v>1</v>
      </c>
      <c r="H163" s="7">
        <v>10</v>
      </c>
      <c r="I163" s="5" t="str">
        <f t="shared" si="3"/>
        <v>(160,'OK1','Pipeline OK1','1972-01-01','1972-01-01',NULL,1,10),</v>
      </c>
    </row>
    <row r="164" spans="1:9" ht="20.100000000000001" customHeight="1" x14ac:dyDescent="0.25">
      <c r="A164" s="3">
        <v>161</v>
      </c>
      <c r="B164" s="8" t="s">
        <v>332</v>
      </c>
      <c r="C164" s="5" t="s">
        <v>333</v>
      </c>
      <c r="D164" s="6">
        <v>21064</v>
      </c>
      <c r="E164" s="6">
        <v>21889</v>
      </c>
      <c r="F164" s="7" t="s">
        <v>20</v>
      </c>
      <c r="G164" s="7">
        <v>1</v>
      </c>
      <c r="H164" s="7">
        <v>10</v>
      </c>
      <c r="I164" s="5" t="str">
        <f t="shared" si="3"/>
        <v>(161,'OB1','Pipeline OB1','1957-09-01','1959-12-05',NULL,1,10),</v>
      </c>
    </row>
    <row r="165" spans="1:9" ht="20.100000000000001" customHeight="1" x14ac:dyDescent="0.25">
      <c r="A165" s="3">
        <v>162</v>
      </c>
      <c r="B165" s="8" t="s">
        <v>334</v>
      </c>
      <c r="C165" s="5" t="s">
        <v>335</v>
      </c>
      <c r="D165" s="6">
        <v>35236</v>
      </c>
      <c r="E165" s="6">
        <v>36479</v>
      </c>
      <c r="F165" s="7" t="s">
        <v>20</v>
      </c>
      <c r="G165" s="7">
        <v>1</v>
      </c>
      <c r="H165" s="7">
        <v>10</v>
      </c>
      <c r="I165" s="5" t="str">
        <f t="shared" si="3"/>
        <v>(162,'ROB1-01','Pipeline ROB1-01','1996-06-20','1999-11-15',NULL,1,10),</v>
      </c>
    </row>
    <row r="166" spans="1:9" ht="20.100000000000001" customHeight="1" x14ac:dyDescent="0.25">
      <c r="A166" s="3">
        <v>163</v>
      </c>
      <c r="B166" s="8" t="s">
        <v>336</v>
      </c>
      <c r="C166" s="5" t="s">
        <v>337</v>
      </c>
      <c r="D166" s="6">
        <v>36595</v>
      </c>
      <c r="E166" s="6">
        <v>37855</v>
      </c>
      <c r="F166" s="7" t="s">
        <v>20</v>
      </c>
      <c r="G166" s="7">
        <v>1</v>
      </c>
      <c r="H166" s="7">
        <v>10</v>
      </c>
      <c r="I166" s="5" t="str">
        <f t="shared" si="3"/>
        <v>(163,'ROB1-02','Pipeline ROB1-02','2000-03-10','2003-08-22',NULL,1,10),</v>
      </c>
    </row>
    <row r="167" spans="1:9" ht="20.100000000000001" customHeight="1" x14ac:dyDescent="0.25">
      <c r="A167" s="3">
        <v>164</v>
      </c>
      <c r="B167" s="8" t="s">
        <v>338</v>
      </c>
      <c r="C167" s="5" t="s">
        <v>339</v>
      </c>
      <c r="D167" s="7" t="s">
        <v>340</v>
      </c>
      <c r="E167" s="7" t="s">
        <v>340</v>
      </c>
      <c r="F167" s="7" t="s">
        <v>20</v>
      </c>
      <c r="G167" s="7">
        <v>1</v>
      </c>
      <c r="H167" s="7">
        <v>10</v>
      </c>
      <c r="I167" s="5" t="str">
        <f t="shared" si="3"/>
        <v>(164,'OG1','Pipeline OG1','2005-07-04','2005-07-04',NULL,1,10),</v>
      </c>
    </row>
    <row r="168" spans="1:9" ht="20.100000000000001" customHeight="1" x14ac:dyDescent="0.25">
      <c r="A168" s="3">
        <v>165</v>
      </c>
      <c r="B168" s="8" t="s">
        <v>341</v>
      </c>
      <c r="C168" s="5" t="s">
        <v>342</v>
      </c>
      <c r="D168" s="6">
        <v>21337</v>
      </c>
      <c r="E168" s="6">
        <v>21930</v>
      </c>
      <c r="F168" s="7" t="s">
        <v>20</v>
      </c>
      <c r="G168" s="7">
        <v>1</v>
      </c>
      <c r="H168" s="7">
        <v>10</v>
      </c>
      <c r="I168" s="5" t="str">
        <f t="shared" si="3"/>
        <v>(165,'OT1','Pipeline OT1','1958-06-01','1960-01-15',NULL,1,10),</v>
      </c>
    </row>
    <row r="169" spans="1:9" ht="20.100000000000001" customHeight="1" x14ac:dyDescent="0.25">
      <c r="A169" s="3">
        <v>166</v>
      </c>
      <c r="B169" s="8" t="s">
        <v>343</v>
      </c>
      <c r="C169" s="5" t="s">
        <v>344</v>
      </c>
      <c r="D169" s="6" t="s">
        <v>345</v>
      </c>
      <c r="E169" s="6" t="s">
        <v>345</v>
      </c>
      <c r="F169" s="7" t="s">
        <v>20</v>
      </c>
      <c r="G169" s="7">
        <v>1</v>
      </c>
      <c r="H169" s="7">
        <v>10</v>
      </c>
      <c r="I169" s="5" t="str">
        <f t="shared" si="3"/>
        <v>(166,'OH1','Pipeline OH1','1982-01-01','1982-01-01',NULL,1,10),</v>
      </c>
    </row>
    <row r="170" spans="1:9" ht="20.100000000000001" customHeight="1" x14ac:dyDescent="0.25">
      <c r="A170" s="3">
        <v>167</v>
      </c>
      <c r="B170" s="4" t="s">
        <v>346</v>
      </c>
      <c r="C170" s="5" t="s">
        <v>347</v>
      </c>
      <c r="D170" s="6">
        <v>38582</v>
      </c>
      <c r="E170" s="6">
        <v>39624</v>
      </c>
      <c r="F170" s="7" t="s">
        <v>20</v>
      </c>
      <c r="G170" s="7">
        <v>1</v>
      </c>
      <c r="H170" s="7">
        <v>10</v>
      </c>
      <c r="I170" s="5" t="str">
        <f t="shared" si="3"/>
        <v>(167,'ROH1','Pipeline ROH1','2005-08-18','2008-06-25',NULL,1,10),</v>
      </c>
    </row>
    <row r="171" spans="1:9" ht="20.100000000000001" customHeight="1" x14ac:dyDescent="0.25">
      <c r="A171" s="3">
        <v>168</v>
      </c>
      <c r="B171" s="8" t="s">
        <v>348</v>
      </c>
      <c r="C171" s="5" t="s">
        <v>349</v>
      </c>
      <c r="D171" s="6" t="s">
        <v>350</v>
      </c>
      <c r="E171" s="6" t="s">
        <v>350</v>
      </c>
      <c r="F171" s="7" t="s">
        <v>20</v>
      </c>
      <c r="G171" s="7">
        <v>1</v>
      </c>
      <c r="H171" s="7">
        <v>10</v>
      </c>
      <c r="I171" s="5" t="str">
        <f t="shared" si="3"/>
        <v>(168,'OH2','Pipeline OH2','1972-04-10','1972-04-10',NULL,1,10),</v>
      </c>
    </row>
    <row r="172" spans="1:9" ht="20.100000000000001" customHeight="1" x14ac:dyDescent="0.25">
      <c r="A172" s="3">
        <v>169</v>
      </c>
      <c r="B172" s="8" t="s">
        <v>351</v>
      </c>
      <c r="C172" s="5" t="s">
        <v>352</v>
      </c>
      <c r="D172" s="6">
        <v>35476</v>
      </c>
      <c r="E172" s="6">
        <v>37026</v>
      </c>
      <c r="F172" s="7" t="s">
        <v>20</v>
      </c>
      <c r="G172" s="7">
        <v>1</v>
      </c>
      <c r="H172" s="7">
        <v>10</v>
      </c>
      <c r="I172" s="5" t="str">
        <f t="shared" si="3"/>
        <v>(169,'OH3','Pipeline OH3','1997-02-15','2001-05-15',NULL,1,10),</v>
      </c>
    </row>
    <row r="173" spans="1:9" ht="20.100000000000001" customHeight="1" x14ac:dyDescent="0.25">
      <c r="A173" s="3">
        <v>170</v>
      </c>
      <c r="B173" s="8" t="s">
        <v>353</v>
      </c>
      <c r="C173" s="5" t="s">
        <v>354</v>
      </c>
      <c r="D173" s="6" t="s">
        <v>355</v>
      </c>
      <c r="E173" s="6" t="s">
        <v>355</v>
      </c>
      <c r="F173" s="7" t="s">
        <v>20</v>
      </c>
      <c r="G173" s="7">
        <v>1</v>
      </c>
      <c r="H173" s="7">
        <v>10</v>
      </c>
      <c r="I173" s="5" t="str">
        <f t="shared" si="3"/>
        <v>(170,'OH4','Pipeline OH4','2006-01-01','2006-01-01',NULL,1,10),</v>
      </c>
    </row>
    <row r="174" spans="1:9" ht="20.100000000000001" customHeight="1" x14ac:dyDescent="0.25">
      <c r="A174" s="3">
        <v>171</v>
      </c>
      <c r="B174" s="8" t="s">
        <v>356</v>
      </c>
      <c r="C174" s="5" t="s">
        <v>357</v>
      </c>
      <c r="D174" s="6" t="s">
        <v>358</v>
      </c>
      <c r="E174" s="6" t="s">
        <v>358</v>
      </c>
      <c r="F174" s="7" t="s">
        <v>20</v>
      </c>
      <c r="G174" s="7">
        <v>1</v>
      </c>
      <c r="H174" s="7">
        <v>10</v>
      </c>
      <c r="I174" s="5" t="str">
        <f t="shared" si="3"/>
        <v>(171,'OD1','Pipeline OD1','1977-03-23','1977-03-23',NULL,1,10),</v>
      </c>
    </row>
    <row r="175" spans="1:9" ht="20.100000000000001" customHeight="1" x14ac:dyDescent="0.25">
      <c r="A175" s="3">
        <v>172</v>
      </c>
      <c r="B175" s="8" t="s">
        <v>359</v>
      </c>
      <c r="C175" s="5" t="s">
        <v>360</v>
      </c>
      <c r="D175" s="6">
        <v>38457</v>
      </c>
      <c r="E175" s="6">
        <v>39721</v>
      </c>
      <c r="F175" s="7" t="s">
        <v>20</v>
      </c>
      <c r="G175" s="7">
        <v>1</v>
      </c>
      <c r="H175" s="7">
        <v>10</v>
      </c>
      <c r="I175" s="5" t="str">
        <f t="shared" si="3"/>
        <v>(172,'ROD1','Pipeline ROD1','2005-04-15','2008-09-30',NULL,1,10),</v>
      </c>
    </row>
    <row r="176" spans="1:9" ht="20.100000000000001" customHeight="1" x14ac:dyDescent="0.25">
      <c r="A176" s="3">
        <v>173</v>
      </c>
      <c r="B176" s="8" t="s">
        <v>361</v>
      </c>
      <c r="C176" s="5" t="s">
        <v>362</v>
      </c>
      <c r="D176" s="6">
        <v>38970</v>
      </c>
      <c r="E176" s="6">
        <v>39921</v>
      </c>
      <c r="F176" s="7" t="s">
        <v>20</v>
      </c>
      <c r="G176" s="7">
        <v>1</v>
      </c>
      <c r="H176" s="7">
        <v>10</v>
      </c>
      <c r="I176" s="5" t="str">
        <f t="shared" si="3"/>
        <v>(173,'OD2','Pipeline OD2','2006-09-10','2009-04-18',NULL,1,10),</v>
      </c>
    </row>
    <row r="177" spans="1:9" ht="20.100000000000001" customHeight="1" x14ac:dyDescent="0.25">
      <c r="A177" s="3">
        <v>174</v>
      </c>
      <c r="B177" s="8" t="s">
        <v>363</v>
      </c>
      <c r="C177" s="5" t="s">
        <v>364</v>
      </c>
      <c r="D177" s="6">
        <v>39380</v>
      </c>
      <c r="E177" s="6">
        <v>40410</v>
      </c>
      <c r="F177" s="7" t="s">
        <v>20</v>
      </c>
      <c r="G177" s="7">
        <v>1</v>
      </c>
      <c r="H177" s="7">
        <v>10</v>
      </c>
      <c r="I177" s="5" t="str">
        <f t="shared" si="3"/>
        <v>(174,'OD3','Pipeline OD3','2007-10-25','2010-08-20',NULL,1,10),</v>
      </c>
    </row>
    <row r="178" spans="1:9" ht="20.100000000000001" customHeight="1" x14ac:dyDescent="0.25">
      <c r="A178" s="3">
        <v>175</v>
      </c>
      <c r="B178" s="8" t="s">
        <v>365</v>
      </c>
      <c r="C178" s="5" t="s">
        <v>366</v>
      </c>
      <c r="D178" s="6" t="s">
        <v>367</v>
      </c>
      <c r="E178" s="6" t="s">
        <v>367</v>
      </c>
      <c r="F178" s="7" t="s">
        <v>20</v>
      </c>
      <c r="G178" s="7">
        <v>1</v>
      </c>
      <c r="H178" s="7">
        <v>10</v>
      </c>
      <c r="I178" s="5" t="str">
        <f t="shared" si="3"/>
        <v>(175,'NZ1','Pipeline NZ1','1978-11-01','1978-11-01',NULL,1,10),</v>
      </c>
    </row>
    <row r="179" spans="1:9" ht="20.100000000000001" customHeight="1" x14ac:dyDescent="0.25">
      <c r="A179" s="3">
        <v>176</v>
      </c>
      <c r="B179" s="8" t="s">
        <v>368</v>
      </c>
      <c r="C179" s="5" t="s">
        <v>369</v>
      </c>
      <c r="D179" s="6" t="s">
        <v>370</v>
      </c>
      <c r="E179" s="6" t="s">
        <v>370</v>
      </c>
      <c r="F179" s="7" t="s">
        <v>20</v>
      </c>
      <c r="G179" s="7">
        <v>1</v>
      </c>
      <c r="H179" s="7">
        <v>10</v>
      </c>
      <c r="I179" s="5" t="str">
        <f t="shared" si="3"/>
        <v>(176,'NK1','Pipeline NK1','2009-08-04','2009-08-04',NULL,1,10),</v>
      </c>
    </row>
    <row r="180" spans="1:9" ht="20.100000000000001" customHeight="1" x14ac:dyDescent="0.25">
      <c r="A180" s="3">
        <v>177</v>
      </c>
      <c r="B180" s="8" t="s">
        <v>371</v>
      </c>
      <c r="C180" s="5" t="s">
        <v>372</v>
      </c>
      <c r="D180" s="6" t="s">
        <v>373</v>
      </c>
      <c r="E180" s="6" t="s">
        <v>373</v>
      </c>
      <c r="F180" s="7" t="s">
        <v>20</v>
      </c>
      <c r="G180" s="7">
        <v>1</v>
      </c>
      <c r="H180" s="7">
        <v>10</v>
      </c>
      <c r="I180" s="5" t="str">
        <f t="shared" si="3"/>
        <v>(177,'NH2','Pipeline NH2','1960-01-01','1960-01-01',NULL,1,10),</v>
      </c>
    </row>
    <row r="181" spans="1:9" ht="20.100000000000001" customHeight="1" x14ac:dyDescent="0.25">
      <c r="A181" s="3">
        <v>178</v>
      </c>
      <c r="B181" s="8" t="s">
        <v>374</v>
      </c>
      <c r="C181" s="5" t="s">
        <v>375</v>
      </c>
      <c r="D181" s="19">
        <v>37639</v>
      </c>
      <c r="E181" s="19">
        <v>38647</v>
      </c>
      <c r="F181" s="7" t="s">
        <v>20</v>
      </c>
      <c r="G181" s="7">
        <v>1</v>
      </c>
      <c r="H181" s="7">
        <v>10</v>
      </c>
      <c r="I181" s="5" t="str">
        <f t="shared" si="3"/>
        <v>(178,'LNZ1','Pipeline LNZ1','2003-01-18','2005-10-22',NULL,1,10),</v>
      </c>
    </row>
    <row r="182" spans="1:9" ht="20.100000000000001" customHeight="1" x14ac:dyDescent="0.25">
      <c r="A182" s="3">
        <v>179</v>
      </c>
      <c r="B182" s="8" t="s">
        <v>376</v>
      </c>
      <c r="C182" s="5" t="s">
        <v>377</v>
      </c>
      <c r="D182" s="6" t="s">
        <v>378</v>
      </c>
      <c r="E182" s="6" t="s">
        <v>378</v>
      </c>
      <c r="F182" s="7" t="s">
        <v>20</v>
      </c>
      <c r="G182" s="7">
        <v>1</v>
      </c>
      <c r="H182" s="7">
        <v>10</v>
      </c>
      <c r="I182" s="5" t="str">
        <f t="shared" si="3"/>
        <v>(179,'LZ1','Pipeline LZ1','1984-02-08','1984-02-08',NULL,1,10),</v>
      </c>
    </row>
    <row r="183" spans="1:9" ht="20.100000000000001" customHeight="1" x14ac:dyDescent="0.25">
      <c r="A183" s="3">
        <v>180</v>
      </c>
      <c r="B183" s="8" t="s">
        <v>379</v>
      </c>
      <c r="C183" s="5" t="s">
        <v>380</v>
      </c>
      <c r="D183" s="6" t="s">
        <v>381</v>
      </c>
      <c r="E183" s="6" t="s">
        <v>381</v>
      </c>
      <c r="F183" s="7" t="s">
        <v>20</v>
      </c>
      <c r="G183" s="7">
        <v>1</v>
      </c>
      <c r="H183" s="7">
        <v>10</v>
      </c>
      <c r="I183" s="5" t="str">
        <f t="shared" si="3"/>
        <v>(180,'LZ2','Pipeline LZ2','2010-11-01','2010-11-01',NULL,1,10),</v>
      </c>
    </row>
    <row r="184" spans="1:9" ht="20.100000000000001" customHeight="1" x14ac:dyDescent="0.25">
      <c r="A184" s="3">
        <v>181</v>
      </c>
      <c r="B184" s="8" t="s">
        <v>382</v>
      </c>
      <c r="C184" s="5" t="s">
        <v>383</v>
      </c>
      <c r="D184" s="6" t="s">
        <v>384</v>
      </c>
      <c r="E184" s="6" t="s">
        <v>384</v>
      </c>
      <c r="F184" s="7" t="s">
        <v>20</v>
      </c>
      <c r="G184" s="7">
        <v>1</v>
      </c>
      <c r="H184" s="7">
        <v>10</v>
      </c>
      <c r="I184" s="5" t="str">
        <f t="shared" si="3"/>
        <v>(181,'LR1','Pipeline LR1','1996-01-01','1996-01-01',NULL,1,10),</v>
      </c>
    </row>
    <row r="185" spans="1:9" ht="20.100000000000001" customHeight="1" x14ac:dyDescent="0.25">
      <c r="A185" s="3">
        <v>182</v>
      </c>
      <c r="B185" s="8" t="s">
        <v>385</v>
      </c>
      <c r="C185" s="5" t="s">
        <v>386</v>
      </c>
      <c r="D185" s="6" t="s">
        <v>387</v>
      </c>
      <c r="E185" s="7" t="s">
        <v>387</v>
      </c>
      <c r="F185" s="7" t="s">
        <v>20</v>
      </c>
      <c r="G185" s="7">
        <v>1</v>
      </c>
      <c r="H185" s="7">
        <v>10</v>
      </c>
      <c r="I185" s="5" t="str">
        <f t="shared" si="3"/>
        <v>(182,'DLR1','Pipeline DLR1','2004-10-04','2004-10-04',NULL,1,10),</v>
      </c>
    </row>
    <row r="186" spans="1:9" ht="20.100000000000001" customHeight="1" x14ac:dyDescent="0.25">
      <c r="A186" s="3">
        <v>183</v>
      </c>
      <c r="B186" s="8" t="s">
        <v>388</v>
      </c>
      <c r="C186" s="5" t="s">
        <v>389</v>
      </c>
      <c r="D186" s="6" t="s">
        <v>390</v>
      </c>
      <c r="E186" s="7" t="s">
        <v>390</v>
      </c>
      <c r="F186" s="7" t="s">
        <v>20</v>
      </c>
      <c r="G186" s="7">
        <v>1</v>
      </c>
      <c r="H186" s="7">
        <v>10</v>
      </c>
      <c r="I186" s="5" t="str">
        <f t="shared" si="3"/>
        <v>(183,'ELR1','Pipeline ELR1','2014-01-01','2014-01-01',NULL,1,10),</v>
      </c>
    </row>
    <row r="187" spans="1:9" ht="20.100000000000001" customHeight="1" x14ac:dyDescent="0.25">
      <c r="A187" s="3">
        <v>184</v>
      </c>
      <c r="B187" s="8" t="s">
        <v>391</v>
      </c>
      <c r="C187" s="5" t="s">
        <v>392</v>
      </c>
      <c r="D187" s="6">
        <v>21976</v>
      </c>
      <c r="E187" s="6">
        <v>22372</v>
      </c>
      <c r="F187" s="7" t="s">
        <v>20</v>
      </c>
      <c r="G187" s="7">
        <v>1</v>
      </c>
      <c r="H187" s="7">
        <v>10</v>
      </c>
      <c r="I187" s="5" t="str">
        <f t="shared" si="3"/>
        <v>(184,'GZ0','Pipeline GZ0','1960-03-01','1961-04-01',NULL,1,10),</v>
      </c>
    </row>
    <row r="188" spans="1:9" ht="20.100000000000001" customHeight="1" x14ac:dyDescent="0.25">
      <c r="A188" s="3">
        <v>185</v>
      </c>
      <c r="B188" s="8" t="s">
        <v>393</v>
      </c>
      <c r="C188" s="5" t="s">
        <v>394</v>
      </c>
      <c r="D188" s="6" t="s">
        <v>395</v>
      </c>
      <c r="E188" s="7" t="s">
        <v>395</v>
      </c>
      <c r="F188" s="7" t="s">
        <v>20</v>
      </c>
      <c r="G188" s="7">
        <v>1</v>
      </c>
      <c r="H188" s="7">
        <v>10</v>
      </c>
      <c r="I188" s="5" t="str">
        <f t="shared" si="3"/>
        <v>(185,'GZ0 Bis','Pipeline GZ0 Bis','2022-09-01','2022-09-01',NULL,1,10),</v>
      </c>
    </row>
    <row r="189" spans="1:9" ht="20.100000000000001" customHeight="1" x14ac:dyDescent="0.25">
      <c r="A189" s="3">
        <v>186</v>
      </c>
      <c r="B189" s="8" t="s">
        <v>396</v>
      </c>
      <c r="C189" s="5" t="s">
        <v>397</v>
      </c>
      <c r="D189" s="6" t="s">
        <v>398</v>
      </c>
      <c r="E189" s="7" t="s">
        <v>398</v>
      </c>
      <c r="F189" s="7" t="s">
        <v>20</v>
      </c>
      <c r="G189" s="7">
        <v>1</v>
      </c>
      <c r="H189" s="7">
        <v>10</v>
      </c>
      <c r="I189" s="5" t="str">
        <f t="shared" si="3"/>
        <v>(186,'GZ1','Pipeline GZ1','1976-01-01','1976-01-01',NULL,1,10),</v>
      </c>
    </row>
    <row r="190" spans="1:9" ht="20.100000000000001" customHeight="1" x14ac:dyDescent="0.25">
      <c r="A190" s="3">
        <v>187</v>
      </c>
      <c r="B190" s="8" t="s">
        <v>399</v>
      </c>
      <c r="C190" s="5" t="s">
        <v>400</v>
      </c>
      <c r="D190" s="6" t="s">
        <v>345</v>
      </c>
      <c r="E190" s="7" t="s">
        <v>345</v>
      </c>
      <c r="F190" s="7" t="s">
        <v>20</v>
      </c>
      <c r="G190" s="7">
        <v>1</v>
      </c>
      <c r="H190" s="7">
        <v>10</v>
      </c>
      <c r="I190" s="5" t="str">
        <f t="shared" si="3"/>
        <v>(187,'GZ2','Pipeline GZ2','1982-01-01','1982-01-01',NULL,1,10),</v>
      </c>
    </row>
    <row r="191" spans="1:9" ht="20.100000000000001" customHeight="1" x14ac:dyDescent="0.25">
      <c r="A191" s="3">
        <v>188</v>
      </c>
      <c r="B191" s="8" t="s">
        <v>401</v>
      </c>
      <c r="C191" s="5" t="s">
        <v>402</v>
      </c>
      <c r="D191" s="6">
        <v>37333</v>
      </c>
      <c r="E191" s="6">
        <v>38405</v>
      </c>
      <c r="F191" s="7" t="s">
        <v>20</v>
      </c>
      <c r="G191" s="7">
        <v>1</v>
      </c>
      <c r="H191" s="7">
        <v>10</v>
      </c>
      <c r="I191" s="5" t="str">
        <f t="shared" si="3"/>
        <v>(188,'RGZ2','Pipeline RGZ2','2002-03-18','2005-02-22',NULL,1,10),</v>
      </c>
    </row>
    <row r="192" spans="1:9" ht="20.100000000000001" customHeight="1" x14ac:dyDescent="0.25">
      <c r="A192" s="3">
        <v>189</v>
      </c>
      <c r="B192" s="8" t="s">
        <v>403</v>
      </c>
      <c r="C192" s="5" t="s">
        <v>404</v>
      </c>
      <c r="D192" s="6" t="s">
        <v>405</v>
      </c>
      <c r="E192" s="7" t="s">
        <v>405</v>
      </c>
      <c r="F192" s="7" t="s">
        <v>20</v>
      </c>
      <c r="G192" s="7">
        <v>1</v>
      </c>
      <c r="H192" s="7">
        <v>10</v>
      </c>
      <c r="I192" s="5" t="str">
        <f t="shared" si="3"/>
        <v>(189,'GZ3','Pipeline GZ3','1989-01-01','1989-01-01',NULL,1,10),</v>
      </c>
    </row>
    <row r="193" spans="1:9" ht="20.100000000000001" customHeight="1" x14ac:dyDescent="0.25">
      <c r="A193" s="3">
        <v>190</v>
      </c>
      <c r="B193" s="8" t="s">
        <v>406</v>
      </c>
      <c r="C193" s="5" t="s">
        <v>407</v>
      </c>
      <c r="D193" s="6" t="s">
        <v>408</v>
      </c>
      <c r="E193" s="7" t="s">
        <v>408</v>
      </c>
      <c r="F193" s="7" t="s">
        <v>20</v>
      </c>
      <c r="G193" s="7">
        <v>1</v>
      </c>
      <c r="H193" s="7">
        <v>10</v>
      </c>
      <c r="I193" s="5" t="str">
        <f t="shared" si="3"/>
        <v>(190,'RGZ3-01','Pipeline RGZ3-01','2018-01-01','2018-01-01',NULL,1,10),</v>
      </c>
    </row>
    <row r="194" spans="1:9" ht="20.100000000000001" customHeight="1" x14ac:dyDescent="0.25">
      <c r="A194" s="3">
        <v>191</v>
      </c>
      <c r="B194" s="8" t="s">
        <v>409</v>
      </c>
      <c r="C194" s="5" t="s">
        <v>410</v>
      </c>
      <c r="D194" s="6">
        <v>37753</v>
      </c>
      <c r="E194" s="6">
        <v>38949</v>
      </c>
      <c r="F194" s="7" t="s">
        <v>20</v>
      </c>
      <c r="G194" s="7">
        <v>1</v>
      </c>
      <c r="H194" s="7">
        <v>10</v>
      </c>
      <c r="I194" s="5" t="str">
        <f t="shared" si="3"/>
        <v>(191,'RGZ3-02','Pipeline RGZ3-02','2003-05-12','2006-08-20',NULL,1,10),</v>
      </c>
    </row>
    <row r="195" spans="1:9" ht="20.100000000000001" customHeight="1" x14ac:dyDescent="0.25">
      <c r="A195" s="3">
        <v>192</v>
      </c>
      <c r="B195" s="8" t="s">
        <v>411</v>
      </c>
      <c r="C195" s="5" t="s">
        <v>412</v>
      </c>
      <c r="D195" s="6" t="s">
        <v>413</v>
      </c>
      <c r="E195" s="6" t="s">
        <v>413</v>
      </c>
      <c r="F195" s="7" t="s">
        <v>20</v>
      </c>
      <c r="G195" s="7">
        <v>1</v>
      </c>
      <c r="H195" s="7">
        <v>10</v>
      </c>
      <c r="I195" s="5" t="str">
        <f t="shared" si="3"/>
        <v>(192,'GZ4-01','Pipeline GZ4-01','2010-04-16','2010-04-16',NULL,1,10),</v>
      </c>
    </row>
    <row r="196" spans="1:9" ht="20.100000000000001" customHeight="1" x14ac:dyDescent="0.25">
      <c r="A196" s="3">
        <v>193</v>
      </c>
      <c r="B196" s="8" t="s">
        <v>414</v>
      </c>
      <c r="C196" s="5" t="s">
        <v>415</v>
      </c>
      <c r="D196" s="6">
        <v>38006</v>
      </c>
      <c r="E196" s="6">
        <v>39018</v>
      </c>
      <c r="F196" s="7" t="s">
        <v>20</v>
      </c>
      <c r="G196" s="7">
        <v>1</v>
      </c>
      <c r="H196" s="7">
        <v>10</v>
      </c>
      <c r="I196" s="5" t="str">
        <f t="shared" si="3"/>
        <v>(193,'GZ4-02','Pipeline GZ4-02','2004-01-20','2006-10-28',NULL,1,10),</v>
      </c>
    </row>
    <row r="197" spans="1:9" ht="20.100000000000001" customHeight="1" x14ac:dyDescent="0.25">
      <c r="A197" s="3">
        <v>194</v>
      </c>
      <c r="B197" s="8" t="s">
        <v>416</v>
      </c>
      <c r="C197" s="5" t="s">
        <v>417</v>
      </c>
      <c r="D197" s="6">
        <v>38398</v>
      </c>
      <c r="E197" s="6">
        <v>39416</v>
      </c>
      <c r="F197" s="7" t="s">
        <v>20</v>
      </c>
      <c r="G197" s="7">
        <v>1</v>
      </c>
      <c r="H197" s="7">
        <v>10</v>
      </c>
      <c r="I197" s="5" t="str">
        <f t="shared" si="3"/>
        <v>(194,'GZ4-03','Pipeline GZ4-03','2005-02-15','2007-11-30',NULL,1,10),</v>
      </c>
    </row>
    <row r="198" spans="1:9" ht="20.100000000000001" customHeight="1" x14ac:dyDescent="0.25">
      <c r="A198" s="3">
        <v>195</v>
      </c>
      <c r="B198" s="8" t="s">
        <v>418</v>
      </c>
      <c r="C198" s="5" t="s">
        <v>419</v>
      </c>
      <c r="D198" s="6" t="s">
        <v>420</v>
      </c>
      <c r="E198" s="6" t="s">
        <v>421</v>
      </c>
      <c r="F198" s="7" t="s">
        <v>20</v>
      </c>
      <c r="G198" s="7">
        <v>1</v>
      </c>
      <c r="H198" s="7">
        <v>10</v>
      </c>
      <c r="I198" s="5" t="str">
        <f t="shared" si="3"/>
        <v>(195,'GK1','Pipeline GK1','1971-01-01','1978-01-01',NULL,1,10),</v>
      </c>
    </row>
    <row r="199" spans="1:9" ht="20.100000000000001" customHeight="1" x14ac:dyDescent="0.25">
      <c r="A199" s="3">
        <v>196</v>
      </c>
      <c r="B199" s="8" t="s">
        <v>422</v>
      </c>
      <c r="C199" s="5" t="s">
        <v>423</v>
      </c>
      <c r="D199" s="6" t="s">
        <v>424</v>
      </c>
      <c r="E199" s="6" t="s">
        <v>425</v>
      </c>
      <c r="F199" s="7" t="s">
        <v>20</v>
      </c>
      <c r="G199" s="7">
        <v>1</v>
      </c>
      <c r="H199" s="7">
        <v>10</v>
      </c>
      <c r="I199" s="5" t="str">
        <f t="shared" si="3"/>
        <v>(196,'GK2','Pipeline GK2','1998-01-01','2001-01-01',NULL,1,10),</v>
      </c>
    </row>
    <row r="200" spans="1:9" ht="20.100000000000001" customHeight="1" x14ac:dyDescent="0.25">
      <c r="A200" s="3">
        <v>197</v>
      </c>
      <c r="B200" s="8" t="s">
        <v>426</v>
      </c>
      <c r="C200" s="5" t="s">
        <v>427</v>
      </c>
      <c r="D200" s="6" t="s">
        <v>428</v>
      </c>
      <c r="E200" s="6" t="s">
        <v>428</v>
      </c>
      <c r="F200" s="7" t="s">
        <v>20</v>
      </c>
      <c r="G200" s="7">
        <v>1</v>
      </c>
      <c r="H200" s="7">
        <v>10</v>
      </c>
      <c r="I200" s="5" t="str">
        <f t="shared" si="3"/>
        <v>(197,'GK3-01','Pipeline GK3-01','2012-01-01','2012-01-01',NULL,1,10),</v>
      </c>
    </row>
    <row r="201" spans="1:9" ht="20.100000000000001" customHeight="1" x14ac:dyDescent="0.25">
      <c r="A201" s="3">
        <v>198</v>
      </c>
      <c r="B201" s="8" t="s">
        <v>429</v>
      </c>
      <c r="C201" s="5" t="s">
        <v>430</v>
      </c>
      <c r="D201" s="6">
        <v>37700</v>
      </c>
      <c r="E201" s="6">
        <v>38640</v>
      </c>
      <c r="F201" s="7" t="s">
        <v>20</v>
      </c>
      <c r="G201" s="7">
        <v>1</v>
      </c>
      <c r="H201" s="7">
        <v>10</v>
      </c>
      <c r="I201" s="5" t="str">
        <f t="shared" si="3"/>
        <v>(198,'GK3-02','Pipeline GK3-02','2003-03-20','2005-10-15',NULL,1,10),</v>
      </c>
    </row>
    <row r="202" spans="1:9" ht="20.100000000000001" customHeight="1" x14ac:dyDescent="0.25">
      <c r="A202" s="3">
        <v>199</v>
      </c>
      <c r="B202" s="8" t="s">
        <v>431</v>
      </c>
      <c r="C202" s="5" t="s">
        <v>432</v>
      </c>
      <c r="D202" s="6" t="s">
        <v>433</v>
      </c>
      <c r="E202" s="6" t="s">
        <v>433</v>
      </c>
      <c r="F202" s="7" t="s">
        <v>20</v>
      </c>
      <c r="G202" s="7">
        <v>1</v>
      </c>
      <c r="H202" s="7">
        <v>10</v>
      </c>
      <c r="I202" s="5" t="str">
        <f t="shared" si="3"/>
        <v>(199,'GG1','Pipeline GG1','1981-01-01','1981-01-01',NULL,1,10),</v>
      </c>
    </row>
    <row r="203" spans="1:9" ht="20.100000000000001" customHeight="1" x14ac:dyDescent="0.25">
      <c r="A203" s="3">
        <v>200</v>
      </c>
      <c r="B203" s="8" t="s">
        <v>434</v>
      </c>
      <c r="C203" s="5" t="s">
        <v>435</v>
      </c>
      <c r="D203" s="6" t="s">
        <v>436</v>
      </c>
      <c r="E203" s="6" t="s">
        <v>436</v>
      </c>
      <c r="F203" s="7" t="s">
        <v>20</v>
      </c>
      <c r="G203" s="7">
        <v>1</v>
      </c>
      <c r="H203" s="7">
        <v>10</v>
      </c>
      <c r="I203" s="5" t="str">
        <f t="shared" si="3"/>
        <v>(200,'RGG1','Pipeline RGG1','2019-01-01','2019-01-01',NULL,1,10),</v>
      </c>
    </row>
    <row r="204" spans="1:9" ht="20.100000000000001" customHeight="1" x14ac:dyDescent="0.25">
      <c r="A204" s="3">
        <v>201</v>
      </c>
      <c r="B204" s="8" t="s">
        <v>437</v>
      </c>
      <c r="C204" s="5" t="s">
        <v>438</v>
      </c>
      <c r="D204" s="6">
        <v>34222</v>
      </c>
      <c r="E204" s="6">
        <v>35389</v>
      </c>
      <c r="F204" s="7" t="s">
        <v>20</v>
      </c>
      <c r="G204" s="7">
        <v>1</v>
      </c>
      <c r="H204" s="7">
        <v>10</v>
      </c>
      <c r="I204" s="5" t="str">
        <f t="shared" si="3"/>
        <v>(201,'GM1','Pipeline GM1','1993-09-10','1996-11-20',NULL,1,10),</v>
      </c>
    </row>
    <row r="205" spans="1:9" ht="20.100000000000001" customHeight="1" x14ac:dyDescent="0.25">
      <c r="A205" s="3">
        <v>202</v>
      </c>
      <c r="B205" s="8" t="s">
        <v>439</v>
      </c>
      <c r="C205" s="5" t="s">
        <v>440</v>
      </c>
      <c r="D205" s="6" t="s">
        <v>441</v>
      </c>
      <c r="E205" s="6" t="s">
        <v>441</v>
      </c>
      <c r="F205" s="7" t="s">
        <v>20</v>
      </c>
      <c r="G205" s="7">
        <v>1</v>
      </c>
      <c r="H205" s="7">
        <v>10</v>
      </c>
      <c r="I205" s="5" t="str">
        <f t="shared" si="3"/>
        <v>(202,'GR1','Pipeline GR1','1986-01-01','1986-01-01',NULL,1,10),</v>
      </c>
    </row>
    <row r="206" spans="1:9" ht="20.100000000000001" customHeight="1" x14ac:dyDescent="0.25">
      <c r="A206" s="3">
        <v>203</v>
      </c>
      <c r="B206" s="8" t="s">
        <v>442</v>
      </c>
      <c r="C206" s="5" t="s">
        <v>443</v>
      </c>
      <c r="D206" s="6" t="s">
        <v>444</v>
      </c>
      <c r="E206" s="6" t="s">
        <v>444</v>
      </c>
      <c r="F206" s="7" t="s">
        <v>20</v>
      </c>
      <c r="G206" s="7">
        <v>1</v>
      </c>
      <c r="H206" s="7">
        <v>10</v>
      </c>
      <c r="I206" s="5" t="str">
        <f t="shared" si="3"/>
        <v>(203,'GR2','Pipeline GR2','1999-01-01','1999-01-01',NULL,1,10),</v>
      </c>
    </row>
    <row r="207" spans="1:9" ht="20.100000000000001" customHeight="1" x14ac:dyDescent="0.25">
      <c r="A207" s="3">
        <v>204</v>
      </c>
      <c r="B207" s="8" t="s">
        <v>445</v>
      </c>
      <c r="C207" s="5" t="s">
        <v>446</v>
      </c>
      <c r="D207" s="6">
        <v>38064</v>
      </c>
      <c r="E207" s="6">
        <v>39285</v>
      </c>
      <c r="F207" s="7" t="s">
        <v>20</v>
      </c>
      <c r="G207" s="7">
        <v>1</v>
      </c>
      <c r="H207" s="7">
        <v>10</v>
      </c>
      <c r="I207" s="5" t="str">
        <f t="shared" si="3"/>
        <v>(204,'GR3','Pipeline GR3','2004-03-18','2007-07-22',NULL,1,10),</v>
      </c>
    </row>
    <row r="208" spans="1:9" ht="20.100000000000001" customHeight="1" x14ac:dyDescent="0.25">
      <c r="A208" s="3">
        <v>205</v>
      </c>
      <c r="B208" s="8" t="s">
        <v>447</v>
      </c>
      <c r="C208" s="5" t="s">
        <v>448</v>
      </c>
      <c r="D208" s="6" t="s">
        <v>390</v>
      </c>
      <c r="E208" s="6" t="s">
        <v>390</v>
      </c>
      <c r="F208" s="7" t="s">
        <v>20</v>
      </c>
      <c r="G208" s="7">
        <v>1</v>
      </c>
      <c r="H208" s="7">
        <v>10</v>
      </c>
      <c r="I208" s="5" t="str">
        <f t="shared" ref="I208:I232" si="4">CONCATENATE("(",A208,",'",B208,"','",C208,"','",TEXT(D208,"aaaa-mm-jj"),"','",TEXT(E208,"aaaa-mm-jj"),"',",F208,",",G208,",",H208,"),")</f>
        <v>(205,'GR4','Pipeline GR4','2014-01-01','2014-01-01',NULL,1,10),</v>
      </c>
    </row>
    <row r="209" spans="1:9" ht="20.100000000000001" customHeight="1" x14ac:dyDescent="0.25">
      <c r="A209" s="3">
        <v>206</v>
      </c>
      <c r="B209" s="8" t="s">
        <v>449</v>
      </c>
      <c r="C209" s="5" t="s">
        <v>450</v>
      </c>
      <c r="D209" s="6" t="s">
        <v>451</v>
      </c>
      <c r="E209" s="6" t="s">
        <v>451</v>
      </c>
      <c r="F209" s="7" t="s">
        <v>20</v>
      </c>
      <c r="G209" s="7">
        <v>1</v>
      </c>
      <c r="H209" s="7">
        <v>10</v>
      </c>
      <c r="I209" s="5" t="str">
        <f t="shared" si="4"/>
        <v>(206,'GR5','Pipeline GR5','2017-06-01','2017-06-01',NULL,1,10),</v>
      </c>
    </row>
    <row r="210" spans="1:9" ht="20.100000000000001" customHeight="1" x14ac:dyDescent="0.25">
      <c r="A210" s="3">
        <v>207</v>
      </c>
      <c r="B210" s="8" t="s">
        <v>452</v>
      </c>
      <c r="C210" s="5" t="s">
        <v>453</v>
      </c>
      <c r="D210" s="6" t="s">
        <v>454</v>
      </c>
      <c r="E210" s="6" t="s">
        <v>454</v>
      </c>
      <c r="F210" s="7" t="s">
        <v>20</v>
      </c>
      <c r="G210" s="7">
        <v>1</v>
      </c>
      <c r="H210" s="7">
        <v>10</v>
      </c>
      <c r="I210" s="5" t="str">
        <f t="shared" si="4"/>
        <v>(207,'GR6','Pipeline GR6','2017-01-01','2017-01-01',NULL,1,10),</v>
      </c>
    </row>
    <row r="211" spans="1:9" ht="20.100000000000001" customHeight="1" x14ac:dyDescent="0.25">
      <c r="A211" s="3">
        <v>208</v>
      </c>
      <c r="B211" s="8" t="s">
        <v>455</v>
      </c>
      <c r="C211" s="5" t="s">
        <v>456</v>
      </c>
      <c r="D211" s="6" t="s">
        <v>457</v>
      </c>
      <c r="E211" s="6" t="s">
        <v>457</v>
      </c>
      <c r="F211" s="7" t="s">
        <v>20</v>
      </c>
      <c r="G211" s="7">
        <v>1</v>
      </c>
      <c r="H211" s="7">
        <v>10</v>
      </c>
      <c r="I211" s="5" t="str">
        <f t="shared" si="4"/>
        <v>(208,'GR7','Pipeline GR7','2019-12-01','2019-12-01',NULL,1,10),</v>
      </c>
    </row>
    <row r="212" spans="1:9" ht="20.100000000000001" customHeight="1" x14ac:dyDescent="0.25">
      <c r="A212" s="3">
        <v>209</v>
      </c>
      <c r="B212" s="8" t="s">
        <v>458</v>
      </c>
      <c r="C212" s="5" t="s">
        <v>459</v>
      </c>
      <c r="D212" s="6" t="s">
        <v>384</v>
      </c>
      <c r="E212" s="6" t="s">
        <v>384</v>
      </c>
      <c r="F212" s="7" t="s">
        <v>20</v>
      </c>
      <c r="G212" s="7">
        <v>1</v>
      </c>
      <c r="H212" s="7">
        <v>10</v>
      </c>
      <c r="I212" s="5" t="str">
        <f t="shared" si="4"/>
        <v>(209,'GPDF','Pipeline GPDF','1996-01-01','1996-01-01',NULL,1,10),</v>
      </c>
    </row>
    <row r="213" spans="1:9" ht="20.100000000000001" customHeight="1" x14ac:dyDescent="0.25">
      <c r="A213" s="3">
        <v>210</v>
      </c>
      <c r="B213" s="8" t="s">
        <v>460</v>
      </c>
      <c r="C213" s="5" t="s">
        <v>461</v>
      </c>
      <c r="D213" s="6" t="s">
        <v>462</v>
      </c>
      <c r="E213" s="6" t="s">
        <v>462</v>
      </c>
      <c r="F213" s="7" t="s">
        <v>20</v>
      </c>
      <c r="G213" s="7">
        <v>1</v>
      </c>
      <c r="H213" s="7">
        <v>10</v>
      </c>
      <c r="I213" s="5" t="str">
        <f t="shared" si="4"/>
        <v>(210,'EGPDF','Pipeline EGPDF','2021-01-01','2021-01-01',NULL,1,10),</v>
      </c>
    </row>
    <row r="214" spans="1:9" ht="20.100000000000001" customHeight="1" x14ac:dyDescent="0.25">
      <c r="A214" s="3">
        <v>211</v>
      </c>
      <c r="B214" s="8" t="s">
        <v>463</v>
      </c>
      <c r="C214" s="5" t="s">
        <v>464</v>
      </c>
      <c r="D214" s="6" t="s">
        <v>345</v>
      </c>
      <c r="E214" s="6" t="s">
        <v>345</v>
      </c>
      <c r="F214" s="7" t="s">
        <v>20</v>
      </c>
      <c r="G214" s="7">
        <v>1</v>
      </c>
      <c r="H214" s="7">
        <v>10</v>
      </c>
      <c r="I214" s="5" t="str">
        <f t="shared" si="4"/>
        <v>(211,'GO1','Pipeline GO1','1982-01-01','1982-01-01',NULL,1,10),</v>
      </c>
    </row>
    <row r="215" spans="1:9" ht="20.100000000000001" customHeight="1" x14ac:dyDescent="0.25">
      <c r="A215" s="3">
        <v>212</v>
      </c>
      <c r="B215" s="8" t="s">
        <v>465</v>
      </c>
      <c r="C215" s="5" t="s">
        <v>466</v>
      </c>
      <c r="D215" s="6" t="s">
        <v>467</v>
      </c>
      <c r="E215" s="7" t="s">
        <v>467</v>
      </c>
      <c r="F215" s="7" t="s">
        <v>20</v>
      </c>
      <c r="G215" s="7">
        <v>1</v>
      </c>
      <c r="H215" s="7">
        <v>10</v>
      </c>
      <c r="I215" s="5" t="str">
        <f t="shared" si="4"/>
        <v>(212,'GO2','Pipeline GO2','1987-01-01','1987-01-01',NULL,1,10),</v>
      </c>
    </row>
    <row r="216" spans="1:9" ht="20.100000000000001" customHeight="1" x14ac:dyDescent="0.25">
      <c r="A216" s="3">
        <v>213</v>
      </c>
      <c r="B216" s="8" t="s">
        <v>468</v>
      </c>
      <c r="C216" s="5" t="s">
        <v>469</v>
      </c>
      <c r="D216" s="6" t="s">
        <v>470</v>
      </c>
      <c r="E216" s="7" t="s">
        <v>471</v>
      </c>
      <c r="F216" s="7" t="s">
        <v>20</v>
      </c>
      <c r="G216" s="7">
        <v>1</v>
      </c>
      <c r="H216" s="7">
        <v>10</v>
      </c>
      <c r="I216" s="5" t="str">
        <f t="shared" si="4"/>
        <v>(213,'GO3','Pipeline GO3','2008-01-01','2010-01-01',NULL,1,10),</v>
      </c>
    </row>
    <row r="217" spans="1:9" ht="20.100000000000001" customHeight="1" x14ac:dyDescent="0.25">
      <c r="A217" s="3">
        <v>214</v>
      </c>
      <c r="B217" s="8" t="s">
        <v>472</v>
      </c>
      <c r="C217" s="5" t="s">
        <v>473</v>
      </c>
      <c r="D217" s="6">
        <v>24053</v>
      </c>
      <c r="E217" s="7" t="s">
        <v>20</v>
      </c>
      <c r="F217" s="7" t="s">
        <v>20</v>
      </c>
      <c r="G217" s="7">
        <v>1</v>
      </c>
      <c r="H217" s="7">
        <v>10</v>
      </c>
      <c r="I217" s="5" t="str">
        <f t="shared" si="4"/>
        <v>(214,'S01-OZ1','Segment 01-OZ1','1965-11-07','NULL',NULL,1,10),</v>
      </c>
    </row>
    <row r="218" spans="1:9" ht="20.100000000000001" customHeight="1" x14ac:dyDescent="0.25">
      <c r="A218" s="3">
        <v>215</v>
      </c>
      <c r="B218" s="8" t="s">
        <v>474</v>
      </c>
      <c r="C218" s="5" t="s">
        <v>475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(215,'S02-OZ1','Segment 02-OZ1','1965-11-07','NULL',NULL,1,10),</v>
      </c>
    </row>
    <row r="219" spans="1:9" ht="20.100000000000001" customHeight="1" x14ac:dyDescent="0.25">
      <c r="A219" s="3">
        <v>216</v>
      </c>
      <c r="B219" s="8" t="s">
        <v>476</v>
      </c>
      <c r="C219" s="5" t="s">
        <v>477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(216,'S03-OZ1','Segment 03-OZ1','1965-11-07','NULL',NULL,1,10),</v>
      </c>
    </row>
    <row r="220" spans="1:9" ht="20.100000000000001" customHeight="1" x14ac:dyDescent="0.25">
      <c r="A220" s="3">
        <v>217</v>
      </c>
      <c r="B220" s="8" t="s">
        <v>478</v>
      </c>
      <c r="C220" s="5" t="s">
        <v>479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(217,'S04-OZ1','Segment 04-OZ1','1965-11-07','NULL',NULL,1,10),</v>
      </c>
    </row>
    <row r="221" spans="1:9" ht="20.100000000000001" customHeight="1" x14ac:dyDescent="0.25">
      <c r="A221" s="3">
        <v>218</v>
      </c>
      <c r="B221" s="8" t="s">
        <v>480</v>
      </c>
      <c r="C221" s="5" t="s">
        <v>481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(218,'S05-OZ1','Segment 05-OZ1','1965-11-07','NULL',NULL,1,10),</v>
      </c>
    </row>
    <row r="222" spans="1:9" ht="20.100000000000001" customHeight="1" x14ac:dyDescent="0.25">
      <c r="A222" s="3">
        <v>219</v>
      </c>
      <c r="B222" s="8" t="s">
        <v>482</v>
      </c>
      <c r="C222" s="5" t="s">
        <v>483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(219,'S06-OZ1','Segment 06-OZ1','1965-11-07','NULL',NULL,1,10),</v>
      </c>
    </row>
    <row r="223" spans="1:9" ht="20.100000000000001" customHeight="1" x14ac:dyDescent="0.25">
      <c r="A223" s="3">
        <v>220</v>
      </c>
      <c r="B223" s="8" t="s">
        <v>484</v>
      </c>
      <c r="C223" s="5" t="s">
        <v>485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(220,'S07-OZ1','Segment 07-OZ1','1965-11-07','NULL',NULL,1,10),</v>
      </c>
    </row>
    <row r="224" spans="1:9" ht="20.100000000000001" customHeight="1" x14ac:dyDescent="0.25">
      <c r="A224" s="3">
        <v>221</v>
      </c>
      <c r="B224" s="8" t="s">
        <v>486</v>
      </c>
      <c r="C224" s="5" t="s">
        <v>487</v>
      </c>
      <c r="D224" s="6">
        <v>37851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(221,'S01-OZ2','Segment 01-OZ2','2003-08-18','NULL',NULL,1,10),</v>
      </c>
    </row>
    <row r="225" spans="1:9" ht="20.100000000000001" customHeight="1" x14ac:dyDescent="0.25">
      <c r="A225" s="3">
        <v>222</v>
      </c>
      <c r="B225" s="8" t="s">
        <v>488</v>
      </c>
      <c r="C225" s="5" t="s">
        <v>489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(222,'S02-OZ2','Segment 02-OZ2','2003-08-18','NULL',NULL,1,10),</v>
      </c>
    </row>
    <row r="226" spans="1:9" ht="20.100000000000001" customHeight="1" x14ac:dyDescent="0.25">
      <c r="A226" s="3">
        <v>223</v>
      </c>
      <c r="B226" s="8" t="s">
        <v>490</v>
      </c>
      <c r="C226" s="5" t="s">
        <v>491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(223,'S03-OZ2','Segment 03-OZ2','2003-08-18','NULL',NULL,1,10),</v>
      </c>
    </row>
    <row r="227" spans="1:9" ht="20.100000000000001" customHeight="1" x14ac:dyDescent="0.25">
      <c r="A227" s="3">
        <v>224</v>
      </c>
      <c r="B227" s="8" t="s">
        <v>492</v>
      </c>
      <c r="C227" s="5" t="s">
        <v>493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(224,'S04-OZ2','Segment 04-OZ2','2003-08-18','NULL',NULL,1,10),</v>
      </c>
    </row>
    <row r="228" spans="1:9" ht="20.100000000000001" customHeight="1" x14ac:dyDescent="0.25">
      <c r="A228" s="3">
        <v>225</v>
      </c>
      <c r="B228" s="8" t="s">
        <v>494</v>
      </c>
      <c r="C228" s="5" t="s">
        <v>495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(225,'S05-OZ2','Segment 05-OZ2','2003-08-18','NULL',NULL,1,10),</v>
      </c>
    </row>
    <row r="229" spans="1:9" ht="20.100000000000001" customHeight="1" x14ac:dyDescent="0.25">
      <c r="A229" s="3">
        <v>226</v>
      </c>
      <c r="B229" s="8" t="s">
        <v>496</v>
      </c>
      <c r="C229" s="5" t="s">
        <v>497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(226,'S06-OZ2','Segment 06-OZ2','2003-08-18','NULL',NULL,1,10),</v>
      </c>
    </row>
    <row r="230" spans="1:9" ht="20.100000000000001" customHeight="1" x14ac:dyDescent="0.25">
      <c r="A230" s="3">
        <v>227</v>
      </c>
      <c r="B230" s="8" t="s">
        <v>498</v>
      </c>
      <c r="C230" s="5" t="s">
        <v>499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(227,'S07-OZ2','Segment 07-OZ2','2003-08-18','NULL',NULL,1,10),</v>
      </c>
    </row>
    <row r="231" spans="1:9" ht="20.100000000000001" customHeight="1" x14ac:dyDescent="0.25">
      <c r="A231" s="3"/>
      <c r="B231" s="8"/>
      <c r="C231" s="5"/>
      <c r="D231" s="6"/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(,'','','1900-01-00','NULL',NULL,1,10),</v>
      </c>
    </row>
    <row r="232" spans="1:9" ht="20.100000000000001" customHeight="1" x14ac:dyDescent="0.2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(,'','','1900-01-00','NULL',NULL,1,10),</v>
      </c>
    </row>
  </sheetData>
  <autoFilter ref="A2:H17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H59"/>
  <sheetViews>
    <sheetView workbookViewId="0">
      <selection activeCell="B58" sqref="B58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500</v>
      </c>
      <c r="D1" s="1" t="s">
        <v>6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506</v>
      </c>
      <c r="K1" s="1" t="s">
        <v>507</v>
      </c>
      <c r="L1" s="1" t="s">
        <v>508</v>
      </c>
      <c r="M1" s="1" t="s">
        <v>509</v>
      </c>
      <c r="N1" s="1" t="s">
        <v>510</v>
      </c>
      <c r="O1" s="1" t="s">
        <v>511</v>
      </c>
      <c r="P1" s="1" t="s">
        <v>512</v>
      </c>
      <c r="Q1" s="1" t="s">
        <v>513</v>
      </c>
      <c r="R1" s="1" t="s">
        <v>514</v>
      </c>
      <c r="S1" s="1" t="s">
        <v>515</v>
      </c>
      <c r="T1" s="1" t="s">
        <v>516</v>
      </c>
      <c r="U1" s="1" t="s">
        <v>517</v>
      </c>
      <c r="V1" s="1" t="s">
        <v>518</v>
      </c>
      <c r="W1" s="1" t="s">
        <v>519</v>
      </c>
      <c r="X1" s="1" t="s">
        <v>520</v>
      </c>
      <c r="Y1" s="1" t="s">
        <v>521</v>
      </c>
      <c r="Z1" s="1" t="s">
        <v>522</v>
      </c>
      <c r="AA1" s="1" t="s">
        <v>523</v>
      </c>
      <c r="AB1" s="1" t="s">
        <v>524</v>
      </c>
      <c r="AC1" s="1" t="s">
        <v>525</v>
      </c>
      <c r="AD1" s="1" t="s">
        <v>526</v>
      </c>
      <c r="AE1" s="1" t="s">
        <v>527</v>
      </c>
      <c r="AF1" s="1" t="s">
        <v>528</v>
      </c>
    </row>
    <row r="2" spans="1:34" ht="20.10000000000000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529</v>
      </c>
      <c r="H2" s="1" t="s">
        <v>530</v>
      </c>
      <c r="I2" s="1" t="s">
        <v>531</v>
      </c>
      <c r="J2" s="1" t="s">
        <v>532</v>
      </c>
      <c r="K2" s="1" t="s">
        <v>533</v>
      </c>
      <c r="L2" s="1" t="s">
        <v>534</v>
      </c>
      <c r="M2" s="1" t="s">
        <v>535</v>
      </c>
      <c r="N2" s="1" t="s">
        <v>536</v>
      </c>
      <c r="O2" s="1" t="s">
        <v>537</v>
      </c>
      <c r="P2" s="1" t="s">
        <v>538</v>
      </c>
      <c r="Q2" s="1" t="s">
        <v>539</v>
      </c>
      <c r="R2" s="1"/>
      <c r="S2" s="1" t="s">
        <v>540</v>
      </c>
      <c r="T2" s="1"/>
      <c r="U2" s="1" t="s">
        <v>541</v>
      </c>
      <c r="V2" s="1"/>
      <c r="W2" s="1" t="s">
        <v>542</v>
      </c>
      <c r="X2" s="1"/>
      <c r="Y2" s="1" t="s">
        <v>543</v>
      </c>
      <c r="Z2" s="1"/>
      <c r="AA2" s="1" t="s">
        <v>544</v>
      </c>
      <c r="AB2" s="1"/>
      <c r="AC2" s="1" t="s">
        <v>545</v>
      </c>
      <c r="AD2" s="1" t="s">
        <v>529</v>
      </c>
      <c r="AE2" s="1"/>
      <c r="AF2" s="1" t="s">
        <v>546</v>
      </c>
      <c r="AG2" s="21" t="s">
        <v>547</v>
      </c>
    </row>
    <row r="3" spans="1:34" ht="20.100000000000001" customHeight="1" x14ac:dyDescent="0.25">
      <c r="A3" s="3">
        <v>156</v>
      </c>
      <c r="B3" s="22" t="s">
        <v>324</v>
      </c>
      <c r="C3" s="6">
        <v>24053</v>
      </c>
      <c r="D3" s="23">
        <v>1</v>
      </c>
      <c r="E3" s="7" t="s">
        <v>548</v>
      </c>
      <c r="F3" s="7">
        <v>11</v>
      </c>
      <c r="G3" s="7">
        <v>12</v>
      </c>
      <c r="H3" s="24">
        <v>28</v>
      </c>
      <c r="I3" s="25" t="s">
        <v>549</v>
      </c>
      <c r="J3" s="7" t="s">
        <v>550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551</v>
      </c>
      <c r="S3" s="7">
        <v>3</v>
      </c>
      <c r="T3" s="7" t="s">
        <v>552</v>
      </c>
      <c r="U3" s="7">
        <v>14</v>
      </c>
      <c r="V3" s="7" t="s">
        <v>20</v>
      </c>
      <c r="W3" s="7" t="s">
        <v>20</v>
      </c>
      <c r="X3" s="7" t="s">
        <v>553</v>
      </c>
      <c r="Y3" s="7">
        <v>1</v>
      </c>
      <c r="Z3" s="26" t="s">
        <v>31</v>
      </c>
      <c r="AA3" s="27">
        <v>7</v>
      </c>
      <c r="AB3" s="26" t="s">
        <v>554</v>
      </c>
      <c r="AC3" s="27">
        <v>21</v>
      </c>
      <c r="AD3" s="7">
        <v>12</v>
      </c>
      <c r="AE3" s="7" t="s">
        <v>555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customHeight="1" x14ac:dyDescent="0.25">
      <c r="A4" s="3">
        <v>157</v>
      </c>
      <c r="B4" s="22" t="s">
        <v>326</v>
      </c>
      <c r="C4" s="6">
        <v>37851</v>
      </c>
      <c r="D4" s="23">
        <v>1</v>
      </c>
      <c r="E4" s="7" t="s">
        <v>548</v>
      </c>
      <c r="F4" s="7">
        <v>11</v>
      </c>
      <c r="G4" s="7">
        <v>12</v>
      </c>
      <c r="H4" s="24">
        <v>34</v>
      </c>
      <c r="I4" s="25">
        <v>821</v>
      </c>
      <c r="J4" s="7" t="s">
        <v>556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557</v>
      </c>
      <c r="S4" s="7">
        <v>4</v>
      </c>
      <c r="T4" s="7" t="s">
        <v>558</v>
      </c>
      <c r="U4" s="7">
        <v>11</v>
      </c>
      <c r="V4" s="7" t="s">
        <v>20</v>
      </c>
      <c r="W4" s="7" t="s">
        <v>20</v>
      </c>
      <c r="X4" s="7" t="s">
        <v>553</v>
      </c>
      <c r="Y4" s="7">
        <v>1</v>
      </c>
      <c r="Z4" s="26" t="s">
        <v>31</v>
      </c>
      <c r="AA4" s="7">
        <v>7</v>
      </c>
      <c r="AB4" s="26" t="s">
        <v>554</v>
      </c>
      <c r="AC4" s="7">
        <v>21</v>
      </c>
      <c r="AD4" s="7">
        <v>12</v>
      </c>
      <c r="AE4" s="30" t="s">
        <v>559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customHeight="1" x14ac:dyDescent="0.25">
      <c r="A5" s="3">
        <v>158</v>
      </c>
      <c r="B5" s="22" t="s">
        <v>329</v>
      </c>
      <c r="C5" s="6">
        <v>26299</v>
      </c>
      <c r="D5" s="23">
        <v>1</v>
      </c>
      <c r="E5" s="7" t="s">
        <v>560</v>
      </c>
      <c r="F5" s="7">
        <v>13</v>
      </c>
      <c r="G5" s="7">
        <v>12</v>
      </c>
      <c r="H5" s="24">
        <v>34</v>
      </c>
      <c r="I5" s="25">
        <v>646</v>
      </c>
      <c r="J5" s="30" t="s">
        <v>561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562</v>
      </c>
      <c r="S5" s="7">
        <v>3</v>
      </c>
      <c r="T5" s="30" t="s">
        <v>563</v>
      </c>
      <c r="U5" s="7">
        <v>14</v>
      </c>
      <c r="V5" s="7" t="s">
        <v>20</v>
      </c>
      <c r="W5" s="7" t="s">
        <v>20</v>
      </c>
      <c r="X5" s="7" t="s">
        <v>329</v>
      </c>
      <c r="Y5" s="7">
        <v>2</v>
      </c>
      <c r="Z5" s="26" t="s">
        <v>31</v>
      </c>
      <c r="AA5" s="7">
        <v>7</v>
      </c>
      <c r="AB5" s="26" t="s">
        <v>564</v>
      </c>
      <c r="AC5" s="7">
        <v>34</v>
      </c>
      <c r="AD5" s="7">
        <v>12</v>
      </c>
      <c r="AE5" s="7" t="s">
        <v>565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customHeight="1" x14ac:dyDescent="0.25">
      <c r="A6" s="3">
        <v>159</v>
      </c>
      <c r="B6" s="22" t="s">
        <v>332</v>
      </c>
      <c r="C6" s="6">
        <v>21864</v>
      </c>
      <c r="D6" s="23">
        <v>1</v>
      </c>
      <c r="E6" s="7" t="s">
        <v>566</v>
      </c>
      <c r="F6" s="7">
        <v>15</v>
      </c>
      <c r="G6" s="7">
        <v>12</v>
      </c>
      <c r="H6" s="24" t="s">
        <v>567</v>
      </c>
      <c r="I6" s="25">
        <v>672</v>
      </c>
      <c r="J6" s="7" t="s">
        <v>568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569</v>
      </c>
      <c r="R6" s="7" t="s">
        <v>570</v>
      </c>
      <c r="S6" s="7">
        <v>2</v>
      </c>
      <c r="T6" s="7" t="s">
        <v>571</v>
      </c>
      <c r="U6" s="7">
        <v>14</v>
      </c>
      <c r="V6" s="7" t="s">
        <v>20</v>
      </c>
      <c r="W6" s="7" t="s">
        <v>20</v>
      </c>
      <c r="X6" s="7" t="s">
        <v>572</v>
      </c>
      <c r="Y6" s="7">
        <v>3</v>
      </c>
      <c r="Z6" s="26" t="s">
        <v>31</v>
      </c>
      <c r="AA6" s="7">
        <v>7</v>
      </c>
      <c r="AB6" s="26" t="s">
        <v>573</v>
      </c>
      <c r="AC6" s="7">
        <v>22</v>
      </c>
      <c r="AD6" s="7">
        <v>12</v>
      </c>
      <c r="AE6" s="7" t="s">
        <v>574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customHeight="1" x14ac:dyDescent="0.25">
      <c r="A7" s="3">
        <v>160</v>
      </c>
      <c r="B7" s="22" t="s">
        <v>334</v>
      </c>
      <c r="C7" s="6">
        <v>44738</v>
      </c>
      <c r="D7" s="23">
        <v>1</v>
      </c>
      <c r="E7" s="7" t="s">
        <v>566</v>
      </c>
      <c r="F7" s="7">
        <v>15</v>
      </c>
      <c r="G7" s="7">
        <v>12</v>
      </c>
      <c r="H7" s="24" t="s">
        <v>567</v>
      </c>
      <c r="I7" s="25">
        <v>174</v>
      </c>
      <c r="J7" s="7" t="s">
        <v>575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557</v>
      </c>
      <c r="S7" s="7">
        <v>4</v>
      </c>
      <c r="T7" s="7" t="s">
        <v>576</v>
      </c>
      <c r="U7" s="7">
        <v>10</v>
      </c>
      <c r="V7" s="7" t="s">
        <v>20</v>
      </c>
      <c r="W7" s="7" t="s">
        <v>20</v>
      </c>
      <c r="X7" s="7" t="s">
        <v>572</v>
      </c>
      <c r="Y7" s="7">
        <v>3</v>
      </c>
      <c r="Z7" s="26" t="s">
        <v>577</v>
      </c>
      <c r="AA7" s="7">
        <v>10</v>
      </c>
      <c r="AB7" s="26" t="s">
        <v>573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customHeight="1" x14ac:dyDescent="0.25">
      <c r="A8" s="3">
        <v>161</v>
      </c>
      <c r="B8" s="22" t="s">
        <v>336</v>
      </c>
      <c r="C8" s="6">
        <v>46388</v>
      </c>
      <c r="D8" s="23">
        <v>1</v>
      </c>
      <c r="E8" s="7" t="s">
        <v>566</v>
      </c>
      <c r="F8" s="7">
        <v>15</v>
      </c>
      <c r="G8" s="7">
        <v>12</v>
      </c>
      <c r="H8" s="24">
        <v>24</v>
      </c>
      <c r="I8" s="25">
        <v>504</v>
      </c>
      <c r="J8" s="7" t="s">
        <v>578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557</v>
      </c>
      <c r="S8" s="7">
        <v>4</v>
      </c>
      <c r="T8" s="7" t="s">
        <v>579</v>
      </c>
      <c r="U8" s="7">
        <v>21</v>
      </c>
      <c r="V8" s="7" t="s">
        <v>20</v>
      </c>
      <c r="W8" s="7" t="s">
        <v>20</v>
      </c>
      <c r="X8" s="7" t="s">
        <v>572</v>
      </c>
      <c r="Y8" s="7">
        <v>3</v>
      </c>
      <c r="Z8" s="26" t="s">
        <v>31</v>
      </c>
      <c r="AA8" s="7">
        <v>7</v>
      </c>
      <c r="AB8" s="26" t="s">
        <v>580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customHeight="1" x14ac:dyDescent="0.25">
      <c r="A9" s="3">
        <v>162</v>
      </c>
      <c r="B9" s="22" t="s">
        <v>338</v>
      </c>
      <c r="C9" s="6">
        <v>38537</v>
      </c>
      <c r="D9" s="23">
        <v>1</v>
      </c>
      <c r="E9" s="7" t="s">
        <v>566</v>
      </c>
      <c r="F9" s="7">
        <v>15</v>
      </c>
      <c r="G9" s="7">
        <v>12</v>
      </c>
      <c r="H9" s="24">
        <v>20</v>
      </c>
      <c r="I9" s="25" t="s">
        <v>581</v>
      </c>
      <c r="J9" s="7" t="s">
        <v>582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557</v>
      </c>
      <c r="S9" s="7">
        <v>4</v>
      </c>
      <c r="T9" s="7" t="s">
        <v>558</v>
      </c>
      <c r="U9" s="7">
        <v>11</v>
      </c>
      <c r="V9" s="7" t="s">
        <v>20</v>
      </c>
      <c r="W9" s="7" t="s">
        <v>20</v>
      </c>
      <c r="X9" s="7" t="s">
        <v>572</v>
      </c>
      <c r="Y9" s="7">
        <v>3</v>
      </c>
      <c r="Z9" s="26" t="s">
        <v>583</v>
      </c>
      <c r="AA9" s="7">
        <v>13</v>
      </c>
      <c r="AB9" s="26" t="s">
        <v>584</v>
      </c>
      <c r="AC9" s="13">
        <v>128</v>
      </c>
      <c r="AD9" s="7">
        <v>12</v>
      </c>
      <c r="AE9" s="7" t="s">
        <v>585</v>
      </c>
      <c r="AF9" s="7"/>
      <c r="AG9" s="28" t="str">
        <f t="shared" si="0"/>
        <v>(162*'20'*144.74*'8,74 / 10,31'*'0,0457'*72*72*0*0*4*4*4*11*NULL*3*13*128*12)*</v>
      </c>
    </row>
    <row r="10" spans="1:34" ht="20.100000000000001" customHeight="1" x14ac:dyDescent="0.25">
      <c r="A10" s="3">
        <v>163</v>
      </c>
      <c r="B10" s="22" t="s">
        <v>341</v>
      </c>
      <c r="C10" s="6">
        <v>21916</v>
      </c>
      <c r="D10" s="23">
        <v>1</v>
      </c>
      <c r="E10" s="7" t="s">
        <v>586</v>
      </c>
      <c r="F10" s="7">
        <v>14</v>
      </c>
      <c r="G10" s="7">
        <v>12</v>
      </c>
      <c r="H10" s="24">
        <v>24</v>
      </c>
      <c r="I10" s="25">
        <v>265</v>
      </c>
      <c r="J10" s="7" t="s">
        <v>587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588</v>
      </c>
      <c r="Q10" s="7" t="s">
        <v>589</v>
      </c>
      <c r="R10" s="7" t="s">
        <v>551</v>
      </c>
      <c r="S10" s="7">
        <v>3</v>
      </c>
      <c r="T10" s="7" t="s">
        <v>590</v>
      </c>
      <c r="U10" s="7">
        <v>14</v>
      </c>
      <c r="V10" s="7" t="s">
        <v>591</v>
      </c>
      <c r="W10" s="7">
        <v>17</v>
      </c>
      <c r="X10" s="7" t="s">
        <v>341</v>
      </c>
      <c r="Y10" s="7">
        <v>4</v>
      </c>
      <c r="Z10" s="26" t="s">
        <v>592</v>
      </c>
      <c r="AA10" s="7">
        <v>29</v>
      </c>
      <c r="AB10" s="26" t="s">
        <v>593</v>
      </c>
      <c r="AC10" s="7">
        <v>1</v>
      </c>
      <c r="AD10" s="7">
        <v>12</v>
      </c>
      <c r="AE10" s="7" t="s">
        <v>594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customHeight="1" x14ac:dyDescent="0.25">
      <c r="A11" s="3">
        <v>164</v>
      </c>
      <c r="B11" s="22" t="s">
        <v>343</v>
      </c>
      <c r="C11" s="6">
        <v>29952</v>
      </c>
      <c r="D11" s="23">
        <v>1</v>
      </c>
      <c r="E11" s="7" t="s">
        <v>586</v>
      </c>
      <c r="F11" s="7">
        <v>14</v>
      </c>
      <c r="G11" s="7">
        <v>12</v>
      </c>
      <c r="H11" s="24">
        <v>30</v>
      </c>
      <c r="I11" s="25">
        <v>630</v>
      </c>
      <c r="J11" s="7" t="s">
        <v>595</v>
      </c>
      <c r="K11" s="7">
        <v>0.06</v>
      </c>
      <c r="L11" s="7">
        <v>67</v>
      </c>
      <c r="M11" s="7">
        <v>49</v>
      </c>
      <c r="N11" s="7" t="s">
        <v>596</v>
      </c>
      <c r="O11" s="7">
        <v>0</v>
      </c>
      <c r="P11" s="7">
        <v>18</v>
      </c>
      <c r="Q11" s="7" t="s">
        <v>597</v>
      </c>
      <c r="R11" s="7" t="s">
        <v>551</v>
      </c>
      <c r="S11" s="7">
        <v>3</v>
      </c>
      <c r="T11" s="7" t="s">
        <v>598</v>
      </c>
      <c r="U11" s="7">
        <v>14</v>
      </c>
      <c r="V11" s="7" t="s">
        <v>591</v>
      </c>
      <c r="W11" s="7">
        <v>17</v>
      </c>
      <c r="X11" s="7" t="s">
        <v>343</v>
      </c>
      <c r="Y11" s="7">
        <v>5</v>
      </c>
      <c r="Z11" s="26" t="s">
        <v>592</v>
      </c>
      <c r="AA11" s="7">
        <v>29</v>
      </c>
      <c r="AB11" s="26" t="s">
        <v>31</v>
      </c>
      <c r="AC11" s="7">
        <v>7</v>
      </c>
      <c r="AD11" s="7">
        <v>12</v>
      </c>
      <c r="AE11" s="7" t="s">
        <v>599</v>
      </c>
      <c r="AF11" s="7"/>
      <c r="AG11" s="28" t="str">
        <f t="shared" si="0"/>
        <v>(164*'30'*630*'7,14 / 7,92'*'0,06'*67*49*1.4*0*18*8.9*3*14*17*5*29*7*12)*</v>
      </c>
    </row>
    <row r="12" spans="1:34" ht="20.100000000000001" customHeight="1" x14ac:dyDescent="0.25">
      <c r="A12" s="3">
        <v>165</v>
      </c>
      <c r="B12" s="31" t="s">
        <v>346</v>
      </c>
      <c r="C12" s="6">
        <v>38353</v>
      </c>
      <c r="D12" s="23">
        <v>1</v>
      </c>
      <c r="E12" s="7" t="s">
        <v>586</v>
      </c>
      <c r="F12" s="7">
        <v>14</v>
      </c>
      <c r="G12" s="7">
        <v>12</v>
      </c>
      <c r="H12" s="24">
        <v>30</v>
      </c>
      <c r="I12" s="25" t="s">
        <v>600</v>
      </c>
      <c r="J12" s="7" t="s">
        <v>601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557</v>
      </c>
      <c r="S12" s="7">
        <v>4</v>
      </c>
      <c r="T12" s="7" t="s">
        <v>602</v>
      </c>
      <c r="U12" s="7">
        <v>11</v>
      </c>
      <c r="V12" s="7" t="s">
        <v>20</v>
      </c>
      <c r="W12" s="7" t="s">
        <v>20</v>
      </c>
      <c r="X12" s="7" t="s">
        <v>343</v>
      </c>
      <c r="Y12" s="7">
        <v>5</v>
      </c>
      <c r="Z12" s="26" t="s">
        <v>603</v>
      </c>
      <c r="AA12" s="13" t="s">
        <v>603</v>
      </c>
      <c r="AB12" s="26" t="s">
        <v>604</v>
      </c>
      <c r="AC12" s="13" t="s">
        <v>604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customHeight="1" x14ac:dyDescent="0.25">
      <c r="A13" s="3">
        <v>166</v>
      </c>
      <c r="B13" s="22" t="s">
        <v>348</v>
      </c>
      <c r="C13" s="6">
        <v>26399</v>
      </c>
      <c r="D13" s="23">
        <v>1</v>
      </c>
      <c r="E13" s="7" t="s">
        <v>605</v>
      </c>
      <c r="F13" s="7">
        <v>12</v>
      </c>
      <c r="G13" s="7">
        <v>12</v>
      </c>
      <c r="H13" s="24">
        <v>26</v>
      </c>
      <c r="I13" s="25">
        <v>108.372</v>
      </c>
      <c r="J13" s="7" t="s">
        <v>606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551</v>
      </c>
      <c r="S13" s="7">
        <v>3</v>
      </c>
      <c r="T13" s="7" t="s">
        <v>598</v>
      </c>
      <c r="U13" s="7">
        <v>14</v>
      </c>
      <c r="V13" s="7" t="s">
        <v>20</v>
      </c>
      <c r="W13" s="7" t="s">
        <v>20</v>
      </c>
      <c r="X13" s="7" t="s">
        <v>607</v>
      </c>
      <c r="Y13" s="7">
        <v>6</v>
      </c>
      <c r="Z13" s="26" t="s">
        <v>608</v>
      </c>
      <c r="AA13" s="7">
        <v>15</v>
      </c>
      <c r="AB13" s="26" t="s">
        <v>31</v>
      </c>
      <c r="AC13" s="7">
        <v>7</v>
      </c>
      <c r="AD13" s="7">
        <v>12</v>
      </c>
      <c r="AE13" s="7" t="s">
        <v>609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customHeight="1" x14ac:dyDescent="0.25">
      <c r="A14" s="3">
        <v>167</v>
      </c>
      <c r="B14" s="22" t="s">
        <v>351</v>
      </c>
      <c r="C14" s="6">
        <v>36161</v>
      </c>
      <c r="D14" s="23">
        <v>1</v>
      </c>
      <c r="E14" s="7" t="s">
        <v>605</v>
      </c>
      <c r="F14" s="7">
        <v>12</v>
      </c>
      <c r="G14" s="7">
        <v>12</v>
      </c>
      <c r="H14" s="24">
        <v>30</v>
      </c>
      <c r="I14" s="25">
        <v>292</v>
      </c>
      <c r="J14" s="7" t="s">
        <v>610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551</v>
      </c>
      <c r="S14" s="7">
        <v>3</v>
      </c>
      <c r="T14" s="7" t="s">
        <v>611</v>
      </c>
      <c r="U14" s="7">
        <v>11</v>
      </c>
      <c r="V14" s="7" t="s">
        <v>20</v>
      </c>
      <c r="W14" s="7" t="s">
        <v>20</v>
      </c>
      <c r="X14" s="7" t="s">
        <v>612</v>
      </c>
      <c r="Y14" s="7">
        <v>7</v>
      </c>
      <c r="Z14" s="26" t="s">
        <v>613</v>
      </c>
      <c r="AA14" s="7">
        <v>27</v>
      </c>
      <c r="AB14" s="26" t="s">
        <v>31</v>
      </c>
      <c r="AC14" s="7">
        <v>7</v>
      </c>
      <c r="AD14" s="7">
        <v>12</v>
      </c>
      <c r="AE14" s="30" t="s">
        <v>614</v>
      </c>
      <c r="AF14" s="30"/>
      <c r="AG14" s="28" t="str">
        <f t="shared" si="2"/>
        <v>(167*'30'*292*'10,31 - 12,7'*'0,0457'*70*70*0*0*30*30*3*11*NULL*7*27*7*12)*</v>
      </c>
    </row>
    <row r="15" spans="1:34" ht="20.100000000000001" customHeight="1" x14ac:dyDescent="0.25">
      <c r="A15" s="3">
        <v>168</v>
      </c>
      <c r="B15" s="22" t="s">
        <v>353</v>
      </c>
      <c r="C15" s="6">
        <v>38718</v>
      </c>
      <c r="D15" s="23">
        <v>1</v>
      </c>
      <c r="E15" s="7" t="s">
        <v>605</v>
      </c>
      <c r="F15" s="7">
        <v>12</v>
      </c>
      <c r="G15" s="7">
        <v>12</v>
      </c>
      <c r="H15" s="24">
        <v>30</v>
      </c>
      <c r="I15" s="25">
        <v>292</v>
      </c>
      <c r="J15" s="7" t="s">
        <v>610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557</v>
      </c>
      <c r="S15" s="7">
        <v>4</v>
      </c>
      <c r="T15" s="7" t="s">
        <v>611</v>
      </c>
      <c r="U15" s="7">
        <v>11</v>
      </c>
      <c r="V15" s="7" t="s">
        <v>20</v>
      </c>
      <c r="W15" s="7" t="s">
        <v>20</v>
      </c>
      <c r="X15" s="7" t="s">
        <v>612</v>
      </c>
      <c r="Y15" s="7">
        <v>7</v>
      </c>
      <c r="Z15" s="26" t="s">
        <v>613</v>
      </c>
      <c r="AA15" s="7">
        <v>27</v>
      </c>
      <c r="AB15" s="26" t="s">
        <v>31</v>
      </c>
      <c r="AC15" s="7">
        <v>7</v>
      </c>
      <c r="AD15" s="7">
        <v>12</v>
      </c>
      <c r="AE15" s="30" t="s">
        <v>614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356</v>
      </c>
      <c r="C16" s="6">
        <v>28207</v>
      </c>
      <c r="D16" s="23">
        <v>1</v>
      </c>
      <c r="E16" s="7" t="s">
        <v>605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615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551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607</v>
      </c>
      <c r="Y16" s="7">
        <v>6</v>
      </c>
      <c r="Z16" s="26" t="s">
        <v>616</v>
      </c>
      <c r="AA16" s="7">
        <v>25</v>
      </c>
      <c r="AB16" s="26" t="s">
        <v>617</v>
      </c>
      <c r="AC16" s="7">
        <v>15</v>
      </c>
      <c r="AD16" s="7">
        <v>12</v>
      </c>
      <c r="AE16" s="7" t="s">
        <v>618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359</v>
      </c>
      <c r="C17" s="6">
        <v>45778</v>
      </c>
      <c r="D17" s="23">
        <v>1</v>
      </c>
      <c r="E17" s="7" t="s">
        <v>605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557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607</v>
      </c>
      <c r="Y17" s="7">
        <v>6</v>
      </c>
      <c r="Z17" s="26" t="s">
        <v>616</v>
      </c>
      <c r="AA17" s="7">
        <v>25</v>
      </c>
      <c r="AB17" s="26" t="s">
        <v>617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customHeight="1" x14ac:dyDescent="0.25">
      <c r="A18" s="3">
        <v>171</v>
      </c>
      <c r="B18" s="22" t="s">
        <v>361</v>
      </c>
      <c r="C18" s="6">
        <v>35431</v>
      </c>
      <c r="D18" s="23">
        <v>1</v>
      </c>
      <c r="E18" s="7" t="s">
        <v>619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557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607</v>
      </c>
      <c r="Y18" s="7">
        <v>6</v>
      </c>
      <c r="Z18" s="26" t="s">
        <v>83</v>
      </c>
      <c r="AA18" s="7">
        <v>32</v>
      </c>
      <c r="AB18" s="26" t="s">
        <v>49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customHeight="1" x14ac:dyDescent="0.25">
      <c r="A19" s="3">
        <v>172</v>
      </c>
      <c r="B19" s="22" t="s">
        <v>363</v>
      </c>
      <c r="C19" s="6">
        <v>36505</v>
      </c>
      <c r="D19" s="23">
        <v>1</v>
      </c>
      <c r="E19" s="7" t="s">
        <v>605</v>
      </c>
      <c r="F19" s="7">
        <v>12</v>
      </c>
      <c r="G19" s="7">
        <v>12</v>
      </c>
      <c r="H19" s="24">
        <v>20</v>
      </c>
      <c r="I19" s="25">
        <v>33</v>
      </c>
      <c r="J19" s="7" t="s">
        <v>620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551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607</v>
      </c>
      <c r="Y19" s="7">
        <v>6</v>
      </c>
      <c r="Z19" s="26" t="s">
        <v>621</v>
      </c>
      <c r="AA19" s="7">
        <v>33</v>
      </c>
      <c r="AB19" s="26" t="s">
        <v>617</v>
      </c>
      <c r="AC19" s="7">
        <v>15</v>
      </c>
      <c r="AD19" s="7">
        <v>12</v>
      </c>
      <c r="AE19" s="7" t="s">
        <v>622</v>
      </c>
      <c r="AF19" s="7"/>
      <c r="AG19" s="28" t="str">
        <f t="shared" si="2"/>
        <v>(172*'20'*33*'7,14 - 8,74'*'0,046'*55*55*0*0*5*5*3*NULL*NULL*6*33*15*12)*</v>
      </c>
    </row>
    <row r="20" spans="1:33" ht="20.100000000000001" customHeight="1" x14ac:dyDescent="0.25">
      <c r="A20" s="3">
        <v>173</v>
      </c>
      <c r="B20" s="22" t="s">
        <v>365</v>
      </c>
      <c r="C20" s="6">
        <v>28795</v>
      </c>
      <c r="D20" s="23">
        <v>1</v>
      </c>
      <c r="E20" s="7" t="s">
        <v>548</v>
      </c>
      <c r="F20" s="7">
        <v>11</v>
      </c>
      <c r="G20" s="7">
        <v>12</v>
      </c>
      <c r="H20" s="24">
        <v>28</v>
      </c>
      <c r="I20" s="25">
        <v>507</v>
      </c>
      <c r="J20" s="7" t="s">
        <v>623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551</v>
      </c>
      <c r="S20" s="7">
        <v>3</v>
      </c>
      <c r="T20" s="7" t="s">
        <v>598</v>
      </c>
      <c r="U20" s="7">
        <v>14</v>
      </c>
      <c r="V20" s="7" t="s">
        <v>20</v>
      </c>
      <c r="W20" s="7" t="s">
        <v>20</v>
      </c>
      <c r="X20" s="7" t="s">
        <v>365</v>
      </c>
      <c r="Y20" s="7">
        <v>8</v>
      </c>
      <c r="Z20" s="26" t="s">
        <v>33</v>
      </c>
      <c r="AA20" s="7">
        <v>8</v>
      </c>
      <c r="AB20" s="26" t="s">
        <v>554</v>
      </c>
      <c r="AC20" s="7">
        <v>21</v>
      </c>
      <c r="AD20" s="7">
        <v>12</v>
      </c>
      <c r="AE20" s="30" t="s">
        <v>624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customHeight="1" x14ac:dyDescent="0.25">
      <c r="A21" s="3">
        <v>174</v>
      </c>
      <c r="B21" s="22" t="s">
        <v>368</v>
      </c>
      <c r="C21" s="6">
        <v>40029</v>
      </c>
      <c r="D21" s="23">
        <v>1</v>
      </c>
      <c r="E21" s="7" t="s">
        <v>560</v>
      </c>
      <c r="F21" s="7">
        <v>13</v>
      </c>
      <c r="G21" s="7">
        <v>12</v>
      </c>
      <c r="H21" s="24">
        <v>30</v>
      </c>
      <c r="I21" s="25">
        <v>646</v>
      </c>
      <c r="J21" s="7" t="s">
        <v>625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557</v>
      </c>
      <c r="S21" s="7">
        <v>4</v>
      </c>
      <c r="T21" s="7" t="s">
        <v>558</v>
      </c>
      <c r="U21" s="7">
        <v>11</v>
      </c>
      <c r="V21" s="7" t="s">
        <v>20</v>
      </c>
      <c r="W21" s="7" t="s">
        <v>20</v>
      </c>
      <c r="X21" s="7" t="s">
        <v>368</v>
      </c>
      <c r="Y21" s="7">
        <v>9</v>
      </c>
      <c r="Z21" s="26" t="s">
        <v>33</v>
      </c>
      <c r="AA21" s="7">
        <v>8</v>
      </c>
      <c r="AB21" s="26" t="s">
        <v>564</v>
      </c>
      <c r="AC21" s="7">
        <v>34</v>
      </c>
      <c r="AD21" s="7">
        <v>12</v>
      </c>
      <c r="AE21" s="7" t="s">
        <v>626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customHeight="1" x14ac:dyDescent="0.25">
      <c r="A22" s="3">
        <v>175</v>
      </c>
      <c r="B22" s="22" t="s">
        <v>371</v>
      </c>
      <c r="C22" s="6">
        <v>21916</v>
      </c>
      <c r="D22" s="23">
        <v>1</v>
      </c>
      <c r="E22" s="7" t="s">
        <v>586</v>
      </c>
      <c r="F22" s="7">
        <v>14</v>
      </c>
      <c r="G22" s="7">
        <v>12</v>
      </c>
      <c r="H22" s="24" t="s">
        <v>627</v>
      </c>
      <c r="I22" s="25">
        <v>565</v>
      </c>
      <c r="J22" s="7" t="s">
        <v>606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551</v>
      </c>
      <c r="S22" s="7">
        <v>3</v>
      </c>
      <c r="T22" s="7" t="s">
        <v>598</v>
      </c>
      <c r="U22" s="7">
        <v>14</v>
      </c>
      <c r="V22" s="7" t="s">
        <v>591</v>
      </c>
      <c r="W22" s="7">
        <v>17</v>
      </c>
      <c r="X22" s="7" t="s">
        <v>371</v>
      </c>
      <c r="Y22" s="7">
        <v>10</v>
      </c>
      <c r="Z22" s="26" t="s">
        <v>628</v>
      </c>
      <c r="AA22" s="7">
        <v>29</v>
      </c>
      <c r="AB22" s="26" t="s">
        <v>31</v>
      </c>
      <c r="AC22" s="7">
        <v>7</v>
      </c>
      <c r="AD22" s="7">
        <v>12</v>
      </c>
      <c r="AE22" s="7" t="s">
        <v>629</v>
      </c>
      <c r="AF22" s="7"/>
      <c r="AG22" s="28" t="str">
        <f t="shared" si="2"/>
        <v>(175*'24/30'*565*'7,14 / 8,74'*'0,0457'*49*11*0*0*7,9*7,9*3*14*17*10*29*7*12)*</v>
      </c>
    </row>
    <row r="23" spans="1:33" ht="20.100000000000001" customHeight="1" x14ac:dyDescent="0.25">
      <c r="A23" s="3">
        <v>176</v>
      </c>
      <c r="B23" s="22" t="s">
        <v>630</v>
      </c>
      <c r="C23" s="6"/>
      <c r="D23" s="23">
        <v>1</v>
      </c>
      <c r="E23" s="7" t="s">
        <v>548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551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631</v>
      </c>
      <c r="Y23" s="7">
        <v>11</v>
      </c>
      <c r="Z23" s="26" t="s">
        <v>33</v>
      </c>
      <c r="AA23" s="7">
        <v>8</v>
      </c>
      <c r="AB23" s="26" t="s">
        <v>554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customHeight="1" x14ac:dyDescent="0.25">
      <c r="A24" s="3">
        <v>177</v>
      </c>
      <c r="B24" s="22" t="s">
        <v>376</v>
      </c>
      <c r="C24" s="6">
        <v>30720</v>
      </c>
      <c r="D24" s="23">
        <v>1</v>
      </c>
      <c r="E24" s="7" t="s">
        <v>548</v>
      </c>
      <c r="F24" s="7">
        <v>11</v>
      </c>
      <c r="G24" s="7">
        <v>12</v>
      </c>
      <c r="H24" s="24">
        <v>24</v>
      </c>
      <c r="I24" s="25">
        <v>503.46</v>
      </c>
      <c r="J24" s="7" t="s">
        <v>632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562</v>
      </c>
      <c r="S24" s="7">
        <v>3</v>
      </c>
      <c r="T24" s="7" t="s">
        <v>598</v>
      </c>
      <c r="U24" s="7">
        <v>14</v>
      </c>
      <c r="V24" s="7" t="s">
        <v>20</v>
      </c>
      <c r="W24" s="7" t="s">
        <v>20</v>
      </c>
      <c r="X24" s="7" t="s">
        <v>631</v>
      </c>
      <c r="Y24" s="7">
        <v>11</v>
      </c>
      <c r="Z24" s="26" t="s">
        <v>33</v>
      </c>
      <c r="AA24" s="7">
        <v>8</v>
      </c>
      <c r="AB24" s="26" t="s">
        <v>554</v>
      </c>
      <c r="AC24" s="7">
        <v>21</v>
      </c>
      <c r="AD24" s="7">
        <v>12</v>
      </c>
      <c r="AE24" s="7" t="s">
        <v>633</v>
      </c>
      <c r="AF24" s="7"/>
      <c r="AG24" s="28" t="str">
        <f t="shared" si="2"/>
        <v>(177*'24'*503,46*'9,52 / 11,91 '*'0,05'*84*84*0*0*9*9*3*14*NULL*11*8*21*12)*</v>
      </c>
    </row>
    <row r="25" spans="1:33" ht="20.100000000000001" customHeight="1" x14ac:dyDescent="0.25">
      <c r="A25" s="3">
        <v>178</v>
      </c>
      <c r="B25" s="22" t="s">
        <v>379</v>
      </c>
      <c r="C25" s="6">
        <v>39814</v>
      </c>
      <c r="D25" s="23">
        <v>1</v>
      </c>
      <c r="E25" s="7" t="s">
        <v>548</v>
      </c>
      <c r="F25" s="7">
        <v>11</v>
      </c>
      <c r="G25" s="7">
        <v>12</v>
      </c>
      <c r="H25" s="24">
        <v>24</v>
      </c>
      <c r="I25" s="25">
        <v>495</v>
      </c>
      <c r="J25" s="30" t="s">
        <v>634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635</v>
      </c>
      <c r="S25" s="7">
        <v>4</v>
      </c>
      <c r="T25" s="7" t="s">
        <v>558</v>
      </c>
      <c r="U25" s="7">
        <v>11</v>
      </c>
      <c r="V25" s="7" t="s">
        <v>20</v>
      </c>
      <c r="W25" s="7" t="s">
        <v>20</v>
      </c>
      <c r="X25" s="7" t="s">
        <v>631</v>
      </c>
      <c r="Y25" s="7">
        <v>11</v>
      </c>
      <c r="Z25" s="26" t="s">
        <v>33</v>
      </c>
      <c r="AA25" s="7">
        <v>8</v>
      </c>
      <c r="AB25" s="26" t="s">
        <v>554</v>
      </c>
      <c r="AC25" s="7">
        <v>21</v>
      </c>
      <c r="AD25" s="7">
        <v>12</v>
      </c>
      <c r="AE25" s="7" t="s">
        <v>636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customHeight="1" x14ac:dyDescent="0.25">
      <c r="A26" s="3">
        <v>179</v>
      </c>
      <c r="B26" s="22" t="s">
        <v>382</v>
      </c>
      <c r="C26" s="6">
        <v>35065</v>
      </c>
      <c r="D26" s="23">
        <v>1</v>
      </c>
      <c r="E26" s="7" t="s">
        <v>605</v>
      </c>
      <c r="F26" s="7">
        <v>12</v>
      </c>
      <c r="G26" s="7">
        <v>12</v>
      </c>
      <c r="H26" s="24" t="s">
        <v>637</v>
      </c>
      <c r="I26" s="25">
        <v>989</v>
      </c>
      <c r="J26" s="7" t="s">
        <v>632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557</v>
      </c>
      <c r="S26" s="7">
        <v>4</v>
      </c>
      <c r="T26" s="7" t="s">
        <v>558</v>
      </c>
      <c r="U26" s="7">
        <v>11</v>
      </c>
      <c r="V26" s="7" t="s">
        <v>20</v>
      </c>
      <c r="W26" s="7" t="s">
        <v>20</v>
      </c>
      <c r="X26" s="7" t="s">
        <v>638</v>
      </c>
      <c r="Y26" s="7">
        <v>12</v>
      </c>
      <c r="Z26" s="26" t="s">
        <v>639</v>
      </c>
      <c r="AA26" s="7">
        <v>20</v>
      </c>
      <c r="AB26" s="26" t="s">
        <v>33</v>
      </c>
      <c r="AC26" s="7">
        <v>8</v>
      </c>
      <c r="AD26" s="7">
        <v>12</v>
      </c>
      <c r="AE26" s="7" t="s">
        <v>640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customHeight="1" x14ac:dyDescent="0.25">
      <c r="A27" s="3">
        <v>179</v>
      </c>
      <c r="B27" s="33" t="s">
        <v>641</v>
      </c>
      <c r="C27" s="6"/>
      <c r="D27" s="23">
        <v>1</v>
      </c>
      <c r="E27" s="7" t="s">
        <v>548</v>
      </c>
      <c r="F27" s="7">
        <v>11</v>
      </c>
      <c r="G27" s="7">
        <v>12</v>
      </c>
      <c r="H27" s="32">
        <v>12</v>
      </c>
      <c r="I27" s="25"/>
      <c r="J27" s="7" t="s">
        <v>642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557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638</v>
      </c>
      <c r="Y27" s="7">
        <v>12</v>
      </c>
      <c r="Z27" s="26" t="s">
        <v>33</v>
      </c>
      <c r="AA27" s="7">
        <v>8</v>
      </c>
      <c r="AB27" s="26" t="s">
        <v>554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customHeight="1" x14ac:dyDescent="0.25">
      <c r="A28" s="3">
        <v>180</v>
      </c>
      <c r="B28" s="22" t="s">
        <v>385</v>
      </c>
      <c r="C28" s="6">
        <v>38264</v>
      </c>
      <c r="D28" s="23">
        <v>1</v>
      </c>
      <c r="E28" s="7" t="s">
        <v>605</v>
      </c>
      <c r="F28" s="7">
        <v>12</v>
      </c>
      <c r="G28" s="7">
        <v>12</v>
      </c>
      <c r="H28" s="24">
        <v>16</v>
      </c>
      <c r="I28" s="25">
        <v>404</v>
      </c>
      <c r="J28" s="7" t="s">
        <v>643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557</v>
      </c>
      <c r="S28" s="7">
        <v>4</v>
      </c>
      <c r="T28" s="7" t="s">
        <v>558</v>
      </c>
      <c r="U28" s="7">
        <v>11</v>
      </c>
      <c r="V28" s="7" t="s">
        <v>20</v>
      </c>
      <c r="W28" s="7" t="s">
        <v>20</v>
      </c>
      <c r="X28" s="7" t="s">
        <v>638</v>
      </c>
      <c r="Y28" s="7">
        <v>12</v>
      </c>
      <c r="Z28" s="26" t="s">
        <v>644</v>
      </c>
      <c r="AA28" s="7">
        <v>16</v>
      </c>
      <c r="AB28" s="26" t="s">
        <v>645</v>
      </c>
      <c r="AC28" s="7">
        <v>26</v>
      </c>
      <c r="AD28" s="7">
        <v>12</v>
      </c>
      <c r="AE28" s="7" t="s">
        <v>646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customHeight="1" x14ac:dyDescent="0.25">
      <c r="A29" s="3">
        <v>181</v>
      </c>
      <c r="B29" s="22" t="s">
        <v>388</v>
      </c>
      <c r="C29" s="6">
        <v>41640</v>
      </c>
      <c r="D29" s="23">
        <v>1</v>
      </c>
      <c r="E29" s="7" t="s">
        <v>605</v>
      </c>
      <c r="F29" s="7">
        <v>12</v>
      </c>
      <c r="G29" s="7">
        <v>12</v>
      </c>
      <c r="H29" s="24">
        <v>24</v>
      </c>
      <c r="I29" s="25">
        <v>336</v>
      </c>
      <c r="J29" s="7" t="s">
        <v>647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557</v>
      </c>
      <c r="S29" s="7">
        <v>4</v>
      </c>
      <c r="T29" s="7" t="s">
        <v>579</v>
      </c>
      <c r="U29" s="7">
        <v>21</v>
      </c>
      <c r="V29" s="7" t="s">
        <v>20</v>
      </c>
      <c r="W29" s="7" t="s">
        <v>20</v>
      </c>
      <c r="X29" s="7" t="s">
        <v>638</v>
      </c>
      <c r="Y29" s="7">
        <v>12</v>
      </c>
      <c r="Z29" s="26" t="s">
        <v>648</v>
      </c>
      <c r="AA29" s="7">
        <v>14</v>
      </c>
      <c r="AB29" s="26" t="s">
        <v>33</v>
      </c>
      <c r="AC29" s="7">
        <v>8</v>
      </c>
      <c r="AD29" s="7">
        <v>12</v>
      </c>
      <c r="AE29" s="7" t="s">
        <v>649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customHeight="1" x14ac:dyDescent="0.25">
      <c r="A30" s="3">
        <v>182</v>
      </c>
      <c r="B30" s="22" t="s">
        <v>391</v>
      </c>
      <c r="C30" s="6">
        <v>22282</v>
      </c>
      <c r="D30" s="23">
        <v>1</v>
      </c>
      <c r="E30" s="7" t="s">
        <v>548</v>
      </c>
      <c r="F30" s="7">
        <v>11</v>
      </c>
      <c r="G30" s="7">
        <v>16</v>
      </c>
      <c r="H30" s="24" t="s">
        <v>650</v>
      </c>
      <c r="I30" s="25">
        <v>509</v>
      </c>
      <c r="J30" s="7" t="s">
        <v>651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562</v>
      </c>
      <c r="S30" s="7">
        <v>3</v>
      </c>
      <c r="T30" s="7" t="s">
        <v>652</v>
      </c>
      <c r="U30" s="7">
        <v>14</v>
      </c>
      <c r="V30" s="7" t="s">
        <v>653</v>
      </c>
      <c r="W30" s="7">
        <v>17</v>
      </c>
      <c r="X30" s="7" t="s">
        <v>391</v>
      </c>
      <c r="Y30" s="7">
        <v>13</v>
      </c>
      <c r="Z30" s="26" t="s">
        <v>33</v>
      </c>
      <c r="AA30" s="7">
        <v>8</v>
      </c>
      <c r="AB30" s="26" t="s">
        <v>554</v>
      </c>
      <c r="AC30" s="7">
        <v>21</v>
      </c>
      <c r="AD30" s="7">
        <v>16</v>
      </c>
      <c r="AE30" s="7" t="s">
        <v>654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customHeight="1" x14ac:dyDescent="0.25">
      <c r="A31" s="3">
        <v>183</v>
      </c>
      <c r="B31" s="22" t="s">
        <v>393</v>
      </c>
      <c r="C31" s="6">
        <v>44805</v>
      </c>
      <c r="D31" s="23">
        <v>1</v>
      </c>
      <c r="E31" s="7" t="s">
        <v>548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557</v>
      </c>
      <c r="S31" s="7">
        <v>4</v>
      </c>
      <c r="T31" s="7" t="s">
        <v>579</v>
      </c>
      <c r="U31" s="7">
        <v>21</v>
      </c>
      <c r="V31" s="7" t="s">
        <v>653</v>
      </c>
      <c r="W31" s="7">
        <v>17</v>
      </c>
      <c r="X31" s="7" t="s">
        <v>655</v>
      </c>
      <c r="Y31" s="7">
        <v>14</v>
      </c>
      <c r="Z31" s="26" t="s">
        <v>554</v>
      </c>
      <c r="AA31" s="7">
        <v>21</v>
      </c>
      <c r="AB31" s="26" t="s">
        <v>656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customHeight="1" x14ac:dyDescent="0.25">
      <c r="A32" s="3">
        <v>184</v>
      </c>
      <c r="B32" s="22" t="s">
        <v>396</v>
      </c>
      <c r="C32" s="6">
        <v>27760</v>
      </c>
      <c r="D32" s="23">
        <v>1</v>
      </c>
      <c r="E32" s="7" t="s">
        <v>548</v>
      </c>
      <c r="F32" s="7">
        <v>11</v>
      </c>
      <c r="G32" s="7">
        <v>16</v>
      </c>
      <c r="H32" s="24">
        <v>40</v>
      </c>
      <c r="I32" s="25">
        <v>507</v>
      </c>
      <c r="J32" s="7" t="s">
        <v>657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562</v>
      </c>
      <c r="S32" s="7">
        <v>3</v>
      </c>
      <c r="T32" s="7" t="s">
        <v>652</v>
      </c>
      <c r="U32" s="7">
        <v>14</v>
      </c>
      <c r="V32" s="7" t="s">
        <v>653</v>
      </c>
      <c r="W32" s="7">
        <v>17</v>
      </c>
      <c r="X32" s="7" t="s">
        <v>655</v>
      </c>
      <c r="Y32" s="7">
        <v>14</v>
      </c>
      <c r="Z32" s="26" t="s">
        <v>33</v>
      </c>
      <c r="AA32" s="7">
        <v>8</v>
      </c>
      <c r="AB32" s="26" t="s">
        <v>554</v>
      </c>
      <c r="AC32" s="7">
        <v>21</v>
      </c>
      <c r="AD32" s="7">
        <v>16</v>
      </c>
      <c r="AE32" s="7" t="s">
        <v>658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customHeight="1" x14ac:dyDescent="0.25">
      <c r="A33" s="3">
        <v>185</v>
      </c>
      <c r="B33" s="22" t="s">
        <v>399</v>
      </c>
      <c r="C33" s="6">
        <v>29952</v>
      </c>
      <c r="D33" s="23">
        <v>1</v>
      </c>
      <c r="E33" s="7" t="s">
        <v>548</v>
      </c>
      <c r="F33" s="7">
        <v>11</v>
      </c>
      <c r="G33" s="7">
        <v>16</v>
      </c>
      <c r="H33" s="24">
        <v>40</v>
      </c>
      <c r="I33" s="25">
        <v>511</v>
      </c>
      <c r="J33" s="7" t="s">
        <v>657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562</v>
      </c>
      <c r="S33" s="7">
        <v>3</v>
      </c>
      <c r="T33" s="7" t="s">
        <v>652</v>
      </c>
      <c r="U33" s="7">
        <v>14</v>
      </c>
      <c r="V33" s="7" t="s">
        <v>653</v>
      </c>
      <c r="W33" s="7">
        <v>17</v>
      </c>
      <c r="X33" s="7" t="s">
        <v>655</v>
      </c>
      <c r="Y33" s="7">
        <v>14</v>
      </c>
      <c r="Z33" s="26" t="s">
        <v>33</v>
      </c>
      <c r="AA33" s="7">
        <v>8</v>
      </c>
      <c r="AB33" s="26" t="s">
        <v>554</v>
      </c>
      <c r="AC33" s="7">
        <v>21</v>
      </c>
      <c r="AD33" s="7">
        <v>16</v>
      </c>
      <c r="AE33" s="7" t="s">
        <v>659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customHeight="1" x14ac:dyDescent="0.25">
      <c r="A34" s="3">
        <v>186</v>
      </c>
      <c r="B34" s="22" t="s">
        <v>401</v>
      </c>
      <c r="C34" s="6"/>
      <c r="D34" s="23">
        <v>1</v>
      </c>
      <c r="E34" s="7" t="s">
        <v>548</v>
      </c>
      <c r="F34" s="7">
        <v>11</v>
      </c>
      <c r="G34" s="7">
        <v>16</v>
      </c>
      <c r="H34" s="24">
        <v>40</v>
      </c>
      <c r="I34" s="25">
        <v>221</v>
      </c>
      <c r="J34" s="7" t="s">
        <v>642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557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655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customHeight="1" x14ac:dyDescent="0.25">
      <c r="A35" s="3">
        <v>187</v>
      </c>
      <c r="B35" s="22" t="s">
        <v>403</v>
      </c>
      <c r="C35" s="6">
        <v>32509</v>
      </c>
      <c r="D35" s="23">
        <v>1</v>
      </c>
      <c r="E35" s="7" t="s">
        <v>548</v>
      </c>
      <c r="F35" s="7">
        <v>11</v>
      </c>
      <c r="G35" s="7">
        <v>16</v>
      </c>
      <c r="H35" s="24">
        <v>42</v>
      </c>
      <c r="I35" s="25">
        <v>517</v>
      </c>
      <c r="J35" s="7" t="s">
        <v>660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661</v>
      </c>
      <c r="S35" s="7">
        <v>4</v>
      </c>
      <c r="T35" s="7" t="s">
        <v>662</v>
      </c>
      <c r="U35" s="7">
        <v>14</v>
      </c>
      <c r="V35" s="7" t="s">
        <v>653</v>
      </c>
      <c r="W35" s="7">
        <v>17</v>
      </c>
      <c r="X35" s="7" t="s">
        <v>655</v>
      </c>
      <c r="Y35" s="7">
        <v>14</v>
      </c>
      <c r="Z35" s="26" t="s">
        <v>33</v>
      </c>
      <c r="AA35" s="7">
        <v>8</v>
      </c>
      <c r="AB35" s="26" t="s">
        <v>554</v>
      </c>
      <c r="AC35" s="7">
        <v>21</v>
      </c>
      <c r="AD35" s="7">
        <v>16</v>
      </c>
      <c r="AE35" s="7" t="s">
        <v>663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customHeight="1" x14ac:dyDescent="0.25">
      <c r="A36" s="3">
        <v>188</v>
      </c>
      <c r="B36" s="22" t="s">
        <v>406</v>
      </c>
      <c r="C36" s="6"/>
      <c r="D36" s="23">
        <v>1</v>
      </c>
      <c r="E36" s="7" t="s">
        <v>548</v>
      </c>
      <c r="F36" s="7">
        <v>11</v>
      </c>
      <c r="G36" s="7">
        <v>16</v>
      </c>
      <c r="H36" s="24"/>
      <c r="I36" s="25"/>
      <c r="J36" s="24" t="s">
        <v>664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557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655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customHeight="1" x14ac:dyDescent="0.25">
      <c r="A37" s="3">
        <v>189</v>
      </c>
      <c r="B37" s="22" t="s">
        <v>409</v>
      </c>
      <c r="C37" s="6"/>
      <c r="D37" s="23">
        <v>1</v>
      </c>
      <c r="E37" s="7" t="s">
        <v>548</v>
      </c>
      <c r="F37" s="7">
        <v>11</v>
      </c>
      <c r="G37" s="7">
        <v>16</v>
      </c>
      <c r="H37" s="24"/>
      <c r="I37" s="25"/>
      <c r="J37" s="24" t="s">
        <v>664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557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655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customHeight="1" x14ac:dyDescent="0.25">
      <c r="A38" s="3">
        <v>190</v>
      </c>
      <c r="B38" s="22" t="s">
        <v>411</v>
      </c>
      <c r="C38" s="6">
        <v>39841</v>
      </c>
      <c r="D38" s="23">
        <v>1</v>
      </c>
      <c r="E38" s="7" t="s">
        <v>548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664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665</v>
      </c>
      <c r="S38" s="7">
        <v>6</v>
      </c>
      <c r="T38" s="7" t="s">
        <v>558</v>
      </c>
      <c r="U38" s="7">
        <v>11</v>
      </c>
      <c r="V38" s="7" t="s">
        <v>20</v>
      </c>
      <c r="W38" s="7" t="s">
        <v>20</v>
      </c>
      <c r="X38" s="7" t="s">
        <v>666</v>
      </c>
      <c r="Y38" s="7">
        <v>15</v>
      </c>
      <c r="Z38" s="26" t="s">
        <v>33</v>
      </c>
      <c r="AA38" s="7">
        <v>8</v>
      </c>
      <c r="AB38" s="26" t="s">
        <v>554</v>
      </c>
      <c r="AC38" s="7">
        <v>21</v>
      </c>
      <c r="AD38" s="7">
        <v>16</v>
      </c>
      <c r="AE38" s="7" t="s">
        <v>667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customHeight="1" x14ac:dyDescent="0.25">
      <c r="A39" s="3">
        <v>191</v>
      </c>
      <c r="B39" s="22" t="s">
        <v>414</v>
      </c>
      <c r="C39" s="6">
        <v>40284</v>
      </c>
      <c r="D39" s="23">
        <v>1</v>
      </c>
      <c r="E39" s="7" t="s">
        <v>548</v>
      </c>
      <c r="F39" s="7">
        <v>11</v>
      </c>
      <c r="G39" s="7">
        <v>16</v>
      </c>
      <c r="H39" s="24">
        <v>48</v>
      </c>
      <c r="I39" s="25">
        <v>120.37</v>
      </c>
      <c r="J39" s="24" t="s">
        <v>664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665</v>
      </c>
      <c r="S39" s="7">
        <v>6</v>
      </c>
      <c r="T39" s="7" t="s">
        <v>558</v>
      </c>
      <c r="U39" s="7">
        <v>11</v>
      </c>
      <c r="V39" s="7" t="s">
        <v>20</v>
      </c>
      <c r="W39" s="7" t="s">
        <v>20</v>
      </c>
      <c r="X39" s="7" t="s">
        <v>666</v>
      </c>
      <c r="Y39" s="7">
        <v>15</v>
      </c>
      <c r="Z39" s="26" t="s">
        <v>668</v>
      </c>
      <c r="AA39" s="13" t="s">
        <v>668</v>
      </c>
      <c r="AB39" s="26" t="s">
        <v>669</v>
      </c>
      <c r="AC39" s="7">
        <v>3</v>
      </c>
      <c r="AD39" s="7"/>
      <c r="AE39" s="7" t="s">
        <v>670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customHeight="1" x14ac:dyDescent="0.25">
      <c r="A40" s="3">
        <v>192</v>
      </c>
      <c r="B40" s="22" t="s">
        <v>416</v>
      </c>
      <c r="C40" s="6"/>
      <c r="D40" s="23">
        <v>1</v>
      </c>
      <c r="E40" s="7" t="s">
        <v>548</v>
      </c>
      <c r="F40" s="7">
        <v>11</v>
      </c>
      <c r="G40" s="7">
        <v>16</v>
      </c>
      <c r="H40" s="24"/>
      <c r="I40" s="25"/>
      <c r="J40" s="24" t="s">
        <v>664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557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666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customHeight="1" x14ac:dyDescent="0.25">
      <c r="A41" s="3">
        <v>193</v>
      </c>
      <c r="B41" s="22" t="s">
        <v>418</v>
      </c>
      <c r="C41" s="6">
        <v>25934</v>
      </c>
      <c r="D41" s="23">
        <v>1</v>
      </c>
      <c r="E41" s="7" t="s">
        <v>560</v>
      </c>
      <c r="F41" s="7">
        <v>13</v>
      </c>
      <c r="G41" s="7">
        <v>16</v>
      </c>
      <c r="H41" s="24">
        <v>40</v>
      </c>
      <c r="I41" s="25">
        <v>574.87</v>
      </c>
      <c r="J41" s="7" t="s">
        <v>671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672</v>
      </c>
      <c r="S41" s="7">
        <v>4</v>
      </c>
      <c r="T41" s="7" t="s">
        <v>673</v>
      </c>
      <c r="U41" s="7">
        <v>14</v>
      </c>
      <c r="V41" s="7" t="s">
        <v>653</v>
      </c>
      <c r="W41" s="7">
        <v>17</v>
      </c>
      <c r="X41" s="7" t="s">
        <v>674</v>
      </c>
      <c r="Y41" s="7">
        <v>17</v>
      </c>
      <c r="Z41" s="26" t="s">
        <v>33</v>
      </c>
      <c r="AA41" s="7">
        <v>8</v>
      </c>
      <c r="AB41" s="26" t="s">
        <v>564</v>
      </c>
      <c r="AC41" s="7">
        <v>34</v>
      </c>
      <c r="AD41" s="7">
        <v>16</v>
      </c>
      <c r="AE41" s="7" t="s">
        <v>675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customHeight="1" x14ac:dyDescent="0.25">
      <c r="A42" s="3">
        <v>194</v>
      </c>
      <c r="B42" s="22" t="s">
        <v>422</v>
      </c>
      <c r="C42" s="6">
        <v>35796</v>
      </c>
      <c r="D42" s="23">
        <v>1</v>
      </c>
      <c r="E42" s="7" t="s">
        <v>560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671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676</v>
      </c>
      <c r="S42" s="7">
        <v>4</v>
      </c>
      <c r="T42" s="7" t="s">
        <v>673</v>
      </c>
      <c r="U42" s="7">
        <v>14</v>
      </c>
      <c r="V42" s="7" t="s">
        <v>653</v>
      </c>
      <c r="W42" s="7">
        <v>17</v>
      </c>
      <c r="X42" s="7" t="s">
        <v>674</v>
      </c>
      <c r="Y42" s="7">
        <v>17</v>
      </c>
      <c r="Z42" s="26" t="s">
        <v>33</v>
      </c>
      <c r="AA42" s="7">
        <v>8</v>
      </c>
      <c r="AB42" s="26" t="s">
        <v>564</v>
      </c>
      <c r="AC42" s="7">
        <v>34</v>
      </c>
      <c r="AD42" s="7">
        <v>16</v>
      </c>
      <c r="AE42" s="7" t="s">
        <v>677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customHeight="1" x14ac:dyDescent="0.25">
      <c r="A43" s="3">
        <v>195</v>
      </c>
      <c r="B43" s="22" t="s">
        <v>426</v>
      </c>
      <c r="C43" s="6"/>
      <c r="D43" s="23">
        <v>1</v>
      </c>
      <c r="E43" s="7" t="s">
        <v>560</v>
      </c>
      <c r="F43" s="7">
        <v>13</v>
      </c>
      <c r="G43" s="7">
        <v>16</v>
      </c>
      <c r="H43" s="24"/>
      <c r="I43" s="25"/>
      <c r="J43" s="7" t="s">
        <v>678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557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679</v>
      </c>
      <c r="Y43" s="7">
        <v>18</v>
      </c>
      <c r="Z43" s="26" t="s">
        <v>33</v>
      </c>
      <c r="AA43" s="7">
        <v>8</v>
      </c>
      <c r="AB43" s="26" t="s">
        <v>680</v>
      </c>
      <c r="AC43" s="34" t="s">
        <v>680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customHeight="1" x14ac:dyDescent="0.25">
      <c r="A44" s="3">
        <v>196</v>
      </c>
      <c r="B44" s="22" t="s">
        <v>429</v>
      </c>
      <c r="C44" s="6"/>
      <c r="D44" s="23">
        <v>1</v>
      </c>
      <c r="E44" s="7" t="s">
        <v>560</v>
      </c>
      <c r="F44" s="7">
        <v>13</v>
      </c>
      <c r="G44" s="7">
        <v>16</v>
      </c>
      <c r="H44" s="24">
        <v>48</v>
      </c>
      <c r="I44" s="25">
        <v>87</v>
      </c>
      <c r="J44" s="7" t="s">
        <v>678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681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679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customHeight="1" x14ac:dyDescent="0.25">
      <c r="A45" s="3">
        <v>197</v>
      </c>
      <c r="B45" s="22" t="s">
        <v>431</v>
      </c>
      <c r="C45" s="6">
        <v>29587</v>
      </c>
      <c r="D45" s="23">
        <v>1</v>
      </c>
      <c r="E45" s="7" t="s">
        <v>566</v>
      </c>
      <c r="F45" s="7">
        <v>15</v>
      </c>
      <c r="G45" s="7">
        <v>16</v>
      </c>
      <c r="H45" s="24">
        <v>42</v>
      </c>
      <c r="I45" s="25">
        <v>437</v>
      </c>
      <c r="J45" s="7" t="s">
        <v>682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557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431</v>
      </c>
      <c r="Y45" s="7">
        <v>20</v>
      </c>
      <c r="Z45" s="26" t="s">
        <v>33</v>
      </c>
      <c r="AA45" s="7">
        <v>8</v>
      </c>
      <c r="AB45" s="26" t="s">
        <v>683</v>
      </c>
      <c r="AC45" s="7">
        <v>24</v>
      </c>
      <c r="AD45" s="7">
        <v>16</v>
      </c>
      <c r="AE45" s="7" t="s">
        <v>684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customHeight="1" x14ac:dyDescent="0.25">
      <c r="A46" s="3">
        <v>198</v>
      </c>
      <c r="B46" s="22" t="s">
        <v>434</v>
      </c>
      <c r="C46" s="6">
        <v>43800</v>
      </c>
      <c r="D46" s="23">
        <v>1</v>
      </c>
      <c r="E46" s="7" t="s">
        <v>566</v>
      </c>
      <c r="F46" s="7">
        <v>15</v>
      </c>
      <c r="G46" s="7">
        <v>16</v>
      </c>
      <c r="H46" s="24">
        <v>42</v>
      </c>
      <c r="I46" s="25">
        <v>207</v>
      </c>
      <c r="J46" s="7" t="s">
        <v>685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681</v>
      </c>
      <c r="S46" s="7">
        <v>6</v>
      </c>
      <c r="T46" s="7" t="s">
        <v>579</v>
      </c>
      <c r="U46" s="7" t="s">
        <v>20</v>
      </c>
      <c r="V46" s="7" t="s">
        <v>20</v>
      </c>
      <c r="W46" s="7" t="s">
        <v>20</v>
      </c>
      <c r="X46" s="7" t="s">
        <v>431</v>
      </c>
      <c r="Y46" s="7">
        <v>20</v>
      </c>
      <c r="Z46" s="26" t="s">
        <v>686</v>
      </c>
      <c r="AA46" s="7">
        <v>9</v>
      </c>
      <c r="AB46" s="26" t="s">
        <v>683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customHeight="1" x14ac:dyDescent="0.25">
      <c r="A47" s="3">
        <v>199</v>
      </c>
      <c r="B47" s="22" t="s">
        <v>437</v>
      </c>
      <c r="C47" s="6"/>
      <c r="D47" s="23">
        <v>1</v>
      </c>
      <c r="E47" s="7" t="s">
        <v>687</v>
      </c>
      <c r="F47" s="7"/>
      <c r="G47" s="7">
        <v>16</v>
      </c>
      <c r="H47" s="24"/>
      <c r="I47" s="25"/>
      <c r="J47" s="7" t="s">
        <v>685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557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688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customHeight="1" x14ac:dyDescent="0.25">
      <c r="A48" s="3">
        <v>200</v>
      </c>
      <c r="B48" s="22" t="s">
        <v>439</v>
      </c>
      <c r="C48" s="6">
        <v>31413</v>
      </c>
      <c r="D48" s="23">
        <v>1</v>
      </c>
      <c r="E48" s="7" t="s">
        <v>586</v>
      </c>
      <c r="F48" s="7">
        <v>14</v>
      </c>
      <c r="G48" s="7">
        <v>16</v>
      </c>
      <c r="H48" s="24" t="s">
        <v>689</v>
      </c>
      <c r="I48" s="25">
        <v>966</v>
      </c>
      <c r="J48" s="7" t="s">
        <v>690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691</v>
      </c>
      <c r="S48" s="7">
        <v>6</v>
      </c>
      <c r="T48" s="7" t="s">
        <v>598</v>
      </c>
      <c r="U48" s="7">
        <v>14</v>
      </c>
      <c r="V48" s="7" t="s">
        <v>653</v>
      </c>
      <c r="W48" s="7">
        <v>17</v>
      </c>
      <c r="X48" s="7" t="s">
        <v>688</v>
      </c>
      <c r="Y48" s="7">
        <v>21</v>
      </c>
      <c r="Z48" s="26" t="s">
        <v>639</v>
      </c>
      <c r="AA48" s="7">
        <v>20</v>
      </c>
      <c r="AB48" s="26" t="s">
        <v>33</v>
      </c>
      <c r="AC48" s="7">
        <v>8</v>
      </c>
      <c r="AD48" s="7">
        <v>16</v>
      </c>
      <c r="AE48" s="7" t="s">
        <v>692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customHeight="1" x14ac:dyDescent="0.25">
      <c r="A49" s="3">
        <v>201</v>
      </c>
      <c r="B49" s="22" t="s">
        <v>442</v>
      </c>
      <c r="C49" s="6">
        <v>36161</v>
      </c>
      <c r="D49" s="23">
        <v>1</v>
      </c>
      <c r="E49" s="7" t="s">
        <v>586</v>
      </c>
      <c r="F49" s="7">
        <v>14</v>
      </c>
      <c r="G49" s="7">
        <v>16</v>
      </c>
      <c r="H49" s="24" t="s">
        <v>689</v>
      </c>
      <c r="I49" s="25">
        <v>966</v>
      </c>
      <c r="J49" s="7" t="s">
        <v>693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681</v>
      </c>
      <c r="S49" s="7">
        <v>6</v>
      </c>
      <c r="T49" s="7" t="s">
        <v>558</v>
      </c>
      <c r="U49" s="7">
        <v>11</v>
      </c>
      <c r="V49" s="7" t="s">
        <v>653</v>
      </c>
      <c r="W49" s="7">
        <v>17</v>
      </c>
      <c r="X49" s="7" t="s">
        <v>688</v>
      </c>
      <c r="Y49" s="7">
        <v>21</v>
      </c>
      <c r="Z49" s="26" t="s">
        <v>639</v>
      </c>
      <c r="AA49" s="7">
        <v>20</v>
      </c>
      <c r="AB49" s="26" t="s">
        <v>33</v>
      </c>
      <c r="AC49" s="7">
        <v>8</v>
      </c>
      <c r="AD49" s="7">
        <v>16</v>
      </c>
      <c r="AE49" s="7" t="s">
        <v>694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customHeight="1" x14ac:dyDescent="0.25">
      <c r="A50" s="3">
        <v>202</v>
      </c>
      <c r="B50" s="22" t="s">
        <v>445</v>
      </c>
      <c r="C50" s="6">
        <v>37622</v>
      </c>
      <c r="D50" s="23">
        <v>1</v>
      </c>
      <c r="E50" s="7" t="s">
        <v>619</v>
      </c>
      <c r="F50" s="7">
        <v>2</v>
      </c>
      <c r="G50" s="7">
        <v>2</v>
      </c>
      <c r="H50" s="24">
        <v>48</v>
      </c>
      <c r="I50" s="25">
        <v>520</v>
      </c>
      <c r="J50" s="7" t="s">
        <v>693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557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688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customHeight="1" x14ac:dyDescent="0.25">
      <c r="A51" s="3">
        <v>203</v>
      </c>
      <c r="B51" s="22" t="s">
        <v>447</v>
      </c>
      <c r="C51" s="6">
        <v>41640</v>
      </c>
      <c r="D51" s="23">
        <v>1</v>
      </c>
      <c r="E51" s="7" t="s">
        <v>586</v>
      </c>
      <c r="F51" s="7">
        <v>14</v>
      </c>
      <c r="G51" s="7">
        <v>16</v>
      </c>
      <c r="H51" s="24">
        <v>48</v>
      </c>
      <c r="I51" s="25">
        <v>535</v>
      </c>
      <c r="J51" s="7" t="s">
        <v>695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681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688</v>
      </c>
      <c r="Y51" s="7">
        <v>21</v>
      </c>
      <c r="Z51" s="26" t="s">
        <v>696</v>
      </c>
      <c r="AA51" s="7">
        <v>18</v>
      </c>
      <c r="AB51" s="26" t="s">
        <v>33</v>
      </c>
      <c r="AC51" s="7">
        <v>8</v>
      </c>
      <c r="AD51" s="7">
        <v>16</v>
      </c>
      <c r="AE51" s="7" t="s">
        <v>670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customHeight="1" x14ac:dyDescent="0.25">
      <c r="A52" s="3">
        <v>204</v>
      </c>
      <c r="B52" s="22" t="s">
        <v>449</v>
      </c>
      <c r="C52" s="6">
        <v>42887</v>
      </c>
      <c r="D52" s="23">
        <v>1</v>
      </c>
      <c r="E52" s="7" t="s">
        <v>697</v>
      </c>
      <c r="F52" s="7">
        <v>16</v>
      </c>
      <c r="G52" s="7">
        <v>16</v>
      </c>
      <c r="H52" s="24">
        <v>48</v>
      </c>
      <c r="I52" s="25">
        <v>770</v>
      </c>
      <c r="J52" s="30" t="s">
        <v>698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681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699</v>
      </c>
      <c r="Y52" s="7">
        <v>22</v>
      </c>
      <c r="Z52" s="26" t="s">
        <v>700</v>
      </c>
      <c r="AA52" s="7">
        <v>32</v>
      </c>
      <c r="AB52" s="26" t="s">
        <v>33</v>
      </c>
      <c r="AC52" s="7">
        <v>8</v>
      </c>
      <c r="AD52" s="7">
        <v>16</v>
      </c>
      <c r="AE52" s="7" t="s">
        <v>701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customHeight="1" x14ac:dyDescent="0.25">
      <c r="A53" s="3">
        <v>205</v>
      </c>
      <c r="B53" s="22" t="s">
        <v>452</v>
      </c>
      <c r="C53" s="6">
        <v>42736</v>
      </c>
      <c r="D53" s="23">
        <v>1</v>
      </c>
      <c r="E53" s="7" t="s">
        <v>586</v>
      </c>
      <c r="F53" s="7">
        <v>14</v>
      </c>
      <c r="G53" s="7">
        <v>16</v>
      </c>
      <c r="H53" s="24">
        <v>48</v>
      </c>
      <c r="I53" s="25">
        <v>531</v>
      </c>
      <c r="J53" s="7" t="s">
        <v>695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681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688</v>
      </c>
      <c r="Y53" s="7">
        <v>21</v>
      </c>
      <c r="Z53" s="26" t="s">
        <v>696</v>
      </c>
      <c r="AA53" s="7">
        <v>18</v>
      </c>
      <c r="AB53" s="26" t="s">
        <v>33</v>
      </c>
      <c r="AC53" s="7">
        <v>8</v>
      </c>
      <c r="AD53" s="7">
        <v>16</v>
      </c>
      <c r="AE53" s="7" t="s">
        <v>670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customHeight="1" x14ac:dyDescent="0.25">
      <c r="A54" s="3">
        <v>206</v>
      </c>
      <c r="B54" s="22" t="s">
        <v>455</v>
      </c>
      <c r="C54" s="6">
        <v>43800</v>
      </c>
      <c r="D54" s="23">
        <v>1</v>
      </c>
      <c r="E54" s="7" t="s">
        <v>697</v>
      </c>
      <c r="F54" s="7">
        <v>16</v>
      </c>
      <c r="G54" s="7">
        <v>16</v>
      </c>
      <c r="H54" s="24">
        <v>48</v>
      </c>
      <c r="I54" s="25">
        <v>345</v>
      </c>
      <c r="J54" s="7" t="s">
        <v>702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681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699</v>
      </c>
      <c r="Y54" s="7">
        <v>22</v>
      </c>
      <c r="Z54" s="26" t="s">
        <v>703</v>
      </c>
      <c r="AA54" s="7"/>
      <c r="AB54" s="26" t="s">
        <v>33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customHeight="1" x14ac:dyDescent="0.25">
      <c r="A55" s="3">
        <v>207</v>
      </c>
      <c r="B55" s="22" t="s">
        <v>458</v>
      </c>
      <c r="C55" s="6">
        <v>35065</v>
      </c>
      <c r="D55" s="23">
        <v>1</v>
      </c>
      <c r="E55" s="7" t="s">
        <v>458</v>
      </c>
      <c r="F55" s="7">
        <v>18</v>
      </c>
      <c r="G55" s="7">
        <v>16</v>
      </c>
      <c r="H55" s="24">
        <v>48</v>
      </c>
      <c r="I55" s="25">
        <v>521</v>
      </c>
      <c r="J55" s="7" t="s">
        <v>695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681</v>
      </c>
      <c r="S55" s="7">
        <v>6</v>
      </c>
      <c r="T55" s="7" t="s">
        <v>704</v>
      </c>
      <c r="U55" s="7">
        <v>9</v>
      </c>
      <c r="V55" s="7" t="s">
        <v>653</v>
      </c>
      <c r="W55" s="7">
        <v>17</v>
      </c>
      <c r="X55" s="7" t="s">
        <v>705</v>
      </c>
      <c r="Y55" s="7">
        <v>16</v>
      </c>
      <c r="Z55" s="26" t="s">
        <v>33</v>
      </c>
      <c r="AA55" s="7">
        <v>8</v>
      </c>
      <c r="AB55" s="26" t="s">
        <v>706</v>
      </c>
      <c r="AC55" s="7">
        <v>12</v>
      </c>
      <c r="AD55" s="7">
        <v>16</v>
      </c>
      <c r="AE55" s="7" t="s">
        <v>633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customHeight="1" x14ac:dyDescent="0.25">
      <c r="A56" s="3">
        <v>208</v>
      </c>
      <c r="B56" s="22" t="s">
        <v>460</v>
      </c>
      <c r="C56" s="6">
        <v>44197</v>
      </c>
      <c r="D56" s="23">
        <v>1</v>
      </c>
      <c r="E56" s="7" t="s">
        <v>458</v>
      </c>
      <c r="F56" s="7">
        <v>18</v>
      </c>
      <c r="G56" s="7">
        <v>16</v>
      </c>
      <c r="H56" s="24">
        <v>48</v>
      </c>
      <c r="I56" s="25">
        <v>198</v>
      </c>
      <c r="J56" s="7" t="s">
        <v>707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557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705</v>
      </c>
      <c r="Y56" s="7">
        <v>16</v>
      </c>
      <c r="Z56" s="26" t="s">
        <v>706</v>
      </c>
      <c r="AA56" s="7">
        <v>12</v>
      </c>
      <c r="AB56" s="26" t="s">
        <v>669</v>
      </c>
      <c r="AC56" s="7">
        <v>3</v>
      </c>
      <c r="AD56" s="7">
        <v>16</v>
      </c>
      <c r="AE56" s="7" t="s">
        <v>649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customHeight="1" x14ac:dyDescent="0.25">
      <c r="A57" s="3">
        <v>209</v>
      </c>
      <c r="B57" s="22" t="s">
        <v>463</v>
      </c>
      <c r="C57" s="6">
        <v>29952</v>
      </c>
      <c r="D57" s="23">
        <v>1</v>
      </c>
      <c r="E57" s="7" t="s">
        <v>708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695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635</v>
      </c>
      <c r="S57" s="7">
        <v>4</v>
      </c>
      <c r="T57" s="7" t="s">
        <v>590</v>
      </c>
      <c r="U57" s="7">
        <v>14</v>
      </c>
      <c r="V57" s="7" t="s">
        <v>653</v>
      </c>
      <c r="W57" s="7">
        <v>17</v>
      </c>
      <c r="X57" s="7" t="s">
        <v>709</v>
      </c>
      <c r="Y57" s="7">
        <v>19</v>
      </c>
      <c r="Z57" s="26" t="s">
        <v>33</v>
      </c>
      <c r="AA57" s="7">
        <v>8</v>
      </c>
      <c r="AB57" s="26" t="s">
        <v>710</v>
      </c>
      <c r="AC57" s="7">
        <v>2</v>
      </c>
      <c r="AD57" s="7">
        <v>16</v>
      </c>
      <c r="AE57" s="7" t="s">
        <v>636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customHeight="1" x14ac:dyDescent="0.25">
      <c r="A58" s="3">
        <v>210</v>
      </c>
      <c r="B58" s="22" t="s">
        <v>465</v>
      </c>
      <c r="C58" s="6">
        <v>31778</v>
      </c>
      <c r="D58" s="23">
        <v>1</v>
      </c>
      <c r="E58" s="7" t="s">
        <v>708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695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635</v>
      </c>
      <c r="S58" s="7">
        <v>4</v>
      </c>
      <c r="T58" s="7" t="s">
        <v>590</v>
      </c>
      <c r="U58" s="7">
        <v>14</v>
      </c>
      <c r="V58" s="7" t="s">
        <v>653</v>
      </c>
      <c r="W58" s="7">
        <v>17</v>
      </c>
      <c r="X58" s="7" t="s">
        <v>709</v>
      </c>
      <c r="Y58" s="7">
        <v>19</v>
      </c>
      <c r="Z58" s="26" t="s">
        <v>33</v>
      </c>
      <c r="AA58" s="7">
        <v>8</v>
      </c>
      <c r="AB58" s="26" t="s">
        <v>710</v>
      </c>
      <c r="AC58" s="7">
        <v>2</v>
      </c>
      <c r="AD58" s="7">
        <v>16</v>
      </c>
      <c r="AE58" s="7" t="s">
        <v>711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customHeight="1" x14ac:dyDescent="0.25">
      <c r="A59" s="3">
        <v>211</v>
      </c>
      <c r="B59" s="22" t="s">
        <v>468</v>
      </c>
      <c r="C59" s="6">
        <v>39448</v>
      </c>
      <c r="D59" s="23">
        <v>1</v>
      </c>
      <c r="E59" s="7" t="s">
        <v>708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695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635</v>
      </c>
      <c r="S59" s="7">
        <v>4</v>
      </c>
      <c r="T59" s="7" t="s">
        <v>712</v>
      </c>
      <c r="U59" s="7">
        <v>11</v>
      </c>
      <c r="V59" s="7" t="s">
        <v>653</v>
      </c>
      <c r="W59" s="7">
        <v>17</v>
      </c>
      <c r="X59" s="7" t="s">
        <v>709</v>
      </c>
      <c r="Y59" s="7">
        <v>19</v>
      </c>
      <c r="Z59" s="26" t="s">
        <v>33</v>
      </c>
      <c r="AA59" s="7">
        <v>8</v>
      </c>
      <c r="AB59" s="26" t="s">
        <v>710</v>
      </c>
      <c r="AC59" s="7">
        <v>2</v>
      </c>
      <c r="AD59" s="7">
        <v>16</v>
      </c>
      <c r="AE59" s="7" t="s">
        <v>713</v>
      </c>
      <c r="AF59" s="7"/>
      <c r="AG59" s="28" t="str">
        <f t="shared" si="7"/>
        <v>(211*'48'*548,285*'12,7 / 14,27 / 22,22'*'0,015'*70*70*0*0*8,74*8,74*4*11*17*19*8*2*16)*</v>
      </c>
    </row>
  </sheetData>
  <autoFilter ref="A1:AC59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E82"/>
  <sheetViews>
    <sheetView workbookViewId="0">
      <selection activeCell="A3" sqref="A3:A82"/>
    </sheetView>
  </sheetViews>
  <sheetFormatPr baseColWidth="10" defaultColWidth="10.85546875" defaultRowHeight="15.75" x14ac:dyDescent="0.25"/>
  <cols>
    <col min="1" max="1" width="5.5703125" style="2" customWidth="1"/>
    <col min="2" max="2" width="12.42578125" style="2" bestFit="1" customWidth="1"/>
    <col min="3" max="3" width="15.5703125" style="2" bestFit="1" customWidth="1"/>
    <col min="4" max="4" width="12.7109375" style="2" customWidth="1"/>
    <col min="5" max="8" width="12.7109375" style="2" hidden="1" customWidth="1"/>
    <col min="9" max="14" width="10.5703125" style="2" customWidth="1"/>
    <col min="15" max="26" width="12.7109375" style="2" customWidth="1"/>
    <col min="27" max="27" width="12.7109375" style="2" hidden="1" customWidth="1"/>
    <col min="28" max="28" width="21.42578125" style="2" hidden="1" customWidth="1"/>
    <col min="29" max="29" width="12.7109375" style="2" hidden="1" customWidth="1"/>
    <col min="30" max="30" width="117.42578125" style="2" bestFit="1" customWidth="1"/>
    <col min="31" max="16384" width="10.85546875" style="2"/>
  </cols>
  <sheetData>
    <row r="1" spans="1:31" ht="20.100000000000001" customHeight="1" x14ac:dyDescent="0.25">
      <c r="A1" s="1" t="s">
        <v>0</v>
      </c>
      <c r="B1" s="20" t="s">
        <v>1</v>
      </c>
      <c r="C1" s="20" t="s">
        <v>2</v>
      </c>
      <c r="D1" s="1" t="s">
        <v>500</v>
      </c>
      <c r="E1" s="1" t="s">
        <v>6</v>
      </c>
      <c r="F1" s="1" t="s">
        <v>501</v>
      </c>
      <c r="G1" s="1" t="s">
        <v>502</v>
      </c>
      <c r="H1" s="1" t="s">
        <v>503</v>
      </c>
      <c r="I1" s="1" t="s">
        <v>504</v>
      </c>
      <c r="J1" s="1" t="s">
        <v>505</v>
      </c>
      <c r="K1" s="1" t="s">
        <v>506</v>
      </c>
      <c r="L1" s="1" t="s">
        <v>507</v>
      </c>
      <c r="M1" s="1" t="s">
        <v>714</v>
      </c>
      <c r="N1" s="1" t="s">
        <v>715</v>
      </c>
      <c r="O1" s="1" t="s">
        <v>514</v>
      </c>
      <c r="P1" s="1" t="s">
        <v>515</v>
      </c>
      <c r="Q1" s="1" t="s">
        <v>516</v>
      </c>
      <c r="R1" s="1" t="s">
        <v>517</v>
      </c>
      <c r="S1" s="1" t="s">
        <v>518</v>
      </c>
      <c r="T1" s="1" t="s">
        <v>519</v>
      </c>
      <c r="U1" s="1" t="s">
        <v>716</v>
      </c>
      <c r="V1" s="1" t="s">
        <v>717</v>
      </c>
      <c r="W1" s="1" t="s">
        <v>522</v>
      </c>
      <c r="X1" s="1" t="s">
        <v>523</v>
      </c>
      <c r="Y1" s="1" t="s">
        <v>524</v>
      </c>
      <c r="Z1" s="1" t="s">
        <v>525</v>
      </c>
      <c r="AA1" s="1" t="s">
        <v>526</v>
      </c>
      <c r="AB1" s="1" t="s">
        <v>527</v>
      </c>
      <c r="AC1" s="1" t="s">
        <v>528</v>
      </c>
    </row>
    <row r="2" spans="1:31" ht="20.100000000000001" customHeight="1" x14ac:dyDescent="0.2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529</v>
      </c>
      <c r="I2" s="1" t="s">
        <v>530</v>
      </c>
      <c r="J2" s="1" t="s">
        <v>531</v>
      </c>
      <c r="K2" s="1" t="s">
        <v>532</v>
      </c>
      <c r="L2" s="1" t="s">
        <v>533</v>
      </c>
      <c r="M2" s="1" t="s">
        <v>534</v>
      </c>
      <c r="N2" s="1" t="s">
        <v>535</v>
      </c>
      <c r="O2" s="1"/>
      <c r="P2" s="1" t="s">
        <v>536</v>
      </c>
      <c r="Q2" s="1"/>
      <c r="R2" s="1" t="s">
        <v>537</v>
      </c>
      <c r="S2" s="1"/>
      <c r="T2" s="1" t="s">
        <v>538</v>
      </c>
      <c r="U2" s="1"/>
      <c r="V2" s="1" t="s">
        <v>539</v>
      </c>
      <c r="W2" s="1"/>
      <c r="X2" s="1" t="s">
        <v>540</v>
      </c>
      <c r="Y2" s="1"/>
      <c r="Z2" s="1" t="s">
        <v>541</v>
      </c>
      <c r="AA2" s="1" t="s">
        <v>529</v>
      </c>
      <c r="AB2" s="1"/>
      <c r="AC2" s="1" t="s">
        <v>546</v>
      </c>
      <c r="AD2" s="21" t="s">
        <v>718</v>
      </c>
    </row>
    <row r="3" spans="1:31" ht="20.100000000000001" customHeight="1" x14ac:dyDescent="0.25">
      <c r="A3" s="39"/>
      <c r="B3" s="40" t="s">
        <v>472</v>
      </c>
      <c r="C3" s="40" t="s">
        <v>473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9">
        <v>12</v>
      </c>
      <c r="AB3" s="18" t="s">
        <v>555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00000000000001" customHeight="1" x14ac:dyDescent="0.25">
      <c r="A4" s="39"/>
      <c r="B4" s="40" t="s">
        <v>474</v>
      </c>
      <c r="C4" s="40" t="s">
        <v>475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00000000000001" customHeight="1" x14ac:dyDescent="0.25">
      <c r="A5" s="39"/>
      <c r="B5" s="40" t="s">
        <v>476</v>
      </c>
      <c r="C5" s="40" t="s">
        <v>477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00000000000001" customHeight="1" x14ac:dyDescent="0.25">
      <c r="A6" s="39"/>
      <c r="B6" s="40" t="s">
        <v>478</v>
      </c>
      <c r="C6" s="40" t="s">
        <v>479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00000000000001" customHeight="1" x14ac:dyDescent="0.25">
      <c r="A7" s="39"/>
      <c r="B7" s="40" t="s">
        <v>480</v>
      </c>
      <c r="C7" s="40" t="s">
        <v>481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00000000000001" customHeight="1" x14ac:dyDescent="0.25">
      <c r="A8" s="39"/>
      <c r="B8" s="40" t="s">
        <v>482</v>
      </c>
      <c r="C8" s="40" t="s">
        <v>483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00000000000001" customHeight="1" x14ac:dyDescent="0.25">
      <c r="A9" s="39"/>
      <c r="B9" s="40" t="s">
        <v>484</v>
      </c>
      <c r="C9" s="40" t="s">
        <v>485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00000000000001" customHeight="1" x14ac:dyDescent="0.25">
      <c r="A10" s="39"/>
      <c r="B10" s="40" t="s">
        <v>486</v>
      </c>
      <c r="C10" s="40" t="s">
        <v>487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9">
        <v>12</v>
      </c>
      <c r="AB10" s="36" t="s">
        <v>559</v>
      </c>
      <c r="AC10" s="36"/>
      <c r="AD10" s="35" t="str">
        <f t="shared" si="0"/>
        <v>(************)*</v>
      </c>
    </row>
    <row r="11" spans="1:31" ht="20.100000000000001" customHeight="1" x14ac:dyDescent="0.25">
      <c r="A11" s="39"/>
      <c r="B11" s="40" t="s">
        <v>488</v>
      </c>
      <c r="C11" s="40" t="s">
        <v>489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00000000000001" customHeight="1" x14ac:dyDescent="0.25">
      <c r="A12" s="39"/>
      <c r="B12" s="40" t="s">
        <v>490</v>
      </c>
      <c r="C12" s="40" t="s">
        <v>491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00000000000001" customHeight="1" x14ac:dyDescent="0.25">
      <c r="A13" s="39"/>
      <c r="B13" s="40" t="s">
        <v>492</v>
      </c>
      <c r="C13" s="40" t="s">
        <v>493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00000000000001" customHeight="1" x14ac:dyDescent="0.25">
      <c r="A14" s="39"/>
      <c r="B14" s="40" t="s">
        <v>494</v>
      </c>
      <c r="C14" s="40" t="s">
        <v>495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00000000000001" customHeight="1" x14ac:dyDescent="0.25">
      <c r="A15" s="39"/>
      <c r="B15" s="40" t="s">
        <v>496</v>
      </c>
      <c r="C15" s="40" t="s">
        <v>497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00000000000001" customHeight="1" x14ac:dyDescent="0.25">
      <c r="A16" s="39"/>
      <c r="B16" s="40" t="s">
        <v>498</v>
      </c>
      <c r="C16" s="40" t="s">
        <v>499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00000000000001" customHeight="1" x14ac:dyDescent="0.25">
      <c r="A17" s="39"/>
      <c r="B17" s="40" t="s">
        <v>719</v>
      </c>
      <c r="C17" s="40" t="s">
        <v>720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/>
      <c r="V17" s="42"/>
      <c r="W17" s="40"/>
      <c r="X17" s="39"/>
      <c r="Y17" s="40"/>
      <c r="Z17" s="39"/>
      <c r="AA17" s="49">
        <v>12</v>
      </c>
      <c r="AB17" s="18" t="s">
        <v>565</v>
      </c>
      <c r="AC17" s="18"/>
      <c r="AD17" s="35" t="str">
        <f t="shared" si="0"/>
        <v>(************)*</v>
      </c>
    </row>
    <row r="18" spans="1:30" ht="20.100000000000001" customHeight="1" x14ac:dyDescent="0.25">
      <c r="A18" s="39"/>
      <c r="B18" s="40" t="s">
        <v>721</v>
      </c>
      <c r="C18" s="40" t="s">
        <v>722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/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00000000000001" customHeight="1" x14ac:dyDescent="0.25">
      <c r="A19" s="39"/>
      <c r="B19" s="40" t="s">
        <v>723</v>
      </c>
      <c r="C19" s="40" t="s">
        <v>724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/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00000000000001" customHeight="1" x14ac:dyDescent="0.25">
      <c r="A20" s="39"/>
      <c r="B20" s="40" t="s">
        <v>725</v>
      </c>
      <c r="C20" s="40" t="s">
        <v>726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/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00000000000001" customHeight="1" x14ac:dyDescent="0.25">
      <c r="A21" s="39"/>
      <c r="B21" s="40" t="s">
        <v>732</v>
      </c>
      <c r="C21" s="40" t="s">
        <v>727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50">
        <v>12</v>
      </c>
      <c r="AB21" s="7" t="s">
        <v>574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00000000000001" customHeight="1" x14ac:dyDescent="0.25">
      <c r="A22" s="39"/>
      <c r="B22" s="40" t="s">
        <v>733</v>
      </c>
      <c r="C22" s="40" t="s">
        <v>728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00000000000001" customHeight="1" x14ac:dyDescent="0.25">
      <c r="A23" s="39"/>
      <c r="B23" s="40" t="s">
        <v>734</v>
      </c>
      <c r="C23" s="40" t="s">
        <v>729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00000000000001" customHeight="1" x14ac:dyDescent="0.25">
      <c r="A24" s="39"/>
      <c r="B24" s="40" t="s">
        <v>735</v>
      </c>
      <c r="C24" s="40" t="s">
        <v>730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00000000000001" customHeight="1" x14ac:dyDescent="0.25">
      <c r="A25" s="39"/>
      <c r="B25" s="40" t="s">
        <v>736</v>
      </c>
      <c r="C25" s="40" t="s">
        <v>731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00000000000001" customHeight="1" x14ac:dyDescent="0.25">
      <c r="A26" s="39"/>
      <c r="B26" s="40" t="s">
        <v>737</v>
      </c>
      <c r="C26" s="40" t="s">
        <v>742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00000000000001" customHeight="1" x14ac:dyDescent="0.25">
      <c r="A27" s="39"/>
      <c r="B27" s="40" t="s">
        <v>738</v>
      </c>
      <c r="C27" s="40" t="s">
        <v>743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00000000000001" customHeight="1" x14ac:dyDescent="0.25">
      <c r="A28" s="39"/>
      <c r="B28" s="40" t="s">
        <v>739</v>
      </c>
      <c r="C28" s="40" t="s">
        <v>744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00000000000001" customHeight="1" x14ac:dyDescent="0.25">
      <c r="A29" s="39"/>
      <c r="B29" s="40" t="s">
        <v>740</v>
      </c>
      <c r="C29" s="40" t="s">
        <v>745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00000000000001" customHeight="1" x14ac:dyDescent="0.25">
      <c r="A30" s="39"/>
      <c r="B30" s="40" t="s">
        <v>741</v>
      </c>
      <c r="C30" s="40" t="s">
        <v>746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00000000000001" customHeight="1" x14ac:dyDescent="0.25">
      <c r="A31" s="39"/>
      <c r="B31" s="40" t="s">
        <v>336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00000000000001" customHeight="1" x14ac:dyDescent="0.25">
      <c r="A32" s="39"/>
      <c r="B32" s="40" t="s">
        <v>338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585</v>
      </c>
      <c r="AC32" s="7"/>
      <c r="AD32" s="28" t="str">
        <f t="shared" si="1"/>
        <v>(*''**''*''********)*</v>
      </c>
    </row>
    <row r="33" spans="1:30" ht="20.100000000000001" customHeight="1" x14ac:dyDescent="0.25">
      <c r="A33" s="39"/>
      <c r="B33" s="40" t="s">
        <v>341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594</v>
      </c>
      <c r="AC33" s="7"/>
      <c r="AD33" s="28" t="str">
        <f t="shared" si="1"/>
        <v>(*''**''*''********)*</v>
      </c>
    </row>
    <row r="34" spans="1:30" ht="20.100000000000001" customHeight="1" x14ac:dyDescent="0.25">
      <c r="A34" s="39"/>
      <c r="B34" s="40" t="s">
        <v>343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599</v>
      </c>
      <c r="AC34" s="7"/>
      <c r="AD34" s="28" t="str">
        <f t="shared" si="1"/>
        <v>(*''**''*''********)*</v>
      </c>
    </row>
    <row r="35" spans="1:30" ht="20.100000000000001" customHeight="1" x14ac:dyDescent="0.25">
      <c r="A35" s="39"/>
      <c r="B35" s="48" t="s">
        <v>346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00000000000001" customHeight="1" x14ac:dyDescent="0.25">
      <c r="A36" s="39"/>
      <c r="B36" s="40" t="s">
        <v>348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609</v>
      </c>
      <c r="AC36" s="7"/>
      <c r="AD36" s="28" t="str">
        <f t="shared" si="1"/>
        <v>(*''**''*''********)*</v>
      </c>
    </row>
    <row r="37" spans="1:30" ht="20.100000000000001" customHeight="1" x14ac:dyDescent="0.25">
      <c r="A37" s="39"/>
      <c r="B37" s="40" t="s">
        <v>351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614</v>
      </c>
      <c r="AC37" s="30"/>
      <c r="AD37" s="28" t="str">
        <f t="shared" si="1"/>
        <v>(*''**''*''********)*</v>
      </c>
    </row>
    <row r="38" spans="1:30" ht="20.100000000000001" customHeight="1" x14ac:dyDescent="0.25">
      <c r="A38" s="39"/>
      <c r="B38" s="40" t="s">
        <v>353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614</v>
      </c>
      <c r="AC38" s="30"/>
      <c r="AD38" s="28" t="str">
        <f t="shared" si="1"/>
        <v>(*''**''*''********)*</v>
      </c>
    </row>
    <row r="39" spans="1:30" ht="20.100000000000001" customHeight="1" x14ac:dyDescent="0.25">
      <c r="A39" s="39"/>
      <c r="B39" s="40" t="s">
        <v>356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618</v>
      </c>
      <c r="AC39" s="7"/>
      <c r="AD39" s="28" t="str">
        <f t="shared" si="1"/>
        <v>(*''**''*''********)*</v>
      </c>
    </row>
    <row r="40" spans="1:30" ht="20.100000000000001" customHeight="1" x14ac:dyDescent="0.25">
      <c r="A40" s="39"/>
      <c r="B40" s="40" t="s">
        <v>359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00000000000001" customHeight="1" x14ac:dyDescent="0.25">
      <c r="A41" s="39"/>
      <c r="B41" s="40" t="s">
        <v>361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00000000000001" customHeight="1" x14ac:dyDescent="0.25">
      <c r="A42" s="39"/>
      <c r="B42" s="40" t="s">
        <v>363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622</v>
      </c>
      <c r="AC42" s="7"/>
      <c r="AD42" s="28" t="str">
        <f t="shared" si="1"/>
        <v>(*''**''*''********)*</v>
      </c>
    </row>
    <row r="43" spans="1:30" ht="20.100000000000001" customHeight="1" x14ac:dyDescent="0.25">
      <c r="A43" s="39"/>
      <c r="B43" s="40" t="s">
        <v>365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624</v>
      </c>
      <c r="AC43" s="30"/>
      <c r="AD43" s="28" t="str">
        <f t="shared" si="1"/>
        <v>(*''**''*''********)*</v>
      </c>
    </row>
    <row r="44" spans="1:30" ht="20.100000000000001" customHeight="1" x14ac:dyDescent="0.25">
      <c r="A44" s="39"/>
      <c r="B44" s="40" t="s">
        <v>368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626</v>
      </c>
      <c r="AC44" s="7"/>
      <c r="AD44" s="28" t="str">
        <f t="shared" si="1"/>
        <v>(*''**''*''********)*</v>
      </c>
    </row>
    <row r="45" spans="1:30" ht="20.100000000000001" customHeight="1" x14ac:dyDescent="0.25">
      <c r="A45" s="39"/>
      <c r="B45" s="40" t="s">
        <v>371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629</v>
      </c>
      <c r="AC45" s="7"/>
      <c r="AD45" s="28" t="str">
        <f t="shared" si="1"/>
        <v>(*''**''*''********)*</v>
      </c>
    </row>
    <row r="46" spans="1:30" ht="20.100000000000001" customHeight="1" x14ac:dyDescent="0.25">
      <c r="A46" s="39"/>
      <c r="B46" s="40" t="s">
        <v>630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00000000000001" customHeight="1" x14ac:dyDescent="0.25">
      <c r="A47" s="39"/>
      <c r="B47" s="40" t="s">
        <v>376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633</v>
      </c>
      <c r="AC47" s="7"/>
      <c r="AD47" s="28" t="str">
        <f t="shared" si="1"/>
        <v>(*''**''*''********)*</v>
      </c>
    </row>
    <row r="48" spans="1:30" ht="20.100000000000001" customHeight="1" x14ac:dyDescent="0.25">
      <c r="A48" s="39"/>
      <c r="B48" s="40" t="s">
        <v>379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636</v>
      </c>
      <c r="AC48" s="7"/>
      <c r="AD48" s="28" t="str">
        <f t="shared" si="1"/>
        <v>(*''**''*''********)*</v>
      </c>
    </row>
    <row r="49" spans="1:30" ht="20.100000000000001" customHeight="1" x14ac:dyDescent="0.25">
      <c r="A49" s="39"/>
      <c r="B49" s="40" t="s">
        <v>382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640</v>
      </c>
      <c r="AC49" s="7"/>
      <c r="AD49" s="28" t="str">
        <f t="shared" si="1"/>
        <v>(*''**''*''********)*</v>
      </c>
    </row>
    <row r="50" spans="1:30" ht="20.100000000000001" customHeight="1" x14ac:dyDescent="0.25">
      <c r="A50" s="39"/>
      <c r="B50" s="40" t="s">
        <v>641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00000000000001" customHeight="1" x14ac:dyDescent="0.25">
      <c r="A51" s="39"/>
      <c r="B51" s="40" t="s">
        <v>385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646</v>
      </c>
      <c r="AC51" s="7"/>
      <c r="AD51" s="28" t="str">
        <f t="shared" si="1"/>
        <v>(*''**''*''********)*</v>
      </c>
    </row>
    <row r="52" spans="1:30" ht="20.100000000000001" customHeight="1" x14ac:dyDescent="0.25">
      <c r="A52" s="39"/>
      <c r="B52" s="40" t="s">
        <v>388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649</v>
      </c>
      <c r="AC52" s="7"/>
      <c r="AD52" s="28" t="str">
        <f t="shared" si="1"/>
        <v>(*''**''*''********)*</v>
      </c>
    </row>
    <row r="53" spans="1:30" ht="20.100000000000001" customHeight="1" x14ac:dyDescent="0.25">
      <c r="A53" s="39"/>
      <c r="B53" s="40" t="s">
        <v>391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654</v>
      </c>
      <c r="AC53" s="7"/>
      <c r="AD53" s="28" t="str">
        <f t="shared" si="1"/>
        <v>(*''**''*''********)*</v>
      </c>
    </row>
    <row r="54" spans="1:30" ht="20.100000000000001" customHeight="1" x14ac:dyDescent="0.25">
      <c r="A54" s="39"/>
      <c r="B54" s="40" t="s">
        <v>393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00000000000001" customHeight="1" x14ac:dyDescent="0.25">
      <c r="A55" s="39"/>
      <c r="B55" s="40" t="s">
        <v>396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658</v>
      </c>
      <c r="AC55" s="7"/>
      <c r="AD55" s="28" t="str">
        <f t="shared" si="1"/>
        <v>(*''**''*''********)*</v>
      </c>
    </row>
    <row r="56" spans="1:30" ht="20.100000000000001" customHeight="1" x14ac:dyDescent="0.25">
      <c r="A56" s="39"/>
      <c r="B56" s="40" t="s">
        <v>399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659</v>
      </c>
      <c r="AC56" s="7"/>
      <c r="AD56" s="28" t="str">
        <f t="shared" si="1"/>
        <v>(*''**''*''********)*</v>
      </c>
    </row>
    <row r="57" spans="1:30" ht="20.100000000000001" customHeight="1" x14ac:dyDescent="0.25">
      <c r="A57" s="39"/>
      <c r="B57" s="40" t="s">
        <v>401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00000000000001" customHeight="1" x14ac:dyDescent="0.25">
      <c r="A58" s="39"/>
      <c r="B58" s="40" t="s">
        <v>403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663</v>
      </c>
      <c r="AC58" s="7"/>
      <c r="AD58" s="28" t="str">
        <f t="shared" si="1"/>
        <v>(*''**''*''********)*</v>
      </c>
    </row>
    <row r="59" spans="1:30" ht="20.100000000000001" customHeight="1" x14ac:dyDescent="0.25">
      <c r="A59" s="39"/>
      <c r="B59" s="40" t="s">
        <v>406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00000000000001" customHeight="1" x14ac:dyDescent="0.25">
      <c r="A60" s="39"/>
      <c r="B60" s="40" t="s">
        <v>409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00000000000001" customHeight="1" x14ac:dyDescent="0.25">
      <c r="A61" s="39"/>
      <c r="B61" s="40" t="s">
        <v>411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667</v>
      </c>
      <c r="AC61" s="7"/>
      <c r="AD61" s="28" t="str">
        <f t="shared" si="1"/>
        <v>(*''**''*''********)*</v>
      </c>
    </row>
    <row r="62" spans="1:30" ht="20.100000000000001" customHeight="1" x14ac:dyDescent="0.25">
      <c r="A62" s="39"/>
      <c r="B62" s="40" t="s">
        <v>414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670</v>
      </c>
      <c r="AC62" s="7"/>
      <c r="AD62" s="28" t="str">
        <f t="shared" si="1"/>
        <v>(*''**''*''********)*</v>
      </c>
    </row>
    <row r="63" spans="1:30" ht="20.100000000000001" customHeight="1" x14ac:dyDescent="0.25">
      <c r="A63" s="39"/>
      <c r="B63" s="40" t="s">
        <v>416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00000000000001" customHeight="1" x14ac:dyDescent="0.25">
      <c r="A64" s="39"/>
      <c r="B64" s="40" t="s">
        <v>418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675</v>
      </c>
      <c r="AC64" s="7"/>
      <c r="AD64" s="28" t="str">
        <f t="shared" si="1"/>
        <v>(*''**''*''********)*</v>
      </c>
    </row>
    <row r="65" spans="1:30" ht="20.100000000000001" customHeight="1" x14ac:dyDescent="0.25">
      <c r="A65" s="39"/>
      <c r="B65" s="40" t="s">
        <v>422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677</v>
      </c>
      <c r="AC65" s="7"/>
      <c r="AD65" s="28" t="str">
        <f t="shared" si="1"/>
        <v>(*''**''*''********)*</v>
      </c>
    </row>
    <row r="66" spans="1:30" ht="20.100000000000001" customHeight="1" x14ac:dyDescent="0.25">
      <c r="A66" s="39"/>
      <c r="B66" s="40" t="s">
        <v>426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00000000000001" customHeight="1" x14ac:dyDescent="0.25">
      <c r="A67" s="39"/>
      <c r="B67" s="40" t="s">
        <v>429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00000000000001" customHeight="1" x14ac:dyDescent="0.25">
      <c r="A68" s="39"/>
      <c r="B68" s="40" t="s">
        <v>431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684</v>
      </c>
      <c r="AC68" s="7"/>
      <c r="AD68" s="28" t="str">
        <f t="shared" si="1"/>
        <v>(*''**''*''********)*</v>
      </c>
    </row>
    <row r="69" spans="1:30" ht="20.100000000000001" customHeight="1" x14ac:dyDescent="0.25">
      <c r="A69" s="39"/>
      <c r="B69" s="40" t="s">
        <v>434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00000000000001" customHeight="1" x14ac:dyDescent="0.25">
      <c r="A70" s="39"/>
      <c r="B70" s="40" t="s">
        <v>437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00000000000001" customHeight="1" x14ac:dyDescent="0.25">
      <c r="A71" s="39"/>
      <c r="B71" s="40" t="s">
        <v>439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692</v>
      </c>
      <c r="AC71" s="7"/>
      <c r="AD71" s="28" t="str">
        <f t="shared" si="1"/>
        <v>(*''**''*''********)*</v>
      </c>
    </row>
    <row r="72" spans="1:30" ht="20.100000000000001" customHeight="1" x14ac:dyDescent="0.25">
      <c r="A72" s="39"/>
      <c r="B72" s="40" t="s">
        <v>442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694</v>
      </c>
      <c r="AC72" s="7"/>
      <c r="AD72" s="28" t="str">
        <f t="shared" si="1"/>
        <v>(*''**''*''********)*</v>
      </c>
    </row>
    <row r="73" spans="1:30" ht="20.100000000000001" customHeight="1" x14ac:dyDescent="0.25">
      <c r="A73" s="39"/>
      <c r="B73" s="40" t="s">
        <v>445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00000000000001" customHeight="1" x14ac:dyDescent="0.25">
      <c r="A74" s="39"/>
      <c r="B74" s="40" t="s">
        <v>447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670</v>
      </c>
      <c r="AC74" s="7"/>
      <c r="AD74" s="28" t="str">
        <f t="shared" si="1"/>
        <v>(*''**''*''********)*</v>
      </c>
    </row>
    <row r="75" spans="1:30" ht="20.100000000000001" customHeight="1" x14ac:dyDescent="0.25">
      <c r="A75" s="39"/>
      <c r="B75" s="40" t="s">
        <v>449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701</v>
      </c>
      <c r="AC75" s="7"/>
      <c r="AD75" s="28" t="str">
        <f t="shared" si="1"/>
        <v>(*''**''*''********)*</v>
      </c>
    </row>
    <row r="76" spans="1:30" ht="20.100000000000001" customHeight="1" x14ac:dyDescent="0.25">
      <c r="A76" s="39"/>
      <c r="B76" s="40" t="s">
        <v>452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670</v>
      </c>
      <c r="AC76" s="7"/>
      <c r="AD76" s="28" t="str">
        <f t="shared" si="1"/>
        <v>(*''**''*''********)*</v>
      </c>
    </row>
    <row r="77" spans="1:30" ht="20.100000000000001" customHeight="1" x14ac:dyDescent="0.25">
      <c r="A77" s="39"/>
      <c r="B77" s="40" t="s">
        <v>455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00000000000001" customHeight="1" x14ac:dyDescent="0.25">
      <c r="A78" s="39"/>
      <c r="B78" s="40" t="s">
        <v>458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633</v>
      </c>
      <c r="AC78" s="7"/>
      <c r="AD78" s="28" t="str">
        <f t="shared" si="1"/>
        <v>(*''**''*''********)*</v>
      </c>
    </row>
    <row r="79" spans="1:30" ht="20.100000000000001" customHeight="1" x14ac:dyDescent="0.25">
      <c r="A79" s="39"/>
      <c r="B79" s="40" t="s">
        <v>460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649</v>
      </c>
      <c r="AC79" s="7"/>
      <c r="AD79" s="28" t="str">
        <f t="shared" si="1"/>
        <v>(*''**''*''********)*</v>
      </c>
    </row>
    <row r="80" spans="1:30" ht="20.100000000000001" customHeight="1" x14ac:dyDescent="0.25">
      <c r="A80" s="39"/>
      <c r="B80" s="40" t="s">
        <v>463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636</v>
      </c>
      <c r="AC80" s="7"/>
      <c r="AD80" s="28" t="str">
        <f t="shared" si="1"/>
        <v>(*''**''*''********)*</v>
      </c>
    </row>
    <row r="81" spans="1:30" ht="20.100000000000001" customHeight="1" x14ac:dyDescent="0.25">
      <c r="A81" s="39"/>
      <c r="B81" s="40" t="s">
        <v>465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711</v>
      </c>
      <c r="AC81" s="7"/>
      <c r="AD81" s="28" t="str">
        <f t="shared" si="1"/>
        <v>(*''**''*''********)*</v>
      </c>
    </row>
    <row r="82" spans="1:30" ht="20.100000000000001" customHeight="1" x14ac:dyDescent="0.25">
      <c r="A82" s="39"/>
      <c r="B82" s="40" t="s">
        <v>468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713</v>
      </c>
      <c r="AC82" s="7"/>
      <c r="AD82" s="28" t="str">
        <f t="shared" si="1"/>
        <v>(*''**''*''********)*</v>
      </c>
    </row>
  </sheetData>
  <autoFilter ref="A1:Z8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367"/>
  <sheetViews>
    <sheetView tabSelected="1" topLeftCell="A251" zoomScaleNormal="100" workbookViewId="0">
      <selection activeCell="A247" sqref="A247:A277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2" bestFit="1" customWidth="1"/>
    <col min="3" max="3" width="33.8554687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6.5703125" style="2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716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 t="str">
        <f>CONCATENATE("PS-",TEXT(A3,"00"),"-",I3)</f>
        <v>PS-01-OZ1</v>
      </c>
      <c r="C3" s="52" t="str">
        <f>CONCATENATE("Poste de Sectionnement n°",TEXT(A3,"00")," ",I3)</f>
        <v>Poste de Sectionnement n°01 OZ1</v>
      </c>
      <c r="D3" s="19">
        <v>24053</v>
      </c>
      <c r="E3" s="19">
        <v>24053</v>
      </c>
      <c r="F3" s="42"/>
      <c r="G3" s="42"/>
      <c r="H3" s="42"/>
      <c r="I3" s="42" t="s">
        <v>324</v>
      </c>
      <c r="J3" s="42" t="s">
        <v>748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769</v>
      </c>
      <c r="N3" s="52" t="str">
        <f t="shared" ref="N3:N15" si="0">CONCATENATE("(",A3,",'",B3,"','",C3,"','",TEXT(D3,"aaaa-mm-jj"),"','",TEXT(E3,"aaaa-mm-jj"),"',",F3,",",G3,",",H3,"),")</f>
        <v>(1,'PS-01-OZ1','Poste de Sectionnement n°01 OZ1','1965-11-07','1965-11-07',,,),</v>
      </c>
    </row>
    <row r="4" spans="1:14" ht="20.100000000000001" customHeight="1" x14ac:dyDescent="0.25">
      <c r="A4" s="39">
        <v>2</v>
      </c>
      <c r="B4" s="48" t="str">
        <f t="shared" ref="B4:B49" si="1">CONCATENATE("PS-",TEXT(A4,"00"),"-",I4)</f>
        <v>PS-02-OZ1</v>
      </c>
      <c r="C4" s="52" t="str">
        <f t="shared" ref="C4:C49" si="2">CONCATENATE("Poste de Sectionnement n°",TEXT(A4,"00")," ",I4)</f>
        <v>Poste de Sectionnement n°02 OZ1</v>
      </c>
      <c r="D4" s="19">
        <v>24053</v>
      </c>
      <c r="E4" s="19">
        <v>24053</v>
      </c>
      <c r="F4" s="42"/>
      <c r="G4" s="42"/>
      <c r="H4" s="42"/>
      <c r="I4" s="42" t="s">
        <v>324</v>
      </c>
      <c r="J4" s="42" t="s">
        <v>749</v>
      </c>
      <c r="K4" s="53">
        <f t="shared" ref="K4:K23" si="3">VALUE(RIGHT(J4,LEN(J4)-SEARCH("/",J4)))</f>
        <v>150</v>
      </c>
      <c r="L4" s="44">
        <f t="shared" ref="L4:L23" si="4">VALUE(SUBSTITUTE(LEFT(J4,SEARCH("/",J4)-1),"+",","))</f>
        <v>44.2</v>
      </c>
      <c r="M4" s="42" t="s">
        <v>770</v>
      </c>
      <c r="N4" s="52" t="str">
        <f t="shared" si="0"/>
        <v>(2,'PS-02-OZ1','Poste de Sectionnement n°02 OZ1','1965-11-07','1965-11-07',,,),</v>
      </c>
    </row>
    <row r="5" spans="1:14" ht="20.100000000000001" customHeight="1" x14ac:dyDescent="0.25">
      <c r="A5" s="39">
        <v>3</v>
      </c>
      <c r="B5" s="48" t="str">
        <f t="shared" si="1"/>
        <v>PS-03-OZ1</v>
      </c>
      <c r="C5" s="52" t="str">
        <f t="shared" si="2"/>
        <v>Poste de Sectionnement n°03 OZ1</v>
      </c>
      <c r="D5" s="19">
        <v>24053</v>
      </c>
      <c r="E5" s="19">
        <v>24053</v>
      </c>
      <c r="F5" s="42"/>
      <c r="G5" s="42"/>
      <c r="H5" s="42"/>
      <c r="I5" s="42" t="s">
        <v>324</v>
      </c>
      <c r="J5" s="42" t="s">
        <v>750</v>
      </c>
      <c r="K5" s="53">
        <f t="shared" si="3"/>
        <v>210</v>
      </c>
      <c r="L5" s="44">
        <f t="shared" si="4"/>
        <v>72</v>
      </c>
      <c r="M5" s="42" t="s">
        <v>771</v>
      </c>
      <c r="N5" s="52" t="str">
        <f t="shared" si="0"/>
        <v>(3,'PS-03-OZ1','Poste de Sectionnement n°03 OZ1','1965-11-07','1965-11-07',,,),</v>
      </c>
    </row>
    <row r="6" spans="1:14" ht="20.100000000000001" customHeight="1" x14ac:dyDescent="0.25">
      <c r="A6" s="39">
        <v>4</v>
      </c>
      <c r="B6" s="48" t="str">
        <f t="shared" si="1"/>
        <v>PS-04-OZ1</v>
      </c>
      <c r="C6" s="52" t="str">
        <f t="shared" si="2"/>
        <v>Poste de Sectionnement n°04 OZ1</v>
      </c>
      <c r="D6" s="19">
        <v>24053</v>
      </c>
      <c r="E6" s="19">
        <v>24053</v>
      </c>
      <c r="F6" s="42"/>
      <c r="G6" s="42"/>
      <c r="H6" s="42"/>
      <c r="I6" s="42" t="s">
        <v>324</v>
      </c>
      <c r="J6" s="42" t="s">
        <v>751</v>
      </c>
      <c r="K6" s="53">
        <f t="shared" si="3"/>
        <v>295</v>
      </c>
      <c r="L6" s="44">
        <f t="shared" si="4"/>
        <v>145.47300000000001</v>
      </c>
      <c r="M6" s="42" t="s">
        <v>772</v>
      </c>
      <c r="N6" s="52" t="str">
        <f t="shared" si="0"/>
        <v>(4,'PS-04-OZ1','Poste de Sectionnement n°04 OZ1','1965-11-07','1965-11-07',,,),</v>
      </c>
    </row>
    <row r="7" spans="1:14" ht="20.100000000000001" customHeight="1" x14ac:dyDescent="0.25">
      <c r="A7" s="39">
        <v>5</v>
      </c>
      <c r="B7" s="48" t="str">
        <f t="shared" si="1"/>
        <v>PS-05-OZ1</v>
      </c>
      <c r="C7" s="52" t="str">
        <f t="shared" si="2"/>
        <v>Poste de Sectionnement n°05 OZ1</v>
      </c>
      <c r="D7" s="19">
        <v>24053</v>
      </c>
      <c r="E7" s="19">
        <v>24053</v>
      </c>
      <c r="F7" s="42"/>
      <c r="G7" s="42"/>
      <c r="H7" s="42"/>
      <c r="I7" s="42" t="s">
        <v>324</v>
      </c>
      <c r="J7" s="42" t="s">
        <v>752</v>
      </c>
      <c r="K7" s="53">
        <f t="shared" si="3"/>
        <v>365</v>
      </c>
      <c r="L7" s="44">
        <f t="shared" si="4"/>
        <v>184.2</v>
      </c>
      <c r="M7" s="42" t="s">
        <v>773</v>
      </c>
      <c r="N7" s="52" t="str">
        <f t="shared" si="0"/>
        <v>(5,'PS-05-OZ1','Poste de Sectionnement n°05 OZ1','1965-11-07','1965-11-07',,,),</v>
      </c>
    </row>
    <row r="8" spans="1:14" ht="20.100000000000001" customHeight="1" x14ac:dyDescent="0.25">
      <c r="A8" s="39">
        <v>6</v>
      </c>
      <c r="B8" s="48" t="str">
        <f t="shared" si="1"/>
        <v>PS-06-OZ1</v>
      </c>
      <c r="C8" s="52" t="str">
        <f t="shared" si="2"/>
        <v>Poste de Sectionnement n°06 OZ1</v>
      </c>
      <c r="D8" s="19">
        <v>24053</v>
      </c>
      <c r="E8" s="19">
        <v>24053</v>
      </c>
      <c r="F8" s="42"/>
      <c r="G8" s="42"/>
      <c r="H8" s="42"/>
      <c r="I8" s="42" t="s">
        <v>324</v>
      </c>
      <c r="J8" s="42" t="s">
        <v>753</v>
      </c>
      <c r="K8" s="53">
        <f t="shared" si="3"/>
        <v>562</v>
      </c>
      <c r="L8" s="44">
        <f t="shared" si="4"/>
        <v>236.47499999999999</v>
      </c>
      <c r="M8" s="42" t="s">
        <v>774</v>
      </c>
      <c r="N8" s="52" t="str">
        <f t="shared" si="0"/>
        <v>(6,'PS-06-OZ1','Poste de Sectionnement n°06 OZ1','1965-11-07','1965-11-07',,,),</v>
      </c>
    </row>
    <row r="9" spans="1:14" ht="20.100000000000001" customHeight="1" x14ac:dyDescent="0.25">
      <c r="A9" s="39">
        <v>7</v>
      </c>
      <c r="B9" s="48" t="str">
        <f t="shared" si="1"/>
        <v>PS-07-OZ1</v>
      </c>
      <c r="C9" s="52" t="str">
        <f t="shared" si="2"/>
        <v>Poste de Sectionnement n°07 OZ1</v>
      </c>
      <c r="D9" s="19">
        <v>24053</v>
      </c>
      <c r="E9" s="19">
        <v>24053</v>
      </c>
      <c r="F9" s="42"/>
      <c r="G9" s="42"/>
      <c r="H9" s="42"/>
      <c r="I9" s="42" t="s">
        <v>324</v>
      </c>
      <c r="J9" s="42" t="s">
        <v>754</v>
      </c>
      <c r="K9" s="53">
        <f t="shared" si="3"/>
        <v>631</v>
      </c>
      <c r="L9" s="44">
        <f t="shared" si="4"/>
        <v>256</v>
      </c>
      <c r="M9" s="42" t="s">
        <v>775</v>
      </c>
      <c r="N9" s="52" t="str">
        <f t="shared" si="0"/>
        <v>(7,'PS-07-OZ1','Poste de Sectionnement n°07 OZ1','1965-11-07','1965-11-07',,,),</v>
      </c>
    </row>
    <row r="10" spans="1:14" ht="20.100000000000001" customHeight="1" x14ac:dyDescent="0.25">
      <c r="A10" s="39">
        <v>8</v>
      </c>
      <c r="B10" s="48" t="str">
        <f t="shared" si="1"/>
        <v>PS-08-OZ1</v>
      </c>
      <c r="C10" s="52" t="str">
        <f t="shared" si="2"/>
        <v>Poste de Sectionnement n°08 OZ1</v>
      </c>
      <c r="D10" s="19">
        <v>24053</v>
      </c>
      <c r="E10" s="19">
        <v>24053</v>
      </c>
      <c r="F10" s="42"/>
      <c r="G10" s="42"/>
      <c r="H10" s="42"/>
      <c r="I10" s="42" t="s">
        <v>324</v>
      </c>
      <c r="J10" s="42" t="s">
        <v>755</v>
      </c>
      <c r="K10" s="53">
        <f t="shared" si="3"/>
        <v>762</v>
      </c>
      <c r="L10" s="44">
        <f t="shared" si="4"/>
        <v>328.04700000000003</v>
      </c>
      <c r="M10" s="42" t="s">
        <v>776</v>
      </c>
      <c r="N10" s="52" t="str">
        <f t="shared" si="0"/>
        <v>(8,'PS-08-OZ1','Poste de Sectionnement n°08 OZ1','1965-11-07','1965-11-07',,,),</v>
      </c>
    </row>
    <row r="11" spans="1:14" ht="20.100000000000001" customHeight="1" x14ac:dyDescent="0.25">
      <c r="A11" s="39">
        <v>9</v>
      </c>
      <c r="B11" s="48" t="str">
        <f t="shared" si="1"/>
        <v>PS-09-OZ1</v>
      </c>
      <c r="C11" s="52" t="str">
        <f t="shared" si="2"/>
        <v>Poste de Sectionnement n°09 OZ1</v>
      </c>
      <c r="D11" s="19">
        <v>24053</v>
      </c>
      <c r="E11" s="19">
        <v>24053</v>
      </c>
      <c r="F11" s="42"/>
      <c r="G11" s="42"/>
      <c r="H11" s="42"/>
      <c r="I11" s="42" t="s">
        <v>324</v>
      </c>
      <c r="J11" s="42" t="s">
        <v>756</v>
      </c>
      <c r="K11" s="53">
        <f t="shared" si="3"/>
        <v>1275</v>
      </c>
      <c r="L11" s="44">
        <f t="shared" si="4"/>
        <v>466.9</v>
      </c>
      <c r="M11" s="42" t="s">
        <v>777</v>
      </c>
      <c r="N11" s="52" t="str">
        <f t="shared" si="0"/>
        <v>(9,'PS-09-OZ1','Poste de Sectionnement n°09 OZ1','1965-11-07','1965-11-07',,,),</v>
      </c>
    </row>
    <row r="12" spans="1:14" ht="20.100000000000001" customHeight="1" x14ac:dyDescent="0.25">
      <c r="A12" s="39">
        <v>10</v>
      </c>
      <c r="B12" s="48" t="str">
        <f t="shared" si="1"/>
        <v>PS-10-OZ1</v>
      </c>
      <c r="C12" s="52" t="str">
        <f t="shared" si="2"/>
        <v>Poste de Sectionnement n°10 OZ1</v>
      </c>
      <c r="D12" s="19">
        <v>24053</v>
      </c>
      <c r="E12" s="19">
        <v>24053</v>
      </c>
      <c r="F12" s="42"/>
      <c r="G12" s="42"/>
      <c r="H12" s="42"/>
      <c r="I12" s="42" t="s">
        <v>324</v>
      </c>
      <c r="J12" s="42" t="s">
        <v>757</v>
      </c>
      <c r="K12" s="53">
        <f t="shared" si="3"/>
        <v>1083</v>
      </c>
      <c r="L12" s="44">
        <f t="shared" si="4"/>
        <v>489.91500000000002</v>
      </c>
      <c r="M12" s="42" t="s">
        <v>778</v>
      </c>
      <c r="N12" s="52" t="str">
        <f t="shared" si="0"/>
        <v>(10,'PS-10-OZ1','Poste de Sectionnement n°10 OZ1','1965-11-07','1965-11-07',,,),</v>
      </c>
    </row>
    <row r="13" spans="1:14" ht="20.100000000000001" customHeight="1" x14ac:dyDescent="0.25">
      <c r="A13" s="39">
        <v>11</v>
      </c>
      <c r="B13" s="48" t="str">
        <f t="shared" si="1"/>
        <v>PS-11-OZ1</v>
      </c>
      <c r="C13" s="52" t="str">
        <f t="shared" si="2"/>
        <v>Poste de Sectionnement n°11 OZ1</v>
      </c>
      <c r="D13" s="19">
        <v>24053</v>
      </c>
      <c r="E13" s="19">
        <v>24053</v>
      </c>
      <c r="F13" s="42"/>
      <c r="G13" s="42"/>
      <c r="H13" s="42"/>
      <c r="I13" s="42" t="s">
        <v>324</v>
      </c>
      <c r="J13" s="42" t="s">
        <v>758</v>
      </c>
      <c r="K13" s="53">
        <f t="shared" si="3"/>
        <v>970</v>
      </c>
      <c r="L13" s="44">
        <f t="shared" si="4"/>
        <v>533.94000000000005</v>
      </c>
      <c r="M13" s="42" t="s">
        <v>779</v>
      </c>
      <c r="N13" s="52" t="str">
        <f t="shared" si="0"/>
        <v>(11,'PS-11-OZ1','Poste de Sectionnement n°11 OZ1','1965-11-07','1965-11-07',,,),</v>
      </c>
    </row>
    <row r="14" spans="1:14" ht="20.100000000000001" customHeight="1" x14ac:dyDescent="0.25">
      <c r="A14" s="39">
        <v>12</v>
      </c>
      <c r="B14" s="48" t="str">
        <f t="shared" si="1"/>
        <v>PS-12-OZ1</v>
      </c>
      <c r="C14" s="52" t="str">
        <f t="shared" si="2"/>
        <v>Poste de Sectionnement n°12 OZ1</v>
      </c>
      <c r="D14" s="19">
        <v>24053</v>
      </c>
      <c r="E14" s="19">
        <v>24053</v>
      </c>
      <c r="F14" s="42"/>
      <c r="G14" s="42"/>
      <c r="H14" s="42"/>
      <c r="I14" s="42" t="s">
        <v>324</v>
      </c>
      <c r="J14" s="42" t="s">
        <v>759</v>
      </c>
      <c r="K14" s="53">
        <f t="shared" si="3"/>
        <v>970</v>
      </c>
      <c r="L14" s="44">
        <f t="shared" si="4"/>
        <v>534.05999999999995</v>
      </c>
      <c r="M14" s="42" t="s">
        <v>779</v>
      </c>
      <c r="N14" s="52" t="str">
        <f t="shared" si="0"/>
        <v>(12,'PS-12-OZ1','Poste de Sectionnement n°12 OZ1','1965-11-07','1965-11-07',,,),</v>
      </c>
    </row>
    <row r="15" spans="1:14" ht="20.100000000000001" customHeight="1" x14ac:dyDescent="0.25">
      <c r="A15" s="39">
        <v>13</v>
      </c>
      <c r="B15" s="48" t="str">
        <f t="shared" si="1"/>
        <v>PS-13-OZ1</v>
      </c>
      <c r="C15" s="52" t="str">
        <f t="shared" si="2"/>
        <v>Poste de Sectionnement n°13 OZ1</v>
      </c>
      <c r="D15" s="19">
        <v>24053</v>
      </c>
      <c r="E15" s="19">
        <v>24053</v>
      </c>
      <c r="F15" s="42"/>
      <c r="G15" s="42"/>
      <c r="H15" s="42"/>
      <c r="I15" s="42" t="s">
        <v>324</v>
      </c>
      <c r="J15" s="42" t="s">
        <v>760</v>
      </c>
      <c r="K15" s="53">
        <f t="shared" si="3"/>
        <v>1100</v>
      </c>
      <c r="L15" s="44">
        <f t="shared" si="4"/>
        <v>552.12199999999996</v>
      </c>
      <c r="M15" s="42" t="s">
        <v>780</v>
      </c>
      <c r="N15" s="52" t="str">
        <f t="shared" si="0"/>
        <v>(13,'PS-13-OZ1','Poste de Sectionnement n°13 OZ1','1965-11-07','1965-11-07',,,),</v>
      </c>
    </row>
    <row r="16" spans="1:14" ht="20.100000000000001" customHeight="1" x14ac:dyDescent="0.25">
      <c r="A16" s="39">
        <v>14</v>
      </c>
      <c r="B16" s="48" t="str">
        <f t="shared" si="1"/>
        <v>PS-14-OZ1</v>
      </c>
      <c r="C16" s="52" t="str">
        <f t="shared" si="2"/>
        <v>Poste de Sectionnement n°14 OZ1</v>
      </c>
      <c r="D16" s="19">
        <v>24053</v>
      </c>
      <c r="E16" s="19">
        <v>24053</v>
      </c>
      <c r="F16" s="42"/>
      <c r="G16" s="42"/>
      <c r="H16" s="42"/>
      <c r="I16" s="42" t="s">
        <v>324</v>
      </c>
      <c r="J16" s="42" t="s">
        <v>761</v>
      </c>
      <c r="K16" s="53">
        <f t="shared" si="3"/>
        <v>1100</v>
      </c>
      <c r="L16" s="44">
        <f t="shared" si="4"/>
        <v>611.375</v>
      </c>
      <c r="M16" s="42" t="s">
        <v>781</v>
      </c>
      <c r="N16" s="52" t="str">
        <f t="shared" ref="N16:N76" si="5">CONCATENATE("(",A16,",'",B16,"','",C16,"','",TEXT(D16,"aaaa-mm-jj"),"','",TEXT(E16,"aaaa-mm-jj"),"',",F16,",",G16,",",H16,"),")</f>
        <v>(14,'PS-14-OZ1','Poste de Sectionnement n°14 OZ1','1965-11-07','1965-11-07',,,),</v>
      </c>
    </row>
    <row r="17" spans="1:14" ht="20.100000000000001" customHeight="1" x14ac:dyDescent="0.25">
      <c r="A17" s="39">
        <v>15</v>
      </c>
      <c r="B17" s="48" t="str">
        <f t="shared" si="1"/>
        <v>PS-15-OZ1</v>
      </c>
      <c r="C17" s="52" t="str">
        <f t="shared" si="2"/>
        <v>Poste de Sectionnement n°15 OZ1</v>
      </c>
      <c r="D17" s="19">
        <v>24053</v>
      </c>
      <c r="E17" s="19">
        <v>24053</v>
      </c>
      <c r="F17" s="42"/>
      <c r="G17" s="42"/>
      <c r="H17" s="42"/>
      <c r="I17" s="42" t="s">
        <v>324</v>
      </c>
      <c r="J17" s="42" t="s">
        <v>762</v>
      </c>
      <c r="K17" s="53">
        <f t="shared" si="3"/>
        <v>758</v>
      </c>
      <c r="L17" s="44">
        <f t="shared" si="4"/>
        <v>648</v>
      </c>
      <c r="M17" s="42" t="s">
        <v>782</v>
      </c>
      <c r="N17" s="52" t="str">
        <f t="shared" si="5"/>
        <v>(15,'PS-15-OZ1','Poste de Sectionnement n°15 OZ1','1965-11-07','1965-11-07',,,),</v>
      </c>
    </row>
    <row r="18" spans="1:14" ht="20.100000000000001" customHeight="1" x14ac:dyDescent="0.25">
      <c r="A18" s="39">
        <v>16</v>
      </c>
      <c r="B18" s="48" t="str">
        <f t="shared" si="1"/>
        <v>PS-16-OZ1</v>
      </c>
      <c r="C18" s="52" t="str">
        <f t="shared" si="2"/>
        <v>Poste de Sectionnement n°16 OZ1</v>
      </c>
      <c r="D18" s="19">
        <v>24053</v>
      </c>
      <c r="E18" s="19">
        <v>24053</v>
      </c>
      <c r="F18" s="42"/>
      <c r="G18" s="42"/>
      <c r="H18" s="42"/>
      <c r="I18" s="42" t="s">
        <v>324</v>
      </c>
      <c r="J18" s="42" t="s">
        <v>763</v>
      </c>
      <c r="K18" s="53">
        <f t="shared" si="3"/>
        <v>620</v>
      </c>
      <c r="L18" s="44">
        <f t="shared" si="4"/>
        <v>669.30200000000002</v>
      </c>
      <c r="M18" s="42" t="s">
        <v>783</v>
      </c>
      <c r="N18" s="52" t="str">
        <f t="shared" si="5"/>
        <v>(16,'PS-16-OZ1','Poste de Sectionnement n°16 OZ1','1965-11-07','1965-11-07',,,),</v>
      </c>
    </row>
    <row r="19" spans="1:14" ht="20.100000000000001" customHeight="1" x14ac:dyDescent="0.25">
      <c r="A19" s="39">
        <v>17</v>
      </c>
      <c r="B19" s="48" t="str">
        <f t="shared" si="1"/>
        <v>PS-17-OZ1</v>
      </c>
      <c r="C19" s="52" t="str">
        <f t="shared" si="2"/>
        <v>Poste de Sectionnement n°17 OZ1</v>
      </c>
      <c r="D19" s="19">
        <v>24053</v>
      </c>
      <c r="E19" s="19">
        <v>24053</v>
      </c>
      <c r="F19" s="42"/>
      <c r="G19" s="42"/>
      <c r="H19" s="42"/>
      <c r="I19" s="42" t="s">
        <v>324</v>
      </c>
      <c r="J19" s="42" t="s">
        <v>764</v>
      </c>
      <c r="K19" s="53">
        <f t="shared" si="3"/>
        <v>270</v>
      </c>
      <c r="L19" s="44">
        <f t="shared" si="4"/>
        <v>701.54399999999998</v>
      </c>
      <c r="M19" s="42" t="s">
        <v>784</v>
      </c>
      <c r="N19" s="52" t="str">
        <f t="shared" si="5"/>
        <v>(17,'PS-17-OZ1','Poste de Sectionnement n°17 OZ1','1965-11-07','1965-11-07',,,),</v>
      </c>
    </row>
    <row r="20" spans="1:14" ht="20.100000000000001" customHeight="1" x14ac:dyDescent="0.25">
      <c r="A20" s="39">
        <v>18</v>
      </c>
      <c r="B20" s="48" t="str">
        <f t="shared" si="1"/>
        <v>PS-18-OZ1</v>
      </c>
      <c r="C20" s="52" t="str">
        <f t="shared" si="2"/>
        <v>Poste de Sectionnement n°18 OZ1</v>
      </c>
      <c r="D20" s="19">
        <v>24053</v>
      </c>
      <c r="E20" s="19">
        <v>24053</v>
      </c>
      <c r="F20" s="42"/>
      <c r="G20" s="42"/>
      <c r="H20" s="42"/>
      <c r="I20" s="42" t="s">
        <v>324</v>
      </c>
      <c r="J20" s="42" t="s">
        <v>765</v>
      </c>
      <c r="K20" s="53">
        <f t="shared" si="3"/>
        <v>87</v>
      </c>
      <c r="L20" s="44">
        <f t="shared" si="4"/>
        <v>715.88499999999999</v>
      </c>
      <c r="M20" s="42" t="s">
        <v>785</v>
      </c>
      <c r="N20" s="52" t="str">
        <f t="shared" si="5"/>
        <v>(18,'PS-18-OZ1','Poste de Sectionnement n°18 OZ1','1965-11-07','1965-11-07',,,),</v>
      </c>
    </row>
    <row r="21" spans="1:14" ht="20.100000000000001" customHeight="1" x14ac:dyDescent="0.25">
      <c r="A21" s="39">
        <v>19</v>
      </c>
      <c r="B21" s="48" t="str">
        <f t="shared" si="1"/>
        <v>PS-19-OZ1</v>
      </c>
      <c r="C21" s="52" t="str">
        <f t="shared" si="2"/>
        <v>Poste de Sectionnement n°19 OZ1</v>
      </c>
      <c r="D21" s="19">
        <v>24053</v>
      </c>
      <c r="E21" s="19">
        <v>24053</v>
      </c>
      <c r="F21" s="42"/>
      <c r="G21" s="42"/>
      <c r="H21" s="42"/>
      <c r="I21" s="42" t="s">
        <v>324</v>
      </c>
      <c r="J21" s="42" t="s">
        <v>766</v>
      </c>
      <c r="K21" s="53">
        <f t="shared" si="3"/>
        <v>25</v>
      </c>
      <c r="L21" s="44">
        <f t="shared" si="4"/>
        <v>758.279</v>
      </c>
      <c r="M21" s="42" t="s">
        <v>786</v>
      </c>
      <c r="N21" s="52" t="str">
        <f t="shared" si="5"/>
        <v>(19,'PS-19-OZ1','Poste de Sectionnement n°19 OZ1','1965-11-07','1965-11-07',,,),</v>
      </c>
    </row>
    <row r="22" spans="1:14" ht="20.100000000000001" customHeight="1" x14ac:dyDescent="0.25">
      <c r="A22" s="39">
        <v>20</v>
      </c>
      <c r="B22" s="48" t="str">
        <f t="shared" si="1"/>
        <v>PS-20-OZ1</v>
      </c>
      <c r="C22" s="52" t="str">
        <f t="shared" si="2"/>
        <v>Poste de Sectionnement n°20 OZ1</v>
      </c>
      <c r="D22" s="19">
        <v>24053</v>
      </c>
      <c r="E22" s="19">
        <v>24053</v>
      </c>
      <c r="F22" s="42"/>
      <c r="G22" s="42"/>
      <c r="H22" s="42"/>
      <c r="I22" s="42" t="s">
        <v>324</v>
      </c>
      <c r="J22" s="42" t="s">
        <v>767</v>
      </c>
      <c r="K22" s="53">
        <f t="shared" si="3"/>
        <v>8</v>
      </c>
      <c r="L22" s="44">
        <f t="shared" si="4"/>
        <v>781.59400000000005</v>
      </c>
      <c r="M22" s="42" t="s">
        <v>786</v>
      </c>
      <c r="N22" s="52" t="str">
        <f t="shared" si="5"/>
        <v>(20,'PS-20-OZ1','Poste de Sectionnement n°20 OZ1','1965-11-07','1965-11-07',,,),</v>
      </c>
    </row>
    <row r="23" spans="1:14" ht="20.100000000000001" customHeight="1" x14ac:dyDescent="0.25">
      <c r="A23" s="39">
        <v>21</v>
      </c>
      <c r="B23" s="48" t="str">
        <f t="shared" si="1"/>
        <v>PS-21-OZ1</v>
      </c>
      <c r="C23" s="52" t="str">
        <f t="shared" si="2"/>
        <v>Poste de Sectionnement n°21 OZ1</v>
      </c>
      <c r="D23" s="19">
        <v>24053</v>
      </c>
      <c r="E23" s="19">
        <v>24053</v>
      </c>
      <c r="F23" s="42"/>
      <c r="G23" s="42"/>
      <c r="H23" s="42"/>
      <c r="I23" s="42" t="s">
        <v>324</v>
      </c>
      <c r="J23" s="42" t="s">
        <v>768</v>
      </c>
      <c r="K23" s="53">
        <f t="shared" si="3"/>
        <v>8</v>
      </c>
      <c r="L23" s="44">
        <f t="shared" si="4"/>
        <v>781.72</v>
      </c>
      <c r="M23" s="42" t="s">
        <v>787</v>
      </c>
      <c r="N23" s="52" t="str">
        <f t="shared" si="5"/>
        <v>(21,'PS-21-OZ1','Poste de Sectionnement n°21 OZ1','1965-11-07','1965-11-07',,,),</v>
      </c>
    </row>
    <row r="24" spans="1:14" ht="20.100000000000001" customHeight="1" x14ac:dyDescent="0.25">
      <c r="A24" s="39">
        <v>1</v>
      </c>
      <c r="B24" s="48" t="str">
        <f t="shared" si="1"/>
        <v>PS-01-OZ2</v>
      </c>
      <c r="C24" s="52" t="str">
        <f t="shared" si="2"/>
        <v>Poste de Sectionnement n°01 OZ2</v>
      </c>
      <c r="D24" s="19">
        <v>37851</v>
      </c>
      <c r="E24" s="19">
        <v>37851</v>
      </c>
      <c r="F24" s="42"/>
      <c r="G24" s="42"/>
      <c r="H24" s="42"/>
      <c r="I24" s="42" t="s">
        <v>326</v>
      </c>
      <c r="J24" s="42" t="s">
        <v>788</v>
      </c>
      <c r="K24" s="53">
        <f t="shared" ref="K24:K48" si="6">VALUE(RIGHT(J24,LEN(J24)-SEARCH("/",J24)))</f>
        <v>142</v>
      </c>
      <c r="L24" s="44">
        <f t="shared" ref="L24:L48" si="7">VALUE(SUBSTITUTE(LEFT(J24,SEARCH("/",J24)-1),"+",","))</f>
        <v>22</v>
      </c>
      <c r="M24" s="42" t="s">
        <v>813</v>
      </c>
      <c r="N24" s="52" t="str">
        <f t="shared" si="5"/>
        <v>(1,'PS-01-OZ2','Poste de Sectionnement n°01 OZ2','2003-08-18','2003-08-18',,,),</v>
      </c>
    </row>
    <row r="25" spans="1:14" ht="20.100000000000001" customHeight="1" x14ac:dyDescent="0.25">
      <c r="A25" s="39">
        <v>2</v>
      </c>
      <c r="B25" s="48" t="str">
        <f t="shared" si="1"/>
        <v>PS-02-OZ2</v>
      </c>
      <c r="C25" s="52" t="str">
        <f t="shared" si="2"/>
        <v>Poste de Sectionnement n°02 OZ2</v>
      </c>
      <c r="D25" s="19">
        <v>37851</v>
      </c>
      <c r="E25" s="19">
        <v>37851</v>
      </c>
      <c r="F25" s="42"/>
      <c r="G25" s="42"/>
      <c r="H25" s="42"/>
      <c r="I25" s="42" t="s">
        <v>326</v>
      </c>
      <c r="J25" s="42" t="s">
        <v>789</v>
      </c>
      <c r="K25" s="53">
        <f t="shared" si="6"/>
        <v>149</v>
      </c>
      <c r="L25" s="44">
        <f t="shared" si="7"/>
        <v>43.9</v>
      </c>
      <c r="M25" s="42" t="s">
        <v>814</v>
      </c>
      <c r="N25" s="52" t="str">
        <f t="shared" si="5"/>
        <v>(2,'PS-02-OZ2','Poste de Sectionnement n°02 OZ2','2003-08-18','2003-08-18',,,),</v>
      </c>
    </row>
    <row r="26" spans="1:14" ht="20.100000000000001" customHeight="1" x14ac:dyDescent="0.25">
      <c r="A26" s="39">
        <v>3</v>
      </c>
      <c r="B26" s="48" t="str">
        <f t="shared" si="1"/>
        <v>PS-03-OZ2</v>
      </c>
      <c r="C26" s="52" t="str">
        <f t="shared" si="2"/>
        <v>Poste de Sectionnement n°03 OZ2</v>
      </c>
      <c r="D26" s="19">
        <v>37851</v>
      </c>
      <c r="E26" s="19">
        <v>37851</v>
      </c>
      <c r="F26" s="42"/>
      <c r="G26" s="42"/>
      <c r="H26" s="42"/>
      <c r="I26" s="42" t="s">
        <v>326</v>
      </c>
      <c r="J26" s="42" t="s">
        <v>790</v>
      </c>
      <c r="K26" s="53">
        <f t="shared" si="6"/>
        <v>186</v>
      </c>
      <c r="L26" s="44">
        <f t="shared" si="7"/>
        <v>73</v>
      </c>
      <c r="M26" s="42" t="s">
        <v>772</v>
      </c>
      <c r="N26" s="52" t="str">
        <f t="shared" si="5"/>
        <v>(3,'PS-03-OZ2','Poste de Sectionnement n°03 OZ2','2003-08-18','2003-08-18',,,),</v>
      </c>
    </row>
    <row r="27" spans="1:14" ht="20.100000000000001" customHeight="1" x14ac:dyDescent="0.25">
      <c r="A27" s="39">
        <v>4</v>
      </c>
      <c r="B27" s="48" t="str">
        <f t="shared" si="1"/>
        <v>PS-04-OZ2</v>
      </c>
      <c r="C27" s="52" t="str">
        <f t="shared" si="2"/>
        <v>Poste de Sectionnement n°04 OZ2</v>
      </c>
      <c r="D27" s="19">
        <v>37851</v>
      </c>
      <c r="E27" s="19">
        <v>37851</v>
      </c>
      <c r="F27" s="42"/>
      <c r="G27" s="42"/>
      <c r="H27" s="42"/>
      <c r="I27" s="42" t="s">
        <v>326</v>
      </c>
      <c r="J27" s="42" t="s">
        <v>791</v>
      </c>
      <c r="K27" s="53">
        <f t="shared" si="6"/>
        <v>223</v>
      </c>
      <c r="L27" s="44">
        <f t="shared" si="7"/>
        <v>102</v>
      </c>
      <c r="M27" s="42" t="s">
        <v>772</v>
      </c>
      <c r="N27" s="52" t="str">
        <f t="shared" si="5"/>
        <v>(4,'PS-04-OZ2','Poste de Sectionnement n°04 OZ2','2003-08-18','2003-08-18',,,),</v>
      </c>
    </row>
    <row r="28" spans="1:14" ht="20.100000000000001" customHeight="1" x14ac:dyDescent="0.25">
      <c r="A28" s="39">
        <v>5</v>
      </c>
      <c r="B28" s="48" t="str">
        <f t="shared" si="1"/>
        <v>PS-05-OZ2</v>
      </c>
      <c r="C28" s="52" t="str">
        <f t="shared" si="2"/>
        <v>Poste de Sectionnement n°05 OZ2</v>
      </c>
      <c r="D28" s="19">
        <v>37851</v>
      </c>
      <c r="E28" s="19">
        <v>37851</v>
      </c>
      <c r="F28" s="42"/>
      <c r="G28" s="42"/>
      <c r="H28" s="42"/>
      <c r="I28" s="42" t="s">
        <v>326</v>
      </c>
      <c r="J28" s="42" t="s">
        <v>792</v>
      </c>
      <c r="K28" s="53">
        <f t="shared" si="6"/>
        <v>300</v>
      </c>
      <c r="L28" s="44">
        <f t="shared" si="7"/>
        <v>150</v>
      </c>
      <c r="M28" s="42" t="s">
        <v>772</v>
      </c>
      <c r="N28" s="52" t="str">
        <f t="shared" si="5"/>
        <v>(5,'PS-05-OZ2','Poste de Sectionnement n°05 OZ2','2003-08-18','2003-08-18',,,),</v>
      </c>
    </row>
    <row r="29" spans="1:14" ht="20.100000000000001" customHeight="1" x14ac:dyDescent="0.25">
      <c r="A29" s="39">
        <v>6</v>
      </c>
      <c r="B29" s="48" t="str">
        <f t="shared" si="1"/>
        <v>PS-06-OZ2</v>
      </c>
      <c r="C29" s="52" t="str">
        <f t="shared" si="2"/>
        <v>Poste de Sectionnement n°06 OZ2</v>
      </c>
      <c r="D29" s="19">
        <v>37851</v>
      </c>
      <c r="E29" s="19">
        <v>37851</v>
      </c>
      <c r="F29" s="42"/>
      <c r="G29" s="42"/>
      <c r="H29" s="42"/>
      <c r="I29" s="42" t="s">
        <v>326</v>
      </c>
      <c r="J29" s="42" t="s">
        <v>793</v>
      </c>
      <c r="K29" s="53">
        <f t="shared" si="6"/>
        <v>350</v>
      </c>
      <c r="L29" s="44">
        <f t="shared" si="7"/>
        <v>180</v>
      </c>
      <c r="M29" s="42" t="s">
        <v>815</v>
      </c>
      <c r="N29" s="52" t="str">
        <f t="shared" si="5"/>
        <v>(6,'PS-06-OZ2','Poste de Sectionnement n°06 OZ2','2003-08-18','2003-08-18',,,),</v>
      </c>
    </row>
    <row r="30" spans="1:14" ht="20.100000000000001" customHeight="1" x14ac:dyDescent="0.25">
      <c r="A30" s="39">
        <v>7</v>
      </c>
      <c r="B30" s="48" t="str">
        <f t="shared" si="1"/>
        <v>PS-07-OZ2</v>
      </c>
      <c r="C30" s="52" t="str">
        <f t="shared" si="2"/>
        <v>Poste de Sectionnement n°07 OZ2</v>
      </c>
      <c r="D30" s="19">
        <v>37851</v>
      </c>
      <c r="E30" s="19">
        <v>37851</v>
      </c>
      <c r="F30" s="42"/>
      <c r="G30" s="42"/>
      <c r="H30" s="42"/>
      <c r="I30" s="42" t="s">
        <v>326</v>
      </c>
      <c r="J30" s="42" t="s">
        <v>794</v>
      </c>
      <c r="K30" s="53">
        <f t="shared" si="6"/>
        <v>467</v>
      </c>
      <c r="L30" s="44">
        <f t="shared" si="7"/>
        <v>210</v>
      </c>
      <c r="M30" s="42" t="s">
        <v>816</v>
      </c>
      <c r="N30" s="52" t="str">
        <f t="shared" si="5"/>
        <v>(7,'PS-07-OZ2','Poste de Sectionnement n°07 OZ2','2003-08-18','2003-08-18',,,),</v>
      </c>
    </row>
    <row r="31" spans="1:14" ht="20.100000000000001" customHeight="1" x14ac:dyDescent="0.25">
      <c r="A31" s="39">
        <v>8</v>
      </c>
      <c r="B31" s="48" t="str">
        <f t="shared" si="1"/>
        <v>PS-08-OZ2</v>
      </c>
      <c r="C31" s="52" t="str">
        <f t="shared" si="2"/>
        <v>Poste de Sectionnement n°08 OZ2</v>
      </c>
      <c r="D31" s="19">
        <v>37851</v>
      </c>
      <c r="E31" s="19">
        <v>37851</v>
      </c>
      <c r="F31" s="42"/>
      <c r="G31" s="42"/>
      <c r="H31" s="42"/>
      <c r="I31" s="42" t="s">
        <v>326</v>
      </c>
      <c r="J31" s="42" t="s">
        <v>795</v>
      </c>
      <c r="K31" s="53">
        <f t="shared" si="6"/>
        <v>566</v>
      </c>
      <c r="L31" s="44">
        <f t="shared" si="7"/>
        <v>236.5</v>
      </c>
      <c r="M31" s="42" t="s">
        <v>774</v>
      </c>
      <c r="N31" s="52" t="str">
        <f t="shared" si="5"/>
        <v>(8,'PS-08-OZ2','Poste de Sectionnement n°08 OZ2','2003-08-18','2003-08-18',,,),</v>
      </c>
    </row>
    <row r="32" spans="1:14" ht="20.100000000000001" customHeight="1" x14ac:dyDescent="0.25">
      <c r="A32" s="39">
        <v>9</v>
      </c>
      <c r="B32" s="48" t="str">
        <f t="shared" si="1"/>
        <v>PS-09-OZ2</v>
      </c>
      <c r="C32" s="52" t="str">
        <f t="shared" si="2"/>
        <v>Poste de Sectionnement n°09 OZ2</v>
      </c>
      <c r="D32" s="19">
        <v>37851</v>
      </c>
      <c r="E32" s="19">
        <v>37851</v>
      </c>
      <c r="F32" s="42"/>
      <c r="G32" s="42"/>
      <c r="H32" s="42"/>
      <c r="I32" s="42" t="s">
        <v>326</v>
      </c>
      <c r="J32" s="42" t="s">
        <v>796</v>
      </c>
      <c r="K32" s="53">
        <f t="shared" si="6"/>
        <v>688</v>
      </c>
      <c r="L32" s="44">
        <f t="shared" si="7"/>
        <v>265.75</v>
      </c>
      <c r="M32" s="42" t="s">
        <v>817</v>
      </c>
      <c r="N32" s="52" t="str">
        <f t="shared" si="5"/>
        <v>(9,'PS-09-OZ2','Poste de Sectionnement n°09 OZ2','2003-08-18','2003-08-18',,,),</v>
      </c>
    </row>
    <row r="33" spans="1:14" ht="20.100000000000001" customHeight="1" x14ac:dyDescent="0.25">
      <c r="A33" s="39">
        <v>10</v>
      </c>
      <c r="B33" s="48" t="str">
        <f t="shared" si="1"/>
        <v>PS-10-OZ2</v>
      </c>
      <c r="C33" s="52" t="str">
        <f t="shared" si="2"/>
        <v>Poste de Sectionnement n°10 OZ2</v>
      </c>
      <c r="D33" s="19">
        <v>37851</v>
      </c>
      <c r="E33" s="19">
        <v>37851</v>
      </c>
      <c r="F33" s="42"/>
      <c r="G33" s="42"/>
      <c r="H33" s="42"/>
      <c r="I33" s="42" t="s">
        <v>326</v>
      </c>
      <c r="J33" s="42" t="s">
        <v>797</v>
      </c>
      <c r="K33" s="53">
        <f t="shared" si="6"/>
        <v>756</v>
      </c>
      <c r="L33" s="44">
        <f t="shared" si="7"/>
        <v>295.5</v>
      </c>
      <c r="M33" s="42" t="s">
        <v>818</v>
      </c>
      <c r="N33" s="52" t="str">
        <f t="shared" si="5"/>
        <v>(10,'PS-10-OZ2','Poste de Sectionnement n°10 OZ2','2003-08-18','2003-08-18',,,),</v>
      </c>
    </row>
    <row r="34" spans="1:14" ht="20.100000000000001" customHeight="1" x14ac:dyDescent="0.25">
      <c r="A34" s="39">
        <v>11</v>
      </c>
      <c r="B34" s="48" t="str">
        <f t="shared" si="1"/>
        <v>PS-11-OZ2</v>
      </c>
      <c r="C34" s="52" t="str">
        <f t="shared" si="2"/>
        <v>Poste de Sectionnement n°11 OZ2</v>
      </c>
      <c r="D34" s="19">
        <v>37851</v>
      </c>
      <c r="E34" s="19">
        <v>37851</v>
      </c>
      <c r="F34" s="42"/>
      <c r="G34" s="42"/>
      <c r="H34" s="42"/>
      <c r="I34" s="42" t="s">
        <v>326</v>
      </c>
      <c r="J34" s="42" t="s">
        <v>798</v>
      </c>
      <c r="K34" s="53">
        <f t="shared" si="6"/>
        <v>766</v>
      </c>
      <c r="L34" s="44">
        <f t="shared" si="7"/>
        <v>330</v>
      </c>
      <c r="M34" s="42" t="s">
        <v>818</v>
      </c>
      <c r="N34" s="52" t="str">
        <f t="shared" si="5"/>
        <v>(11,'PS-11-OZ2','Poste de Sectionnement n°11 OZ2','2003-08-18','2003-08-18',,,),</v>
      </c>
    </row>
    <row r="35" spans="1:14" ht="20.100000000000001" customHeight="1" x14ac:dyDescent="0.25">
      <c r="A35" s="39">
        <v>12</v>
      </c>
      <c r="B35" s="48" t="str">
        <f t="shared" si="1"/>
        <v>PS-12-OZ2</v>
      </c>
      <c r="C35" s="52" t="str">
        <f t="shared" si="2"/>
        <v>Poste de Sectionnement n°12 OZ2</v>
      </c>
      <c r="D35" s="19">
        <v>37851</v>
      </c>
      <c r="E35" s="19">
        <v>37851</v>
      </c>
      <c r="F35" s="42"/>
      <c r="G35" s="42"/>
      <c r="H35" s="42"/>
      <c r="I35" s="42" t="s">
        <v>326</v>
      </c>
      <c r="J35" s="42" t="s">
        <v>799</v>
      </c>
      <c r="K35" s="53">
        <f t="shared" si="6"/>
        <v>848</v>
      </c>
      <c r="L35" s="44">
        <f t="shared" si="7"/>
        <v>360</v>
      </c>
      <c r="M35" s="42" t="s">
        <v>819</v>
      </c>
      <c r="N35" s="52" t="str">
        <f t="shared" si="5"/>
        <v>(12,'PS-12-OZ2','Poste de Sectionnement n°12 OZ2','2003-08-18','2003-08-18',,,),</v>
      </c>
    </row>
    <row r="36" spans="1:14" ht="20.100000000000001" customHeight="1" x14ac:dyDescent="0.25">
      <c r="A36" s="39">
        <v>13</v>
      </c>
      <c r="B36" s="48" t="str">
        <f t="shared" si="1"/>
        <v>PS-13-OZ2</v>
      </c>
      <c r="C36" s="52" t="str">
        <f t="shared" si="2"/>
        <v>Poste de Sectionnement n°13 OZ2</v>
      </c>
      <c r="D36" s="19">
        <v>37851</v>
      </c>
      <c r="E36" s="19">
        <v>37851</v>
      </c>
      <c r="F36" s="42"/>
      <c r="G36" s="42"/>
      <c r="H36" s="42"/>
      <c r="I36" s="42" t="s">
        <v>326</v>
      </c>
      <c r="J36" s="42" t="s">
        <v>800</v>
      </c>
      <c r="K36" s="53">
        <f t="shared" si="6"/>
        <v>790</v>
      </c>
      <c r="L36" s="44">
        <f t="shared" si="7"/>
        <v>390</v>
      </c>
      <c r="M36" s="42" t="s">
        <v>820</v>
      </c>
      <c r="N36" s="52" t="str">
        <f t="shared" si="5"/>
        <v>(13,'PS-13-OZ2','Poste de Sectionnement n°13 OZ2','2003-08-18','2003-08-18',,,),</v>
      </c>
    </row>
    <row r="37" spans="1:14" ht="20.100000000000001" customHeight="1" x14ac:dyDescent="0.25">
      <c r="A37" s="39">
        <v>14</v>
      </c>
      <c r="B37" s="48" t="str">
        <f t="shared" si="1"/>
        <v>PS-14-OZ2</v>
      </c>
      <c r="C37" s="52" t="str">
        <f t="shared" si="2"/>
        <v>Poste de Sectionnement n°14 OZ2</v>
      </c>
      <c r="D37" s="19">
        <v>37851</v>
      </c>
      <c r="E37" s="19">
        <v>37851</v>
      </c>
      <c r="F37" s="42"/>
      <c r="G37" s="42"/>
      <c r="H37" s="42"/>
      <c r="I37" s="42" t="s">
        <v>326</v>
      </c>
      <c r="J37" s="42" t="s">
        <v>801</v>
      </c>
      <c r="K37" s="53">
        <f t="shared" si="6"/>
        <v>1050</v>
      </c>
      <c r="L37" s="44">
        <f t="shared" si="7"/>
        <v>445</v>
      </c>
      <c r="M37" s="42" t="s">
        <v>821</v>
      </c>
      <c r="N37" s="52" t="str">
        <f t="shared" si="5"/>
        <v>(14,'PS-14-OZ2','Poste de Sectionnement n°14 OZ2','2003-08-18','2003-08-18',,,),</v>
      </c>
    </row>
    <row r="38" spans="1:14" ht="20.100000000000001" customHeight="1" x14ac:dyDescent="0.25">
      <c r="A38" s="39">
        <v>15</v>
      </c>
      <c r="B38" s="48" t="str">
        <f t="shared" si="1"/>
        <v>PS-15-OZ2</v>
      </c>
      <c r="C38" s="52" t="str">
        <f t="shared" si="2"/>
        <v>Poste de Sectionnement n°15 OZ2</v>
      </c>
      <c r="D38" s="19">
        <v>37851</v>
      </c>
      <c r="E38" s="19">
        <v>37851</v>
      </c>
      <c r="F38" s="42"/>
      <c r="G38" s="42"/>
      <c r="H38" s="42"/>
      <c r="I38" s="42" t="s">
        <v>326</v>
      </c>
      <c r="J38" s="42" t="s">
        <v>802</v>
      </c>
      <c r="K38" s="53">
        <f t="shared" si="6"/>
        <v>1215</v>
      </c>
      <c r="L38" s="44">
        <f t="shared" si="7"/>
        <v>475</v>
      </c>
      <c r="M38" s="42" t="s">
        <v>822</v>
      </c>
      <c r="N38" s="52" t="str">
        <f t="shared" si="5"/>
        <v>(15,'PS-15-OZ2','Poste de Sectionnement n°15 OZ2','2003-08-18','2003-08-18',,,),</v>
      </c>
    </row>
    <row r="39" spans="1:14" ht="20.100000000000001" customHeight="1" x14ac:dyDescent="0.25">
      <c r="A39" s="39">
        <v>16</v>
      </c>
      <c r="B39" s="48" t="str">
        <f t="shared" si="1"/>
        <v>PS-16-OZ2</v>
      </c>
      <c r="C39" s="52" t="str">
        <f t="shared" si="2"/>
        <v>Poste de Sectionnement n°16 OZ2</v>
      </c>
      <c r="D39" s="19">
        <v>37851</v>
      </c>
      <c r="E39" s="19">
        <v>37851</v>
      </c>
      <c r="F39" s="42"/>
      <c r="G39" s="42"/>
      <c r="H39" s="42"/>
      <c r="I39" s="42" t="s">
        <v>326</v>
      </c>
      <c r="J39" s="42" t="s">
        <v>803</v>
      </c>
      <c r="K39" s="53">
        <f t="shared" si="6"/>
        <v>986</v>
      </c>
      <c r="L39" s="44">
        <f t="shared" si="7"/>
        <v>505</v>
      </c>
      <c r="M39" s="42" t="s">
        <v>823</v>
      </c>
      <c r="N39" s="52" t="str">
        <f t="shared" si="5"/>
        <v>(16,'PS-16-OZ2','Poste de Sectionnement n°16 OZ2','2003-08-18','2003-08-18',,,),</v>
      </c>
    </row>
    <row r="40" spans="1:14" ht="20.100000000000001" customHeight="1" x14ac:dyDescent="0.25">
      <c r="A40" s="39">
        <v>17</v>
      </c>
      <c r="B40" s="48" t="str">
        <f t="shared" si="1"/>
        <v>PS-17-OZ2</v>
      </c>
      <c r="C40" s="52" t="str">
        <f t="shared" si="2"/>
        <v>Poste de Sectionnement n°17 OZ2</v>
      </c>
      <c r="D40" s="19">
        <v>37851</v>
      </c>
      <c r="E40" s="19">
        <v>37851</v>
      </c>
      <c r="F40" s="42"/>
      <c r="G40" s="42"/>
      <c r="H40" s="42"/>
      <c r="I40" s="42" t="s">
        <v>326</v>
      </c>
      <c r="J40" s="42" t="s">
        <v>804</v>
      </c>
      <c r="K40" s="53">
        <f t="shared" si="6"/>
        <v>1132</v>
      </c>
      <c r="L40" s="44">
        <f t="shared" si="7"/>
        <v>564.5</v>
      </c>
      <c r="M40" s="42" t="s">
        <v>780</v>
      </c>
      <c r="N40" s="52" t="str">
        <f t="shared" si="5"/>
        <v>(17,'PS-17-OZ2','Poste de Sectionnement n°17 OZ2','2003-08-18','2003-08-18',,,),</v>
      </c>
    </row>
    <row r="41" spans="1:14" ht="20.100000000000001" customHeight="1" x14ac:dyDescent="0.25">
      <c r="A41" s="39">
        <v>18</v>
      </c>
      <c r="B41" s="48" t="str">
        <f t="shared" si="1"/>
        <v>PS-18-OZ2</v>
      </c>
      <c r="C41" s="52" t="str">
        <f t="shared" si="2"/>
        <v>Poste de Sectionnement n°18 OZ2</v>
      </c>
      <c r="D41" s="19">
        <v>37851</v>
      </c>
      <c r="E41" s="19">
        <v>37851</v>
      </c>
      <c r="F41" s="42"/>
      <c r="G41" s="42"/>
      <c r="H41" s="42"/>
      <c r="I41" s="42" t="s">
        <v>326</v>
      </c>
      <c r="J41" s="42" t="s">
        <v>805</v>
      </c>
      <c r="K41" s="53">
        <f t="shared" si="6"/>
        <v>1225</v>
      </c>
      <c r="L41" s="44">
        <f t="shared" si="7"/>
        <v>594</v>
      </c>
      <c r="M41" s="42" t="s">
        <v>824</v>
      </c>
      <c r="N41" s="52" t="str">
        <f t="shared" si="5"/>
        <v>(18,'PS-18-OZ2','Poste de Sectionnement n°18 OZ2','2003-08-18','2003-08-18',,,),</v>
      </c>
    </row>
    <row r="42" spans="1:14" ht="20.100000000000001" customHeight="1" x14ac:dyDescent="0.25">
      <c r="A42" s="39">
        <v>19</v>
      </c>
      <c r="B42" s="48" t="str">
        <f t="shared" si="1"/>
        <v>PS-19-OZ2</v>
      </c>
      <c r="C42" s="52" t="str">
        <f t="shared" si="2"/>
        <v>Poste de Sectionnement n°19 OZ2</v>
      </c>
      <c r="D42" s="19">
        <v>37851</v>
      </c>
      <c r="E42" s="19">
        <v>37851</v>
      </c>
      <c r="F42" s="42"/>
      <c r="G42" s="42"/>
      <c r="H42" s="42"/>
      <c r="I42" s="42" t="s">
        <v>326</v>
      </c>
      <c r="J42" s="42" t="s">
        <v>806</v>
      </c>
      <c r="K42" s="53">
        <f t="shared" si="6"/>
        <v>997</v>
      </c>
      <c r="L42" s="44">
        <f t="shared" si="7"/>
        <v>624</v>
      </c>
      <c r="M42" s="42" t="s">
        <v>825</v>
      </c>
      <c r="N42" s="52" t="str">
        <f t="shared" si="5"/>
        <v>(19,'PS-19-OZ2','Poste de Sectionnement n°19 OZ2','2003-08-18','2003-08-18',,,),</v>
      </c>
    </row>
    <row r="43" spans="1:14" ht="20.100000000000001" customHeight="1" x14ac:dyDescent="0.25">
      <c r="A43" s="39">
        <v>20</v>
      </c>
      <c r="B43" s="48" t="str">
        <f t="shared" si="1"/>
        <v>PS-20-OZ2</v>
      </c>
      <c r="C43" s="52" t="str">
        <f t="shared" si="2"/>
        <v>Poste de Sectionnement n°20 OZ2</v>
      </c>
      <c r="D43" s="19">
        <v>37851</v>
      </c>
      <c r="E43" s="19">
        <v>37851</v>
      </c>
      <c r="F43" s="42"/>
      <c r="G43" s="42"/>
      <c r="H43" s="42"/>
      <c r="I43" s="42" t="s">
        <v>326</v>
      </c>
      <c r="J43" s="42" t="s">
        <v>807</v>
      </c>
      <c r="K43" s="53">
        <f t="shared" si="6"/>
        <v>599</v>
      </c>
      <c r="L43" s="44">
        <f t="shared" si="7"/>
        <v>654</v>
      </c>
      <c r="M43" s="42" t="s">
        <v>826</v>
      </c>
      <c r="N43" s="52" t="str">
        <f t="shared" si="5"/>
        <v>(20,'PS-20-OZ2','Poste de Sectionnement n°20 OZ2','2003-08-18','2003-08-18',,,),</v>
      </c>
    </row>
    <row r="44" spans="1:14" ht="20.100000000000001" customHeight="1" x14ac:dyDescent="0.25">
      <c r="A44" s="39">
        <v>21</v>
      </c>
      <c r="B44" s="48" t="str">
        <f t="shared" si="1"/>
        <v>PS-21-OZ2</v>
      </c>
      <c r="C44" s="52" t="str">
        <f t="shared" si="2"/>
        <v>Poste de Sectionnement n°21 OZ2</v>
      </c>
      <c r="D44" s="19">
        <v>37851</v>
      </c>
      <c r="E44" s="19">
        <v>37851</v>
      </c>
      <c r="F44" s="42"/>
      <c r="G44" s="42"/>
      <c r="H44" s="42"/>
      <c r="I44" s="42" t="s">
        <v>326</v>
      </c>
      <c r="J44" s="42" t="s">
        <v>808</v>
      </c>
      <c r="K44" s="53">
        <f t="shared" si="6"/>
        <v>553</v>
      </c>
      <c r="L44" s="44">
        <f t="shared" si="7"/>
        <v>684</v>
      </c>
      <c r="M44" s="42" t="s">
        <v>827</v>
      </c>
      <c r="N44" s="52" t="str">
        <f t="shared" si="5"/>
        <v>(21,'PS-21-OZ2','Poste de Sectionnement n°21 OZ2','2003-08-18','2003-08-18',,,),</v>
      </c>
    </row>
    <row r="45" spans="1:14" ht="20.100000000000001" customHeight="1" x14ac:dyDescent="0.25">
      <c r="A45" s="39">
        <v>22</v>
      </c>
      <c r="B45" s="48" t="str">
        <f t="shared" si="1"/>
        <v>PS-22-OZ2</v>
      </c>
      <c r="C45" s="52" t="str">
        <f t="shared" si="2"/>
        <v>Poste de Sectionnement n°22 OZ2</v>
      </c>
      <c r="D45" s="19">
        <v>37851</v>
      </c>
      <c r="E45" s="19">
        <v>37851</v>
      </c>
      <c r="F45" s="42"/>
      <c r="G45" s="42"/>
      <c r="H45" s="42"/>
      <c r="I45" s="42" t="s">
        <v>326</v>
      </c>
      <c r="J45" s="42" t="s">
        <v>809</v>
      </c>
      <c r="K45" s="53">
        <f t="shared" si="6"/>
        <v>146</v>
      </c>
      <c r="L45" s="44">
        <f t="shared" si="7"/>
        <v>714</v>
      </c>
      <c r="M45" s="42" t="s">
        <v>785</v>
      </c>
      <c r="N45" s="52" t="str">
        <f t="shared" si="5"/>
        <v>(22,'PS-22-OZ2','Poste de Sectionnement n°22 OZ2','2003-08-18','2003-08-18',,,),</v>
      </c>
    </row>
    <row r="46" spans="1:14" ht="20.100000000000001" customHeight="1" x14ac:dyDescent="0.25">
      <c r="A46" s="39">
        <v>23</v>
      </c>
      <c r="B46" s="48" t="str">
        <f t="shared" si="1"/>
        <v>PS-23-OZ2</v>
      </c>
      <c r="C46" s="52" t="str">
        <f t="shared" si="2"/>
        <v>Poste de Sectionnement n°23 OZ2</v>
      </c>
      <c r="D46" s="19">
        <v>37851</v>
      </c>
      <c r="E46" s="19">
        <v>37851</v>
      </c>
      <c r="F46" s="42"/>
      <c r="G46" s="42"/>
      <c r="H46" s="42"/>
      <c r="I46" s="42" t="s">
        <v>326</v>
      </c>
      <c r="J46" s="42" t="s">
        <v>810</v>
      </c>
      <c r="K46" s="53">
        <f t="shared" si="6"/>
        <v>150</v>
      </c>
      <c r="L46" s="44">
        <f t="shared" si="7"/>
        <v>744</v>
      </c>
      <c r="M46" s="42" t="s">
        <v>828</v>
      </c>
      <c r="N46" s="52" t="str">
        <f t="shared" si="5"/>
        <v>(23,'PS-23-OZ2','Poste de Sectionnement n°23 OZ2','2003-08-18','2003-08-18',,,),</v>
      </c>
    </row>
    <row r="47" spans="1:14" ht="20.100000000000001" customHeight="1" x14ac:dyDescent="0.25">
      <c r="A47" s="39">
        <v>24</v>
      </c>
      <c r="B47" s="48" t="str">
        <f t="shared" si="1"/>
        <v>PS-24-OZ2</v>
      </c>
      <c r="C47" s="52" t="str">
        <f t="shared" si="2"/>
        <v>Poste de Sectionnement n°24 OZ2</v>
      </c>
      <c r="D47" s="19">
        <v>37851</v>
      </c>
      <c r="E47" s="19">
        <v>37851</v>
      </c>
      <c r="F47" s="42"/>
      <c r="G47" s="42"/>
      <c r="H47" s="42"/>
      <c r="I47" s="42" t="s">
        <v>326</v>
      </c>
      <c r="J47" s="42" t="s">
        <v>811</v>
      </c>
      <c r="K47" s="53">
        <f t="shared" si="6"/>
        <v>26</v>
      </c>
      <c r="L47" s="44">
        <f t="shared" si="7"/>
        <v>774</v>
      </c>
      <c r="M47" s="42" t="s">
        <v>786</v>
      </c>
      <c r="N47" s="52" t="str">
        <f t="shared" si="5"/>
        <v>(24,'PS-24-OZ2','Poste de Sectionnement n°24 OZ2','2003-08-18','2003-08-18',,,),</v>
      </c>
    </row>
    <row r="48" spans="1:14" ht="20.100000000000001" customHeight="1" x14ac:dyDescent="0.25">
      <c r="A48" s="39">
        <v>25</v>
      </c>
      <c r="B48" s="48" t="str">
        <f t="shared" si="1"/>
        <v>PS-25-OZ2</v>
      </c>
      <c r="C48" s="52" t="str">
        <f t="shared" si="2"/>
        <v>Poste de Sectionnement n°25 OZ2</v>
      </c>
      <c r="D48" s="19">
        <v>37851</v>
      </c>
      <c r="E48" s="19">
        <v>37851</v>
      </c>
      <c r="F48" s="42"/>
      <c r="G48" s="42"/>
      <c r="H48" s="42"/>
      <c r="I48" s="42" t="s">
        <v>326</v>
      </c>
      <c r="J48" s="42" t="s">
        <v>812</v>
      </c>
      <c r="K48" s="53">
        <f t="shared" si="6"/>
        <v>196</v>
      </c>
      <c r="L48" s="44">
        <f t="shared" si="7"/>
        <v>804</v>
      </c>
      <c r="M48" s="42" t="s">
        <v>829</v>
      </c>
      <c r="N48" s="52" t="str">
        <f t="shared" si="5"/>
        <v>(25,'PS-25-OZ2','Poste de Sectionnement n°25 OZ2','2003-08-18','2003-08-18',,,),</v>
      </c>
    </row>
    <row r="49" spans="1:14" ht="20.100000000000001" customHeight="1" x14ac:dyDescent="0.25">
      <c r="A49" s="39">
        <v>1</v>
      </c>
      <c r="B49" s="48" t="str">
        <f t="shared" si="1"/>
        <v>PS-01-OK1</v>
      </c>
      <c r="C49" s="52" t="str">
        <f t="shared" si="2"/>
        <v>Poste de Sectionnement n°01 OK1</v>
      </c>
      <c r="D49" s="19">
        <v>26299</v>
      </c>
      <c r="E49" s="19">
        <v>26299</v>
      </c>
      <c r="F49" s="42"/>
      <c r="G49" s="42"/>
      <c r="H49" s="42"/>
      <c r="I49" s="42" t="s">
        <v>329</v>
      </c>
      <c r="J49" s="42" t="s">
        <v>830</v>
      </c>
      <c r="K49" s="53">
        <f t="shared" ref="K49:K70" si="8">VALUE(RIGHT(J49,LEN(J49)-SEARCH("/",J49)))</f>
        <v>159</v>
      </c>
      <c r="L49" s="44">
        <f t="shared" ref="L49:L70" si="9">VALUE(SUBSTITUTE(LEFT(J49,SEARCH("/",J49)-1),"+",","))</f>
        <v>0</v>
      </c>
      <c r="M49" s="42" t="s">
        <v>849</v>
      </c>
      <c r="N49" s="52" t="str">
        <f t="shared" si="5"/>
        <v>(1,'PS-01-OK1','Poste de Sectionnement n°01 OK1','1972-01-01','1972-01-01',,,),</v>
      </c>
    </row>
    <row r="50" spans="1:14" ht="20.100000000000001" customHeight="1" x14ac:dyDescent="0.25">
      <c r="A50" s="39">
        <v>2</v>
      </c>
      <c r="B50" s="48" t="str">
        <f t="shared" ref="B50:B71" si="10">CONCATENATE("PS-",TEXT(A50,"00"),"-",I50)</f>
        <v>PS-02-OK1</v>
      </c>
      <c r="C50" s="52" t="str">
        <f t="shared" ref="C50:C71" si="11">CONCATENATE("Poste de Sectionnement n°",TEXT(A50,"00")," ",I50)</f>
        <v>Poste de Sectionnement n°02 OK1</v>
      </c>
      <c r="D50" s="19">
        <v>26299</v>
      </c>
      <c r="E50" s="19">
        <v>26299</v>
      </c>
      <c r="F50" s="42"/>
      <c r="G50" s="42"/>
      <c r="H50" s="42"/>
      <c r="I50" s="42" t="s">
        <v>329</v>
      </c>
      <c r="J50" s="42" t="s">
        <v>831</v>
      </c>
      <c r="K50" s="53">
        <f t="shared" si="8"/>
        <v>160</v>
      </c>
      <c r="L50" s="44">
        <f t="shared" si="9"/>
        <v>32</v>
      </c>
      <c r="M50" s="42" t="s">
        <v>850</v>
      </c>
      <c r="N50" s="52" t="str">
        <f t="shared" si="5"/>
        <v>(2,'PS-02-OK1','Poste de Sectionnement n°02 OK1','1972-01-01','1972-01-01',,,),</v>
      </c>
    </row>
    <row r="51" spans="1:14" ht="20.100000000000001" customHeight="1" x14ac:dyDescent="0.25">
      <c r="A51" s="39">
        <v>3</v>
      </c>
      <c r="B51" s="48" t="str">
        <f t="shared" si="10"/>
        <v>PS-03-OK1</v>
      </c>
      <c r="C51" s="52" t="str">
        <f t="shared" si="11"/>
        <v>Poste de Sectionnement n°03 OK1</v>
      </c>
      <c r="D51" s="19">
        <v>26299</v>
      </c>
      <c r="E51" s="19">
        <v>26299</v>
      </c>
      <c r="F51" s="42"/>
      <c r="G51" s="42"/>
      <c r="H51" s="42"/>
      <c r="I51" s="42" t="s">
        <v>329</v>
      </c>
      <c r="J51" s="42" t="s">
        <v>832</v>
      </c>
      <c r="K51" s="53">
        <f t="shared" si="8"/>
        <v>150</v>
      </c>
      <c r="L51" s="44">
        <f t="shared" si="9"/>
        <v>63.113999999999997</v>
      </c>
      <c r="M51" s="42" t="s">
        <v>851</v>
      </c>
      <c r="N51" s="52" t="str">
        <f t="shared" si="5"/>
        <v>(3,'PS-03-OK1','Poste de Sectionnement n°03 OK1','1972-01-01','1972-01-01',,,),</v>
      </c>
    </row>
    <row r="52" spans="1:14" ht="20.100000000000001" customHeight="1" x14ac:dyDescent="0.25">
      <c r="A52" s="39">
        <v>4</v>
      </c>
      <c r="B52" s="48" t="str">
        <f t="shared" si="10"/>
        <v>PS-04-OK1</v>
      </c>
      <c r="C52" s="52" t="str">
        <f t="shared" si="11"/>
        <v>Poste de Sectionnement n°04 OK1</v>
      </c>
      <c r="D52" s="19">
        <v>26299</v>
      </c>
      <c r="E52" s="19">
        <v>26299</v>
      </c>
      <c r="F52" s="42"/>
      <c r="G52" s="42"/>
      <c r="H52" s="42"/>
      <c r="I52" s="42" t="s">
        <v>329</v>
      </c>
      <c r="J52" s="42" t="s">
        <v>833</v>
      </c>
      <c r="K52" s="53">
        <f t="shared" si="8"/>
        <v>110</v>
      </c>
      <c r="L52" s="44">
        <f t="shared" si="9"/>
        <v>126.057</v>
      </c>
      <c r="M52" s="42" t="s">
        <v>852</v>
      </c>
      <c r="N52" s="52" t="str">
        <f t="shared" si="5"/>
        <v>(4,'PS-04-OK1','Poste de Sectionnement n°04 OK1','1972-01-01','1972-01-01',,,),</v>
      </c>
    </row>
    <row r="53" spans="1:14" ht="20.100000000000001" customHeight="1" x14ac:dyDescent="0.25">
      <c r="A53" s="39">
        <v>5</v>
      </c>
      <c r="B53" s="48" t="str">
        <f t="shared" si="10"/>
        <v>PS-05-OK1</v>
      </c>
      <c r="C53" s="52" t="str">
        <f t="shared" si="11"/>
        <v>Poste de Sectionnement n°05 OK1</v>
      </c>
      <c r="D53" s="19">
        <v>26299</v>
      </c>
      <c r="E53" s="19">
        <v>26299</v>
      </c>
      <c r="F53" s="42"/>
      <c r="G53" s="42"/>
      <c r="H53" s="42"/>
      <c r="I53" s="42" t="s">
        <v>329</v>
      </c>
      <c r="J53" s="42" t="s">
        <v>834</v>
      </c>
      <c r="K53" s="53">
        <f t="shared" si="8"/>
        <v>80</v>
      </c>
      <c r="L53" s="44">
        <f t="shared" si="9"/>
        <v>190.56</v>
      </c>
      <c r="M53" s="42" t="s">
        <v>853</v>
      </c>
      <c r="N53" s="52" t="str">
        <f t="shared" si="5"/>
        <v>(5,'PS-05-OK1','Poste de Sectionnement n°05 OK1','1972-01-01','1972-01-01',,,),</v>
      </c>
    </row>
    <row r="54" spans="1:14" ht="20.100000000000001" customHeight="1" x14ac:dyDescent="0.25">
      <c r="A54" s="39">
        <v>6</v>
      </c>
      <c r="B54" s="48" t="str">
        <f t="shared" si="10"/>
        <v>PS-06-OK1</v>
      </c>
      <c r="C54" s="52" t="str">
        <f t="shared" si="11"/>
        <v>Poste de Sectionnement n°06 OK1</v>
      </c>
      <c r="D54" s="19">
        <v>26299</v>
      </c>
      <c r="E54" s="19">
        <v>26299</v>
      </c>
      <c r="F54" s="42"/>
      <c r="G54" s="42"/>
      <c r="H54" s="42"/>
      <c r="I54" s="42" t="s">
        <v>329</v>
      </c>
      <c r="J54" s="42" t="s">
        <v>834</v>
      </c>
      <c r="K54" s="53">
        <f t="shared" si="8"/>
        <v>80</v>
      </c>
      <c r="L54" s="44">
        <f t="shared" si="9"/>
        <v>190.56</v>
      </c>
      <c r="M54" s="42" t="s">
        <v>853</v>
      </c>
      <c r="N54" s="52" t="str">
        <f t="shared" si="5"/>
        <v>(6,'PS-06-OK1','Poste de Sectionnement n°06 OK1','1972-01-01','1972-01-01',,,),</v>
      </c>
    </row>
    <row r="55" spans="1:14" ht="20.100000000000001" customHeight="1" x14ac:dyDescent="0.25">
      <c r="A55" s="39">
        <v>7</v>
      </c>
      <c r="B55" s="48" t="str">
        <f t="shared" si="10"/>
        <v>PS-07-OK1</v>
      </c>
      <c r="C55" s="52" t="str">
        <f t="shared" si="11"/>
        <v>Poste de Sectionnement n°07 OK1</v>
      </c>
      <c r="D55" s="19">
        <v>26299</v>
      </c>
      <c r="E55" s="19">
        <v>26299</v>
      </c>
      <c r="F55" s="42"/>
      <c r="G55" s="42"/>
      <c r="H55" s="42"/>
      <c r="I55" s="42" t="s">
        <v>329</v>
      </c>
      <c r="J55" s="42" t="s">
        <v>835</v>
      </c>
      <c r="K55" s="53">
        <f t="shared" si="8"/>
        <v>80</v>
      </c>
      <c r="L55" s="44">
        <f t="shared" si="9"/>
        <v>233.40100000000001</v>
      </c>
      <c r="M55" s="42" t="s">
        <v>854</v>
      </c>
      <c r="N55" s="52" t="str">
        <f t="shared" si="5"/>
        <v>(7,'PS-07-OK1','Poste de Sectionnement n°07 OK1','1972-01-01','1972-01-01',,,),</v>
      </c>
    </row>
    <row r="56" spans="1:14" ht="20.100000000000001" customHeight="1" x14ac:dyDescent="0.25">
      <c r="A56" s="39">
        <v>8</v>
      </c>
      <c r="B56" s="48" t="str">
        <f t="shared" si="10"/>
        <v>PS-08-OK1</v>
      </c>
      <c r="C56" s="52" t="str">
        <f t="shared" si="11"/>
        <v>Poste de Sectionnement n°08 OK1</v>
      </c>
      <c r="D56" s="19">
        <v>26299</v>
      </c>
      <c r="E56" s="19">
        <v>26299</v>
      </c>
      <c r="F56" s="42"/>
      <c r="G56" s="42"/>
      <c r="H56" s="42"/>
      <c r="I56" s="42" t="s">
        <v>329</v>
      </c>
      <c r="J56" s="42" t="s">
        <v>836</v>
      </c>
      <c r="K56" s="53">
        <f t="shared" si="8"/>
        <v>100</v>
      </c>
      <c r="L56" s="44">
        <f t="shared" si="9"/>
        <v>265.084</v>
      </c>
      <c r="M56" s="42" t="s">
        <v>855</v>
      </c>
      <c r="N56" s="52" t="str">
        <f t="shared" si="5"/>
        <v>(8,'PS-08-OK1','Poste de Sectionnement n°08 OK1','1972-01-01','1972-01-01',,,),</v>
      </c>
    </row>
    <row r="57" spans="1:14" ht="20.100000000000001" customHeight="1" x14ac:dyDescent="0.25">
      <c r="A57" s="39">
        <v>9</v>
      </c>
      <c r="B57" s="48" t="str">
        <f t="shared" si="10"/>
        <v>PS-09-OK1</v>
      </c>
      <c r="C57" s="52" t="str">
        <f t="shared" si="11"/>
        <v>Poste de Sectionnement n°09 OK1</v>
      </c>
      <c r="D57" s="19">
        <v>26299</v>
      </c>
      <c r="E57" s="19">
        <v>26299</v>
      </c>
      <c r="F57" s="42"/>
      <c r="G57" s="42"/>
      <c r="H57" s="42"/>
      <c r="I57" s="42" t="s">
        <v>329</v>
      </c>
      <c r="J57" s="42" t="s">
        <v>837</v>
      </c>
      <c r="K57" s="53">
        <f t="shared" si="8"/>
        <v>190</v>
      </c>
      <c r="L57" s="44">
        <f t="shared" si="9"/>
        <v>338.64299999999997</v>
      </c>
      <c r="M57" s="42" t="s">
        <v>856</v>
      </c>
      <c r="N57" s="52" t="str">
        <f t="shared" si="5"/>
        <v>(9,'PS-09-OK1','Poste de Sectionnement n°09 OK1','1972-01-01','1972-01-01',,,),</v>
      </c>
    </row>
    <row r="58" spans="1:14" ht="20.100000000000001" customHeight="1" x14ac:dyDescent="0.25">
      <c r="A58" s="39">
        <v>10</v>
      </c>
      <c r="B58" s="48" t="str">
        <f t="shared" si="10"/>
        <v>PS-10-OK1</v>
      </c>
      <c r="C58" s="52" t="str">
        <f t="shared" si="11"/>
        <v>Poste de Sectionnement n°10 OK1</v>
      </c>
      <c r="D58" s="19">
        <v>26299</v>
      </c>
      <c r="E58" s="19">
        <v>26299</v>
      </c>
      <c r="F58" s="42"/>
      <c r="G58" s="42"/>
      <c r="H58" s="42"/>
      <c r="I58" s="42" t="s">
        <v>329</v>
      </c>
      <c r="J58" s="42" t="s">
        <v>837</v>
      </c>
      <c r="K58" s="53">
        <f t="shared" si="8"/>
        <v>190</v>
      </c>
      <c r="L58" s="44">
        <f t="shared" si="9"/>
        <v>338.64299999999997</v>
      </c>
      <c r="M58" s="42" t="s">
        <v>856</v>
      </c>
      <c r="N58" s="52" t="str">
        <f t="shared" si="5"/>
        <v>(10,'PS-10-OK1','Poste de Sectionnement n°10 OK1','1972-01-01','1972-01-01',,,),</v>
      </c>
    </row>
    <row r="59" spans="1:14" ht="20.100000000000001" customHeight="1" x14ac:dyDescent="0.25">
      <c r="A59" s="39" t="s">
        <v>867</v>
      </c>
      <c r="B59" s="48" t="str">
        <f t="shared" si="10"/>
        <v>PS-10Bis-OK1</v>
      </c>
      <c r="C59" s="52" t="str">
        <f t="shared" si="11"/>
        <v>Poste de Sectionnement n°10Bis OK1</v>
      </c>
      <c r="D59" s="19">
        <v>26299</v>
      </c>
      <c r="E59" s="19">
        <v>26299</v>
      </c>
      <c r="F59" s="42"/>
      <c r="G59" s="42"/>
      <c r="H59" s="42"/>
      <c r="I59" s="42" t="s">
        <v>329</v>
      </c>
      <c r="J59" s="42" t="s">
        <v>838</v>
      </c>
      <c r="K59" s="53">
        <f t="shared" ref="K59:K60" si="12">VALUE(RIGHT(J59,LEN(J59)-SEARCH("/",J59)))</f>
        <v>310</v>
      </c>
      <c r="L59" s="44">
        <f t="shared" ref="L59:L60" si="13">VALUE(SUBSTITUTE(LEFT(J59,SEARCH("/",J59)-1),"+",","))</f>
        <v>366.87</v>
      </c>
      <c r="M59" s="42" t="s">
        <v>857</v>
      </c>
      <c r="N59" s="52" t="str">
        <f t="shared" si="5"/>
        <v>(10Bis,'PS-10Bis-OK1','Poste de Sectionnement n°10Bis OK1','1972-01-01','1972-01-01',,,),</v>
      </c>
    </row>
    <row r="60" spans="1:14" ht="20.100000000000001" customHeight="1" x14ac:dyDescent="0.25">
      <c r="A60" s="39" t="s">
        <v>868</v>
      </c>
      <c r="B60" s="48" t="str">
        <f t="shared" si="10"/>
        <v>PS-10Ter-OK1</v>
      </c>
      <c r="C60" s="52" t="str">
        <f t="shared" si="11"/>
        <v>Poste de Sectionnement n°10Ter OK1</v>
      </c>
      <c r="D60" s="19">
        <v>26299</v>
      </c>
      <c r="E60" s="19">
        <v>26299</v>
      </c>
      <c r="F60" s="42"/>
      <c r="G60" s="42"/>
      <c r="H60" s="42"/>
      <c r="I60" s="42" t="s">
        <v>329</v>
      </c>
      <c r="J60" s="42" t="s">
        <v>839</v>
      </c>
      <c r="K60" s="53">
        <f t="shared" si="12"/>
        <v>280</v>
      </c>
      <c r="L60" s="44">
        <f t="shared" si="13"/>
        <v>396.85399999999998</v>
      </c>
      <c r="M60" s="42" t="s">
        <v>857</v>
      </c>
      <c r="N60" s="52" t="str">
        <f t="shared" si="5"/>
        <v>(10Ter,'PS-10Ter-OK1','Poste de Sectionnement n°10Ter OK1','1972-01-01','1972-01-01',,,),</v>
      </c>
    </row>
    <row r="61" spans="1:14" ht="20.100000000000001" customHeight="1" x14ac:dyDescent="0.25">
      <c r="A61" s="39">
        <v>11</v>
      </c>
      <c r="B61" s="48" t="str">
        <f t="shared" si="10"/>
        <v>PS-11-OK1</v>
      </c>
      <c r="C61" s="52" t="str">
        <f t="shared" si="11"/>
        <v>Poste de Sectionnement n°11 OK1</v>
      </c>
      <c r="D61" s="19">
        <v>26299</v>
      </c>
      <c r="E61" s="19">
        <v>26299</v>
      </c>
      <c r="F61" s="42"/>
      <c r="G61" s="42"/>
      <c r="H61" s="42"/>
      <c r="I61" s="42" t="s">
        <v>329</v>
      </c>
      <c r="J61" s="42" t="s">
        <v>840</v>
      </c>
      <c r="K61" s="53">
        <f t="shared" si="8"/>
        <v>640</v>
      </c>
      <c r="L61" s="44">
        <f t="shared" si="9"/>
        <v>431.42700000000002</v>
      </c>
      <c r="M61" s="42" t="s">
        <v>858</v>
      </c>
      <c r="N61" s="52" t="str">
        <f t="shared" si="5"/>
        <v>(11,'PS-11-OK1','Poste de Sectionnement n°11 OK1','1972-01-01','1972-01-01',,,),</v>
      </c>
    </row>
    <row r="62" spans="1:14" ht="20.100000000000001" customHeight="1" x14ac:dyDescent="0.25">
      <c r="A62" s="39">
        <v>12</v>
      </c>
      <c r="B62" s="48" t="str">
        <f t="shared" si="10"/>
        <v>PS-12-OK1</v>
      </c>
      <c r="C62" s="52" t="str">
        <f t="shared" si="11"/>
        <v>Poste de Sectionnement n°12 OK1</v>
      </c>
      <c r="D62" s="19">
        <v>26299</v>
      </c>
      <c r="E62" s="19">
        <v>26299</v>
      </c>
      <c r="F62" s="42"/>
      <c r="G62" s="42"/>
      <c r="H62" s="42"/>
      <c r="I62" s="42" t="s">
        <v>329</v>
      </c>
      <c r="J62" s="42" t="s">
        <v>840</v>
      </c>
      <c r="K62" s="53">
        <f t="shared" si="8"/>
        <v>640</v>
      </c>
      <c r="L62" s="44">
        <f t="shared" si="9"/>
        <v>431.42700000000002</v>
      </c>
      <c r="M62" s="42" t="s">
        <v>858</v>
      </c>
      <c r="N62" s="52" t="str">
        <f t="shared" si="5"/>
        <v>(12,'PS-12-OK1','Poste de Sectionnement n°12 OK1','1972-01-01','1972-01-01',,,),</v>
      </c>
    </row>
    <row r="63" spans="1:14" ht="20.100000000000001" customHeight="1" x14ac:dyDescent="0.25">
      <c r="A63" s="39">
        <v>13</v>
      </c>
      <c r="B63" s="48" t="str">
        <f t="shared" si="10"/>
        <v>PS-13-OK1</v>
      </c>
      <c r="C63" s="52" t="str">
        <f t="shared" si="11"/>
        <v>Poste de Sectionnement n°13 OK1</v>
      </c>
      <c r="D63" s="19">
        <v>26299</v>
      </c>
      <c r="E63" s="19">
        <v>26299</v>
      </c>
      <c r="F63" s="42"/>
      <c r="G63" s="42"/>
      <c r="H63" s="42"/>
      <c r="I63" s="42" t="s">
        <v>329</v>
      </c>
      <c r="J63" s="42" t="s">
        <v>841</v>
      </c>
      <c r="K63" s="53">
        <f t="shared" si="8"/>
        <v>930</v>
      </c>
      <c r="L63" s="44">
        <f t="shared" si="9"/>
        <v>463.12099999999998</v>
      </c>
      <c r="M63" s="42" t="s">
        <v>859</v>
      </c>
      <c r="N63" s="52" t="str">
        <f t="shared" si="5"/>
        <v>(13,'PS-13-OK1','Poste de Sectionnement n°13 OK1','1972-01-01','1972-01-01',,,),</v>
      </c>
    </row>
    <row r="64" spans="1:14" ht="20.100000000000001" customHeight="1" x14ac:dyDescent="0.25">
      <c r="A64" s="39">
        <v>14</v>
      </c>
      <c r="B64" s="48" t="str">
        <f t="shared" si="10"/>
        <v>PS-14-OK1</v>
      </c>
      <c r="C64" s="52" t="str">
        <f t="shared" si="11"/>
        <v>Poste de Sectionnement n°14 OK1</v>
      </c>
      <c r="D64" s="19">
        <v>26299</v>
      </c>
      <c r="E64" s="19">
        <v>26299</v>
      </c>
      <c r="F64" s="42"/>
      <c r="G64" s="42"/>
      <c r="H64" s="42"/>
      <c r="I64" s="42" t="s">
        <v>329</v>
      </c>
      <c r="J64" s="42" t="s">
        <v>842</v>
      </c>
      <c r="K64" s="53">
        <f t="shared" si="8"/>
        <v>950</v>
      </c>
      <c r="L64" s="44">
        <f t="shared" si="9"/>
        <v>494.38600000000002</v>
      </c>
      <c r="M64" s="42" t="s">
        <v>860</v>
      </c>
      <c r="N64" s="52" t="str">
        <f t="shared" si="5"/>
        <v>(14,'PS-14-OK1','Poste de Sectionnement n°14 OK1','1972-01-01','1972-01-01',,,),</v>
      </c>
    </row>
    <row r="65" spans="1:14" ht="20.100000000000001" customHeight="1" x14ac:dyDescent="0.25">
      <c r="A65" s="39" t="s">
        <v>869</v>
      </c>
      <c r="B65" s="48" t="str">
        <f t="shared" ref="B65" si="14">CONCATENATE("PS-",TEXT(A65,"00"),"-",I65)</f>
        <v>PS-14Bis-OK1</v>
      </c>
      <c r="C65" s="52" t="str">
        <f t="shared" ref="C65" si="15">CONCATENATE("Poste de Sectionnement n°",TEXT(A65,"00")," ",I65)</f>
        <v>Poste de Sectionnement n°14Bis OK1</v>
      </c>
      <c r="D65" s="19">
        <v>26299</v>
      </c>
      <c r="E65" s="19">
        <v>26299</v>
      </c>
      <c r="F65" s="42"/>
      <c r="G65" s="42"/>
      <c r="H65" s="42"/>
      <c r="I65" s="42" t="s">
        <v>329</v>
      </c>
      <c r="J65" s="42" t="s">
        <v>843</v>
      </c>
      <c r="K65" s="53">
        <f t="shared" ref="K65" si="16">VALUE(RIGHT(J65,LEN(J65)-SEARCH("/",J65)))</f>
        <v>830</v>
      </c>
      <c r="L65" s="44">
        <f t="shared" ref="L65" si="17">VALUE(SUBSTITUTE(LEFT(J65,SEARCH("/",J65)-1),"+",","))</f>
        <v>516.94600000000003</v>
      </c>
      <c r="M65" s="42" t="s">
        <v>861</v>
      </c>
      <c r="N65" s="52" t="str">
        <f t="shared" si="5"/>
        <v>(14Bis,'PS-14Bis-OK1','Poste de Sectionnement n°14Bis OK1','1972-01-01','1972-01-01',,,),</v>
      </c>
    </row>
    <row r="66" spans="1:14" ht="20.100000000000001" customHeight="1" x14ac:dyDescent="0.25">
      <c r="A66" s="39">
        <v>15</v>
      </c>
      <c r="B66" s="48" t="str">
        <f t="shared" si="10"/>
        <v>PS-15-OK1</v>
      </c>
      <c r="C66" s="52" t="str">
        <f t="shared" si="11"/>
        <v>Poste de Sectionnement n°15 OK1</v>
      </c>
      <c r="D66" s="19">
        <v>26299</v>
      </c>
      <c r="E66" s="19">
        <v>26299</v>
      </c>
      <c r="F66" s="42"/>
      <c r="G66" s="42"/>
      <c r="H66" s="42"/>
      <c r="I66" s="42" t="s">
        <v>329</v>
      </c>
      <c r="J66" s="42" t="s">
        <v>844</v>
      </c>
      <c r="K66" s="53">
        <f t="shared" si="8"/>
        <v>670</v>
      </c>
      <c r="L66" s="44">
        <f t="shared" si="9"/>
        <v>547.42700000000002</v>
      </c>
      <c r="M66" s="42" t="s">
        <v>862</v>
      </c>
      <c r="N66" s="52" t="str">
        <f t="shared" si="5"/>
        <v>(15,'PS-15-OK1','Poste de Sectionnement n°15 OK1','1972-01-01','1972-01-01',,,),</v>
      </c>
    </row>
    <row r="67" spans="1:14" ht="20.100000000000001" customHeight="1" x14ac:dyDescent="0.25">
      <c r="A67" s="39">
        <v>16</v>
      </c>
      <c r="B67" s="48" t="str">
        <f t="shared" si="10"/>
        <v>PS-16-OK1</v>
      </c>
      <c r="C67" s="52" t="str">
        <f t="shared" si="11"/>
        <v>Poste de Sectionnement n°16 OK1</v>
      </c>
      <c r="D67" s="19">
        <v>26299</v>
      </c>
      <c r="E67" s="19">
        <v>26299</v>
      </c>
      <c r="F67" s="42"/>
      <c r="G67" s="42"/>
      <c r="H67" s="42"/>
      <c r="I67" s="42" t="s">
        <v>329</v>
      </c>
      <c r="J67" s="42" t="s">
        <v>845</v>
      </c>
      <c r="K67" s="53">
        <f t="shared" si="8"/>
        <v>600</v>
      </c>
      <c r="L67" s="44">
        <f t="shared" si="9"/>
        <v>576.28499999999997</v>
      </c>
      <c r="M67" s="42" t="s">
        <v>863</v>
      </c>
      <c r="N67" s="52" t="str">
        <f t="shared" si="5"/>
        <v>(16,'PS-16-OK1','Poste de Sectionnement n°16 OK1','1972-01-01','1972-01-01',,,),</v>
      </c>
    </row>
    <row r="68" spans="1:14" ht="20.100000000000001" customHeight="1" x14ac:dyDescent="0.25">
      <c r="A68" s="39" t="s">
        <v>870</v>
      </c>
      <c r="B68" s="48" t="str">
        <f t="shared" ref="B68" si="18">CONCATENATE("PS-",TEXT(A68,"00"),"-",I68)</f>
        <v>PS-16Bis-OK1</v>
      </c>
      <c r="C68" s="52" t="str">
        <f t="shared" ref="C68" si="19">CONCATENATE("Poste de Sectionnement n°",TEXT(A68,"00")," ",I68)</f>
        <v>Poste de Sectionnement n°16Bis OK1</v>
      </c>
      <c r="D68" s="19">
        <v>26299</v>
      </c>
      <c r="E68" s="19">
        <v>26299</v>
      </c>
      <c r="F68" s="42"/>
      <c r="G68" s="42"/>
      <c r="H68" s="42"/>
      <c r="I68" s="42" t="s">
        <v>329</v>
      </c>
      <c r="J68" s="42" t="s">
        <v>846</v>
      </c>
      <c r="K68" s="53">
        <f t="shared" ref="K68" si="20">VALUE(RIGHT(J68,LEN(J68)-SEARCH("/",J68)))</f>
        <v>460</v>
      </c>
      <c r="L68" s="44">
        <f t="shared" ref="L68" si="21">VALUE(SUBSTITUTE(LEFT(J68,SEARCH("/",J68)-1),"+",","))</f>
        <v>596.13699999999994</v>
      </c>
      <c r="M68" s="42" t="s">
        <v>864</v>
      </c>
      <c r="N68" s="52" t="str">
        <f t="shared" si="5"/>
        <v>(16Bis,'PS-16Bis-OK1','Poste de Sectionnement n°16Bis OK1','1972-01-01','1972-01-01',,,),</v>
      </c>
    </row>
    <row r="69" spans="1:14" ht="20.100000000000001" customHeight="1" x14ac:dyDescent="0.25">
      <c r="A69" s="39">
        <v>17</v>
      </c>
      <c r="B69" s="48" t="str">
        <f t="shared" si="10"/>
        <v>PS-17-OK1</v>
      </c>
      <c r="C69" s="52" t="str">
        <f t="shared" si="11"/>
        <v>Poste de Sectionnement n°17 OK1</v>
      </c>
      <c r="D69" s="19">
        <v>26299</v>
      </c>
      <c r="E69" s="19">
        <v>26299</v>
      </c>
      <c r="F69" s="42"/>
      <c r="G69" s="42"/>
      <c r="H69" s="42"/>
      <c r="I69" s="42" t="s">
        <v>329</v>
      </c>
      <c r="J69" s="42" t="s">
        <v>847</v>
      </c>
      <c r="K69" s="53">
        <f t="shared" si="8"/>
        <v>12</v>
      </c>
      <c r="L69" s="44">
        <f t="shared" si="9"/>
        <v>615.01199999999994</v>
      </c>
      <c r="M69" s="42" t="s">
        <v>865</v>
      </c>
      <c r="N69" s="52" t="str">
        <f t="shared" si="5"/>
        <v>(17,'PS-17-OK1','Poste de Sectionnement n°17 OK1','1972-01-01','1972-01-01',,,),</v>
      </c>
    </row>
    <row r="70" spans="1:14" ht="20.100000000000001" customHeight="1" x14ac:dyDescent="0.25">
      <c r="A70" s="39">
        <v>18</v>
      </c>
      <c r="B70" s="48" t="str">
        <f t="shared" si="10"/>
        <v>PS-18-OK1</v>
      </c>
      <c r="C70" s="52" t="str">
        <f t="shared" si="11"/>
        <v>Poste de Sectionnement n°18 OK1</v>
      </c>
      <c r="D70" s="19">
        <v>26299</v>
      </c>
      <c r="E70" s="19">
        <v>26299</v>
      </c>
      <c r="F70" s="42"/>
      <c r="G70" s="42"/>
      <c r="H70" s="42"/>
      <c r="I70" s="42" t="s">
        <v>329</v>
      </c>
      <c r="J70" s="42" t="s">
        <v>848</v>
      </c>
      <c r="K70" s="53">
        <f t="shared" si="8"/>
        <v>12</v>
      </c>
      <c r="L70" s="44">
        <f t="shared" si="9"/>
        <v>646.74699999999996</v>
      </c>
      <c r="M70" s="42" t="s">
        <v>866</v>
      </c>
      <c r="N70" s="52" t="str">
        <f t="shared" si="5"/>
        <v>(18,'PS-18-OK1','Poste de Sectionnement n°18 OK1','1972-01-01','1972-01-01',,,),</v>
      </c>
    </row>
    <row r="71" spans="1:14" ht="20.100000000000001" customHeight="1" x14ac:dyDescent="0.25">
      <c r="A71" s="39">
        <v>1</v>
      </c>
      <c r="B71" s="40" t="str">
        <f t="shared" si="10"/>
        <v>PS-01-OB1</v>
      </c>
      <c r="C71" s="52" t="str">
        <f t="shared" si="11"/>
        <v>Poste de Sectionnement n°01 OB1</v>
      </c>
      <c r="D71" s="19">
        <v>21864</v>
      </c>
      <c r="E71" s="19">
        <v>21864</v>
      </c>
      <c r="F71" s="42"/>
      <c r="G71" s="42"/>
      <c r="H71" s="42"/>
      <c r="I71" s="42" t="s">
        <v>332</v>
      </c>
      <c r="J71" s="42" t="s">
        <v>872</v>
      </c>
      <c r="K71" s="53">
        <f t="shared" ref="K71:K76" si="22">VALUE(RIGHT(J71,LEN(J71)-SEARCH("/",J71)))</f>
        <v>119.9</v>
      </c>
      <c r="L71" s="44">
        <f t="shared" ref="L71:L76" si="23">VALUE(SUBSTITUTE(LEFT(J71,SEARCH("/",J71)-1),"+",","))</f>
        <v>64.447999999999993</v>
      </c>
      <c r="M71" s="42" t="s">
        <v>878</v>
      </c>
      <c r="N71" s="52" t="str">
        <f t="shared" si="5"/>
        <v>(1,'PS-01-OB1','Poste de Sectionnement n°01 OB1','1959-11-10','1959-11-10',,,),</v>
      </c>
    </row>
    <row r="72" spans="1:14" ht="20.100000000000001" customHeight="1" x14ac:dyDescent="0.25">
      <c r="A72" s="39">
        <v>2</v>
      </c>
      <c r="B72" s="40" t="str">
        <f t="shared" ref="B72:B77" si="24">CONCATENATE("PS-",TEXT(A72,"00"),"-",I72)</f>
        <v>PS-02-OB1</v>
      </c>
      <c r="C72" s="52" t="str">
        <f t="shared" ref="C72:C77" si="25">CONCATENATE("Poste de Sectionnement n°",TEXT(A72,"00")," ",I72)</f>
        <v>Poste de Sectionnement n°02 OB1</v>
      </c>
      <c r="D72" s="19">
        <v>21864</v>
      </c>
      <c r="E72" s="19">
        <v>21864</v>
      </c>
      <c r="F72" s="42"/>
      <c r="G72" s="42"/>
      <c r="H72" s="42"/>
      <c r="I72" s="42" t="s">
        <v>332</v>
      </c>
      <c r="J72" s="42" t="s">
        <v>873</v>
      </c>
      <c r="K72" s="53">
        <f t="shared" si="22"/>
        <v>89.5</v>
      </c>
      <c r="L72" s="44">
        <f t="shared" si="23"/>
        <v>134.96</v>
      </c>
      <c r="M72" s="42" t="s">
        <v>879</v>
      </c>
      <c r="N72" s="52" t="str">
        <f t="shared" si="5"/>
        <v>(2,'PS-02-OB1','Poste de Sectionnement n°02 OB1','1959-11-10','1959-11-10',,,),</v>
      </c>
    </row>
    <row r="73" spans="1:14" ht="20.100000000000001" customHeight="1" x14ac:dyDescent="0.25">
      <c r="A73" s="39">
        <v>3</v>
      </c>
      <c r="B73" s="40" t="str">
        <f t="shared" si="24"/>
        <v>PS-03-OB1</v>
      </c>
      <c r="C73" s="52" t="str">
        <f t="shared" si="25"/>
        <v>Poste de Sectionnement n°03 OB1</v>
      </c>
      <c r="D73" s="19">
        <v>21864</v>
      </c>
      <c r="E73" s="19">
        <v>21864</v>
      </c>
      <c r="F73" s="42"/>
      <c r="G73" s="42"/>
      <c r="H73" s="42"/>
      <c r="I73" s="42" t="s">
        <v>332</v>
      </c>
      <c r="J73" s="42" t="s">
        <v>874</v>
      </c>
      <c r="K73" s="53">
        <f t="shared" si="22"/>
        <v>82.82</v>
      </c>
      <c r="L73" s="44">
        <f t="shared" si="23"/>
        <v>265.02999999999997</v>
      </c>
      <c r="M73" s="42" t="s">
        <v>880</v>
      </c>
      <c r="N73" s="52" t="str">
        <f t="shared" si="5"/>
        <v>(3,'PS-03-OB1','Poste de Sectionnement n°03 OB1','1959-11-10','1959-11-10',,,),</v>
      </c>
    </row>
    <row r="74" spans="1:14" ht="20.100000000000001" customHeight="1" x14ac:dyDescent="0.25">
      <c r="A74" s="39">
        <v>4</v>
      </c>
      <c r="B74" s="40" t="str">
        <f t="shared" si="24"/>
        <v>PS-04-OB1</v>
      </c>
      <c r="C74" s="52" t="str">
        <f t="shared" si="25"/>
        <v>Poste de Sectionnement n°04 OB1</v>
      </c>
      <c r="D74" s="19">
        <v>21864</v>
      </c>
      <c r="E74" s="19">
        <v>21864</v>
      </c>
      <c r="F74" s="42"/>
      <c r="G74" s="42"/>
      <c r="H74" s="42"/>
      <c r="I74" s="42" t="s">
        <v>332</v>
      </c>
      <c r="J74" s="42" t="s">
        <v>875</v>
      </c>
      <c r="K74" s="53">
        <f t="shared" si="22"/>
        <v>46.96</v>
      </c>
      <c r="L74" s="44">
        <f t="shared" si="23"/>
        <v>313.54000000000002</v>
      </c>
      <c r="M74" s="42" t="s">
        <v>881</v>
      </c>
      <c r="N74" s="52" t="str">
        <f t="shared" si="5"/>
        <v>(4,'PS-04-OB1','Poste de Sectionnement n°04 OB1','1959-11-10','1959-11-10',,,),</v>
      </c>
    </row>
    <row r="75" spans="1:14" ht="20.100000000000001" customHeight="1" x14ac:dyDescent="0.25">
      <c r="A75" s="39" t="s">
        <v>871</v>
      </c>
      <c r="B75" s="40" t="str">
        <f t="shared" si="24"/>
        <v>PS-04Bis-OB1</v>
      </c>
      <c r="C75" s="52" t="str">
        <f t="shared" si="25"/>
        <v>Poste de Sectionnement n°04Bis OB1</v>
      </c>
      <c r="D75" s="19">
        <v>21864</v>
      </c>
      <c r="E75" s="19">
        <v>21864</v>
      </c>
      <c r="F75" s="42"/>
      <c r="G75" s="42"/>
      <c r="H75" s="42"/>
      <c r="I75" s="42" t="s">
        <v>332</v>
      </c>
      <c r="J75" s="42" t="s">
        <v>876</v>
      </c>
      <c r="K75" s="53">
        <f t="shared" si="22"/>
        <v>294.27699999999999</v>
      </c>
      <c r="L75" s="44">
        <f t="shared" si="23"/>
        <v>373.43099999999998</v>
      </c>
      <c r="M75" s="42" t="s">
        <v>882</v>
      </c>
      <c r="N75" s="52" t="str">
        <f t="shared" si="5"/>
        <v>(04Bis,'PS-04Bis-OB1','Poste de Sectionnement n°04Bis OB1','1959-11-10','1959-11-10',,,),</v>
      </c>
    </row>
    <row r="76" spans="1:14" ht="20.100000000000001" customHeight="1" x14ac:dyDescent="0.25">
      <c r="A76" s="39">
        <v>5</v>
      </c>
      <c r="B76" s="40" t="str">
        <f t="shared" si="24"/>
        <v>PS-05-OB1</v>
      </c>
      <c r="C76" s="52" t="str">
        <f t="shared" si="25"/>
        <v>Poste de Sectionnement n°05 OB1</v>
      </c>
      <c r="D76" s="19">
        <v>21864</v>
      </c>
      <c r="E76" s="19">
        <v>21864</v>
      </c>
      <c r="F76" s="42"/>
      <c r="G76" s="42"/>
      <c r="H76" s="42"/>
      <c r="I76" s="42" t="s">
        <v>332</v>
      </c>
      <c r="J76" s="42" t="s">
        <v>877</v>
      </c>
      <c r="K76" s="53">
        <f t="shared" si="22"/>
        <v>419.75</v>
      </c>
      <c r="L76" s="44">
        <f t="shared" si="23"/>
        <v>449.6</v>
      </c>
      <c r="M76" s="42" t="s">
        <v>883</v>
      </c>
      <c r="N76" s="52" t="str">
        <f t="shared" si="5"/>
        <v>(5,'PS-05-OB1','Poste de Sectionnement n°05 OB1','1959-11-10','1959-11-10',,,),</v>
      </c>
    </row>
    <row r="77" spans="1:14" ht="20.100000000000001" customHeight="1" x14ac:dyDescent="0.25">
      <c r="A77" s="39" t="s">
        <v>886</v>
      </c>
      <c r="B77" s="40" t="str">
        <f t="shared" si="24"/>
        <v>PS-N01-ROB1</v>
      </c>
      <c r="C77" s="52" t="str">
        <f t="shared" si="25"/>
        <v>Poste de Sectionnement n°N01 ROB1</v>
      </c>
      <c r="D77" s="19">
        <v>44089</v>
      </c>
      <c r="E77" s="19">
        <v>44089</v>
      </c>
      <c r="F77" s="42"/>
      <c r="G77" s="42"/>
      <c r="H77" s="42"/>
      <c r="I77" s="42" t="s">
        <v>884</v>
      </c>
      <c r="J77" s="42" t="s">
        <v>901</v>
      </c>
      <c r="K77" s="53">
        <f t="shared" ref="K77:K96" si="26">VALUE(RIGHT(J77,LEN(J77)-SEARCH("/",J77)))</f>
        <v>527</v>
      </c>
      <c r="L77" s="44">
        <f t="shared" ref="L77:L96" si="27">VALUE(SUBSTITUTE(LEFT(J77,SEARCH("/",J77)-1),"+",","))</f>
        <v>10.201000000000001</v>
      </c>
      <c r="M77" s="42" t="s">
        <v>988</v>
      </c>
      <c r="N77" s="52" t="str">
        <f t="shared" ref="N77:N96" si="28">CONCATENATE("(",A77,",'",B77,"','",C77,"','",TEXT(D77,"aaaa-mm-jj"),"','",TEXT(E77,"aaaa-mm-jj"),"',",F77,",",G77,",",H77,"),")</f>
        <v>(N01,'PS-N01-ROB1','Poste de Sectionnement n°N01 ROB1','2020-09-15','2020-09-15',,,),</v>
      </c>
    </row>
    <row r="78" spans="1:14" ht="20.100000000000001" customHeight="1" x14ac:dyDescent="0.25">
      <c r="A78" s="39" t="s">
        <v>887</v>
      </c>
      <c r="B78" s="40" t="str">
        <f t="shared" ref="B78:B82" si="29">CONCATENATE("PS-",TEXT(A78,"00"),"-",I78)</f>
        <v>PS-N02-ROB1</v>
      </c>
      <c r="C78" s="52" t="str">
        <f t="shared" ref="C78:C82" si="30">CONCATENATE("Poste de Sectionnement n°",TEXT(A78,"00")," ",I78)</f>
        <v>Poste de Sectionnement n°N02 ROB1</v>
      </c>
      <c r="D78" s="19">
        <v>44089</v>
      </c>
      <c r="E78" s="19">
        <v>44089</v>
      </c>
      <c r="F78" s="42"/>
      <c r="G78" s="42"/>
      <c r="H78" s="42"/>
      <c r="I78" s="42" t="s">
        <v>884</v>
      </c>
      <c r="J78" s="42" t="s">
        <v>902</v>
      </c>
      <c r="K78" s="53">
        <f t="shared" si="26"/>
        <v>669.4</v>
      </c>
      <c r="L78" s="44">
        <f t="shared" si="27"/>
        <v>23.334</v>
      </c>
      <c r="M78" s="42" t="s">
        <v>989</v>
      </c>
      <c r="N78" s="52" t="str">
        <f t="shared" si="28"/>
        <v>(N02,'PS-N02-ROB1','Poste de Sectionnement n°N02 ROB1','2020-09-15','2020-09-15',,,),</v>
      </c>
    </row>
    <row r="79" spans="1:14" ht="20.100000000000001" customHeight="1" x14ac:dyDescent="0.25">
      <c r="A79" s="39" t="s">
        <v>888</v>
      </c>
      <c r="B79" s="40" t="str">
        <f t="shared" si="29"/>
        <v>PS-N03-ROB1</v>
      </c>
      <c r="C79" s="52" t="str">
        <f t="shared" si="30"/>
        <v>Poste de Sectionnement n°N03 ROB1</v>
      </c>
      <c r="D79" s="19">
        <v>44089</v>
      </c>
      <c r="E79" s="19">
        <v>44089</v>
      </c>
      <c r="F79" s="42"/>
      <c r="G79" s="42"/>
      <c r="H79" s="42"/>
      <c r="I79" s="42" t="s">
        <v>884</v>
      </c>
      <c r="J79" s="42" t="s">
        <v>903</v>
      </c>
      <c r="K79" s="53">
        <f t="shared" si="26"/>
        <v>828.3</v>
      </c>
      <c r="L79" s="44">
        <f t="shared" si="27"/>
        <v>35.04</v>
      </c>
      <c r="M79" s="42" t="s">
        <v>989</v>
      </c>
      <c r="N79" s="52" t="str">
        <f t="shared" si="28"/>
        <v>(N03,'PS-N03-ROB1','Poste de Sectionnement n°N03 ROB1','2020-09-15','2020-09-15',,,),</v>
      </c>
    </row>
    <row r="80" spans="1:14" ht="20.100000000000001" customHeight="1" x14ac:dyDescent="0.25">
      <c r="A80" s="39" t="s">
        <v>891</v>
      </c>
      <c r="B80" s="40" t="str">
        <f t="shared" si="29"/>
        <v>PS-N03Bis-ROB1</v>
      </c>
      <c r="C80" s="52" t="str">
        <f t="shared" si="30"/>
        <v>Poste de Sectionnement n°N03Bis ROB1</v>
      </c>
      <c r="D80" s="19">
        <v>44089</v>
      </c>
      <c r="E80" s="19">
        <v>44089</v>
      </c>
      <c r="F80" s="42"/>
      <c r="G80" s="42"/>
      <c r="H80" s="42"/>
      <c r="I80" s="42" t="s">
        <v>884</v>
      </c>
      <c r="J80" s="42" t="s">
        <v>904</v>
      </c>
      <c r="K80" s="53">
        <f t="shared" si="26"/>
        <v>1032.25</v>
      </c>
      <c r="L80" s="44">
        <f t="shared" si="27"/>
        <v>45.691000000000003</v>
      </c>
      <c r="M80" s="42" t="s">
        <v>990</v>
      </c>
      <c r="N80" s="52" t="str">
        <f t="shared" si="28"/>
        <v>(N03Bis,'PS-N03Bis-ROB1','Poste de Sectionnement n°N03Bis ROB1','2020-09-15','2020-09-15',,,),</v>
      </c>
    </row>
    <row r="81" spans="1:14" ht="20.100000000000001" customHeight="1" x14ac:dyDescent="0.25">
      <c r="A81" s="39" t="s">
        <v>889</v>
      </c>
      <c r="B81" s="40" t="str">
        <f>CONCATENATE("PS-",TEXT(A81,"00"),"-",I81)</f>
        <v>PS-N04-ROB1</v>
      </c>
      <c r="C81" s="52" t="str">
        <f>CONCATENATE("Poste de Sectionnement n°",TEXT(A81,"00")," ",I81)</f>
        <v>Poste de Sectionnement n°N04 ROB1</v>
      </c>
      <c r="D81" s="19">
        <v>44089</v>
      </c>
      <c r="E81" s="19">
        <v>44089</v>
      </c>
      <c r="F81" s="42"/>
      <c r="G81" s="42"/>
      <c r="H81" s="42"/>
      <c r="I81" s="42" t="s">
        <v>884</v>
      </c>
      <c r="J81" s="42" t="s">
        <v>905</v>
      </c>
      <c r="K81" s="53">
        <f t="shared" si="26"/>
        <v>645.59</v>
      </c>
      <c r="L81" s="44">
        <f t="shared" si="27"/>
        <v>55.241</v>
      </c>
      <c r="M81" s="42" t="s">
        <v>990</v>
      </c>
      <c r="N81" s="52" t="str">
        <f t="shared" si="28"/>
        <v>(N04,'PS-N04-ROB1','Poste de Sectionnement n°N04 ROB1','2020-09-15','2020-09-15',,,),</v>
      </c>
    </row>
    <row r="82" spans="1:14" ht="20.100000000000001" customHeight="1" x14ac:dyDescent="0.25">
      <c r="A82" s="39" t="s">
        <v>890</v>
      </c>
      <c r="B82" s="40" t="str">
        <f t="shared" si="29"/>
        <v>PS-N05-ROB1</v>
      </c>
      <c r="C82" s="52" t="str">
        <f t="shared" si="30"/>
        <v>Poste de Sectionnement n°N05 ROB1</v>
      </c>
      <c r="D82" s="19">
        <v>44089</v>
      </c>
      <c r="E82" s="19">
        <v>44089</v>
      </c>
      <c r="F82" s="42"/>
      <c r="G82" s="42"/>
      <c r="H82" s="42"/>
      <c r="I82" s="42" t="s">
        <v>884</v>
      </c>
      <c r="J82" s="42" t="s">
        <v>906</v>
      </c>
      <c r="K82" s="53">
        <f t="shared" si="26"/>
        <v>499.52</v>
      </c>
      <c r="L82" s="44">
        <f t="shared" si="27"/>
        <v>66.156999999999996</v>
      </c>
      <c r="M82" s="42" t="s">
        <v>990</v>
      </c>
      <c r="N82" s="52" t="str">
        <f t="shared" si="28"/>
        <v>(N05,'PS-N05-ROB1','Poste de Sectionnement n°N05 ROB1','2020-09-15','2020-09-15',,,),</v>
      </c>
    </row>
    <row r="83" spans="1:14" ht="20.100000000000001" customHeight="1" x14ac:dyDescent="0.25">
      <c r="A83" s="39" t="s">
        <v>892</v>
      </c>
      <c r="B83" s="40" t="str">
        <f t="shared" ref="B83:B91" si="31">CONCATENATE("PS-",TEXT(A83,"00"),"-",I83)</f>
        <v>PS-N06-ROB1</v>
      </c>
      <c r="C83" s="52" t="str">
        <f t="shared" ref="C83:C91" si="32">CONCATENATE("Poste de Sectionnement n°",TEXT(A83,"00")," ",I83)</f>
        <v>Poste de Sectionnement n°N06 ROB1</v>
      </c>
      <c r="D83" s="19">
        <v>44089</v>
      </c>
      <c r="E83" s="19">
        <v>44089</v>
      </c>
      <c r="F83" s="42"/>
      <c r="G83" s="42"/>
      <c r="H83" s="42"/>
      <c r="I83" s="42" t="s">
        <v>884</v>
      </c>
      <c r="J83" s="42" t="s">
        <v>907</v>
      </c>
      <c r="K83" s="53">
        <f t="shared" si="26"/>
        <v>383.8</v>
      </c>
      <c r="L83" s="44">
        <f t="shared" si="27"/>
        <v>80.11</v>
      </c>
      <c r="M83" s="42" t="s">
        <v>991</v>
      </c>
      <c r="N83" s="52" t="str">
        <f t="shared" si="28"/>
        <v>(N06,'PS-N06-ROB1','Poste de Sectionnement n°N06 ROB1','2020-09-15','2020-09-15',,,),</v>
      </c>
    </row>
    <row r="84" spans="1:14" ht="20.100000000000001" customHeight="1" x14ac:dyDescent="0.25">
      <c r="A84" s="39" t="s">
        <v>900</v>
      </c>
      <c r="B84" s="40" t="str">
        <f t="shared" si="31"/>
        <v>PS-N06Bis-ROB1</v>
      </c>
      <c r="C84" s="52" t="str">
        <f t="shared" si="32"/>
        <v>Poste de Sectionnement n°N06Bis ROB1</v>
      </c>
      <c r="D84" s="19">
        <v>44089</v>
      </c>
      <c r="E84" s="19">
        <v>44089</v>
      </c>
      <c r="F84" s="42"/>
      <c r="G84" s="42"/>
      <c r="H84" s="42"/>
      <c r="I84" s="42" t="s">
        <v>884</v>
      </c>
      <c r="J84" s="42" t="s">
        <v>908</v>
      </c>
      <c r="K84" s="53">
        <f t="shared" si="26"/>
        <v>348.31</v>
      </c>
      <c r="L84" s="44">
        <f t="shared" si="27"/>
        <v>87.917000000000002</v>
      </c>
      <c r="M84" s="42" t="s">
        <v>992</v>
      </c>
      <c r="N84" s="52" t="str">
        <f t="shared" si="28"/>
        <v>(N06Bis,'PS-N06Bis-ROB1','Poste de Sectionnement n°N06Bis ROB1','2020-09-15','2020-09-15',,,),</v>
      </c>
    </row>
    <row r="85" spans="1:14" ht="20.100000000000001" customHeight="1" x14ac:dyDescent="0.25">
      <c r="A85" s="39" t="s">
        <v>893</v>
      </c>
      <c r="B85" s="40" t="str">
        <f t="shared" si="31"/>
        <v>PS-N07-ROB1</v>
      </c>
      <c r="C85" s="52" t="str">
        <f t="shared" si="32"/>
        <v>Poste de Sectionnement n°N07 ROB1</v>
      </c>
      <c r="D85" s="19">
        <v>44089</v>
      </c>
      <c r="E85" s="19">
        <v>44089</v>
      </c>
      <c r="F85" s="42"/>
      <c r="G85" s="42"/>
      <c r="H85" s="42"/>
      <c r="I85" s="42" t="s">
        <v>884</v>
      </c>
      <c r="J85" s="42" t="s">
        <v>909</v>
      </c>
      <c r="K85" s="53">
        <f t="shared" si="26"/>
        <v>228.55</v>
      </c>
      <c r="L85" s="44">
        <f t="shared" si="27"/>
        <v>99.33</v>
      </c>
      <c r="M85" s="42" t="s">
        <v>993</v>
      </c>
      <c r="N85" s="52" t="str">
        <f t="shared" si="28"/>
        <v>(N07,'PS-N07-ROB1','Poste de Sectionnement n°N07 ROB1','2020-09-15','2020-09-15',,,),</v>
      </c>
    </row>
    <row r="86" spans="1:14" ht="20.100000000000001" customHeight="1" x14ac:dyDescent="0.25">
      <c r="A86" s="39" t="s">
        <v>894</v>
      </c>
      <c r="B86" s="40" t="str">
        <f t="shared" si="31"/>
        <v>PS-N08-ROB1</v>
      </c>
      <c r="C86" s="52" t="str">
        <f t="shared" si="32"/>
        <v>Poste de Sectionnement n°N08 ROB1</v>
      </c>
      <c r="D86" s="19">
        <v>44089</v>
      </c>
      <c r="E86" s="19">
        <v>44089</v>
      </c>
      <c r="F86" s="42"/>
      <c r="G86" s="42"/>
      <c r="H86" s="42"/>
      <c r="I86" s="42" t="s">
        <v>884</v>
      </c>
      <c r="J86" s="42" t="s">
        <v>910</v>
      </c>
      <c r="K86" s="53">
        <f t="shared" si="26"/>
        <v>183.24</v>
      </c>
      <c r="L86" s="44">
        <f t="shared" si="27"/>
        <v>111.46299999999999</v>
      </c>
      <c r="M86" s="42" t="s">
        <v>994</v>
      </c>
      <c r="N86" s="52" t="str">
        <f t="shared" si="28"/>
        <v>(N08,'PS-N08-ROB1','Poste de Sectionnement n°N08 ROB1','2020-09-15','2020-09-15',,,),</v>
      </c>
    </row>
    <row r="87" spans="1:14" ht="20.100000000000001" customHeight="1" x14ac:dyDescent="0.25">
      <c r="A87" s="39" t="s">
        <v>895</v>
      </c>
      <c r="B87" s="40" t="str">
        <f t="shared" si="31"/>
        <v>PS-N09-ROB1</v>
      </c>
      <c r="C87" s="52" t="str">
        <f t="shared" si="32"/>
        <v>Poste de Sectionnement n°N09 ROB1</v>
      </c>
      <c r="D87" s="19">
        <v>44089</v>
      </c>
      <c r="E87" s="19">
        <v>44089</v>
      </c>
      <c r="F87" s="42"/>
      <c r="G87" s="42"/>
      <c r="H87" s="42"/>
      <c r="I87" s="42" t="s">
        <v>884</v>
      </c>
      <c r="J87" s="42" t="s">
        <v>911</v>
      </c>
      <c r="K87" s="53">
        <f t="shared" si="26"/>
        <v>138.97</v>
      </c>
      <c r="L87" s="44">
        <f t="shared" si="27"/>
        <v>122.13</v>
      </c>
      <c r="M87" s="42" t="s">
        <v>995</v>
      </c>
      <c r="N87" s="52" t="str">
        <f t="shared" si="28"/>
        <v>(N09,'PS-N09-ROB1','Poste de Sectionnement n°N09 ROB1','2020-09-15','2020-09-15',,,),</v>
      </c>
    </row>
    <row r="88" spans="1:14" ht="20.100000000000001" customHeight="1" x14ac:dyDescent="0.25">
      <c r="A88" s="39" t="s">
        <v>896</v>
      </c>
      <c r="B88" s="40" t="str">
        <f t="shared" si="31"/>
        <v>PS-N10-ROB1</v>
      </c>
      <c r="C88" s="52" t="str">
        <f t="shared" si="32"/>
        <v>Poste de Sectionnement n°N10 ROB1</v>
      </c>
      <c r="D88" s="19">
        <v>44089</v>
      </c>
      <c r="E88" s="19">
        <v>44089</v>
      </c>
      <c r="F88" s="42"/>
      <c r="G88" s="42"/>
      <c r="H88" s="42"/>
      <c r="I88" s="42" t="s">
        <v>884</v>
      </c>
      <c r="J88" s="42" t="s">
        <v>912</v>
      </c>
      <c r="K88" s="53">
        <f t="shared" si="26"/>
        <v>97.74</v>
      </c>
      <c r="L88" s="44">
        <f t="shared" si="27"/>
        <v>133.07</v>
      </c>
      <c r="M88" s="42" t="s">
        <v>996</v>
      </c>
      <c r="N88" s="52" t="str">
        <f t="shared" si="28"/>
        <v>(N10,'PS-N10-ROB1','Poste de Sectionnement n°N10 ROB1','2020-09-15','2020-09-15',,,),</v>
      </c>
    </row>
    <row r="89" spans="1:14" ht="20.100000000000001" customHeight="1" x14ac:dyDescent="0.25">
      <c r="A89" s="39" t="s">
        <v>897</v>
      </c>
      <c r="B89" s="40" t="str">
        <f t="shared" si="31"/>
        <v>PS-N11-ROB1</v>
      </c>
      <c r="C89" s="52" t="str">
        <f t="shared" si="32"/>
        <v>Poste de Sectionnement n°N11 ROB1</v>
      </c>
      <c r="D89" s="19">
        <v>44089</v>
      </c>
      <c r="E89" s="19">
        <v>44089</v>
      </c>
      <c r="F89" s="42"/>
      <c r="G89" s="42"/>
      <c r="H89" s="42"/>
      <c r="I89" s="42" t="s">
        <v>884</v>
      </c>
      <c r="J89" s="42" t="s">
        <v>913</v>
      </c>
      <c r="K89" s="53">
        <f t="shared" si="26"/>
        <v>64.069999999999993</v>
      </c>
      <c r="L89" s="44">
        <f t="shared" si="27"/>
        <v>145.178</v>
      </c>
      <c r="M89" s="42" t="s">
        <v>997</v>
      </c>
      <c r="N89" s="52" t="str">
        <f t="shared" si="28"/>
        <v>(N11,'PS-N11-ROB1','Poste de Sectionnement n°N11 ROB1','2020-09-15','2020-09-15',,,),</v>
      </c>
    </row>
    <row r="90" spans="1:14" ht="20.100000000000001" customHeight="1" x14ac:dyDescent="0.25">
      <c r="A90" s="39" t="s">
        <v>898</v>
      </c>
      <c r="B90" s="40" t="str">
        <f t="shared" si="31"/>
        <v>PS-N12-ROB1</v>
      </c>
      <c r="C90" s="52" t="str">
        <f t="shared" si="32"/>
        <v>Poste de Sectionnement n°N12 ROB1</v>
      </c>
      <c r="D90" s="19">
        <v>44089</v>
      </c>
      <c r="E90" s="19">
        <v>44089</v>
      </c>
      <c r="F90" s="42"/>
      <c r="G90" s="42"/>
      <c r="H90" s="42"/>
      <c r="I90" s="42" t="s">
        <v>884</v>
      </c>
      <c r="J90" s="42" t="s">
        <v>914</v>
      </c>
      <c r="K90" s="53">
        <f t="shared" si="26"/>
        <v>33.68</v>
      </c>
      <c r="L90" s="44">
        <f t="shared" si="27"/>
        <v>155.577</v>
      </c>
      <c r="M90" s="42" t="s">
        <v>998</v>
      </c>
      <c r="N90" s="52" t="str">
        <f t="shared" si="28"/>
        <v>(N12,'PS-N12-ROB1','Poste de Sectionnement n°N12 ROB1','2020-09-15','2020-09-15',,,),</v>
      </c>
    </row>
    <row r="91" spans="1:14" ht="20.100000000000001" customHeight="1" x14ac:dyDescent="0.25">
      <c r="A91" s="39" t="s">
        <v>899</v>
      </c>
      <c r="B91" s="40" t="str">
        <f t="shared" si="31"/>
        <v>PS-N13-ROB1</v>
      </c>
      <c r="C91" s="52" t="str">
        <f t="shared" si="32"/>
        <v>Poste de Sectionnement n°N13 ROB1</v>
      </c>
      <c r="D91" s="19">
        <v>44089</v>
      </c>
      <c r="E91" s="19">
        <v>44089</v>
      </c>
      <c r="F91" s="42"/>
      <c r="G91" s="42"/>
      <c r="H91" s="42"/>
      <c r="I91" s="42" t="s">
        <v>884</v>
      </c>
      <c r="J91" s="42" t="s">
        <v>915</v>
      </c>
      <c r="K91" s="53">
        <f t="shared" si="26"/>
        <v>13.17</v>
      </c>
      <c r="L91" s="44">
        <f t="shared" si="27"/>
        <v>166.18100000000001</v>
      </c>
      <c r="M91" s="42" t="s">
        <v>999</v>
      </c>
      <c r="N91" s="52" t="str">
        <f t="shared" si="28"/>
        <v>(N13,'PS-N13-ROB1','Poste de Sectionnement n°N13 ROB1','2020-09-15','2020-09-15',,,),</v>
      </c>
    </row>
    <row r="92" spans="1:14" ht="20.100000000000001" customHeight="1" x14ac:dyDescent="0.25">
      <c r="A92" s="39" t="s">
        <v>885</v>
      </c>
      <c r="B92" s="40" t="str">
        <f t="shared" ref="B92:B113" si="33">CONCATENATE("PS-",TEXT(A92,"00"),"-",I92)</f>
        <v>PS-S01-ROB1</v>
      </c>
      <c r="C92" s="52" t="str">
        <f t="shared" ref="C92:C113" si="34">CONCATENATE("Poste de Sectionnement n°",TEXT(A92,"00")," ",I92)</f>
        <v>Poste de Sectionnement n°S01 ROB1</v>
      </c>
      <c r="D92" s="19">
        <v>45231</v>
      </c>
      <c r="E92" s="19">
        <v>45231</v>
      </c>
      <c r="F92" s="42"/>
      <c r="G92" s="42"/>
      <c r="H92" s="42"/>
      <c r="I92" s="42" t="s">
        <v>884</v>
      </c>
      <c r="J92" s="42" t="s">
        <v>937</v>
      </c>
      <c r="K92" s="53">
        <f t="shared" si="26"/>
        <v>163</v>
      </c>
      <c r="L92" s="44">
        <f t="shared" si="27"/>
        <v>19</v>
      </c>
      <c r="M92" s="42" t="s">
        <v>959</v>
      </c>
      <c r="N92" s="52" t="str">
        <f t="shared" si="28"/>
        <v>(S01,'PS-S01-ROB1','Poste de Sectionnement n°S01 ROB1','2023-11-01','2023-11-01',,,),</v>
      </c>
    </row>
    <row r="93" spans="1:14" ht="20.100000000000001" customHeight="1" x14ac:dyDescent="0.25">
      <c r="A93" s="39" t="s">
        <v>916</v>
      </c>
      <c r="B93" s="40" t="str">
        <f t="shared" si="33"/>
        <v>PS-S02-ROB1</v>
      </c>
      <c r="C93" s="52" t="str">
        <f t="shared" si="34"/>
        <v>Poste de Sectionnement n°S02 ROB1</v>
      </c>
      <c r="D93" s="19">
        <v>45231</v>
      </c>
      <c r="E93" s="19">
        <v>45231</v>
      </c>
      <c r="F93" s="42"/>
      <c r="G93" s="42"/>
      <c r="H93" s="42"/>
      <c r="I93" s="42" t="s">
        <v>884</v>
      </c>
      <c r="J93" s="42" t="s">
        <v>938</v>
      </c>
      <c r="K93" s="53">
        <f t="shared" si="26"/>
        <v>140</v>
      </c>
      <c r="L93" s="44">
        <f t="shared" si="27"/>
        <v>38</v>
      </c>
      <c r="M93" s="42" t="s">
        <v>959</v>
      </c>
      <c r="N93" s="52" t="str">
        <f t="shared" si="28"/>
        <v>(S02,'PS-S02-ROB1','Poste de Sectionnement n°S02 ROB1','2023-11-01','2023-11-01',,,),</v>
      </c>
    </row>
    <row r="94" spans="1:14" ht="20.100000000000001" customHeight="1" x14ac:dyDescent="0.25">
      <c r="A94" s="39" t="s">
        <v>917</v>
      </c>
      <c r="B94" s="40" t="str">
        <f t="shared" si="33"/>
        <v>PS-S03-ROB1</v>
      </c>
      <c r="C94" s="52" t="str">
        <f t="shared" si="34"/>
        <v>Poste de Sectionnement n°S03 ROB1</v>
      </c>
      <c r="D94" s="19">
        <v>45231</v>
      </c>
      <c r="E94" s="19">
        <v>45231</v>
      </c>
      <c r="F94" s="42"/>
      <c r="G94" s="42"/>
      <c r="H94" s="42"/>
      <c r="I94" s="42" t="s">
        <v>884</v>
      </c>
      <c r="J94" s="42" t="s">
        <v>939</v>
      </c>
      <c r="K94" s="53">
        <f t="shared" si="26"/>
        <v>130</v>
      </c>
      <c r="L94" s="44">
        <f t="shared" si="27"/>
        <v>60</v>
      </c>
      <c r="M94" s="42" t="s">
        <v>960</v>
      </c>
      <c r="N94" s="52" t="str">
        <f t="shared" si="28"/>
        <v>(S03,'PS-S03-ROB1','Poste de Sectionnement n°S03 ROB1','2023-11-01','2023-11-01',,,),</v>
      </c>
    </row>
    <row r="95" spans="1:14" ht="20.100000000000001" customHeight="1" x14ac:dyDescent="0.25">
      <c r="A95" s="39" t="s">
        <v>918</v>
      </c>
      <c r="B95" s="40" t="str">
        <f t="shared" si="33"/>
        <v>PS-S04-ROB1</v>
      </c>
      <c r="C95" s="52" t="str">
        <f t="shared" si="34"/>
        <v>Poste de Sectionnement n°S04 ROB1</v>
      </c>
      <c r="D95" s="19">
        <v>45231</v>
      </c>
      <c r="E95" s="19">
        <v>45231</v>
      </c>
      <c r="F95" s="42"/>
      <c r="G95" s="42"/>
      <c r="H95" s="42"/>
      <c r="I95" s="42" t="s">
        <v>884</v>
      </c>
      <c r="J95" s="42" t="s">
        <v>940</v>
      </c>
      <c r="K95" s="53">
        <f t="shared" si="26"/>
        <v>123</v>
      </c>
      <c r="L95" s="44">
        <f t="shared" si="27"/>
        <v>77</v>
      </c>
      <c r="M95" s="42" t="s">
        <v>960</v>
      </c>
      <c r="N95" s="52" t="str">
        <f t="shared" si="28"/>
        <v>(S04,'PS-S04-ROB1','Poste de Sectionnement n°S04 ROB1','2023-11-01','2023-11-01',,,),</v>
      </c>
    </row>
    <row r="96" spans="1:14" ht="20.100000000000001" customHeight="1" x14ac:dyDescent="0.25">
      <c r="A96" s="39" t="s">
        <v>919</v>
      </c>
      <c r="B96" s="40" t="str">
        <f t="shared" si="33"/>
        <v>PS-S05-ROB1</v>
      </c>
      <c r="C96" s="52" t="str">
        <f t="shared" si="34"/>
        <v>Poste de Sectionnement n°S05 ROB1</v>
      </c>
      <c r="D96" s="19">
        <v>45231</v>
      </c>
      <c r="E96" s="19">
        <v>45231</v>
      </c>
      <c r="F96" s="42"/>
      <c r="G96" s="42"/>
      <c r="H96" s="42"/>
      <c r="I96" s="42" t="s">
        <v>884</v>
      </c>
      <c r="J96" s="42" t="s">
        <v>941</v>
      </c>
      <c r="K96" s="53">
        <f t="shared" si="26"/>
        <v>106</v>
      </c>
      <c r="L96" s="44">
        <f t="shared" si="27"/>
        <v>97</v>
      </c>
      <c r="M96" s="42" t="s">
        <v>960</v>
      </c>
      <c r="N96" s="52" t="str">
        <f t="shared" si="28"/>
        <v>(S05,'PS-S05-ROB1','Poste de Sectionnement n°S05 ROB1','2023-11-01','2023-11-01',,,),</v>
      </c>
    </row>
    <row r="97" spans="1:14" ht="20.100000000000001" customHeight="1" x14ac:dyDescent="0.25">
      <c r="A97" s="39" t="s">
        <v>920</v>
      </c>
      <c r="B97" s="40" t="str">
        <f t="shared" si="33"/>
        <v>PS-S06-ROB1</v>
      </c>
      <c r="C97" s="52" t="str">
        <f t="shared" si="34"/>
        <v>Poste de Sectionnement n°S06 ROB1</v>
      </c>
      <c r="D97" s="19">
        <v>45231</v>
      </c>
      <c r="E97" s="19">
        <v>45231</v>
      </c>
      <c r="F97" s="42"/>
      <c r="G97" s="42"/>
      <c r="H97" s="42"/>
      <c r="I97" s="42" t="s">
        <v>884</v>
      </c>
      <c r="J97" s="42" t="s">
        <v>942</v>
      </c>
      <c r="K97" s="53">
        <f t="shared" ref="K97:K113" si="35">VALUE(RIGHT(J97,LEN(J97)-SEARCH("/",J97)))</f>
        <v>98</v>
      </c>
      <c r="L97" s="44">
        <f t="shared" ref="L97:L113" si="36">VALUE(SUBSTITUTE(LEFT(J97,SEARCH("/",J97)-1),"+",","))</f>
        <v>117</v>
      </c>
      <c r="M97" s="42" t="s">
        <v>960</v>
      </c>
      <c r="N97" s="52" t="str">
        <f t="shared" ref="N97:N113" si="37">CONCATENATE("(",A97,",'",B97,"','",C97,"','",TEXT(D97,"aaaa-mm-jj"),"','",TEXT(E97,"aaaa-mm-jj"),"',",F97,",",G97,",",H97,"),")</f>
        <v>(S06,'PS-S06-ROB1','Poste de Sectionnement n°S06 ROB1','2023-11-01','2023-11-01',,,),</v>
      </c>
    </row>
    <row r="98" spans="1:14" ht="20.100000000000001" customHeight="1" x14ac:dyDescent="0.25">
      <c r="A98" s="39" t="s">
        <v>921</v>
      </c>
      <c r="B98" s="40" t="str">
        <f t="shared" si="33"/>
        <v>PS-S07-ROB1</v>
      </c>
      <c r="C98" s="52" t="str">
        <f t="shared" si="34"/>
        <v>Poste de Sectionnement n°S07 ROB1</v>
      </c>
      <c r="D98" s="19">
        <v>45231</v>
      </c>
      <c r="E98" s="19">
        <v>45231</v>
      </c>
      <c r="F98" s="42"/>
      <c r="G98" s="42"/>
      <c r="H98" s="42"/>
      <c r="I98" s="42" t="s">
        <v>884</v>
      </c>
      <c r="J98" s="42" t="s">
        <v>943</v>
      </c>
      <c r="K98" s="53">
        <f t="shared" si="35"/>
        <v>86</v>
      </c>
      <c r="L98" s="44">
        <f t="shared" si="36"/>
        <v>135</v>
      </c>
      <c r="M98" s="42" t="s">
        <v>961</v>
      </c>
      <c r="N98" s="52" t="str">
        <f t="shared" si="37"/>
        <v>(S07,'PS-S07-ROB1','Poste de Sectionnement n°S07 ROB1','2023-11-01','2023-11-01',,,),</v>
      </c>
    </row>
    <row r="99" spans="1:14" ht="20.100000000000001" customHeight="1" x14ac:dyDescent="0.25">
      <c r="A99" s="39" t="s">
        <v>922</v>
      </c>
      <c r="B99" s="40" t="str">
        <f t="shared" si="33"/>
        <v>PS-S08-ROB1</v>
      </c>
      <c r="C99" s="52" t="str">
        <f t="shared" si="34"/>
        <v>Poste de Sectionnement n°S08 ROB1</v>
      </c>
      <c r="D99" s="19">
        <v>45231</v>
      </c>
      <c r="E99" s="19">
        <v>45231</v>
      </c>
      <c r="F99" s="42"/>
      <c r="G99" s="42"/>
      <c r="H99" s="42"/>
      <c r="I99" s="42" t="s">
        <v>884</v>
      </c>
      <c r="J99" s="42" t="s">
        <v>944</v>
      </c>
      <c r="K99" s="53">
        <f t="shared" si="35"/>
        <v>69</v>
      </c>
      <c r="L99" s="44">
        <f t="shared" si="36"/>
        <v>154</v>
      </c>
      <c r="M99" s="42" t="s">
        <v>962</v>
      </c>
      <c r="N99" s="52" t="str">
        <f t="shared" si="37"/>
        <v>(S08,'PS-S08-ROB1','Poste de Sectionnement n°S08 ROB1','2023-11-01','2023-11-01',,,),</v>
      </c>
    </row>
    <row r="100" spans="1:14" ht="20.100000000000001" customHeight="1" x14ac:dyDescent="0.25">
      <c r="A100" s="39" t="s">
        <v>923</v>
      </c>
      <c r="B100" s="40" t="str">
        <f t="shared" si="33"/>
        <v>PS-S09-ROB1</v>
      </c>
      <c r="C100" s="52" t="str">
        <f t="shared" si="34"/>
        <v>Poste de Sectionnement n°S09 ROB1</v>
      </c>
      <c r="D100" s="19">
        <v>45231</v>
      </c>
      <c r="E100" s="19">
        <v>45231</v>
      </c>
      <c r="F100" s="42"/>
      <c r="G100" s="42"/>
      <c r="H100" s="42"/>
      <c r="I100" s="42" t="s">
        <v>884</v>
      </c>
      <c r="J100" s="42" t="s">
        <v>945</v>
      </c>
      <c r="K100" s="53">
        <f t="shared" si="35"/>
        <v>71</v>
      </c>
      <c r="L100" s="44">
        <f t="shared" si="36"/>
        <v>174</v>
      </c>
      <c r="M100" s="42" t="s">
        <v>963</v>
      </c>
      <c r="N100" s="52" t="str">
        <f t="shared" si="37"/>
        <v>(S09,'PS-S09-ROB1','Poste de Sectionnement n°S09 ROB1','2023-11-01','2023-11-01',,,),</v>
      </c>
    </row>
    <row r="101" spans="1:14" ht="20.100000000000001" customHeight="1" x14ac:dyDescent="0.25">
      <c r="A101" s="39" t="s">
        <v>924</v>
      </c>
      <c r="B101" s="40" t="str">
        <f t="shared" si="33"/>
        <v>PS-S10-ROB1</v>
      </c>
      <c r="C101" s="52" t="str">
        <f t="shared" si="34"/>
        <v>Poste de Sectionnement n°S10 ROB1</v>
      </c>
      <c r="D101" s="19">
        <v>46388</v>
      </c>
      <c r="E101" s="19">
        <v>46388</v>
      </c>
      <c r="F101" s="42"/>
      <c r="G101" s="42"/>
      <c r="H101" s="42"/>
      <c r="I101" s="42" t="s">
        <v>884</v>
      </c>
      <c r="J101" s="42" t="s">
        <v>946</v>
      </c>
      <c r="K101" s="53">
        <f t="shared" si="35"/>
        <v>106</v>
      </c>
      <c r="L101" s="44">
        <f t="shared" si="36"/>
        <v>211</v>
      </c>
      <c r="M101" s="42" t="s">
        <v>964</v>
      </c>
      <c r="N101" s="52" t="str">
        <f t="shared" si="37"/>
        <v>(S10,'PS-S10-ROB1','Poste de Sectionnement n°S10 ROB1','2027-01-01','2027-01-01',,,),</v>
      </c>
    </row>
    <row r="102" spans="1:14" ht="20.100000000000001" customHeight="1" x14ac:dyDescent="0.25">
      <c r="A102" s="39" t="s">
        <v>925</v>
      </c>
      <c r="B102" s="40" t="str">
        <f t="shared" si="33"/>
        <v>PS-S11-ROB1</v>
      </c>
      <c r="C102" s="52" t="str">
        <f t="shared" si="34"/>
        <v>Poste de Sectionnement n°S11 ROB1</v>
      </c>
      <c r="D102" s="19">
        <v>46388</v>
      </c>
      <c r="E102" s="19">
        <v>46388</v>
      </c>
      <c r="F102" s="42"/>
      <c r="G102" s="42"/>
      <c r="H102" s="42"/>
      <c r="I102" s="42" t="s">
        <v>884</v>
      </c>
      <c r="J102" s="42" t="s">
        <v>947</v>
      </c>
      <c r="K102" s="53">
        <f t="shared" si="35"/>
        <v>63</v>
      </c>
      <c r="L102" s="44">
        <f t="shared" si="36"/>
        <v>231</v>
      </c>
      <c r="M102" s="42" t="s">
        <v>965</v>
      </c>
      <c r="N102" s="52" t="str">
        <f t="shared" si="37"/>
        <v>(S11,'PS-S11-ROB1','Poste de Sectionnement n°S11 ROB1','2027-01-01','2027-01-01',,,),</v>
      </c>
    </row>
    <row r="103" spans="1:14" ht="20.100000000000001" customHeight="1" x14ac:dyDescent="0.25">
      <c r="A103" s="39" t="s">
        <v>926</v>
      </c>
      <c r="B103" s="40" t="str">
        <f t="shared" si="33"/>
        <v>PS-S12-ROB1</v>
      </c>
      <c r="C103" s="52" t="str">
        <f t="shared" si="34"/>
        <v>Poste de Sectionnement n°S12 ROB1</v>
      </c>
      <c r="D103" s="19">
        <v>46388</v>
      </c>
      <c r="E103" s="19">
        <v>46388</v>
      </c>
      <c r="F103" s="42"/>
      <c r="G103" s="42"/>
      <c r="H103" s="42"/>
      <c r="I103" s="42" t="s">
        <v>884</v>
      </c>
      <c r="J103" s="42" t="s">
        <v>948</v>
      </c>
      <c r="K103" s="53">
        <f t="shared" si="35"/>
        <v>79</v>
      </c>
      <c r="L103" s="44">
        <f t="shared" si="36"/>
        <v>251</v>
      </c>
      <c r="M103" s="42" t="s">
        <v>966</v>
      </c>
      <c r="N103" s="52" t="str">
        <f t="shared" si="37"/>
        <v>(S12,'PS-S12-ROB1','Poste de Sectionnement n°S12 ROB1','2027-01-01','2027-01-01',,,),</v>
      </c>
    </row>
    <row r="104" spans="1:14" ht="20.100000000000001" customHeight="1" x14ac:dyDescent="0.25">
      <c r="A104" s="39" t="s">
        <v>927</v>
      </c>
      <c r="B104" s="40" t="str">
        <f t="shared" si="33"/>
        <v>PS-S13-ROB1</v>
      </c>
      <c r="C104" s="52" t="str">
        <f t="shared" si="34"/>
        <v>Poste de Sectionnement n°S13 ROB1</v>
      </c>
      <c r="D104" s="19">
        <v>46388</v>
      </c>
      <c r="E104" s="19">
        <v>46388</v>
      </c>
      <c r="F104" s="42"/>
      <c r="G104" s="42"/>
      <c r="H104" s="42"/>
      <c r="I104" s="42" t="s">
        <v>884</v>
      </c>
      <c r="J104" s="42" t="s">
        <v>949</v>
      </c>
      <c r="K104" s="53">
        <f t="shared" si="35"/>
        <v>81</v>
      </c>
      <c r="L104" s="44">
        <f t="shared" si="36"/>
        <v>271</v>
      </c>
      <c r="M104" s="42" t="s">
        <v>967</v>
      </c>
      <c r="N104" s="52" t="str">
        <f t="shared" si="37"/>
        <v>(S13,'PS-S13-ROB1','Poste de Sectionnement n°S13 ROB1','2027-01-01','2027-01-01',,,),</v>
      </c>
    </row>
    <row r="105" spans="1:14" ht="20.100000000000001" customHeight="1" x14ac:dyDescent="0.25">
      <c r="A105" s="39" t="s">
        <v>928</v>
      </c>
      <c r="B105" s="40" t="str">
        <f t="shared" si="33"/>
        <v>PS-S14-ROB1</v>
      </c>
      <c r="C105" s="52" t="str">
        <f t="shared" si="34"/>
        <v>Poste de Sectionnement n°S14 ROB1</v>
      </c>
      <c r="D105" s="19">
        <v>46388</v>
      </c>
      <c r="E105" s="19">
        <v>46388</v>
      </c>
      <c r="F105" s="42"/>
      <c r="G105" s="42"/>
      <c r="H105" s="42"/>
      <c r="I105" s="42" t="s">
        <v>884</v>
      </c>
      <c r="J105" s="42" t="s">
        <v>950</v>
      </c>
      <c r="K105" s="53">
        <f t="shared" si="35"/>
        <v>80</v>
      </c>
      <c r="L105" s="44">
        <f t="shared" si="36"/>
        <v>291</v>
      </c>
      <c r="M105" s="42" t="s">
        <v>968</v>
      </c>
      <c r="N105" s="52" t="str">
        <f t="shared" si="37"/>
        <v>(S14,'PS-S14-ROB1','Poste de Sectionnement n°S14 ROB1','2027-01-01','2027-01-01',,,),</v>
      </c>
    </row>
    <row r="106" spans="1:14" ht="20.100000000000001" customHeight="1" x14ac:dyDescent="0.25">
      <c r="A106" s="39" t="s">
        <v>929</v>
      </c>
      <c r="B106" s="40" t="str">
        <f t="shared" si="33"/>
        <v>PS-S15-ROB1</v>
      </c>
      <c r="C106" s="52" t="str">
        <f t="shared" si="34"/>
        <v>Poste de Sectionnement n°S15 ROB1</v>
      </c>
      <c r="D106" s="19">
        <v>46388</v>
      </c>
      <c r="E106" s="19">
        <v>46388</v>
      </c>
      <c r="F106" s="42"/>
      <c r="G106" s="42"/>
      <c r="H106" s="42"/>
      <c r="I106" s="42" t="s">
        <v>884</v>
      </c>
      <c r="J106" s="42" t="s">
        <v>951</v>
      </c>
      <c r="K106" s="53">
        <f t="shared" si="35"/>
        <v>70</v>
      </c>
      <c r="L106" s="44">
        <f t="shared" si="36"/>
        <v>311</v>
      </c>
      <c r="M106" s="42" t="s">
        <v>968</v>
      </c>
      <c r="N106" s="52" t="str">
        <f t="shared" si="37"/>
        <v>(S15,'PS-S15-ROB1','Poste de Sectionnement n°S15 ROB1','2027-01-01','2027-01-01',,,),</v>
      </c>
    </row>
    <row r="107" spans="1:14" ht="20.100000000000001" customHeight="1" x14ac:dyDescent="0.25">
      <c r="A107" s="39" t="s">
        <v>930</v>
      </c>
      <c r="B107" s="40" t="str">
        <f t="shared" si="33"/>
        <v>PS-S16-ROB1</v>
      </c>
      <c r="C107" s="52" t="str">
        <f t="shared" si="34"/>
        <v>Poste de Sectionnement n°S16 ROB1</v>
      </c>
      <c r="D107" s="19">
        <v>46388</v>
      </c>
      <c r="E107" s="19">
        <v>46388</v>
      </c>
      <c r="F107" s="42"/>
      <c r="G107" s="42"/>
      <c r="H107" s="42"/>
      <c r="I107" s="42" t="s">
        <v>884</v>
      </c>
      <c r="J107" s="42" t="s">
        <v>952</v>
      </c>
      <c r="K107" s="53">
        <f t="shared" si="35"/>
        <v>215</v>
      </c>
      <c r="L107" s="44">
        <f t="shared" si="36"/>
        <v>331</v>
      </c>
      <c r="M107" s="42" t="s">
        <v>969</v>
      </c>
      <c r="N107" s="52" t="str">
        <f t="shared" si="37"/>
        <v>(S16,'PS-S16-ROB1','Poste de Sectionnement n°S16 ROB1','2027-01-01','2027-01-01',,,),</v>
      </c>
    </row>
    <row r="108" spans="1:14" ht="20.100000000000001" customHeight="1" x14ac:dyDescent="0.25">
      <c r="A108" s="39" t="s">
        <v>931</v>
      </c>
      <c r="B108" s="40" t="str">
        <f t="shared" si="33"/>
        <v>PS-S17-ROB1</v>
      </c>
      <c r="C108" s="52" t="str">
        <f t="shared" si="34"/>
        <v>Poste de Sectionnement n°S17 ROB1</v>
      </c>
      <c r="D108" s="19">
        <v>46388</v>
      </c>
      <c r="E108" s="19">
        <v>46388</v>
      </c>
      <c r="F108" s="42"/>
      <c r="G108" s="42"/>
      <c r="H108" s="42"/>
      <c r="I108" s="42" t="s">
        <v>884</v>
      </c>
      <c r="J108" s="42" t="s">
        <v>953</v>
      </c>
      <c r="K108" s="53">
        <f t="shared" si="35"/>
        <v>324</v>
      </c>
      <c r="L108" s="44">
        <f t="shared" si="36"/>
        <v>370</v>
      </c>
      <c r="M108" s="42" t="s">
        <v>970</v>
      </c>
      <c r="N108" s="52" t="str">
        <f t="shared" si="37"/>
        <v>(S17,'PS-S17-ROB1','Poste de Sectionnement n°S17 ROB1','2027-01-01','2027-01-01',,,),</v>
      </c>
    </row>
    <row r="109" spans="1:14" ht="20.100000000000001" customHeight="1" x14ac:dyDescent="0.25">
      <c r="A109" s="39" t="s">
        <v>932</v>
      </c>
      <c r="B109" s="40" t="str">
        <f t="shared" si="33"/>
        <v>PS-S18-ROB1</v>
      </c>
      <c r="C109" s="52" t="str">
        <f t="shared" si="34"/>
        <v>Poste de Sectionnement n°S18 ROB1</v>
      </c>
      <c r="D109" s="19">
        <v>46388</v>
      </c>
      <c r="E109" s="19">
        <v>46388</v>
      </c>
      <c r="F109" s="42"/>
      <c r="G109" s="42"/>
      <c r="H109" s="42"/>
      <c r="I109" s="42" t="s">
        <v>884</v>
      </c>
      <c r="J109" s="42" t="s">
        <v>954</v>
      </c>
      <c r="K109" s="53">
        <f t="shared" si="35"/>
        <v>437</v>
      </c>
      <c r="L109" s="44">
        <f t="shared" si="36"/>
        <v>389</v>
      </c>
      <c r="M109" s="42" t="s">
        <v>970</v>
      </c>
      <c r="N109" s="52" t="str">
        <f t="shared" si="37"/>
        <v>(S18,'PS-S18-ROB1','Poste de Sectionnement n°S18 ROB1','2027-01-01','2027-01-01',,,),</v>
      </c>
    </row>
    <row r="110" spans="1:14" ht="20.100000000000001" customHeight="1" x14ac:dyDescent="0.25">
      <c r="A110" s="39" t="s">
        <v>933</v>
      </c>
      <c r="B110" s="40" t="str">
        <f t="shared" si="33"/>
        <v>PS-S19-ROB1</v>
      </c>
      <c r="C110" s="52" t="str">
        <f t="shared" si="34"/>
        <v>Poste de Sectionnement n°S19 ROB1</v>
      </c>
      <c r="D110" s="19">
        <v>46388</v>
      </c>
      <c r="E110" s="19">
        <v>46388</v>
      </c>
      <c r="F110" s="42"/>
      <c r="G110" s="42"/>
      <c r="H110" s="42"/>
      <c r="I110" s="42" t="s">
        <v>884</v>
      </c>
      <c r="J110" s="42" t="s">
        <v>955</v>
      </c>
      <c r="K110" s="53">
        <f t="shared" si="35"/>
        <v>461</v>
      </c>
      <c r="L110" s="44">
        <f t="shared" si="36"/>
        <v>408</v>
      </c>
      <c r="M110" s="42" t="s">
        <v>970</v>
      </c>
      <c r="N110" s="52" t="str">
        <f t="shared" si="37"/>
        <v>(S19,'PS-S19-ROB1','Poste de Sectionnement n°S19 ROB1','2027-01-01','2027-01-01',,,),</v>
      </c>
    </row>
    <row r="111" spans="1:14" ht="20.100000000000001" customHeight="1" x14ac:dyDescent="0.25">
      <c r="A111" s="39" t="s">
        <v>934</v>
      </c>
      <c r="B111" s="40" t="str">
        <f t="shared" si="33"/>
        <v>PS-S20-ROB1</v>
      </c>
      <c r="C111" s="52" t="str">
        <f t="shared" si="34"/>
        <v>Poste de Sectionnement n°S20 ROB1</v>
      </c>
      <c r="D111" s="19">
        <v>46388</v>
      </c>
      <c r="E111" s="19">
        <v>46388</v>
      </c>
      <c r="F111" s="42"/>
      <c r="G111" s="42"/>
      <c r="H111" s="42"/>
      <c r="I111" s="42" t="s">
        <v>884</v>
      </c>
      <c r="J111" s="42" t="s">
        <v>956</v>
      </c>
      <c r="K111" s="53">
        <f t="shared" si="35"/>
        <v>417</v>
      </c>
      <c r="L111" s="44">
        <f t="shared" si="36"/>
        <v>430</v>
      </c>
      <c r="M111" s="42" t="s">
        <v>971</v>
      </c>
      <c r="N111" s="52" t="str">
        <f t="shared" si="37"/>
        <v>(S20,'PS-S20-ROB1','Poste de Sectionnement n°S20 ROB1','2027-01-01','2027-01-01',,,),</v>
      </c>
    </row>
    <row r="112" spans="1:14" ht="20.100000000000001" customHeight="1" x14ac:dyDescent="0.25">
      <c r="A112" s="39" t="s">
        <v>935</v>
      </c>
      <c r="B112" s="40" t="str">
        <f t="shared" si="33"/>
        <v>PS-S21-ROB1</v>
      </c>
      <c r="C112" s="52" t="str">
        <f t="shared" si="34"/>
        <v>Poste de Sectionnement n°S21 ROB1</v>
      </c>
      <c r="D112" s="19">
        <v>46388</v>
      </c>
      <c r="E112" s="19">
        <v>46388</v>
      </c>
      <c r="F112" s="42"/>
      <c r="G112" s="42"/>
      <c r="H112" s="42"/>
      <c r="I112" s="42" t="s">
        <v>884</v>
      </c>
      <c r="J112" s="42" t="s">
        <v>957</v>
      </c>
      <c r="K112" s="53">
        <f t="shared" si="35"/>
        <v>422</v>
      </c>
      <c r="L112" s="44">
        <f t="shared" si="36"/>
        <v>450</v>
      </c>
      <c r="M112" s="42" t="s">
        <v>972</v>
      </c>
      <c r="N112" s="52" t="str">
        <f t="shared" si="37"/>
        <v>(S21,'PS-S21-ROB1','Poste de Sectionnement n°S21 ROB1','2027-01-01','2027-01-01',,,),</v>
      </c>
    </row>
    <row r="113" spans="1:14" ht="20.100000000000001" customHeight="1" x14ac:dyDescent="0.25">
      <c r="A113" s="39" t="s">
        <v>936</v>
      </c>
      <c r="B113" s="40" t="str">
        <f t="shared" si="33"/>
        <v>PS-S22-ROB1</v>
      </c>
      <c r="C113" s="52" t="str">
        <f t="shared" si="34"/>
        <v>Poste de Sectionnement n°S22 ROB1</v>
      </c>
      <c r="D113" s="19">
        <v>46388</v>
      </c>
      <c r="E113" s="19">
        <v>46388</v>
      </c>
      <c r="F113" s="42"/>
      <c r="G113" s="42"/>
      <c r="H113" s="42"/>
      <c r="I113" s="42" t="s">
        <v>884</v>
      </c>
      <c r="J113" s="42" t="s">
        <v>958</v>
      </c>
      <c r="K113" s="53">
        <f t="shared" si="35"/>
        <v>420</v>
      </c>
      <c r="L113" s="44">
        <f t="shared" si="36"/>
        <v>477</v>
      </c>
      <c r="M113" s="42" t="s">
        <v>973</v>
      </c>
      <c r="N113" s="52" t="str">
        <f t="shared" si="37"/>
        <v>(S22,'PS-S22-ROB1','Poste de Sectionnement n°S22 ROB1','2027-01-01','2027-01-01',,,),</v>
      </c>
    </row>
    <row r="114" spans="1:14" ht="20.100000000000001" customHeight="1" x14ac:dyDescent="0.25">
      <c r="A114" s="39">
        <v>1</v>
      </c>
      <c r="B114" s="40" t="str">
        <f t="shared" ref="B114:B121" si="38">CONCATENATE("PS-",TEXT(A114,"00"),"-",I114)</f>
        <v>PS-01-OG1</v>
      </c>
      <c r="C114" s="52" t="str">
        <f t="shared" ref="C114:C121" si="39">CONCATENATE("Poste de Sectionnement n°",TEXT(A114,"00")," ",I114)</f>
        <v>Poste de Sectionnement n°01 OG1</v>
      </c>
      <c r="D114" s="19">
        <v>38537</v>
      </c>
      <c r="E114" s="19">
        <v>38537</v>
      </c>
      <c r="F114" s="42"/>
      <c r="G114" s="42"/>
      <c r="H114" s="42"/>
      <c r="I114" s="42" t="s">
        <v>338</v>
      </c>
      <c r="J114" s="42" t="s">
        <v>981</v>
      </c>
      <c r="K114" s="53">
        <f t="shared" ref="K114:K120" si="40">VALUE(RIGHT(J114,LEN(J114)-SEARCH("/",J114)))</f>
        <v>429</v>
      </c>
      <c r="L114" s="44">
        <f t="shared" ref="L114:L120" si="41">VALUE(SUBSTITUTE(LEFT(J114,SEARCH("/",J114)-1),"+",","))</f>
        <v>18.920000000000002</v>
      </c>
      <c r="M114" s="42" t="s">
        <v>974</v>
      </c>
      <c r="N114" s="52" t="str">
        <f t="shared" ref="N114:N148" si="42">CONCATENATE("(",A114,",'",B114,"','",C114,"','",TEXT(D114,"aaaa-mm-jj"),"','",TEXT(E114,"aaaa-mm-jj"),"',",F114,",",G114,",",H114,"),")</f>
        <v>(1,'PS-01-OG1','Poste de Sectionnement n°01 OG1','2005-07-04','2005-07-04',,,),</v>
      </c>
    </row>
    <row r="115" spans="1:14" ht="20.100000000000001" customHeight="1" x14ac:dyDescent="0.25">
      <c r="A115" s="39">
        <v>2</v>
      </c>
      <c r="B115" s="40" t="str">
        <f t="shared" si="38"/>
        <v>PS-02-OG1</v>
      </c>
      <c r="C115" s="52" t="str">
        <f t="shared" si="39"/>
        <v>Poste de Sectionnement n°02 OG1</v>
      </c>
      <c r="D115" s="19">
        <v>38537</v>
      </c>
      <c r="E115" s="19">
        <v>38537</v>
      </c>
      <c r="F115" s="42"/>
      <c r="G115" s="42"/>
      <c r="H115" s="42"/>
      <c r="I115" s="42" t="s">
        <v>338</v>
      </c>
      <c r="J115" s="42" t="s">
        <v>982</v>
      </c>
      <c r="K115" s="53">
        <f t="shared" si="40"/>
        <v>594</v>
      </c>
      <c r="L115" s="44">
        <f t="shared" si="41"/>
        <v>37.94</v>
      </c>
      <c r="M115" s="42" t="s">
        <v>975</v>
      </c>
      <c r="N115" s="52" t="str">
        <f t="shared" si="42"/>
        <v>(2,'PS-02-OG1','Poste de Sectionnement n°02 OG1','2005-07-04','2005-07-04',,,),</v>
      </c>
    </row>
    <row r="116" spans="1:14" ht="20.100000000000001" customHeight="1" x14ac:dyDescent="0.25">
      <c r="A116" s="39">
        <v>3</v>
      </c>
      <c r="B116" s="40" t="str">
        <f t="shared" si="38"/>
        <v>PS-03-OG1</v>
      </c>
      <c r="C116" s="52" t="str">
        <f t="shared" si="39"/>
        <v>Poste de Sectionnement n°03 OG1</v>
      </c>
      <c r="D116" s="19">
        <v>38537</v>
      </c>
      <c r="E116" s="19">
        <v>38537</v>
      </c>
      <c r="F116" s="42"/>
      <c r="G116" s="42"/>
      <c r="H116" s="42"/>
      <c r="I116" s="42" t="s">
        <v>338</v>
      </c>
      <c r="J116" s="42" t="s">
        <v>983</v>
      </c>
      <c r="K116" s="53">
        <f t="shared" si="40"/>
        <v>733</v>
      </c>
      <c r="L116" s="44">
        <f t="shared" si="41"/>
        <v>60.2</v>
      </c>
      <c r="M116" s="42" t="s">
        <v>976</v>
      </c>
      <c r="N116" s="52" t="str">
        <f t="shared" si="42"/>
        <v>(3,'PS-03-OG1','Poste de Sectionnement n°03 OG1','2005-07-04','2005-07-04',,,),</v>
      </c>
    </row>
    <row r="117" spans="1:14" ht="20.100000000000001" customHeight="1" x14ac:dyDescent="0.25">
      <c r="A117" s="39">
        <v>4</v>
      </c>
      <c r="B117" s="40" t="str">
        <f t="shared" si="38"/>
        <v>PS-04-OG1</v>
      </c>
      <c r="C117" s="52" t="str">
        <f t="shared" si="39"/>
        <v>Poste de Sectionnement n°04 OG1</v>
      </c>
      <c r="D117" s="19">
        <v>38537</v>
      </c>
      <c r="E117" s="19">
        <v>38537</v>
      </c>
      <c r="F117" s="42"/>
      <c r="G117" s="42"/>
      <c r="H117" s="42"/>
      <c r="I117" s="42" t="s">
        <v>338</v>
      </c>
      <c r="J117" s="42" t="s">
        <v>984</v>
      </c>
      <c r="K117" s="53">
        <f t="shared" si="40"/>
        <v>726</v>
      </c>
      <c r="L117" s="44">
        <f t="shared" si="41"/>
        <v>78.84</v>
      </c>
      <c r="M117" s="42" t="s">
        <v>977</v>
      </c>
      <c r="N117" s="52" t="str">
        <f t="shared" si="42"/>
        <v>(4,'PS-04-OG1','Poste de Sectionnement n°04 OG1','2005-07-04','2005-07-04',,,),</v>
      </c>
    </row>
    <row r="118" spans="1:14" ht="20.100000000000001" customHeight="1" x14ac:dyDescent="0.25">
      <c r="A118" s="39">
        <v>5</v>
      </c>
      <c r="B118" s="40" t="str">
        <f t="shared" si="38"/>
        <v>PS-05-OG1</v>
      </c>
      <c r="C118" s="52" t="str">
        <f t="shared" si="39"/>
        <v>Poste de Sectionnement n°05 OG1</v>
      </c>
      <c r="D118" s="19">
        <v>38537</v>
      </c>
      <c r="E118" s="19">
        <v>38537</v>
      </c>
      <c r="F118" s="42"/>
      <c r="G118" s="42"/>
      <c r="H118" s="42"/>
      <c r="I118" s="42" t="s">
        <v>338</v>
      </c>
      <c r="J118" s="42" t="s">
        <v>985</v>
      </c>
      <c r="K118" s="53">
        <f t="shared" si="40"/>
        <v>451</v>
      </c>
      <c r="L118" s="44">
        <f t="shared" si="41"/>
        <v>99.5</v>
      </c>
      <c r="M118" s="42" t="s">
        <v>978</v>
      </c>
      <c r="N118" s="52" t="str">
        <f t="shared" si="42"/>
        <v>(5,'PS-05-OG1','Poste de Sectionnement n°05 OG1','2005-07-04','2005-07-04',,,),</v>
      </c>
    </row>
    <row r="119" spans="1:14" ht="20.100000000000001" customHeight="1" x14ac:dyDescent="0.25">
      <c r="A119" s="39">
        <v>6</v>
      </c>
      <c r="B119" s="40" t="str">
        <f t="shared" si="38"/>
        <v>PS-06-OG1</v>
      </c>
      <c r="C119" s="52" t="str">
        <f t="shared" si="39"/>
        <v>Poste de Sectionnement n°06 OG1</v>
      </c>
      <c r="D119" s="19">
        <v>38537</v>
      </c>
      <c r="E119" s="19">
        <v>38537</v>
      </c>
      <c r="F119" s="42"/>
      <c r="G119" s="42"/>
      <c r="H119" s="42"/>
      <c r="I119" s="42" t="s">
        <v>338</v>
      </c>
      <c r="J119" s="42" t="s">
        <v>986</v>
      </c>
      <c r="K119" s="53">
        <f t="shared" si="40"/>
        <v>772</v>
      </c>
      <c r="L119" s="44">
        <f t="shared" si="41"/>
        <v>123.82</v>
      </c>
      <c r="M119" s="42" t="s">
        <v>979</v>
      </c>
      <c r="N119" s="52" t="str">
        <f t="shared" si="42"/>
        <v>(6,'PS-06-OG1','Poste de Sectionnement n°06 OG1','2005-07-04','2005-07-04',,,),</v>
      </c>
    </row>
    <row r="120" spans="1:14" ht="20.100000000000001" customHeight="1" x14ac:dyDescent="0.25">
      <c r="A120" s="39">
        <v>7</v>
      </c>
      <c r="B120" s="40" t="str">
        <f t="shared" si="38"/>
        <v>PS-07-OG1</v>
      </c>
      <c r="C120" s="52" t="str">
        <f t="shared" si="39"/>
        <v>Poste de Sectionnement n°07 OG1</v>
      </c>
      <c r="D120" s="19">
        <v>38537</v>
      </c>
      <c r="E120" s="19">
        <v>38537</v>
      </c>
      <c r="F120" s="42"/>
      <c r="G120" s="42"/>
      <c r="H120" s="42"/>
      <c r="I120" s="42" t="s">
        <v>338</v>
      </c>
      <c r="J120" s="42" t="s">
        <v>987</v>
      </c>
      <c r="K120" s="53">
        <f t="shared" si="40"/>
        <v>84</v>
      </c>
      <c r="L120" s="44">
        <f t="shared" si="41"/>
        <v>132.44999999999999</v>
      </c>
      <c r="M120" s="42" t="s">
        <v>980</v>
      </c>
      <c r="N120" s="52" t="str">
        <f t="shared" si="42"/>
        <v>(7,'PS-07-OG1','Poste de Sectionnement n°07 OG1','2005-07-04','2005-07-04',,,),</v>
      </c>
    </row>
    <row r="121" spans="1:14" ht="20.100000000000001" customHeight="1" x14ac:dyDescent="0.25">
      <c r="A121" s="39">
        <v>1</v>
      </c>
      <c r="B121" s="40" t="str">
        <f t="shared" si="38"/>
        <v>PS-01-OT1</v>
      </c>
      <c r="C121" s="52" t="str">
        <f t="shared" si="39"/>
        <v>Poste de Sectionnement n°01 OT1</v>
      </c>
      <c r="D121" s="19">
        <v>21916</v>
      </c>
      <c r="E121" s="19">
        <v>21916</v>
      </c>
      <c r="F121" s="42"/>
      <c r="G121" s="42"/>
      <c r="H121" s="42"/>
      <c r="I121" s="42" t="s">
        <v>341</v>
      </c>
      <c r="J121" s="42" t="s">
        <v>1000</v>
      </c>
      <c r="K121" s="53">
        <f t="shared" ref="K121:K127" si="43">VALUE(RIGHT(J121,LEN(J121)-SEARCH("/",J121)))</f>
        <v>544</v>
      </c>
      <c r="L121" s="44">
        <f t="shared" ref="L121:L127" si="44">VALUE(SUBSTITUTE(LEFT(J121,SEARCH("/",J121)-1),"+",","))</f>
        <v>54.1</v>
      </c>
      <c r="M121" s="42" t="s">
        <v>1007</v>
      </c>
      <c r="N121" s="52" t="str">
        <f t="shared" si="42"/>
        <v>(1,'PS-01-OT1','Poste de Sectionnement n°01 OT1','1960-01-01','1960-01-01',,,),</v>
      </c>
    </row>
    <row r="122" spans="1:14" ht="20.100000000000001" customHeight="1" x14ac:dyDescent="0.25">
      <c r="A122" s="39">
        <v>2</v>
      </c>
      <c r="B122" s="40" t="str">
        <f t="shared" ref="B122:B133" si="45">CONCATENATE("PS-",TEXT(A122,"00"),"-",I122)</f>
        <v>PS-02-OT1</v>
      </c>
      <c r="C122" s="52" t="str">
        <f t="shared" ref="C122:C133" si="46">CONCATENATE("Poste de Sectionnement n°",TEXT(A122,"00")," ",I122)</f>
        <v>Poste de Sectionnement n°02 OT1</v>
      </c>
      <c r="D122" s="19">
        <v>21916</v>
      </c>
      <c r="E122" s="19">
        <v>21916</v>
      </c>
      <c r="F122" s="42"/>
      <c r="G122" s="42"/>
      <c r="H122" s="42"/>
      <c r="I122" s="42" t="s">
        <v>341</v>
      </c>
      <c r="J122" s="42" t="s">
        <v>1001</v>
      </c>
      <c r="K122" s="53">
        <f t="shared" si="43"/>
        <v>662</v>
      </c>
      <c r="L122" s="44">
        <f t="shared" si="44"/>
        <v>83.9</v>
      </c>
      <c r="M122" s="42" t="s">
        <v>1007</v>
      </c>
      <c r="N122" s="52" t="str">
        <f t="shared" si="42"/>
        <v>(2,'PS-02-OT1','Poste de Sectionnement n°02 OT1','1960-01-01','1960-01-01',,,),</v>
      </c>
    </row>
    <row r="123" spans="1:14" ht="20.100000000000001" customHeight="1" x14ac:dyDescent="0.25">
      <c r="A123" s="39">
        <v>3</v>
      </c>
      <c r="B123" s="40" t="str">
        <f t="shared" si="45"/>
        <v>PS-03-OT1</v>
      </c>
      <c r="C123" s="52" t="str">
        <f t="shared" si="46"/>
        <v>Poste de Sectionnement n°03 OT1</v>
      </c>
      <c r="D123" s="19">
        <v>21916</v>
      </c>
      <c r="E123" s="19">
        <v>21916</v>
      </c>
      <c r="F123" s="42"/>
      <c r="G123" s="42"/>
      <c r="H123" s="42"/>
      <c r="I123" s="42" t="s">
        <v>341</v>
      </c>
      <c r="J123" s="42" t="s">
        <v>1002</v>
      </c>
      <c r="K123" s="53">
        <f t="shared" si="43"/>
        <v>600</v>
      </c>
      <c r="L123" s="44">
        <f t="shared" si="44"/>
        <v>123.1</v>
      </c>
      <c r="M123" s="42" t="s">
        <v>1007</v>
      </c>
      <c r="N123" s="52" t="str">
        <f t="shared" si="42"/>
        <v>(3,'PS-03-OT1','Poste de Sectionnement n°03 OT1','1960-01-01','1960-01-01',,,),</v>
      </c>
    </row>
    <row r="124" spans="1:14" ht="20.100000000000001" customHeight="1" x14ac:dyDescent="0.25">
      <c r="A124" s="39">
        <v>4</v>
      </c>
      <c r="B124" s="40" t="str">
        <f t="shared" si="45"/>
        <v>PS-04-OT1</v>
      </c>
      <c r="C124" s="52" t="str">
        <f t="shared" si="46"/>
        <v>Poste de Sectionnement n°04 OT1</v>
      </c>
      <c r="D124" s="19">
        <v>21916</v>
      </c>
      <c r="E124" s="19">
        <v>21916</v>
      </c>
      <c r="F124" s="42"/>
      <c r="G124" s="42"/>
      <c r="H124" s="42"/>
      <c r="I124" s="42" t="s">
        <v>341</v>
      </c>
      <c r="J124" s="42" t="s">
        <v>1003</v>
      </c>
      <c r="K124" s="53">
        <f t="shared" si="43"/>
        <v>525</v>
      </c>
      <c r="L124" s="44">
        <f t="shared" si="44"/>
        <v>151</v>
      </c>
      <c r="M124" s="42" t="s">
        <v>1008</v>
      </c>
      <c r="N124" s="52" t="str">
        <f t="shared" si="42"/>
        <v>(4,'PS-04-OT1','Poste de Sectionnement n°04 OT1','1960-01-01','1960-01-01',,,),</v>
      </c>
    </row>
    <row r="125" spans="1:14" ht="20.100000000000001" customHeight="1" x14ac:dyDescent="0.25">
      <c r="A125" s="39">
        <v>5</v>
      </c>
      <c r="B125" s="40" t="str">
        <f t="shared" si="45"/>
        <v>PS-05-OT1</v>
      </c>
      <c r="C125" s="52" t="str">
        <f t="shared" si="46"/>
        <v>Poste de Sectionnement n°05 OT1</v>
      </c>
      <c r="D125" s="19">
        <v>21916</v>
      </c>
      <c r="E125" s="19">
        <v>21916</v>
      </c>
      <c r="F125" s="42"/>
      <c r="G125" s="42"/>
      <c r="H125" s="42"/>
      <c r="I125" s="42" t="s">
        <v>341</v>
      </c>
      <c r="J125" s="42" t="s">
        <v>1004</v>
      </c>
      <c r="K125" s="53">
        <f t="shared" si="43"/>
        <v>400</v>
      </c>
      <c r="L125" s="44">
        <f t="shared" si="44"/>
        <v>210.1</v>
      </c>
      <c r="M125" s="42" t="s">
        <v>1008</v>
      </c>
      <c r="N125" s="52" t="str">
        <f t="shared" si="42"/>
        <v>(5,'PS-05-OT1','Poste de Sectionnement n°05 OT1','1960-01-01','1960-01-01',,,),</v>
      </c>
    </row>
    <row r="126" spans="1:14" ht="20.100000000000001" customHeight="1" x14ac:dyDescent="0.25">
      <c r="A126" s="39">
        <v>6</v>
      </c>
      <c r="B126" s="40" t="str">
        <f t="shared" si="45"/>
        <v>PS-06-OT1</v>
      </c>
      <c r="C126" s="52" t="str">
        <f t="shared" si="46"/>
        <v>Poste de Sectionnement n°06 OT1</v>
      </c>
      <c r="D126" s="19">
        <v>21916</v>
      </c>
      <c r="E126" s="19">
        <v>21916</v>
      </c>
      <c r="F126" s="42"/>
      <c r="G126" s="42"/>
      <c r="H126" s="42"/>
      <c r="I126" s="42" t="s">
        <v>341</v>
      </c>
      <c r="J126" s="42" t="s">
        <v>1005</v>
      </c>
      <c r="K126" s="53">
        <f t="shared" si="43"/>
        <v>315</v>
      </c>
      <c r="L126" s="44">
        <f t="shared" si="44"/>
        <v>240.7</v>
      </c>
      <c r="M126" s="42" t="s">
        <v>1008</v>
      </c>
      <c r="N126" s="52" t="str">
        <f t="shared" si="42"/>
        <v>(6,'PS-06-OT1','Poste de Sectionnement n°06 OT1','1960-01-01','1960-01-01',,,),</v>
      </c>
    </row>
    <row r="127" spans="1:14" ht="20.100000000000001" customHeight="1" x14ac:dyDescent="0.25">
      <c r="A127" s="39">
        <v>7</v>
      </c>
      <c r="B127" s="40" t="str">
        <f t="shared" si="45"/>
        <v>PS-07-OT1</v>
      </c>
      <c r="C127" s="52" t="str">
        <f t="shared" si="46"/>
        <v>Poste de Sectionnement n°07 OT1</v>
      </c>
      <c r="D127" s="19">
        <v>21916</v>
      </c>
      <c r="E127" s="19">
        <v>21916</v>
      </c>
      <c r="F127" s="42"/>
      <c r="G127" s="42"/>
      <c r="H127" s="42"/>
      <c r="I127" s="42" t="s">
        <v>341</v>
      </c>
      <c r="J127" s="42" t="s">
        <v>1006</v>
      </c>
      <c r="K127" s="53">
        <f t="shared" si="43"/>
        <v>280</v>
      </c>
      <c r="L127" s="44">
        <f t="shared" si="44"/>
        <v>263.89999999999998</v>
      </c>
      <c r="M127" s="42" t="s">
        <v>1008</v>
      </c>
      <c r="N127" s="52" t="str">
        <f t="shared" si="42"/>
        <v>(7,'PS-07-OT1','Poste de Sectionnement n°07 OT1','1960-01-01','1960-01-01',,,),</v>
      </c>
    </row>
    <row r="128" spans="1:14" ht="20.100000000000001" customHeight="1" x14ac:dyDescent="0.25">
      <c r="A128" s="39">
        <v>1</v>
      </c>
      <c r="B128" s="40" t="str">
        <f t="shared" si="45"/>
        <v>PS-01-OD1</v>
      </c>
      <c r="C128" s="52" t="str">
        <f t="shared" si="46"/>
        <v>Poste de Sectionnement n°01 OD1</v>
      </c>
      <c r="D128" s="19">
        <v>28207</v>
      </c>
      <c r="E128" s="19">
        <v>28207</v>
      </c>
      <c r="F128" s="42"/>
      <c r="G128" s="42"/>
      <c r="H128" s="42"/>
      <c r="I128" s="42" t="s">
        <v>356</v>
      </c>
      <c r="J128" s="42" t="s">
        <v>1009</v>
      </c>
      <c r="K128" s="53">
        <f t="shared" ref="K128:K131" si="47">VALUE(RIGHT(J128,LEN(J128)-SEARCH("/",J128)))</f>
        <v>224</v>
      </c>
      <c r="L128" s="44">
        <f t="shared" ref="L128:L131" si="48">VALUE(SUBSTITUTE(LEFT(J128,SEARCH("/",J128)-1),"+",","))</f>
        <v>32.4</v>
      </c>
      <c r="M128" s="42" t="s">
        <v>1013</v>
      </c>
      <c r="N128" s="52" t="str">
        <f t="shared" si="42"/>
        <v>(1,'PS-01-OD1','Poste de Sectionnement n°01 OD1','1977-03-23','1977-03-23',,,),</v>
      </c>
    </row>
    <row r="129" spans="1:14" ht="20.100000000000001" customHeight="1" x14ac:dyDescent="0.25">
      <c r="A129" s="39">
        <v>2</v>
      </c>
      <c r="B129" s="40" t="str">
        <f t="shared" si="45"/>
        <v>PS-02-OD1</v>
      </c>
      <c r="C129" s="52" t="str">
        <f t="shared" si="46"/>
        <v>Poste de Sectionnement n°02 OD1</v>
      </c>
      <c r="D129" s="19">
        <v>28207</v>
      </c>
      <c r="E129" s="19">
        <v>28207</v>
      </c>
      <c r="F129" s="42"/>
      <c r="G129" s="42"/>
      <c r="H129" s="42"/>
      <c r="I129" s="42" t="s">
        <v>356</v>
      </c>
      <c r="J129" s="42" t="s">
        <v>1010</v>
      </c>
      <c r="K129" s="53">
        <f t="shared" si="47"/>
        <v>195</v>
      </c>
      <c r="L129" s="44">
        <f t="shared" si="48"/>
        <v>74.8</v>
      </c>
      <c r="M129" s="42" t="s">
        <v>1013</v>
      </c>
      <c r="N129" s="52" t="str">
        <f t="shared" si="42"/>
        <v>(2,'PS-02-OD1','Poste de Sectionnement n°02 OD1','1977-03-23','1977-03-23',,,),</v>
      </c>
    </row>
    <row r="130" spans="1:14" ht="20.100000000000001" customHeight="1" x14ac:dyDescent="0.25">
      <c r="A130" s="39">
        <v>3</v>
      </c>
      <c r="B130" s="40" t="str">
        <f t="shared" si="45"/>
        <v>PS-03-OD1</v>
      </c>
      <c r="C130" s="52" t="str">
        <f t="shared" si="46"/>
        <v>Poste de Sectionnement n°03 OD1</v>
      </c>
      <c r="D130" s="19">
        <v>28207</v>
      </c>
      <c r="E130" s="19">
        <v>28207</v>
      </c>
      <c r="F130" s="42"/>
      <c r="G130" s="42"/>
      <c r="H130" s="42"/>
      <c r="I130" s="42" t="s">
        <v>356</v>
      </c>
      <c r="J130" s="42" t="s">
        <v>1011</v>
      </c>
      <c r="K130" s="53">
        <f t="shared" si="47"/>
        <v>162</v>
      </c>
      <c r="L130" s="44">
        <f t="shared" si="48"/>
        <v>144.80000000000001</v>
      </c>
      <c r="M130" s="42" t="s">
        <v>1013</v>
      </c>
      <c r="N130" s="52" t="str">
        <f t="shared" si="42"/>
        <v>(3,'PS-03-OD1','Poste de Sectionnement n°03 OD1','1977-03-23','1977-03-23',,,),</v>
      </c>
    </row>
    <row r="131" spans="1:14" ht="20.100000000000001" customHeight="1" x14ac:dyDescent="0.25">
      <c r="A131" s="39">
        <v>4</v>
      </c>
      <c r="B131" s="40" t="str">
        <f t="shared" si="45"/>
        <v>PS-04-OD1</v>
      </c>
      <c r="C131" s="52" t="str">
        <f t="shared" si="46"/>
        <v>Poste de Sectionnement n°04 OD1</v>
      </c>
      <c r="D131" s="19">
        <v>28207</v>
      </c>
      <c r="E131" s="19">
        <v>28207</v>
      </c>
      <c r="F131" s="42"/>
      <c r="G131" s="42"/>
      <c r="H131" s="42"/>
      <c r="I131" s="42" t="s">
        <v>356</v>
      </c>
      <c r="J131" s="42" t="s">
        <v>1012</v>
      </c>
      <c r="K131" s="53">
        <f t="shared" si="47"/>
        <v>162</v>
      </c>
      <c r="L131" s="44">
        <f t="shared" si="48"/>
        <v>239.2</v>
      </c>
      <c r="M131" s="42" t="s">
        <v>1013</v>
      </c>
      <c r="N131" s="52" t="str">
        <f t="shared" si="42"/>
        <v>(4,'PS-04-OD1','Poste de Sectionnement n°04 OD1','1977-03-23','1977-03-23',,,),</v>
      </c>
    </row>
    <row r="132" spans="1:14" ht="20.100000000000001" customHeight="1" x14ac:dyDescent="0.25">
      <c r="A132" s="39">
        <v>1</v>
      </c>
      <c r="B132" s="40" t="str">
        <f t="shared" si="45"/>
        <v>PS-01-ROD1</v>
      </c>
      <c r="C132" s="52" t="str">
        <f t="shared" si="46"/>
        <v>Poste de Sectionnement n°01 ROD1</v>
      </c>
      <c r="D132" s="19">
        <v>45444</v>
      </c>
      <c r="E132" s="19">
        <v>45444</v>
      </c>
      <c r="F132" s="42"/>
      <c r="G132" s="42"/>
      <c r="H132" s="42"/>
      <c r="I132" s="42" t="s">
        <v>359</v>
      </c>
      <c r="J132" s="42" t="s">
        <v>1014</v>
      </c>
      <c r="K132" s="53">
        <f t="shared" ref="K132:K143" si="49">VALUE(RIGHT(J132,LEN(J132)-SEARCH("/",J132)))</f>
        <v>211</v>
      </c>
      <c r="L132" s="44">
        <f t="shared" ref="L132:L143" si="50">VALUE(SUBSTITUTE(LEFT(J132,SEARCH("/",J132)-1),"+",","))</f>
        <v>25.238</v>
      </c>
      <c r="M132" s="42" t="s">
        <v>1013</v>
      </c>
      <c r="N132" s="52" t="str">
        <f t="shared" si="42"/>
        <v>(1,'PS-01-ROD1','Poste de Sectionnement n°01 ROD1','2024-06-01','2024-06-01',,,),</v>
      </c>
    </row>
    <row r="133" spans="1:14" ht="20.100000000000001" customHeight="1" x14ac:dyDescent="0.25">
      <c r="A133" s="39">
        <v>2</v>
      </c>
      <c r="B133" s="40" t="str">
        <f t="shared" si="45"/>
        <v>PS-02-ROD1</v>
      </c>
      <c r="C133" s="52" t="str">
        <f t="shared" si="46"/>
        <v>Poste de Sectionnement n°02 ROD1</v>
      </c>
      <c r="D133" s="19">
        <v>45444</v>
      </c>
      <c r="E133" s="19">
        <v>45444</v>
      </c>
      <c r="F133" s="42"/>
      <c r="G133" s="42"/>
      <c r="H133" s="42"/>
      <c r="I133" s="42" t="s">
        <v>359</v>
      </c>
      <c r="J133" s="42" t="s">
        <v>1015</v>
      </c>
      <c r="K133" s="53">
        <f t="shared" si="49"/>
        <v>197</v>
      </c>
      <c r="L133" s="44">
        <f t="shared" si="50"/>
        <v>50.671999999999997</v>
      </c>
      <c r="M133" s="42" t="s">
        <v>1013</v>
      </c>
      <c r="N133" s="52" t="str">
        <f t="shared" si="42"/>
        <v>(2,'PS-02-ROD1','Poste de Sectionnement n°02 ROD1','2024-06-01','2024-06-01',,,),</v>
      </c>
    </row>
    <row r="134" spans="1:14" ht="20.100000000000001" customHeight="1" x14ac:dyDescent="0.25">
      <c r="A134" s="39">
        <v>3</v>
      </c>
      <c r="B134" s="40" t="str">
        <f t="shared" ref="B134:B142" si="51">CONCATENATE("PS-",TEXT(A134,"00"),"-",I134)</f>
        <v>PS-03-ROD1</v>
      </c>
      <c r="C134" s="52" t="str">
        <f t="shared" ref="C134:C142" si="52">CONCATENATE("Poste de Sectionnement n°",TEXT(A134,"00")," ",I134)</f>
        <v>Poste de Sectionnement n°03 ROD1</v>
      </c>
      <c r="D134" s="19">
        <v>45444</v>
      </c>
      <c r="E134" s="19">
        <v>45444</v>
      </c>
      <c r="F134" s="42"/>
      <c r="G134" s="42"/>
      <c r="H134" s="42"/>
      <c r="I134" s="42" t="s">
        <v>359</v>
      </c>
      <c r="J134" s="42" t="s">
        <v>1016</v>
      </c>
      <c r="K134" s="53">
        <f t="shared" si="49"/>
        <v>200</v>
      </c>
      <c r="L134" s="44">
        <f t="shared" si="50"/>
        <v>74.968999999999994</v>
      </c>
      <c r="M134" s="42" t="s">
        <v>1013</v>
      </c>
      <c r="N134" s="52" t="str">
        <f t="shared" si="42"/>
        <v>(3,'PS-03-ROD1','Poste de Sectionnement n°03 ROD1','2024-06-01','2024-06-01',,,),</v>
      </c>
    </row>
    <row r="135" spans="1:14" ht="20.100000000000001" customHeight="1" x14ac:dyDescent="0.25">
      <c r="A135" s="39">
        <v>4</v>
      </c>
      <c r="B135" s="40" t="str">
        <f t="shared" si="51"/>
        <v>PS-04-ROD1</v>
      </c>
      <c r="C135" s="52" t="str">
        <f t="shared" si="52"/>
        <v>Poste de Sectionnement n°04 ROD1</v>
      </c>
      <c r="D135" s="19">
        <v>45444</v>
      </c>
      <c r="E135" s="19">
        <v>45444</v>
      </c>
      <c r="F135" s="42"/>
      <c r="G135" s="42"/>
      <c r="H135" s="42"/>
      <c r="I135" s="42" t="s">
        <v>359</v>
      </c>
      <c r="J135" s="42" t="s">
        <v>1017</v>
      </c>
      <c r="K135" s="53">
        <f t="shared" si="49"/>
        <v>166</v>
      </c>
      <c r="L135" s="44">
        <f t="shared" si="50"/>
        <v>102.209</v>
      </c>
      <c r="M135" s="42" t="s">
        <v>1013</v>
      </c>
      <c r="N135" s="52" t="str">
        <f t="shared" si="42"/>
        <v>(4,'PS-04-ROD1','Poste de Sectionnement n°04 ROD1','2024-06-01','2024-06-01',,,),</v>
      </c>
    </row>
    <row r="136" spans="1:14" ht="20.100000000000001" customHeight="1" x14ac:dyDescent="0.25">
      <c r="A136" s="39">
        <v>5</v>
      </c>
      <c r="B136" s="40" t="str">
        <f t="shared" si="51"/>
        <v>PS-05-ROD1</v>
      </c>
      <c r="C136" s="52" t="str">
        <f t="shared" si="52"/>
        <v>Poste de Sectionnement n°05 ROD1</v>
      </c>
      <c r="D136" s="19">
        <v>45444</v>
      </c>
      <c r="E136" s="19">
        <v>45444</v>
      </c>
      <c r="F136" s="42"/>
      <c r="G136" s="42"/>
      <c r="H136" s="42"/>
      <c r="I136" s="42" t="s">
        <v>359</v>
      </c>
      <c r="J136" s="42" t="s">
        <v>1018</v>
      </c>
      <c r="K136" s="53">
        <f t="shared" si="49"/>
        <v>162</v>
      </c>
      <c r="L136" s="44">
        <f t="shared" si="50"/>
        <v>119.709</v>
      </c>
      <c r="M136" s="42" t="s">
        <v>1013</v>
      </c>
      <c r="N136" s="52" t="str">
        <f t="shared" si="42"/>
        <v>(5,'PS-05-ROD1','Poste de Sectionnement n°05 ROD1','2024-06-01','2024-06-01',,,),</v>
      </c>
    </row>
    <row r="137" spans="1:14" ht="20.100000000000001" customHeight="1" x14ac:dyDescent="0.25">
      <c r="A137" s="39">
        <v>6</v>
      </c>
      <c r="B137" s="40" t="str">
        <f t="shared" si="51"/>
        <v>PS-06-ROD1</v>
      </c>
      <c r="C137" s="52" t="str">
        <f t="shared" si="52"/>
        <v>Poste de Sectionnement n°06 ROD1</v>
      </c>
      <c r="D137" s="19">
        <v>46143</v>
      </c>
      <c r="E137" s="19">
        <v>46143</v>
      </c>
      <c r="F137" s="42"/>
      <c r="G137" s="42"/>
      <c r="H137" s="42"/>
      <c r="I137" s="42" t="s">
        <v>359</v>
      </c>
      <c r="J137" s="42" t="s">
        <v>1019</v>
      </c>
      <c r="K137" s="53">
        <f t="shared" si="49"/>
        <v>155</v>
      </c>
      <c r="L137" s="44">
        <f t="shared" si="50"/>
        <v>159.51300000000001</v>
      </c>
      <c r="M137" s="42" t="s">
        <v>1013</v>
      </c>
      <c r="N137" s="52" t="str">
        <f t="shared" si="42"/>
        <v>(6,'PS-06-ROD1','Poste de Sectionnement n°06 ROD1','2026-05-01','2026-05-01',,,),</v>
      </c>
    </row>
    <row r="138" spans="1:14" ht="20.100000000000001" customHeight="1" x14ac:dyDescent="0.25">
      <c r="A138" s="39">
        <v>7</v>
      </c>
      <c r="B138" s="40" t="str">
        <f t="shared" si="51"/>
        <v>PS-07-ROD1</v>
      </c>
      <c r="C138" s="52" t="str">
        <f t="shared" si="52"/>
        <v>Poste de Sectionnement n°07 ROD1</v>
      </c>
      <c r="D138" s="19">
        <v>46143</v>
      </c>
      <c r="E138" s="19">
        <v>46143</v>
      </c>
      <c r="F138" s="42"/>
      <c r="G138" s="42"/>
      <c r="H138" s="42"/>
      <c r="I138" s="42" t="s">
        <v>359</v>
      </c>
      <c r="J138" s="42" t="s">
        <v>1020</v>
      </c>
      <c r="K138" s="53">
        <f t="shared" si="49"/>
        <v>169</v>
      </c>
      <c r="L138" s="44">
        <f t="shared" si="50"/>
        <v>182.024</v>
      </c>
      <c r="M138" s="42" t="s">
        <v>1013</v>
      </c>
      <c r="N138" s="52" t="str">
        <f t="shared" si="42"/>
        <v>(7,'PS-07-ROD1','Poste de Sectionnement n°07 ROD1','2026-05-01','2026-05-01',,,),</v>
      </c>
    </row>
    <row r="139" spans="1:14" ht="20.100000000000001" customHeight="1" x14ac:dyDescent="0.25">
      <c r="A139" s="39">
        <v>8</v>
      </c>
      <c r="B139" s="40" t="str">
        <f t="shared" si="51"/>
        <v>PS-08-ROD1</v>
      </c>
      <c r="C139" s="52" t="str">
        <f t="shared" si="52"/>
        <v>Poste de Sectionnement n°08 ROD1</v>
      </c>
      <c r="D139" s="19">
        <v>46143</v>
      </c>
      <c r="E139" s="19">
        <v>46143</v>
      </c>
      <c r="F139" s="42"/>
      <c r="G139" s="42"/>
      <c r="H139" s="42"/>
      <c r="I139" s="42" t="s">
        <v>359</v>
      </c>
      <c r="J139" s="42" t="s">
        <v>1021</v>
      </c>
      <c r="K139" s="53">
        <f t="shared" si="49"/>
        <v>151</v>
      </c>
      <c r="L139" s="44">
        <f t="shared" si="50"/>
        <v>204.429</v>
      </c>
      <c r="M139" s="42" t="s">
        <v>1013</v>
      </c>
      <c r="N139" s="52" t="str">
        <f t="shared" si="42"/>
        <v>(8,'PS-08-ROD1','Poste de Sectionnement n°08 ROD1','2026-05-01','2026-05-01',,,),</v>
      </c>
    </row>
    <row r="140" spans="1:14" ht="20.100000000000001" customHeight="1" x14ac:dyDescent="0.25">
      <c r="A140" s="39">
        <v>9</v>
      </c>
      <c r="B140" s="40" t="str">
        <f t="shared" si="51"/>
        <v>PS-09-ROD1</v>
      </c>
      <c r="C140" s="52" t="str">
        <f t="shared" si="52"/>
        <v>Poste de Sectionnement n°09 ROD1</v>
      </c>
      <c r="D140" s="19">
        <v>46143</v>
      </c>
      <c r="E140" s="19">
        <v>46143</v>
      </c>
      <c r="F140" s="42"/>
      <c r="G140" s="42"/>
      <c r="H140" s="42"/>
      <c r="I140" s="42" t="s">
        <v>359</v>
      </c>
      <c r="J140" s="42" t="s">
        <v>1022</v>
      </c>
      <c r="K140" s="53">
        <f t="shared" si="49"/>
        <v>154</v>
      </c>
      <c r="L140" s="44">
        <f t="shared" si="50"/>
        <v>227.00200000000001</v>
      </c>
      <c r="M140" s="42" t="s">
        <v>1013</v>
      </c>
      <c r="N140" s="52" t="str">
        <f t="shared" si="42"/>
        <v>(9,'PS-09-ROD1','Poste de Sectionnement n°09 ROD1','2026-05-01','2026-05-01',,,),</v>
      </c>
    </row>
    <row r="141" spans="1:14" ht="20.100000000000001" customHeight="1" x14ac:dyDescent="0.25">
      <c r="A141" s="39">
        <v>10</v>
      </c>
      <c r="B141" s="40" t="str">
        <f t="shared" si="51"/>
        <v>PS-10-ROD1</v>
      </c>
      <c r="C141" s="52" t="str">
        <f t="shared" si="52"/>
        <v>Poste de Sectionnement n°10 ROD1</v>
      </c>
      <c r="D141" s="19">
        <v>46143</v>
      </c>
      <c r="E141" s="19">
        <v>46143</v>
      </c>
      <c r="F141" s="42"/>
      <c r="G141" s="42"/>
      <c r="H141" s="42"/>
      <c r="I141" s="42" t="s">
        <v>359</v>
      </c>
      <c r="J141" s="42" t="s">
        <v>1023</v>
      </c>
      <c r="K141" s="53">
        <f t="shared" si="49"/>
        <v>155</v>
      </c>
      <c r="L141" s="44">
        <f t="shared" si="50"/>
        <v>248.065</v>
      </c>
      <c r="M141" s="42" t="s">
        <v>1013</v>
      </c>
      <c r="N141" s="52" t="str">
        <f t="shared" si="42"/>
        <v>(10,'PS-10-ROD1','Poste de Sectionnement n°10 ROD1','2026-05-01','2026-05-01',,,),</v>
      </c>
    </row>
    <row r="142" spans="1:14" ht="20.100000000000001" customHeight="1" x14ac:dyDescent="0.25">
      <c r="A142" s="39">
        <v>1</v>
      </c>
      <c r="B142" s="40" t="str">
        <f t="shared" si="51"/>
        <v>PS-01-OH2</v>
      </c>
      <c r="C142" s="52" t="str">
        <f t="shared" si="52"/>
        <v>Poste de Sectionnement n°01 OH2</v>
      </c>
      <c r="D142" s="19">
        <v>26399</v>
      </c>
      <c r="E142" s="19">
        <v>26399</v>
      </c>
      <c r="F142" s="42"/>
      <c r="G142" s="42"/>
      <c r="H142" s="42"/>
      <c r="I142" s="42" t="s">
        <v>348</v>
      </c>
      <c r="J142" s="42" t="s">
        <v>1024</v>
      </c>
      <c r="K142" s="53">
        <f t="shared" si="49"/>
        <v>155</v>
      </c>
      <c r="L142" s="44">
        <f t="shared" si="50"/>
        <v>19.7</v>
      </c>
      <c r="M142" s="42" t="s">
        <v>1026</v>
      </c>
      <c r="N142" s="52" t="str">
        <f t="shared" si="42"/>
        <v>(1,'PS-01-OH2','Poste de Sectionnement n°01 OH2','1972-04-10','1972-04-10',,,),</v>
      </c>
    </row>
    <row r="143" spans="1:14" ht="20.100000000000001" customHeight="1" x14ac:dyDescent="0.25">
      <c r="A143" s="39">
        <v>2</v>
      </c>
      <c r="B143" s="40" t="str">
        <f t="shared" ref="B143:B145" si="53">CONCATENATE("PS-",TEXT(A143,"00"),"-",I143)</f>
        <v>PS-02-OH2</v>
      </c>
      <c r="C143" s="52" t="str">
        <f t="shared" ref="C143:C145" si="54">CONCATENATE("Poste de Sectionnement n°",TEXT(A143,"00")," ",I143)</f>
        <v>Poste de Sectionnement n°02 OH2</v>
      </c>
      <c r="D143" s="19">
        <v>26399</v>
      </c>
      <c r="E143" s="19">
        <v>26399</v>
      </c>
      <c r="F143" s="42"/>
      <c r="G143" s="42"/>
      <c r="H143" s="42"/>
      <c r="I143" s="42" t="s">
        <v>348</v>
      </c>
      <c r="J143" s="42" t="s">
        <v>1025</v>
      </c>
      <c r="K143" s="53">
        <f t="shared" si="49"/>
        <v>145</v>
      </c>
      <c r="L143" s="44">
        <f t="shared" si="50"/>
        <v>62</v>
      </c>
      <c r="M143" s="42" t="s">
        <v>1026</v>
      </c>
      <c r="N143" s="52" t="str">
        <f t="shared" si="42"/>
        <v>(2,'PS-02-OH2','Poste de Sectionnement n°02 OH2','1972-04-10','1972-04-10',,,),</v>
      </c>
    </row>
    <row r="144" spans="1:14" ht="20.100000000000001" customHeight="1" x14ac:dyDescent="0.25">
      <c r="A144" s="39">
        <v>1</v>
      </c>
      <c r="B144" s="40" t="str">
        <f t="shared" si="53"/>
        <v>PS-01-OH3</v>
      </c>
      <c r="C144" s="52" t="str">
        <f t="shared" si="54"/>
        <v>Poste de Sectionnement n°01 OH3</v>
      </c>
      <c r="D144" s="19">
        <v>36161</v>
      </c>
      <c r="E144" s="19">
        <v>36161</v>
      </c>
      <c r="F144" s="42"/>
      <c r="G144" s="42"/>
      <c r="H144" s="42"/>
      <c r="I144" s="42" t="s">
        <v>351</v>
      </c>
      <c r="J144" s="42" t="s">
        <v>1060</v>
      </c>
      <c r="K144" s="53">
        <f t="shared" ref="K144:K151" si="55">VALUE(RIGHT(J144,LEN(J144)-SEARCH("/",J144)))</f>
        <v>196</v>
      </c>
      <c r="L144" s="44">
        <f t="shared" ref="L144:L151" si="56">VALUE(SUBSTITUTE(LEFT(J144,SEARCH("/",J144)-1),"+",","))</f>
        <v>31.4</v>
      </c>
      <c r="M144" s="42" t="s">
        <v>1068</v>
      </c>
      <c r="N144" s="52" t="str">
        <f t="shared" si="42"/>
        <v>(1,'PS-01-OH3','Poste de Sectionnement n°01 OH3','Friday-01-jj','Friday-01-jj',,,),</v>
      </c>
    </row>
    <row r="145" spans="1:14" ht="20.100000000000001" customHeight="1" x14ac:dyDescent="0.25">
      <c r="A145" s="39">
        <v>2</v>
      </c>
      <c r="B145" s="40" t="str">
        <f t="shared" si="53"/>
        <v>PS-02-OH3</v>
      </c>
      <c r="C145" s="52" t="str">
        <f t="shared" si="54"/>
        <v>Poste de Sectionnement n°02 OH3</v>
      </c>
      <c r="D145" s="19">
        <v>36161</v>
      </c>
      <c r="E145" s="19">
        <v>36161</v>
      </c>
      <c r="F145" s="42"/>
      <c r="G145" s="42"/>
      <c r="H145" s="42"/>
      <c r="I145" s="42" t="s">
        <v>351</v>
      </c>
      <c r="J145" s="42" t="s">
        <v>1061</v>
      </c>
      <c r="K145" s="53">
        <f t="shared" si="55"/>
        <v>185</v>
      </c>
      <c r="L145" s="44">
        <f t="shared" si="56"/>
        <v>63.5</v>
      </c>
      <c r="M145" s="42" t="s">
        <v>1068</v>
      </c>
      <c r="N145" s="52" t="str">
        <f t="shared" si="42"/>
        <v>(2,'PS-02-OH3','Poste de Sectionnement n°02 OH3','Friday-01-jj','Friday-01-jj',,,),</v>
      </c>
    </row>
    <row r="146" spans="1:14" ht="20.100000000000001" customHeight="1" x14ac:dyDescent="0.25">
      <c r="A146" s="39">
        <v>3</v>
      </c>
      <c r="B146" s="40" t="str">
        <f t="shared" ref="B146:B163" si="57">CONCATENATE("PS-",TEXT(A146,"00"),"-",I146)</f>
        <v>PS-03-OH3</v>
      </c>
      <c r="C146" s="52" t="str">
        <f t="shared" ref="C146:C163" si="58">CONCATENATE("Poste de Sectionnement n°",TEXT(A146,"00")," ",I146)</f>
        <v>Poste de Sectionnement n°03 OH3</v>
      </c>
      <c r="D146" s="19">
        <v>36161</v>
      </c>
      <c r="E146" s="19">
        <v>36161</v>
      </c>
      <c r="F146" s="42"/>
      <c r="G146" s="42"/>
      <c r="H146" s="42"/>
      <c r="I146" s="42" t="s">
        <v>351</v>
      </c>
      <c r="J146" s="42" t="s">
        <v>1062</v>
      </c>
      <c r="K146" s="53">
        <f t="shared" si="55"/>
        <v>187</v>
      </c>
      <c r="L146" s="44">
        <f t="shared" si="56"/>
        <v>93.4</v>
      </c>
      <c r="M146" s="42" t="s">
        <v>1026</v>
      </c>
      <c r="N146" s="52" t="str">
        <f t="shared" si="42"/>
        <v>(3,'PS-03-OH3','Poste de Sectionnement n°03 OH3','Friday-01-jj','Friday-01-jj',,,),</v>
      </c>
    </row>
    <row r="147" spans="1:14" ht="20.100000000000001" customHeight="1" x14ac:dyDescent="0.25">
      <c r="A147" s="39">
        <v>4</v>
      </c>
      <c r="B147" s="40" t="str">
        <f t="shared" si="57"/>
        <v>PS-04-OH3</v>
      </c>
      <c r="C147" s="52" t="str">
        <f t="shared" si="58"/>
        <v>Poste de Sectionnement n°04 OH3</v>
      </c>
      <c r="D147" s="19">
        <v>36161</v>
      </c>
      <c r="E147" s="19">
        <v>36161</v>
      </c>
      <c r="F147" s="42"/>
      <c r="G147" s="42"/>
      <c r="H147" s="42"/>
      <c r="I147" s="42" t="s">
        <v>351</v>
      </c>
      <c r="J147" s="42" t="s">
        <v>1063</v>
      </c>
      <c r="K147" s="53">
        <f t="shared" si="55"/>
        <v>190</v>
      </c>
      <c r="L147" s="44">
        <f t="shared" si="56"/>
        <v>123.4</v>
      </c>
      <c r="M147" s="42" t="s">
        <v>1026</v>
      </c>
      <c r="N147" s="52" t="str">
        <f t="shared" si="42"/>
        <v>(4,'PS-04-OH3','Poste de Sectionnement n°04 OH3','Friday-01-jj','Friday-01-jj',,,),</v>
      </c>
    </row>
    <row r="148" spans="1:14" ht="20.100000000000001" customHeight="1" x14ac:dyDescent="0.25">
      <c r="A148" s="39">
        <v>5</v>
      </c>
      <c r="B148" s="40" t="str">
        <f t="shared" si="57"/>
        <v>PS-05-OH3</v>
      </c>
      <c r="C148" s="52" t="str">
        <f t="shared" si="58"/>
        <v>Poste de Sectionnement n°05 OH3</v>
      </c>
      <c r="D148" s="19">
        <v>36161</v>
      </c>
      <c r="E148" s="19">
        <v>36161</v>
      </c>
      <c r="F148" s="42"/>
      <c r="G148" s="42"/>
      <c r="H148" s="42"/>
      <c r="I148" s="42" t="s">
        <v>351</v>
      </c>
      <c r="J148" s="42" t="s">
        <v>1064</v>
      </c>
      <c r="K148" s="53">
        <f t="shared" si="55"/>
        <v>184</v>
      </c>
      <c r="L148" s="44">
        <f t="shared" si="56"/>
        <v>173.3</v>
      </c>
      <c r="M148" s="42" t="s">
        <v>1026</v>
      </c>
      <c r="N148" s="52" t="str">
        <f t="shared" si="42"/>
        <v>(5,'PS-05-OH3','Poste de Sectionnement n°05 OH3','Friday-01-jj','Friday-01-jj',,,),</v>
      </c>
    </row>
    <row r="149" spans="1:14" ht="20.100000000000001" customHeight="1" x14ac:dyDescent="0.25">
      <c r="A149" s="39">
        <v>6</v>
      </c>
      <c r="B149" s="40" t="str">
        <f t="shared" si="57"/>
        <v>PS-06-OH3</v>
      </c>
      <c r="C149" s="52" t="str">
        <f t="shared" si="58"/>
        <v>Poste de Sectionnement n°06 OH3</v>
      </c>
      <c r="D149" s="19">
        <v>36161</v>
      </c>
      <c r="E149" s="19">
        <v>36161</v>
      </c>
      <c r="F149" s="42"/>
      <c r="G149" s="42"/>
      <c r="H149" s="42"/>
      <c r="I149" s="42" t="s">
        <v>351</v>
      </c>
      <c r="J149" s="42" t="s">
        <v>1065</v>
      </c>
      <c r="K149" s="53">
        <f t="shared" si="55"/>
        <v>165</v>
      </c>
      <c r="L149" s="44">
        <f t="shared" si="56"/>
        <v>204</v>
      </c>
      <c r="M149" s="42" t="s">
        <v>1026</v>
      </c>
      <c r="N149" s="52" t="str">
        <f t="shared" ref="N149:N212" si="59">CONCATENATE("(",A149,",'",B149,"','",C149,"','",TEXT(D149,"aaaa-mm-jj"),"','",TEXT(E149,"aaaa-mm-jj"),"',",F149,",",G149,",",H149,"),")</f>
        <v>(6,'PS-06-OH3','Poste de Sectionnement n°06 OH3','Friday-01-jj','Friday-01-jj',,,),</v>
      </c>
    </row>
    <row r="150" spans="1:14" ht="20.100000000000001" customHeight="1" x14ac:dyDescent="0.25">
      <c r="A150" s="39">
        <v>7</v>
      </c>
      <c r="B150" s="40" t="str">
        <f t="shared" si="57"/>
        <v>PS-07-OH3</v>
      </c>
      <c r="C150" s="52" t="str">
        <f t="shared" si="58"/>
        <v>Poste de Sectionnement n°07 OH3</v>
      </c>
      <c r="D150" s="19">
        <v>36161</v>
      </c>
      <c r="E150" s="19">
        <v>36161</v>
      </c>
      <c r="F150" s="42"/>
      <c r="G150" s="42"/>
      <c r="H150" s="42"/>
      <c r="I150" s="42" t="s">
        <v>351</v>
      </c>
      <c r="J150" s="42" t="s">
        <v>1066</v>
      </c>
      <c r="K150" s="53">
        <f t="shared" si="55"/>
        <v>156.79</v>
      </c>
      <c r="L150" s="44">
        <f t="shared" si="56"/>
        <v>233</v>
      </c>
      <c r="M150" s="42" t="s">
        <v>1026</v>
      </c>
      <c r="N150" s="52" t="str">
        <f t="shared" si="59"/>
        <v>(7,'PS-07-OH3','Poste de Sectionnement n°07 OH3','Friday-01-jj','Friday-01-jj',,,),</v>
      </c>
    </row>
    <row r="151" spans="1:14" ht="20.100000000000001" customHeight="1" x14ac:dyDescent="0.25">
      <c r="A151" s="39">
        <v>8</v>
      </c>
      <c r="B151" s="11" t="str">
        <f t="shared" si="57"/>
        <v>PS-08-OH3</v>
      </c>
      <c r="C151" s="9" t="str">
        <f t="shared" si="58"/>
        <v>Poste de Sectionnement n°08 OH3</v>
      </c>
      <c r="D151" s="12">
        <v>36161</v>
      </c>
      <c r="E151" s="12">
        <v>36161</v>
      </c>
      <c r="F151" s="13"/>
      <c r="G151" s="13"/>
      <c r="H151" s="13"/>
      <c r="I151" s="13" t="s">
        <v>351</v>
      </c>
      <c r="J151" s="13" t="s">
        <v>1067</v>
      </c>
      <c r="K151" s="59">
        <f t="shared" si="55"/>
        <v>169.65</v>
      </c>
      <c r="L151" s="60">
        <f t="shared" si="56"/>
        <v>262</v>
      </c>
      <c r="M151" s="13" t="s">
        <v>1026</v>
      </c>
      <c r="N151" s="52" t="str">
        <f t="shared" si="59"/>
        <v>(8,'PS-08-OH3','Poste de Sectionnement n°08 OH3','Friday-01-jj','Friday-01-jj',,,),</v>
      </c>
    </row>
    <row r="152" spans="1:14" ht="20.100000000000001" customHeight="1" x14ac:dyDescent="0.25">
      <c r="A152" s="39">
        <v>1</v>
      </c>
      <c r="B152" s="11" t="str">
        <f t="shared" si="57"/>
        <v>PS-01-OH4</v>
      </c>
      <c r="C152" s="9" t="str">
        <f t="shared" si="58"/>
        <v>Poste de Sectionnement n°01 OH4</v>
      </c>
      <c r="D152" s="12">
        <v>36161</v>
      </c>
      <c r="E152" s="12">
        <v>36161</v>
      </c>
      <c r="F152" s="13"/>
      <c r="G152" s="13"/>
      <c r="H152" s="13"/>
      <c r="I152" s="13" t="s">
        <v>353</v>
      </c>
      <c r="J152" s="13" t="s">
        <v>1060</v>
      </c>
      <c r="K152" s="59">
        <f t="shared" ref="K152:K159" si="60">VALUE(RIGHT(J152,LEN(J152)-SEARCH("/",J152)))</f>
        <v>196</v>
      </c>
      <c r="L152" s="60">
        <f t="shared" ref="L152:L159" si="61">VALUE(SUBSTITUTE(LEFT(J152,SEARCH("/",J152)-1),"+",","))</f>
        <v>31.4</v>
      </c>
      <c r="M152" s="13" t="s">
        <v>1068</v>
      </c>
      <c r="N152" s="52" t="str">
        <f t="shared" si="59"/>
        <v>(1,'PS-01-OH4','Poste de Sectionnement n°01 OH4','Friday-01-jj','Friday-01-jj',,,),</v>
      </c>
    </row>
    <row r="153" spans="1:14" ht="20.100000000000001" customHeight="1" x14ac:dyDescent="0.25">
      <c r="A153" s="39">
        <v>2</v>
      </c>
      <c r="B153" s="11" t="str">
        <f t="shared" si="57"/>
        <v>PS-02-OH4</v>
      </c>
      <c r="C153" s="9" t="str">
        <f t="shared" si="58"/>
        <v>Poste de Sectionnement n°02 OH4</v>
      </c>
      <c r="D153" s="12">
        <v>36161</v>
      </c>
      <c r="E153" s="12">
        <v>36161</v>
      </c>
      <c r="F153" s="13"/>
      <c r="G153" s="13"/>
      <c r="H153" s="13"/>
      <c r="I153" s="13" t="s">
        <v>353</v>
      </c>
      <c r="J153" s="13" t="s">
        <v>1061</v>
      </c>
      <c r="K153" s="59">
        <f t="shared" si="60"/>
        <v>185</v>
      </c>
      <c r="L153" s="60">
        <f t="shared" si="61"/>
        <v>63.5</v>
      </c>
      <c r="M153" s="13" t="s">
        <v>1068</v>
      </c>
      <c r="N153" s="52" t="str">
        <f t="shared" si="59"/>
        <v>(2,'PS-02-OH4','Poste de Sectionnement n°02 OH4','Friday-01-jj','Friday-01-jj',,,),</v>
      </c>
    </row>
    <row r="154" spans="1:14" ht="20.100000000000001" customHeight="1" x14ac:dyDescent="0.25">
      <c r="A154" s="39">
        <v>3</v>
      </c>
      <c r="B154" s="11" t="str">
        <f t="shared" si="57"/>
        <v>PS-03-OH4</v>
      </c>
      <c r="C154" s="9" t="str">
        <f t="shared" si="58"/>
        <v>Poste de Sectionnement n°03 OH4</v>
      </c>
      <c r="D154" s="12">
        <v>36161</v>
      </c>
      <c r="E154" s="12">
        <v>36161</v>
      </c>
      <c r="F154" s="13"/>
      <c r="G154" s="13"/>
      <c r="H154" s="13"/>
      <c r="I154" s="13" t="s">
        <v>353</v>
      </c>
      <c r="J154" s="13" t="s">
        <v>1069</v>
      </c>
      <c r="K154" s="59">
        <f t="shared" si="60"/>
        <v>187</v>
      </c>
      <c r="L154" s="60">
        <f t="shared" si="61"/>
        <v>93.5</v>
      </c>
      <c r="M154" s="13" t="s">
        <v>1026</v>
      </c>
      <c r="N154" s="52" t="str">
        <f t="shared" si="59"/>
        <v>(3,'PS-03-OH4','Poste de Sectionnement n°03 OH4','Friday-01-jj','Friday-01-jj',,,),</v>
      </c>
    </row>
    <row r="155" spans="1:14" ht="20.100000000000001" customHeight="1" x14ac:dyDescent="0.25">
      <c r="A155" s="39">
        <v>4</v>
      </c>
      <c r="B155" s="11" t="str">
        <f t="shared" si="57"/>
        <v>PS-04-OH4</v>
      </c>
      <c r="C155" s="9" t="str">
        <f t="shared" si="58"/>
        <v>Poste de Sectionnement n°04 OH4</v>
      </c>
      <c r="D155" s="12">
        <v>36161</v>
      </c>
      <c r="E155" s="12">
        <v>36161</v>
      </c>
      <c r="F155" s="13"/>
      <c r="G155" s="13"/>
      <c r="H155" s="13"/>
      <c r="I155" s="13" t="s">
        <v>353</v>
      </c>
      <c r="J155" s="13" t="s">
        <v>1063</v>
      </c>
      <c r="K155" s="59">
        <f t="shared" si="60"/>
        <v>190</v>
      </c>
      <c r="L155" s="60">
        <f t="shared" si="61"/>
        <v>123.4</v>
      </c>
      <c r="M155" s="13" t="s">
        <v>1026</v>
      </c>
      <c r="N155" s="52" t="str">
        <f t="shared" si="59"/>
        <v>(4,'PS-04-OH4','Poste de Sectionnement n°04 OH4','Friday-01-jj','Friday-01-jj',,,),</v>
      </c>
    </row>
    <row r="156" spans="1:14" ht="20.100000000000001" customHeight="1" x14ac:dyDescent="0.25">
      <c r="A156" s="39">
        <v>5</v>
      </c>
      <c r="B156" s="11" t="str">
        <f t="shared" si="57"/>
        <v>PS-05-OH4</v>
      </c>
      <c r="C156" s="9" t="str">
        <f t="shared" si="58"/>
        <v>Poste de Sectionnement n°05 OH4</v>
      </c>
      <c r="D156" s="12">
        <v>36161</v>
      </c>
      <c r="E156" s="12">
        <v>36161</v>
      </c>
      <c r="F156" s="13"/>
      <c r="G156" s="13"/>
      <c r="H156" s="13"/>
      <c r="I156" s="13" t="s">
        <v>353</v>
      </c>
      <c r="J156" s="13" t="s">
        <v>1070</v>
      </c>
      <c r="K156" s="59">
        <f t="shared" si="60"/>
        <v>184</v>
      </c>
      <c r="L156" s="60">
        <f t="shared" si="61"/>
        <v>173.245</v>
      </c>
      <c r="M156" s="13" t="s">
        <v>1026</v>
      </c>
      <c r="N156" s="52" t="str">
        <f t="shared" si="59"/>
        <v>(5,'PS-05-OH4','Poste de Sectionnement n°05 OH4','Friday-01-jj','Friday-01-jj',,,),</v>
      </c>
    </row>
    <row r="157" spans="1:14" ht="20.100000000000001" customHeight="1" x14ac:dyDescent="0.25">
      <c r="A157" s="39">
        <v>6</v>
      </c>
      <c r="B157" s="11" t="str">
        <f t="shared" si="57"/>
        <v>PS-06-OH4</v>
      </c>
      <c r="C157" s="9" t="str">
        <f t="shared" si="58"/>
        <v>Poste de Sectionnement n°06 OH4</v>
      </c>
      <c r="D157" s="12">
        <v>36161</v>
      </c>
      <c r="E157" s="12">
        <v>36161</v>
      </c>
      <c r="F157" s="13"/>
      <c r="G157" s="13"/>
      <c r="H157" s="13"/>
      <c r="I157" s="13" t="s">
        <v>353</v>
      </c>
      <c r="J157" s="13" t="s">
        <v>1071</v>
      </c>
      <c r="K157" s="59">
        <f t="shared" si="60"/>
        <v>165</v>
      </c>
      <c r="L157" s="60">
        <f t="shared" si="61"/>
        <v>204.01</v>
      </c>
      <c r="M157" s="13" t="s">
        <v>1026</v>
      </c>
      <c r="N157" s="52" t="str">
        <f t="shared" si="59"/>
        <v>(6,'PS-06-OH4','Poste de Sectionnement n°06 OH4','Friday-01-jj','Friday-01-jj',,,),</v>
      </c>
    </row>
    <row r="158" spans="1:14" ht="20.100000000000001" customHeight="1" x14ac:dyDescent="0.25">
      <c r="A158" s="39">
        <v>7</v>
      </c>
      <c r="B158" s="11" t="str">
        <f t="shared" si="57"/>
        <v>PS-07-OH4</v>
      </c>
      <c r="C158" s="9" t="str">
        <f t="shared" si="58"/>
        <v>Poste de Sectionnement n°07 OH4</v>
      </c>
      <c r="D158" s="12">
        <v>36161</v>
      </c>
      <c r="E158" s="12">
        <v>36161</v>
      </c>
      <c r="F158" s="13"/>
      <c r="G158" s="13"/>
      <c r="H158" s="13"/>
      <c r="I158" s="13" t="s">
        <v>353</v>
      </c>
      <c r="J158" s="13" t="s">
        <v>1072</v>
      </c>
      <c r="K158" s="59">
        <f t="shared" si="60"/>
        <v>156.79</v>
      </c>
      <c r="L158" s="60">
        <f t="shared" si="61"/>
        <v>233.041</v>
      </c>
      <c r="M158" s="13" t="s">
        <v>1026</v>
      </c>
      <c r="N158" s="52" t="str">
        <f t="shared" si="59"/>
        <v>(7,'PS-07-OH4','Poste de Sectionnement n°07 OH4','Friday-01-jj','Friday-01-jj',,,),</v>
      </c>
    </row>
    <row r="159" spans="1:14" ht="20.100000000000001" customHeight="1" x14ac:dyDescent="0.25">
      <c r="A159" s="39">
        <v>8</v>
      </c>
      <c r="B159" s="11" t="str">
        <f t="shared" si="57"/>
        <v>PS-08-OH4</v>
      </c>
      <c r="C159" s="9" t="str">
        <f t="shared" si="58"/>
        <v>Poste de Sectionnement n°08 OH4</v>
      </c>
      <c r="D159" s="12">
        <v>36161</v>
      </c>
      <c r="E159" s="12">
        <v>36161</v>
      </c>
      <c r="F159" s="13"/>
      <c r="G159" s="13"/>
      <c r="H159" s="13"/>
      <c r="I159" s="13" t="s">
        <v>353</v>
      </c>
      <c r="J159" s="13" t="s">
        <v>1073</v>
      </c>
      <c r="K159" s="59">
        <f t="shared" si="60"/>
        <v>169.65</v>
      </c>
      <c r="L159" s="60">
        <f t="shared" si="61"/>
        <v>263</v>
      </c>
      <c r="M159" s="13" t="s">
        <v>1026</v>
      </c>
      <c r="N159" s="52" t="str">
        <f t="shared" si="59"/>
        <v>(8,'PS-08-OH4','Poste de Sectionnement n°08 OH4','Friday-01-jj','Friday-01-jj',,,),</v>
      </c>
    </row>
    <row r="160" spans="1:14" ht="20.100000000000001" customHeight="1" x14ac:dyDescent="0.25">
      <c r="A160" s="39">
        <v>1</v>
      </c>
      <c r="B160" s="40" t="str">
        <f t="shared" si="57"/>
        <v>PS-01-NZ1</v>
      </c>
      <c r="C160" s="52" t="str">
        <f t="shared" si="58"/>
        <v>Poste de Sectionnement n°01 NZ1</v>
      </c>
      <c r="D160" s="19">
        <v>28795</v>
      </c>
      <c r="E160" s="19">
        <v>28795</v>
      </c>
      <c r="F160" s="42"/>
      <c r="G160" s="42"/>
      <c r="H160" s="42"/>
      <c r="I160" s="42" t="s">
        <v>365</v>
      </c>
      <c r="J160" s="42" t="s">
        <v>1074</v>
      </c>
      <c r="K160" s="61">
        <v>780</v>
      </c>
      <c r="L160" s="44">
        <f>VALUE(SUBSTITUTE(J160,"+",","))</f>
        <v>0.44600000000000001</v>
      </c>
      <c r="M160" s="42" t="s">
        <v>1101</v>
      </c>
      <c r="N160" s="52" t="str">
        <f t="shared" si="59"/>
        <v>(1,'PS-01-NZ1','Poste de Sectionnement n°01 NZ1','Wednesday-11-jj','Wednesday-11-jj',,,),</v>
      </c>
    </row>
    <row r="161" spans="1:14" ht="20.100000000000001" customHeight="1" x14ac:dyDescent="0.25">
      <c r="A161" s="39">
        <v>2</v>
      </c>
      <c r="B161" s="40" t="str">
        <f t="shared" si="57"/>
        <v>PS-02-NZ1</v>
      </c>
      <c r="C161" s="52" t="str">
        <f t="shared" si="58"/>
        <v>Poste de Sectionnement n°02 NZ1</v>
      </c>
      <c r="D161" s="19">
        <v>28795</v>
      </c>
      <c r="E161" s="19">
        <v>28795</v>
      </c>
      <c r="F161" s="42"/>
      <c r="G161" s="42"/>
      <c r="H161" s="42"/>
      <c r="I161" s="42" t="s">
        <v>365</v>
      </c>
      <c r="J161" s="42" t="s">
        <v>1075</v>
      </c>
      <c r="K161" s="61">
        <v>752</v>
      </c>
      <c r="L161" s="44">
        <f t="shared" ref="L161:L183" si="62">VALUE(SUBSTITUTE(J161,"+",","))</f>
        <v>7</v>
      </c>
      <c r="M161" s="42" t="s">
        <v>1101</v>
      </c>
      <c r="N161" s="52" t="str">
        <f t="shared" si="59"/>
        <v>(2,'PS-02-NZ1','Poste de Sectionnement n°02 NZ1','Wednesday-11-jj','Wednesday-11-jj',,,),</v>
      </c>
    </row>
    <row r="162" spans="1:14" ht="20.100000000000001" customHeight="1" x14ac:dyDescent="0.25">
      <c r="A162" s="39">
        <v>3</v>
      </c>
      <c r="B162" s="40" t="str">
        <f t="shared" si="57"/>
        <v>PS-03-NZ1</v>
      </c>
      <c r="C162" s="52" t="str">
        <f t="shared" si="58"/>
        <v>Poste de Sectionnement n°03 NZ1</v>
      </c>
      <c r="D162" s="19">
        <v>28795</v>
      </c>
      <c r="E162" s="19">
        <v>28795</v>
      </c>
      <c r="F162" s="42"/>
      <c r="G162" s="42"/>
      <c r="H162" s="42"/>
      <c r="I162" s="42" t="s">
        <v>365</v>
      </c>
      <c r="J162" s="42" t="s">
        <v>1076</v>
      </c>
      <c r="K162" s="61">
        <v>767</v>
      </c>
      <c r="L162" s="44">
        <f t="shared" si="62"/>
        <v>22.96</v>
      </c>
      <c r="M162" s="42" t="s">
        <v>1102</v>
      </c>
      <c r="N162" s="52" t="str">
        <f t="shared" si="59"/>
        <v>(3,'PS-03-NZ1','Poste de Sectionnement n°03 NZ1','Wednesday-11-jj','Wednesday-11-jj',,,),</v>
      </c>
    </row>
    <row r="163" spans="1:14" ht="20.100000000000001" customHeight="1" x14ac:dyDescent="0.25">
      <c r="A163" s="39">
        <v>4</v>
      </c>
      <c r="B163" s="40" t="str">
        <f t="shared" si="57"/>
        <v>PS-04-NZ1</v>
      </c>
      <c r="C163" s="52" t="str">
        <f t="shared" si="58"/>
        <v>Poste de Sectionnement n°04 NZ1</v>
      </c>
      <c r="D163" s="19">
        <v>28795</v>
      </c>
      <c r="E163" s="19">
        <v>28795</v>
      </c>
      <c r="F163" s="42"/>
      <c r="G163" s="42"/>
      <c r="H163" s="42"/>
      <c r="I163" s="42" t="s">
        <v>365</v>
      </c>
      <c r="J163" s="42" t="s">
        <v>1077</v>
      </c>
      <c r="K163" s="61">
        <v>840</v>
      </c>
      <c r="L163" s="44">
        <f t="shared" si="62"/>
        <v>77</v>
      </c>
      <c r="M163" s="42" t="s">
        <v>1102</v>
      </c>
      <c r="N163" s="52" t="str">
        <f t="shared" si="59"/>
        <v>(4,'PS-04-NZ1','Poste de Sectionnement n°04 NZ1','Wednesday-11-jj','Wednesday-11-jj',,,),</v>
      </c>
    </row>
    <row r="164" spans="1:14" ht="20.100000000000001" customHeight="1" x14ac:dyDescent="0.25">
      <c r="A164" s="39">
        <v>5</v>
      </c>
      <c r="B164" s="40" t="str">
        <f t="shared" ref="B164:B185" si="63">CONCATENATE("PS-",TEXT(A164,"00"),"-",I164)</f>
        <v>PS-05-NZ1</v>
      </c>
      <c r="C164" s="52" t="str">
        <f t="shared" ref="C164:C185" si="64">CONCATENATE("Poste de Sectionnement n°",TEXT(A164,"00")," ",I164)</f>
        <v>Poste de Sectionnement n°05 NZ1</v>
      </c>
      <c r="D164" s="19">
        <v>28795</v>
      </c>
      <c r="E164" s="19">
        <v>28795</v>
      </c>
      <c r="F164" s="42"/>
      <c r="G164" s="42"/>
      <c r="H164" s="42"/>
      <c r="I164" s="42" t="s">
        <v>365</v>
      </c>
      <c r="J164" s="42" t="s">
        <v>1078</v>
      </c>
      <c r="K164" s="61">
        <v>806</v>
      </c>
      <c r="L164" s="44">
        <f t="shared" si="62"/>
        <v>95</v>
      </c>
      <c r="M164" s="42" t="s">
        <v>1103</v>
      </c>
      <c r="N164" s="52" t="str">
        <f t="shared" si="59"/>
        <v>(5,'PS-05-NZ1','Poste de Sectionnement n°05 NZ1','Wednesday-11-jj','Wednesday-11-jj',,,),</v>
      </c>
    </row>
    <row r="165" spans="1:14" ht="20.100000000000001" customHeight="1" x14ac:dyDescent="0.25">
      <c r="A165" s="39">
        <v>6</v>
      </c>
      <c r="B165" s="40" t="str">
        <f t="shared" si="63"/>
        <v>PS-06-NZ1</v>
      </c>
      <c r="C165" s="52" t="str">
        <f t="shared" si="64"/>
        <v>Poste de Sectionnement n°06 NZ1</v>
      </c>
      <c r="D165" s="19">
        <v>28795</v>
      </c>
      <c r="E165" s="19">
        <v>28795</v>
      </c>
      <c r="F165" s="42"/>
      <c r="G165" s="42"/>
      <c r="H165" s="42"/>
      <c r="I165" s="42" t="s">
        <v>365</v>
      </c>
      <c r="J165" s="42" t="s">
        <v>1079</v>
      </c>
      <c r="K165" s="61">
        <v>878</v>
      </c>
      <c r="L165" s="44">
        <f t="shared" si="62"/>
        <v>109.274</v>
      </c>
      <c r="M165" s="42" t="s">
        <v>1104</v>
      </c>
      <c r="N165" s="52" t="str">
        <f t="shared" si="59"/>
        <v>(6,'PS-06-NZ1','Poste de Sectionnement n°06 NZ1','Wednesday-11-jj','Wednesday-11-jj',,,),</v>
      </c>
    </row>
    <row r="166" spans="1:14" ht="20.100000000000001" customHeight="1" x14ac:dyDescent="0.25">
      <c r="A166" s="39">
        <v>7</v>
      </c>
      <c r="B166" s="40" t="str">
        <f t="shared" si="63"/>
        <v>PS-07-NZ1</v>
      </c>
      <c r="C166" s="52" t="str">
        <f t="shared" si="64"/>
        <v>Poste de Sectionnement n°07 NZ1</v>
      </c>
      <c r="D166" s="19">
        <v>28795</v>
      </c>
      <c r="E166" s="19">
        <v>28795</v>
      </c>
      <c r="F166" s="42"/>
      <c r="G166" s="42"/>
      <c r="H166" s="42"/>
      <c r="I166" s="42" t="s">
        <v>365</v>
      </c>
      <c r="J166" s="42" t="s">
        <v>1079</v>
      </c>
      <c r="K166" s="61">
        <v>890</v>
      </c>
      <c r="L166" s="44">
        <f t="shared" si="62"/>
        <v>109.274</v>
      </c>
      <c r="M166" s="42" t="s">
        <v>1104</v>
      </c>
      <c r="N166" s="52" t="str">
        <f t="shared" si="59"/>
        <v>(7,'PS-07-NZ1','Poste de Sectionnement n°07 NZ1','Wednesday-11-jj','Wednesday-11-jj',,,),</v>
      </c>
    </row>
    <row r="167" spans="1:14" ht="20.100000000000001" customHeight="1" x14ac:dyDescent="0.25">
      <c r="A167" s="39">
        <v>8</v>
      </c>
      <c r="B167" s="40" t="str">
        <f t="shared" si="63"/>
        <v>PS-08-NZ1</v>
      </c>
      <c r="C167" s="52" t="str">
        <f t="shared" si="64"/>
        <v>Poste de Sectionnement n°08 NZ1</v>
      </c>
      <c r="D167" s="19">
        <v>28795</v>
      </c>
      <c r="E167" s="19">
        <v>28795</v>
      </c>
      <c r="F167" s="42"/>
      <c r="G167" s="42"/>
      <c r="H167" s="42"/>
      <c r="I167" s="42" t="s">
        <v>365</v>
      </c>
      <c r="J167" s="42" t="s">
        <v>1080</v>
      </c>
      <c r="K167" s="61">
        <v>1057</v>
      </c>
      <c r="L167" s="44">
        <f t="shared" si="62"/>
        <v>139.08600000000001</v>
      </c>
      <c r="M167" s="42" t="s">
        <v>1104</v>
      </c>
      <c r="N167" s="52" t="str">
        <f t="shared" si="59"/>
        <v>(8,'PS-08-NZ1','Poste de Sectionnement n°08 NZ1','Wednesday-11-jj','Wednesday-11-jj',,,),</v>
      </c>
    </row>
    <row r="168" spans="1:14" ht="20.100000000000001" customHeight="1" x14ac:dyDescent="0.25">
      <c r="A168" s="39">
        <v>9</v>
      </c>
      <c r="B168" s="40" t="str">
        <f t="shared" si="63"/>
        <v>PS-09-NZ1</v>
      </c>
      <c r="C168" s="52" t="str">
        <f t="shared" si="64"/>
        <v>Poste de Sectionnement n°09 NZ1</v>
      </c>
      <c r="D168" s="19">
        <v>28795</v>
      </c>
      <c r="E168" s="19">
        <v>28795</v>
      </c>
      <c r="F168" s="42"/>
      <c r="G168" s="42"/>
      <c r="H168" s="42"/>
      <c r="I168" s="42" t="s">
        <v>365</v>
      </c>
      <c r="J168" s="42" t="s">
        <v>1081</v>
      </c>
      <c r="K168" s="61">
        <v>1007</v>
      </c>
      <c r="L168" s="44">
        <f t="shared" si="62"/>
        <v>194.55099999999999</v>
      </c>
      <c r="M168" s="42" t="s">
        <v>1115</v>
      </c>
      <c r="N168" s="52" t="str">
        <f t="shared" si="59"/>
        <v>(9,'PS-09-NZ1','Poste de Sectionnement n°09 NZ1','Wednesday-11-jj','Wednesday-11-jj',,,),</v>
      </c>
    </row>
    <row r="169" spans="1:14" ht="20.100000000000001" customHeight="1" x14ac:dyDescent="0.25">
      <c r="A169" s="39">
        <v>10</v>
      </c>
      <c r="B169" s="40" t="str">
        <f t="shared" si="63"/>
        <v>PS-10-NZ1</v>
      </c>
      <c r="C169" s="52" t="str">
        <f t="shared" si="64"/>
        <v>Poste de Sectionnement n°10 NZ1</v>
      </c>
      <c r="D169" s="19">
        <v>28795</v>
      </c>
      <c r="E169" s="19">
        <v>28795</v>
      </c>
      <c r="F169" s="42"/>
      <c r="G169" s="42"/>
      <c r="H169" s="42"/>
      <c r="I169" s="42" t="s">
        <v>365</v>
      </c>
      <c r="J169" s="42" t="s">
        <v>1082</v>
      </c>
      <c r="K169" s="61">
        <v>978</v>
      </c>
      <c r="L169" s="44">
        <f t="shared" si="62"/>
        <v>230.02199999999999</v>
      </c>
      <c r="M169" s="42" t="s">
        <v>1105</v>
      </c>
      <c r="N169" s="52" t="str">
        <f t="shared" si="59"/>
        <v>(10,'PS-10-NZ1','Poste de Sectionnement n°10 NZ1','Wednesday-11-jj','Wednesday-11-jj',,,),</v>
      </c>
    </row>
    <row r="170" spans="1:14" ht="20.100000000000001" customHeight="1" x14ac:dyDescent="0.25">
      <c r="A170" s="39">
        <v>11</v>
      </c>
      <c r="B170" s="40" t="str">
        <f t="shared" si="63"/>
        <v>PS-11-NZ1</v>
      </c>
      <c r="C170" s="52" t="str">
        <f t="shared" si="64"/>
        <v>Poste de Sectionnement n°11 NZ1</v>
      </c>
      <c r="D170" s="19">
        <v>28795</v>
      </c>
      <c r="E170" s="19">
        <v>28795</v>
      </c>
      <c r="F170" s="42"/>
      <c r="G170" s="42"/>
      <c r="H170" s="42"/>
      <c r="I170" s="42" t="s">
        <v>365</v>
      </c>
      <c r="J170" s="42" t="s">
        <v>1082</v>
      </c>
      <c r="K170" s="61">
        <v>977</v>
      </c>
      <c r="L170" s="44">
        <f t="shared" si="62"/>
        <v>230.02199999999999</v>
      </c>
      <c r="M170" s="42" t="s">
        <v>1105</v>
      </c>
      <c r="N170" s="52" t="str">
        <f t="shared" si="59"/>
        <v>(11,'PS-11-NZ1','Poste de Sectionnement n°11 NZ1','Wednesday-11-jj','Wednesday-11-jj',,,),</v>
      </c>
    </row>
    <row r="171" spans="1:14" ht="20.100000000000001" customHeight="1" x14ac:dyDescent="0.25">
      <c r="A171" s="39">
        <v>12</v>
      </c>
      <c r="B171" s="40" t="str">
        <f t="shared" si="63"/>
        <v>PS-12-NZ1</v>
      </c>
      <c r="C171" s="52" t="str">
        <f t="shared" si="64"/>
        <v>Poste de Sectionnement n°12 NZ1</v>
      </c>
      <c r="D171" s="19">
        <v>28795</v>
      </c>
      <c r="E171" s="19">
        <v>28795</v>
      </c>
      <c r="F171" s="42"/>
      <c r="G171" s="42"/>
      <c r="H171" s="42"/>
      <c r="I171" s="42" t="s">
        <v>365</v>
      </c>
      <c r="J171" s="42" t="s">
        <v>1083</v>
      </c>
      <c r="K171" s="61">
        <v>1102</v>
      </c>
      <c r="L171" s="44">
        <f t="shared" si="62"/>
        <v>247.4</v>
      </c>
      <c r="M171" s="42" t="s">
        <v>1105</v>
      </c>
      <c r="N171" s="52" t="str">
        <f t="shared" si="59"/>
        <v>(12,'PS-12-NZ1','Poste de Sectionnement n°12 NZ1','Wednesday-11-jj','Wednesday-11-jj',,,),</v>
      </c>
    </row>
    <row r="172" spans="1:14" ht="20.100000000000001" customHeight="1" x14ac:dyDescent="0.25">
      <c r="A172" s="39">
        <v>13</v>
      </c>
      <c r="B172" s="40" t="str">
        <f t="shared" si="63"/>
        <v>PS-13-NZ1</v>
      </c>
      <c r="C172" s="52" t="str">
        <f t="shared" si="64"/>
        <v>Poste de Sectionnement n°13 NZ1</v>
      </c>
      <c r="D172" s="19">
        <v>28795</v>
      </c>
      <c r="E172" s="19">
        <v>28795</v>
      </c>
      <c r="F172" s="42"/>
      <c r="G172" s="42"/>
      <c r="H172" s="42"/>
      <c r="I172" s="42" t="s">
        <v>365</v>
      </c>
      <c r="J172" s="42" t="s">
        <v>1084</v>
      </c>
      <c r="K172" s="61">
        <v>1156</v>
      </c>
      <c r="L172" s="44">
        <f t="shared" si="62"/>
        <v>262</v>
      </c>
      <c r="M172" s="42" t="s">
        <v>1105</v>
      </c>
      <c r="N172" s="52" t="str">
        <f t="shared" si="59"/>
        <v>(13,'PS-13-NZ1','Poste de Sectionnement n°13 NZ1','Wednesday-11-jj','Wednesday-11-jj',,,),</v>
      </c>
    </row>
    <row r="173" spans="1:14" ht="20.100000000000001" customHeight="1" x14ac:dyDescent="0.25">
      <c r="A173" s="39">
        <v>14</v>
      </c>
      <c r="B173" s="40" t="str">
        <f t="shared" si="63"/>
        <v>PS-14-NZ1</v>
      </c>
      <c r="C173" s="52" t="str">
        <f t="shared" si="64"/>
        <v>Poste de Sectionnement n°14 NZ1</v>
      </c>
      <c r="D173" s="19">
        <v>28795</v>
      </c>
      <c r="E173" s="19">
        <v>28795</v>
      </c>
      <c r="F173" s="42"/>
      <c r="G173" s="42"/>
      <c r="H173" s="42"/>
      <c r="I173" s="42" t="s">
        <v>365</v>
      </c>
      <c r="J173" s="42" t="s">
        <v>1085</v>
      </c>
      <c r="K173" s="61">
        <v>1096</v>
      </c>
      <c r="L173" s="44">
        <f t="shared" si="62"/>
        <v>306.786</v>
      </c>
      <c r="M173" s="42" t="s">
        <v>1106</v>
      </c>
      <c r="N173" s="52" t="str">
        <f t="shared" si="59"/>
        <v>(14,'PS-14-NZ1','Poste de Sectionnement n°14 NZ1','Wednesday-11-jj','Wednesday-11-jj',,,),</v>
      </c>
    </row>
    <row r="174" spans="1:14" ht="20.100000000000001" customHeight="1" x14ac:dyDescent="0.25">
      <c r="A174" s="39">
        <v>15</v>
      </c>
      <c r="B174" s="40" t="str">
        <f t="shared" si="63"/>
        <v>PS-15-NZ1</v>
      </c>
      <c r="C174" s="52" t="str">
        <f t="shared" si="64"/>
        <v>Poste de Sectionnement n°15 NZ1</v>
      </c>
      <c r="D174" s="19">
        <v>28795</v>
      </c>
      <c r="E174" s="19">
        <v>28795</v>
      </c>
      <c r="F174" s="42"/>
      <c r="G174" s="42"/>
      <c r="H174" s="42"/>
      <c r="I174" s="42" t="s">
        <v>365</v>
      </c>
      <c r="J174" s="42" t="s">
        <v>1086</v>
      </c>
      <c r="K174" s="61">
        <v>965</v>
      </c>
      <c r="L174" s="44">
        <f t="shared" si="62"/>
        <v>317.5</v>
      </c>
      <c r="M174" s="42" t="s">
        <v>1106</v>
      </c>
      <c r="N174" s="52" t="str">
        <f t="shared" si="59"/>
        <v>(15,'PS-15-NZ1','Poste de Sectionnement n°15 NZ1','Wednesday-11-jj','Wednesday-11-jj',,,),</v>
      </c>
    </row>
    <row r="175" spans="1:14" ht="20.100000000000001" customHeight="1" x14ac:dyDescent="0.25">
      <c r="A175" s="39">
        <v>16</v>
      </c>
      <c r="B175" s="40" t="str">
        <f t="shared" si="63"/>
        <v>PS-16-NZ1</v>
      </c>
      <c r="C175" s="52" t="str">
        <f t="shared" si="64"/>
        <v>Poste de Sectionnement n°16 NZ1</v>
      </c>
      <c r="D175" s="19">
        <v>28795</v>
      </c>
      <c r="E175" s="19">
        <v>28795</v>
      </c>
      <c r="F175" s="42"/>
      <c r="G175" s="42"/>
      <c r="H175" s="42"/>
      <c r="I175" s="42" t="s">
        <v>365</v>
      </c>
      <c r="J175" s="42" t="s">
        <v>1087</v>
      </c>
      <c r="K175" s="61">
        <v>813</v>
      </c>
      <c r="L175" s="44">
        <f t="shared" si="62"/>
        <v>337.3</v>
      </c>
      <c r="M175" s="42" t="s">
        <v>1107</v>
      </c>
      <c r="N175" s="52" t="str">
        <f t="shared" si="59"/>
        <v>(16,'PS-16-NZ1','Poste de Sectionnement n°16 NZ1','Wednesday-11-jj','Wednesday-11-jj',,,),</v>
      </c>
    </row>
    <row r="176" spans="1:14" ht="20.100000000000001" customHeight="1" x14ac:dyDescent="0.25">
      <c r="A176" s="39">
        <v>17</v>
      </c>
      <c r="B176" s="40" t="str">
        <f t="shared" si="63"/>
        <v>PS-17-NZ1</v>
      </c>
      <c r="C176" s="52" t="str">
        <f t="shared" si="64"/>
        <v>Poste de Sectionnement n°17 NZ1</v>
      </c>
      <c r="D176" s="19">
        <v>28795</v>
      </c>
      <c r="E176" s="19">
        <v>28795</v>
      </c>
      <c r="F176" s="42"/>
      <c r="G176" s="42"/>
      <c r="H176" s="42"/>
      <c r="I176" s="42" t="s">
        <v>365</v>
      </c>
      <c r="J176" s="42" t="s">
        <v>1088</v>
      </c>
      <c r="K176" s="61">
        <v>628</v>
      </c>
      <c r="L176" s="44">
        <f t="shared" si="62"/>
        <v>364.36700000000002</v>
      </c>
      <c r="M176" s="42" t="s">
        <v>1108</v>
      </c>
      <c r="N176" s="52" t="str">
        <f t="shared" si="59"/>
        <v>(17,'PS-17-NZ1','Poste de Sectionnement n°17 NZ1','Wednesday-11-jj','Wednesday-11-jj',,,),</v>
      </c>
    </row>
    <row r="177" spans="1:14" ht="20.100000000000001" customHeight="1" x14ac:dyDescent="0.25">
      <c r="A177" s="39">
        <v>18</v>
      </c>
      <c r="B177" s="40" t="str">
        <f t="shared" si="63"/>
        <v>PS-18-NZ1</v>
      </c>
      <c r="C177" s="52" t="str">
        <f t="shared" si="64"/>
        <v>Poste de Sectionnement n°18 NZ1</v>
      </c>
      <c r="D177" s="19">
        <v>28795</v>
      </c>
      <c r="E177" s="19">
        <v>28795</v>
      </c>
      <c r="F177" s="42"/>
      <c r="G177" s="42"/>
      <c r="H177" s="42"/>
      <c r="I177" s="42" t="s">
        <v>365</v>
      </c>
      <c r="J177" s="42" t="s">
        <v>1089</v>
      </c>
      <c r="K177" s="61">
        <v>290</v>
      </c>
      <c r="L177" s="44">
        <f t="shared" si="62"/>
        <v>397.32799999999997</v>
      </c>
      <c r="M177" s="42" t="s">
        <v>1109</v>
      </c>
      <c r="N177" s="52" t="str">
        <f t="shared" si="59"/>
        <v>(18,'PS-18-NZ1','Poste de Sectionnement n°18 NZ1','Wednesday-11-jj','Wednesday-11-jj',,,),</v>
      </c>
    </row>
    <row r="178" spans="1:14" ht="20.100000000000001" customHeight="1" x14ac:dyDescent="0.25">
      <c r="A178" s="39">
        <v>19</v>
      </c>
      <c r="B178" s="40" t="str">
        <f t="shared" si="63"/>
        <v>PS-19-NZ1</v>
      </c>
      <c r="C178" s="52" t="str">
        <f t="shared" si="64"/>
        <v>Poste de Sectionnement n°19 NZ1</v>
      </c>
      <c r="D178" s="19">
        <v>28795</v>
      </c>
      <c r="E178" s="19">
        <v>28795</v>
      </c>
      <c r="F178" s="42"/>
      <c r="G178" s="42"/>
      <c r="H178" s="42"/>
      <c r="I178" s="42" t="s">
        <v>365</v>
      </c>
      <c r="J178" s="42" t="s">
        <v>1090</v>
      </c>
      <c r="K178" s="61">
        <v>93</v>
      </c>
      <c r="L178" s="44">
        <f t="shared" si="62"/>
        <v>411.43799999999999</v>
      </c>
      <c r="M178" s="42" t="s">
        <v>1110</v>
      </c>
      <c r="N178" s="52" t="str">
        <f t="shared" si="59"/>
        <v>(19,'PS-19-NZ1','Poste de Sectionnement n°19 NZ1','Wednesday-11-jj','Wednesday-11-jj',,,),</v>
      </c>
    </row>
    <row r="179" spans="1:14" ht="20.100000000000001" customHeight="1" x14ac:dyDescent="0.25">
      <c r="A179" s="39">
        <v>20</v>
      </c>
      <c r="B179" s="40" t="str">
        <f t="shared" si="63"/>
        <v>PS-20-NZ1</v>
      </c>
      <c r="C179" s="52" t="str">
        <f t="shared" si="64"/>
        <v>Poste de Sectionnement n°20 NZ1</v>
      </c>
      <c r="D179" s="19">
        <v>28795</v>
      </c>
      <c r="E179" s="19">
        <v>28795</v>
      </c>
      <c r="F179" s="42"/>
      <c r="G179" s="42"/>
      <c r="H179" s="42"/>
      <c r="I179" s="42" t="s">
        <v>365</v>
      </c>
      <c r="J179" s="42" t="s">
        <v>1091</v>
      </c>
      <c r="K179" s="61">
        <v>80</v>
      </c>
      <c r="L179" s="44">
        <f t="shared" si="62"/>
        <v>424</v>
      </c>
      <c r="M179" s="42" t="s">
        <v>1111</v>
      </c>
      <c r="N179" s="52" t="str">
        <f t="shared" si="59"/>
        <v>(20,'PS-20-NZ1','Poste de Sectionnement n°20 NZ1','Wednesday-11-jj','Wednesday-11-jj',,,),</v>
      </c>
    </row>
    <row r="180" spans="1:14" ht="20.100000000000001" customHeight="1" x14ac:dyDescent="0.25">
      <c r="A180" s="39">
        <v>21</v>
      </c>
      <c r="B180" s="40" t="str">
        <f t="shared" si="63"/>
        <v>PS-21-NZ1</v>
      </c>
      <c r="C180" s="52" t="str">
        <f t="shared" si="64"/>
        <v>Poste de Sectionnement n°21 NZ1</v>
      </c>
      <c r="D180" s="19">
        <v>28795</v>
      </c>
      <c r="E180" s="19">
        <v>28795</v>
      </c>
      <c r="F180" s="42"/>
      <c r="G180" s="42"/>
      <c r="H180" s="42"/>
      <c r="I180" s="42" t="s">
        <v>365</v>
      </c>
      <c r="J180" s="42" t="s">
        <v>1092</v>
      </c>
      <c r="K180" s="61">
        <v>20</v>
      </c>
      <c r="L180" s="44">
        <f t="shared" si="62"/>
        <v>463.666</v>
      </c>
      <c r="M180" s="42" t="s">
        <v>1112</v>
      </c>
      <c r="N180" s="52" t="str">
        <f t="shared" si="59"/>
        <v>(21,'PS-21-NZ1','Poste de Sectionnement n°21 NZ1','Wednesday-11-jj','Wednesday-11-jj',,,),</v>
      </c>
    </row>
    <row r="181" spans="1:14" ht="20.100000000000001" customHeight="1" x14ac:dyDescent="0.25">
      <c r="A181" s="39">
        <v>22</v>
      </c>
      <c r="B181" s="40" t="str">
        <f t="shared" si="63"/>
        <v>PS-22-NZ1</v>
      </c>
      <c r="C181" s="52" t="str">
        <f t="shared" si="64"/>
        <v>Poste de Sectionnement n°22 NZ1</v>
      </c>
      <c r="D181" s="19">
        <v>28795</v>
      </c>
      <c r="E181" s="19">
        <v>28795</v>
      </c>
      <c r="F181" s="42"/>
      <c r="G181" s="42"/>
      <c r="H181" s="42"/>
      <c r="I181" s="42" t="s">
        <v>365</v>
      </c>
      <c r="J181" s="42" t="s">
        <v>1093</v>
      </c>
      <c r="K181" s="61">
        <v>5</v>
      </c>
      <c r="L181" s="44">
        <f t="shared" si="62"/>
        <v>477</v>
      </c>
      <c r="M181" s="42" t="s">
        <v>1113</v>
      </c>
      <c r="N181" s="52" t="str">
        <f t="shared" si="59"/>
        <v>(22,'PS-22-NZ1','Poste de Sectionnement n°22 NZ1','Wednesday-11-jj','Wednesday-11-jj',,,),</v>
      </c>
    </row>
    <row r="182" spans="1:14" ht="20.100000000000001" customHeight="1" x14ac:dyDescent="0.25">
      <c r="A182" s="39">
        <v>23</v>
      </c>
      <c r="B182" s="40" t="str">
        <f t="shared" si="63"/>
        <v>PS-23-NZ1</v>
      </c>
      <c r="C182" s="52" t="str">
        <f t="shared" si="64"/>
        <v>Poste de Sectionnement n°23 NZ1</v>
      </c>
      <c r="D182" s="19">
        <v>28795</v>
      </c>
      <c r="E182" s="19">
        <v>28795</v>
      </c>
      <c r="F182" s="42"/>
      <c r="G182" s="42"/>
      <c r="H182" s="42"/>
      <c r="I182" s="42" t="s">
        <v>365</v>
      </c>
      <c r="J182" s="42" t="s">
        <v>1094</v>
      </c>
      <c r="K182" s="61">
        <v>6</v>
      </c>
      <c r="L182" s="44">
        <f t="shared" si="62"/>
        <v>488</v>
      </c>
      <c r="M182" s="42" t="s">
        <v>1114</v>
      </c>
      <c r="N182" s="52" t="str">
        <f t="shared" si="59"/>
        <v>(23,'PS-23-NZ1','Poste de Sectionnement n°23 NZ1','Wednesday-11-jj','Wednesday-11-jj',,,),</v>
      </c>
    </row>
    <row r="183" spans="1:14" ht="20.100000000000001" customHeight="1" x14ac:dyDescent="0.25">
      <c r="A183" s="39">
        <v>24</v>
      </c>
      <c r="B183" s="40" t="str">
        <f t="shared" si="63"/>
        <v>PS-24-NZ1</v>
      </c>
      <c r="C183" s="52" t="str">
        <f t="shared" si="64"/>
        <v>Poste de Sectionnement n°24 NZ1</v>
      </c>
      <c r="D183" s="19">
        <v>28795</v>
      </c>
      <c r="E183" s="19">
        <v>28795</v>
      </c>
      <c r="F183" s="42"/>
      <c r="G183" s="42"/>
      <c r="H183" s="42"/>
      <c r="I183" s="42" t="s">
        <v>365</v>
      </c>
      <c r="J183" s="42" t="s">
        <v>1095</v>
      </c>
      <c r="K183" s="61">
        <v>14</v>
      </c>
      <c r="L183" s="44">
        <f t="shared" si="62"/>
        <v>490.60500000000002</v>
      </c>
      <c r="M183" s="42" t="s">
        <v>1114</v>
      </c>
      <c r="N183" s="52" t="str">
        <f t="shared" si="59"/>
        <v>(24,'PS-24-NZ1','Poste de Sectionnement n°24 NZ1','Wednesday-11-jj','Wednesday-11-jj',,,),</v>
      </c>
    </row>
    <row r="184" spans="1:14" ht="20.100000000000001" customHeight="1" x14ac:dyDescent="0.25">
      <c r="A184" s="39">
        <v>1</v>
      </c>
      <c r="B184" s="40" t="str">
        <f t="shared" si="63"/>
        <v>PS-01-NK1</v>
      </c>
      <c r="C184" s="52" t="str">
        <f t="shared" si="64"/>
        <v>Poste de Sectionnement n°01 NK1</v>
      </c>
      <c r="D184" s="19">
        <v>40029</v>
      </c>
      <c r="E184" s="19">
        <v>40029</v>
      </c>
      <c r="F184" s="42"/>
      <c r="G184" s="42"/>
      <c r="H184" s="42"/>
      <c r="I184" s="42" t="s">
        <v>368</v>
      </c>
      <c r="J184" s="42" t="s">
        <v>1676</v>
      </c>
      <c r="K184" s="42">
        <f t="shared" ref="K184" si="65">VALUE(RIGHT(J184,LEN(J184)-SEARCH("/",J184)))</f>
        <v>173</v>
      </c>
      <c r="L184" s="42">
        <f t="shared" ref="L184" si="66">VALUE(SUBSTITUTE(LEFT(J184,SEARCH("/",J184)-1),"+",","))</f>
        <v>19.141999999999999</v>
      </c>
      <c r="M184" s="64" t="s">
        <v>1694</v>
      </c>
      <c r="N184" s="52" t="str">
        <f t="shared" si="59"/>
        <v>(1,'PS-01-NK1','Poste de Sectionnement n°01 NK1','Tuesday-08-jj','Tuesday-08-jj',,,),</v>
      </c>
    </row>
    <row r="185" spans="1:14" ht="20.100000000000001" customHeight="1" x14ac:dyDescent="0.25">
      <c r="A185" s="39">
        <v>2</v>
      </c>
      <c r="B185" s="40" t="str">
        <f t="shared" si="63"/>
        <v>PS-02-NK1</v>
      </c>
      <c r="C185" s="52" t="str">
        <f t="shared" si="64"/>
        <v>Poste de Sectionnement n°02 NK1</v>
      </c>
      <c r="D185" s="19">
        <v>40029</v>
      </c>
      <c r="E185" s="19">
        <v>40029</v>
      </c>
      <c r="F185" s="42"/>
      <c r="G185" s="42"/>
      <c r="H185" s="42"/>
      <c r="I185" s="42" t="s">
        <v>368</v>
      </c>
      <c r="J185" s="42" t="s">
        <v>1677</v>
      </c>
      <c r="K185" s="42">
        <f t="shared" ref="K185:K200" si="67">VALUE(RIGHT(J185,LEN(J185)-SEARCH("/",J185)))</f>
        <v>170</v>
      </c>
      <c r="L185" s="42">
        <f t="shared" ref="L185:L200" si="68">VALUE(SUBSTITUTE(LEFT(J185,SEARCH("/",J185)-1),"+",","))</f>
        <v>39.03</v>
      </c>
      <c r="M185" s="64" t="s">
        <v>1694</v>
      </c>
      <c r="N185" s="52" t="str">
        <f t="shared" si="59"/>
        <v>(2,'PS-02-NK1','Poste de Sectionnement n°02 NK1','Tuesday-08-jj','Tuesday-08-jj',,,),</v>
      </c>
    </row>
    <row r="186" spans="1:14" ht="20.100000000000001" customHeight="1" x14ac:dyDescent="0.25">
      <c r="A186" s="39">
        <v>3</v>
      </c>
      <c r="B186" s="40" t="str">
        <f t="shared" ref="B186:B201" si="69">CONCATENATE("PS-",TEXT(A186,"00"),"-",I186)</f>
        <v>PS-03-NK1</v>
      </c>
      <c r="C186" s="52" t="str">
        <f t="shared" ref="C186:C201" si="70">CONCATENATE("Poste de Sectionnement n°",TEXT(A186,"00")," ",I186)</f>
        <v>Poste de Sectionnement n°03 NK1</v>
      </c>
      <c r="D186" s="19">
        <v>40029</v>
      </c>
      <c r="E186" s="19">
        <v>40029</v>
      </c>
      <c r="F186" s="42"/>
      <c r="G186" s="42"/>
      <c r="H186" s="42"/>
      <c r="I186" s="42" t="s">
        <v>368</v>
      </c>
      <c r="J186" s="42" t="s">
        <v>1678</v>
      </c>
      <c r="K186" s="42">
        <f t="shared" si="67"/>
        <v>127</v>
      </c>
      <c r="L186" s="42">
        <f t="shared" si="68"/>
        <v>58.423000000000002</v>
      </c>
      <c r="M186" s="65" t="s">
        <v>1695</v>
      </c>
      <c r="N186" s="52" t="str">
        <f t="shared" si="59"/>
        <v>(3,'PS-03-NK1','Poste de Sectionnement n°03 NK1','Tuesday-08-jj','Tuesday-08-jj',,,),</v>
      </c>
    </row>
    <row r="187" spans="1:14" ht="20.100000000000001" customHeight="1" x14ac:dyDescent="0.25">
      <c r="A187" s="39">
        <v>4</v>
      </c>
      <c r="B187" s="40" t="str">
        <f t="shared" si="69"/>
        <v>PS-04-NK1</v>
      </c>
      <c r="C187" s="52" t="str">
        <f t="shared" si="70"/>
        <v>Poste de Sectionnement n°04 NK1</v>
      </c>
      <c r="D187" s="19">
        <v>40029</v>
      </c>
      <c r="E187" s="19">
        <v>40029</v>
      </c>
      <c r="F187" s="42"/>
      <c r="G187" s="42"/>
      <c r="H187" s="42"/>
      <c r="I187" s="42" t="s">
        <v>368</v>
      </c>
      <c r="J187" s="42" t="s">
        <v>1679</v>
      </c>
      <c r="K187" s="42">
        <f t="shared" si="67"/>
        <v>119</v>
      </c>
      <c r="L187" s="42">
        <f t="shared" si="68"/>
        <v>78</v>
      </c>
      <c r="M187" s="65" t="s">
        <v>1695</v>
      </c>
      <c r="N187" s="52" t="str">
        <f t="shared" si="59"/>
        <v>(4,'PS-04-NK1','Poste de Sectionnement n°04 NK1','Tuesday-08-jj','Tuesday-08-jj',,,),</v>
      </c>
    </row>
    <row r="188" spans="1:14" ht="20.100000000000001" customHeight="1" x14ac:dyDescent="0.25">
      <c r="A188" s="39">
        <v>5</v>
      </c>
      <c r="B188" s="40" t="str">
        <f t="shared" si="69"/>
        <v>PS-05-NK1</v>
      </c>
      <c r="C188" s="52" t="str">
        <f t="shared" si="70"/>
        <v>Poste de Sectionnement n°05 NK1</v>
      </c>
      <c r="D188" s="19">
        <v>40029</v>
      </c>
      <c r="E188" s="19">
        <v>40029</v>
      </c>
      <c r="F188" s="42"/>
      <c r="G188" s="42"/>
      <c r="H188" s="42"/>
      <c r="I188" s="42" t="s">
        <v>368</v>
      </c>
      <c r="J188" s="42" t="s">
        <v>1680</v>
      </c>
      <c r="K188" s="42">
        <f t="shared" si="67"/>
        <v>112</v>
      </c>
      <c r="L188" s="42">
        <f t="shared" si="68"/>
        <v>97.503</v>
      </c>
      <c r="M188" s="65" t="s">
        <v>1695</v>
      </c>
      <c r="N188" s="52" t="str">
        <f t="shared" si="59"/>
        <v>(5,'PS-05-NK1','Poste de Sectionnement n°05 NK1','Tuesday-08-jj','Tuesday-08-jj',,,),</v>
      </c>
    </row>
    <row r="189" spans="1:14" ht="20.100000000000001" customHeight="1" x14ac:dyDescent="0.25">
      <c r="A189" s="39">
        <v>6</v>
      </c>
      <c r="B189" s="40" t="str">
        <f t="shared" si="69"/>
        <v>PS-06-NK1</v>
      </c>
      <c r="C189" s="52" t="str">
        <f t="shared" si="70"/>
        <v>Poste de Sectionnement n°06 NK1</v>
      </c>
      <c r="D189" s="19">
        <v>40029</v>
      </c>
      <c r="E189" s="19">
        <v>40029</v>
      </c>
      <c r="F189" s="42"/>
      <c r="G189" s="42"/>
      <c r="H189" s="42"/>
      <c r="I189" s="42" t="s">
        <v>368</v>
      </c>
      <c r="J189" s="42" t="s">
        <v>1681</v>
      </c>
      <c r="K189" s="42">
        <f t="shared" si="67"/>
        <v>98</v>
      </c>
      <c r="L189" s="42">
        <f t="shared" si="68"/>
        <v>117.11199999999999</v>
      </c>
      <c r="M189" s="65" t="s">
        <v>1695</v>
      </c>
      <c r="N189" s="52" t="str">
        <f t="shared" si="59"/>
        <v>(6,'PS-06-NK1','Poste de Sectionnement n°06 NK1','Tuesday-08-jj','Tuesday-08-jj',,,),</v>
      </c>
    </row>
    <row r="190" spans="1:14" ht="20.100000000000001" customHeight="1" x14ac:dyDescent="0.25">
      <c r="A190" s="39">
        <v>7</v>
      </c>
      <c r="B190" s="40" t="str">
        <f t="shared" si="69"/>
        <v>PS-07-NK1</v>
      </c>
      <c r="C190" s="52" t="str">
        <f t="shared" si="70"/>
        <v>Poste de Sectionnement n°07 NK1</v>
      </c>
      <c r="D190" s="19">
        <v>40029</v>
      </c>
      <c r="E190" s="19">
        <v>40029</v>
      </c>
      <c r="F190" s="42"/>
      <c r="G190" s="42"/>
      <c r="H190" s="42"/>
      <c r="I190" s="42" t="s">
        <v>368</v>
      </c>
      <c r="J190" s="42" t="s">
        <v>1682</v>
      </c>
      <c r="K190" s="42">
        <f t="shared" si="67"/>
        <v>88</v>
      </c>
      <c r="L190" s="42">
        <f t="shared" si="68"/>
        <v>136.69800000000001</v>
      </c>
      <c r="M190" s="65" t="s">
        <v>1696</v>
      </c>
      <c r="N190" s="52" t="str">
        <f t="shared" si="59"/>
        <v>(7,'PS-07-NK1','Poste de Sectionnement n°07 NK1','Tuesday-08-jj','Tuesday-08-jj',,,),</v>
      </c>
    </row>
    <row r="191" spans="1:14" ht="20.100000000000001" customHeight="1" x14ac:dyDescent="0.25">
      <c r="A191" s="39">
        <v>8</v>
      </c>
      <c r="B191" s="40" t="str">
        <f t="shared" si="69"/>
        <v>PS-08-NK1</v>
      </c>
      <c r="C191" s="52" t="str">
        <f t="shared" si="70"/>
        <v>Poste de Sectionnement n°08 NK1</v>
      </c>
      <c r="D191" s="19">
        <v>40029</v>
      </c>
      <c r="E191" s="19">
        <v>40029</v>
      </c>
      <c r="F191" s="42"/>
      <c r="G191" s="42"/>
      <c r="H191" s="42"/>
      <c r="I191" s="42" t="s">
        <v>368</v>
      </c>
      <c r="J191" s="42" t="s">
        <v>1683</v>
      </c>
      <c r="K191" s="42">
        <f t="shared" si="67"/>
        <v>71</v>
      </c>
      <c r="L191" s="42">
        <f t="shared" si="68"/>
        <v>156.44800000000001</v>
      </c>
      <c r="M191" s="65" t="s">
        <v>1697</v>
      </c>
      <c r="N191" s="52" t="str">
        <f t="shared" si="59"/>
        <v>(8,'PS-08-NK1','Poste de Sectionnement n°08 NK1','Tuesday-08-jj','Tuesday-08-jj',,,),</v>
      </c>
    </row>
    <row r="192" spans="1:14" ht="20.100000000000001" customHeight="1" x14ac:dyDescent="0.25">
      <c r="A192" s="39">
        <v>9</v>
      </c>
      <c r="B192" s="40" t="str">
        <f t="shared" si="69"/>
        <v>PS-09-NK1</v>
      </c>
      <c r="C192" s="52" t="str">
        <f t="shared" si="70"/>
        <v>Poste de Sectionnement n°09 NK1</v>
      </c>
      <c r="D192" s="19">
        <v>40029</v>
      </c>
      <c r="E192" s="19">
        <v>40029</v>
      </c>
      <c r="F192" s="42"/>
      <c r="G192" s="42"/>
      <c r="H192" s="42"/>
      <c r="I192" s="42" t="s">
        <v>368</v>
      </c>
      <c r="J192" s="42" t="s">
        <v>1684</v>
      </c>
      <c r="K192" s="42">
        <f t="shared" si="67"/>
        <v>77</v>
      </c>
      <c r="L192" s="42">
        <f t="shared" si="68"/>
        <v>175.5</v>
      </c>
      <c r="M192" s="62" t="s">
        <v>1698</v>
      </c>
      <c r="N192" s="52" t="str">
        <f t="shared" si="59"/>
        <v>(9,'PS-09-NK1','Poste de Sectionnement n°09 NK1','Tuesday-08-jj','Tuesday-08-jj',,,),</v>
      </c>
    </row>
    <row r="193" spans="1:14" ht="20.100000000000001" customHeight="1" x14ac:dyDescent="0.25">
      <c r="A193" s="39">
        <v>10</v>
      </c>
      <c r="B193" s="40" t="str">
        <f t="shared" si="69"/>
        <v>PS-10-NK1</v>
      </c>
      <c r="C193" s="52" t="str">
        <f t="shared" si="70"/>
        <v>Poste de Sectionnement n°10 NK1</v>
      </c>
      <c r="D193" s="19">
        <v>40029</v>
      </c>
      <c r="E193" s="19">
        <v>40029</v>
      </c>
      <c r="F193" s="42"/>
      <c r="G193" s="42"/>
      <c r="H193" s="42"/>
      <c r="I193" s="42" t="s">
        <v>368</v>
      </c>
      <c r="J193" s="42" t="s">
        <v>1685</v>
      </c>
      <c r="K193" s="42">
        <f t="shared" si="67"/>
        <v>110</v>
      </c>
      <c r="L193" s="42">
        <f t="shared" si="68"/>
        <v>209.315</v>
      </c>
      <c r="M193" s="42" t="s">
        <v>1699</v>
      </c>
      <c r="N193" s="52" t="str">
        <f t="shared" si="59"/>
        <v>(10,'PS-10-NK1','Poste de Sectionnement n°10 NK1','Tuesday-08-jj','Tuesday-08-jj',,,),</v>
      </c>
    </row>
    <row r="194" spans="1:14" ht="20.100000000000001" customHeight="1" x14ac:dyDescent="0.25">
      <c r="A194" s="39">
        <v>11</v>
      </c>
      <c r="B194" s="40" t="str">
        <f t="shared" si="69"/>
        <v>PS-11-NK1</v>
      </c>
      <c r="C194" s="52" t="str">
        <f t="shared" si="70"/>
        <v>Poste de Sectionnement n°11 NK1</v>
      </c>
      <c r="D194" s="19">
        <v>40029</v>
      </c>
      <c r="E194" s="19">
        <v>40029</v>
      </c>
      <c r="F194" s="42"/>
      <c r="G194" s="42"/>
      <c r="H194" s="42"/>
      <c r="I194" s="42" t="s">
        <v>368</v>
      </c>
      <c r="J194" s="42" t="s">
        <v>1686</v>
      </c>
      <c r="K194" s="42">
        <f t="shared" si="67"/>
        <v>78</v>
      </c>
      <c r="L194" s="42">
        <f t="shared" si="68"/>
        <v>228.535</v>
      </c>
      <c r="M194" s="42" t="s">
        <v>1700</v>
      </c>
      <c r="N194" s="52" t="str">
        <f t="shared" si="59"/>
        <v>(11,'PS-11-NK1','Poste de Sectionnement n°11 NK1','Tuesday-08-jj','Tuesday-08-jj',,,),</v>
      </c>
    </row>
    <row r="195" spans="1:14" ht="20.100000000000001" customHeight="1" x14ac:dyDescent="0.25">
      <c r="A195" s="39">
        <v>12</v>
      </c>
      <c r="B195" s="40" t="str">
        <f t="shared" si="69"/>
        <v>PS-12-NK1</v>
      </c>
      <c r="C195" s="52" t="str">
        <f t="shared" si="70"/>
        <v>Poste de Sectionnement n°12 NK1</v>
      </c>
      <c r="D195" s="19">
        <v>40029</v>
      </c>
      <c r="E195" s="19">
        <v>40029</v>
      </c>
      <c r="F195" s="42"/>
      <c r="G195" s="42"/>
      <c r="H195" s="42"/>
      <c r="I195" s="42" t="s">
        <v>368</v>
      </c>
      <c r="J195" s="42" t="s">
        <v>1687</v>
      </c>
      <c r="K195" s="42">
        <f t="shared" si="67"/>
        <v>42</v>
      </c>
      <c r="L195" s="42">
        <f t="shared" si="68"/>
        <v>248.00299999999999</v>
      </c>
      <c r="M195" s="42" t="s">
        <v>1701</v>
      </c>
      <c r="N195" s="52" t="str">
        <f t="shared" si="59"/>
        <v>(12,'PS-12-NK1','Poste de Sectionnement n°12 NK1','Tuesday-08-jj','Tuesday-08-jj',,,),</v>
      </c>
    </row>
    <row r="196" spans="1:14" ht="20.100000000000001" customHeight="1" x14ac:dyDescent="0.25">
      <c r="A196" s="39">
        <v>13</v>
      </c>
      <c r="B196" s="40" t="str">
        <f t="shared" si="69"/>
        <v>PS-13-NK1</v>
      </c>
      <c r="C196" s="52" t="str">
        <f t="shared" si="70"/>
        <v>Poste de Sectionnement n°13 NK1</v>
      </c>
      <c r="D196" s="19">
        <v>40029</v>
      </c>
      <c r="E196" s="19">
        <v>40029</v>
      </c>
      <c r="F196" s="42"/>
      <c r="G196" s="42"/>
      <c r="H196" s="42"/>
      <c r="I196" s="42" t="s">
        <v>368</v>
      </c>
      <c r="J196" s="42" t="s">
        <v>1688</v>
      </c>
      <c r="K196" s="42">
        <f t="shared" si="67"/>
        <v>93</v>
      </c>
      <c r="L196" s="42">
        <f t="shared" si="68"/>
        <v>267.65100000000001</v>
      </c>
      <c r="M196" s="42" t="s">
        <v>1702</v>
      </c>
      <c r="N196" s="52" t="str">
        <f t="shared" si="59"/>
        <v>(13,'PS-13-NK1','Poste de Sectionnement n°13 NK1','Tuesday-08-jj','Tuesday-08-jj',,,),</v>
      </c>
    </row>
    <row r="197" spans="1:14" ht="20.100000000000001" customHeight="1" x14ac:dyDescent="0.25">
      <c r="A197" s="39">
        <v>14</v>
      </c>
      <c r="B197" s="40" t="str">
        <f t="shared" si="69"/>
        <v>PS-14-NK1</v>
      </c>
      <c r="C197" s="52" t="str">
        <f t="shared" si="70"/>
        <v>Poste de Sectionnement n°14 NK1</v>
      </c>
      <c r="D197" s="19">
        <v>40029</v>
      </c>
      <c r="E197" s="19">
        <v>40029</v>
      </c>
      <c r="F197" s="42"/>
      <c r="G197" s="42"/>
      <c r="H197" s="42"/>
      <c r="I197" s="42" t="s">
        <v>368</v>
      </c>
      <c r="J197" s="42" t="s">
        <v>1689</v>
      </c>
      <c r="K197" s="42">
        <f t="shared" si="67"/>
        <v>85</v>
      </c>
      <c r="L197" s="42">
        <f t="shared" si="68"/>
        <v>287.16300000000001</v>
      </c>
      <c r="M197" s="42" t="s">
        <v>1703</v>
      </c>
      <c r="N197" s="52" t="str">
        <f t="shared" si="59"/>
        <v>(14,'PS-14-NK1','Poste de Sectionnement n°14 NK1','Tuesday-08-jj','Tuesday-08-jj',,,),</v>
      </c>
    </row>
    <row r="198" spans="1:14" ht="20.100000000000001" customHeight="1" x14ac:dyDescent="0.25">
      <c r="A198" s="39">
        <v>15</v>
      </c>
      <c r="B198" s="40" t="str">
        <f t="shared" si="69"/>
        <v>PS-15-NK1</v>
      </c>
      <c r="C198" s="52" t="str">
        <f t="shared" si="70"/>
        <v>Poste de Sectionnement n°15 NK1</v>
      </c>
      <c r="D198" s="19">
        <v>40029</v>
      </c>
      <c r="E198" s="19">
        <v>40029</v>
      </c>
      <c r="F198" s="42"/>
      <c r="G198" s="42"/>
      <c r="H198" s="42"/>
      <c r="I198" s="42" t="s">
        <v>368</v>
      </c>
      <c r="J198" s="42" t="s">
        <v>1690</v>
      </c>
      <c r="K198" s="42">
        <f t="shared" si="67"/>
        <v>78</v>
      </c>
      <c r="L198" s="42">
        <f t="shared" si="68"/>
        <v>306.745</v>
      </c>
      <c r="M198" s="42" t="s">
        <v>1704</v>
      </c>
      <c r="N198" s="52" t="str">
        <f t="shared" si="59"/>
        <v>(15,'PS-15-NK1','Poste de Sectionnement n°15 NK1','Tuesday-08-jj','Tuesday-08-jj',,,),</v>
      </c>
    </row>
    <row r="199" spans="1:14" ht="20.100000000000001" customHeight="1" x14ac:dyDescent="0.25">
      <c r="A199" s="39">
        <v>16</v>
      </c>
      <c r="B199" s="40" t="str">
        <f t="shared" si="69"/>
        <v>PS-16-NK1</v>
      </c>
      <c r="C199" s="52" t="str">
        <f t="shared" si="70"/>
        <v>Poste de Sectionnement n°16 NK1</v>
      </c>
      <c r="D199" s="19">
        <v>40029</v>
      </c>
      <c r="E199" s="19">
        <v>40029</v>
      </c>
      <c r="F199" s="42"/>
      <c r="G199" s="42"/>
      <c r="H199" s="42"/>
      <c r="I199" s="42" t="s">
        <v>368</v>
      </c>
      <c r="J199" s="42" t="s">
        <v>1691</v>
      </c>
      <c r="K199" s="42">
        <f t="shared" si="67"/>
        <v>150</v>
      </c>
      <c r="L199" s="42">
        <f t="shared" si="68"/>
        <v>326.50700000000001</v>
      </c>
      <c r="M199" s="42" t="s">
        <v>1705</v>
      </c>
      <c r="N199" s="52" t="str">
        <f t="shared" si="59"/>
        <v>(16,'PS-16-NK1','Poste de Sectionnement n°16 NK1','Tuesday-08-jj','Tuesday-08-jj',,,),</v>
      </c>
    </row>
    <row r="200" spans="1:14" ht="20.100000000000001" customHeight="1" x14ac:dyDescent="0.25">
      <c r="A200" s="39">
        <v>17</v>
      </c>
      <c r="B200" s="40" t="str">
        <f t="shared" si="69"/>
        <v>PS-17-NK1</v>
      </c>
      <c r="C200" s="52" t="str">
        <f t="shared" si="70"/>
        <v>Poste de Sectionnement n°17 NK1</v>
      </c>
      <c r="D200" s="19">
        <v>40029</v>
      </c>
      <c r="E200" s="19">
        <v>40029</v>
      </c>
      <c r="F200" s="42"/>
      <c r="G200" s="42"/>
      <c r="H200" s="42"/>
      <c r="I200" s="42" t="s">
        <v>368</v>
      </c>
      <c r="J200" s="42" t="s">
        <v>1692</v>
      </c>
      <c r="K200" s="42">
        <f t="shared" si="67"/>
        <v>241</v>
      </c>
      <c r="L200" s="42">
        <f t="shared" si="68"/>
        <v>357.11399999999998</v>
      </c>
      <c r="M200" s="64" t="s">
        <v>1706</v>
      </c>
      <c r="N200" s="52" t="str">
        <f t="shared" si="59"/>
        <v>(17,'PS-17-NK1','Poste de Sectionnement n°17 NK1','Tuesday-08-jj','Tuesday-08-jj',,,),</v>
      </c>
    </row>
    <row r="201" spans="1:14" ht="20.100000000000001" customHeight="1" x14ac:dyDescent="0.25">
      <c r="A201" s="39">
        <v>18</v>
      </c>
      <c r="B201" s="40" t="str">
        <f t="shared" si="69"/>
        <v>PS-18-NK1</v>
      </c>
      <c r="C201" s="52" t="str">
        <f t="shared" si="70"/>
        <v>Poste de Sectionnement n°18 NK1</v>
      </c>
      <c r="D201" s="19">
        <v>40029</v>
      </c>
      <c r="E201" s="19">
        <v>40029</v>
      </c>
      <c r="F201" s="42"/>
      <c r="G201" s="42"/>
      <c r="H201" s="42"/>
      <c r="I201" s="42" t="s">
        <v>368</v>
      </c>
      <c r="J201" s="42" t="s">
        <v>1693</v>
      </c>
      <c r="K201" s="42">
        <f t="shared" ref="K201" si="71">VALUE(RIGHT(J201,LEN(J201)-SEARCH("/",J201)))</f>
        <v>403</v>
      </c>
      <c r="L201" s="42">
        <f t="shared" ref="L201" si="72">VALUE(SUBSTITUTE(LEFT(J201,SEARCH("/",J201)-1),"+",","))</f>
        <v>375.16399999999999</v>
      </c>
      <c r="M201" s="64" t="s">
        <v>1706</v>
      </c>
      <c r="N201" s="52" t="str">
        <f t="shared" si="59"/>
        <v>(18,'PS-18-NK1','Poste de Sectionnement n°18 NK1','Tuesday-08-jj','Tuesday-08-jj',,,),</v>
      </c>
    </row>
    <row r="202" spans="1:14" ht="20.100000000000001" customHeight="1" x14ac:dyDescent="0.25">
      <c r="A202" s="39">
        <v>19</v>
      </c>
      <c r="B202" s="40" t="str">
        <f t="shared" ref="B202:B223" si="73">CONCATENATE("PS-",TEXT(A202,"00"),"-",I202)</f>
        <v>PS-19-NK1</v>
      </c>
      <c r="C202" s="52" t="str">
        <f t="shared" ref="C202:C223" si="74">CONCATENATE("Poste de Sectionnement n°",TEXT(A202,"00")," ",I202)</f>
        <v>Poste de Sectionnement n°19 NK1</v>
      </c>
      <c r="D202" s="19">
        <v>40029</v>
      </c>
      <c r="E202" s="19">
        <v>40029</v>
      </c>
      <c r="F202" s="42"/>
      <c r="G202" s="42"/>
      <c r="H202" s="42"/>
      <c r="I202" s="42" t="s">
        <v>368</v>
      </c>
      <c r="J202" s="42" t="s">
        <v>1721</v>
      </c>
      <c r="K202" s="42">
        <f t="shared" ref="K202:K219" si="75">VALUE(RIGHT(J202,LEN(J202)-SEARCH("/",J202)))</f>
        <v>538</v>
      </c>
      <c r="L202" s="42">
        <f t="shared" ref="L202:L219" si="76">VALUE(SUBSTITUTE(LEFT(J202,SEARCH("/",J202)-1),"+",","))</f>
        <v>394.30099999999999</v>
      </c>
      <c r="M202" s="64" t="s">
        <v>857</v>
      </c>
      <c r="N202" s="52" t="str">
        <f t="shared" si="59"/>
        <v>(19,'PS-19-NK1','Poste de Sectionnement n°19 NK1','Tuesday-08-jj','Tuesday-08-jj',,,),</v>
      </c>
    </row>
    <row r="203" spans="1:14" ht="20.100000000000001" customHeight="1" x14ac:dyDescent="0.25">
      <c r="A203" s="39">
        <v>20</v>
      </c>
      <c r="B203" s="40" t="str">
        <f t="shared" si="73"/>
        <v>PS-20-NK1</v>
      </c>
      <c r="C203" s="52" t="str">
        <f t="shared" si="74"/>
        <v>Poste de Sectionnement n°20 NK1</v>
      </c>
      <c r="D203" s="19">
        <v>40029</v>
      </c>
      <c r="E203" s="19">
        <v>40029</v>
      </c>
      <c r="F203" s="42"/>
      <c r="G203" s="42"/>
      <c r="H203" s="42"/>
      <c r="I203" s="42" t="s">
        <v>368</v>
      </c>
      <c r="J203" s="42" t="s">
        <v>1722</v>
      </c>
      <c r="K203" s="42">
        <f t="shared" si="75"/>
        <v>474</v>
      </c>
      <c r="L203" s="42">
        <f t="shared" si="76"/>
        <v>411.12900000000002</v>
      </c>
      <c r="M203" s="64" t="s">
        <v>857</v>
      </c>
      <c r="N203" s="52" t="str">
        <f t="shared" si="59"/>
        <v>(20,'PS-20-NK1','Poste de Sectionnement n°20 NK1','Tuesday-08-jj','Tuesday-08-jj',,,),</v>
      </c>
    </row>
    <row r="204" spans="1:14" ht="20.100000000000001" customHeight="1" x14ac:dyDescent="0.25">
      <c r="A204" s="39">
        <v>21</v>
      </c>
      <c r="B204" s="40" t="str">
        <f t="shared" si="73"/>
        <v>PS-21-NK1</v>
      </c>
      <c r="C204" s="52" t="str">
        <f t="shared" si="74"/>
        <v>Poste de Sectionnement n°21 NK1</v>
      </c>
      <c r="D204" s="19">
        <v>40029</v>
      </c>
      <c r="E204" s="19">
        <v>40029</v>
      </c>
      <c r="F204" s="42"/>
      <c r="G204" s="42"/>
      <c r="H204" s="42"/>
      <c r="I204" s="42" t="s">
        <v>368</v>
      </c>
      <c r="J204" s="42" t="s">
        <v>1723</v>
      </c>
      <c r="K204" s="42">
        <f t="shared" si="75"/>
        <v>705</v>
      </c>
      <c r="L204" s="42">
        <f t="shared" si="76"/>
        <v>446.33699999999999</v>
      </c>
      <c r="M204" s="42" t="s">
        <v>1707</v>
      </c>
      <c r="N204" s="52" t="str">
        <f t="shared" si="59"/>
        <v>(21,'PS-21-NK1','Poste de Sectionnement n°21 NK1','Tuesday-08-jj','Tuesday-08-jj',,,),</v>
      </c>
    </row>
    <row r="205" spans="1:14" ht="20.100000000000001" customHeight="1" x14ac:dyDescent="0.25">
      <c r="A205" s="39">
        <v>22</v>
      </c>
      <c r="B205" s="40" t="str">
        <f t="shared" si="73"/>
        <v>PS-22-NK1</v>
      </c>
      <c r="C205" s="52" t="str">
        <f t="shared" si="74"/>
        <v>Poste de Sectionnement n°22 NK1</v>
      </c>
      <c r="D205" s="19">
        <v>40029</v>
      </c>
      <c r="E205" s="19">
        <v>40029</v>
      </c>
      <c r="F205" s="42"/>
      <c r="G205" s="42"/>
      <c r="H205" s="42"/>
      <c r="I205" s="42" t="s">
        <v>368</v>
      </c>
      <c r="J205" s="42" t="s">
        <v>1724</v>
      </c>
      <c r="K205" s="42">
        <f t="shared" si="75"/>
        <v>854</v>
      </c>
      <c r="L205" s="42">
        <f t="shared" si="76"/>
        <v>461.375</v>
      </c>
      <c r="M205" s="42" t="s">
        <v>1708</v>
      </c>
      <c r="N205" s="52" t="str">
        <f t="shared" si="59"/>
        <v>(22,'PS-22-NK1','Poste de Sectionnement n°22 NK1','Tuesday-08-jj','Tuesday-08-jj',,,),</v>
      </c>
    </row>
    <row r="206" spans="1:14" ht="20.100000000000001" customHeight="1" x14ac:dyDescent="0.25">
      <c r="A206" s="39">
        <v>23</v>
      </c>
      <c r="B206" s="40" t="str">
        <f t="shared" si="73"/>
        <v>PS-23-NK1</v>
      </c>
      <c r="C206" s="52" t="str">
        <f t="shared" si="74"/>
        <v>Poste de Sectionnement n°23 NK1</v>
      </c>
      <c r="D206" s="19">
        <v>40029</v>
      </c>
      <c r="E206" s="19">
        <v>40029</v>
      </c>
      <c r="F206" s="42"/>
      <c r="G206" s="42"/>
      <c r="H206" s="42"/>
      <c r="I206" s="42" t="s">
        <v>368</v>
      </c>
      <c r="J206" s="42" t="s">
        <v>1725</v>
      </c>
      <c r="K206" s="42">
        <f t="shared" si="75"/>
        <v>934</v>
      </c>
      <c r="L206" s="42">
        <f t="shared" si="76"/>
        <v>478.15</v>
      </c>
      <c r="M206" s="42" t="s">
        <v>1709</v>
      </c>
      <c r="N206" s="52" t="str">
        <f t="shared" si="59"/>
        <v>(23,'PS-23-NK1','Poste de Sectionnement n°23 NK1','Tuesday-08-jj','Tuesday-08-jj',,,),</v>
      </c>
    </row>
    <row r="207" spans="1:14" ht="20.100000000000001" customHeight="1" x14ac:dyDescent="0.25">
      <c r="A207" s="39">
        <v>24</v>
      </c>
      <c r="B207" s="40" t="str">
        <f t="shared" si="73"/>
        <v>PS-24-NK1</v>
      </c>
      <c r="C207" s="52" t="str">
        <f t="shared" si="74"/>
        <v>Poste de Sectionnement n°24 NK1</v>
      </c>
      <c r="D207" s="19">
        <v>40029</v>
      </c>
      <c r="E207" s="19">
        <v>40029</v>
      </c>
      <c r="F207" s="42"/>
      <c r="G207" s="42"/>
      <c r="H207" s="42"/>
      <c r="I207" s="42" t="s">
        <v>368</v>
      </c>
      <c r="J207" s="42" t="s">
        <v>1726</v>
      </c>
      <c r="K207" s="42">
        <f t="shared" si="75"/>
        <v>874</v>
      </c>
      <c r="L207" s="42">
        <f t="shared" si="76"/>
        <v>496.24099999999999</v>
      </c>
      <c r="M207" s="42" t="s">
        <v>1710</v>
      </c>
      <c r="N207" s="52" t="str">
        <f t="shared" si="59"/>
        <v>(24,'PS-24-NK1','Poste de Sectionnement n°24 NK1','Tuesday-08-jj','Tuesday-08-jj',,,),</v>
      </c>
    </row>
    <row r="208" spans="1:14" ht="20.100000000000001" customHeight="1" x14ac:dyDescent="0.25">
      <c r="A208" s="39">
        <v>25</v>
      </c>
      <c r="B208" s="40" t="str">
        <f t="shared" si="73"/>
        <v>PS-25-NK1</v>
      </c>
      <c r="C208" s="52" t="str">
        <f t="shared" si="74"/>
        <v>Poste de Sectionnement n°25 NK1</v>
      </c>
      <c r="D208" s="19">
        <v>40029</v>
      </c>
      <c r="E208" s="19">
        <v>40029</v>
      </c>
      <c r="F208" s="42"/>
      <c r="G208" s="42"/>
      <c r="H208" s="42"/>
      <c r="I208" s="42" t="s">
        <v>368</v>
      </c>
      <c r="J208" s="42" t="s">
        <v>1727</v>
      </c>
      <c r="K208" s="42">
        <f t="shared" si="75"/>
        <v>957</v>
      </c>
      <c r="L208" s="42">
        <f t="shared" si="76"/>
        <v>508.36399999999998</v>
      </c>
      <c r="M208" s="42" t="s">
        <v>1711</v>
      </c>
      <c r="N208" s="52" t="str">
        <f t="shared" si="59"/>
        <v>(25,'PS-25-NK1','Poste de Sectionnement n°25 NK1','Tuesday-08-jj','Tuesday-08-jj',,,),</v>
      </c>
    </row>
    <row r="209" spans="1:14" ht="20.100000000000001" customHeight="1" x14ac:dyDescent="0.25">
      <c r="A209" s="39">
        <v>26</v>
      </c>
      <c r="B209" s="40" t="str">
        <f t="shared" si="73"/>
        <v>PS-26-NK1</v>
      </c>
      <c r="C209" s="52" t="str">
        <f t="shared" si="74"/>
        <v>Poste de Sectionnement n°26 NK1</v>
      </c>
      <c r="D209" s="19">
        <v>40029</v>
      </c>
      <c r="E209" s="19">
        <v>40029</v>
      </c>
      <c r="F209" s="42"/>
      <c r="G209" s="42"/>
      <c r="H209" s="42"/>
      <c r="I209" s="42" t="s">
        <v>368</v>
      </c>
      <c r="J209" s="42" t="s">
        <v>1728</v>
      </c>
      <c r="K209" s="42">
        <f t="shared" si="75"/>
        <v>833</v>
      </c>
      <c r="L209" s="42">
        <f t="shared" si="76"/>
        <v>525.23900000000003</v>
      </c>
      <c r="M209" s="42" t="s">
        <v>1712</v>
      </c>
      <c r="N209" s="52" t="str">
        <f t="shared" si="59"/>
        <v>(26,'PS-26-NK1','Poste de Sectionnement n°26 NK1','Tuesday-08-jj','Tuesday-08-jj',,,),</v>
      </c>
    </row>
    <row r="210" spans="1:14" ht="20.100000000000001" customHeight="1" x14ac:dyDescent="0.25">
      <c r="A210" s="39">
        <v>27</v>
      </c>
      <c r="B210" s="40" t="str">
        <f t="shared" si="73"/>
        <v>PS-27-NK1</v>
      </c>
      <c r="C210" s="52" t="str">
        <f t="shared" si="74"/>
        <v>Poste de Sectionnement n°27 NK1</v>
      </c>
      <c r="D210" s="19">
        <v>40029</v>
      </c>
      <c r="E210" s="19">
        <v>40029</v>
      </c>
      <c r="F210" s="42"/>
      <c r="G210" s="42"/>
      <c r="H210" s="42"/>
      <c r="I210" s="42" t="s">
        <v>368</v>
      </c>
      <c r="J210" s="42" t="s">
        <v>1729</v>
      </c>
      <c r="K210" s="42">
        <f t="shared" si="75"/>
        <v>780</v>
      </c>
      <c r="L210" s="42">
        <f t="shared" si="76"/>
        <v>540.75300000000004</v>
      </c>
      <c r="M210" s="42" t="s">
        <v>1713</v>
      </c>
      <c r="N210" s="52" t="str">
        <f t="shared" si="59"/>
        <v>(27,'PS-27-NK1','Poste de Sectionnement n°27 NK1','Tuesday-08-jj','Tuesday-08-jj',,,),</v>
      </c>
    </row>
    <row r="211" spans="1:14" ht="20.100000000000001" customHeight="1" x14ac:dyDescent="0.25">
      <c r="A211" s="39">
        <v>28</v>
      </c>
      <c r="B211" s="40" t="str">
        <f t="shared" si="73"/>
        <v>PS-28-NK1</v>
      </c>
      <c r="C211" s="52" t="str">
        <f t="shared" si="74"/>
        <v>Poste de Sectionnement n°28 NK1</v>
      </c>
      <c r="D211" s="19">
        <v>40029</v>
      </c>
      <c r="E211" s="19">
        <v>40029</v>
      </c>
      <c r="F211" s="42"/>
      <c r="G211" s="42"/>
      <c r="H211" s="42"/>
      <c r="I211" s="42" t="s">
        <v>368</v>
      </c>
      <c r="J211" s="42" t="s">
        <v>1730</v>
      </c>
      <c r="K211" s="42">
        <f t="shared" si="75"/>
        <v>660</v>
      </c>
      <c r="L211" s="42">
        <f t="shared" si="76"/>
        <v>554.19299999999998</v>
      </c>
      <c r="M211" s="42" t="s">
        <v>1714</v>
      </c>
      <c r="N211" s="52" t="str">
        <f t="shared" si="59"/>
        <v>(28,'PS-28-NK1','Poste de Sectionnement n°28 NK1','Tuesday-08-jj','Tuesday-08-jj',,,),</v>
      </c>
    </row>
    <row r="212" spans="1:14" ht="20.100000000000001" customHeight="1" x14ac:dyDescent="0.25">
      <c r="A212" s="39">
        <v>29</v>
      </c>
      <c r="B212" s="40" t="str">
        <f t="shared" si="73"/>
        <v>PS-29-NK1</v>
      </c>
      <c r="C212" s="52" t="str">
        <f t="shared" si="74"/>
        <v>Poste de Sectionnement n°29 NK1</v>
      </c>
      <c r="D212" s="19">
        <v>40029</v>
      </c>
      <c r="E212" s="19">
        <v>40029</v>
      </c>
      <c r="F212" s="42"/>
      <c r="G212" s="42"/>
      <c r="H212" s="42"/>
      <c r="I212" s="42" t="s">
        <v>368</v>
      </c>
      <c r="J212" s="42" t="s">
        <v>1731</v>
      </c>
      <c r="K212" s="42">
        <f t="shared" si="75"/>
        <v>770</v>
      </c>
      <c r="L212" s="42">
        <f t="shared" si="76"/>
        <v>568.76099999999997</v>
      </c>
      <c r="M212" s="42" t="s">
        <v>1715</v>
      </c>
      <c r="N212" s="52" t="str">
        <f t="shared" si="59"/>
        <v>(29,'PS-29-NK1','Poste de Sectionnement n°29 NK1','Tuesday-08-jj','Tuesday-08-jj',,,),</v>
      </c>
    </row>
    <row r="213" spans="1:14" ht="20.100000000000001" customHeight="1" x14ac:dyDescent="0.25">
      <c r="A213" s="39">
        <v>30</v>
      </c>
      <c r="B213" s="40" t="str">
        <f t="shared" si="73"/>
        <v>PS-30-NK1</v>
      </c>
      <c r="C213" s="52" t="str">
        <f t="shared" si="74"/>
        <v>Poste de Sectionnement n°30 NK1</v>
      </c>
      <c r="D213" s="19">
        <v>40029</v>
      </c>
      <c r="E213" s="19">
        <v>40029</v>
      </c>
      <c r="F213" s="42"/>
      <c r="G213" s="42"/>
      <c r="H213" s="42"/>
      <c r="I213" s="42" t="s">
        <v>368</v>
      </c>
      <c r="J213" s="42" t="s">
        <v>1732</v>
      </c>
      <c r="K213" s="42">
        <f t="shared" si="75"/>
        <v>432</v>
      </c>
      <c r="L213" s="42">
        <f t="shared" si="76"/>
        <v>576.08000000000004</v>
      </c>
      <c r="M213" s="42" t="s">
        <v>863</v>
      </c>
      <c r="N213" s="52" t="str">
        <f t="shared" ref="N213:N276" si="77">CONCATENATE("(",A213,",'",B213,"','",C213,"','",TEXT(D213,"aaaa-mm-jj"),"','",TEXT(E213,"aaaa-mm-jj"),"',",F213,",",G213,",",H213,"),")</f>
        <v>(30,'PS-30-NK1','Poste de Sectionnement n°30 NK1','Tuesday-08-jj','Tuesday-08-jj',,,),</v>
      </c>
    </row>
    <row r="214" spans="1:14" ht="20.100000000000001" customHeight="1" x14ac:dyDescent="0.25">
      <c r="A214" s="39">
        <v>31</v>
      </c>
      <c r="B214" s="40" t="str">
        <f t="shared" si="73"/>
        <v>PS-31-NK1</v>
      </c>
      <c r="C214" s="52" t="str">
        <f t="shared" si="74"/>
        <v>Poste de Sectionnement n°31 NK1</v>
      </c>
      <c r="D214" s="19">
        <v>40029</v>
      </c>
      <c r="E214" s="19">
        <v>40029</v>
      </c>
      <c r="F214" s="42"/>
      <c r="G214" s="42"/>
      <c r="H214" s="42"/>
      <c r="I214" s="42" t="s">
        <v>368</v>
      </c>
      <c r="J214" s="42" t="s">
        <v>1733</v>
      </c>
      <c r="K214" s="42">
        <f t="shared" si="75"/>
        <v>594</v>
      </c>
      <c r="L214" s="42">
        <f t="shared" si="76"/>
        <v>588.96</v>
      </c>
      <c r="M214" s="42" t="s">
        <v>1716</v>
      </c>
      <c r="N214" s="52" t="str">
        <f t="shared" si="77"/>
        <v>(31,'PS-31-NK1','Poste de Sectionnement n°31 NK1','Tuesday-08-jj','Tuesday-08-jj',,,),</v>
      </c>
    </row>
    <row r="215" spans="1:14" ht="20.100000000000001" customHeight="1" x14ac:dyDescent="0.25">
      <c r="A215" s="39">
        <v>32</v>
      </c>
      <c r="B215" s="40" t="str">
        <f t="shared" si="73"/>
        <v>PS-32-NK1</v>
      </c>
      <c r="C215" s="52" t="str">
        <f t="shared" si="74"/>
        <v>Poste de Sectionnement n°32 NK1</v>
      </c>
      <c r="D215" s="19">
        <v>40029</v>
      </c>
      <c r="E215" s="19">
        <v>40029</v>
      </c>
      <c r="F215" s="42"/>
      <c r="G215" s="42"/>
      <c r="H215" s="42"/>
      <c r="I215" s="42" t="s">
        <v>368</v>
      </c>
      <c r="J215" s="42" t="s">
        <v>1734</v>
      </c>
      <c r="K215" s="42">
        <f t="shared" si="75"/>
        <v>568</v>
      </c>
      <c r="L215" s="42">
        <f t="shared" si="76"/>
        <v>599.88800000000003</v>
      </c>
      <c r="M215" s="42" t="s">
        <v>1717</v>
      </c>
      <c r="N215" s="52" t="str">
        <f t="shared" si="77"/>
        <v>(32,'PS-32-NK1','Poste de Sectionnement n°32 NK1','Tuesday-08-jj','Tuesday-08-jj',,,),</v>
      </c>
    </row>
    <row r="216" spans="1:14" ht="20.100000000000001" customHeight="1" x14ac:dyDescent="0.25">
      <c r="A216" s="39">
        <v>33</v>
      </c>
      <c r="B216" s="40" t="str">
        <f t="shared" si="73"/>
        <v>PS-33-NK1</v>
      </c>
      <c r="C216" s="52" t="str">
        <f t="shared" si="74"/>
        <v>Poste de Sectionnement n°33 NK1</v>
      </c>
      <c r="D216" s="19">
        <v>40029</v>
      </c>
      <c r="E216" s="19">
        <v>40029</v>
      </c>
      <c r="F216" s="42"/>
      <c r="G216" s="42"/>
      <c r="H216" s="42"/>
      <c r="I216" s="42" t="s">
        <v>368</v>
      </c>
      <c r="J216" s="42" t="s">
        <v>1735</v>
      </c>
      <c r="K216" s="42">
        <f t="shared" si="75"/>
        <v>172</v>
      </c>
      <c r="L216" s="42">
        <f t="shared" si="76"/>
        <v>614.43499999999995</v>
      </c>
      <c r="M216" s="42" t="s">
        <v>1718</v>
      </c>
      <c r="N216" s="52" t="str">
        <f t="shared" si="77"/>
        <v>(33,'PS-33-NK1','Poste de Sectionnement n°33 NK1','Tuesday-08-jj','Tuesday-08-jj',,,),</v>
      </c>
    </row>
    <row r="217" spans="1:14" ht="20.100000000000001" customHeight="1" x14ac:dyDescent="0.25">
      <c r="A217" s="39">
        <v>34</v>
      </c>
      <c r="B217" s="40" t="str">
        <f t="shared" si="73"/>
        <v>PS-34-NK1</v>
      </c>
      <c r="C217" s="52" t="str">
        <f t="shared" si="74"/>
        <v>Poste de Sectionnement n°34 NK1</v>
      </c>
      <c r="D217" s="19">
        <v>40029</v>
      </c>
      <c r="E217" s="19">
        <v>40029</v>
      </c>
      <c r="F217" s="42"/>
      <c r="G217" s="42"/>
      <c r="H217" s="42"/>
      <c r="I217" s="42" t="s">
        <v>368</v>
      </c>
      <c r="J217" s="42" t="s">
        <v>1736</v>
      </c>
      <c r="K217" s="42">
        <f t="shared" si="75"/>
        <v>149</v>
      </c>
      <c r="L217" s="42">
        <f t="shared" si="76"/>
        <v>623.41700000000003</v>
      </c>
      <c r="M217" s="42" t="s">
        <v>1719</v>
      </c>
      <c r="N217" s="52" t="str">
        <f t="shared" si="77"/>
        <v>(34,'PS-34-NK1','Poste de Sectionnement n°34 NK1','Tuesday-08-jj','Tuesday-08-jj',,,),</v>
      </c>
    </row>
    <row r="218" spans="1:14" ht="20.100000000000001" customHeight="1" x14ac:dyDescent="0.25">
      <c r="A218" s="39">
        <v>35</v>
      </c>
      <c r="B218" s="40" t="str">
        <f t="shared" si="73"/>
        <v>PS-35-NK1</v>
      </c>
      <c r="C218" s="52" t="str">
        <f t="shared" si="74"/>
        <v>Poste de Sectionnement n°35 NK1</v>
      </c>
      <c r="D218" s="19">
        <v>40029</v>
      </c>
      <c r="E218" s="19">
        <v>40029</v>
      </c>
      <c r="F218" s="42"/>
      <c r="G218" s="42"/>
      <c r="H218" s="42"/>
      <c r="I218" s="42" t="s">
        <v>368</v>
      </c>
      <c r="J218" s="42" t="s">
        <v>1737</v>
      </c>
      <c r="K218" s="42">
        <f t="shared" si="75"/>
        <v>60</v>
      </c>
      <c r="L218" s="42">
        <f t="shared" si="76"/>
        <v>633.08500000000004</v>
      </c>
      <c r="M218" s="42" t="s">
        <v>1720</v>
      </c>
      <c r="N218" s="52" t="str">
        <f t="shared" si="77"/>
        <v>(35,'PS-35-NK1','Poste de Sectionnement n°35 NK1','Tuesday-08-jj','Tuesday-08-jj',,,),</v>
      </c>
    </row>
    <row r="219" spans="1:14" ht="20.100000000000001" customHeight="1" x14ac:dyDescent="0.25">
      <c r="A219" s="39">
        <v>36</v>
      </c>
      <c r="B219" s="40" t="str">
        <f t="shared" si="73"/>
        <v>PS-36-NK1</v>
      </c>
      <c r="C219" s="52" t="str">
        <f t="shared" si="74"/>
        <v>Poste de Sectionnement n°36 NK1</v>
      </c>
      <c r="D219" s="19">
        <v>40029</v>
      </c>
      <c r="E219" s="19">
        <v>40029</v>
      </c>
      <c r="F219" s="42"/>
      <c r="G219" s="42"/>
      <c r="H219" s="42"/>
      <c r="I219" s="42" t="s">
        <v>368</v>
      </c>
      <c r="J219" s="42" t="s">
        <v>1738</v>
      </c>
      <c r="K219" s="42">
        <f t="shared" si="75"/>
        <v>30</v>
      </c>
      <c r="L219" s="42">
        <f t="shared" si="76"/>
        <v>641.44399999999996</v>
      </c>
      <c r="M219" s="42" t="s">
        <v>866</v>
      </c>
      <c r="N219" s="52" t="str">
        <f t="shared" si="77"/>
        <v>(36,'PS-36-NK1','Poste de Sectionnement n°36 NK1','Tuesday-08-jj','Tuesday-08-jj',,,),</v>
      </c>
    </row>
    <row r="220" spans="1:14" ht="20.100000000000001" customHeight="1" x14ac:dyDescent="0.25">
      <c r="A220" s="39">
        <v>1</v>
      </c>
      <c r="B220" s="40" t="str">
        <f t="shared" si="73"/>
        <v>PS-01-NH2</v>
      </c>
      <c r="C220" s="52" t="str">
        <f t="shared" si="74"/>
        <v>Poste de Sectionnement n°01 NH2</v>
      </c>
      <c r="D220" s="19">
        <v>30317</v>
      </c>
      <c r="E220" s="19">
        <v>30317</v>
      </c>
      <c r="F220" s="42"/>
      <c r="G220" s="42"/>
      <c r="H220" s="42"/>
      <c r="I220" s="42" t="s">
        <v>371</v>
      </c>
      <c r="J220" s="42" t="s">
        <v>1739</v>
      </c>
      <c r="K220" s="42">
        <f t="shared" ref="K220:K229" si="78">VALUE(RIGHT(J220,LEN(J220)-SEARCH("/",J220)))</f>
        <v>637</v>
      </c>
      <c r="L220" s="42">
        <f t="shared" ref="L220:L229" si="79">VALUE(SUBSTITUTE(LEFT(J220,SEARCH("/",J220)-1),"+",","))</f>
        <v>27</v>
      </c>
      <c r="M220" s="42" t="s">
        <v>1749</v>
      </c>
      <c r="N220" s="52" t="str">
        <f t="shared" si="77"/>
        <v>(1,'PS-01-NH2','Poste de Sectionnement n°01 NH2','Saturday-01-jj','Saturday-01-jj',,,),</v>
      </c>
    </row>
    <row r="221" spans="1:14" ht="20.100000000000001" customHeight="1" x14ac:dyDescent="0.25">
      <c r="A221" s="39">
        <v>2</v>
      </c>
      <c r="B221" s="40" t="str">
        <f t="shared" si="73"/>
        <v>PS-02-NH2</v>
      </c>
      <c r="C221" s="52" t="str">
        <f t="shared" si="74"/>
        <v>Poste de Sectionnement n°02 NH2</v>
      </c>
      <c r="D221" s="19">
        <v>30317</v>
      </c>
      <c r="E221" s="19">
        <v>30317</v>
      </c>
      <c r="F221" s="42"/>
      <c r="G221" s="42"/>
      <c r="H221" s="42"/>
      <c r="I221" s="42" t="s">
        <v>371</v>
      </c>
      <c r="J221" s="42" t="s">
        <v>1740</v>
      </c>
      <c r="K221" s="42">
        <f t="shared" si="78"/>
        <v>515</v>
      </c>
      <c r="L221" s="42">
        <f t="shared" si="79"/>
        <v>40</v>
      </c>
      <c r="M221" s="42" t="s">
        <v>1749</v>
      </c>
      <c r="N221" s="52" t="str">
        <f t="shared" si="77"/>
        <v>(2,'PS-02-NH2','Poste de Sectionnement n°02 NH2','Saturday-01-jj','Saturday-01-jj',,,),</v>
      </c>
    </row>
    <row r="222" spans="1:14" ht="20.100000000000001" customHeight="1" x14ac:dyDescent="0.25">
      <c r="A222" s="39">
        <v>3</v>
      </c>
      <c r="B222" s="40" t="str">
        <f t="shared" si="73"/>
        <v>PS-03-NH2</v>
      </c>
      <c r="C222" s="52" t="str">
        <f t="shared" si="74"/>
        <v>Poste de Sectionnement n°03 NH2</v>
      </c>
      <c r="D222" s="19">
        <v>30317</v>
      </c>
      <c r="E222" s="19">
        <v>30317</v>
      </c>
      <c r="F222" s="42"/>
      <c r="G222" s="42"/>
      <c r="H222" s="42"/>
      <c r="I222" s="42" t="s">
        <v>371</v>
      </c>
      <c r="J222" s="42" t="s">
        <v>1741</v>
      </c>
      <c r="K222" s="42">
        <f t="shared" si="78"/>
        <v>438</v>
      </c>
      <c r="L222" s="42">
        <f t="shared" si="79"/>
        <v>78</v>
      </c>
      <c r="M222" s="42" t="s">
        <v>1750</v>
      </c>
      <c r="N222" s="52" t="str">
        <f t="shared" si="77"/>
        <v>(3,'PS-03-NH2','Poste de Sectionnement n°03 NH2','Saturday-01-jj','Saturday-01-jj',,,),</v>
      </c>
    </row>
    <row r="223" spans="1:14" ht="20.100000000000001" customHeight="1" x14ac:dyDescent="0.25">
      <c r="A223" s="39">
        <v>4</v>
      </c>
      <c r="B223" s="40" t="str">
        <f t="shared" si="73"/>
        <v>PS-04-NH2</v>
      </c>
      <c r="C223" s="52" t="str">
        <f t="shared" si="74"/>
        <v>Poste de Sectionnement n°04 NH2</v>
      </c>
      <c r="D223" s="19">
        <v>30317</v>
      </c>
      <c r="E223" s="19">
        <v>30317</v>
      </c>
      <c r="F223" s="42"/>
      <c r="G223" s="42"/>
      <c r="H223" s="42"/>
      <c r="I223" s="42" t="s">
        <v>371</v>
      </c>
      <c r="J223" s="42" t="s">
        <v>1742</v>
      </c>
      <c r="K223" s="42">
        <f t="shared" si="78"/>
        <v>373</v>
      </c>
      <c r="L223" s="42">
        <f t="shared" si="79"/>
        <v>117.3</v>
      </c>
      <c r="M223" s="42" t="s">
        <v>1750</v>
      </c>
      <c r="N223" s="52" t="str">
        <f t="shared" si="77"/>
        <v>(4,'PS-04-NH2','Poste de Sectionnement n°04 NH2','Saturday-01-jj','Saturday-01-jj',,,),</v>
      </c>
    </row>
    <row r="224" spans="1:14" ht="20.100000000000001" customHeight="1" x14ac:dyDescent="0.25">
      <c r="A224" s="39">
        <v>5</v>
      </c>
      <c r="B224" s="40" t="str">
        <f t="shared" ref="B224:B231" si="80">CONCATENATE("PS-",TEXT(A224,"00"),"-",I224)</f>
        <v>PS-05-NH2</v>
      </c>
      <c r="C224" s="52" t="str">
        <f t="shared" ref="C224:C231" si="81">CONCATENATE("Poste de Sectionnement n°",TEXT(A224,"00")," ",I224)</f>
        <v>Poste de Sectionnement n°05 NH2</v>
      </c>
      <c r="D224" s="19">
        <v>30317</v>
      </c>
      <c r="E224" s="19">
        <v>30317</v>
      </c>
      <c r="F224" s="42"/>
      <c r="G224" s="42"/>
      <c r="H224" s="42"/>
      <c r="I224" s="42" t="s">
        <v>371</v>
      </c>
      <c r="J224" s="42" t="s">
        <v>1743</v>
      </c>
      <c r="K224" s="42">
        <f t="shared" si="78"/>
        <v>273</v>
      </c>
      <c r="L224" s="42">
        <f t="shared" si="79"/>
        <v>201.6</v>
      </c>
      <c r="M224" s="42" t="s">
        <v>1750</v>
      </c>
      <c r="N224" s="52" t="str">
        <f t="shared" si="77"/>
        <v>(5,'PS-05-NH2','Poste de Sectionnement n°05 NH2','Saturday-01-jj','Saturday-01-jj',,,),</v>
      </c>
    </row>
    <row r="225" spans="1:14" ht="20.100000000000001" customHeight="1" x14ac:dyDescent="0.25">
      <c r="A225" s="39">
        <v>6</v>
      </c>
      <c r="B225" s="40" t="str">
        <f t="shared" si="80"/>
        <v>PS-06-NH2</v>
      </c>
      <c r="C225" s="52" t="str">
        <f t="shared" si="81"/>
        <v>Poste de Sectionnement n°06 NH2</v>
      </c>
      <c r="D225" s="19">
        <v>30317</v>
      </c>
      <c r="E225" s="19">
        <v>30317</v>
      </c>
      <c r="F225" s="42"/>
      <c r="G225" s="42"/>
      <c r="H225" s="42"/>
      <c r="I225" s="42" t="s">
        <v>371</v>
      </c>
      <c r="J225" s="42" t="s">
        <v>1744</v>
      </c>
      <c r="K225" s="42">
        <f t="shared" si="78"/>
        <v>242</v>
      </c>
      <c r="L225" s="42">
        <f t="shared" si="79"/>
        <v>255.3</v>
      </c>
      <c r="M225" s="42" t="s">
        <v>1750</v>
      </c>
      <c r="N225" s="52" t="str">
        <f t="shared" si="77"/>
        <v>(6,'PS-06-NH2','Poste de Sectionnement n°06 NH2','Saturday-01-jj','Saturday-01-jj',,,),</v>
      </c>
    </row>
    <row r="226" spans="1:14" ht="20.100000000000001" customHeight="1" x14ac:dyDescent="0.25">
      <c r="A226" s="39">
        <v>7</v>
      </c>
      <c r="B226" s="40" t="str">
        <f t="shared" si="80"/>
        <v>PS-07-NH2</v>
      </c>
      <c r="C226" s="52" t="str">
        <f t="shared" si="81"/>
        <v>Poste de Sectionnement n°07 NH2</v>
      </c>
      <c r="D226" s="19">
        <v>30317</v>
      </c>
      <c r="E226" s="19">
        <v>30317</v>
      </c>
      <c r="F226" s="42"/>
      <c r="G226" s="42"/>
      <c r="H226" s="42"/>
      <c r="I226" s="42" t="s">
        <v>371</v>
      </c>
      <c r="J226" s="42" t="s">
        <v>1745</v>
      </c>
      <c r="K226" s="42">
        <f t="shared" si="78"/>
        <v>226</v>
      </c>
      <c r="L226" s="42">
        <f t="shared" si="79"/>
        <v>293.60000000000002</v>
      </c>
      <c r="M226" s="42" t="s">
        <v>1750</v>
      </c>
      <c r="N226" s="52" t="str">
        <f t="shared" si="77"/>
        <v>(7,'PS-07-NH2','Poste de Sectionnement n°07 NH2','Saturday-01-jj','Saturday-01-jj',,,),</v>
      </c>
    </row>
    <row r="227" spans="1:14" ht="20.100000000000001" customHeight="1" x14ac:dyDescent="0.25">
      <c r="A227" s="39">
        <v>8</v>
      </c>
      <c r="B227" s="40" t="str">
        <f t="shared" si="80"/>
        <v>PS-08-NH2</v>
      </c>
      <c r="C227" s="52" t="str">
        <f t="shared" si="81"/>
        <v>Poste de Sectionnement n°08 NH2</v>
      </c>
      <c r="D227" s="19">
        <v>30317</v>
      </c>
      <c r="E227" s="19">
        <v>30317</v>
      </c>
      <c r="F227" s="42"/>
      <c r="G227" s="42"/>
      <c r="H227" s="42"/>
      <c r="I227" s="42" t="s">
        <v>371</v>
      </c>
      <c r="J227" s="42" t="s">
        <v>1746</v>
      </c>
      <c r="K227" s="42">
        <f t="shared" si="78"/>
        <v>183</v>
      </c>
      <c r="L227" s="42">
        <f t="shared" si="79"/>
        <v>386</v>
      </c>
      <c r="M227" s="42" t="s">
        <v>1026</v>
      </c>
      <c r="N227" s="52" t="str">
        <f t="shared" si="77"/>
        <v>(8,'PS-08-NH2','Poste de Sectionnement n°08 NH2','Saturday-01-jj','Saturday-01-jj',,,),</v>
      </c>
    </row>
    <row r="228" spans="1:14" ht="20.100000000000001" customHeight="1" x14ac:dyDescent="0.25">
      <c r="A228" s="39">
        <v>9</v>
      </c>
      <c r="B228" s="40" t="str">
        <f t="shared" si="80"/>
        <v>PS-09-NH2</v>
      </c>
      <c r="C228" s="52" t="str">
        <f t="shared" si="81"/>
        <v>Poste de Sectionnement n°09 NH2</v>
      </c>
      <c r="D228" s="19">
        <v>30317</v>
      </c>
      <c r="E228" s="19">
        <v>30317</v>
      </c>
      <c r="F228" s="42"/>
      <c r="G228" s="42"/>
      <c r="H228" s="42"/>
      <c r="I228" s="42" t="s">
        <v>371</v>
      </c>
      <c r="J228" s="42" t="s">
        <v>1747</v>
      </c>
      <c r="K228" s="42">
        <f t="shared" si="78"/>
        <v>159</v>
      </c>
      <c r="L228" s="42">
        <f t="shared" si="79"/>
        <v>435.1</v>
      </c>
      <c r="M228" s="42" t="s">
        <v>1026</v>
      </c>
      <c r="N228" s="52" t="str">
        <f t="shared" si="77"/>
        <v>(9,'PS-09-NH2','Poste de Sectionnement n°09 NH2','Saturday-01-jj','Saturday-01-jj',,,),</v>
      </c>
    </row>
    <row r="229" spans="1:14" ht="20.100000000000001" customHeight="1" x14ac:dyDescent="0.25">
      <c r="A229" s="39">
        <v>10</v>
      </c>
      <c r="B229" s="40" t="str">
        <f t="shared" si="80"/>
        <v>PS-10-NH2</v>
      </c>
      <c r="C229" s="52" t="str">
        <f t="shared" si="81"/>
        <v>Poste de Sectionnement n°10 NH2</v>
      </c>
      <c r="D229" s="19">
        <v>30317</v>
      </c>
      <c r="E229" s="19">
        <v>30317</v>
      </c>
      <c r="F229" s="42"/>
      <c r="G229" s="42"/>
      <c r="H229" s="42"/>
      <c r="I229" s="42" t="s">
        <v>371</v>
      </c>
      <c r="J229" s="42" t="s">
        <v>1748</v>
      </c>
      <c r="K229" s="42">
        <f t="shared" si="78"/>
        <v>145</v>
      </c>
      <c r="L229" s="42">
        <f t="shared" si="79"/>
        <v>475.1</v>
      </c>
      <c r="M229" s="42" t="s">
        <v>1026</v>
      </c>
      <c r="N229" s="52" t="str">
        <f t="shared" si="77"/>
        <v>(10,'PS-10-NH2','Poste de Sectionnement n°10 NH2','Saturday-01-jj','Saturday-01-jj',,,),</v>
      </c>
    </row>
    <row r="230" spans="1:14" ht="20.100000000000001" customHeight="1" x14ac:dyDescent="0.25">
      <c r="A230" s="39">
        <v>1</v>
      </c>
      <c r="B230" s="40" t="str">
        <f t="shared" si="80"/>
        <v>PS-01-LZ1</v>
      </c>
      <c r="C230" s="52" t="str">
        <f t="shared" si="81"/>
        <v>Poste de Sectionnement n°01 LZ1</v>
      </c>
      <c r="D230" s="19"/>
      <c r="E230" s="42"/>
      <c r="F230" s="42"/>
      <c r="G230" s="42"/>
      <c r="H230" s="42"/>
      <c r="I230" s="42" t="s">
        <v>376</v>
      </c>
      <c r="J230" s="42" t="s">
        <v>1751</v>
      </c>
      <c r="K230" s="42">
        <f t="shared" ref="K230:K246" si="82">VALUE(RIGHT(J230,LEN(J230)-SEARCH("/",J230)))</f>
        <v>800</v>
      </c>
      <c r="L230" s="42">
        <f t="shared" ref="L230:L246" si="83">VALUE(SUBSTITUTE(LEFT(J230,SEARCH("/",J230)-1),"+",","))</f>
        <v>33.4</v>
      </c>
      <c r="M230" s="42" t="s">
        <v>818</v>
      </c>
      <c r="N230" s="52" t="str">
        <f t="shared" si="77"/>
        <v>(1,'PS-01-LZ1','Poste de Sectionnement n°01 LZ1','Saturday-01-jj','Saturday-01-jj',,,),</v>
      </c>
    </row>
    <row r="231" spans="1:14" ht="20.100000000000001" customHeight="1" x14ac:dyDescent="0.25">
      <c r="A231" s="39">
        <v>2</v>
      </c>
      <c r="B231" s="40" t="str">
        <f t="shared" si="80"/>
        <v>PS-02-LZ1</v>
      </c>
      <c r="C231" s="52" t="str">
        <f t="shared" si="81"/>
        <v>Poste de Sectionnement n°02 LZ1</v>
      </c>
      <c r="D231" s="19"/>
      <c r="E231" s="42"/>
      <c r="F231" s="42"/>
      <c r="G231" s="42"/>
      <c r="H231" s="42"/>
      <c r="I231" s="42" t="s">
        <v>376</v>
      </c>
      <c r="J231" s="42" t="s">
        <v>1752</v>
      </c>
      <c r="K231" s="42">
        <f t="shared" si="82"/>
        <v>920</v>
      </c>
      <c r="L231" s="42">
        <f t="shared" si="83"/>
        <v>66.8</v>
      </c>
      <c r="M231" s="65" t="s">
        <v>1768</v>
      </c>
      <c r="N231" s="52" t="str">
        <f t="shared" si="77"/>
        <v>(2,'PS-02-LZ1','Poste de Sectionnement n°02 LZ1','Saturday-01-jj','Saturday-01-jj',,,),</v>
      </c>
    </row>
    <row r="232" spans="1:14" ht="20.100000000000001" customHeight="1" x14ac:dyDescent="0.25">
      <c r="A232" s="39">
        <v>3</v>
      </c>
      <c r="B232" s="40"/>
      <c r="C232" s="52"/>
      <c r="D232" s="19"/>
      <c r="E232" s="42"/>
      <c r="F232" s="42"/>
      <c r="G232" s="42"/>
      <c r="H232" s="42"/>
      <c r="I232" s="42" t="s">
        <v>376</v>
      </c>
      <c r="J232" s="42" t="s">
        <v>1753</v>
      </c>
      <c r="K232" s="42">
        <f t="shared" si="82"/>
        <v>820</v>
      </c>
      <c r="L232" s="42">
        <f t="shared" si="83"/>
        <v>91.3</v>
      </c>
      <c r="M232" s="65" t="s">
        <v>1768</v>
      </c>
      <c r="N232" s="52" t="str">
        <f t="shared" si="77"/>
        <v>(3,'','','Saturday-01-jj','Saturday-01-jj',,,),</v>
      </c>
    </row>
    <row r="233" spans="1:14" ht="20.100000000000001" customHeight="1" x14ac:dyDescent="0.25">
      <c r="A233" s="39">
        <v>4</v>
      </c>
      <c r="B233" s="40"/>
      <c r="C233" s="52"/>
      <c r="D233" s="19"/>
      <c r="E233" s="42"/>
      <c r="F233" s="42"/>
      <c r="G233" s="42"/>
      <c r="H233" s="42"/>
      <c r="I233" s="42" t="s">
        <v>376</v>
      </c>
      <c r="J233" s="42" t="s">
        <v>1754</v>
      </c>
      <c r="K233" s="42">
        <f t="shared" si="82"/>
        <v>1250</v>
      </c>
      <c r="L233" s="42">
        <f t="shared" si="83"/>
        <v>153.5</v>
      </c>
      <c r="M233" s="62" t="s">
        <v>1769</v>
      </c>
      <c r="N233" s="52" t="str">
        <f t="shared" si="77"/>
        <v>(4,'','','Saturday-01-jj','Saturday-01-jj',,,),</v>
      </c>
    </row>
    <row r="234" spans="1:14" ht="20.100000000000001" customHeight="1" x14ac:dyDescent="0.25">
      <c r="A234" s="39">
        <v>5</v>
      </c>
      <c r="B234" s="40"/>
      <c r="C234" s="52"/>
      <c r="D234" s="19"/>
      <c r="E234" s="42"/>
      <c r="F234" s="42"/>
      <c r="G234" s="42"/>
      <c r="H234" s="42"/>
      <c r="I234" s="42" t="s">
        <v>376</v>
      </c>
      <c r="J234" s="42" t="s">
        <v>1755</v>
      </c>
      <c r="K234" s="42">
        <f t="shared" si="82"/>
        <v>1000</v>
      </c>
      <c r="L234" s="42">
        <f t="shared" si="83"/>
        <v>189</v>
      </c>
      <c r="M234" s="42" t="s">
        <v>1770</v>
      </c>
      <c r="N234" s="52" t="str">
        <f t="shared" si="77"/>
        <v>(5,'','','Saturday-01-jj','Saturday-01-jj',,,),</v>
      </c>
    </row>
    <row r="235" spans="1:14" ht="20.100000000000001" customHeight="1" x14ac:dyDescent="0.25">
      <c r="A235" s="39">
        <v>6</v>
      </c>
      <c r="B235" s="40"/>
      <c r="C235" s="52"/>
      <c r="D235" s="19"/>
      <c r="E235" s="42"/>
      <c r="F235" s="42"/>
      <c r="G235" s="42"/>
      <c r="H235" s="42"/>
      <c r="I235" s="42" t="s">
        <v>376</v>
      </c>
      <c r="J235" s="42" t="s">
        <v>1756</v>
      </c>
      <c r="K235" s="42">
        <f t="shared" si="82"/>
        <v>920</v>
      </c>
      <c r="L235" s="42">
        <f t="shared" si="83"/>
        <v>219</v>
      </c>
      <c r="M235" s="64" t="s">
        <v>779</v>
      </c>
      <c r="N235" s="52" t="str">
        <f t="shared" si="77"/>
        <v>(6,'','','Saturday-01-jj','Saturday-01-jj',,,),</v>
      </c>
    </row>
    <row r="236" spans="1:14" ht="20.100000000000001" customHeight="1" x14ac:dyDescent="0.25">
      <c r="A236" s="39">
        <v>7</v>
      </c>
      <c r="B236" s="40"/>
      <c r="C236" s="52"/>
      <c r="D236" s="19"/>
      <c r="E236" s="42"/>
      <c r="F236" s="42"/>
      <c r="G236" s="42"/>
      <c r="H236" s="42"/>
      <c r="I236" s="42" t="s">
        <v>376</v>
      </c>
      <c r="J236" s="42" t="s">
        <v>1757</v>
      </c>
      <c r="K236" s="42">
        <f t="shared" si="82"/>
        <v>1100</v>
      </c>
      <c r="L236" s="42">
        <f t="shared" si="83"/>
        <v>249</v>
      </c>
      <c r="M236" s="64" t="s">
        <v>779</v>
      </c>
      <c r="N236" s="52" t="str">
        <f t="shared" si="77"/>
        <v>(7,'','','Saturday-01-jj','Saturday-01-jj',,,),</v>
      </c>
    </row>
    <row r="237" spans="1:14" ht="20.100000000000001" customHeight="1" x14ac:dyDescent="0.25">
      <c r="A237" s="39">
        <v>8</v>
      </c>
      <c r="B237" s="40"/>
      <c r="C237" s="52"/>
      <c r="D237" s="19"/>
      <c r="E237" s="42"/>
      <c r="F237" s="42"/>
      <c r="G237" s="42"/>
      <c r="H237" s="42"/>
      <c r="I237" s="42" t="s">
        <v>376</v>
      </c>
      <c r="J237" s="42" t="s">
        <v>1758</v>
      </c>
      <c r="K237" s="42">
        <f t="shared" si="82"/>
        <v>1250</v>
      </c>
      <c r="L237" s="42">
        <f t="shared" si="83"/>
        <v>281</v>
      </c>
      <c r="M237" s="42" t="s">
        <v>1771</v>
      </c>
      <c r="N237" s="52" t="str">
        <f t="shared" si="77"/>
        <v>(8,'','','Saturday-01-jj','Saturday-01-jj',,,),</v>
      </c>
    </row>
    <row r="238" spans="1:14" ht="20.100000000000001" customHeight="1" x14ac:dyDescent="0.25">
      <c r="A238" s="39">
        <v>9</v>
      </c>
      <c r="B238" s="40"/>
      <c r="C238" s="52"/>
      <c r="D238" s="19"/>
      <c r="E238" s="42"/>
      <c r="F238" s="42"/>
      <c r="G238" s="42"/>
      <c r="H238" s="42"/>
      <c r="I238" s="42" t="s">
        <v>376</v>
      </c>
      <c r="J238" s="42" t="s">
        <v>1759</v>
      </c>
      <c r="K238" s="42">
        <f t="shared" si="82"/>
        <v>1000</v>
      </c>
      <c r="L238" s="42">
        <f t="shared" si="83"/>
        <v>329</v>
      </c>
      <c r="M238" s="42" t="s">
        <v>1772</v>
      </c>
      <c r="N238" s="52" t="str">
        <f t="shared" si="77"/>
        <v>(9,'','','Saturday-01-jj','Saturday-01-jj',,,),</v>
      </c>
    </row>
    <row r="239" spans="1:14" ht="20.100000000000001" customHeight="1" x14ac:dyDescent="0.25">
      <c r="A239" s="39">
        <v>10</v>
      </c>
      <c r="B239" s="40"/>
      <c r="C239" s="52"/>
      <c r="D239" s="19"/>
      <c r="E239" s="42"/>
      <c r="F239" s="42"/>
      <c r="G239" s="42"/>
      <c r="H239" s="42"/>
      <c r="I239" s="42" t="s">
        <v>376</v>
      </c>
      <c r="J239" s="42" t="s">
        <v>1760</v>
      </c>
      <c r="K239" s="42">
        <f t="shared" si="82"/>
        <v>480</v>
      </c>
      <c r="L239" s="42">
        <f t="shared" si="83"/>
        <v>349.4</v>
      </c>
      <c r="M239" s="42" t="s">
        <v>782</v>
      </c>
      <c r="N239" s="52" t="str">
        <f t="shared" si="77"/>
        <v>(10,'','','Saturday-01-jj','Saturday-01-jj',,,),</v>
      </c>
    </row>
    <row r="240" spans="1:14" ht="20.100000000000001" customHeight="1" x14ac:dyDescent="0.25">
      <c r="A240" s="39">
        <v>11</v>
      </c>
      <c r="B240" s="40"/>
      <c r="C240" s="52"/>
      <c r="D240" s="19"/>
      <c r="E240" s="42"/>
      <c r="F240" s="42"/>
      <c r="G240" s="42"/>
      <c r="H240" s="42"/>
      <c r="I240" s="42" t="s">
        <v>376</v>
      </c>
      <c r="J240" s="42" t="s">
        <v>1761</v>
      </c>
      <c r="K240" s="42">
        <f t="shared" si="82"/>
        <v>550</v>
      </c>
      <c r="L240" s="42">
        <f t="shared" si="83"/>
        <v>372.8</v>
      </c>
      <c r="M240" s="42" t="s">
        <v>783</v>
      </c>
      <c r="N240" s="52" t="str">
        <f t="shared" si="77"/>
        <v>(11,'','','Saturday-01-jj','Saturday-01-jj',,,),</v>
      </c>
    </row>
    <row r="241" spans="1:14" ht="20.100000000000001" customHeight="1" x14ac:dyDescent="0.25">
      <c r="A241" s="39">
        <v>12</v>
      </c>
      <c r="B241" s="40"/>
      <c r="C241" s="52"/>
      <c r="D241" s="19"/>
      <c r="E241" s="42"/>
      <c r="F241" s="42"/>
      <c r="G241" s="42"/>
      <c r="H241" s="42"/>
      <c r="I241" s="42" t="s">
        <v>376</v>
      </c>
      <c r="J241" s="42" t="s">
        <v>1762</v>
      </c>
      <c r="K241" s="42">
        <f t="shared" si="82"/>
        <v>510</v>
      </c>
      <c r="L241" s="42">
        <f t="shared" si="83"/>
        <v>388</v>
      </c>
      <c r="M241" s="42" t="s">
        <v>1773</v>
      </c>
      <c r="N241" s="52" t="str">
        <f t="shared" si="77"/>
        <v>(12,'','','Saturday-01-jj','Saturday-01-jj',,,),</v>
      </c>
    </row>
    <row r="242" spans="1:14" ht="20.100000000000001" customHeight="1" x14ac:dyDescent="0.25">
      <c r="A242" s="39">
        <v>13</v>
      </c>
      <c r="B242" s="40"/>
      <c r="C242" s="52"/>
      <c r="D242" s="19"/>
      <c r="E242" s="42"/>
      <c r="F242" s="42"/>
      <c r="G242" s="42"/>
      <c r="H242" s="42"/>
      <c r="I242" s="42" t="s">
        <v>376</v>
      </c>
      <c r="J242" s="42" t="s">
        <v>1763</v>
      </c>
      <c r="K242" s="42">
        <f t="shared" si="82"/>
        <v>180</v>
      </c>
      <c r="L242" s="42">
        <f t="shared" si="83"/>
        <v>412.2</v>
      </c>
      <c r="M242" s="42" t="s">
        <v>1774</v>
      </c>
      <c r="N242" s="52" t="str">
        <f t="shared" si="77"/>
        <v>(13,'','','Saturday-01-jj','Saturday-01-jj',,,),</v>
      </c>
    </row>
    <row r="243" spans="1:14" ht="20.100000000000001" customHeight="1" x14ac:dyDescent="0.25">
      <c r="A243" s="39">
        <v>14</v>
      </c>
      <c r="B243" s="40"/>
      <c r="C243" s="52"/>
      <c r="D243" s="19"/>
      <c r="E243" s="42"/>
      <c r="F243" s="42"/>
      <c r="G243" s="42"/>
      <c r="H243" s="42"/>
      <c r="I243" s="42" t="s">
        <v>376</v>
      </c>
      <c r="J243" s="42" t="s">
        <v>1764</v>
      </c>
      <c r="K243" s="42">
        <f t="shared" si="82"/>
        <v>110</v>
      </c>
      <c r="L243" s="42">
        <f t="shared" si="83"/>
        <v>436.3</v>
      </c>
      <c r="M243" s="42" t="s">
        <v>1775</v>
      </c>
      <c r="N243" s="52" t="str">
        <f t="shared" si="77"/>
        <v>(14,'','','Saturday-01-jj','Saturday-01-jj',,,),</v>
      </c>
    </row>
    <row r="244" spans="1:14" ht="20.100000000000001" customHeight="1" x14ac:dyDescent="0.25">
      <c r="A244" s="39">
        <v>15</v>
      </c>
      <c r="B244" s="40"/>
      <c r="C244" s="52"/>
      <c r="D244" s="19"/>
      <c r="E244" s="42"/>
      <c r="F244" s="42"/>
      <c r="G244" s="42"/>
      <c r="H244" s="42"/>
      <c r="I244" s="42" t="s">
        <v>376</v>
      </c>
      <c r="J244" s="42" t="s">
        <v>1765</v>
      </c>
      <c r="K244" s="42">
        <f t="shared" si="82"/>
        <v>107</v>
      </c>
      <c r="L244" s="42">
        <f t="shared" si="83"/>
        <v>451.4</v>
      </c>
      <c r="M244" s="42" t="s">
        <v>1776</v>
      </c>
      <c r="N244" s="52" t="str">
        <f t="shared" si="77"/>
        <v>(15,'','','Saturday-01-jj','Saturday-01-jj',,,),</v>
      </c>
    </row>
    <row r="245" spans="1:14" ht="20.100000000000001" customHeight="1" x14ac:dyDescent="0.25">
      <c r="A245" s="39">
        <v>16</v>
      </c>
      <c r="B245" s="40"/>
      <c r="C245" s="52"/>
      <c r="D245" s="19"/>
      <c r="E245" s="42"/>
      <c r="F245" s="42"/>
      <c r="G245" s="42"/>
      <c r="H245" s="42"/>
      <c r="I245" s="42" t="s">
        <v>376</v>
      </c>
      <c r="J245" s="42" t="s">
        <v>1766</v>
      </c>
      <c r="K245" s="42">
        <f t="shared" si="82"/>
        <v>30</v>
      </c>
      <c r="L245" s="42">
        <f t="shared" si="83"/>
        <v>474.3</v>
      </c>
      <c r="M245" s="42" t="s">
        <v>1777</v>
      </c>
      <c r="N245" s="52" t="str">
        <f t="shared" si="77"/>
        <v>(16,'','','Saturday-01-jj','Saturday-01-jj',,,),</v>
      </c>
    </row>
    <row r="246" spans="1:14" ht="20.100000000000001" customHeight="1" x14ac:dyDescent="0.25">
      <c r="A246" s="39">
        <v>17</v>
      </c>
      <c r="B246" s="40"/>
      <c r="C246" s="52"/>
      <c r="D246" s="19"/>
      <c r="E246" s="42"/>
      <c r="F246" s="42"/>
      <c r="G246" s="42"/>
      <c r="H246" s="42"/>
      <c r="I246" s="42" t="s">
        <v>376</v>
      </c>
      <c r="J246" s="42" t="s">
        <v>1767</v>
      </c>
      <c r="K246" s="42">
        <f t="shared" si="82"/>
        <v>160</v>
      </c>
      <c r="L246" s="42">
        <f t="shared" si="83"/>
        <v>492.7</v>
      </c>
      <c r="M246" s="42" t="s">
        <v>1778</v>
      </c>
      <c r="N246" s="52" t="str">
        <f t="shared" si="77"/>
        <v>(17,'','','Saturday-01-jj','Saturday-01-jj',,,),</v>
      </c>
    </row>
    <row r="247" spans="1:14" ht="20.100000000000001" customHeight="1" x14ac:dyDescent="0.25">
      <c r="A247" s="39">
        <v>1</v>
      </c>
      <c r="B247" s="40"/>
      <c r="C247" s="52"/>
      <c r="D247" s="19"/>
      <c r="E247" s="42"/>
      <c r="F247" s="42"/>
      <c r="G247" s="42"/>
      <c r="H247" s="42"/>
      <c r="I247" s="42" t="s">
        <v>379</v>
      </c>
      <c r="J247" s="42" t="s">
        <v>1779</v>
      </c>
      <c r="K247" s="42">
        <f t="shared" ref="K247:K277" si="84">VALUE(RIGHT(J247,LEN(J247)-SEARCH("/",J247)))</f>
        <v>760</v>
      </c>
      <c r="L247" s="42">
        <f t="shared" ref="L247:L277" si="85">VALUE(SUBSTITUTE(LEFT(J247,SEARCH("/",J247)-1),"+",","))</f>
        <v>20.983000000000001</v>
      </c>
      <c r="M247" s="64" t="s">
        <v>1810</v>
      </c>
      <c r="N247" s="52" t="str">
        <f t="shared" si="77"/>
        <v>(1,'','','Saturday-01-jj','Saturday-01-jj',,,),</v>
      </c>
    </row>
    <row r="248" spans="1:14" ht="20.100000000000001" customHeight="1" x14ac:dyDescent="0.25">
      <c r="A248" s="39">
        <v>2</v>
      </c>
      <c r="B248" s="40"/>
      <c r="C248" s="52"/>
      <c r="D248" s="19"/>
      <c r="E248" s="42"/>
      <c r="F248" s="42"/>
      <c r="G248" s="42"/>
      <c r="H248" s="42"/>
      <c r="I248" s="42" t="s">
        <v>379</v>
      </c>
      <c r="J248" s="42" t="s">
        <v>1780</v>
      </c>
      <c r="K248" s="42">
        <f t="shared" si="84"/>
        <v>824</v>
      </c>
      <c r="L248" s="42">
        <f t="shared" si="85"/>
        <v>41.247</v>
      </c>
      <c r="M248" s="64" t="s">
        <v>1810</v>
      </c>
      <c r="N248" s="52" t="str">
        <f t="shared" si="77"/>
        <v>(2,'','','Saturday-01-jj','Saturday-01-jj',,,),</v>
      </c>
    </row>
    <row r="249" spans="1:14" ht="20.100000000000001" customHeight="1" x14ac:dyDescent="0.25">
      <c r="A249" s="39">
        <v>3</v>
      </c>
      <c r="B249" s="40"/>
      <c r="C249" s="52"/>
      <c r="D249" s="19"/>
      <c r="E249" s="42"/>
      <c r="F249" s="42"/>
      <c r="G249" s="42"/>
      <c r="H249" s="42"/>
      <c r="I249" s="42" t="s">
        <v>379</v>
      </c>
      <c r="J249" s="42" t="s">
        <v>1781</v>
      </c>
      <c r="K249" s="42">
        <f t="shared" si="84"/>
        <v>875</v>
      </c>
      <c r="L249" s="42">
        <f t="shared" si="85"/>
        <v>60.603999999999999</v>
      </c>
      <c r="M249" s="65" t="s">
        <v>1768</v>
      </c>
      <c r="N249" s="52" t="str">
        <f t="shared" si="77"/>
        <v>(3,'','','Saturday-01-jj','Saturday-01-jj',,,),</v>
      </c>
    </row>
    <row r="250" spans="1:14" ht="20.100000000000001" customHeight="1" x14ac:dyDescent="0.25">
      <c r="A250" s="39">
        <v>4</v>
      </c>
      <c r="B250" s="40"/>
      <c r="C250" s="52"/>
      <c r="D250" s="19"/>
      <c r="E250" s="42"/>
      <c r="F250" s="42"/>
      <c r="G250" s="42"/>
      <c r="H250" s="42"/>
      <c r="I250" s="42" t="s">
        <v>379</v>
      </c>
      <c r="J250" s="42" t="s">
        <v>1782</v>
      </c>
      <c r="K250" s="42">
        <f t="shared" si="84"/>
        <v>800</v>
      </c>
      <c r="L250" s="42">
        <f t="shared" si="85"/>
        <v>80.141000000000005</v>
      </c>
      <c r="M250" s="65" t="s">
        <v>1768</v>
      </c>
      <c r="N250" s="52" t="str">
        <f t="shared" si="77"/>
        <v>(4,'','','Saturday-01-jj','Saturday-01-jj',,,),</v>
      </c>
    </row>
    <row r="251" spans="1:14" ht="20.100000000000001" customHeight="1" x14ac:dyDescent="0.25">
      <c r="A251" s="39">
        <v>5</v>
      </c>
      <c r="B251" s="40"/>
      <c r="C251" s="52"/>
      <c r="D251" s="19"/>
      <c r="E251" s="42"/>
      <c r="F251" s="42"/>
      <c r="G251" s="42"/>
      <c r="H251" s="42"/>
      <c r="I251" s="42" t="s">
        <v>379</v>
      </c>
      <c r="J251" s="42" t="s">
        <v>1783</v>
      </c>
      <c r="K251" s="42">
        <f t="shared" si="84"/>
        <v>795</v>
      </c>
      <c r="L251" s="42">
        <f t="shared" si="85"/>
        <v>97.957999999999998</v>
      </c>
      <c r="M251" s="65" t="s">
        <v>1768</v>
      </c>
      <c r="N251" s="52" t="str">
        <f t="shared" si="77"/>
        <v>(5,'','','Saturday-01-jj','Saturday-01-jj',,,),</v>
      </c>
    </row>
    <row r="252" spans="1:14" ht="20.100000000000001" customHeight="1" x14ac:dyDescent="0.25">
      <c r="A252" s="39">
        <v>6</v>
      </c>
      <c r="B252" s="40"/>
      <c r="C252" s="52"/>
      <c r="D252" s="19"/>
      <c r="E252" s="42"/>
      <c r="F252" s="42"/>
      <c r="G252" s="42"/>
      <c r="H252" s="42"/>
      <c r="I252" s="42" t="s">
        <v>379</v>
      </c>
      <c r="J252" s="42" t="s">
        <v>1784</v>
      </c>
      <c r="K252" s="42">
        <f t="shared" si="84"/>
        <v>953</v>
      </c>
      <c r="L252" s="42">
        <f t="shared" si="85"/>
        <v>119.566</v>
      </c>
      <c r="M252" s="65" t="s">
        <v>1769</v>
      </c>
      <c r="N252" s="52" t="str">
        <f t="shared" si="77"/>
        <v>(6,'','','Saturday-01-jj','Saturday-01-jj',,,),</v>
      </c>
    </row>
    <row r="253" spans="1:14" ht="20.100000000000001" customHeight="1" x14ac:dyDescent="0.25">
      <c r="A253" s="39">
        <v>7</v>
      </c>
      <c r="B253" s="40"/>
      <c r="C253" s="52"/>
      <c r="D253" s="19"/>
      <c r="E253" s="42"/>
      <c r="F253" s="42"/>
      <c r="G253" s="42"/>
      <c r="H253" s="42"/>
      <c r="I253" s="42" t="s">
        <v>379</v>
      </c>
      <c r="J253" s="42" t="s">
        <v>1785</v>
      </c>
      <c r="K253" s="42">
        <f t="shared" si="84"/>
        <v>1069</v>
      </c>
      <c r="L253" s="42">
        <f t="shared" si="85"/>
        <v>140.999</v>
      </c>
      <c r="M253" s="65" t="s">
        <v>1769</v>
      </c>
      <c r="N253" s="52" t="str">
        <f t="shared" si="77"/>
        <v>(7,'','','Saturday-01-jj','Saturday-01-jj',,,),</v>
      </c>
    </row>
    <row r="254" spans="1:14" ht="20.100000000000001" customHeight="1" x14ac:dyDescent="0.25">
      <c r="A254" s="39">
        <v>8</v>
      </c>
      <c r="B254" s="40"/>
      <c r="C254" s="52"/>
      <c r="D254" s="19"/>
      <c r="E254" s="42"/>
      <c r="F254" s="42"/>
      <c r="G254" s="42"/>
      <c r="H254" s="42"/>
      <c r="I254" s="42" t="s">
        <v>379</v>
      </c>
      <c r="J254" s="42" t="s">
        <v>1786</v>
      </c>
      <c r="K254" s="42">
        <f t="shared" si="84"/>
        <v>1237</v>
      </c>
      <c r="L254" s="42">
        <f t="shared" si="85"/>
        <v>160.13399999999999</v>
      </c>
      <c r="M254" s="65" t="s">
        <v>1769</v>
      </c>
      <c r="N254" s="52" t="str">
        <f t="shared" si="77"/>
        <v>(8,'','','Saturday-01-jj','Saturday-01-jj',,,),</v>
      </c>
    </row>
    <row r="255" spans="1:14" ht="20.100000000000001" customHeight="1" x14ac:dyDescent="0.25">
      <c r="A255" s="39">
        <v>9</v>
      </c>
      <c r="B255" s="40"/>
      <c r="C255" s="52"/>
      <c r="D255" s="19"/>
      <c r="E255" s="42"/>
      <c r="F255" s="42"/>
      <c r="G255" s="42"/>
      <c r="H255" s="42"/>
      <c r="I255" s="42" t="s">
        <v>379</v>
      </c>
      <c r="J255" s="42" t="s">
        <v>1787</v>
      </c>
      <c r="K255" s="42">
        <f t="shared" si="84"/>
        <v>1136</v>
      </c>
      <c r="L255" s="42">
        <f t="shared" si="85"/>
        <v>182.012</v>
      </c>
      <c r="M255" s="65" t="s">
        <v>1769</v>
      </c>
      <c r="N255" s="52" t="str">
        <f t="shared" si="77"/>
        <v>(9,'','','Saturday-01-jj','Saturday-01-jj',,,),</v>
      </c>
    </row>
    <row r="256" spans="1:14" ht="20.100000000000001" customHeight="1" x14ac:dyDescent="0.25">
      <c r="A256" s="39">
        <v>10</v>
      </c>
      <c r="B256" s="40"/>
      <c r="C256" s="52"/>
      <c r="D256" s="19"/>
      <c r="E256" s="42"/>
      <c r="F256" s="42"/>
      <c r="G256" s="42"/>
      <c r="H256" s="42"/>
      <c r="I256" s="42" t="s">
        <v>379</v>
      </c>
      <c r="J256" s="42" t="s">
        <v>1788</v>
      </c>
      <c r="K256" s="42">
        <f t="shared" si="84"/>
        <v>971</v>
      </c>
      <c r="L256" s="42">
        <f t="shared" si="85"/>
        <v>199.477</v>
      </c>
      <c r="M256" s="65" t="s">
        <v>1811</v>
      </c>
      <c r="N256" s="52" t="str">
        <f t="shared" si="77"/>
        <v>(10,'','','Saturday-01-jj','Saturday-01-jj',,,),</v>
      </c>
    </row>
    <row r="257" spans="1:14" ht="20.100000000000001" customHeight="1" x14ac:dyDescent="0.25">
      <c r="A257" s="39">
        <v>11</v>
      </c>
      <c r="B257" s="40"/>
      <c r="C257" s="52"/>
      <c r="D257" s="19"/>
      <c r="E257" s="42"/>
      <c r="F257" s="42"/>
      <c r="G257" s="42"/>
      <c r="H257" s="42"/>
      <c r="I257" s="42" t="s">
        <v>379</v>
      </c>
      <c r="J257" s="42" t="s">
        <v>1789</v>
      </c>
      <c r="K257" s="42">
        <f t="shared" si="84"/>
        <v>978</v>
      </c>
      <c r="L257" s="42">
        <f t="shared" si="85"/>
        <v>219.48699999999999</v>
      </c>
      <c r="M257" s="65" t="s">
        <v>779</v>
      </c>
      <c r="N257" s="52" t="str">
        <f t="shared" si="77"/>
        <v>(11,'','','Saturday-01-jj','Saturday-01-jj',,,),</v>
      </c>
    </row>
    <row r="258" spans="1:14" ht="20.100000000000001" customHeight="1" x14ac:dyDescent="0.25">
      <c r="A258" s="39">
        <v>12</v>
      </c>
      <c r="B258" s="40"/>
      <c r="C258" s="52"/>
      <c r="D258" s="19"/>
      <c r="E258" s="42"/>
      <c r="F258" s="42"/>
      <c r="G258" s="42"/>
      <c r="H258" s="42"/>
      <c r="I258" s="42" t="s">
        <v>379</v>
      </c>
      <c r="J258" s="42" t="s">
        <v>1790</v>
      </c>
      <c r="K258" s="42">
        <f t="shared" si="84"/>
        <v>1056</v>
      </c>
      <c r="L258" s="42">
        <f t="shared" si="85"/>
        <v>241.804</v>
      </c>
      <c r="M258" s="65" t="s">
        <v>779</v>
      </c>
      <c r="N258" s="52" t="str">
        <f t="shared" si="77"/>
        <v>(12,'','','Saturday-01-jj','Saturday-01-jj',,,),</v>
      </c>
    </row>
    <row r="259" spans="1:14" ht="20.100000000000001" customHeight="1" x14ac:dyDescent="0.25">
      <c r="A259" s="39">
        <v>13</v>
      </c>
      <c r="B259" s="40"/>
      <c r="C259" s="52"/>
      <c r="D259" s="19"/>
      <c r="E259" s="42"/>
      <c r="F259" s="42"/>
      <c r="G259" s="42"/>
      <c r="H259" s="42"/>
      <c r="I259" s="42" t="s">
        <v>379</v>
      </c>
      <c r="J259" s="42" t="s">
        <v>1791</v>
      </c>
      <c r="K259" s="42">
        <f t="shared" si="84"/>
        <v>1147</v>
      </c>
      <c r="L259" s="42">
        <f t="shared" si="85"/>
        <v>261.91300000000001</v>
      </c>
      <c r="M259" s="65" t="s">
        <v>779</v>
      </c>
      <c r="N259" s="52" t="str">
        <f t="shared" si="77"/>
        <v>(13,'','','Saturday-01-jj','Saturday-01-jj',,,),</v>
      </c>
    </row>
    <row r="260" spans="1:14" ht="20.100000000000001" customHeight="1" x14ac:dyDescent="0.25">
      <c r="A260" s="39">
        <v>14</v>
      </c>
      <c r="B260" s="40"/>
      <c r="C260" s="52"/>
      <c r="D260" s="19"/>
      <c r="E260" s="42"/>
      <c r="F260" s="42"/>
      <c r="G260" s="42"/>
      <c r="H260" s="42"/>
      <c r="I260" s="42" t="s">
        <v>379</v>
      </c>
      <c r="J260" s="42" t="s">
        <v>1792</v>
      </c>
      <c r="K260" s="42">
        <f t="shared" si="84"/>
        <v>1266</v>
      </c>
      <c r="L260" s="42">
        <f t="shared" si="85"/>
        <v>282.03800000000001</v>
      </c>
      <c r="M260" s="65" t="s">
        <v>1771</v>
      </c>
      <c r="N260" s="52" t="str">
        <f t="shared" si="77"/>
        <v>(14,'','','Saturday-01-jj','Saturday-01-jj',,,),</v>
      </c>
    </row>
    <row r="261" spans="1:14" ht="20.100000000000001" customHeight="1" x14ac:dyDescent="0.25">
      <c r="A261" s="39">
        <v>15</v>
      </c>
      <c r="B261" s="40"/>
      <c r="C261" s="52"/>
      <c r="D261" s="19"/>
      <c r="E261" s="42"/>
      <c r="F261" s="42"/>
      <c r="G261" s="42"/>
      <c r="H261" s="42"/>
      <c r="I261" s="42" t="s">
        <v>379</v>
      </c>
      <c r="J261" s="42" t="s">
        <v>1793</v>
      </c>
      <c r="K261" s="42">
        <f t="shared" si="84"/>
        <v>1173</v>
      </c>
      <c r="L261" s="42">
        <f t="shared" si="85"/>
        <v>301.416</v>
      </c>
      <c r="M261" s="62" t="s">
        <v>1812</v>
      </c>
      <c r="N261" s="52" t="str">
        <f t="shared" si="77"/>
        <v>(15,'','','Saturday-01-jj','Saturday-01-jj',,,),</v>
      </c>
    </row>
    <row r="262" spans="1:14" ht="20.100000000000001" customHeight="1" x14ac:dyDescent="0.25">
      <c r="A262" s="39">
        <v>16</v>
      </c>
      <c r="B262" s="40"/>
      <c r="C262" s="52"/>
      <c r="D262" s="19"/>
      <c r="E262" s="42"/>
      <c r="F262" s="42"/>
      <c r="G262" s="42"/>
      <c r="H262" s="42"/>
      <c r="I262" s="42" t="s">
        <v>379</v>
      </c>
      <c r="J262" s="42" t="s">
        <v>1794</v>
      </c>
      <c r="K262" s="42">
        <f t="shared" si="84"/>
        <v>995</v>
      </c>
      <c r="L262" s="42">
        <f t="shared" si="85"/>
        <v>325.53399999999999</v>
      </c>
      <c r="M262" s="42" t="s">
        <v>1772</v>
      </c>
      <c r="N262" s="52" t="str">
        <f t="shared" si="77"/>
        <v>(16,'','','Saturday-01-jj','Saturday-01-jj',,,),</v>
      </c>
    </row>
    <row r="263" spans="1:14" ht="20.100000000000001" customHeight="1" x14ac:dyDescent="0.25">
      <c r="A263" s="39">
        <v>17</v>
      </c>
      <c r="B263" s="40"/>
      <c r="C263" s="52"/>
      <c r="D263" s="19"/>
      <c r="E263" s="42"/>
      <c r="F263" s="42"/>
      <c r="G263" s="42"/>
      <c r="H263" s="42"/>
      <c r="I263" s="42" t="s">
        <v>379</v>
      </c>
      <c r="J263" s="42" t="s">
        <v>1795</v>
      </c>
      <c r="K263" s="42">
        <f t="shared" si="84"/>
        <v>1015</v>
      </c>
      <c r="L263" s="42">
        <f t="shared" si="85"/>
        <v>336.22800000000001</v>
      </c>
      <c r="M263" s="64" t="s">
        <v>782</v>
      </c>
      <c r="N263" s="52" t="str">
        <f t="shared" si="77"/>
        <v>(17,'','','Saturday-01-jj','Saturday-01-jj',,,),</v>
      </c>
    </row>
    <row r="264" spans="1:14" ht="20.100000000000001" customHeight="1" x14ac:dyDescent="0.25">
      <c r="A264" s="39">
        <v>18</v>
      </c>
      <c r="B264" s="40"/>
      <c r="C264" s="52"/>
      <c r="D264" s="19"/>
      <c r="E264" s="42"/>
      <c r="F264" s="42"/>
      <c r="G264" s="42"/>
      <c r="H264" s="42"/>
      <c r="I264" s="42" t="s">
        <v>379</v>
      </c>
      <c r="J264" s="42" t="s">
        <v>1796</v>
      </c>
      <c r="K264" s="42">
        <f t="shared" si="84"/>
        <v>786</v>
      </c>
      <c r="L264" s="42">
        <f t="shared" si="85"/>
        <v>346.71699999999998</v>
      </c>
      <c r="M264" s="64" t="s">
        <v>782</v>
      </c>
      <c r="N264" s="52" t="str">
        <f t="shared" si="77"/>
        <v>(18,'','','Saturday-01-jj','Saturday-01-jj',,,),</v>
      </c>
    </row>
    <row r="265" spans="1:14" ht="20.100000000000001" customHeight="1" x14ac:dyDescent="0.25">
      <c r="A265" s="39">
        <v>19</v>
      </c>
      <c r="B265" s="40"/>
      <c r="C265" s="52"/>
      <c r="D265" s="19"/>
      <c r="E265" s="42"/>
      <c r="F265" s="42"/>
      <c r="G265" s="42"/>
      <c r="H265" s="42"/>
      <c r="I265" s="42" t="s">
        <v>379</v>
      </c>
      <c r="J265" s="42" t="s">
        <v>1797</v>
      </c>
      <c r="K265" s="42">
        <f t="shared" si="84"/>
        <v>673</v>
      </c>
      <c r="L265" s="42">
        <f t="shared" si="85"/>
        <v>358.62099999999998</v>
      </c>
      <c r="M265" s="64" t="s">
        <v>783</v>
      </c>
      <c r="N265" s="52" t="str">
        <f t="shared" si="77"/>
        <v>(19,'','','Saturday-01-jj','Saturday-01-jj',,,),</v>
      </c>
    </row>
    <row r="266" spans="1:14" ht="20.100000000000001" customHeight="1" x14ac:dyDescent="0.25">
      <c r="A266" s="39">
        <v>20</v>
      </c>
      <c r="B266" s="40"/>
      <c r="C266" s="52"/>
      <c r="D266" s="19"/>
      <c r="E266" s="42"/>
      <c r="F266" s="42"/>
      <c r="G266" s="42"/>
      <c r="H266" s="42"/>
      <c r="I266" s="42" t="s">
        <v>379</v>
      </c>
      <c r="J266" s="42" t="s">
        <v>1798</v>
      </c>
      <c r="K266" s="42">
        <f t="shared" si="84"/>
        <v>636</v>
      </c>
      <c r="L266" s="42">
        <f t="shared" si="85"/>
        <v>369.78100000000001</v>
      </c>
      <c r="M266" s="64" t="s">
        <v>783</v>
      </c>
      <c r="N266" s="52" t="str">
        <f t="shared" si="77"/>
        <v>(20,'','','Saturday-01-jj','Saturday-01-jj',,,),</v>
      </c>
    </row>
    <row r="267" spans="1:14" ht="20.100000000000001" customHeight="1" x14ac:dyDescent="0.25">
      <c r="A267" s="39">
        <v>21</v>
      </c>
      <c r="B267" s="40"/>
      <c r="C267" s="52"/>
      <c r="D267" s="19"/>
      <c r="E267" s="42"/>
      <c r="F267" s="42"/>
      <c r="G267" s="42"/>
      <c r="H267" s="42"/>
      <c r="I267" s="42" t="s">
        <v>379</v>
      </c>
      <c r="J267" s="42" t="s">
        <v>1799</v>
      </c>
      <c r="K267" s="42">
        <f t="shared" si="84"/>
        <v>538</v>
      </c>
      <c r="L267" s="42">
        <f t="shared" si="85"/>
        <v>382.14600000000002</v>
      </c>
      <c r="M267" s="42" t="s">
        <v>1773</v>
      </c>
      <c r="N267" s="52" t="str">
        <f t="shared" si="77"/>
        <v>(21,'','','Saturday-01-jj','Saturday-01-jj',,,),</v>
      </c>
    </row>
    <row r="268" spans="1:14" ht="20.100000000000001" customHeight="1" x14ac:dyDescent="0.25">
      <c r="A268" s="39">
        <v>22</v>
      </c>
      <c r="B268" s="40"/>
      <c r="C268" s="52"/>
      <c r="D268" s="19"/>
      <c r="E268" s="42"/>
      <c r="F268" s="42"/>
      <c r="G268" s="42"/>
      <c r="H268" s="42"/>
      <c r="I268" s="42" t="s">
        <v>379</v>
      </c>
      <c r="J268" s="42" t="s">
        <v>1800</v>
      </c>
      <c r="K268" s="42">
        <f t="shared" si="84"/>
        <v>269</v>
      </c>
      <c r="L268" s="42">
        <f t="shared" si="85"/>
        <v>393.13200000000001</v>
      </c>
      <c r="M268" s="64" t="s">
        <v>1813</v>
      </c>
      <c r="N268" s="52" t="str">
        <f t="shared" si="77"/>
        <v>(22,'','','Saturday-01-jj','Saturday-01-jj',,,),</v>
      </c>
    </row>
    <row r="269" spans="1:14" ht="20.100000000000001" customHeight="1" x14ac:dyDescent="0.25">
      <c r="A269" s="39">
        <v>23</v>
      </c>
      <c r="B269" s="40"/>
      <c r="C269" s="52"/>
      <c r="D269" s="19"/>
      <c r="E269" s="42"/>
      <c r="F269" s="42"/>
      <c r="G269" s="42"/>
      <c r="H269" s="42"/>
      <c r="I269" s="42" t="s">
        <v>379</v>
      </c>
      <c r="J269" s="42" t="s">
        <v>1801</v>
      </c>
      <c r="K269" s="42">
        <f t="shared" si="84"/>
        <v>116</v>
      </c>
      <c r="L269" s="42">
        <f t="shared" si="85"/>
        <v>404.39800000000002</v>
      </c>
      <c r="M269" s="64" t="s">
        <v>1813</v>
      </c>
      <c r="N269" s="52" t="str">
        <f t="shared" si="77"/>
        <v>(23,'','','Saturday-01-jj','Saturday-01-jj',,,),</v>
      </c>
    </row>
    <row r="270" spans="1:14" ht="20.100000000000001" customHeight="1" x14ac:dyDescent="0.25">
      <c r="A270" s="39">
        <v>24</v>
      </c>
      <c r="B270" s="40"/>
      <c r="C270" s="52"/>
      <c r="D270" s="19"/>
      <c r="E270" s="42"/>
      <c r="F270" s="42"/>
      <c r="G270" s="42"/>
      <c r="H270" s="42"/>
      <c r="I270" s="42" t="s">
        <v>379</v>
      </c>
      <c r="J270" s="42" t="s">
        <v>1802</v>
      </c>
      <c r="K270" s="42">
        <f t="shared" si="84"/>
        <v>120</v>
      </c>
      <c r="L270" s="42">
        <f t="shared" si="85"/>
        <v>412.41800000000001</v>
      </c>
      <c r="M270" s="42" t="s">
        <v>1774</v>
      </c>
      <c r="N270" s="52" t="str">
        <f t="shared" si="77"/>
        <v>(24,'','','Saturday-01-jj','Saturday-01-jj',,,),</v>
      </c>
    </row>
    <row r="271" spans="1:14" ht="20.100000000000001" customHeight="1" x14ac:dyDescent="0.25">
      <c r="A271" s="39">
        <v>25</v>
      </c>
      <c r="B271" s="40"/>
      <c r="C271" s="52"/>
      <c r="D271" s="19"/>
      <c r="E271" s="42"/>
      <c r="F271" s="42"/>
      <c r="G271" s="42"/>
      <c r="H271" s="42"/>
      <c r="I271" s="42" t="s">
        <v>379</v>
      </c>
      <c r="J271" s="42" t="s">
        <v>1803</v>
      </c>
      <c r="K271" s="42">
        <f t="shared" si="84"/>
        <v>311</v>
      </c>
      <c r="L271" s="42">
        <f t="shared" si="85"/>
        <v>425.31900000000002</v>
      </c>
      <c r="M271" s="42" t="s">
        <v>1814</v>
      </c>
      <c r="N271" s="52" t="str">
        <f t="shared" si="77"/>
        <v>(25,'','','Saturday-01-jj','Saturday-01-jj',,,),</v>
      </c>
    </row>
    <row r="272" spans="1:14" ht="20.100000000000001" customHeight="1" x14ac:dyDescent="0.25">
      <c r="A272" s="39">
        <v>26</v>
      </c>
      <c r="B272" s="40"/>
      <c r="C272" s="52"/>
      <c r="D272" s="19"/>
      <c r="E272" s="42"/>
      <c r="F272" s="42"/>
      <c r="G272" s="42"/>
      <c r="H272" s="42"/>
      <c r="I272" s="42" t="s">
        <v>379</v>
      </c>
      <c r="J272" s="42" t="s">
        <v>1804</v>
      </c>
      <c r="K272" s="42">
        <f t="shared" si="84"/>
        <v>314</v>
      </c>
      <c r="L272" s="42">
        <f t="shared" si="85"/>
        <v>433.72199999999998</v>
      </c>
      <c r="M272" s="42" t="s">
        <v>1815</v>
      </c>
      <c r="N272" s="52" t="str">
        <f t="shared" si="77"/>
        <v>(26,'','','Saturday-01-jj','Saturday-01-jj',,,),</v>
      </c>
    </row>
    <row r="273" spans="1:14" ht="20.100000000000001" customHeight="1" x14ac:dyDescent="0.25">
      <c r="A273" s="39">
        <v>27</v>
      </c>
      <c r="B273" s="40"/>
      <c r="C273" s="52"/>
      <c r="D273" s="19"/>
      <c r="E273" s="42"/>
      <c r="F273" s="42"/>
      <c r="G273" s="42"/>
      <c r="H273" s="42"/>
      <c r="I273" s="42" t="s">
        <v>379</v>
      </c>
      <c r="J273" s="42" t="s">
        <v>1805</v>
      </c>
      <c r="K273" s="42">
        <f t="shared" si="84"/>
        <v>75</v>
      </c>
      <c r="L273" s="42">
        <f t="shared" si="85"/>
        <v>447.16800000000001</v>
      </c>
      <c r="M273" s="42" t="s">
        <v>1776</v>
      </c>
      <c r="N273" s="52" t="str">
        <f t="shared" si="77"/>
        <v>(27,'','','Saturday-01-jj','Saturday-01-jj',,,),</v>
      </c>
    </row>
    <row r="274" spans="1:14" ht="20.100000000000001" customHeight="1" x14ac:dyDescent="0.25">
      <c r="A274" s="39">
        <v>28</v>
      </c>
      <c r="B274" s="40"/>
      <c r="C274" s="52"/>
      <c r="D274" s="19"/>
      <c r="E274" s="42"/>
      <c r="F274" s="42"/>
      <c r="G274" s="42"/>
      <c r="H274" s="42"/>
      <c r="I274" s="42" t="s">
        <v>379</v>
      </c>
      <c r="J274" s="42" t="s">
        <v>1806</v>
      </c>
      <c r="K274" s="42">
        <f t="shared" si="84"/>
        <v>24</v>
      </c>
      <c r="L274" s="42">
        <f t="shared" si="85"/>
        <v>457.03300000000002</v>
      </c>
      <c r="M274" s="42" t="s">
        <v>1816</v>
      </c>
      <c r="N274" s="52" t="str">
        <f t="shared" si="77"/>
        <v>(28,'','','Saturday-01-jj','Saturday-01-jj',,,),</v>
      </c>
    </row>
    <row r="275" spans="1:14" ht="20.100000000000001" customHeight="1" x14ac:dyDescent="0.25">
      <c r="A275" s="39">
        <v>29</v>
      </c>
      <c r="B275" s="40"/>
      <c r="C275" s="52"/>
      <c r="D275" s="19"/>
      <c r="E275" s="42"/>
      <c r="F275" s="42"/>
      <c r="G275" s="42"/>
      <c r="H275" s="42"/>
      <c r="I275" s="42" t="s">
        <v>379</v>
      </c>
      <c r="J275" s="42" t="s">
        <v>1807</v>
      </c>
      <c r="K275" s="42">
        <f t="shared" si="84"/>
        <v>15</v>
      </c>
      <c r="L275" s="42">
        <f t="shared" si="85"/>
        <v>467.13200000000001</v>
      </c>
      <c r="M275" s="42" t="s">
        <v>1817</v>
      </c>
      <c r="N275" s="52" t="str">
        <f t="shared" si="77"/>
        <v>(29,'','','Saturday-01-jj','Saturday-01-jj',,,),</v>
      </c>
    </row>
    <row r="276" spans="1:14" ht="20.100000000000001" customHeight="1" x14ac:dyDescent="0.25">
      <c r="A276" s="39">
        <v>30</v>
      </c>
      <c r="B276" s="40"/>
      <c r="C276" s="52"/>
      <c r="D276" s="19"/>
      <c r="E276" s="42"/>
      <c r="F276" s="42"/>
      <c r="G276" s="42"/>
      <c r="H276" s="42"/>
      <c r="I276" s="42" t="s">
        <v>379</v>
      </c>
      <c r="J276" s="42" t="s">
        <v>1808</v>
      </c>
      <c r="K276" s="42">
        <f t="shared" si="84"/>
        <v>8</v>
      </c>
      <c r="L276" s="42">
        <f t="shared" si="85"/>
        <v>477.35199999999998</v>
      </c>
      <c r="M276" s="42" t="s">
        <v>1818</v>
      </c>
      <c r="N276" s="52" t="str">
        <f t="shared" si="77"/>
        <v>(30,'','','Saturday-01-jj','Saturday-01-jj',,,),</v>
      </c>
    </row>
    <row r="277" spans="1:14" ht="20.100000000000001" customHeight="1" x14ac:dyDescent="0.25">
      <c r="A277" s="39">
        <v>31</v>
      </c>
      <c r="B277" s="40"/>
      <c r="C277" s="52"/>
      <c r="D277" s="19"/>
      <c r="E277" s="42"/>
      <c r="F277" s="42"/>
      <c r="G277" s="42"/>
      <c r="H277" s="42"/>
      <c r="I277" s="42" t="s">
        <v>379</v>
      </c>
      <c r="J277" s="42" t="s">
        <v>1809</v>
      </c>
      <c r="K277" s="42">
        <f t="shared" si="84"/>
        <v>16</v>
      </c>
      <c r="L277" s="42">
        <f t="shared" si="85"/>
        <v>486.01299999999998</v>
      </c>
      <c r="M277" s="42" t="s">
        <v>1778</v>
      </c>
      <c r="N277" s="52" t="str">
        <f t="shared" ref="N277" si="86">CONCATENATE("(",A277,",'",B277,"','",C277,"','",TEXT(D277,"aaaa-mm-jj"),"','",TEXT(E277,"aaaa-mm-jj"),"',",F277,",",G277,",",H277,"),")</f>
        <v>(31,'','','Saturday-01-jj','Saturday-01-jj',,,),</v>
      </c>
    </row>
    <row r="278" spans="1:14" ht="20.100000000000001" customHeight="1" x14ac:dyDescent="0.25">
      <c r="A278" s="39"/>
      <c r="B278" s="40"/>
      <c r="C278" s="52"/>
      <c r="D278" s="19"/>
      <c r="E278" s="42"/>
      <c r="F278" s="42"/>
      <c r="G278" s="42"/>
      <c r="H278" s="42"/>
      <c r="I278" s="42"/>
      <c r="J278" s="42"/>
      <c r="K278" s="42"/>
      <c r="L278" s="42"/>
      <c r="M278" s="42"/>
      <c r="N278" s="52"/>
    </row>
    <row r="279" spans="1:14" ht="20.100000000000001" customHeight="1" x14ac:dyDescent="0.25">
      <c r="A279" s="39"/>
      <c r="B279" s="40"/>
      <c r="C279" s="52"/>
      <c r="D279" s="19"/>
      <c r="E279" s="42"/>
      <c r="F279" s="42"/>
      <c r="G279" s="42"/>
      <c r="H279" s="42"/>
      <c r="I279" s="42"/>
      <c r="J279" s="42"/>
      <c r="K279" s="42"/>
      <c r="L279" s="42"/>
      <c r="M279" s="42"/>
      <c r="N279" s="52"/>
    </row>
    <row r="280" spans="1:14" ht="20.100000000000001" customHeight="1" x14ac:dyDescent="0.25">
      <c r="A280" s="39"/>
      <c r="B280" s="40"/>
      <c r="C280" s="52"/>
      <c r="D280" s="19"/>
      <c r="E280" s="42"/>
      <c r="F280" s="42"/>
      <c r="G280" s="42"/>
      <c r="H280" s="42"/>
      <c r="I280" s="42"/>
      <c r="J280" s="42"/>
      <c r="K280" s="42"/>
      <c r="L280" s="42"/>
      <c r="M280" s="42"/>
      <c r="N280" s="52"/>
    </row>
    <row r="281" spans="1:14" ht="20.100000000000001" customHeight="1" x14ac:dyDescent="0.25">
      <c r="A281" s="39"/>
      <c r="B281" s="40"/>
      <c r="C281" s="52"/>
      <c r="D281" s="19"/>
      <c r="E281" s="42"/>
      <c r="F281" s="42"/>
      <c r="G281" s="42"/>
      <c r="H281" s="42"/>
      <c r="I281" s="42"/>
      <c r="J281" s="42"/>
      <c r="K281" s="42"/>
      <c r="L281" s="42"/>
      <c r="M281" s="42"/>
      <c r="N281" s="52"/>
    </row>
    <row r="282" spans="1:14" ht="20.100000000000001" customHeight="1" x14ac:dyDescent="0.25">
      <c r="A282" s="39"/>
      <c r="B282" s="40"/>
      <c r="C282" s="52"/>
      <c r="D282" s="19"/>
      <c r="E282" s="42"/>
      <c r="F282" s="42"/>
      <c r="G282" s="42"/>
      <c r="H282" s="42"/>
      <c r="I282" s="42"/>
      <c r="J282" s="42"/>
      <c r="K282" s="42"/>
      <c r="L282" s="42"/>
      <c r="M282" s="42"/>
      <c r="N282" s="52"/>
    </row>
    <row r="283" spans="1:14" ht="20.100000000000001" customHeight="1" x14ac:dyDescent="0.25">
      <c r="A283" s="39"/>
      <c r="B283" s="40"/>
      <c r="C283" s="52"/>
      <c r="D283" s="19"/>
      <c r="E283" s="42"/>
      <c r="F283" s="42"/>
      <c r="G283" s="42"/>
      <c r="H283" s="42"/>
      <c r="I283" s="42"/>
      <c r="J283" s="42"/>
      <c r="K283" s="42"/>
      <c r="L283" s="42"/>
      <c r="M283" s="42"/>
      <c r="N283" s="52"/>
    </row>
    <row r="284" spans="1:14" ht="20.100000000000001" customHeight="1" x14ac:dyDescent="0.25">
      <c r="A284" s="39"/>
      <c r="B284" s="40"/>
      <c r="C284" s="52"/>
      <c r="D284" s="19"/>
      <c r="E284" s="42"/>
      <c r="F284" s="42"/>
      <c r="G284" s="42"/>
      <c r="H284" s="42"/>
      <c r="I284" s="42"/>
      <c r="J284" s="42"/>
      <c r="K284" s="42"/>
      <c r="L284" s="42"/>
      <c r="M284" s="42"/>
      <c r="N284" s="52"/>
    </row>
    <row r="285" spans="1:14" ht="20.100000000000001" customHeight="1" x14ac:dyDescent="0.25">
      <c r="A285" s="39"/>
      <c r="B285" s="40"/>
      <c r="C285" s="52"/>
      <c r="D285" s="19"/>
      <c r="E285" s="42"/>
      <c r="F285" s="42"/>
      <c r="G285" s="42"/>
      <c r="H285" s="42"/>
      <c r="I285" s="42"/>
      <c r="J285" s="42"/>
      <c r="K285" s="42"/>
      <c r="L285" s="42"/>
      <c r="M285" s="42"/>
      <c r="N285" s="52"/>
    </row>
    <row r="286" spans="1:14" ht="20.100000000000001" customHeight="1" x14ac:dyDescent="0.25">
      <c r="A286" s="39"/>
      <c r="B286" s="40"/>
      <c r="C286" s="52"/>
      <c r="D286" s="19"/>
      <c r="E286" s="42"/>
      <c r="F286" s="42"/>
      <c r="G286" s="42"/>
      <c r="H286" s="42"/>
      <c r="I286" s="42"/>
      <c r="J286" s="42"/>
      <c r="K286" s="42"/>
      <c r="L286" s="42"/>
      <c r="M286" s="42"/>
      <c r="N286" s="52"/>
    </row>
    <row r="287" spans="1:14" ht="20.100000000000001" customHeight="1" x14ac:dyDescent="0.25">
      <c r="A287" s="39"/>
      <c r="B287" s="40"/>
      <c r="C287" s="52"/>
      <c r="D287" s="19"/>
      <c r="E287" s="42"/>
      <c r="F287" s="42"/>
      <c r="G287" s="42"/>
      <c r="H287" s="42"/>
      <c r="I287" s="42"/>
      <c r="J287" s="42"/>
      <c r="K287" s="42"/>
      <c r="L287" s="42"/>
      <c r="M287" s="42"/>
      <c r="N287" s="52"/>
    </row>
    <row r="288" spans="1:14" ht="20.100000000000001" customHeight="1" x14ac:dyDescent="0.25">
      <c r="A288" s="39"/>
      <c r="B288" s="40"/>
      <c r="C288" s="52"/>
      <c r="D288" s="19"/>
      <c r="E288" s="42"/>
      <c r="F288" s="42"/>
      <c r="G288" s="42"/>
      <c r="H288" s="42"/>
      <c r="I288" s="42"/>
      <c r="J288" s="42"/>
      <c r="K288" s="42"/>
      <c r="L288" s="42"/>
      <c r="M288" s="42"/>
      <c r="N288" s="52"/>
    </row>
    <row r="289" spans="1:14" ht="20.100000000000001" customHeight="1" x14ac:dyDescent="0.25">
      <c r="A289" s="39"/>
      <c r="B289" s="40"/>
      <c r="C289" s="52"/>
      <c r="D289" s="19"/>
      <c r="E289" s="42"/>
      <c r="F289" s="42"/>
      <c r="G289" s="42"/>
      <c r="H289" s="42"/>
      <c r="I289" s="42"/>
      <c r="J289" s="42"/>
      <c r="K289" s="42"/>
      <c r="L289" s="42"/>
      <c r="M289" s="42"/>
      <c r="N289" s="52"/>
    </row>
    <row r="290" spans="1:14" ht="20.100000000000001" customHeight="1" x14ac:dyDescent="0.25">
      <c r="A290" s="39"/>
      <c r="B290" s="40"/>
      <c r="C290" s="52"/>
      <c r="D290" s="19"/>
      <c r="E290" s="42"/>
      <c r="F290" s="42"/>
      <c r="G290" s="42"/>
      <c r="H290" s="42"/>
      <c r="I290" s="42"/>
      <c r="J290" s="42"/>
      <c r="K290" s="42"/>
      <c r="L290" s="42"/>
      <c r="M290" s="42"/>
      <c r="N290" s="52"/>
    </row>
    <row r="291" spans="1:14" ht="20.100000000000001" customHeight="1" x14ac:dyDescent="0.25">
      <c r="A291" s="39"/>
      <c r="B291" s="40"/>
      <c r="C291" s="52"/>
      <c r="D291" s="19"/>
      <c r="E291" s="42"/>
      <c r="F291" s="42"/>
      <c r="G291" s="42"/>
      <c r="H291" s="42"/>
      <c r="I291" s="42"/>
      <c r="J291" s="42"/>
      <c r="K291" s="42"/>
      <c r="L291" s="42"/>
      <c r="M291" s="42"/>
      <c r="N291" s="52"/>
    </row>
    <row r="292" spans="1:14" ht="20.100000000000001" customHeight="1" x14ac:dyDescent="0.25">
      <c r="A292" s="39"/>
      <c r="B292" s="40"/>
      <c r="C292" s="52"/>
      <c r="D292" s="19"/>
      <c r="E292" s="42"/>
      <c r="F292" s="42"/>
      <c r="G292" s="42"/>
      <c r="H292" s="42"/>
      <c r="I292" s="42"/>
      <c r="J292" s="42"/>
      <c r="K292" s="42"/>
      <c r="L292" s="42"/>
      <c r="M292" s="42"/>
      <c r="N292" s="52"/>
    </row>
    <row r="293" spans="1:14" ht="20.100000000000001" customHeight="1" x14ac:dyDescent="0.25">
      <c r="A293" s="39"/>
      <c r="B293" s="40"/>
      <c r="C293" s="52"/>
      <c r="D293" s="19"/>
      <c r="E293" s="42"/>
      <c r="F293" s="42"/>
      <c r="G293" s="42"/>
      <c r="H293" s="42"/>
      <c r="I293" s="42"/>
      <c r="J293" s="42"/>
      <c r="K293" s="42"/>
      <c r="L293" s="42"/>
      <c r="M293" s="42"/>
      <c r="N293" s="52"/>
    </row>
    <row r="294" spans="1:14" ht="20.100000000000001" customHeight="1" x14ac:dyDescent="0.25">
      <c r="A294" s="39"/>
      <c r="B294" s="40"/>
      <c r="C294" s="52"/>
      <c r="D294" s="19"/>
      <c r="E294" s="42"/>
      <c r="F294" s="42"/>
      <c r="G294" s="42"/>
      <c r="H294" s="42"/>
      <c r="I294" s="42"/>
      <c r="J294" s="42"/>
      <c r="K294" s="42"/>
      <c r="L294" s="42"/>
      <c r="M294" s="42"/>
      <c r="N294" s="52"/>
    </row>
    <row r="295" spans="1:14" ht="20.100000000000001" customHeight="1" x14ac:dyDescent="0.25">
      <c r="A295" s="39"/>
      <c r="B295" s="40"/>
      <c r="C295" s="52"/>
      <c r="D295" s="19"/>
      <c r="E295" s="42"/>
      <c r="F295" s="42"/>
      <c r="G295" s="42"/>
      <c r="H295" s="42"/>
      <c r="I295" s="42"/>
      <c r="J295" s="42"/>
      <c r="K295" s="42"/>
      <c r="L295" s="42"/>
      <c r="M295" s="42"/>
      <c r="N295" s="52"/>
    </row>
    <row r="296" spans="1:14" ht="20.100000000000001" customHeight="1" x14ac:dyDescent="0.25">
      <c r="A296" s="39"/>
      <c r="B296" s="40"/>
      <c r="C296" s="52"/>
      <c r="D296" s="19"/>
      <c r="E296" s="42"/>
      <c r="F296" s="42"/>
      <c r="G296" s="42"/>
      <c r="H296" s="42"/>
      <c r="I296" s="42"/>
      <c r="J296" s="42"/>
      <c r="K296" s="42"/>
      <c r="L296" s="42"/>
      <c r="M296" s="42"/>
      <c r="N296" s="52"/>
    </row>
    <row r="297" spans="1:14" ht="20.100000000000001" customHeight="1" x14ac:dyDescent="0.25">
      <c r="A297" s="39"/>
      <c r="B297" s="40"/>
      <c r="C297" s="52"/>
      <c r="D297" s="19"/>
      <c r="E297" s="42"/>
      <c r="F297" s="42"/>
      <c r="G297" s="42"/>
      <c r="H297" s="42"/>
      <c r="I297" s="42"/>
      <c r="J297" s="42"/>
      <c r="K297" s="42"/>
      <c r="L297" s="42"/>
      <c r="M297" s="42"/>
      <c r="N297" s="52"/>
    </row>
    <row r="298" spans="1:14" ht="20.100000000000001" customHeight="1" x14ac:dyDescent="0.25">
      <c r="A298" s="39"/>
      <c r="B298" s="40"/>
      <c r="C298" s="52"/>
      <c r="D298" s="19"/>
      <c r="E298" s="42"/>
      <c r="F298" s="42"/>
      <c r="G298" s="42"/>
      <c r="H298" s="42"/>
      <c r="I298" s="42"/>
      <c r="J298" s="42"/>
      <c r="K298" s="42"/>
      <c r="L298" s="42"/>
      <c r="M298" s="42"/>
      <c r="N298" s="52"/>
    </row>
    <row r="299" spans="1:14" ht="20.100000000000001" customHeight="1" x14ac:dyDescent="0.25">
      <c r="A299" s="39"/>
      <c r="B299" s="40"/>
      <c r="C299" s="52"/>
      <c r="D299" s="19"/>
      <c r="E299" s="42"/>
      <c r="F299" s="42"/>
      <c r="G299" s="42"/>
      <c r="H299" s="42"/>
      <c r="I299" s="42"/>
      <c r="J299" s="42"/>
      <c r="K299" s="42"/>
      <c r="L299" s="42"/>
      <c r="M299" s="42"/>
      <c r="N299" s="52"/>
    </row>
    <row r="300" spans="1:14" ht="20.100000000000001" customHeight="1" x14ac:dyDescent="0.25">
      <c r="A300" s="39"/>
      <c r="B300" s="40"/>
      <c r="C300" s="52"/>
      <c r="D300" s="19"/>
      <c r="E300" s="42"/>
      <c r="F300" s="42"/>
      <c r="G300" s="42"/>
      <c r="H300" s="42"/>
      <c r="I300" s="42"/>
      <c r="J300" s="42"/>
      <c r="K300" s="42"/>
      <c r="L300" s="42"/>
      <c r="M300" s="42"/>
      <c r="N300" s="52"/>
    </row>
    <row r="301" spans="1:14" ht="20.100000000000001" customHeight="1" x14ac:dyDescent="0.25">
      <c r="A301" s="39"/>
      <c r="B301" s="40"/>
      <c r="C301" s="52"/>
      <c r="D301" s="19"/>
      <c r="E301" s="42"/>
      <c r="F301" s="42"/>
      <c r="G301" s="42"/>
      <c r="H301" s="42"/>
      <c r="I301" s="42"/>
      <c r="J301" s="42"/>
      <c r="K301" s="42"/>
      <c r="L301" s="42"/>
      <c r="M301" s="42"/>
      <c r="N301" s="52"/>
    </row>
    <row r="302" spans="1:14" ht="20.100000000000001" customHeight="1" x14ac:dyDescent="0.25">
      <c r="A302" s="39"/>
      <c r="B302" s="40"/>
      <c r="C302" s="52"/>
      <c r="D302" s="19"/>
      <c r="E302" s="42"/>
      <c r="F302" s="42"/>
      <c r="G302" s="42"/>
      <c r="H302" s="42"/>
      <c r="I302" s="42"/>
      <c r="J302" s="42"/>
      <c r="K302" s="42"/>
      <c r="L302" s="42"/>
      <c r="M302" s="42"/>
      <c r="N302" s="52"/>
    </row>
    <row r="303" spans="1:14" ht="20.100000000000001" customHeight="1" x14ac:dyDescent="0.25">
      <c r="A303" s="39"/>
      <c r="B303" s="40"/>
      <c r="C303" s="52"/>
      <c r="D303" s="19"/>
      <c r="E303" s="42"/>
      <c r="F303" s="42"/>
      <c r="G303" s="42"/>
      <c r="H303" s="42"/>
      <c r="I303" s="42"/>
      <c r="J303" s="42"/>
      <c r="K303" s="42"/>
      <c r="L303" s="42"/>
      <c r="M303" s="42"/>
      <c r="N303" s="52"/>
    </row>
    <row r="304" spans="1:14" ht="20.100000000000001" customHeight="1" x14ac:dyDescent="0.25">
      <c r="A304" s="39"/>
      <c r="B304" s="40"/>
      <c r="C304" s="52"/>
      <c r="D304" s="19"/>
      <c r="E304" s="42"/>
      <c r="F304" s="42"/>
      <c r="G304" s="42"/>
      <c r="H304" s="42"/>
      <c r="I304" s="42"/>
      <c r="J304" s="42"/>
      <c r="K304" s="42"/>
      <c r="L304" s="42"/>
      <c r="M304" s="42"/>
      <c r="N304" s="52"/>
    </row>
    <row r="305" spans="1:14" ht="20.100000000000001" customHeight="1" x14ac:dyDescent="0.25">
      <c r="A305" s="39"/>
      <c r="B305" s="40"/>
      <c r="C305" s="52"/>
      <c r="D305" s="19"/>
      <c r="E305" s="42"/>
      <c r="F305" s="42"/>
      <c r="G305" s="42"/>
      <c r="H305" s="42"/>
      <c r="I305" s="42"/>
      <c r="J305" s="42"/>
      <c r="K305" s="42"/>
      <c r="L305" s="42"/>
      <c r="M305" s="42"/>
      <c r="N305" s="52"/>
    </row>
    <row r="306" spans="1:14" ht="20.100000000000001" customHeight="1" x14ac:dyDescent="0.25">
      <c r="A306" s="39"/>
      <c r="B306" s="40"/>
      <c r="C306" s="52"/>
      <c r="D306" s="19"/>
      <c r="E306" s="42"/>
      <c r="F306" s="42"/>
      <c r="G306" s="42"/>
      <c r="H306" s="42"/>
      <c r="I306" s="42"/>
      <c r="J306" s="42"/>
      <c r="K306" s="42"/>
      <c r="L306" s="42"/>
      <c r="M306" s="42"/>
      <c r="N306" s="52"/>
    </row>
    <row r="307" spans="1:14" ht="20.100000000000001" customHeight="1" x14ac:dyDescent="0.25">
      <c r="A307" s="39"/>
      <c r="B307" s="40"/>
      <c r="C307" s="52"/>
      <c r="D307" s="19"/>
      <c r="E307" s="42"/>
      <c r="F307" s="42"/>
      <c r="G307" s="42"/>
      <c r="H307" s="42"/>
      <c r="I307" s="42"/>
      <c r="J307" s="42"/>
      <c r="K307" s="42"/>
      <c r="L307" s="42"/>
      <c r="M307" s="42"/>
      <c r="N307" s="52"/>
    </row>
    <row r="308" spans="1:14" ht="20.100000000000001" customHeight="1" x14ac:dyDescent="0.25">
      <c r="A308" s="39"/>
      <c r="B308" s="40"/>
      <c r="C308" s="52"/>
      <c r="D308" s="19"/>
      <c r="E308" s="42"/>
      <c r="F308" s="42"/>
      <c r="G308" s="42"/>
      <c r="H308" s="42"/>
      <c r="I308" s="42"/>
      <c r="J308" s="42"/>
      <c r="K308" s="42"/>
      <c r="L308" s="42"/>
      <c r="M308" s="42"/>
      <c r="N308" s="52"/>
    </row>
    <row r="309" spans="1:14" ht="20.100000000000001" customHeight="1" x14ac:dyDescent="0.25">
      <c r="A309" s="39"/>
      <c r="B309" s="40"/>
      <c r="C309" s="52"/>
      <c r="D309" s="19"/>
      <c r="E309" s="42"/>
      <c r="F309" s="42"/>
      <c r="G309" s="42"/>
      <c r="H309" s="42"/>
      <c r="I309" s="42"/>
      <c r="J309" s="42"/>
      <c r="K309" s="42"/>
      <c r="L309" s="42"/>
      <c r="M309" s="42"/>
      <c r="N309" s="52"/>
    </row>
    <row r="310" spans="1:14" ht="20.100000000000001" customHeight="1" x14ac:dyDescent="0.25">
      <c r="A310" s="39"/>
      <c r="B310" s="40"/>
      <c r="C310" s="52"/>
      <c r="D310" s="19"/>
      <c r="E310" s="42"/>
      <c r="F310" s="42"/>
      <c r="G310" s="42"/>
      <c r="H310" s="42"/>
      <c r="I310" s="42"/>
      <c r="J310" s="42"/>
      <c r="K310" s="42"/>
      <c r="L310" s="42"/>
      <c r="M310" s="42"/>
      <c r="N310" s="52"/>
    </row>
    <row r="311" spans="1:14" ht="20.100000000000001" customHeight="1" x14ac:dyDescent="0.25">
      <c r="A311" s="39"/>
      <c r="B311" s="40"/>
      <c r="C311" s="52"/>
      <c r="D311" s="19"/>
      <c r="E311" s="42"/>
      <c r="F311" s="42"/>
      <c r="G311" s="42"/>
      <c r="H311" s="42"/>
      <c r="I311" s="42"/>
      <c r="J311" s="42"/>
      <c r="K311" s="42"/>
      <c r="L311" s="42"/>
      <c r="M311" s="42"/>
      <c r="N311" s="52"/>
    </row>
    <row r="312" spans="1:14" ht="20.100000000000001" customHeight="1" x14ac:dyDescent="0.25">
      <c r="A312" s="39"/>
      <c r="B312" s="40"/>
      <c r="C312" s="52"/>
      <c r="D312" s="19"/>
      <c r="E312" s="42"/>
      <c r="F312" s="42"/>
      <c r="G312" s="42"/>
      <c r="H312" s="42"/>
      <c r="I312" s="42"/>
      <c r="J312" s="42"/>
      <c r="K312" s="42"/>
      <c r="L312" s="42"/>
      <c r="M312" s="42"/>
      <c r="N312" s="52"/>
    </row>
    <row r="313" spans="1:14" ht="20.100000000000001" customHeight="1" x14ac:dyDescent="0.25">
      <c r="A313" s="39"/>
      <c r="B313" s="40"/>
      <c r="C313" s="52"/>
      <c r="D313" s="19"/>
      <c r="E313" s="42"/>
      <c r="F313" s="42"/>
      <c r="G313" s="42"/>
      <c r="H313" s="42"/>
      <c r="I313" s="42"/>
      <c r="J313" s="42"/>
      <c r="K313" s="42"/>
      <c r="L313" s="42"/>
      <c r="M313" s="42"/>
      <c r="N313" s="52"/>
    </row>
    <row r="314" spans="1:14" ht="20.100000000000001" customHeight="1" x14ac:dyDescent="0.25">
      <c r="A314" s="39"/>
      <c r="B314" s="40"/>
      <c r="C314" s="52"/>
      <c r="D314" s="19"/>
      <c r="E314" s="42"/>
      <c r="F314" s="42"/>
      <c r="G314" s="42"/>
      <c r="H314" s="42"/>
      <c r="I314" s="42"/>
      <c r="J314" s="42"/>
      <c r="K314" s="42"/>
      <c r="L314" s="42"/>
      <c r="M314" s="42"/>
      <c r="N314" s="52"/>
    </row>
    <row r="315" spans="1:14" ht="20.100000000000001" customHeight="1" x14ac:dyDescent="0.25">
      <c r="A315" s="39"/>
      <c r="B315" s="40"/>
      <c r="C315" s="52"/>
      <c r="D315" s="19"/>
      <c r="E315" s="42"/>
      <c r="F315" s="42"/>
      <c r="G315" s="42"/>
      <c r="H315" s="42"/>
      <c r="I315" s="42"/>
      <c r="J315" s="42"/>
      <c r="K315" s="42"/>
      <c r="L315" s="42"/>
      <c r="M315" s="42"/>
      <c r="N315" s="52"/>
    </row>
    <row r="316" spans="1:14" ht="20.100000000000001" customHeight="1" x14ac:dyDescent="0.25">
      <c r="A316" s="39"/>
      <c r="B316" s="40"/>
      <c r="C316" s="52"/>
      <c r="D316" s="19"/>
      <c r="E316" s="42"/>
      <c r="F316" s="42"/>
      <c r="G316" s="42"/>
      <c r="H316" s="42"/>
      <c r="I316" s="42"/>
      <c r="J316" s="42"/>
      <c r="K316" s="42"/>
      <c r="L316" s="42"/>
      <c r="M316" s="42"/>
      <c r="N316" s="52"/>
    </row>
    <row r="317" spans="1:14" ht="20.100000000000001" customHeight="1" x14ac:dyDescent="0.25">
      <c r="A317" s="39"/>
      <c r="B317" s="40"/>
      <c r="C317" s="52"/>
      <c r="D317" s="19"/>
      <c r="E317" s="42"/>
      <c r="F317" s="42"/>
      <c r="G317" s="42"/>
      <c r="H317" s="42"/>
      <c r="I317" s="42"/>
      <c r="J317" s="42"/>
      <c r="K317" s="42"/>
      <c r="L317" s="42"/>
      <c r="M317" s="42"/>
      <c r="N317" s="52"/>
    </row>
    <row r="318" spans="1:14" ht="20.100000000000001" customHeight="1" x14ac:dyDescent="0.25">
      <c r="A318" s="39"/>
      <c r="B318" s="40"/>
      <c r="C318" s="52"/>
      <c r="D318" s="19"/>
      <c r="E318" s="42"/>
      <c r="F318" s="42"/>
      <c r="G318" s="42"/>
      <c r="H318" s="42"/>
      <c r="I318" s="42"/>
      <c r="J318" s="42"/>
      <c r="K318" s="42"/>
      <c r="L318" s="42"/>
      <c r="M318" s="42"/>
      <c r="N318" s="52"/>
    </row>
    <row r="319" spans="1:14" ht="20.100000000000001" customHeight="1" x14ac:dyDescent="0.25">
      <c r="A319" s="39"/>
      <c r="B319" s="40"/>
      <c r="C319" s="52"/>
      <c r="D319" s="19"/>
      <c r="E319" s="42"/>
      <c r="F319" s="42"/>
      <c r="G319" s="42"/>
      <c r="H319" s="42"/>
      <c r="I319" s="42"/>
      <c r="J319" s="42"/>
      <c r="K319" s="42"/>
      <c r="L319" s="42"/>
      <c r="M319" s="42"/>
      <c r="N319" s="52"/>
    </row>
    <row r="320" spans="1:14" ht="20.100000000000001" customHeight="1" x14ac:dyDescent="0.25">
      <c r="A320" s="39"/>
      <c r="B320" s="40"/>
      <c r="C320" s="52"/>
      <c r="D320" s="19"/>
      <c r="E320" s="42"/>
      <c r="F320" s="42"/>
      <c r="G320" s="42"/>
      <c r="H320" s="42"/>
      <c r="I320" s="42"/>
      <c r="J320" s="42"/>
      <c r="K320" s="42"/>
      <c r="L320" s="42"/>
      <c r="M320" s="42"/>
      <c r="N320" s="52"/>
    </row>
    <row r="321" spans="1:14" ht="20.100000000000001" customHeight="1" x14ac:dyDescent="0.25">
      <c r="A321" s="39"/>
      <c r="B321" s="40"/>
      <c r="C321" s="52"/>
      <c r="D321" s="19"/>
      <c r="E321" s="42"/>
      <c r="F321" s="42"/>
      <c r="G321" s="42"/>
      <c r="H321" s="42"/>
      <c r="I321" s="42"/>
      <c r="J321" s="42"/>
      <c r="K321" s="42"/>
      <c r="L321" s="42"/>
      <c r="M321" s="42"/>
      <c r="N321" s="52"/>
    </row>
    <row r="322" spans="1:14" ht="20.100000000000001" customHeight="1" x14ac:dyDescent="0.25">
      <c r="A322" s="39"/>
      <c r="B322" s="40"/>
      <c r="C322" s="52"/>
      <c r="D322" s="19"/>
      <c r="E322" s="42"/>
      <c r="F322" s="42"/>
      <c r="G322" s="42"/>
      <c r="H322" s="42"/>
      <c r="I322" s="42"/>
      <c r="J322" s="42"/>
      <c r="K322" s="42"/>
      <c r="L322" s="42"/>
      <c r="M322" s="42"/>
      <c r="N322" s="52"/>
    </row>
    <row r="323" spans="1:14" ht="20.100000000000001" customHeight="1" x14ac:dyDescent="0.25">
      <c r="A323" s="39"/>
      <c r="B323" s="40"/>
      <c r="C323" s="52"/>
      <c r="D323" s="19"/>
      <c r="E323" s="42"/>
      <c r="F323" s="42"/>
      <c r="G323" s="42"/>
      <c r="H323" s="42"/>
      <c r="I323" s="42"/>
      <c r="J323" s="42"/>
      <c r="K323" s="42"/>
      <c r="L323" s="42"/>
      <c r="M323" s="42"/>
      <c r="N323" s="52"/>
    </row>
    <row r="324" spans="1:14" ht="20.100000000000001" customHeight="1" x14ac:dyDescent="0.25">
      <c r="A324" s="39"/>
      <c r="B324" s="40"/>
      <c r="C324" s="52"/>
      <c r="D324" s="19"/>
      <c r="E324" s="42"/>
      <c r="F324" s="42"/>
      <c r="G324" s="42"/>
      <c r="H324" s="42"/>
      <c r="I324" s="42"/>
      <c r="J324" s="42"/>
      <c r="K324" s="42"/>
      <c r="L324" s="42"/>
      <c r="M324" s="42"/>
      <c r="N324" s="52"/>
    </row>
    <row r="325" spans="1:14" ht="20.100000000000001" customHeight="1" x14ac:dyDescent="0.25">
      <c r="A325" s="39"/>
      <c r="B325" s="40"/>
      <c r="C325" s="52"/>
      <c r="D325" s="19"/>
      <c r="E325" s="42"/>
      <c r="F325" s="42"/>
      <c r="G325" s="42"/>
      <c r="H325" s="42"/>
      <c r="I325" s="42"/>
      <c r="J325" s="42"/>
      <c r="K325" s="42"/>
      <c r="L325" s="42"/>
      <c r="M325" s="42"/>
      <c r="N325" s="52"/>
    </row>
    <row r="326" spans="1:14" ht="20.100000000000001" customHeight="1" x14ac:dyDescent="0.25">
      <c r="A326" s="39"/>
      <c r="B326" s="40"/>
      <c r="C326" s="52"/>
      <c r="D326" s="19"/>
      <c r="E326" s="42"/>
      <c r="F326" s="42"/>
      <c r="G326" s="42"/>
      <c r="H326" s="42"/>
      <c r="I326" s="42"/>
      <c r="J326" s="42"/>
      <c r="K326" s="42"/>
      <c r="L326" s="42"/>
      <c r="M326" s="42"/>
      <c r="N326" s="52"/>
    </row>
    <row r="327" spans="1:14" ht="20.100000000000001" customHeight="1" x14ac:dyDescent="0.25">
      <c r="A327" s="39"/>
      <c r="B327" s="40"/>
      <c r="C327" s="52"/>
      <c r="D327" s="19"/>
      <c r="E327" s="42"/>
      <c r="F327" s="42"/>
      <c r="G327" s="42"/>
      <c r="H327" s="42"/>
      <c r="I327" s="42"/>
      <c r="J327" s="42"/>
      <c r="K327" s="42"/>
      <c r="L327" s="42"/>
      <c r="M327" s="42"/>
      <c r="N327" s="52"/>
    </row>
    <row r="328" spans="1:14" ht="20.100000000000001" customHeight="1" x14ac:dyDescent="0.25">
      <c r="A328" s="39"/>
      <c r="B328" s="40"/>
      <c r="C328" s="52"/>
      <c r="D328" s="19"/>
      <c r="E328" s="42"/>
      <c r="F328" s="42"/>
      <c r="G328" s="42"/>
      <c r="H328" s="42"/>
      <c r="I328" s="42"/>
      <c r="J328" s="42"/>
      <c r="K328" s="42"/>
      <c r="L328" s="42"/>
      <c r="M328" s="42"/>
      <c r="N328" s="52"/>
    </row>
    <row r="329" spans="1:14" ht="20.100000000000001" customHeight="1" x14ac:dyDescent="0.25">
      <c r="A329" s="39"/>
      <c r="B329" s="40"/>
      <c r="C329" s="52"/>
      <c r="D329" s="19"/>
      <c r="E329" s="42"/>
      <c r="F329" s="42"/>
      <c r="G329" s="42"/>
      <c r="H329" s="42"/>
      <c r="I329" s="42"/>
      <c r="J329" s="42"/>
      <c r="K329" s="42"/>
      <c r="L329" s="42"/>
      <c r="M329" s="42"/>
      <c r="N329" s="52"/>
    </row>
    <row r="330" spans="1:14" ht="20.100000000000001" customHeight="1" x14ac:dyDescent="0.25">
      <c r="A330" s="39"/>
      <c r="B330" s="40"/>
      <c r="C330" s="52"/>
      <c r="D330" s="19"/>
      <c r="E330" s="42"/>
      <c r="F330" s="42"/>
      <c r="G330" s="42"/>
      <c r="H330" s="42"/>
      <c r="I330" s="42"/>
      <c r="J330" s="42"/>
      <c r="K330" s="42"/>
      <c r="L330" s="42"/>
      <c r="M330" s="42"/>
      <c r="N330" s="52"/>
    </row>
    <row r="331" spans="1:14" ht="20.100000000000001" customHeight="1" x14ac:dyDescent="0.25">
      <c r="A331" s="39"/>
      <c r="B331" s="40"/>
      <c r="C331" s="52"/>
      <c r="D331" s="19"/>
      <c r="E331" s="42"/>
      <c r="F331" s="42"/>
      <c r="G331" s="42"/>
      <c r="H331" s="42"/>
      <c r="I331" s="42"/>
      <c r="J331" s="42"/>
      <c r="K331" s="42"/>
      <c r="L331" s="42"/>
      <c r="M331" s="42"/>
      <c r="N331" s="52"/>
    </row>
    <row r="332" spans="1:14" ht="20.100000000000001" customHeight="1" x14ac:dyDescent="0.25">
      <c r="A332" s="39"/>
      <c r="B332" s="40"/>
      <c r="C332" s="52"/>
      <c r="D332" s="19"/>
      <c r="E332" s="42"/>
      <c r="F332" s="42"/>
      <c r="G332" s="42"/>
      <c r="H332" s="42"/>
      <c r="I332" s="42"/>
      <c r="J332" s="42"/>
      <c r="K332" s="42"/>
      <c r="L332" s="42"/>
      <c r="M332" s="42"/>
      <c r="N332" s="52"/>
    </row>
    <row r="333" spans="1:14" ht="20.100000000000001" customHeight="1" x14ac:dyDescent="0.25">
      <c r="A333" s="39"/>
      <c r="B333" s="40"/>
      <c r="C333" s="52"/>
      <c r="D333" s="19"/>
      <c r="E333" s="42"/>
      <c r="F333" s="42"/>
      <c r="G333" s="42"/>
      <c r="H333" s="42"/>
      <c r="I333" s="42"/>
      <c r="J333" s="42"/>
      <c r="K333" s="42"/>
      <c r="L333" s="42"/>
      <c r="M333" s="42"/>
      <c r="N333" s="52"/>
    </row>
    <row r="334" spans="1:14" ht="20.100000000000001" customHeight="1" x14ac:dyDescent="0.25">
      <c r="A334" s="39"/>
      <c r="B334" s="40"/>
      <c r="C334" s="52"/>
      <c r="D334" s="19"/>
      <c r="E334" s="42"/>
      <c r="F334" s="42"/>
      <c r="G334" s="42"/>
      <c r="H334" s="42"/>
      <c r="I334" s="42"/>
      <c r="J334" s="42"/>
      <c r="K334" s="42"/>
      <c r="L334" s="42"/>
      <c r="M334" s="42"/>
      <c r="N334" s="52"/>
    </row>
    <row r="335" spans="1:14" ht="20.100000000000001" customHeight="1" x14ac:dyDescent="0.25">
      <c r="A335" s="39"/>
      <c r="B335" s="40"/>
      <c r="C335" s="52"/>
      <c r="D335" s="19"/>
      <c r="E335" s="42"/>
      <c r="F335" s="42"/>
      <c r="G335" s="42"/>
      <c r="H335" s="42"/>
      <c r="I335" s="42"/>
      <c r="J335" s="42"/>
      <c r="K335" s="42"/>
      <c r="L335" s="42"/>
      <c r="M335" s="42"/>
      <c r="N335" s="52"/>
    </row>
    <row r="336" spans="1:14" ht="20.100000000000001" customHeight="1" x14ac:dyDescent="0.25">
      <c r="A336" s="39"/>
      <c r="B336" s="40"/>
      <c r="C336" s="52"/>
      <c r="D336" s="19"/>
      <c r="E336" s="42"/>
      <c r="F336" s="42"/>
      <c r="G336" s="42"/>
      <c r="H336" s="42"/>
      <c r="I336" s="42"/>
      <c r="J336" s="42"/>
      <c r="K336" s="42"/>
      <c r="L336" s="42"/>
      <c r="M336" s="42"/>
      <c r="N336" s="52"/>
    </row>
    <row r="337" spans="1:14" ht="20.100000000000001" customHeight="1" x14ac:dyDescent="0.25">
      <c r="A337" s="39"/>
      <c r="B337" s="40"/>
      <c r="C337" s="52"/>
      <c r="D337" s="19"/>
      <c r="E337" s="42"/>
      <c r="F337" s="42"/>
      <c r="G337" s="42"/>
      <c r="H337" s="42"/>
      <c r="I337" s="42"/>
      <c r="J337" s="42"/>
      <c r="K337" s="42"/>
      <c r="L337" s="42"/>
      <c r="M337" s="42"/>
      <c r="N337" s="52"/>
    </row>
    <row r="338" spans="1:14" ht="20.100000000000001" customHeight="1" x14ac:dyDescent="0.25">
      <c r="A338" s="39"/>
      <c r="B338" s="40"/>
      <c r="C338" s="52"/>
      <c r="D338" s="19"/>
      <c r="E338" s="42"/>
      <c r="F338" s="42"/>
      <c r="G338" s="42"/>
      <c r="H338" s="42"/>
      <c r="I338" s="42"/>
      <c r="J338" s="42"/>
      <c r="K338" s="42"/>
      <c r="L338" s="42"/>
      <c r="M338" s="42"/>
      <c r="N338" s="52"/>
    </row>
    <row r="339" spans="1:14" ht="20.100000000000001" customHeight="1" x14ac:dyDescent="0.25">
      <c r="A339" s="39"/>
      <c r="B339" s="40"/>
      <c r="C339" s="52"/>
      <c r="D339" s="19"/>
      <c r="E339" s="42"/>
      <c r="F339" s="42"/>
      <c r="G339" s="42"/>
      <c r="H339" s="42"/>
      <c r="I339" s="42"/>
      <c r="J339" s="42"/>
      <c r="K339" s="42"/>
      <c r="L339" s="42"/>
      <c r="M339" s="42"/>
      <c r="N339" s="52"/>
    </row>
    <row r="340" spans="1:14" ht="20.100000000000001" customHeight="1" x14ac:dyDescent="0.25">
      <c r="A340" s="39"/>
      <c r="B340" s="40"/>
      <c r="C340" s="52"/>
      <c r="D340" s="19"/>
      <c r="E340" s="42"/>
      <c r="F340" s="42"/>
      <c r="G340" s="42"/>
      <c r="H340" s="42"/>
      <c r="I340" s="42"/>
      <c r="J340" s="42"/>
      <c r="K340" s="42"/>
      <c r="L340" s="42"/>
      <c r="M340" s="42"/>
      <c r="N340" s="52"/>
    </row>
    <row r="341" spans="1:14" ht="20.100000000000001" customHeight="1" x14ac:dyDescent="0.25">
      <c r="A341" s="39"/>
      <c r="B341" s="40"/>
      <c r="C341" s="52"/>
      <c r="D341" s="19"/>
      <c r="E341" s="42"/>
      <c r="F341" s="42"/>
      <c r="G341" s="42"/>
      <c r="H341" s="42"/>
      <c r="I341" s="42"/>
      <c r="J341" s="42"/>
      <c r="K341" s="42"/>
      <c r="L341" s="42"/>
      <c r="M341" s="42"/>
      <c r="N341" s="52"/>
    </row>
    <row r="342" spans="1:14" ht="20.100000000000001" customHeight="1" x14ac:dyDescent="0.25">
      <c r="A342" s="39"/>
      <c r="B342" s="40"/>
      <c r="C342" s="52"/>
      <c r="D342" s="19"/>
      <c r="E342" s="42"/>
      <c r="F342" s="42"/>
      <c r="G342" s="42"/>
      <c r="H342" s="42"/>
      <c r="I342" s="42"/>
      <c r="J342" s="42"/>
      <c r="K342" s="42"/>
      <c r="L342" s="42"/>
      <c r="M342" s="42"/>
      <c r="N342" s="52"/>
    </row>
    <row r="343" spans="1:14" ht="20.100000000000001" customHeight="1" x14ac:dyDescent="0.25">
      <c r="A343" s="39"/>
      <c r="B343" s="40"/>
      <c r="C343" s="52"/>
      <c r="D343" s="19"/>
      <c r="E343" s="42"/>
      <c r="F343" s="42"/>
      <c r="G343" s="42"/>
      <c r="H343" s="42"/>
      <c r="I343" s="42"/>
      <c r="J343" s="42"/>
      <c r="K343" s="42"/>
      <c r="L343" s="42"/>
      <c r="M343" s="42"/>
      <c r="N343" s="52"/>
    </row>
    <row r="344" spans="1:14" ht="20.100000000000001" customHeight="1" x14ac:dyDescent="0.25">
      <c r="A344" s="39"/>
      <c r="B344" s="40"/>
      <c r="C344" s="52"/>
      <c r="D344" s="19"/>
      <c r="E344" s="42"/>
      <c r="F344" s="42"/>
      <c r="G344" s="42"/>
      <c r="H344" s="42"/>
      <c r="I344" s="42"/>
      <c r="J344" s="42"/>
      <c r="K344" s="42"/>
      <c r="L344" s="42"/>
      <c r="M344" s="42"/>
      <c r="N344" s="52"/>
    </row>
    <row r="345" spans="1:14" ht="20.100000000000001" customHeight="1" x14ac:dyDescent="0.25">
      <c r="A345" s="39"/>
      <c r="B345" s="40"/>
      <c r="C345" s="52"/>
      <c r="D345" s="19"/>
      <c r="E345" s="42"/>
      <c r="F345" s="42"/>
      <c r="G345" s="42"/>
      <c r="H345" s="42"/>
      <c r="I345" s="42"/>
      <c r="J345" s="42"/>
      <c r="K345" s="42"/>
      <c r="L345" s="42"/>
      <c r="M345" s="42"/>
      <c r="N345" s="52"/>
    </row>
    <row r="346" spans="1:14" ht="20.100000000000001" customHeight="1" x14ac:dyDescent="0.25">
      <c r="A346" s="39"/>
      <c r="B346" s="40"/>
      <c r="C346" s="52"/>
      <c r="D346" s="19"/>
      <c r="E346" s="42"/>
      <c r="F346" s="42"/>
      <c r="G346" s="42"/>
      <c r="H346" s="42"/>
      <c r="I346" s="42"/>
      <c r="J346" s="42"/>
      <c r="K346" s="42"/>
      <c r="L346" s="42"/>
      <c r="M346" s="42"/>
      <c r="N346" s="52"/>
    </row>
    <row r="347" spans="1:14" ht="20.100000000000001" customHeight="1" x14ac:dyDescent="0.25">
      <c r="A347" s="39"/>
      <c r="B347" s="40"/>
      <c r="C347" s="52"/>
      <c r="D347" s="19"/>
      <c r="E347" s="42"/>
      <c r="F347" s="42"/>
      <c r="G347" s="42"/>
      <c r="H347" s="42"/>
      <c r="I347" s="42"/>
      <c r="J347" s="42"/>
      <c r="K347" s="42"/>
      <c r="L347" s="42"/>
      <c r="M347" s="42"/>
      <c r="N347" s="52"/>
    </row>
    <row r="348" spans="1:14" ht="20.100000000000001" customHeight="1" x14ac:dyDescent="0.25">
      <c r="A348" s="39"/>
      <c r="B348" s="40"/>
      <c r="C348" s="52"/>
      <c r="D348" s="19"/>
      <c r="E348" s="42"/>
      <c r="F348" s="42"/>
      <c r="G348" s="42"/>
      <c r="H348" s="42"/>
      <c r="I348" s="42"/>
      <c r="J348" s="42"/>
      <c r="K348" s="42"/>
      <c r="L348" s="42"/>
      <c r="M348" s="42"/>
      <c r="N348" s="52"/>
    </row>
    <row r="349" spans="1:14" ht="20.100000000000001" customHeight="1" x14ac:dyDescent="0.25">
      <c r="A349" s="39"/>
      <c r="B349" s="40"/>
      <c r="C349" s="52"/>
      <c r="D349" s="19"/>
      <c r="E349" s="42"/>
      <c r="F349" s="42"/>
      <c r="G349" s="42"/>
      <c r="H349" s="42"/>
      <c r="I349" s="42"/>
      <c r="J349" s="42"/>
      <c r="K349" s="42"/>
      <c r="L349" s="42"/>
      <c r="M349" s="42"/>
      <c r="N349" s="52"/>
    </row>
    <row r="350" spans="1:14" ht="20.100000000000001" customHeight="1" x14ac:dyDescent="0.25">
      <c r="A350" s="39"/>
      <c r="B350" s="40"/>
      <c r="C350" s="52"/>
      <c r="D350" s="19"/>
      <c r="E350" s="42"/>
      <c r="F350" s="42"/>
      <c r="G350" s="42"/>
      <c r="H350" s="42"/>
      <c r="I350" s="42"/>
      <c r="J350" s="42"/>
      <c r="K350" s="42"/>
      <c r="L350" s="42"/>
      <c r="M350" s="42"/>
      <c r="N350" s="52"/>
    </row>
    <row r="351" spans="1:14" ht="20.100000000000001" customHeight="1" x14ac:dyDescent="0.25">
      <c r="A351" s="39"/>
      <c r="B351" s="40"/>
      <c r="C351" s="52"/>
      <c r="D351" s="19"/>
      <c r="E351" s="42"/>
      <c r="F351" s="42"/>
      <c r="G351" s="42"/>
      <c r="H351" s="42"/>
      <c r="I351" s="42"/>
      <c r="J351" s="42"/>
      <c r="K351" s="42"/>
      <c r="L351" s="42"/>
      <c r="M351" s="42"/>
      <c r="N351" s="52"/>
    </row>
    <row r="352" spans="1:14" ht="20.100000000000001" customHeight="1" x14ac:dyDescent="0.25">
      <c r="A352" s="39"/>
      <c r="B352" s="40"/>
      <c r="C352" s="52"/>
      <c r="D352" s="19"/>
      <c r="E352" s="42"/>
      <c r="F352" s="42"/>
      <c r="G352" s="42"/>
      <c r="H352" s="42"/>
      <c r="I352" s="42"/>
      <c r="J352" s="42"/>
      <c r="K352" s="42"/>
      <c r="L352" s="42"/>
      <c r="M352" s="42"/>
      <c r="N352" s="52"/>
    </row>
    <row r="353" spans="1:14" ht="20.100000000000001" customHeight="1" x14ac:dyDescent="0.25">
      <c r="A353" s="39"/>
      <c r="B353" s="40"/>
      <c r="C353" s="52"/>
      <c r="D353" s="19"/>
      <c r="E353" s="42"/>
      <c r="F353" s="42"/>
      <c r="G353" s="42"/>
      <c r="H353" s="42"/>
      <c r="I353" s="42"/>
      <c r="J353" s="42"/>
      <c r="K353" s="42"/>
      <c r="L353" s="42"/>
      <c r="M353" s="42"/>
      <c r="N353" s="52"/>
    </row>
    <row r="354" spans="1:14" ht="20.100000000000001" customHeight="1" x14ac:dyDescent="0.25">
      <c r="A354" s="39"/>
      <c r="B354" s="40"/>
      <c r="C354" s="52"/>
      <c r="D354" s="19"/>
      <c r="E354" s="42"/>
      <c r="F354" s="42"/>
      <c r="G354" s="42"/>
      <c r="H354" s="42"/>
      <c r="I354" s="42"/>
      <c r="J354" s="42"/>
      <c r="K354" s="42"/>
      <c r="L354" s="42"/>
      <c r="M354" s="42"/>
      <c r="N354" s="52"/>
    </row>
    <row r="355" spans="1:14" ht="20.100000000000001" customHeight="1" x14ac:dyDescent="0.25">
      <c r="A355" s="39"/>
      <c r="B355" s="40"/>
      <c r="C355" s="52"/>
      <c r="D355" s="19"/>
      <c r="E355" s="42"/>
      <c r="F355" s="42"/>
      <c r="G355" s="42"/>
      <c r="H355" s="42"/>
      <c r="I355" s="42"/>
      <c r="J355" s="42"/>
      <c r="K355" s="42"/>
      <c r="L355" s="42"/>
      <c r="M355" s="42"/>
      <c r="N355" s="52"/>
    </row>
    <row r="356" spans="1:14" ht="20.100000000000001" customHeight="1" x14ac:dyDescent="0.25">
      <c r="A356" s="39"/>
      <c r="B356" s="40"/>
      <c r="C356" s="52"/>
      <c r="D356" s="19"/>
      <c r="E356" s="42"/>
      <c r="F356" s="42"/>
      <c r="G356" s="42"/>
      <c r="H356" s="42"/>
      <c r="I356" s="42"/>
      <c r="J356" s="42"/>
      <c r="K356" s="42"/>
      <c r="L356" s="42"/>
      <c r="M356" s="42"/>
      <c r="N356" s="52"/>
    </row>
    <row r="357" spans="1:14" ht="20.100000000000001" customHeight="1" x14ac:dyDescent="0.25">
      <c r="A357" s="39"/>
      <c r="B357" s="40"/>
      <c r="C357" s="52"/>
      <c r="D357" s="19"/>
      <c r="E357" s="42"/>
      <c r="F357" s="42"/>
      <c r="G357" s="42"/>
      <c r="H357" s="42"/>
      <c r="I357" s="42"/>
      <c r="J357" s="42"/>
      <c r="K357" s="42"/>
      <c r="L357" s="42"/>
      <c r="M357" s="42"/>
      <c r="N357" s="52"/>
    </row>
    <row r="358" spans="1:14" ht="20.100000000000001" customHeight="1" x14ac:dyDescent="0.25">
      <c r="A358" s="39"/>
      <c r="B358" s="40"/>
      <c r="C358" s="52"/>
      <c r="D358" s="19"/>
      <c r="E358" s="42"/>
      <c r="F358" s="42"/>
      <c r="G358" s="42"/>
      <c r="H358" s="42"/>
      <c r="I358" s="42"/>
      <c r="J358" s="42"/>
      <c r="K358" s="42"/>
      <c r="L358" s="42"/>
      <c r="M358" s="42"/>
      <c r="N358" s="52"/>
    </row>
    <row r="359" spans="1:14" ht="20.100000000000001" customHeight="1" x14ac:dyDescent="0.25">
      <c r="A359" s="39"/>
      <c r="B359" s="40"/>
      <c r="C359" s="52"/>
      <c r="D359" s="19"/>
      <c r="E359" s="42"/>
      <c r="F359" s="42"/>
      <c r="G359" s="42"/>
      <c r="H359" s="42"/>
      <c r="I359" s="42"/>
      <c r="J359" s="42"/>
      <c r="K359" s="42"/>
      <c r="L359" s="42"/>
      <c r="M359" s="42"/>
      <c r="N359" s="52"/>
    </row>
    <row r="360" spans="1:14" ht="20.100000000000001" customHeight="1" x14ac:dyDescent="0.25">
      <c r="A360" s="39"/>
      <c r="B360" s="40"/>
      <c r="C360" s="52"/>
      <c r="D360" s="19"/>
      <c r="E360" s="42"/>
      <c r="F360" s="42"/>
      <c r="G360" s="42"/>
      <c r="H360" s="42"/>
      <c r="I360" s="42"/>
      <c r="J360" s="42"/>
      <c r="K360" s="42"/>
      <c r="L360" s="42"/>
      <c r="M360" s="42"/>
      <c r="N360" s="52"/>
    </row>
    <row r="361" spans="1:14" ht="20.100000000000001" customHeight="1" x14ac:dyDescent="0.25">
      <c r="A361" s="39"/>
      <c r="B361" s="40"/>
      <c r="C361" s="52"/>
      <c r="D361" s="19"/>
      <c r="E361" s="42"/>
      <c r="F361" s="42"/>
      <c r="G361" s="42"/>
      <c r="H361" s="42"/>
      <c r="I361" s="42"/>
      <c r="J361" s="42"/>
      <c r="K361" s="42"/>
      <c r="L361" s="42"/>
      <c r="M361" s="42"/>
      <c r="N361" s="52"/>
    </row>
    <row r="362" spans="1:14" ht="20.100000000000001" customHeight="1" x14ac:dyDescent="0.25">
      <c r="A362" s="39"/>
      <c r="B362" s="40"/>
      <c r="C362" s="52"/>
      <c r="D362" s="19"/>
      <c r="E362" s="42"/>
      <c r="F362" s="42"/>
      <c r="G362" s="42"/>
      <c r="H362" s="42"/>
      <c r="I362" s="42"/>
      <c r="J362" s="42"/>
      <c r="K362" s="42"/>
      <c r="L362" s="42"/>
      <c r="M362" s="42"/>
      <c r="N362" s="52"/>
    </row>
    <row r="363" spans="1:14" ht="20.100000000000001" customHeight="1" x14ac:dyDescent="0.25">
      <c r="A363" s="39"/>
      <c r="B363" s="40"/>
      <c r="C363" s="52"/>
      <c r="D363" s="19"/>
      <c r="E363" s="42"/>
      <c r="F363" s="42"/>
      <c r="G363" s="42"/>
      <c r="H363" s="42"/>
      <c r="I363" s="42"/>
      <c r="J363" s="42"/>
      <c r="K363" s="42"/>
      <c r="L363" s="42"/>
      <c r="M363" s="42"/>
      <c r="N363" s="52"/>
    </row>
    <row r="364" spans="1:14" ht="20.100000000000001" customHeight="1" x14ac:dyDescent="0.25">
      <c r="A364" s="39"/>
      <c r="B364" s="40"/>
      <c r="C364" s="52"/>
      <c r="D364" s="19"/>
      <c r="E364" s="42"/>
      <c r="F364" s="42"/>
      <c r="G364" s="42"/>
      <c r="H364" s="42"/>
      <c r="I364" s="42"/>
      <c r="J364" s="42"/>
      <c r="K364" s="42"/>
      <c r="L364" s="42"/>
      <c r="M364" s="42"/>
      <c r="N364" s="52"/>
    </row>
    <row r="365" spans="1:14" ht="20.100000000000001" customHeight="1" x14ac:dyDescent="0.25">
      <c r="A365" s="39"/>
      <c r="B365" s="40"/>
      <c r="C365" s="52"/>
      <c r="D365" s="19"/>
      <c r="E365" s="42"/>
      <c r="F365" s="42"/>
      <c r="G365" s="42"/>
      <c r="H365" s="42"/>
      <c r="I365" s="42"/>
      <c r="J365" s="42"/>
      <c r="K365" s="42"/>
      <c r="L365" s="42"/>
      <c r="M365" s="42"/>
      <c r="N365" s="52" t="str">
        <f t="shared" ref="N232:N367" si="87">CONCATENATE("(",A365,",'",B365,"','",C365,"','",TEXT(D365,"aaaa-mm-jj"),"','",TEXT(E365,"aaaa-mm-jj"),"',",F365,",",G365,",",H365,"),")</f>
        <v>(,'','','Saturday-01-jj','Saturday-01-jj',,,),</v>
      </c>
    </row>
    <row r="366" spans="1:14" ht="20.100000000000001" customHeight="1" x14ac:dyDescent="0.25">
      <c r="A366" s="39"/>
      <c r="B366" s="40"/>
      <c r="C366" s="52"/>
      <c r="D366" s="19"/>
      <c r="E366" s="42"/>
      <c r="F366" s="42"/>
      <c r="G366" s="42"/>
      <c r="H366" s="42"/>
      <c r="I366" s="42"/>
      <c r="J366" s="42"/>
      <c r="K366" s="42"/>
      <c r="L366" s="42"/>
      <c r="M366" s="42"/>
      <c r="N366" s="52" t="str">
        <f t="shared" si="87"/>
        <v>(,'','','Saturday-01-jj','Saturday-01-jj',,,),</v>
      </c>
    </row>
    <row r="367" spans="1:14" ht="20.100000000000001" customHeight="1" x14ac:dyDescent="0.25">
      <c r="A367" s="39"/>
      <c r="B367" s="40"/>
      <c r="C367" s="52"/>
      <c r="D367" s="19"/>
      <c r="E367" s="42"/>
      <c r="F367" s="42"/>
      <c r="G367" s="42"/>
      <c r="H367" s="42"/>
      <c r="I367" s="42"/>
      <c r="J367" s="42"/>
      <c r="K367" s="42"/>
      <c r="L367" s="42"/>
      <c r="M367" s="42"/>
      <c r="N367" s="52" t="str">
        <f t="shared" si="87"/>
        <v>(,'','','Saturday-01-jj','Saturday-01-jj',,,),</v>
      </c>
    </row>
  </sheetData>
  <autoFilter ref="A1:N368"/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237"/>
  <sheetViews>
    <sheetView zoomScaleNormal="100" workbookViewId="0">
      <selection activeCell="I15" sqref="I15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2" bestFit="1" customWidth="1"/>
    <col min="3" max="3" width="33.8554687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6.5703125" style="2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716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/>
      <c r="C3" s="52"/>
      <c r="D3" s="19"/>
      <c r="E3" s="19"/>
      <c r="F3" s="42"/>
      <c r="G3" s="42"/>
      <c r="H3" s="42"/>
      <c r="I3" s="42" t="s">
        <v>324</v>
      </c>
      <c r="J3" s="42" t="s">
        <v>748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769</v>
      </c>
      <c r="N3" s="52" t="str">
        <f t="shared" ref="N3:N66" si="0">CONCATENATE("(",A3,",'",B3,"','",C3,"','",TEXT(D3,"aaaa-mm-jj"),"','",TEXT(E3,"aaaa-mm-jj"),"',",F3,",",G3,",",H3,"),")</f>
        <v>(1,'','','1900-01-00','1900-01-00',,,),</v>
      </c>
    </row>
    <row r="4" spans="1:14" ht="20.100000000000001" customHeight="1" x14ac:dyDescent="0.25">
      <c r="A4" s="39">
        <v>2</v>
      </c>
      <c r="B4" s="48"/>
      <c r="C4" s="52"/>
      <c r="D4" s="19"/>
      <c r="E4" s="19"/>
      <c r="F4" s="42"/>
      <c r="G4" s="42"/>
      <c r="H4" s="42"/>
      <c r="I4" s="42"/>
      <c r="J4" s="42"/>
      <c r="K4" s="53"/>
      <c r="L4" s="44"/>
      <c r="M4" s="42"/>
      <c r="N4" s="52" t="str">
        <f t="shared" si="0"/>
        <v>(2,'','','1900-01-00','1900-01-00',,,),</v>
      </c>
    </row>
    <row r="5" spans="1:14" ht="20.100000000000001" customHeight="1" x14ac:dyDescent="0.25">
      <c r="A5" s="39">
        <v>3</v>
      </c>
      <c r="B5" s="48"/>
      <c r="C5" s="52"/>
      <c r="D5" s="19"/>
      <c r="E5" s="19"/>
      <c r="F5" s="42"/>
      <c r="G5" s="42"/>
      <c r="H5" s="42"/>
      <c r="I5" s="42"/>
      <c r="J5" s="42"/>
      <c r="K5" s="53"/>
      <c r="L5" s="44"/>
      <c r="M5" s="42"/>
      <c r="N5" s="52" t="str">
        <f t="shared" si="0"/>
        <v>(3,'','','1900-01-00','1900-01-00',,,),</v>
      </c>
    </row>
    <row r="6" spans="1:14" ht="20.100000000000001" customHeight="1" x14ac:dyDescent="0.25">
      <c r="A6" s="39">
        <v>4</v>
      </c>
      <c r="B6" s="48"/>
      <c r="C6" s="52"/>
      <c r="D6" s="19"/>
      <c r="E6" s="19"/>
      <c r="F6" s="42"/>
      <c r="G6" s="42"/>
      <c r="H6" s="42"/>
      <c r="I6" s="42"/>
      <c r="J6" s="42"/>
      <c r="K6" s="53"/>
      <c r="L6" s="44"/>
      <c r="M6" s="42"/>
      <c r="N6" s="52" t="str">
        <f t="shared" si="0"/>
        <v>(4,'','','1900-01-00','1900-01-00',,,),</v>
      </c>
    </row>
    <row r="7" spans="1:14" ht="20.100000000000001" customHeight="1" x14ac:dyDescent="0.25">
      <c r="A7" s="39">
        <v>5</v>
      </c>
      <c r="B7" s="48"/>
      <c r="C7" s="52"/>
      <c r="D7" s="19"/>
      <c r="E7" s="19"/>
      <c r="F7" s="42"/>
      <c r="G7" s="42"/>
      <c r="H7" s="42"/>
      <c r="I7" s="42"/>
      <c r="J7" s="42"/>
      <c r="K7" s="53"/>
      <c r="L7" s="44"/>
      <c r="M7" s="42"/>
      <c r="N7" s="52" t="str">
        <f t="shared" si="0"/>
        <v>(5,'','','1900-01-00','1900-01-00',,,),</v>
      </c>
    </row>
    <row r="8" spans="1:14" ht="20.100000000000001" customHeight="1" x14ac:dyDescent="0.25">
      <c r="A8" s="39">
        <v>6</v>
      </c>
      <c r="B8" s="48"/>
      <c r="C8" s="52"/>
      <c r="D8" s="19"/>
      <c r="E8" s="19"/>
      <c r="F8" s="42"/>
      <c r="G8" s="42"/>
      <c r="H8" s="42"/>
      <c r="I8" s="42"/>
      <c r="J8" s="42"/>
      <c r="K8" s="53"/>
      <c r="L8" s="44"/>
      <c r="M8" s="42"/>
      <c r="N8" s="52" t="str">
        <f t="shared" si="0"/>
        <v>(6,'','','1900-01-00','1900-01-00',,,),</v>
      </c>
    </row>
    <row r="9" spans="1:14" ht="20.100000000000001" customHeight="1" x14ac:dyDescent="0.25">
      <c r="A9" s="39">
        <v>7</v>
      </c>
      <c r="B9" s="48"/>
      <c r="C9" s="52"/>
      <c r="D9" s="19"/>
      <c r="E9" s="19"/>
      <c r="F9" s="42"/>
      <c r="G9" s="42"/>
      <c r="H9" s="42"/>
      <c r="I9" s="42"/>
      <c r="J9" s="42"/>
      <c r="K9" s="53"/>
      <c r="L9" s="44"/>
      <c r="M9" s="42"/>
      <c r="N9" s="52" t="str">
        <f t="shared" si="0"/>
        <v>(7,'','','1900-01-00','1900-01-00',,,),</v>
      </c>
    </row>
    <row r="10" spans="1:14" ht="20.100000000000001" customHeight="1" x14ac:dyDescent="0.25">
      <c r="A10" s="39">
        <v>8</v>
      </c>
      <c r="B10" s="48"/>
      <c r="C10" s="52"/>
      <c r="D10" s="19"/>
      <c r="E10" s="19"/>
      <c r="F10" s="42"/>
      <c r="G10" s="42"/>
      <c r="H10" s="42"/>
      <c r="I10" s="42"/>
      <c r="J10" s="42"/>
      <c r="K10" s="53"/>
      <c r="L10" s="44"/>
      <c r="M10" s="42"/>
      <c r="N10" s="52" t="str">
        <f t="shared" si="0"/>
        <v>(8,'','','1900-01-00','1900-01-00',,,),</v>
      </c>
    </row>
    <row r="11" spans="1:14" ht="20.100000000000001" customHeight="1" x14ac:dyDescent="0.25">
      <c r="A11" s="39">
        <v>9</v>
      </c>
      <c r="B11" s="48"/>
      <c r="C11" s="52"/>
      <c r="D11" s="19"/>
      <c r="E11" s="19"/>
      <c r="F11" s="42"/>
      <c r="G11" s="42"/>
      <c r="H11" s="42"/>
      <c r="I11" s="42"/>
      <c r="J11" s="42"/>
      <c r="K11" s="53"/>
      <c r="L11" s="44"/>
      <c r="M11" s="42"/>
      <c r="N11" s="52" t="str">
        <f t="shared" si="0"/>
        <v>(9,'','','1900-01-00','1900-01-00',,,),</v>
      </c>
    </row>
    <row r="12" spans="1:14" ht="20.100000000000001" customHeight="1" x14ac:dyDescent="0.25">
      <c r="A12" s="39">
        <v>10</v>
      </c>
      <c r="B12" s="48"/>
      <c r="C12" s="52"/>
      <c r="D12" s="19"/>
      <c r="E12" s="19"/>
      <c r="F12" s="42"/>
      <c r="G12" s="42"/>
      <c r="H12" s="42"/>
      <c r="I12" s="42"/>
      <c r="J12" s="42"/>
      <c r="K12" s="53"/>
      <c r="L12" s="44"/>
      <c r="M12" s="42"/>
      <c r="N12" s="52" t="str">
        <f t="shared" si="0"/>
        <v>(10,'','','1900-01-00','1900-01-00',,,),</v>
      </c>
    </row>
    <row r="13" spans="1:14" ht="20.100000000000001" customHeight="1" x14ac:dyDescent="0.25">
      <c r="A13" s="39">
        <v>11</v>
      </c>
      <c r="B13" s="48"/>
      <c r="C13" s="52"/>
      <c r="D13" s="19"/>
      <c r="E13" s="19"/>
      <c r="F13" s="42"/>
      <c r="G13" s="42"/>
      <c r="H13" s="42"/>
      <c r="I13" s="42"/>
      <c r="J13" s="42"/>
      <c r="K13" s="53"/>
      <c r="L13" s="44"/>
      <c r="M13" s="42"/>
      <c r="N13" s="52" t="str">
        <f t="shared" si="0"/>
        <v>(11,'','','1900-01-00','1900-01-00',,,),</v>
      </c>
    </row>
    <row r="14" spans="1:14" ht="20.100000000000001" customHeight="1" x14ac:dyDescent="0.25">
      <c r="A14" s="39">
        <v>12</v>
      </c>
      <c r="B14" s="48"/>
      <c r="C14" s="52"/>
      <c r="D14" s="19"/>
      <c r="E14" s="19"/>
      <c r="F14" s="42"/>
      <c r="G14" s="42"/>
      <c r="H14" s="42"/>
      <c r="I14" s="42"/>
      <c r="J14" s="42"/>
      <c r="K14" s="53"/>
      <c r="L14" s="44"/>
      <c r="M14" s="42"/>
      <c r="N14" s="52" t="str">
        <f t="shared" si="0"/>
        <v>(12,'','','1900-01-00','1900-01-00',,,),</v>
      </c>
    </row>
    <row r="15" spans="1:14" ht="20.100000000000001" customHeight="1" x14ac:dyDescent="0.25">
      <c r="A15" s="39">
        <v>13</v>
      </c>
      <c r="B15" s="48"/>
      <c r="C15" s="52"/>
      <c r="D15" s="19"/>
      <c r="E15" s="19"/>
      <c r="F15" s="42"/>
      <c r="G15" s="42"/>
      <c r="H15" s="42"/>
      <c r="I15" s="42"/>
      <c r="J15" s="42"/>
      <c r="K15" s="53"/>
      <c r="L15" s="44"/>
      <c r="M15" s="42"/>
      <c r="N15" s="52" t="str">
        <f t="shared" si="0"/>
        <v>(13,'','','1900-01-00','1900-01-00',,,),</v>
      </c>
    </row>
    <row r="16" spans="1:14" ht="20.100000000000001" customHeight="1" x14ac:dyDescent="0.25">
      <c r="A16" s="39">
        <v>14</v>
      </c>
      <c r="B16" s="48"/>
      <c r="C16" s="52"/>
      <c r="D16" s="19"/>
      <c r="E16" s="19"/>
      <c r="F16" s="42"/>
      <c r="G16" s="42"/>
      <c r="H16" s="42"/>
      <c r="I16" s="42"/>
      <c r="J16" s="42"/>
      <c r="K16" s="53"/>
      <c r="L16" s="44"/>
      <c r="M16" s="42"/>
      <c r="N16" s="52" t="str">
        <f t="shared" si="0"/>
        <v>(14,'','','1900-01-00','1900-01-00',,,),</v>
      </c>
    </row>
    <row r="17" spans="1:14" ht="20.100000000000001" customHeight="1" x14ac:dyDescent="0.25">
      <c r="A17" s="39">
        <v>15</v>
      </c>
      <c r="B17" s="48"/>
      <c r="C17" s="52"/>
      <c r="D17" s="19"/>
      <c r="E17" s="19"/>
      <c r="F17" s="42"/>
      <c r="G17" s="42"/>
      <c r="H17" s="42"/>
      <c r="I17" s="42"/>
      <c r="J17" s="42"/>
      <c r="K17" s="53"/>
      <c r="L17" s="44"/>
      <c r="M17" s="42"/>
      <c r="N17" s="52" t="str">
        <f t="shared" si="0"/>
        <v>(15,'','','1900-01-00','1900-01-00',,,),</v>
      </c>
    </row>
    <row r="18" spans="1:14" ht="20.100000000000001" customHeight="1" x14ac:dyDescent="0.25">
      <c r="A18" s="39">
        <v>16</v>
      </c>
      <c r="B18" s="48"/>
      <c r="C18" s="52"/>
      <c r="D18" s="19"/>
      <c r="E18" s="19"/>
      <c r="F18" s="42"/>
      <c r="G18" s="42"/>
      <c r="H18" s="42"/>
      <c r="I18" s="42"/>
      <c r="J18" s="42"/>
      <c r="K18" s="53"/>
      <c r="L18" s="44"/>
      <c r="M18" s="42"/>
      <c r="N18" s="52" t="str">
        <f t="shared" si="0"/>
        <v>(16,'','','1900-01-00','1900-01-00',,,),</v>
      </c>
    </row>
    <row r="19" spans="1:14" ht="20.100000000000001" customHeight="1" x14ac:dyDescent="0.25">
      <c r="A19" s="39">
        <v>17</v>
      </c>
      <c r="B19" s="48"/>
      <c r="C19" s="52"/>
      <c r="D19" s="19"/>
      <c r="E19" s="19"/>
      <c r="F19" s="42"/>
      <c r="G19" s="42"/>
      <c r="H19" s="42"/>
      <c r="I19" s="42"/>
      <c r="J19" s="42"/>
      <c r="K19" s="53"/>
      <c r="L19" s="44"/>
      <c r="M19" s="42"/>
      <c r="N19" s="52" t="str">
        <f t="shared" si="0"/>
        <v>(17,'','','1900-01-00','1900-01-00',,,),</v>
      </c>
    </row>
    <row r="20" spans="1:14" ht="20.100000000000001" customHeight="1" x14ac:dyDescent="0.25">
      <c r="A20" s="39">
        <v>18</v>
      </c>
      <c r="B20" s="48"/>
      <c r="C20" s="52"/>
      <c r="D20" s="19"/>
      <c r="E20" s="19"/>
      <c r="F20" s="42"/>
      <c r="G20" s="42"/>
      <c r="H20" s="42"/>
      <c r="I20" s="42"/>
      <c r="J20" s="42"/>
      <c r="K20" s="53"/>
      <c r="L20" s="44"/>
      <c r="M20" s="42"/>
      <c r="N20" s="52" t="str">
        <f t="shared" si="0"/>
        <v>(18,'','','1900-01-00','1900-01-00',,,),</v>
      </c>
    </row>
    <row r="21" spans="1:14" ht="20.100000000000001" customHeight="1" x14ac:dyDescent="0.25">
      <c r="A21" s="39">
        <v>19</v>
      </c>
      <c r="B21" s="48"/>
      <c r="C21" s="52"/>
      <c r="D21" s="19"/>
      <c r="E21" s="19"/>
      <c r="F21" s="42"/>
      <c r="G21" s="42"/>
      <c r="H21" s="42"/>
      <c r="I21" s="42"/>
      <c r="J21" s="42"/>
      <c r="K21" s="53"/>
      <c r="L21" s="44"/>
      <c r="M21" s="42"/>
      <c r="N21" s="52" t="str">
        <f t="shared" si="0"/>
        <v>(19,'','','1900-01-00','1900-01-00',,,),</v>
      </c>
    </row>
    <row r="22" spans="1:14" ht="20.100000000000001" customHeight="1" x14ac:dyDescent="0.25">
      <c r="A22" s="39">
        <v>20</v>
      </c>
      <c r="B22" s="48"/>
      <c r="C22" s="52"/>
      <c r="D22" s="19"/>
      <c r="E22" s="19"/>
      <c r="F22" s="42"/>
      <c r="G22" s="42"/>
      <c r="H22" s="42"/>
      <c r="I22" s="42"/>
      <c r="J22" s="42"/>
      <c r="K22" s="53"/>
      <c r="L22" s="44"/>
      <c r="M22" s="42"/>
      <c r="N22" s="52" t="str">
        <f t="shared" si="0"/>
        <v>(20,'','','1900-01-00','1900-01-00',,,),</v>
      </c>
    </row>
    <row r="23" spans="1:14" ht="20.100000000000001" customHeight="1" x14ac:dyDescent="0.25">
      <c r="A23" s="39">
        <v>21</v>
      </c>
      <c r="B23" s="48"/>
      <c r="C23" s="52"/>
      <c r="D23" s="19"/>
      <c r="E23" s="19"/>
      <c r="F23" s="42"/>
      <c r="G23" s="42"/>
      <c r="H23" s="42"/>
      <c r="I23" s="42"/>
      <c r="J23" s="42"/>
      <c r="K23" s="53"/>
      <c r="L23" s="44"/>
      <c r="M23" s="42"/>
      <c r="N23" s="52" t="str">
        <f t="shared" si="0"/>
        <v>(21,'','','1900-01-00','1900-01-00',,,),</v>
      </c>
    </row>
    <row r="24" spans="1:14" ht="20.100000000000001" customHeight="1" x14ac:dyDescent="0.25">
      <c r="A24" s="39">
        <v>1</v>
      </c>
      <c r="B24" s="48"/>
      <c r="C24" s="52"/>
      <c r="D24" s="19"/>
      <c r="E24" s="19"/>
      <c r="F24" s="42"/>
      <c r="G24" s="42"/>
      <c r="H24" s="42"/>
      <c r="I24" s="42"/>
      <c r="J24" s="42"/>
      <c r="K24" s="53"/>
      <c r="L24" s="44"/>
      <c r="M24" s="42"/>
      <c r="N24" s="52" t="str">
        <f t="shared" si="0"/>
        <v>(1,'','','1900-01-00','1900-01-00',,,),</v>
      </c>
    </row>
    <row r="25" spans="1:14" ht="20.100000000000001" customHeight="1" x14ac:dyDescent="0.25">
      <c r="A25" s="39">
        <v>2</v>
      </c>
      <c r="B25" s="48"/>
      <c r="C25" s="52"/>
      <c r="D25" s="19"/>
      <c r="E25" s="19"/>
      <c r="F25" s="42"/>
      <c r="G25" s="42"/>
      <c r="H25" s="42"/>
      <c r="I25" s="42"/>
      <c r="J25" s="42"/>
      <c r="K25" s="53"/>
      <c r="L25" s="44"/>
      <c r="M25" s="42"/>
      <c r="N25" s="52" t="str">
        <f t="shared" si="0"/>
        <v>(2,'','','1900-01-00','1900-01-00',,,),</v>
      </c>
    </row>
    <row r="26" spans="1:14" ht="20.100000000000001" customHeight="1" x14ac:dyDescent="0.25">
      <c r="A26" s="39">
        <v>3</v>
      </c>
      <c r="B26" s="48"/>
      <c r="C26" s="52"/>
      <c r="D26" s="19"/>
      <c r="E26" s="19"/>
      <c r="F26" s="42"/>
      <c r="G26" s="42"/>
      <c r="H26" s="42"/>
      <c r="I26" s="42"/>
      <c r="J26" s="42"/>
      <c r="K26" s="53"/>
      <c r="L26" s="44"/>
      <c r="M26" s="42"/>
      <c r="N26" s="52" t="str">
        <f t="shared" si="0"/>
        <v>(3,'','','1900-01-00','1900-01-00',,,),</v>
      </c>
    </row>
    <row r="27" spans="1:14" ht="20.100000000000001" customHeight="1" x14ac:dyDescent="0.25">
      <c r="A27" s="39">
        <v>4</v>
      </c>
      <c r="B27" s="48"/>
      <c r="C27" s="52"/>
      <c r="D27" s="19"/>
      <c r="E27" s="19"/>
      <c r="F27" s="42"/>
      <c r="G27" s="42"/>
      <c r="H27" s="42"/>
      <c r="I27" s="42"/>
      <c r="J27" s="42"/>
      <c r="K27" s="53"/>
      <c r="L27" s="44"/>
      <c r="M27" s="42"/>
      <c r="N27" s="52" t="str">
        <f t="shared" si="0"/>
        <v>(4,'','','1900-01-00','1900-01-00',,,),</v>
      </c>
    </row>
    <row r="28" spans="1:14" ht="20.100000000000001" customHeight="1" x14ac:dyDescent="0.25">
      <c r="A28" s="39">
        <v>5</v>
      </c>
      <c r="B28" s="48"/>
      <c r="C28" s="52"/>
      <c r="D28" s="19"/>
      <c r="E28" s="19"/>
      <c r="F28" s="42"/>
      <c r="G28" s="42"/>
      <c r="H28" s="42"/>
      <c r="I28" s="42"/>
      <c r="J28" s="42"/>
      <c r="K28" s="53"/>
      <c r="L28" s="44"/>
      <c r="M28" s="42"/>
      <c r="N28" s="52" t="str">
        <f t="shared" si="0"/>
        <v>(5,'','','1900-01-00','1900-01-00',,,),</v>
      </c>
    </row>
    <row r="29" spans="1:14" ht="20.100000000000001" customHeight="1" x14ac:dyDescent="0.25">
      <c r="A29" s="39">
        <v>6</v>
      </c>
      <c r="B29" s="48"/>
      <c r="C29" s="52"/>
      <c r="D29" s="19"/>
      <c r="E29" s="19"/>
      <c r="F29" s="42"/>
      <c r="G29" s="42"/>
      <c r="H29" s="42"/>
      <c r="I29" s="42"/>
      <c r="J29" s="42"/>
      <c r="K29" s="53"/>
      <c r="L29" s="44"/>
      <c r="M29" s="42"/>
      <c r="N29" s="52" t="str">
        <f t="shared" si="0"/>
        <v>(6,'','','1900-01-00','1900-01-00',,,),</v>
      </c>
    </row>
    <row r="30" spans="1:14" ht="20.100000000000001" customHeight="1" x14ac:dyDescent="0.25">
      <c r="A30" s="39">
        <v>7</v>
      </c>
      <c r="B30" s="48"/>
      <c r="C30" s="52"/>
      <c r="D30" s="19"/>
      <c r="E30" s="19"/>
      <c r="F30" s="42"/>
      <c r="G30" s="42"/>
      <c r="H30" s="42"/>
      <c r="I30" s="42"/>
      <c r="J30" s="42"/>
      <c r="K30" s="53"/>
      <c r="L30" s="44"/>
      <c r="M30" s="42"/>
      <c r="N30" s="52" t="str">
        <f t="shared" si="0"/>
        <v>(7,'','','1900-01-00','1900-01-00',,,),</v>
      </c>
    </row>
    <row r="31" spans="1:14" ht="20.100000000000001" customHeight="1" x14ac:dyDescent="0.25">
      <c r="A31" s="39">
        <v>8</v>
      </c>
      <c r="B31" s="48"/>
      <c r="C31" s="52"/>
      <c r="D31" s="19"/>
      <c r="E31" s="19"/>
      <c r="F31" s="42"/>
      <c r="G31" s="42"/>
      <c r="H31" s="42"/>
      <c r="I31" s="42"/>
      <c r="J31" s="42"/>
      <c r="K31" s="53"/>
      <c r="L31" s="44"/>
      <c r="M31" s="42"/>
      <c r="N31" s="52" t="str">
        <f t="shared" si="0"/>
        <v>(8,'','','1900-01-00','1900-01-00',,,),</v>
      </c>
    </row>
    <row r="32" spans="1:14" ht="20.100000000000001" customHeight="1" x14ac:dyDescent="0.25">
      <c r="A32" s="39">
        <v>9</v>
      </c>
      <c r="B32" s="48"/>
      <c r="C32" s="52"/>
      <c r="D32" s="19"/>
      <c r="E32" s="19"/>
      <c r="F32" s="42"/>
      <c r="G32" s="42"/>
      <c r="H32" s="42"/>
      <c r="I32" s="42"/>
      <c r="J32" s="42"/>
      <c r="K32" s="53"/>
      <c r="L32" s="44"/>
      <c r="M32" s="42"/>
      <c r="N32" s="52" t="str">
        <f t="shared" si="0"/>
        <v>(9,'','','1900-01-00','1900-01-00',,,),</v>
      </c>
    </row>
    <row r="33" spans="1:14" ht="20.100000000000001" customHeight="1" x14ac:dyDescent="0.25">
      <c r="A33" s="39">
        <v>10</v>
      </c>
      <c r="B33" s="48"/>
      <c r="C33" s="52"/>
      <c r="D33" s="19"/>
      <c r="E33" s="19"/>
      <c r="F33" s="42"/>
      <c r="G33" s="42"/>
      <c r="H33" s="42"/>
      <c r="I33" s="42"/>
      <c r="J33" s="42"/>
      <c r="K33" s="53"/>
      <c r="L33" s="44"/>
      <c r="M33" s="42"/>
      <c r="N33" s="52" t="str">
        <f t="shared" si="0"/>
        <v>(10,'','','1900-01-00','1900-01-00',,,),</v>
      </c>
    </row>
    <row r="34" spans="1:14" ht="20.100000000000001" customHeight="1" x14ac:dyDescent="0.25">
      <c r="A34" s="39">
        <v>11</v>
      </c>
      <c r="B34" s="48"/>
      <c r="C34" s="52"/>
      <c r="D34" s="19"/>
      <c r="E34" s="19"/>
      <c r="F34" s="42"/>
      <c r="G34" s="42"/>
      <c r="H34" s="42"/>
      <c r="I34" s="42"/>
      <c r="J34" s="42"/>
      <c r="K34" s="53"/>
      <c r="L34" s="44"/>
      <c r="M34" s="42"/>
      <c r="N34" s="52" t="str">
        <f t="shared" si="0"/>
        <v>(11,'','','1900-01-00','1900-01-00',,,),</v>
      </c>
    </row>
    <row r="35" spans="1:14" ht="20.100000000000001" customHeight="1" x14ac:dyDescent="0.25">
      <c r="A35" s="39">
        <v>12</v>
      </c>
      <c r="B35" s="48"/>
      <c r="C35" s="52"/>
      <c r="D35" s="19"/>
      <c r="E35" s="19"/>
      <c r="F35" s="42"/>
      <c r="G35" s="42"/>
      <c r="H35" s="42"/>
      <c r="I35" s="42"/>
      <c r="J35" s="42"/>
      <c r="K35" s="53"/>
      <c r="L35" s="44"/>
      <c r="M35" s="42"/>
      <c r="N35" s="52" t="str">
        <f t="shared" si="0"/>
        <v>(12,'','','1900-01-00','1900-01-00',,,),</v>
      </c>
    </row>
    <row r="36" spans="1:14" ht="20.100000000000001" customHeight="1" x14ac:dyDescent="0.25">
      <c r="A36" s="39">
        <v>13</v>
      </c>
      <c r="B36" s="48"/>
      <c r="C36" s="52"/>
      <c r="D36" s="19"/>
      <c r="E36" s="19"/>
      <c r="F36" s="42"/>
      <c r="G36" s="42"/>
      <c r="H36" s="42"/>
      <c r="I36" s="42"/>
      <c r="J36" s="42"/>
      <c r="K36" s="53"/>
      <c r="L36" s="44"/>
      <c r="M36" s="42"/>
      <c r="N36" s="52" t="str">
        <f t="shared" si="0"/>
        <v>(13,'','','1900-01-00','1900-01-00',,,),</v>
      </c>
    </row>
    <row r="37" spans="1:14" ht="20.100000000000001" customHeight="1" x14ac:dyDescent="0.25">
      <c r="A37" s="39">
        <v>14</v>
      </c>
      <c r="B37" s="48"/>
      <c r="C37" s="52"/>
      <c r="D37" s="19"/>
      <c r="E37" s="19"/>
      <c r="F37" s="42"/>
      <c r="G37" s="42"/>
      <c r="H37" s="42"/>
      <c r="I37" s="42"/>
      <c r="J37" s="42"/>
      <c r="K37" s="53"/>
      <c r="L37" s="44"/>
      <c r="M37" s="42"/>
      <c r="N37" s="52" t="str">
        <f t="shared" si="0"/>
        <v>(14,'','','1900-01-00','1900-01-00',,,),</v>
      </c>
    </row>
    <row r="38" spans="1:14" ht="20.100000000000001" customHeight="1" x14ac:dyDescent="0.25">
      <c r="A38" s="39">
        <v>15</v>
      </c>
      <c r="B38" s="48"/>
      <c r="C38" s="52"/>
      <c r="D38" s="19"/>
      <c r="E38" s="19"/>
      <c r="F38" s="42"/>
      <c r="G38" s="42"/>
      <c r="H38" s="42"/>
      <c r="I38" s="42"/>
      <c r="J38" s="42"/>
      <c r="K38" s="53"/>
      <c r="L38" s="44"/>
      <c r="M38" s="42"/>
      <c r="N38" s="52" t="str">
        <f t="shared" si="0"/>
        <v>(15,'','','1900-01-00','1900-01-00',,,),</v>
      </c>
    </row>
    <row r="39" spans="1:14" ht="20.100000000000001" customHeight="1" x14ac:dyDescent="0.25">
      <c r="A39" s="39">
        <v>16</v>
      </c>
      <c r="B39" s="48"/>
      <c r="C39" s="52"/>
      <c r="D39" s="19"/>
      <c r="E39" s="19"/>
      <c r="F39" s="42"/>
      <c r="G39" s="42"/>
      <c r="H39" s="42"/>
      <c r="I39" s="42"/>
      <c r="J39" s="42"/>
      <c r="K39" s="53"/>
      <c r="L39" s="44"/>
      <c r="M39" s="42"/>
      <c r="N39" s="52" t="str">
        <f t="shared" si="0"/>
        <v>(16,'','','1900-01-00','1900-01-00',,,),</v>
      </c>
    </row>
    <row r="40" spans="1:14" ht="20.100000000000001" customHeight="1" x14ac:dyDescent="0.25">
      <c r="A40" s="39">
        <v>17</v>
      </c>
      <c r="B40" s="48"/>
      <c r="C40" s="52"/>
      <c r="D40" s="19"/>
      <c r="E40" s="19"/>
      <c r="F40" s="42"/>
      <c r="G40" s="42"/>
      <c r="H40" s="42"/>
      <c r="I40" s="42"/>
      <c r="J40" s="42"/>
      <c r="K40" s="53"/>
      <c r="L40" s="44"/>
      <c r="M40" s="42"/>
      <c r="N40" s="52" t="str">
        <f t="shared" si="0"/>
        <v>(17,'','','1900-01-00','1900-01-00',,,),</v>
      </c>
    </row>
    <row r="41" spans="1:14" ht="20.100000000000001" customHeight="1" x14ac:dyDescent="0.25">
      <c r="A41" s="39">
        <v>18</v>
      </c>
      <c r="B41" s="48"/>
      <c r="C41" s="52"/>
      <c r="D41" s="19"/>
      <c r="E41" s="19"/>
      <c r="F41" s="42"/>
      <c r="G41" s="42"/>
      <c r="H41" s="42"/>
      <c r="I41" s="42"/>
      <c r="J41" s="42"/>
      <c r="K41" s="53"/>
      <c r="L41" s="44"/>
      <c r="M41" s="42"/>
      <c r="N41" s="52" t="str">
        <f t="shared" si="0"/>
        <v>(18,'','','1900-01-00','1900-01-00',,,),</v>
      </c>
    </row>
    <row r="42" spans="1:14" ht="20.100000000000001" customHeight="1" x14ac:dyDescent="0.25">
      <c r="A42" s="39">
        <v>19</v>
      </c>
      <c r="B42" s="48"/>
      <c r="C42" s="52"/>
      <c r="D42" s="19"/>
      <c r="E42" s="19"/>
      <c r="F42" s="42"/>
      <c r="G42" s="42"/>
      <c r="H42" s="42"/>
      <c r="I42" s="42"/>
      <c r="J42" s="42"/>
      <c r="K42" s="53"/>
      <c r="L42" s="44"/>
      <c r="M42" s="42"/>
      <c r="N42" s="52" t="str">
        <f t="shared" si="0"/>
        <v>(19,'','','1900-01-00','1900-01-00',,,),</v>
      </c>
    </row>
    <row r="43" spans="1:14" ht="20.100000000000001" customHeight="1" x14ac:dyDescent="0.25">
      <c r="A43" s="39">
        <v>20</v>
      </c>
      <c r="B43" s="48"/>
      <c r="C43" s="52"/>
      <c r="D43" s="19"/>
      <c r="E43" s="19"/>
      <c r="F43" s="42"/>
      <c r="G43" s="42"/>
      <c r="H43" s="42"/>
      <c r="I43" s="42"/>
      <c r="J43" s="42"/>
      <c r="K43" s="53"/>
      <c r="L43" s="44"/>
      <c r="M43" s="42"/>
      <c r="N43" s="52" t="str">
        <f t="shared" si="0"/>
        <v>(20,'','','1900-01-00','1900-01-00',,,),</v>
      </c>
    </row>
    <row r="44" spans="1:14" ht="20.100000000000001" customHeight="1" x14ac:dyDescent="0.25">
      <c r="A44" s="39">
        <v>21</v>
      </c>
      <c r="B44" s="48"/>
      <c r="C44" s="52"/>
      <c r="D44" s="19"/>
      <c r="E44" s="19"/>
      <c r="F44" s="42"/>
      <c r="G44" s="42"/>
      <c r="H44" s="42"/>
      <c r="I44" s="42"/>
      <c r="J44" s="42"/>
      <c r="K44" s="53"/>
      <c r="L44" s="44"/>
      <c r="M44" s="42"/>
      <c r="N44" s="52" t="str">
        <f t="shared" si="0"/>
        <v>(21,'','','1900-01-00','1900-01-00',,,),</v>
      </c>
    </row>
    <row r="45" spans="1:14" ht="20.100000000000001" customHeight="1" x14ac:dyDescent="0.25">
      <c r="A45" s="39">
        <v>22</v>
      </c>
      <c r="B45" s="48"/>
      <c r="C45" s="52"/>
      <c r="D45" s="19"/>
      <c r="E45" s="19"/>
      <c r="F45" s="42"/>
      <c r="G45" s="42"/>
      <c r="H45" s="42"/>
      <c r="I45" s="42"/>
      <c r="J45" s="42"/>
      <c r="K45" s="53"/>
      <c r="L45" s="44"/>
      <c r="M45" s="42"/>
      <c r="N45" s="52" t="str">
        <f t="shared" si="0"/>
        <v>(22,'','','1900-01-00','1900-01-00',,,),</v>
      </c>
    </row>
    <row r="46" spans="1:14" ht="20.100000000000001" customHeight="1" x14ac:dyDescent="0.25">
      <c r="A46" s="39">
        <v>23</v>
      </c>
      <c r="B46" s="48"/>
      <c r="C46" s="52"/>
      <c r="D46" s="19"/>
      <c r="E46" s="19"/>
      <c r="F46" s="42"/>
      <c r="G46" s="42"/>
      <c r="H46" s="42"/>
      <c r="I46" s="42"/>
      <c r="J46" s="42"/>
      <c r="K46" s="53"/>
      <c r="L46" s="44"/>
      <c r="M46" s="42"/>
      <c r="N46" s="52" t="str">
        <f t="shared" si="0"/>
        <v>(23,'','','1900-01-00','1900-01-00',,,),</v>
      </c>
    </row>
    <row r="47" spans="1:14" ht="20.100000000000001" customHeight="1" x14ac:dyDescent="0.25">
      <c r="A47" s="39">
        <v>24</v>
      </c>
      <c r="B47" s="48"/>
      <c r="C47" s="52"/>
      <c r="D47" s="19"/>
      <c r="E47" s="19"/>
      <c r="F47" s="42"/>
      <c r="G47" s="42"/>
      <c r="H47" s="42"/>
      <c r="I47" s="42"/>
      <c r="J47" s="42"/>
      <c r="K47" s="53"/>
      <c r="L47" s="44"/>
      <c r="M47" s="42"/>
      <c r="N47" s="52" t="str">
        <f t="shared" si="0"/>
        <v>(24,'','','1900-01-00','1900-01-00',,,),</v>
      </c>
    </row>
    <row r="48" spans="1:14" ht="20.100000000000001" customHeight="1" x14ac:dyDescent="0.25">
      <c r="A48" s="39">
        <v>25</v>
      </c>
      <c r="B48" s="48"/>
      <c r="C48" s="52"/>
      <c r="D48" s="19"/>
      <c r="E48" s="19"/>
      <c r="F48" s="42"/>
      <c r="G48" s="42"/>
      <c r="H48" s="42"/>
      <c r="I48" s="42"/>
      <c r="J48" s="42"/>
      <c r="K48" s="53"/>
      <c r="L48" s="44"/>
      <c r="M48" s="42"/>
      <c r="N48" s="52" t="str">
        <f t="shared" si="0"/>
        <v>(25,'','','1900-01-00','1900-01-00',,,),</v>
      </c>
    </row>
    <row r="49" spans="1:14" ht="20.100000000000001" customHeight="1" x14ac:dyDescent="0.25">
      <c r="A49" s="39">
        <v>1</v>
      </c>
      <c r="B49" s="48"/>
      <c r="C49" s="52"/>
      <c r="D49" s="19"/>
      <c r="E49" s="19"/>
      <c r="F49" s="42"/>
      <c r="G49" s="42"/>
      <c r="H49" s="42"/>
      <c r="I49" s="42"/>
      <c r="J49" s="42"/>
      <c r="K49" s="53"/>
      <c r="L49" s="44"/>
      <c r="M49" s="42"/>
      <c r="N49" s="52" t="str">
        <f t="shared" si="0"/>
        <v>(1,'','','1900-01-00','1900-01-00',,,),</v>
      </c>
    </row>
    <row r="50" spans="1:14" ht="20.100000000000001" customHeight="1" x14ac:dyDescent="0.25">
      <c r="A50" s="39">
        <v>2</v>
      </c>
      <c r="B50" s="48"/>
      <c r="C50" s="52"/>
      <c r="D50" s="19"/>
      <c r="E50" s="19"/>
      <c r="F50" s="42"/>
      <c r="G50" s="42"/>
      <c r="H50" s="42"/>
      <c r="I50" s="42"/>
      <c r="J50" s="42"/>
      <c r="K50" s="53"/>
      <c r="L50" s="44"/>
      <c r="M50" s="42"/>
      <c r="N50" s="52" t="str">
        <f t="shared" si="0"/>
        <v>(2,'','','1900-01-00','1900-01-00',,,),</v>
      </c>
    </row>
    <row r="51" spans="1:14" ht="20.100000000000001" customHeight="1" x14ac:dyDescent="0.25">
      <c r="A51" s="39">
        <v>3</v>
      </c>
      <c r="B51" s="48"/>
      <c r="C51" s="52"/>
      <c r="D51" s="19"/>
      <c r="E51" s="19"/>
      <c r="F51" s="42"/>
      <c r="G51" s="42"/>
      <c r="H51" s="42"/>
      <c r="I51" s="42"/>
      <c r="J51" s="42"/>
      <c r="K51" s="53"/>
      <c r="L51" s="44"/>
      <c r="M51" s="42"/>
      <c r="N51" s="52" t="str">
        <f t="shared" si="0"/>
        <v>(3,'','','1900-01-00','1900-01-00',,,),</v>
      </c>
    </row>
    <row r="52" spans="1:14" ht="20.100000000000001" customHeight="1" x14ac:dyDescent="0.25">
      <c r="A52" s="39">
        <v>4</v>
      </c>
      <c r="B52" s="48"/>
      <c r="C52" s="52"/>
      <c r="D52" s="19"/>
      <c r="E52" s="19"/>
      <c r="F52" s="42"/>
      <c r="G52" s="42"/>
      <c r="H52" s="42"/>
      <c r="I52" s="42"/>
      <c r="J52" s="42"/>
      <c r="K52" s="53"/>
      <c r="L52" s="44"/>
      <c r="M52" s="42"/>
      <c r="N52" s="52" t="str">
        <f t="shared" si="0"/>
        <v>(4,'','','1900-01-00','1900-01-00',,,),</v>
      </c>
    </row>
    <row r="53" spans="1:14" ht="20.100000000000001" customHeight="1" x14ac:dyDescent="0.25">
      <c r="A53" s="39">
        <v>5</v>
      </c>
      <c r="B53" s="48"/>
      <c r="C53" s="52"/>
      <c r="D53" s="19"/>
      <c r="E53" s="19"/>
      <c r="F53" s="42"/>
      <c r="G53" s="42"/>
      <c r="H53" s="42"/>
      <c r="I53" s="42"/>
      <c r="J53" s="42"/>
      <c r="K53" s="53"/>
      <c r="L53" s="44"/>
      <c r="M53" s="42"/>
      <c r="N53" s="52" t="str">
        <f t="shared" si="0"/>
        <v>(5,'','','1900-01-00','1900-01-00',,,),</v>
      </c>
    </row>
    <row r="54" spans="1:14" ht="20.100000000000001" customHeight="1" x14ac:dyDescent="0.25">
      <c r="A54" s="39">
        <v>6</v>
      </c>
      <c r="B54" s="48"/>
      <c r="C54" s="52"/>
      <c r="D54" s="19"/>
      <c r="E54" s="19"/>
      <c r="F54" s="42"/>
      <c r="G54" s="42"/>
      <c r="H54" s="42"/>
      <c r="I54" s="42"/>
      <c r="J54" s="42"/>
      <c r="K54" s="53"/>
      <c r="L54" s="44"/>
      <c r="M54" s="42"/>
      <c r="N54" s="52" t="str">
        <f t="shared" si="0"/>
        <v>(6,'','','1900-01-00','1900-01-00',,,),</v>
      </c>
    </row>
    <row r="55" spans="1:14" ht="20.100000000000001" customHeight="1" x14ac:dyDescent="0.25">
      <c r="A55" s="39">
        <v>7</v>
      </c>
      <c r="B55" s="48"/>
      <c r="C55" s="52"/>
      <c r="D55" s="19"/>
      <c r="E55" s="19"/>
      <c r="F55" s="42"/>
      <c r="G55" s="42"/>
      <c r="H55" s="42"/>
      <c r="I55" s="42"/>
      <c r="J55" s="42"/>
      <c r="K55" s="53"/>
      <c r="L55" s="44"/>
      <c r="M55" s="42"/>
      <c r="N55" s="52" t="str">
        <f t="shared" si="0"/>
        <v>(7,'','','1900-01-00','1900-01-00',,,),</v>
      </c>
    </row>
    <row r="56" spans="1:14" ht="20.100000000000001" customHeight="1" x14ac:dyDescent="0.25">
      <c r="A56" s="39">
        <v>8</v>
      </c>
      <c r="B56" s="48"/>
      <c r="C56" s="52"/>
      <c r="D56" s="19"/>
      <c r="E56" s="19"/>
      <c r="F56" s="42"/>
      <c r="G56" s="42"/>
      <c r="H56" s="42"/>
      <c r="I56" s="42"/>
      <c r="J56" s="42"/>
      <c r="K56" s="53"/>
      <c r="L56" s="44"/>
      <c r="M56" s="42"/>
      <c r="N56" s="52" t="str">
        <f t="shared" si="0"/>
        <v>(8,'','','1900-01-00','1900-01-00',,,),</v>
      </c>
    </row>
    <row r="57" spans="1:14" ht="20.100000000000001" customHeight="1" x14ac:dyDescent="0.25">
      <c r="A57" s="39">
        <v>9</v>
      </c>
      <c r="B57" s="48"/>
      <c r="C57" s="52"/>
      <c r="D57" s="19"/>
      <c r="E57" s="19"/>
      <c r="F57" s="42"/>
      <c r="G57" s="42"/>
      <c r="H57" s="42"/>
      <c r="I57" s="42"/>
      <c r="J57" s="42"/>
      <c r="K57" s="53"/>
      <c r="L57" s="44"/>
      <c r="M57" s="42"/>
      <c r="N57" s="52" t="str">
        <f t="shared" si="0"/>
        <v>(9,'','','1900-01-00','1900-01-00',,,),</v>
      </c>
    </row>
    <row r="58" spans="1:14" ht="20.100000000000001" customHeight="1" x14ac:dyDescent="0.25">
      <c r="A58" s="39">
        <v>10</v>
      </c>
      <c r="B58" s="48"/>
      <c r="C58" s="52"/>
      <c r="D58" s="19"/>
      <c r="E58" s="19"/>
      <c r="F58" s="42"/>
      <c r="G58" s="42"/>
      <c r="H58" s="42"/>
      <c r="I58" s="42"/>
      <c r="J58" s="42"/>
      <c r="K58" s="53"/>
      <c r="L58" s="44"/>
      <c r="M58" s="42"/>
      <c r="N58" s="52" t="str">
        <f t="shared" si="0"/>
        <v>(10,'','','1900-01-00','1900-01-00',,,),</v>
      </c>
    </row>
    <row r="59" spans="1:14" ht="20.100000000000001" customHeight="1" x14ac:dyDescent="0.25">
      <c r="A59" s="39" t="s">
        <v>867</v>
      </c>
      <c r="B59" s="48"/>
      <c r="C59" s="52"/>
      <c r="D59" s="19"/>
      <c r="E59" s="19"/>
      <c r="F59" s="42"/>
      <c r="G59" s="42"/>
      <c r="H59" s="42"/>
      <c r="I59" s="42"/>
      <c r="J59" s="42"/>
      <c r="K59" s="53"/>
      <c r="L59" s="44"/>
      <c r="M59" s="42"/>
      <c r="N59" s="52" t="str">
        <f t="shared" si="0"/>
        <v>(10Bis,'','','1900-01-00','1900-01-00',,,),</v>
      </c>
    </row>
    <row r="60" spans="1:14" ht="20.100000000000001" customHeight="1" x14ac:dyDescent="0.25">
      <c r="A60" s="39" t="s">
        <v>868</v>
      </c>
      <c r="B60" s="48"/>
      <c r="C60" s="52"/>
      <c r="D60" s="19"/>
      <c r="E60" s="19"/>
      <c r="F60" s="42"/>
      <c r="G60" s="42"/>
      <c r="H60" s="42"/>
      <c r="I60" s="42"/>
      <c r="J60" s="42"/>
      <c r="K60" s="53"/>
      <c r="L60" s="44"/>
      <c r="M60" s="42"/>
      <c r="N60" s="52" t="str">
        <f t="shared" si="0"/>
        <v>(10Ter,'','','1900-01-00','1900-01-00',,,),</v>
      </c>
    </row>
    <row r="61" spans="1:14" ht="20.100000000000001" customHeight="1" x14ac:dyDescent="0.25">
      <c r="A61" s="39">
        <v>11</v>
      </c>
      <c r="B61" s="48"/>
      <c r="C61" s="52"/>
      <c r="D61" s="19"/>
      <c r="E61" s="19"/>
      <c r="F61" s="42"/>
      <c r="G61" s="42"/>
      <c r="H61" s="42"/>
      <c r="I61" s="42"/>
      <c r="J61" s="42"/>
      <c r="K61" s="53"/>
      <c r="L61" s="44"/>
      <c r="M61" s="42"/>
      <c r="N61" s="52" t="str">
        <f t="shared" si="0"/>
        <v>(11,'','','1900-01-00','1900-01-00',,,),</v>
      </c>
    </row>
    <row r="62" spans="1:14" ht="20.100000000000001" customHeight="1" x14ac:dyDescent="0.25">
      <c r="A62" s="39">
        <v>12</v>
      </c>
      <c r="B62" s="48"/>
      <c r="C62" s="52"/>
      <c r="D62" s="19"/>
      <c r="E62" s="19"/>
      <c r="F62" s="42"/>
      <c r="G62" s="42"/>
      <c r="H62" s="42"/>
      <c r="I62" s="42"/>
      <c r="J62" s="42"/>
      <c r="K62" s="53"/>
      <c r="L62" s="44"/>
      <c r="M62" s="42"/>
      <c r="N62" s="52" t="str">
        <f t="shared" si="0"/>
        <v>(12,'','','1900-01-00','1900-01-00',,,),</v>
      </c>
    </row>
    <row r="63" spans="1:14" ht="20.100000000000001" customHeight="1" x14ac:dyDescent="0.25">
      <c r="A63" s="39">
        <v>13</v>
      </c>
      <c r="B63" s="48"/>
      <c r="C63" s="52"/>
      <c r="D63" s="19"/>
      <c r="E63" s="19"/>
      <c r="F63" s="42"/>
      <c r="G63" s="42"/>
      <c r="H63" s="42"/>
      <c r="I63" s="42"/>
      <c r="J63" s="42"/>
      <c r="K63" s="53"/>
      <c r="L63" s="44"/>
      <c r="M63" s="42"/>
      <c r="N63" s="52" t="str">
        <f t="shared" si="0"/>
        <v>(13,'','','1900-01-00','1900-01-00',,,),</v>
      </c>
    </row>
    <row r="64" spans="1:14" ht="20.100000000000001" customHeight="1" x14ac:dyDescent="0.25">
      <c r="A64" s="39">
        <v>14</v>
      </c>
      <c r="B64" s="48"/>
      <c r="C64" s="52"/>
      <c r="D64" s="19"/>
      <c r="E64" s="19"/>
      <c r="F64" s="42"/>
      <c r="G64" s="42"/>
      <c r="H64" s="42"/>
      <c r="I64" s="42"/>
      <c r="J64" s="42"/>
      <c r="K64" s="53"/>
      <c r="L64" s="44"/>
      <c r="M64" s="42"/>
      <c r="N64" s="52" t="str">
        <f t="shared" si="0"/>
        <v>(14,'','','1900-01-00','1900-01-00',,,),</v>
      </c>
    </row>
    <row r="65" spans="1:14" ht="20.100000000000001" customHeight="1" x14ac:dyDescent="0.25">
      <c r="A65" s="39" t="s">
        <v>869</v>
      </c>
      <c r="B65" s="48"/>
      <c r="C65" s="52"/>
      <c r="D65" s="19"/>
      <c r="E65" s="19"/>
      <c r="F65" s="42"/>
      <c r="G65" s="42"/>
      <c r="H65" s="42"/>
      <c r="I65" s="42"/>
      <c r="J65" s="42"/>
      <c r="K65" s="53"/>
      <c r="L65" s="44"/>
      <c r="M65" s="42"/>
      <c r="N65" s="52" t="str">
        <f t="shared" si="0"/>
        <v>(14Bis,'','','1900-01-00','1900-01-00',,,),</v>
      </c>
    </row>
    <row r="66" spans="1:14" ht="20.100000000000001" customHeight="1" x14ac:dyDescent="0.25">
      <c r="A66" s="39">
        <v>15</v>
      </c>
      <c r="B66" s="48"/>
      <c r="C66" s="52"/>
      <c r="D66" s="19"/>
      <c r="E66" s="19"/>
      <c r="F66" s="42"/>
      <c r="G66" s="42"/>
      <c r="H66" s="42"/>
      <c r="I66" s="42"/>
      <c r="J66" s="42"/>
      <c r="K66" s="53"/>
      <c r="L66" s="44"/>
      <c r="M66" s="42"/>
      <c r="N66" s="52" t="str">
        <f t="shared" si="0"/>
        <v>(15,'','','1900-01-00','1900-01-00',,,),</v>
      </c>
    </row>
    <row r="67" spans="1:14" ht="20.100000000000001" customHeight="1" x14ac:dyDescent="0.25">
      <c r="A67" s="39">
        <v>16</v>
      </c>
      <c r="B67" s="48"/>
      <c r="C67" s="52"/>
      <c r="D67" s="19"/>
      <c r="E67" s="19"/>
      <c r="F67" s="42"/>
      <c r="G67" s="42"/>
      <c r="H67" s="42"/>
      <c r="I67" s="42"/>
      <c r="J67" s="42"/>
      <c r="K67" s="53"/>
      <c r="L67" s="44"/>
      <c r="M67" s="42"/>
      <c r="N67" s="52" t="str">
        <f t="shared" ref="N67:N130" si="1">CONCATENATE("(",A67,",'",B67,"','",C67,"','",TEXT(D67,"aaaa-mm-jj"),"','",TEXT(E67,"aaaa-mm-jj"),"',",F67,",",G67,",",H67,"),")</f>
        <v>(16,'','','1900-01-00','1900-01-00',,,),</v>
      </c>
    </row>
    <row r="68" spans="1:14" ht="20.100000000000001" customHeight="1" x14ac:dyDescent="0.25">
      <c r="A68" s="39" t="s">
        <v>870</v>
      </c>
      <c r="B68" s="48"/>
      <c r="C68" s="52"/>
      <c r="D68" s="19"/>
      <c r="E68" s="19"/>
      <c r="F68" s="42"/>
      <c r="G68" s="42"/>
      <c r="H68" s="42"/>
      <c r="I68" s="42"/>
      <c r="J68" s="42"/>
      <c r="K68" s="53"/>
      <c r="L68" s="44"/>
      <c r="M68" s="42"/>
      <c r="N68" s="52" t="str">
        <f t="shared" si="1"/>
        <v>(16Bis,'','','1900-01-00','1900-01-00',,,),</v>
      </c>
    </row>
    <row r="69" spans="1:14" ht="20.100000000000001" customHeight="1" x14ac:dyDescent="0.25">
      <c r="A69" s="39">
        <v>17</v>
      </c>
      <c r="B69" s="48"/>
      <c r="C69" s="52"/>
      <c r="D69" s="19"/>
      <c r="E69" s="19"/>
      <c r="F69" s="42"/>
      <c r="G69" s="42"/>
      <c r="H69" s="42"/>
      <c r="I69" s="42"/>
      <c r="J69" s="42"/>
      <c r="K69" s="53"/>
      <c r="L69" s="44"/>
      <c r="M69" s="42"/>
      <c r="N69" s="52" t="str">
        <f t="shared" si="1"/>
        <v>(17,'','','1900-01-00','1900-01-00',,,),</v>
      </c>
    </row>
    <row r="70" spans="1:14" ht="20.100000000000001" customHeight="1" x14ac:dyDescent="0.25">
      <c r="A70" s="39">
        <v>18</v>
      </c>
      <c r="B70" s="48"/>
      <c r="C70" s="52"/>
      <c r="D70" s="19"/>
      <c r="E70" s="19"/>
      <c r="F70" s="42"/>
      <c r="G70" s="42"/>
      <c r="H70" s="42"/>
      <c r="I70" s="42"/>
      <c r="J70" s="42"/>
      <c r="K70" s="53"/>
      <c r="L70" s="44"/>
      <c r="M70" s="42"/>
      <c r="N70" s="52" t="str">
        <f t="shared" si="1"/>
        <v>(18,'','','1900-01-00','1900-01-00',,,),</v>
      </c>
    </row>
    <row r="71" spans="1:14" ht="20.100000000000001" customHeight="1" x14ac:dyDescent="0.25">
      <c r="A71" s="39">
        <v>1</v>
      </c>
      <c r="B71" s="40"/>
      <c r="C71" s="52"/>
      <c r="D71" s="19"/>
      <c r="E71" s="19"/>
      <c r="F71" s="42"/>
      <c r="G71" s="42"/>
      <c r="H71" s="42"/>
      <c r="I71" s="42"/>
      <c r="J71" s="42"/>
      <c r="K71" s="53"/>
      <c r="L71" s="44"/>
      <c r="M71" s="42"/>
      <c r="N71" s="52" t="str">
        <f t="shared" si="1"/>
        <v>(1,'','','1900-01-00','1900-01-00',,,),</v>
      </c>
    </row>
    <row r="72" spans="1:14" ht="20.100000000000001" customHeight="1" x14ac:dyDescent="0.25">
      <c r="A72" s="39">
        <v>2</v>
      </c>
      <c r="B72" s="40"/>
      <c r="C72" s="52"/>
      <c r="D72" s="19"/>
      <c r="E72" s="19"/>
      <c r="F72" s="42"/>
      <c r="G72" s="42"/>
      <c r="H72" s="42"/>
      <c r="I72" s="42"/>
      <c r="J72" s="42"/>
      <c r="K72" s="53"/>
      <c r="L72" s="44"/>
      <c r="M72" s="42"/>
      <c r="N72" s="52" t="str">
        <f t="shared" si="1"/>
        <v>(2,'','','1900-01-00','1900-01-00',,,),</v>
      </c>
    </row>
    <row r="73" spans="1:14" ht="20.100000000000001" customHeight="1" x14ac:dyDescent="0.25">
      <c r="A73" s="39">
        <v>3</v>
      </c>
      <c r="B73" s="40"/>
      <c r="C73" s="52"/>
      <c r="D73" s="19"/>
      <c r="E73" s="19"/>
      <c r="F73" s="42"/>
      <c r="G73" s="42"/>
      <c r="H73" s="42"/>
      <c r="I73" s="42"/>
      <c r="J73" s="42"/>
      <c r="K73" s="53"/>
      <c r="L73" s="44"/>
      <c r="M73" s="42"/>
      <c r="N73" s="52" t="str">
        <f t="shared" si="1"/>
        <v>(3,'','','1900-01-00','1900-01-00',,,),</v>
      </c>
    </row>
    <row r="74" spans="1:14" ht="20.100000000000001" customHeight="1" x14ac:dyDescent="0.25">
      <c r="A74" s="39">
        <v>4</v>
      </c>
      <c r="B74" s="40"/>
      <c r="C74" s="52"/>
      <c r="D74" s="19"/>
      <c r="E74" s="19"/>
      <c r="F74" s="42"/>
      <c r="G74" s="42"/>
      <c r="H74" s="42"/>
      <c r="I74" s="42"/>
      <c r="J74" s="42"/>
      <c r="K74" s="53"/>
      <c r="L74" s="44"/>
      <c r="M74" s="42"/>
      <c r="N74" s="52" t="str">
        <f t="shared" si="1"/>
        <v>(4,'','','1900-01-00','1900-01-00',,,),</v>
      </c>
    </row>
    <row r="75" spans="1:14" ht="20.100000000000001" customHeight="1" x14ac:dyDescent="0.25">
      <c r="A75" s="39" t="s">
        <v>871</v>
      </c>
      <c r="B75" s="40"/>
      <c r="C75" s="52"/>
      <c r="D75" s="19"/>
      <c r="E75" s="19"/>
      <c r="F75" s="42"/>
      <c r="G75" s="42"/>
      <c r="H75" s="42"/>
      <c r="I75" s="42"/>
      <c r="J75" s="42"/>
      <c r="K75" s="53"/>
      <c r="L75" s="44"/>
      <c r="M75" s="42"/>
      <c r="N75" s="52" t="str">
        <f t="shared" si="1"/>
        <v>(04Bis,'','','1900-01-00','1900-01-00',,,),</v>
      </c>
    </row>
    <row r="76" spans="1:14" ht="20.100000000000001" customHeight="1" x14ac:dyDescent="0.25">
      <c r="A76" s="39">
        <v>5</v>
      </c>
      <c r="B76" s="40"/>
      <c r="C76" s="52"/>
      <c r="D76" s="19"/>
      <c r="E76" s="19"/>
      <c r="F76" s="42"/>
      <c r="G76" s="42"/>
      <c r="H76" s="42"/>
      <c r="I76" s="42"/>
      <c r="J76" s="42"/>
      <c r="K76" s="53"/>
      <c r="L76" s="44"/>
      <c r="M76" s="42"/>
      <c r="N76" s="52" t="str">
        <f t="shared" si="1"/>
        <v>(5,'','','1900-01-00','1900-01-00',,,),</v>
      </c>
    </row>
    <row r="77" spans="1:14" ht="20.100000000000001" customHeight="1" x14ac:dyDescent="0.25">
      <c r="A77" s="39" t="s">
        <v>886</v>
      </c>
      <c r="B77" s="40"/>
      <c r="C77" s="52"/>
      <c r="D77" s="19"/>
      <c r="E77" s="19"/>
      <c r="F77" s="42"/>
      <c r="G77" s="42"/>
      <c r="H77" s="42"/>
      <c r="I77" s="42"/>
      <c r="J77" s="42"/>
      <c r="K77" s="53"/>
      <c r="L77" s="44"/>
      <c r="M77" s="42"/>
      <c r="N77" s="52" t="str">
        <f t="shared" si="1"/>
        <v>(N01,'','','1900-01-00','1900-01-00',,,),</v>
      </c>
    </row>
    <row r="78" spans="1:14" ht="20.100000000000001" customHeight="1" x14ac:dyDescent="0.25">
      <c r="A78" s="39" t="s">
        <v>887</v>
      </c>
      <c r="B78" s="40"/>
      <c r="C78" s="52"/>
      <c r="D78" s="19"/>
      <c r="E78" s="19"/>
      <c r="F78" s="42"/>
      <c r="G78" s="42"/>
      <c r="H78" s="42"/>
      <c r="I78" s="42"/>
      <c r="J78" s="42"/>
      <c r="K78" s="53"/>
      <c r="L78" s="44"/>
      <c r="M78" s="42"/>
      <c r="N78" s="52" t="str">
        <f t="shared" si="1"/>
        <v>(N02,'','','1900-01-00','1900-01-00',,,),</v>
      </c>
    </row>
    <row r="79" spans="1:14" ht="20.100000000000001" customHeight="1" x14ac:dyDescent="0.25">
      <c r="A79" s="39" t="s">
        <v>888</v>
      </c>
      <c r="B79" s="40"/>
      <c r="C79" s="52"/>
      <c r="D79" s="19"/>
      <c r="E79" s="19"/>
      <c r="F79" s="42"/>
      <c r="G79" s="42"/>
      <c r="H79" s="42"/>
      <c r="I79" s="42"/>
      <c r="J79" s="42"/>
      <c r="K79" s="53"/>
      <c r="L79" s="44"/>
      <c r="M79" s="42"/>
      <c r="N79" s="52" t="str">
        <f t="shared" si="1"/>
        <v>(N03,'','','1900-01-00','1900-01-00',,,),</v>
      </c>
    </row>
    <row r="80" spans="1:14" ht="20.100000000000001" customHeight="1" x14ac:dyDescent="0.25">
      <c r="A80" s="39" t="s">
        <v>891</v>
      </c>
      <c r="B80" s="40"/>
      <c r="C80" s="52"/>
      <c r="D80" s="19"/>
      <c r="E80" s="19"/>
      <c r="F80" s="42"/>
      <c r="G80" s="42"/>
      <c r="H80" s="42"/>
      <c r="I80" s="42"/>
      <c r="J80" s="42"/>
      <c r="K80" s="53"/>
      <c r="L80" s="44"/>
      <c r="M80" s="42"/>
      <c r="N80" s="52" t="str">
        <f t="shared" si="1"/>
        <v>(N03Bis,'','','1900-01-00','1900-01-00',,,),</v>
      </c>
    </row>
    <row r="81" spans="1:14" ht="20.100000000000001" customHeight="1" x14ac:dyDescent="0.25">
      <c r="A81" s="39" t="s">
        <v>889</v>
      </c>
      <c r="B81" s="40"/>
      <c r="C81" s="52"/>
      <c r="D81" s="19"/>
      <c r="E81" s="19"/>
      <c r="F81" s="42"/>
      <c r="G81" s="42"/>
      <c r="H81" s="42"/>
      <c r="I81" s="42"/>
      <c r="J81" s="42"/>
      <c r="K81" s="53"/>
      <c r="L81" s="44"/>
      <c r="M81" s="42"/>
      <c r="N81" s="52" t="str">
        <f t="shared" si="1"/>
        <v>(N04,'','','1900-01-00','1900-01-00',,,),</v>
      </c>
    </row>
    <row r="82" spans="1:14" ht="20.100000000000001" customHeight="1" x14ac:dyDescent="0.25">
      <c r="A82" s="39" t="s">
        <v>890</v>
      </c>
      <c r="B82" s="40"/>
      <c r="C82" s="52"/>
      <c r="D82" s="19"/>
      <c r="E82" s="19"/>
      <c r="F82" s="42"/>
      <c r="G82" s="42"/>
      <c r="H82" s="42"/>
      <c r="I82" s="42"/>
      <c r="J82" s="42"/>
      <c r="K82" s="53"/>
      <c r="L82" s="44"/>
      <c r="M82" s="42"/>
      <c r="N82" s="52" t="str">
        <f t="shared" si="1"/>
        <v>(N05,'','','1900-01-00','1900-01-00',,,),</v>
      </c>
    </row>
    <row r="83" spans="1:14" ht="20.100000000000001" customHeight="1" x14ac:dyDescent="0.25">
      <c r="A83" s="39" t="s">
        <v>892</v>
      </c>
      <c r="B83" s="40"/>
      <c r="C83" s="52"/>
      <c r="D83" s="19"/>
      <c r="E83" s="19"/>
      <c r="F83" s="42"/>
      <c r="G83" s="42"/>
      <c r="H83" s="42"/>
      <c r="I83" s="42"/>
      <c r="J83" s="42"/>
      <c r="K83" s="53"/>
      <c r="L83" s="44"/>
      <c r="M83" s="42"/>
      <c r="N83" s="52" t="str">
        <f t="shared" si="1"/>
        <v>(N06,'','','1900-01-00','1900-01-00',,,),</v>
      </c>
    </row>
    <row r="84" spans="1:14" ht="20.100000000000001" customHeight="1" x14ac:dyDescent="0.25">
      <c r="A84" s="39" t="s">
        <v>900</v>
      </c>
      <c r="B84" s="40"/>
      <c r="C84" s="52"/>
      <c r="D84" s="19"/>
      <c r="E84" s="19"/>
      <c r="F84" s="42"/>
      <c r="G84" s="42"/>
      <c r="H84" s="42"/>
      <c r="I84" s="42"/>
      <c r="J84" s="42"/>
      <c r="K84" s="53"/>
      <c r="L84" s="44"/>
      <c r="M84" s="42"/>
      <c r="N84" s="52" t="str">
        <f t="shared" si="1"/>
        <v>(N06Bis,'','','1900-01-00','1900-01-00',,,),</v>
      </c>
    </row>
    <row r="85" spans="1:14" ht="20.100000000000001" customHeight="1" x14ac:dyDescent="0.25">
      <c r="A85" s="39" t="s">
        <v>893</v>
      </c>
      <c r="B85" s="40"/>
      <c r="C85" s="52"/>
      <c r="D85" s="19"/>
      <c r="E85" s="19"/>
      <c r="F85" s="42"/>
      <c r="G85" s="42"/>
      <c r="H85" s="42"/>
      <c r="I85" s="42"/>
      <c r="J85" s="42"/>
      <c r="K85" s="53"/>
      <c r="L85" s="44"/>
      <c r="M85" s="42"/>
      <c r="N85" s="52" t="str">
        <f t="shared" si="1"/>
        <v>(N07,'','','1900-01-00','1900-01-00',,,),</v>
      </c>
    </row>
    <row r="86" spans="1:14" ht="20.100000000000001" customHeight="1" x14ac:dyDescent="0.25">
      <c r="A86" s="39" t="s">
        <v>894</v>
      </c>
      <c r="B86" s="40"/>
      <c r="C86" s="52"/>
      <c r="D86" s="19"/>
      <c r="E86" s="19"/>
      <c r="F86" s="42"/>
      <c r="G86" s="42"/>
      <c r="H86" s="42"/>
      <c r="I86" s="42"/>
      <c r="J86" s="42"/>
      <c r="K86" s="53"/>
      <c r="L86" s="44"/>
      <c r="M86" s="42"/>
      <c r="N86" s="52" t="str">
        <f t="shared" si="1"/>
        <v>(N08,'','','1900-01-00','1900-01-00',,,),</v>
      </c>
    </row>
    <row r="87" spans="1:14" ht="20.100000000000001" customHeight="1" x14ac:dyDescent="0.25">
      <c r="A87" s="39" t="s">
        <v>895</v>
      </c>
      <c r="B87" s="40"/>
      <c r="C87" s="52"/>
      <c r="D87" s="19"/>
      <c r="E87" s="19"/>
      <c r="F87" s="42"/>
      <c r="G87" s="42"/>
      <c r="H87" s="42"/>
      <c r="I87" s="42"/>
      <c r="J87" s="42"/>
      <c r="K87" s="53"/>
      <c r="L87" s="44"/>
      <c r="M87" s="42"/>
      <c r="N87" s="52" t="str">
        <f t="shared" si="1"/>
        <v>(N09,'','','1900-01-00','1900-01-00',,,),</v>
      </c>
    </row>
    <row r="88" spans="1:14" ht="20.100000000000001" customHeight="1" x14ac:dyDescent="0.25">
      <c r="A88" s="39" t="s">
        <v>896</v>
      </c>
      <c r="B88" s="40"/>
      <c r="C88" s="52"/>
      <c r="D88" s="19"/>
      <c r="E88" s="19"/>
      <c r="F88" s="42"/>
      <c r="G88" s="42"/>
      <c r="H88" s="42"/>
      <c r="I88" s="42"/>
      <c r="J88" s="42"/>
      <c r="K88" s="53"/>
      <c r="L88" s="44"/>
      <c r="M88" s="42"/>
      <c r="N88" s="52" t="str">
        <f t="shared" si="1"/>
        <v>(N10,'','','1900-01-00','1900-01-00',,,),</v>
      </c>
    </row>
    <row r="89" spans="1:14" ht="20.100000000000001" customHeight="1" x14ac:dyDescent="0.25">
      <c r="A89" s="39" t="s">
        <v>897</v>
      </c>
      <c r="B89" s="40"/>
      <c r="C89" s="52"/>
      <c r="D89" s="19"/>
      <c r="E89" s="19"/>
      <c r="F89" s="42"/>
      <c r="G89" s="42"/>
      <c r="H89" s="42"/>
      <c r="I89" s="42"/>
      <c r="J89" s="42"/>
      <c r="K89" s="53"/>
      <c r="L89" s="44"/>
      <c r="M89" s="42"/>
      <c r="N89" s="52" t="str">
        <f t="shared" si="1"/>
        <v>(N11,'','','1900-01-00','1900-01-00',,,),</v>
      </c>
    </row>
    <row r="90" spans="1:14" ht="20.100000000000001" customHeight="1" x14ac:dyDescent="0.25">
      <c r="A90" s="39" t="s">
        <v>898</v>
      </c>
      <c r="B90" s="40"/>
      <c r="C90" s="52"/>
      <c r="D90" s="19"/>
      <c r="E90" s="19"/>
      <c r="F90" s="42"/>
      <c r="G90" s="42"/>
      <c r="H90" s="42"/>
      <c r="I90" s="42"/>
      <c r="J90" s="42"/>
      <c r="K90" s="53"/>
      <c r="L90" s="44"/>
      <c r="M90" s="42"/>
      <c r="N90" s="52" t="str">
        <f t="shared" si="1"/>
        <v>(N12,'','','1900-01-00','1900-01-00',,,),</v>
      </c>
    </row>
    <row r="91" spans="1:14" ht="20.100000000000001" customHeight="1" x14ac:dyDescent="0.25">
      <c r="A91" s="39" t="s">
        <v>899</v>
      </c>
      <c r="B91" s="40"/>
      <c r="C91" s="52"/>
      <c r="D91" s="19"/>
      <c r="E91" s="19"/>
      <c r="F91" s="42"/>
      <c r="G91" s="42"/>
      <c r="H91" s="42"/>
      <c r="I91" s="42"/>
      <c r="J91" s="42"/>
      <c r="K91" s="53"/>
      <c r="L91" s="44"/>
      <c r="M91" s="42"/>
      <c r="N91" s="52" t="str">
        <f t="shared" si="1"/>
        <v>(N13,'','','1900-01-00','1900-01-00',,,),</v>
      </c>
    </row>
    <row r="92" spans="1:14" ht="20.100000000000001" customHeight="1" x14ac:dyDescent="0.25">
      <c r="A92" s="39" t="s">
        <v>885</v>
      </c>
      <c r="B92" s="40"/>
      <c r="C92" s="52"/>
      <c r="D92" s="19"/>
      <c r="E92" s="19"/>
      <c r="F92" s="42"/>
      <c r="G92" s="42"/>
      <c r="H92" s="42"/>
      <c r="I92" s="42"/>
      <c r="J92" s="42"/>
      <c r="K92" s="53"/>
      <c r="L92" s="44"/>
      <c r="M92" s="42"/>
      <c r="N92" s="52" t="str">
        <f t="shared" si="1"/>
        <v>(S01,'','','1900-01-00','1900-01-00',,,),</v>
      </c>
    </row>
    <row r="93" spans="1:14" ht="20.100000000000001" customHeight="1" x14ac:dyDescent="0.25">
      <c r="A93" s="39" t="s">
        <v>916</v>
      </c>
      <c r="B93" s="40"/>
      <c r="C93" s="52"/>
      <c r="D93" s="19"/>
      <c r="E93" s="19"/>
      <c r="F93" s="42"/>
      <c r="G93" s="42"/>
      <c r="H93" s="42"/>
      <c r="I93" s="42"/>
      <c r="J93" s="42"/>
      <c r="K93" s="53"/>
      <c r="L93" s="44"/>
      <c r="M93" s="42"/>
      <c r="N93" s="52" t="str">
        <f t="shared" si="1"/>
        <v>(S02,'','','1900-01-00','1900-01-00',,,),</v>
      </c>
    </row>
    <row r="94" spans="1:14" ht="20.100000000000001" customHeight="1" x14ac:dyDescent="0.25">
      <c r="A94" s="39" t="s">
        <v>917</v>
      </c>
      <c r="B94" s="40"/>
      <c r="C94" s="52"/>
      <c r="D94" s="19"/>
      <c r="E94" s="19"/>
      <c r="F94" s="42"/>
      <c r="G94" s="42"/>
      <c r="H94" s="42"/>
      <c r="I94" s="42"/>
      <c r="J94" s="42"/>
      <c r="K94" s="53"/>
      <c r="L94" s="44"/>
      <c r="M94" s="42"/>
      <c r="N94" s="52" t="str">
        <f t="shared" si="1"/>
        <v>(S03,'','','1900-01-00','1900-01-00',,,),</v>
      </c>
    </row>
    <row r="95" spans="1:14" ht="20.100000000000001" customHeight="1" x14ac:dyDescent="0.25">
      <c r="A95" s="39" t="s">
        <v>918</v>
      </c>
      <c r="B95" s="40"/>
      <c r="C95" s="52"/>
      <c r="D95" s="19"/>
      <c r="E95" s="19"/>
      <c r="F95" s="42"/>
      <c r="G95" s="42"/>
      <c r="H95" s="42"/>
      <c r="I95" s="42"/>
      <c r="J95" s="42"/>
      <c r="K95" s="53"/>
      <c r="L95" s="44"/>
      <c r="M95" s="42"/>
      <c r="N95" s="52" t="str">
        <f t="shared" si="1"/>
        <v>(S04,'','','1900-01-00','1900-01-00',,,),</v>
      </c>
    </row>
    <row r="96" spans="1:14" ht="20.100000000000001" customHeight="1" x14ac:dyDescent="0.25">
      <c r="A96" s="39" t="s">
        <v>919</v>
      </c>
      <c r="B96" s="40"/>
      <c r="C96" s="52"/>
      <c r="D96" s="19"/>
      <c r="E96" s="19"/>
      <c r="F96" s="42"/>
      <c r="G96" s="42"/>
      <c r="H96" s="42"/>
      <c r="I96" s="42"/>
      <c r="J96" s="42"/>
      <c r="K96" s="53"/>
      <c r="L96" s="44"/>
      <c r="M96" s="42"/>
      <c r="N96" s="52" t="str">
        <f t="shared" si="1"/>
        <v>(S05,'','','1900-01-00','1900-01-00',,,),</v>
      </c>
    </row>
    <row r="97" spans="1:14" ht="20.100000000000001" customHeight="1" x14ac:dyDescent="0.25">
      <c r="A97" s="39" t="s">
        <v>920</v>
      </c>
      <c r="B97" s="40"/>
      <c r="C97" s="52"/>
      <c r="D97" s="19"/>
      <c r="E97" s="19"/>
      <c r="F97" s="42"/>
      <c r="G97" s="42"/>
      <c r="H97" s="42"/>
      <c r="I97" s="42"/>
      <c r="J97" s="42"/>
      <c r="K97" s="53"/>
      <c r="L97" s="44"/>
      <c r="M97" s="42"/>
      <c r="N97" s="52" t="str">
        <f t="shared" si="1"/>
        <v>(S06,'','','1900-01-00','1900-01-00',,,),</v>
      </c>
    </row>
    <row r="98" spans="1:14" ht="20.100000000000001" customHeight="1" x14ac:dyDescent="0.25">
      <c r="A98" s="39" t="s">
        <v>921</v>
      </c>
      <c r="B98" s="40"/>
      <c r="C98" s="52"/>
      <c r="D98" s="19"/>
      <c r="E98" s="19"/>
      <c r="F98" s="42"/>
      <c r="G98" s="42"/>
      <c r="H98" s="42"/>
      <c r="I98" s="42"/>
      <c r="J98" s="42"/>
      <c r="K98" s="53"/>
      <c r="L98" s="44"/>
      <c r="M98" s="42"/>
      <c r="N98" s="52" t="str">
        <f t="shared" si="1"/>
        <v>(S07,'','','1900-01-00','1900-01-00',,,),</v>
      </c>
    </row>
    <row r="99" spans="1:14" ht="20.100000000000001" customHeight="1" x14ac:dyDescent="0.25">
      <c r="A99" s="39" t="s">
        <v>922</v>
      </c>
      <c r="B99" s="40"/>
      <c r="C99" s="52"/>
      <c r="D99" s="19"/>
      <c r="E99" s="19"/>
      <c r="F99" s="42"/>
      <c r="G99" s="42"/>
      <c r="H99" s="42"/>
      <c r="I99" s="42"/>
      <c r="J99" s="42"/>
      <c r="K99" s="53"/>
      <c r="L99" s="44"/>
      <c r="M99" s="42"/>
      <c r="N99" s="52" t="str">
        <f t="shared" si="1"/>
        <v>(S08,'','','1900-01-00','1900-01-00',,,),</v>
      </c>
    </row>
    <row r="100" spans="1:14" ht="20.100000000000001" customHeight="1" x14ac:dyDescent="0.25">
      <c r="A100" s="39" t="s">
        <v>923</v>
      </c>
      <c r="B100" s="40"/>
      <c r="C100" s="52"/>
      <c r="D100" s="19"/>
      <c r="E100" s="19"/>
      <c r="F100" s="42"/>
      <c r="G100" s="42"/>
      <c r="H100" s="42"/>
      <c r="I100" s="42"/>
      <c r="J100" s="42"/>
      <c r="K100" s="53"/>
      <c r="L100" s="44"/>
      <c r="M100" s="42"/>
      <c r="N100" s="52" t="str">
        <f t="shared" si="1"/>
        <v>(S09,'','','1900-01-00','1900-01-00',,,),</v>
      </c>
    </row>
    <row r="101" spans="1:14" ht="20.100000000000001" customHeight="1" x14ac:dyDescent="0.25">
      <c r="A101" s="39" t="s">
        <v>924</v>
      </c>
      <c r="B101" s="40"/>
      <c r="C101" s="52"/>
      <c r="D101" s="19"/>
      <c r="E101" s="19"/>
      <c r="F101" s="42"/>
      <c r="G101" s="42"/>
      <c r="H101" s="42"/>
      <c r="I101" s="42"/>
      <c r="J101" s="42"/>
      <c r="K101" s="53"/>
      <c r="L101" s="44"/>
      <c r="M101" s="42"/>
      <c r="N101" s="52" t="str">
        <f t="shared" si="1"/>
        <v>(S10,'','','1900-01-00','1900-01-00',,,),</v>
      </c>
    </row>
    <row r="102" spans="1:14" ht="20.100000000000001" customHeight="1" x14ac:dyDescent="0.25">
      <c r="A102" s="39" t="s">
        <v>925</v>
      </c>
      <c r="B102" s="40"/>
      <c r="C102" s="52"/>
      <c r="D102" s="19"/>
      <c r="E102" s="19"/>
      <c r="F102" s="42"/>
      <c r="G102" s="42"/>
      <c r="H102" s="42"/>
      <c r="I102" s="42"/>
      <c r="J102" s="42"/>
      <c r="K102" s="53"/>
      <c r="L102" s="44"/>
      <c r="M102" s="42"/>
      <c r="N102" s="52" t="str">
        <f t="shared" si="1"/>
        <v>(S11,'','','1900-01-00','1900-01-00',,,),</v>
      </c>
    </row>
    <row r="103" spans="1:14" ht="20.100000000000001" customHeight="1" x14ac:dyDescent="0.25">
      <c r="A103" s="39" t="s">
        <v>926</v>
      </c>
      <c r="B103" s="40"/>
      <c r="C103" s="52"/>
      <c r="D103" s="19"/>
      <c r="E103" s="19"/>
      <c r="F103" s="42"/>
      <c r="G103" s="42"/>
      <c r="H103" s="42"/>
      <c r="I103" s="42"/>
      <c r="J103" s="42"/>
      <c r="K103" s="53"/>
      <c r="L103" s="44"/>
      <c r="M103" s="42"/>
      <c r="N103" s="52" t="str">
        <f t="shared" si="1"/>
        <v>(S12,'','','1900-01-00','1900-01-00',,,),</v>
      </c>
    </row>
    <row r="104" spans="1:14" ht="20.100000000000001" customHeight="1" x14ac:dyDescent="0.25">
      <c r="A104" s="39" t="s">
        <v>927</v>
      </c>
      <c r="B104" s="40"/>
      <c r="C104" s="52"/>
      <c r="D104" s="19"/>
      <c r="E104" s="19"/>
      <c r="F104" s="42"/>
      <c r="G104" s="42"/>
      <c r="H104" s="42"/>
      <c r="I104" s="42"/>
      <c r="J104" s="42"/>
      <c r="K104" s="53"/>
      <c r="L104" s="44"/>
      <c r="M104" s="42"/>
      <c r="N104" s="52" t="str">
        <f t="shared" si="1"/>
        <v>(S13,'','','1900-01-00','1900-01-00',,,),</v>
      </c>
    </row>
    <row r="105" spans="1:14" ht="20.100000000000001" customHeight="1" x14ac:dyDescent="0.25">
      <c r="A105" s="39" t="s">
        <v>928</v>
      </c>
      <c r="B105" s="40"/>
      <c r="C105" s="52"/>
      <c r="D105" s="19"/>
      <c r="E105" s="19"/>
      <c r="F105" s="42"/>
      <c r="G105" s="42"/>
      <c r="H105" s="42"/>
      <c r="I105" s="42"/>
      <c r="J105" s="42"/>
      <c r="K105" s="53"/>
      <c r="L105" s="44"/>
      <c r="M105" s="42"/>
      <c r="N105" s="52" t="str">
        <f t="shared" si="1"/>
        <v>(S14,'','','1900-01-00','1900-01-00',,,),</v>
      </c>
    </row>
    <row r="106" spans="1:14" ht="20.100000000000001" customHeight="1" x14ac:dyDescent="0.25">
      <c r="A106" s="39" t="s">
        <v>929</v>
      </c>
      <c r="B106" s="40"/>
      <c r="C106" s="52"/>
      <c r="D106" s="19"/>
      <c r="E106" s="19"/>
      <c r="F106" s="42"/>
      <c r="G106" s="42"/>
      <c r="H106" s="42"/>
      <c r="I106" s="42"/>
      <c r="J106" s="42"/>
      <c r="K106" s="53"/>
      <c r="L106" s="44"/>
      <c r="M106" s="42"/>
      <c r="N106" s="52" t="str">
        <f t="shared" si="1"/>
        <v>(S15,'','','1900-01-00','1900-01-00',,,),</v>
      </c>
    </row>
    <row r="107" spans="1:14" ht="20.100000000000001" customHeight="1" x14ac:dyDescent="0.25">
      <c r="A107" s="39" t="s">
        <v>930</v>
      </c>
      <c r="B107" s="40"/>
      <c r="C107" s="52"/>
      <c r="D107" s="19"/>
      <c r="E107" s="19"/>
      <c r="F107" s="42"/>
      <c r="G107" s="42"/>
      <c r="H107" s="42"/>
      <c r="I107" s="42"/>
      <c r="J107" s="42"/>
      <c r="K107" s="53"/>
      <c r="L107" s="44"/>
      <c r="M107" s="42"/>
      <c r="N107" s="52" t="str">
        <f t="shared" si="1"/>
        <v>(S16,'','','1900-01-00','1900-01-00',,,),</v>
      </c>
    </row>
    <row r="108" spans="1:14" ht="20.100000000000001" customHeight="1" x14ac:dyDescent="0.25">
      <c r="A108" s="39" t="s">
        <v>931</v>
      </c>
      <c r="B108" s="40"/>
      <c r="C108" s="52"/>
      <c r="D108" s="19"/>
      <c r="E108" s="19"/>
      <c r="F108" s="42"/>
      <c r="G108" s="42"/>
      <c r="H108" s="42"/>
      <c r="I108" s="42"/>
      <c r="J108" s="42"/>
      <c r="K108" s="53"/>
      <c r="L108" s="44"/>
      <c r="M108" s="42"/>
      <c r="N108" s="52" t="str">
        <f t="shared" si="1"/>
        <v>(S17,'','','1900-01-00','1900-01-00',,,),</v>
      </c>
    </row>
    <row r="109" spans="1:14" ht="20.100000000000001" customHeight="1" x14ac:dyDescent="0.25">
      <c r="A109" s="39" t="s">
        <v>932</v>
      </c>
      <c r="B109" s="40"/>
      <c r="C109" s="52"/>
      <c r="D109" s="19"/>
      <c r="E109" s="19"/>
      <c r="F109" s="42"/>
      <c r="G109" s="42"/>
      <c r="H109" s="42"/>
      <c r="I109" s="42"/>
      <c r="J109" s="42"/>
      <c r="K109" s="53"/>
      <c r="L109" s="44"/>
      <c r="M109" s="42"/>
      <c r="N109" s="52" t="str">
        <f t="shared" si="1"/>
        <v>(S18,'','','1900-01-00','1900-01-00',,,),</v>
      </c>
    </row>
    <row r="110" spans="1:14" ht="20.100000000000001" customHeight="1" x14ac:dyDescent="0.25">
      <c r="A110" s="39" t="s">
        <v>933</v>
      </c>
      <c r="B110" s="40"/>
      <c r="C110" s="52"/>
      <c r="D110" s="19"/>
      <c r="E110" s="19"/>
      <c r="F110" s="42"/>
      <c r="G110" s="42"/>
      <c r="H110" s="42"/>
      <c r="I110" s="42"/>
      <c r="J110" s="42"/>
      <c r="K110" s="53"/>
      <c r="L110" s="44"/>
      <c r="M110" s="42"/>
      <c r="N110" s="52" t="str">
        <f t="shared" si="1"/>
        <v>(S19,'','','1900-01-00','1900-01-00',,,),</v>
      </c>
    </row>
    <row r="111" spans="1:14" ht="20.100000000000001" customHeight="1" x14ac:dyDescent="0.25">
      <c r="A111" s="39" t="s">
        <v>934</v>
      </c>
      <c r="B111" s="40"/>
      <c r="C111" s="52"/>
      <c r="D111" s="19"/>
      <c r="E111" s="19"/>
      <c r="F111" s="42"/>
      <c r="G111" s="42"/>
      <c r="H111" s="42"/>
      <c r="I111" s="42"/>
      <c r="J111" s="42"/>
      <c r="K111" s="53"/>
      <c r="L111" s="44"/>
      <c r="M111" s="42"/>
      <c r="N111" s="52" t="str">
        <f t="shared" si="1"/>
        <v>(S20,'','','1900-01-00','1900-01-00',,,),</v>
      </c>
    </row>
    <row r="112" spans="1:14" ht="20.100000000000001" customHeight="1" x14ac:dyDescent="0.25">
      <c r="A112" s="39" t="s">
        <v>935</v>
      </c>
      <c r="B112" s="40"/>
      <c r="C112" s="52"/>
      <c r="D112" s="19"/>
      <c r="E112" s="19"/>
      <c r="F112" s="42"/>
      <c r="G112" s="42"/>
      <c r="H112" s="42"/>
      <c r="I112" s="42"/>
      <c r="J112" s="42"/>
      <c r="K112" s="53"/>
      <c r="L112" s="44"/>
      <c r="M112" s="42"/>
      <c r="N112" s="52" t="str">
        <f t="shared" si="1"/>
        <v>(S21,'','','1900-01-00','1900-01-00',,,),</v>
      </c>
    </row>
    <row r="113" spans="1:14" ht="20.100000000000001" customHeight="1" x14ac:dyDescent="0.25">
      <c r="A113" s="39" t="s">
        <v>936</v>
      </c>
      <c r="B113" s="40"/>
      <c r="C113" s="52"/>
      <c r="D113" s="19"/>
      <c r="E113" s="19"/>
      <c r="F113" s="42"/>
      <c r="G113" s="42"/>
      <c r="H113" s="42"/>
      <c r="I113" s="42"/>
      <c r="J113" s="42"/>
      <c r="K113" s="53"/>
      <c r="L113" s="44"/>
      <c r="M113" s="42"/>
      <c r="N113" s="52" t="str">
        <f t="shared" si="1"/>
        <v>(S22,'','','1900-01-00','1900-01-00',,,),</v>
      </c>
    </row>
    <row r="114" spans="1:14" ht="20.100000000000001" customHeight="1" x14ac:dyDescent="0.25">
      <c r="A114" s="39">
        <v>1</v>
      </c>
      <c r="B114" s="40"/>
      <c r="C114" s="52"/>
      <c r="D114" s="19"/>
      <c r="E114" s="19"/>
      <c r="F114" s="42"/>
      <c r="G114" s="42"/>
      <c r="H114" s="42"/>
      <c r="I114" s="42"/>
      <c r="J114" s="42"/>
      <c r="K114" s="53"/>
      <c r="L114" s="44"/>
      <c r="M114" s="42"/>
      <c r="N114" s="52" t="str">
        <f t="shared" si="1"/>
        <v>(1,'','','1900-01-00','1900-01-00',,,),</v>
      </c>
    </row>
    <row r="115" spans="1:14" ht="20.100000000000001" customHeight="1" x14ac:dyDescent="0.25">
      <c r="A115" s="39">
        <v>2</v>
      </c>
      <c r="B115" s="40"/>
      <c r="C115" s="52"/>
      <c r="D115" s="19"/>
      <c r="E115" s="19"/>
      <c r="F115" s="42"/>
      <c r="G115" s="42"/>
      <c r="H115" s="42"/>
      <c r="I115" s="42"/>
      <c r="J115" s="42"/>
      <c r="K115" s="53"/>
      <c r="L115" s="44"/>
      <c r="M115" s="42"/>
      <c r="N115" s="52" t="str">
        <f t="shared" si="1"/>
        <v>(2,'','','1900-01-00','1900-01-00',,,),</v>
      </c>
    </row>
    <row r="116" spans="1:14" ht="20.100000000000001" customHeight="1" x14ac:dyDescent="0.25">
      <c r="A116" s="39">
        <v>3</v>
      </c>
      <c r="B116" s="40"/>
      <c r="C116" s="52"/>
      <c r="D116" s="19"/>
      <c r="E116" s="19"/>
      <c r="F116" s="42"/>
      <c r="G116" s="42"/>
      <c r="H116" s="42"/>
      <c r="I116" s="42"/>
      <c r="J116" s="42"/>
      <c r="K116" s="53"/>
      <c r="L116" s="44"/>
      <c r="M116" s="42"/>
      <c r="N116" s="52" t="str">
        <f t="shared" si="1"/>
        <v>(3,'','','1900-01-00','1900-01-00',,,),</v>
      </c>
    </row>
    <row r="117" spans="1:14" ht="20.100000000000001" customHeight="1" x14ac:dyDescent="0.25">
      <c r="A117" s="39">
        <v>4</v>
      </c>
      <c r="B117" s="40"/>
      <c r="C117" s="52"/>
      <c r="D117" s="19"/>
      <c r="E117" s="19"/>
      <c r="F117" s="42"/>
      <c r="G117" s="42"/>
      <c r="H117" s="42"/>
      <c r="I117" s="42"/>
      <c r="J117" s="42"/>
      <c r="K117" s="53"/>
      <c r="L117" s="44"/>
      <c r="M117" s="42"/>
      <c r="N117" s="52" t="str">
        <f t="shared" si="1"/>
        <v>(4,'','','1900-01-00','1900-01-00',,,),</v>
      </c>
    </row>
    <row r="118" spans="1:14" ht="20.100000000000001" customHeight="1" x14ac:dyDescent="0.25">
      <c r="A118" s="39">
        <v>5</v>
      </c>
      <c r="B118" s="40"/>
      <c r="C118" s="52"/>
      <c r="D118" s="19"/>
      <c r="E118" s="19"/>
      <c r="F118" s="42"/>
      <c r="G118" s="42"/>
      <c r="H118" s="42"/>
      <c r="I118" s="42"/>
      <c r="J118" s="42"/>
      <c r="K118" s="53"/>
      <c r="L118" s="44"/>
      <c r="M118" s="42"/>
      <c r="N118" s="52" t="str">
        <f t="shared" si="1"/>
        <v>(5,'','','1900-01-00','1900-01-00',,,),</v>
      </c>
    </row>
    <row r="119" spans="1:14" ht="20.100000000000001" customHeight="1" x14ac:dyDescent="0.25">
      <c r="A119" s="39">
        <v>6</v>
      </c>
      <c r="B119" s="40"/>
      <c r="C119" s="52"/>
      <c r="D119" s="19"/>
      <c r="E119" s="19"/>
      <c r="F119" s="42"/>
      <c r="G119" s="42"/>
      <c r="H119" s="42"/>
      <c r="I119" s="42"/>
      <c r="J119" s="42"/>
      <c r="K119" s="53"/>
      <c r="L119" s="44"/>
      <c r="M119" s="42"/>
      <c r="N119" s="52" t="str">
        <f t="shared" si="1"/>
        <v>(6,'','','1900-01-00','1900-01-00',,,),</v>
      </c>
    </row>
    <row r="120" spans="1:14" ht="20.100000000000001" customHeight="1" x14ac:dyDescent="0.25">
      <c r="A120" s="39">
        <v>7</v>
      </c>
      <c r="B120" s="40"/>
      <c r="C120" s="52"/>
      <c r="D120" s="19"/>
      <c r="E120" s="19"/>
      <c r="F120" s="42"/>
      <c r="G120" s="42"/>
      <c r="H120" s="42"/>
      <c r="I120" s="42"/>
      <c r="J120" s="42"/>
      <c r="K120" s="53"/>
      <c r="L120" s="44"/>
      <c r="M120" s="42"/>
      <c r="N120" s="52" t="str">
        <f t="shared" si="1"/>
        <v>(7,'','','1900-01-00','1900-01-00',,,),</v>
      </c>
    </row>
    <row r="121" spans="1:14" ht="20.100000000000001" customHeight="1" x14ac:dyDescent="0.25">
      <c r="A121" s="39">
        <v>1</v>
      </c>
      <c r="B121" s="40"/>
      <c r="C121" s="52"/>
      <c r="D121" s="19"/>
      <c r="E121" s="19"/>
      <c r="F121" s="42"/>
      <c r="G121" s="42"/>
      <c r="H121" s="42"/>
      <c r="I121" s="42"/>
      <c r="J121" s="42"/>
      <c r="K121" s="53"/>
      <c r="L121" s="44"/>
      <c r="M121" s="42"/>
      <c r="N121" s="52" t="str">
        <f t="shared" si="1"/>
        <v>(1,'','','1900-01-00','1900-01-00',,,),</v>
      </c>
    </row>
    <row r="122" spans="1:14" ht="20.100000000000001" customHeight="1" x14ac:dyDescent="0.25">
      <c r="A122" s="39">
        <v>2</v>
      </c>
      <c r="B122" s="40"/>
      <c r="C122" s="52"/>
      <c r="D122" s="19"/>
      <c r="E122" s="19"/>
      <c r="F122" s="42"/>
      <c r="G122" s="42"/>
      <c r="H122" s="42"/>
      <c r="I122" s="42"/>
      <c r="J122" s="42"/>
      <c r="K122" s="53"/>
      <c r="L122" s="44"/>
      <c r="M122" s="42"/>
      <c r="N122" s="52" t="str">
        <f t="shared" si="1"/>
        <v>(2,'','','1900-01-00','1900-01-00',,,),</v>
      </c>
    </row>
    <row r="123" spans="1:14" ht="20.100000000000001" customHeight="1" x14ac:dyDescent="0.25">
      <c r="A123" s="39">
        <v>3</v>
      </c>
      <c r="B123" s="40"/>
      <c r="C123" s="52"/>
      <c r="D123" s="19"/>
      <c r="E123" s="19"/>
      <c r="F123" s="42"/>
      <c r="G123" s="42"/>
      <c r="H123" s="42"/>
      <c r="I123" s="42"/>
      <c r="J123" s="42"/>
      <c r="K123" s="53"/>
      <c r="L123" s="44"/>
      <c r="M123" s="42"/>
      <c r="N123" s="52" t="str">
        <f t="shared" si="1"/>
        <v>(3,'','','1900-01-00','1900-01-00',,,),</v>
      </c>
    </row>
    <row r="124" spans="1:14" ht="20.100000000000001" customHeight="1" x14ac:dyDescent="0.25">
      <c r="A124" s="39">
        <v>4</v>
      </c>
      <c r="B124" s="40"/>
      <c r="C124" s="52"/>
      <c r="D124" s="19"/>
      <c r="E124" s="19"/>
      <c r="F124" s="42"/>
      <c r="G124" s="42"/>
      <c r="H124" s="42"/>
      <c r="I124" s="42"/>
      <c r="J124" s="42"/>
      <c r="K124" s="53"/>
      <c r="L124" s="44"/>
      <c r="M124" s="42"/>
      <c r="N124" s="52" t="str">
        <f t="shared" si="1"/>
        <v>(4,'','','1900-01-00','1900-01-00',,,),</v>
      </c>
    </row>
    <row r="125" spans="1:14" ht="20.100000000000001" customHeight="1" x14ac:dyDescent="0.25">
      <c r="A125" s="39">
        <v>5</v>
      </c>
      <c r="B125" s="40"/>
      <c r="C125" s="52"/>
      <c r="D125" s="19"/>
      <c r="E125" s="19"/>
      <c r="F125" s="42"/>
      <c r="G125" s="42"/>
      <c r="H125" s="42"/>
      <c r="I125" s="42"/>
      <c r="J125" s="42"/>
      <c r="K125" s="53"/>
      <c r="L125" s="44"/>
      <c r="M125" s="42"/>
      <c r="N125" s="52" t="str">
        <f t="shared" si="1"/>
        <v>(5,'','','1900-01-00','1900-01-00',,,),</v>
      </c>
    </row>
    <row r="126" spans="1:14" ht="20.100000000000001" customHeight="1" x14ac:dyDescent="0.25">
      <c r="A126" s="39">
        <v>6</v>
      </c>
      <c r="B126" s="40"/>
      <c r="C126" s="52"/>
      <c r="D126" s="19"/>
      <c r="E126" s="19"/>
      <c r="F126" s="42"/>
      <c r="G126" s="42"/>
      <c r="H126" s="42"/>
      <c r="I126" s="42"/>
      <c r="J126" s="42"/>
      <c r="K126" s="53"/>
      <c r="L126" s="44"/>
      <c r="M126" s="42"/>
      <c r="N126" s="52" t="str">
        <f t="shared" si="1"/>
        <v>(6,'','','1900-01-00','1900-01-00',,,),</v>
      </c>
    </row>
    <row r="127" spans="1:14" ht="20.100000000000001" customHeight="1" x14ac:dyDescent="0.25">
      <c r="A127" s="39">
        <v>7</v>
      </c>
      <c r="B127" s="40"/>
      <c r="C127" s="52"/>
      <c r="D127" s="19"/>
      <c r="E127" s="19"/>
      <c r="F127" s="42"/>
      <c r="G127" s="42"/>
      <c r="H127" s="42"/>
      <c r="I127" s="42"/>
      <c r="J127" s="42"/>
      <c r="K127" s="53"/>
      <c r="L127" s="44"/>
      <c r="M127" s="42"/>
      <c r="N127" s="52" t="str">
        <f t="shared" si="1"/>
        <v>(7,'','','1900-01-00','1900-01-00',,,),</v>
      </c>
    </row>
    <row r="128" spans="1:14" ht="20.100000000000001" customHeight="1" x14ac:dyDescent="0.25">
      <c r="A128" s="39">
        <v>1</v>
      </c>
      <c r="B128" s="40"/>
      <c r="C128" s="52"/>
      <c r="D128" s="19"/>
      <c r="E128" s="19"/>
      <c r="F128" s="42"/>
      <c r="G128" s="42"/>
      <c r="H128" s="42"/>
      <c r="I128" s="42"/>
      <c r="J128" s="42"/>
      <c r="K128" s="53"/>
      <c r="L128" s="44"/>
      <c r="M128" s="42"/>
      <c r="N128" s="52" t="str">
        <f t="shared" si="1"/>
        <v>(1,'','','1900-01-00','1900-01-00',,,),</v>
      </c>
    </row>
    <row r="129" spans="1:14" ht="20.100000000000001" customHeight="1" x14ac:dyDescent="0.25">
      <c r="A129" s="39">
        <v>2</v>
      </c>
      <c r="B129" s="40"/>
      <c r="C129" s="52"/>
      <c r="D129" s="19"/>
      <c r="E129" s="19"/>
      <c r="F129" s="42"/>
      <c r="G129" s="42"/>
      <c r="H129" s="42"/>
      <c r="I129" s="42"/>
      <c r="J129" s="42"/>
      <c r="K129" s="53"/>
      <c r="L129" s="44"/>
      <c r="M129" s="42"/>
      <c r="N129" s="52" t="str">
        <f t="shared" si="1"/>
        <v>(2,'','','1900-01-00','1900-01-00',,,),</v>
      </c>
    </row>
    <row r="130" spans="1:14" ht="20.100000000000001" customHeight="1" x14ac:dyDescent="0.25">
      <c r="A130" s="39">
        <v>3</v>
      </c>
      <c r="B130" s="40"/>
      <c r="C130" s="52"/>
      <c r="D130" s="19"/>
      <c r="E130" s="19"/>
      <c r="F130" s="42"/>
      <c r="G130" s="42"/>
      <c r="H130" s="42"/>
      <c r="I130" s="42"/>
      <c r="J130" s="42"/>
      <c r="K130" s="53"/>
      <c r="L130" s="44"/>
      <c r="M130" s="42"/>
      <c r="N130" s="52" t="str">
        <f t="shared" si="1"/>
        <v>(3,'','','1900-01-00','1900-01-00',,,),</v>
      </c>
    </row>
    <row r="131" spans="1:14" ht="20.100000000000001" customHeight="1" x14ac:dyDescent="0.25">
      <c r="A131" s="39">
        <v>4</v>
      </c>
      <c r="B131" s="40"/>
      <c r="C131" s="52"/>
      <c r="D131" s="19"/>
      <c r="E131" s="19"/>
      <c r="F131" s="42"/>
      <c r="G131" s="42"/>
      <c r="H131" s="42"/>
      <c r="I131" s="42"/>
      <c r="J131" s="42"/>
      <c r="K131" s="53"/>
      <c r="L131" s="44"/>
      <c r="M131" s="42"/>
      <c r="N131" s="52" t="str">
        <f t="shared" ref="N131:N194" si="2">CONCATENATE("(",A131,",'",B131,"','",C131,"','",TEXT(D131,"aaaa-mm-jj"),"','",TEXT(E131,"aaaa-mm-jj"),"',",F131,",",G131,",",H131,"),")</f>
        <v>(4,'','','1900-01-00','1900-01-00',,,),</v>
      </c>
    </row>
    <row r="132" spans="1:14" ht="20.100000000000001" customHeight="1" x14ac:dyDescent="0.25">
      <c r="A132" s="39">
        <v>1</v>
      </c>
      <c r="B132" s="40"/>
      <c r="C132" s="52"/>
      <c r="D132" s="19"/>
      <c r="E132" s="19"/>
      <c r="F132" s="42"/>
      <c r="G132" s="42"/>
      <c r="H132" s="42"/>
      <c r="I132" s="42"/>
      <c r="J132" s="42"/>
      <c r="K132" s="53"/>
      <c r="L132" s="44"/>
      <c r="M132" s="42"/>
      <c r="N132" s="52" t="str">
        <f t="shared" si="2"/>
        <v>(1,'','','1900-01-00','1900-01-00',,,),</v>
      </c>
    </row>
    <row r="133" spans="1:14" ht="20.100000000000001" customHeight="1" x14ac:dyDescent="0.25">
      <c r="A133" s="39">
        <v>2</v>
      </c>
      <c r="B133" s="40"/>
      <c r="C133" s="52"/>
      <c r="D133" s="19"/>
      <c r="E133" s="19"/>
      <c r="F133" s="42"/>
      <c r="G133" s="42"/>
      <c r="H133" s="42"/>
      <c r="I133" s="42"/>
      <c r="J133" s="42"/>
      <c r="K133" s="53"/>
      <c r="L133" s="44"/>
      <c r="M133" s="42"/>
      <c r="N133" s="52" t="str">
        <f t="shared" si="2"/>
        <v>(2,'','','1900-01-00','1900-01-00',,,),</v>
      </c>
    </row>
    <row r="134" spans="1:14" ht="20.100000000000001" customHeight="1" x14ac:dyDescent="0.25">
      <c r="A134" s="39">
        <v>3</v>
      </c>
      <c r="B134" s="40"/>
      <c r="C134" s="52"/>
      <c r="D134" s="19"/>
      <c r="E134" s="19"/>
      <c r="F134" s="42"/>
      <c r="G134" s="42"/>
      <c r="H134" s="42"/>
      <c r="I134" s="42"/>
      <c r="J134" s="42"/>
      <c r="K134" s="53"/>
      <c r="L134" s="44"/>
      <c r="M134" s="42"/>
      <c r="N134" s="52" t="str">
        <f t="shared" si="2"/>
        <v>(3,'','','1900-01-00','1900-01-00',,,),</v>
      </c>
    </row>
    <row r="135" spans="1:14" ht="20.100000000000001" customHeight="1" x14ac:dyDescent="0.25">
      <c r="A135" s="39">
        <v>4</v>
      </c>
      <c r="B135" s="40"/>
      <c r="C135" s="52"/>
      <c r="D135" s="19"/>
      <c r="E135" s="19"/>
      <c r="F135" s="42"/>
      <c r="G135" s="42"/>
      <c r="H135" s="42"/>
      <c r="I135" s="42"/>
      <c r="J135" s="42"/>
      <c r="K135" s="53"/>
      <c r="L135" s="44"/>
      <c r="M135" s="42"/>
      <c r="N135" s="52" t="str">
        <f t="shared" si="2"/>
        <v>(4,'','','1900-01-00','1900-01-00',,,),</v>
      </c>
    </row>
    <row r="136" spans="1:14" ht="20.100000000000001" customHeight="1" x14ac:dyDescent="0.25">
      <c r="A136" s="39">
        <v>5</v>
      </c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 t="str">
        <f t="shared" si="2"/>
        <v>(5,'','','1900-01-00','1900-01-00',,,),</v>
      </c>
    </row>
    <row r="137" spans="1:14" ht="20.100000000000001" customHeight="1" x14ac:dyDescent="0.25">
      <c r="A137" s="39">
        <v>6</v>
      </c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si="2"/>
        <v>(6,'','','1900-01-00','1900-01-00',,,),</v>
      </c>
    </row>
    <row r="138" spans="1:14" ht="20.100000000000001" customHeight="1" x14ac:dyDescent="0.25">
      <c r="A138" s="39">
        <v>7</v>
      </c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2"/>
        <v>(7,'','','1900-01-00','1900-01-00',,,),</v>
      </c>
    </row>
    <row r="139" spans="1:14" ht="20.100000000000001" customHeight="1" x14ac:dyDescent="0.25">
      <c r="A139" s="39">
        <v>8</v>
      </c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2"/>
        <v>(8,'','','1900-01-00','1900-01-00',,,),</v>
      </c>
    </row>
    <row r="140" spans="1:14" ht="20.100000000000001" customHeight="1" x14ac:dyDescent="0.25">
      <c r="A140" s="39">
        <v>9</v>
      </c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2"/>
        <v>(9,'','','1900-01-00','1900-01-00',,,),</v>
      </c>
    </row>
    <row r="141" spans="1:14" ht="20.100000000000001" customHeight="1" x14ac:dyDescent="0.25">
      <c r="A141" s="39">
        <v>10</v>
      </c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2"/>
        <v>(10,'','','1900-01-00','1900-01-00',,,),</v>
      </c>
    </row>
    <row r="142" spans="1:14" ht="20.100000000000001" customHeight="1" x14ac:dyDescent="0.25">
      <c r="A142" s="39">
        <v>1</v>
      </c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2"/>
        <v>(1,'','','1900-01-00','1900-01-00',,,),</v>
      </c>
    </row>
    <row r="143" spans="1:14" ht="20.100000000000001" customHeight="1" x14ac:dyDescent="0.25">
      <c r="A143" s="39">
        <v>2</v>
      </c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2"/>
        <v>(2,'','','1900-01-00','1900-01-00',,,),</v>
      </c>
    </row>
    <row r="144" spans="1:14" ht="20.100000000000001" customHeight="1" x14ac:dyDescent="0.2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2"/>
        <v>(,'','','1900-01-00','1900-01-00',,,),</v>
      </c>
    </row>
    <row r="145" spans="1:14" ht="20.100000000000001" customHeight="1" x14ac:dyDescent="0.2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2"/>
        <v>(,'','','1900-01-00','1900-01-00',,,),</v>
      </c>
    </row>
    <row r="146" spans="1:14" ht="20.100000000000001" customHeight="1" x14ac:dyDescent="0.2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2"/>
        <v>(,'','','1900-01-00','1900-01-00',,,),</v>
      </c>
    </row>
    <row r="147" spans="1:14" ht="20.100000000000001" customHeight="1" x14ac:dyDescent="0.2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2"/>
        <v>(,'','','1900-01-00','1900-01-00',,,),</v>
      </c>
    </row>
    <row r="148" spans="1:14" ht="20.100000000000001" customHeight="1" x14ac:dyDescent="0.2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2"/>
        <v>(,'','','1900-01-00','1900-01-00',,,),</v>
      </c>
    </row>
    <row r="149" spans="1:14" ht="20.100000000000001" customHeight="1" x14ac:dyDescent="0.2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2"/>
        <v>(,'','','1900-01-00','1900-01-00',,,),</v>
      </c>
    </row>
    <row r="150" spans="1:14" ht="20.100000000000001" customHeight="1" x14ac:dyDescent="0.2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2"/>
        <v>(,'','','1900-01-00','1900-01-00',,,),</v>
      </c>
    </row>
    <row r="151" spans="1:14" ht="20.100000000000001" customHeight="1" x14ac:dyDescent="0.2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2"/>
        <v>(,'','','1900-01-00','1900-01-00',,,),</v>
      </c>
    </row>
    <row r="152" spans="1:14" ht="20.100000000000001" customHeight="1" x14ac:dyDescent="0.2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2"/>
        <v>(,'','','1900-01-00','1900-01-00',,,),</v>
      </c>
    </row>
    <row r="153" spans="1:14" ht="20.100000000000001" customHeight="1" x14ac:dyDescent="0.2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2"/>
        <v>(,'','','1900-01-00','1900-01-00',,,),</v>
      </c>
    </row>
    <row r="154" spans="1:14" ht="20.100000000000001" customHeight="1" x14ac:dyDescent="0.2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2"/>
        <v>(,'','','1900-01-00','1900-01-00',,,),</v>
      </c>
    </row>
    <row r="155" spans="1:14" ht="20.100000000000001" customHeight="1" x14ac:dyDescent="0.2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2"/>
        <v>(,'','','1900-01-00','1900-01-00',,,),</v>
      </c>
    </row>
    <row r="156" spans="1:14" ht="20.100000000000001" customHeight="1" x14ac:dyDescent="0.2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2"/>
        <v>(,'','','1900-01-00','1900-01-00',,,),</v>
      </c>
    </row>
    <row r="157" spans="1:14" ht="20.100000000000001" customHeight="1" x14ac:dyDescent="0.2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2"/>
        <v>(,'','','1900-01-00','1900-01-00',,,),</v>
      </c>
    </row>
    <row r="158" spans="1:14" ht="20.100000000000001" customHeight="1" x14ac:dyDescent="0.2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2"/>
        <v>(,'','','1900-01-00','1900-01-00',,,),</v>
      </c>
    </row>
    <row r="159" spans="1:14" ht="20.100000000000001" customHeight="1" x14ac:dyDescent="0.2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2"/>
        <v>(,'','','1900-01-00','1900-01-00',,,),</v>
      </c>
    </row>
    <row r="160" spans="1:14" ht="20.100000000000001" customHeight="1" x14ac:dyDescent="0.2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2"/>
        <v>(,'','','1900-01-00','1900-01-00',,,),</v>
      </c>
    </row>
    <row r="161" spans="1:14" ht="20.100000000000001" customHeight="1" x14ac:dyDescent="0.2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2"/>
        <v>(,'','','1900-01-00','1900-01-00',,,),</v>
      </c>
    </row>
    <row r="162" spans="1:14" ht="20.100000000000001" customHeight="1" x14ac:dyDescent="0.2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2"/>
        <v>(,'','','1900-01-00','1900-01-00',,,),</v>
      </c>
    </row>
    <row r="163" spans="1:14" ht="20.100000000000001" customHeight="1" x14ac:dyDescent="0.2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2"/>
        <v>(,'','','1900-01-00','1900-01-00',,,),</v>
      </c>
    </row>
    <row r="164" spans="1:14" ht="20.100000000000001" customHeight="1" x14ac:dyDescent="0.2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2"/>
        <v>(,'','','1900-01-00','1900-01-00',,,),</v>
      </c>
    </row>
    <row r="165" spans="1:14" ht="20.100000000000001" customHeight="1" x14ac:dyDescent="0.2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2"/>
        <v>(,'','','1900-01-00','1900-01-00',,,),</v>
      </c>
    </row>
    <row r="166" spans="1:14" ht="20.100000000000001" customHeight="1" x14ac:dyDescent="0.2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2"/>
        <v>(,'','','1900-01-00','1900-01-00',,,),</v>
      </c>
    </row>
    <row r="167" spans="1:14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2"/>
        <v>(,'','','1900-01-00','1900-01-00',,,),</v>
      </c>
    </row>
    <row r="168" spans="1:14" ht="20.100000000000001" customHeight="1" x14ac:dyDescent="0.2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2"/>
        <v>(,'','','1900-01-00','1900-01-00',,,),</v>
      </c>
    </row>
    <row r="169" spans="1:14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2"/>
        <v>(,'','','1900-01-00','1900-01-00',,,),</v>
      </c>
    </row>
    <row r="170" spans="1:14" ht="20.100000000000001" customHeight="1" x14ac:dyDescent="0.2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2"/>
        <v>(,'','','1900-01-00','1900-01-00',,,),</v>
      </c>
    </row>
    <row r="171" spans="1:14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2"/>
        <v>(,'','','1900-01-00','1900-01-00',,,),</v>
      </c>
    </row>
    <row r="172" spans="1:14" ht="20.100000000000001" customHeight="1" x14ac:dyDescent="0.2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2"/>
        <v>(,'','','1900-01-00','1900-01-00',,,),</v>
      </c>
    </row>
    <row r="173" spans="1:14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2"/>
        <v>(,'','','1900-01-00','1900-01-00',,,),</v>
      </c>
    </row>
    <row r="174" spans="1:14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2"/>
        <v>(,'','','1900-01-00','1900-01-00',,,),</v>
      </c>
    </row>
    <row r="175" spans="1:14" ht="20.100000000000001" customHeight="1" x14ac:dyDescent="0.2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2"/>
        <v>(,'','','1900-01-00','1900-01-00',,,),</v>
      </c>
    </row>
    <row r="176" spans="1:14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2"/>
        <v>(,'','','1900-01-00','1900-01-00',,,),</v>
      </c>
    </row>
    <row r="177" spans="1:14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2"/>
        <v>(,'','','1900-01-00','1900-01-00',,,),</v>
      </c>
    </row>
    <row r="178" spans="1:14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2"/>
        <v>(,'','','1900-01-00','1900-01-00',,,),</v>
      </c>
    </row>
    <row r="179" spans="1:14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2"/>
        <v>(,'','','1900-01-00','1900-01-00',,,),</v>
      </c>
    </row>
    <row r="180" spans="1:14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2"/>
        <v>(,'','','1900-01-00','1900-01-00',,,),</v>
      </c>
    </row>
    <row r="181" spans="1:14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2"/>
        <v>(,'','','1900-01-00','1900-01-00',,,),</v>
      </c>
    </row>
    <row r="182" spans="1:14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2"/>
        <v>(,'','','1900-01-00','1900-01-00',,,),</v>
      </c>
    </row>
    <row r="183" spans="1:14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2"/>
        <v>(,'','','1900-01-00','1900-01-00',,,),</v>
      </c>
    </row>
    <row r="184" spans="1:14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2"/>
        <v>(,'','','1900-01-00','1900-01-00',,,),</v>
      </c>
    </row>
    <row r="185" spans="1:14" ht="20.100000000000001" customHeight="1" x14ac:dyDescent="0.2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2"/>
        <v>(,'','','1900-01-00','1900-01-00',,,),</v>
      </c>
    </row>
    <row r="186" spans="1:14" ht="20.100000000000001" customHeight="1" x14ac:dyDescent="0.2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2"/>
        <v>(,'','','1900-01-00','1900-01-00',,,),</v>
      </c>
    </row>
    <row r="187" spans="1:14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2"/>
        <v>(,'','','1900-01-00','1900-01-00',,,),</v>
      </c>
    </row>
    <row r="188" spans="1:14" ht="20.100000000000001" customHeight="1" x14ac:dyDescent="0.2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2"/>
        <v>(,'','','1900-01-00','1900-01-00',,,),</v>
      </c>
    </row>
    <row r="189" spans="1:14" ht="20.100000000000001" customHeight="1" x14ac:dyDescent="0.2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2"/>
        <v>(,'','','1900-01-00','1900-01-00',,,),</v>
      </c>
    </row>
    <row r="190" spans="1:14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2"/>
        <v>(,'','','1900-01-00','1900-01-00',,,),</v>
      </c>
    </row>
    <row r="191" spans="1:14" ht="20.100000000000001" customHeight="1" x14ac:dyDescent="0.2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2"/>
        <v>(,'','','1900-01-00','1900-01-00',,,),</v>
      </c>
    </row>
    <row r="192" spans="1:14" ht="20.100000000000001" customHeight="1" x14ac:dyDescent="0.2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2"/>
        <v>(,'','','1900-01-00','1900-01-00',,,),</v>
      </c>
    </row>
    <row r="193" spans="1:14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2"/>
        <v>(,'','','1900-01-00','1900-01-00',,,),</v>
      </c>
    </row>
    <row r="194" spans="1:14" ht="20.100000000000001" customHeight="1" x14ac:dyDescent="0.2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2"/>
        <v>(,'','','1900-01-00','1900-01-00',,,),</v>
      </c>
    </row>
    <row r="195" spans="1:14" ht="20.100000000000001" customHeight="1" x14ac:dyDescent="0.2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3">CONCATENATE("(",A195,",'",B195,"','",C195,"','",TEXT(D195,"aaaa-mm-jj"),"','",TEXT(E195,"aaaa-mm-jj"),"',",F195,",",G195,",",H195,"),")</f>
        <v>(,'','','1900-01-00','1900-01-00',,,),</v>
      </c>
    </row>
    <row r="196" spans="1:14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3"/>
        <v>(,'','','1900-01-00','1900-01-00',,,),</v>
      </c>
    </row>
    <row r="197" spans="1:14" ht="20.100000000000001" customHeight="1" x14ac:dyDescent="0.2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3"/>
        <v>(,'','','1900-01-00','1900-01-00',,,),</v>
      </c>
    </row>
    <row r="198" spans="1:14" ht="20.100000000000001" customHeight="1" x14ac:dyDescent="0.2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3"/>
        <v>(,'','','1900-01-00','1900-01-00',,,),</v>
      </c>
    </row>
    <row r="199" spans="1:14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3"/>
        <v>(,'','','1900-01-00','1900-01-00',,,),</v>
      </c>
    </row>
    <row r="200" spans="1:14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3"/>
        <v>(,'','','1900-01-00','1900-01-00',,,),</v>
      </c>
    </row>
    <row r="201" spans="1:14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3"/>
        <v>(,'','','1900-01-00','1900-01-00',,,),</v>
      </c>
    </row>
    <row r="202" spans="1:14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3"/>
        <v>(,'','','1900-01-00','1900-01-00',,,),</v>
      </c>
    </row>
    <row r="203" spans="1:14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3"/>
        <v>(,'','','1900-01-00','1900-01-00',,,),</v>
      </c>
    </row>
    <row r="204" spans="1:14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3"/>
        <v>(,'','','1900-01-00','1900-01-00',,,),</v>
      </c>
    </row>
    <row r="205" spans="1:14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3"/>
        <v>(,'','','1900-01-00','1900-01-00',,,),</v>
      </c>
    </row>
    <row r="206" spans="1:14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3"/>
        <v>(,'','','1900-01-00','1900-01-00',,,),</v>
      </c>
    </row>
    <row r="207" spans="1:14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3"/>
        <v>(,'','','1900-01-00','1900-01-00',,,),</v>
      </c>
    </row>
    <row r="208" spans="1:14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3"/>
        <v>(,'','','1900-01-00','1900-01-00',,,),</v>
      </c>
    </row>
    <row r="209" spans="1:14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3"/>
        <v>(,'','','1900-01-00','1900-01-00',,,),</v>
      </c>
    </row>
    <row r="210" spans="1:14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3"/>
        <v>(,'','','1900-01-00','1900-01-00',,,),</v>
      </c>
    </row>
    <row r="211" spans="1:14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3"/>
        <v>(,'','','1900-01-00','1900-01-00',,,),</v>
      </c>
    </row>
    <row r="212" spans="1:14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3"/>
        <v>(,'','','1900-01-00','1900-01-00',,,),</v>
      </c>
    </row>
    <row r="213" spans="1:14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3"/>
        <v>(,'','','1900-01-00','1900-01-00',,,),</v>
      </c>
    </row>
    <row r="214" spans="1:14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3"/>
        <v>(,'','','1900-01-00','1900-01-00',,,),</v>
      </c>
    </row>
    <row r="215" spans="1:14" ht="20.100000000000001" customHeight="1" x14ac:dyDescent="0.2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3"/>
        <v>(,'','','1900-01-00','1900-01-00',,,),</v>
      </c>
    </row>
    <row r="216" spans="1:14" ht="20.100000000000001" customHeight="1" x14ac:dyDescent="0.2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3"/>
        <v>(,'','','1900-01-00','1900-01-00',,,),</v>
      </c>
    </row>
    <row r="217" spans="1:14" ht="20.100000000000001" customHeight="1" x14ac:dyDescent="0.2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3"/>
        <v>(,'','','1900-01-00','1900-01-00',,,),</v>
      </c>
    </row>
    <row r="218" spans="1:14" ht="20.100000000000001" customHeight="1" x14ac:dyDescent="0.2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3"/>
        <v>(,'','','1900-01-00','1900-01-00',,,),</v>
      </c>
    </row>
    <row r="219" spans="1:14" ht="20.100000000000001" customHeight="1" x14ac:dyDescent="0.2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3"/>
        <v>(,'','','1900-01-00','1900-01-00',,,),</v>
      </c>
    </row>
    <row r="220" spans="1:14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3"/>
        <v>(,'','','1900-01-00','1900-01-00',,,),</v>
      </c>
    </row>
    <row r="221" spans="1:14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3"/>
        <v>(,'','','1900-01-00','1900-01-00',,,),</v>
      </c>
    </row>
    <row r="222" spans="1:14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3"/>
        <v>(,'','','1900-01-00','1900-01-00',,,),</v>
      </c>
    </row>
    <row r="223" spans="1:14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3"/>
        <v>(,'','','1900-01-00','1900-01-00',,,),</v>
      </c>
    </row>
    <row r="224" spans="1:14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3"/>
        <v>(,'','','1900-01-00','1900-01-00',,,),</v>
      </c>
    </row>
    <row r="225" spans="1:14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3"/>
        <v>(,'','','1900-01-00','1900-01-00',,,),</v>
      </c>
    </row>
    <row r="226" spans="1:14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3"/>
        <v>(,'','','1900-01-00','1900-01-00',,,),</v>
      </c>
    </row>
    <row r="227" spans="1:14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3"/>
        <v>(,'','','1900-01-00','1900-01-00',,,),</v>
      </c>
    </row>
    <row r="228" spans="1:14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3"/>
        <v>(,'','','1900-01-00','1900-01-00',,,),</v>
      </c>
    </row>
    <row r="229" spans="1:14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3"/>
        <v>(,'','','1900-01-00','1900-01-00',,,),</v>
      </c>
    </row>
    <row r="230" spans="1:14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3"/>
        <v>(,'','','1900-01-00','1900-01-00',,,),</v>
      </c>
    </row>
    <row r="231" spans="1:14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3"/>
        <v>(,'','','1900-01-00','1900-01-00',,,),</v>
      </c>
    </row>
    <row r="232" spans="1:14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3"/>
        <v>(,'','','1900-01-00','1900-01-00',,,),</v>
      </c>
    </row>
    <row r="233" spans="1:14" ht="20.100000000000001" customHeight="1" x14ac:dyDescent="0.2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3"/>
        <v>(,'','','1900-01-00','1900-01-00',,,),</v>
      </c>
    </row>
    <row r="234" spans="1:14" ht="20.100000000000001" customHeight="1" x14ac:dyDescent="0.2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3"/>
        <v>(,'','','1900-01-00','1900-01-00',,,),</v>
      </c>
    </row>
    <row r="235" spans="1:14" ht="20.100000000000001" customHeight="1" x14ac:dyDescent="0.2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3"/>
        <v>(,'','','1900-01-00','1900-01-00',,,),</v>
      </c>
    </row>
    <row r="236" spans="1:14" ht="20.100000000000001" customHeight="1" x14ac:dyDescent="0.2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3"/>
        <v>(,'','','1900-01-00','1900-01-00',,,),</v>
      </c>
    </row>
    <row r="237" spans="1:14" ht="20.100000000000001" customHeight="1" x14ac:dyDescent="0.2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3"/>
        <v>(,'','','1900-01-00','1900-01-00',,,),</v>
      </c>
    </row>
  </sheetData>
  <autoFilter ref="A1:N238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237"/>
  <sheetViews>
    <sheetView zoomScaleNormal="100" workbookViewId="0">
      <selection activeCell="F10" sqref="F10"/>
    </sheetView>
  </sheetViews>
  <sheetFormatPr baseColWidth="10" defaultColWidth="10.85546875" defaultRowHeight="15.75" x14ac:dyDescent="0.25"/>
  <cols>
    <col min="1" max="1" width="6.85546875" style="2" bestFit="1" customWidth="1"/>
    <col min="2" max="2" width="15" style="2" bestFit="1" customWidth="1"/>
    <col min="3" max="3" width="33.85546875" style="2" bestFit="1" customWidth="1"/>
    <col min="4" max="5" width="15.5703125" style="2" customWidth="1"/>
    <col min="6" max="6" width="17.28515625" style="2" customWidth="1"/>
    <col min="7" max="8" width="15.5703125" style="2" customWidth="1"/>
    <col min="9" max="9" width="6.5703125" style="2" customWidth="1"/>
    <col min="10" max="10" width="15.5703125" style="2" customWidth="1"/>
    <col min="11" max="12" width="10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716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/>
      <c r="C3" s="52"/>
      <c r="D3" s="19"/>
      <c r="E3" s="19"/>
      <c r="F3" s="42"/>
      <c r="G3" s="42"/>
      <c r="H3" s="42"/>
      <c r="I3" s="42" t="s">
        <v>324</v>
      </c>
      <c r="J3" s="42" t="s">
        <v>748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769</v>
      </c>
      <c r="N3" s="52" t="str">
        <f t="shared" ref="N3:N66" si="0">CONCATENATE("(",A3,",'",B3,"','",C3,"','",TEXT(D3,"aaaa-mm-jj"),"','",TEXT(E3,"aaaa-mm-jj"),"',",F3,",",G3,",",H3,"),")</f>
        <v>(1,'','','1900-01-00','1900-01-00',,,),</v>
      </c>
    </row>
    <row r="4" spans="1:14" ht="20.100000000000001" customHeight="1" x14ac:dyDescent="0.25">
      <c r="A4" s="39">
        <v>2</v>
      </c>
      <c r="B4" s="48"/>
      <c r="C4" s="52"/>
      <c r="D4" s="19"/>
      <c r="E4" s="19"/>
      <c r="F4" s="42"/>
      <c r="G4" s="42"/>
      <c r="H4" s="42"/>
      <c r="I4" s="42"/>
      <c r="J4" s="42"/>
      <c r="K4" s="53"/>
      <c r="L4" s="44"/>
      <c r="M4" s="42"/>
      <c r="N4" s="52" t="str">
        <f t="shared" si="0"/>
        <v>(2,'','','1900-01-00','1900-01-00',,,),</v>
      </c>
    </row>
    <row r="5" spans="1:14" ht="20.100000000000001" customHeight="1" x14ac:dyDescent="0.25">
      <c r="A5" s="39">
        <v>3</v>
      </c>
      <c r="B5" s="48"/>
      <c r="C5" s="52"/>
      <c r="D5" s="19"/>
      <c r="E5" s="19"/>
      <c r="F5" s="42"/>
      <c r="G5" s="42"/>
      <c r="H5" s="42"/>
      <c r="I5" s="42"/>
      <c r="J5" s="42"/>
      <c r="K5" s="53"/>
      <c r="L5" s="44"/>
      <c r="M5" s="42"/>
      <c r="N5" s="52" t="str">
        <f t="shared" si="0"/>
        <v>(3,'','','1900-01-00','1900-01-00',,,),</v>
      </c>
    </row>
    <row r="6" spans="1:14" ht="20.100000000000001" customHeight="1" x14ac:dyDescent="0.25">
      <c r="A6" s="39">
        <v>4</v>
      </c>
      <c r="B6" s="48"/>
      <c r="C6" s="52"/>
      <c r="D6" s="19"/>
      <c r="E6" s="19"/>
      <c r="F6" s="42"/>
      <c r="G6" s="42"/>
      <c r="H6" s="42"/>
      <c r="I6" s="42"/>
      <c r="J6" s="42"/>
      <c r="K6" s="53"/>
      <c r="L6" s="44"/>
      <c r="M6" s="42"/>
      <c r="N6" s="52" t="str">
        <f t="shared" si="0"/>
        <v>(4,'','','1900-01-00','1900-01-00',,,),</v>
      </c>
    </row>
    <row r="7" spans="1:14" ht="20.100000000000001" customHeight="1" x14ac:dyDescent="0.25">
      <c r="A7" s="39">
        <v>5</v>
      </c>
      <c r="B7" s="48"/>
      <c r="C7" s="52"/>
      <c r="D7" s="19"/>
      <c r="E7" s="19"/>
      <c r="F7" s="42"/>
      <c r="G7" s="42"/>
      <c r="H7" s="42"/>
      <c r="I7" s="42"/>
      <c r="J7" s="42"/>
      <c r="K7" s="53"/>
      <c r="L7" s="44"/>
      <c r="M7" s="42"/>
      <c r="N7" s="52" t="str">
        <f t="shared" si="0"/>
        <v>(5,'','','1900-01-00','1900-01-00',,,),</v>
      </c>
    </row>
    <row r="8" spans="1:14" ht="20.100000000000001" customHeight="1" x14ac:dyDescent="0.25">
      <c r="A8" s="39">
        <v>6</v>
      </c>
      <c r="B8" s="48"/>
      <c r="C8" s="52"/>
      <c r="D8" s="19"/>
      <c r="E8" s="19"/>
      <c r="F8" s="42"/>
      <c r="G8" s="42"/>
      <c r="H8" s="42"/>
      <c r="I8" s="42"/>
      <c r="J8" s="42"/>
      <c r="K8" s="53"/>
      <c r="L8" s="44"/>
      <c r="M8" s="42"/>
      <c r="N8" s="52" t="str">
        <f t="shared" si="0"/>
        <v>(6,'','','1900-01-00','1900-01-00',,,),</v>
      </c>
    </row>
    <row r="9" spans="1:14" ht="20.100000000000001" customHeight="1" x14ac:dyDescent="0.25">
      <c r="A9" s="39">
        <v>7</v>
      </c>
      <c r="B9" s="48"/>
      <c r="C9" s="52"/>
      <c r="D9" s="19"/>
      <c r="E9" s="19"/>
      <c r="F9" s="42"/>
      <c r="G9" s="42"/>
      <c r="H9" s="42"/>
      <c r="I9" s="42"/>
      <c r="J9" s="42"/>
      <c r="K9" s="53"/>
      <c r="L9" s="44"/>
      <c r="M9" s="42"/>
      <c r="N9" s="52" t="str">
        <f t="shared" si="0"/>
        <v>(7,'','','1900-01-00','1900-01-00',,,),</v>
      </c>
    </row>
    <row r="10" spans="1:14" ht="20.100000000000001" customHeight="1" x14ac:dyDescent="0.25">
      <c r="A10" s="39">
        <v>8</v>
      </c>
      <c r="B10" s="48"/>
      <c r="C10" s="52"/>
      <c r="D10" s="19"/>
      <c r="E10" s="19"/>
      <c r="F10" s="42"/>
      <c r="G10" s="42"/>
      <c r="H10" s="42"/>
      <c r="I10" s="42"/>
      <c r="J10" s="42"/>
      <c r="K10" s="53"/>
      <c r="L10" s="44"/>
      <c r="M10" s="42"/>
      <c r="N10" s="52" t="str">
        <f t="shared" si="0"/>
        <v>(8,'','','1900-01-00','1900-01-00',,,),</v>
      </c>
    </row>
    <row r="11" spans="1:14" ht="20.100000000000001" customHeight="1" x14ac:dyDescent="0.25">
      <c r="A11" s="39">
        <v>9</v>
      </c>
      <c r="B11" s="48"/>
      <c r="C11" s="52"/>
      <c r="D11" s="19"/>
      <c r="E11" s="19"/>
      <c r="F11" s="42"/>
      <c r="G11" s="42"/>
      <c r="H11" s="42"/>
      <c r="I11" s="42"/>
      <c r="J11" s="42"/>
      <c r="K11" s="53"/>
      <c r="L11" s="44"/>
      <c r="M11" s="42"/>
      <c r="N11" s="52" t="str">
        <f t="shared" si="0"/>
        <v>(9,'','','1900-01-00','1900-01-00',,,),</v>
      </c>
    </row>
    <row r="12" spans="1:14" ht="20.100000000000001" customHeight="1" x14ac:dyDescent="0.25">
      <c r="A12" s="39">
        <v>10</v>
      </c>
      <c r="B12" s="48"/>
      <c r="C12" s="52"/>
      <c r="D12" s="19"/>
      <c r="E12" s="19"/>
      <c r="F12" s="42"/>
      <c r="G12" s="42"/>
      <c r="H12" s="42"/>
      <c r="I12" s="42"/>
      <c r="J12" s="42"/>
      <c r="K12" s="53"/>
      <c r="L12" s="44"/>
      <c r="M12" s="42"/>
      <c r="N12" s="52" t="str">
        <f t="shared" si="0"/>
        <v>(10,'','','1900-01-00','1900-01-00',,,),</v>
      </c>
    </row>
    <row r="13" spans="1:14" ht="20.100000000000001" customHeight="1" x14ac:dyDescent="0.25">
      <c r="A13" s="39">
        <v>11</v>
      </c>
      <c r="B13" s="48"/>
      <c r="C13" s="52"/>
      <c r="D13" s="19"/>
      <c r="E13" s="19"/>
      <c r="F13" s="42"/>
      <c r="G13" s="42"/>
      <c r="H13" s="42"/>
      <c r="I13" s="42"/>
      <c r="J13" s="42"/>
      <c r="K13" s="53"/>
      <c r="L13" s="44"/>
      <c r="M13" s="42"/>
      <c r="N13" s="52" t="str">
        <f t="shared" si="0"/>
        <v>(11,'','','1900-01-00','1900-01-00',,,),</v>
      </c>
    </row>
    <row r="14" spans="1:14" ht="20.100000000000001" customHeight="1" x14ac:dyDescent="0.25">
      <c r="A14" s="39">
        <v>12</v>
      </c>
      <c r="B14" s="48"/>
      <c r="C14" s="52"/>
      <c r="D14" s="19"/>
      <c r="E14" s="19"/>
      <c r="F14" s="42"/>
      <c r="G14" s="42"/>
      <c r="H14" s="42"/>
      <c r="I14" s="42"/>
      <c r="J14" s="42"/>
      <c r="K14" s="53"/>
      <c r="L14" s="44"/>
      <c r="M14" s="42"/>
      <c r="N14" s="52" t="str">
        <f t="shared" si="0"/>
        <v>(12,'','','1900-01-00','1900-01-00',,,),</v>
      </c>
    </row>
    <row r="15" spans="1:14" ht="20.100000000000001" customHeight="1" x14ac:dyDescent="0.25">
      <c r="A15" s="39">
        <v>13</v>
      </c>
      <c r="B15" s="48"/>
      <c r="C15" s="52"/>
      <c r="D15" s="19"/>
      <c r="E15" s="19"/>
      <c r="F15" s="42"/>
      <c r="G15" s="42"/>
      <c r="H15" s="42"/>
      <c r="I15" s="42"/>
      <c r="J15" s="42"/>
      <c r="K15" s="53"/>
      <c r="L15" s="44"/>
      <c r="M15" s="42"/>
      <c r="N15" s="52" t="str">
        <f t="shared" si="0"/>
        <v>(13,'','','1900-01-00','1900-01-00',,,),</v>
      </c>
    </row>
    <row r="16" spans="1:14" ht="20.100000000000001" customHeight="1" x14ac:dyDescent="0.25">
      <c r="A16" s="39">
        <v>14</v>
      </c>
      <c r="B16" s="48"/>
      <c r="C16" s="52"/>
      <c r="D16" s="19"/>
      <c r="E16" s="19"/>
      <c r="F16" s="42"/>
      <c r="G16" s="42"/>
      <c r="H16" s="42"/>
      <c r="I16" s="42"/>
      <c r="J16" s="42"/>
      <c r="K16" s="53"/>
      <c r="L16" s="44"/>
      <c r="M16" s="42"/>
      <c r="N16" s="52" t="str">
        <f t="shared" si="0"/>
        <v>(14,'','','1900-01-00','1900-01-00',,,),</v>
      </c>
    </row>
    <row r="17" spans="1:14" ht="20.100000000000001" customHeight="1" x14ac:dyDescent="0.25">
      <c r="A17" s="39">
        <v>15</v>
      </c>
      <c r="B17" s="48"/>
      <c r="C17" s="52"/>
      <c r="D17" s="19"/>
      <c r="E17" s="19"/>
      <c r="F17" s="42"/>
      <c r="G17" s="42"/>
      <c r="H17" s="42"/>
      <c r="I17" s="42"/>
      <c r="J17" s="42"/>
      <c r="K17" s="53"/>
      <c r="L17" s="44"/>
      <c r="M17" s="42"/>
      <c r="N17" s="52" t="str">
        <f t="shared" si="0"/>
        <v>(15,'','','1900-01-00','1900-01-00',,,),</v>
      </c>
    </row>
    <row r="18" spans="1:14" ht="20.100000000000001" customHeight="1" x14ac:dyDescent="0.25">
      <c r="A18" s="39">
        <v>16</v>
      </c>
      <c r="B18" s="48"/>
      <c r="C18" s="52"/>
      <c r="D18" s="19"/>
      <c r="E18" s="19"/>
      <c r="F18" s="42"/>
      <c r="G18" s="42"/>
      <c r="H18" s="42"/>
      <c r="I18" s="42"/>
      <c r="J18" s="42"/>
      <c r="K18" s="53"/>
      <c r="L18" s="44"/>
      <c r="M18" s="42"/>
      <c r="N18" s="52" t="str">
        <f t="shared" si="0"/>
        <v>(16,'','','1900-01-00','1900-01-00',,,),</v>
      </c>
    </row>
    <row r="19" spans="1:14" ht="20.100000000000001" customHeight="1" x14ac:dyDescent="0.25">
      <c r="A19" s="39">
        <v>17</v>
      </c>
      <c r="B19" s="48"/>
      <c r="C19" s="52"/>
      <c r="D19" s="19"/>
      <c r="E19" s="19"/>
      <c r="F19" s="42"/>
      <c r="G19" s="42"/>
      <c r="H19" s="42"/>
      <c r="I19" s="42"/>
      <c r="J19" s="42"/>
      <c r="K19" s="53"/>
      <c r="L19" s="44"/>
      <c r="M19" s="42"/>
      <c r="N19" s="52" t="str">
        <f t="shared" si="0"/>
        <v>(17,'','','1900-01-00','1900-01-00',,,),</v>
      </c>
    </row>
    <row r="20" spans="1:14" ht="20.100000000000001" customHeight="1" x14ac:dyDescent="0.25">
      <c r="A20" s="39">
        <v>18</v>
      </c>
      <c r="B20" s="48"/>
      <c r="C20" s="52"/>
      <c r="D20" s="19"/>
      <c r="E20" s="19"/>
      <c r="F20" s="42"/>
      <c r="G20" s="42"/>
      <c r="H20" s="42"/>
      <c r="I20" s="42"/>
      <c r="J20" s="42"/>
      <c r="K20" s="53"/>
      <c r="L20" s="44"/>
      <c r="M20" s="42"/>
      <c r="N20" s="52" t="str">
        <f t="shared" si="0"/>
        <v>(18,'','','1900-01-00','1900-01-00',,,),</v>
      </c>
    </row>
    <row r="21" spans="1:14" ht="20.100000000000001" customHeight="1" x14ac:dyDescent="0.25">
      <c r="A21" s="39">
        <v>19</v>
      </c>
      <c r="B21" s="48"/>
      <c r="C21" s="52"/>
      <c r="D21" s="19"/>
      <c r="E21" s="19"/>
      <c r="F21" s="42"/>
      <c r="G21" s="42"/>
      <c r="H21" s="42"/>
      <c r="I21" s="42"/>
      <c r="J21" s="42"/>
      <c r="K21" s="53"/>
      <c r="L21" s="44"/>
      <c r="M21" s="42"/>
      <c r="N21" s="52" t="str">
        <f t="shared" si="0"/>
        <v>(19,'','','1900-01-00','1900-01-00',,,),</v>
      </c>
    </row>
    <row r="22" spans="1:14" ht="20.100000000000001" customHeight="1" x14ac:dyDescent="0.25">
      <c r="A22" s="39">
        <v>20</v>
      </c>
      <c r="B22" s="48"/>
      <c r="C22" s="52"/>
      <c r="D22" s="19"/>
      <c r="E22" s="19"/>
      <c r="F22" s="42"/>
      <c r="G22" s="42"/>
      <c r="H22" s="42"/>
      <c r="I22" s="42"/>
      <c r="J22" s="42"/>
      <c r="K22" s="53"/>
      <c r="L22" s="44"/>
      <c r="M22" s="42"/>
      <c r="N22" s="52" t="str">
        <f t="shared" si="0"/>
        <v>(20,'','','1900-01-00','1900-01-00',,,),</v>
      </c>
    </row>
    <row r="23" spans="1:14" ht="20.100000000000001" customHeight="1" x14ac:dyDescent="0.25">
      <c r="A23" s="39">
        <v>21</v>
      </c>
      <c r="B23" s="48"/>
      <c r="C23" s="52"/>
      <c r="D23" s="19"/>
      <c r="E23" s="19"/>
      <c r="F23" s="42"/>
      <c r="G23" s="42"/>
      <c r="H23" s="42"/>
      <c r="I23" s="42"/>
      <c r="J23" s="42"/>
      <c r="K23" s="53"/>
      <c r="L23" s="44"/>
      <c r="M23" s="42"/>
      <c r="N23" s="52" t="str">
        <f t="shared" si="0"/>
        <v>(21,'','','1900-01-00','1900-01-00',,,),</v>
      </c>
    </row>
    <row r="24" spans="1:14" ht="20.100000000000001" customHeight="1" x14ac:dyDescent="0.25">
      <c r="A24" s="39">
        <v>1</v>
      </c>
      <c r="B24" s="48"/>
      <c r="C24" s="52"/>
      <c r="D24" s="19"/>
      <c r="E24" s="19"/>
      <c r="F24" s="42"/>
      <c r="G24" s="42"/>
      <c r="H24" s="42"/>
      <c r="I24" s="42"/>
      <c r="J24" s="42"/>
      <c r="K24" s="53"/>
      <c r="L24" s="44"/>
      <c r="M24" s="42"/>
      <c r="N24" s="52" t="str">
        <f t="shared" si="0"/>
        <v>(1,'','','1900-01-00','1900-01-00',,,),</v>
      </c>
    </row>
    <row r="25" spans="1:14" ht="20.100000000000001" customHeight="1" x14ac:dyDescent="0.25">
      <c r="A25" s="39">
        <v>2</v>
      </c>
      <c r="B25" s="48"/>
      <c r="C25" s="52"/>
      <c r="D25" s="19"/>
      <c r="E25" s="19"/>
      <c r="F25" s="42"/>
      <c r="G25" s="42"/>
      <c r="H25" s="42"/>
      <c r="I25" s="42"/>
      <c r="J25" s="42"/>
      <c r="K25" s="53"/>
      <c r="L25" s="44"/>
      <c r="M25" s="42"/>
      <c r="N25" s="52" t="str">
        <f t="shared" si="0"/>
        <v>(2,'','','1900-01-00','1900-01-00',,,),</v>
      </c>
    </row>
    <row r="26" spans="1:14" ht="20.100000000000001" customHeight="1" x14ac:dyDescent="0.25">
      <c r="A26" s="39">
        <v>3</v>
      </c>
      <c r="B26" s="48"/>
      <c r="C26" s="52"/>
      <c r="D26" s="19"/>
      <c r="E26" s="19"/>
      <c r="F26" s="42"/>
      <c r="G26" s="42"/>
      <c r="H26" s="42"/>
      <c r="I26" s="42"/>
      <c r="J26" s="42"/>
      <c r="K26" s="53"/>
      <c r="L26" s="44"/>
      <c r="M26" s="42"/>
      <c r="N26" s="52" t="str">
        <f t="shared" si="0"/>
        <v>(3,'','','1900-01-00','1900-01-00',,,),</v>
      </c>
    </row>
    <row r="27" spans="1:14" ht="20.100000000000001" customHeight="1" x14ac:dyDescent="0.25">
      <c r="A27" s="39">
        <v>4</v>
      </c>
      <c r="B27" s="48"/>
      <c r="C27" s="52"/>
      <c r="D27" s="19"/>
      <c r="E27" s="19"/>
      <c r="F27" s="42"/>
      <c r="G27" s="42"/>
      <c r="H27" s="42"/>
      <c r="I27" s="42"/>
      <c r="J27" s="42"/>
      <c r="K27" s="53"/>
      <c r="L27" s="44"/>
      <c r="M27" s="42"/>
      <c r="N27" s="52" t="str">
        <f t="shared" si="0"/>
        <v>(4,'','','1900-01-00','1900-01-00',,,),</v>
      </c>
    </row>
    <row r="28" spans="1:14" ht="20.100000000000001" customHeight="1" x14ac:dyDescent="0.25">
      <c r="A28" s="39">
        <v>5</v>
      </c>
      <c r="B28" s="48"/>
      <c r="C28" s="52"/>
      <c r="D28" s="19"/>
      <c r="E28" s="19"/>
      <c r="F28" s="42"/>
      <c r="G28" s="42"/>
      <c r="H28" s="42"/>
      <c r="I28" s="42"/>
      <c r="J28" s="42"/>
      <c r="K28" s="53"/>
      <c r="L28" s="44"/>
      <c r="M28" s="42"/>
      <c r="N28" s="52" t="str">
        <f t="shared" si="0"/>
        <v>(5,'','','1900-01-00','1900-01-00',,,),</v>
      </c>
    </row>
    <row r="29" spans="1:14" ht="20.100000000000001" customHeight="1" x14ac:dyDescent="0.25">
      <c r="A29" s="39">
        <v>6</v>
      </c>
      <c r="B29" s="48"/>
      <c r="C29" s="52"/>
      <c r="D29" s="19"/>
      <c r="E29" s="19"/>
      <c r="F29" s="42"/>
      <c r="G29" s="42"/>
      <c r="H29" s="42"/>
      <c r="I29" s="42"/>
      <c r="J29" s="42"/>
      <c r="K29" s="53"/>
      <c r="L29" s="44"/>
      <c r="M29" s="42"/>
      <c r="N29" s="52" t="str">
        <f t="shared" si="0"/>
        <v>(6,'','','1900-01-00','1900-01-00',,,),</v>
      </c>
    </row>
    <row r="30" spans="1:14" ht="20.100000000000001" customHeight="1" x14ac:dyDescent="0.25">
      <c r="A30" s="39">
        <v>7</v>
      </c>
      <c r="B30" s="48"/>
      <c r="C30" s="52"/>
      <c r="D30" s="19"/>
      <c r="E30" s="19"/>
      <c r="F30" s="42"/>
      <c r="G30" s="42"/>
      <c r="H30" s="42"/>
      <c r="I30" s="42"/>
      <c r="J30" s="42"/>
      <c r="K30" s="53"/>
      <c r="L30" s="44"/>
      <c r="M30" s="42"/>
      <c r="N30" s="52" t="str">
        <f t="shared" si="0"/>
        <v>(7,'','','1900-01-00','1900-01-00',,,),</v>
      </c>
    </row>
    <row r="31" spans="1:14" ht="20.100000000000001" customHeight="1" x14ac:dyDescent="0.25">
      <c r="A31" s="39">
        <v>8</v>
      </c>
      <c r="B31" s="48"/>
      <c r="C31" s="52"/>
      <c r="D31" s="19"/>
      <c r="E31" s="19"/>
      <c r="F31" s="42"/>
      <c r="G31" s="42"/>
      <c r="H31" s="42"/>
      <c r="I31" s="42"/>
      <c r="J31" s="42"/>
      <c r="K31" s="53"/>
      <c r="L31" s="44"/>
      <c r="M31" s="42"/>
      <c r="N31" s="52" t="str">
        <f t="shared" si="0"/>
        <v>(8,'','','1900-01-00','1900-01-00',,,),</v>
      </c>
    </row>
    <row r="32" spans="1:14" ht="20.100000000000001" customHeight="1" x14ac:dyDescent="0.25">
      <c r="A32" s="39">
        <v>9</v>
      </c>
      <c r="B32" s="48"/>
      <c r="C32" s="52"/>
      <c r="D32" s="19"/>
      <c r="E32" s="19"/>
      <c r="F32" s="42"/>
      <c r="G32" s="42"/>
      <c r="H32" s="42"/>
      <c r="I32" s="42"/>
      <c r="J32" s="42"/>
      <c r="K32" s="53"/>
      <c r="L32" s="44"/>
      <c r="M32" s="42"/>
      <c r="N32" s="52" t="str">
        <f t="shared" si="0"/>
        <v>(9,'','','1900-01-00','1900-01-00',,,),</v>
      </c>
    </row>
    <row r="33" spans="1:14" ht="20.100000000000001" customHeight="1" x14ac:dyDescent="0.25">
      <c r="A33" s="39">
        <v>10</v>
      </c>
      <c r="B33" s="48"/>
      <c r="C33" s="52"/>
      <c r="D33" s="19"/>
      <c r="E33" s="19"/>
      <c r="F33" s="42"/>
      <c r="G33" s="42"/>
      <c r="H33" s="42"/>
      <c r="I33" s="42"/>
      <c r="J33" s="42"/>
      <c r="K33" s="53"/>
      <c r="L33" s="44"/>
      <c r="M33" s="42"/>
      <c r="N33" s="52" t="str">
        <f t="shared" si="0"/>
        <v>(10,'','','1900-01-00','1900-01-00',,,),</v>
      </c>
    </row>
    <row r="34" spans="1:14" ht="20.100000000000001" customHeight="1" x14ac:dyDescent="0.25">
      <c r="A34" s="39">
        <v>11</v>
      </c>
      <c r="B34" s="48"/>
      <c r="C34" s="52"/>
      <c r="D34" s="19"/>
      <c r="E34" s="19"/>
      <c r="F34" s="42"/>
      <c r="G34" s="42"/>
      <c r="H34" s="42"/>
      <c r="I34" s="42"/>
      <c r="J34" s="42"/>
      <c r="K34" s="53"/>
      <c r="L34" s="44"/>
      <c r="M34" s="42"/>
      <c r="N34" s="52" t="str">
        <f t="shared" si="0"/>
        <v>(11,'','','1900-01-00','1900-01-00',,,),</v>
      </c>
    </row>
    <row r="35" spans="1:14" ht="20.100000000000001" customHeight="1" x14ac:dyDescent="0.25">
      <c r="A35" s="39">
        <v>12</v>
      </c>
      <c r="B35" s="48"/>
      <c r="C35" s="52"/>
      <c r="D35" s="19"/>
      <c r="E35" s="19"/>
      <c r="F35" s="42"/>
      <c r="G35" s="42"/>
      <c r="H35" s="42"/>
      <c r="I35" s="42"/>
      <c r="J35" s="42"/>
      <c r="K35" s="53"/>
      <c r="L35" s="44"/>
      <c r="M35" s="42"/>
      <c r="N35" s="52" t="str">
        <f t="shared" si="0"/>
        <v>(12,'','','1900-01-00','1900-01-00',,,),</v>
      </c>
    </row>
    <row r="36" spans="1:14" ht="20.100000000000001" customHeight="1" x14ac:dyDescent="0.25">
      <c r="A36" s="39">
        <v>13</v>
      </c>
      <c r="B36" s="48"/>
      <c r="C36" s="52"/>
      <c r="D36" s="19"/>
      <c r="E36" s="19"/>
      <c r="F36" s="42"/>
      <c r="G36" s="42"/>
      <c r="H36" s="42"/>
      <c r="I36" s="42"/>
      <c r="J36" s="42"/>
      <c r="K36" s="53"/>
      <c r="L36" s="44"/>
      <c r="M36" s="42"/>
      <c r="N36" s="52" t="str">
        <f t="shared" si="0"/>
        <v>(13,'','','1900-01-00','1900-01-00',,,),</v>
      </c>
    </row>
    <row r="37" spans="1:14" ht="20.100000000000001" customHeight="1" x14ac:dyDescent="0.25">
      <c r="A37" s="39">
        <v>14</v>
      </c>
      <c r="B37" s="48"/>
      <c r="C37" s="52"/>
      <c r="D37" s="19"/>
      <c r="E37" s="19"/>
      <c r="F37" s="42"/>
      <c r="G37" s="42"/>
      <c r="H37" s="42"/>
      <c r="I37" s="42"/>
      <c r="J37" s="42"/>
      <c r="K37" s="53"/>
      <c r="L37" s="44"/>
      <c r="M37" s="42"/>
      <c r="N37" s="52" t="str">
        <f t="shared" si="0"/>
        <v>(14,'','','1900-01-00','1900-01-00',,,),</v>
      </c>
    </row>
    <row r="38" spans="1:14" ht="20.100000000000001" customHeight="1" x14ac:dyDescent="0.25">
      <c r="A38" s="39">
        <v>15</v>
      </c>
      <c r="B38" s="48"/>
      <c r="C38" s="52"/>
      <c r="D38" s="19"/>
      <c r="E38" s="19"/>
      <c r="F38" s="42"/>
      <c r="G38" s="42"/>
      <c r="H38" s="42"/>
      <c r="I38" s="42"/>
      <c r="J38" s="42"/>
      <c r="K38" s="53"/>
      <c r="L38" s="44"/>
      <c r="M38" s="42"/>
      <c r="N38" s="52" t="str">
        <f t="shared" si="0"/>
        <v>(15,'','','1900-01-00','1900-01-00',,,),</v>
      </c>
    </row>
    <row r="39" spans="1:14" ht="20.100000000000001" customHeight="1" x14ac:dyDescent="0.25">
      <c r="A39" s="39">
        <v>16</v>
      </c>
      <c r="B39" s="48"/>
      <c r="C39" s="52"/>
      <c r="D39" s="19"/>
      <c r="E39" s="19"/>
      <c r="F39" s="42"/>
      <c r="G39" s="42"/>
      <c r="H39" s="42"/>
      <c r="I39" s="42"/>
      <c r="J39" s="42"/>
      <c r="K39" s="53"/>
      <c r="L39" s="44"/>
      <c r="M39" s="42"/>
      <c r="N39" s="52" t="str">
        <f t="shared" si="0"/>
        <v>(16,'','','1900-01-00','1900-01-00',,,),</v>
      </c>
    </row>
    <row r="40" spans="1:14" ht="20.100000000000001" customHeight="1" x14ac:dyDescent="0.25">
      <c r="A40" s="39">
        <v>17</v>
      </c>
      <c r="B40" s="48"/>
      <c r="C40" s="52"/>
      <c r="D40" s="19"/>
      <c r="E40" s="19"/>
      <c r="F40" s="42"/>
      <c r="G40" s="42"/>
      <c r="H40" s="42"/>
      <c r="I40" s="42"/>
      <c r="J40" s="42"/>
      <c r="K40" s="53"/>
      <c r="L40" s="44"/>
      <c r="M40" s="42"/>
      <c r="N40" s="52" t="str">
        <f t="shared" si="0"/>
        <v>(17,'','','1900-01-00','1900-01-00',,,),</v>
      </c>
    </row>
    <row r="41" spans="1:14" ht="20.100000000000001" customHeight="1" x14ac:dyDescent="0.25">
      <c r="A41" s="39">
        <v>18</v>
      </c>
      <c r="B41" s="48"/>
      <c r="C41" s="52"/>
      <c r="D41" s="19"/>
      <c r="E41" s="19"/>
      <c r="F41" s="42"/>
      <c r="G41" s="42"/>
      <c r="H41" s="42"/>
      <c r="I41" s="42"/>
      <c r="J41" s="42"/>
      <c r="K41" s="53"/>
      <c r="L41" s="44"/>
      <c r="M41" s="42"/>
      <c r="N41" s="52" t="str">
        <f t="shared" si="0"/>
        <v>(18,'','','1900-01-00','1900-01-00',,,),</v>
      </c>
    </row>
    <row r="42" spans="1:14" ht="20.100000000000001" customHeight="1" x14ac:dyDescent="0.25">
      <c r="A42" s="39">
        <v>19</v>
      </c>
      <c r="B42" s="48"/>
      <c r="C42" s="52"/>
      <c r="D42" s="19"/>
      <c r="E42" s="19"/>
      <c r="F42" s="42"/>
      <c r="G42" s="42"/>
      <c r="H42" s="42"/>
      <c r="I42" s="42"/>
      <c r="J42" s="42"/>
      <c r="K42" s="53"/>
      <c r="L42" s="44"/>
      <c r="M42" s="42"/>
      <c r="N42" s="52" t="str">
        <f t="shared" si="0"/>
        <v>(19,'','','1900-01-00','1900-01-00',,,),</v>
      </c>
    </row>
    <row r="43" spans="1:14" ht="20.100000000000001" customHeight="1" x14ac:dyDescent="0.25">
      <c r="A43" s="39">
        <v>20</v>
      </c>
      <c r="B43" s="48"/>
      <c r="C43" s="52"/>
      <c r="D43" s="19"/>
      <c r="E43" s="19"/>
      <c r="F43" s="42"/>
      <c r="G43" s="42"/>
      <c r="H43" s="42"/>
      <c r="I43" s="42"/>
      <c r="J43" s="42"/>
      <c r="K43" s="53"/>
      <c r="L43" s="44"/>
      <c r="M43" s="42"/>
      <c r="N43" s="52" t="str">
        <f t="shared" si="0"/>
        <v>(20,'','','1900-01-00','1900-01-00',,,),</v>
      </c>
    </row>
    <row r="44" spans="1:14" ht="20.100000000000001" customHeight="1" x14ac:dyDescent="0.25">
      <c r="A44" s="39">
        <v>21</v>
      </c>
      <c r="B44" s="48"/>
      <c r="C44" s="52"/>
      <c r="D44" s="19"/>
      <c r="E44" s="19"/>
      <c r="F44" s="42"/>
      <c r="G44" s="42"/>
      <c r="H44" s="42"/>
      <c r="I44" s="42"/>
      <c r="J44" s="42"/>
      <c r="K44" s="53"/>
      <c r="L44" s="44"/>
      <c r="M44" s="42"/>
      <c r="N44" s="52" t="str">
        <f t="shared" si="0"/>
        <v>(21,'','','1900-01-00','1900-01-00',,,),</v>
      </c>
    </row>
    <row r="45" spans="1:14" ht="20.100000000000001" customHeight="1" x14ac:dyDescent="0.25">
      <c r="A45" s="39">
        <v>22</v>
      </c>
      <c r="B45" s="48"/>
      <c r="C45" s="52"/>
      <c r="D45" s="19"/>
      <c r="E45" s="19"/>
      <c r="F45" s="42"/>
      <c r="G45" s="42"/>
      <c r="H45" s="42"/>
      <c r="I45" s="42"/>
      <c r="J45" s="42"/>
      <c r="K45" s="53"/>
      <c r="L45" s="44"/>
      <c r="M45" s="42"/>
      <c r="N45" s="52" t="str">
        <f t="shared" si="0"/>
        <v>(22,'','','1900-01-00','1900-01-00',,,),</v>
      </c>
    </row>
    <row r="46" spans="1:14" ht="20.100000000000001" customHeight="1" x14ac:dyDescent="0.25">
      <c r="A46" s="39">
        <v>23</v>
      </c>
      <c r="B46" s="48"/>
      <c r="C46" s="52"/>
      <c r="D46" s="19"/>
      <c r="E46" s="19"/>
      <c r="F46" s="42"/>
      <c r="G46" s="42"/>
      <c r="H46" s="42"/>
      <c r="I46" s="42"/>
      <c r="J46" s="42"/>
      <c r="K46" s="53"/>
      <c r="L46" s="44"/>
      <c r="M46" s="42"/>
      <c r="N46" s="52" t="str">
        <f t="shared" si="0"/>
        <v>(23,'','','1900-01-00','1900-01-00',,,),</v>
      </c>
    </row>
    <row r="47" spans="1:14" ht="20.100000000000001" customHeight="1" x14ac:dyDescent="0.25">
      <c r="A47" s="39">
        <v>24</v>
      </c>
      <c r="B47" s="48"/>
      <c r="C47" s="52"/>
      <c r="D47" s="19"/>
      <c r="E47" s="19"/>
      <c r="F47" s="42"/>
      <c r="G47" s="42"/>
      <c r="H47" s="42"/>
      <c r="I47" s="42"/>
      <c r="J47" s="42"/>
      <c r="K47" s="53"/>
      <c r="L47" s="44"/>
      <c r="M47" s="42"/>
      <c r="N47" s="52" t="str">
        <f t="shared" si="0"/>
        <v>(24,'','','1900-01-00','1900-01-00',,,),</v>
      </c>
    </row>
    <row r="48" spans="1:14" ht="20.100000000000001" customHeight="1" x14ac:dyDescent="0.25">
      <c r="A48" s="39">
        <v>25</v>
      </c>
      <c r="B48" s="48"/>
      <c r="C48" s="52"/>
      <c r="D48" s="19"/>
      <c r="E48" s="19"/>
      <c r="F48" s="42"/>
      <c r="G48" s="42"/>
      <c r="H48" s="42"/>
      <c r="I48" s="42"/>
      <c r="J48" s="42"/>
      <c r="K48" s="53"/>
      <c r="L48" s="44"/>
      <c r="M48" s="42"/>
      <c r="N48" s="52" t="str">
        <f t="shared" si="0"/>
        <v>(25,'','','1900-01-00','1900-01-00',,,),</v>
      </c>
    </row>
    <row r="49" spans="1:14" ht="20.100000000000001" customHeight="1" x14ac:dyDescent="0.25">
      <c r="A49" s="39">
        <v>1</v>
      </c>
      <c r="B49" s="48"/>
      <c r="C49" s="52"/>
      <c r="D49" s="19"/>
      <c r="E49" s="19"/>
      <c r="F49" s="42"/>
      <c r="G49" s="42"/>
      <c r="H49" s="42"/>
      <c r="I49" s="42"/>
      <c r="J49" s="42"/>
      <c r="K49" s="53"/>
      <c r="L49" s="44"/>
      <c r="M49" s="42"/>
      <c r="N49" s="52" t="str">
        <f t="shared" si="0"/>
        <v>(1,'','','1900-01-00','1900-01-00',,,),</v>
      </c>
    </row>
    <row r="50" spans="1:14" ht="20.100000000000001" customHeight="1" x14ac:dyDescent="0.25">
      <c r="A50" s="39">
        <v>2</v>
      </c>
      <c r="B50" s="48"/>
      <c r="C50" s="52"/>
      <c r="D50" s="19"/>
      <c r="E50" s="19"/>
      <c r="F50" s="42"/>
      <c r="G50" s="42"/>
      <c r="H50" s="42"/>
      <c r="I50" s="42"/>
      <c r="J50" s="42"/>
      <c r="K50" s="53"/>
      <c r="L50" s="44"/>
      <c r="M50" s="42"/>
      <c r="N50" s="52" t="str">
        <f t="shared" si="0"/>
        <v>(2,'','','1900-01-00','1900-01-00',,,),</v>
      </c>
    </row>
    <row r="51" spans="1:14" ht="20.100000000000001" customHeight="1" x14ac:dyDescent="0.25">
      <c r="A51" s="39">
        <v>3</v>
      </c>
      <c r="B51" s="48"/>
      <c r="C51" s="52"/>
      <c r="D51" s="19"/>
      <c r="E51" s="19"/>
      <c r="F51" s="42"/>
      <c r="G51" s="42"/>
      <c r="H51" s="42"/>
      <c r="I51" s="42"/>
      <c r="J51" s="42"/>
      <c r="K51" s="53"/>
      <c r="L51" s="44"/>
      <c r="M51" s="42"/>
      <c r="N51" s="52" t="str">
        <f t="shared" si="0"/>
        <v>(3,'','','1900-01-00','1900-01-00',,,),</v>
      </c>
    </row>
    <row r="52" spans="1:14" ht="20.100000000000001" customHeight="1" x14ac:dyDescent="0.25">
      <c r="A52" s="39">
        <v>4</v>
      </c>
      <c r="B52" s="48"/>
      <c r="C52" s="52"/>
      <c r="D52" s="19"/>
      <c r="E52" s="19"/>
      <c r="F52" s="42"/>
      <c r="G52" s="42"/>
      <c r="H52" s="42"/>
      <c r="I52" s="42"/>
      <c r="J52" s="42"/>
      <c r="K52" s="53"/>
      <c r="L52" s="44"/>
      <c r="M52" s="42"/>
      <c r="N52" s="52" t="str">
        <f t="shared" si="0"/>
        <v>(4,'','','1900-01-00','1900-01-00',,,),</v>
      </c>
    </row>
    <row r="53" spans="1:14" ht="20.100000000000001" customHeight="1" x14ac:dyDescent="0.25">
      <c r="A53" s="39">
        <v>5</v>
      </c>
      <c r="B53" s="48"/>
      <c r="C53" s="52"/>
      <c r="D53" s="19"/>
      <c r="E53" s="19"/>
      <c r="F53" s="42"/>
      <c r="G53" s="42"/>
      <c r="H53" s="42"/>
      <c r="I53" s="42"/>
      <c r="J53" s="42"/>
      <c r="K53" s="53"/>
      <c r="L53" s="44"/>
      <c r="M53" s="42"/>
      <c r="N53" s="52" t="str">
        <f t="shared" si="0"/>
        <v>(5,'','','1900-01-00','1900-01-00',,,),</v>
      </c>
    </row>
    <row r="54" spans="1:14" ht="20.100000000000001" customHeight="1" x14ac:dyDescent="0.25">
      <c r="A54" s="39">
        <v>6</v>
      </c>
      <c r="B54" s="48"/>
      <c r="C54" s="52"/>
      <c r="D54" s="19"/>
      <c r="E54" s="19"/>
      <c r="F54" s="42"/>
      <c r="G54" s="42"/>
      <c r="H54" s="42"/>
      <c r="I54" s="42"/>
      <c r="J54" s="42"/>
      <c r="K54" s="53"/>
      <c r="L54" s="44"/>
      <c r="M54" s="42"/>
      <c r="N54" s="52" t="str">
        <f t="shared" si="0"/>
        <v>(6,'','','1900-01-00','1900-01-00',,,),</v>
      </c>
    </row>
    <row r="55" spans="1:14" ht="20.100000000000001" customHeight="1" x14ac:dyDescent="0.25">
      <c r="A55" s="39">
        <v>7</v>
      </c>
      <c r="B55" s="48"/>
      <c r="C55" s="52"/>
      <c r="D55" s="19"/>
      <c r="E55" s="19"/>
      <c r="F55" s="42"/>
      <c r="G55" s="42"/>
      <c r="H55" s="42"/>
      <c r="I55" s="42"/>
      <c r="J55" s="42"/>
      <c r="K55" s="53"/>
      <c r="L55" s="44"/>
      <c r="M55" s="42"/>
      <c r="N55" s="52" t="str">
        <f t="shared" si="0"/>
        <v>(7,'','','1900-01-00','1900-01-00',,,),</v>
      </c>
    </row>
    <row r="56" spans="1:14" ht="20.100000000000001" customHeight="1" x14ac:dyDescent="0.25">
      <c r="A56" s="39">
        <v>8</v>
      </c>
      <c r="B56" s="48"/>
      <c r="C56" s="52"/>
      <c r="D56" s="19"/>
      <c r="E56" s="19"/>
      <c r="F56" s="42"/>
      <c r="G56" s="42"/>
      <c r="H56" s="42"/>
      <c r="I56" s="42"/>
      <c r="J56" s="42"/>
      <c r="K56" s="53"/>
      <c r="L56" s="44"/>
      <c r="M56" s="42"/>
      <c r="N56" s="52" t="str">
        <f t="shared" si="0"/>
        <v>(8,'','','1900-01-00','1900-01-00',,,),</v>
      </c>
    </row>
    <row r="57" spans="1:14" ht="20.100000000000001" customHeight="1" x14ac:dyDescent="0.25">
      <c r="A57" s="39">
        <v>9</v>
      </c>
      <c r="B57" s="48"/>
      <c r="C57" s="52"/>
      <c r="D57" s="19"/>
      <c r="E57" s="19"/>
      <c r="F57" s="42"/>
      <c r="G57" s="42"/>
      <c r="H57" s="42"/>
      <c r="I57" s="42"/>
      <c r="J57" s="42"/>
      <c r="K57" s="53"/>
      <c r="L57" s="44"/>
      <c r="M57" s="42"/>
      <c r="N57" s="52" t="str">
        <f t="shared" si="0"/>
        <v>(9,'','','1900-01-00','1900-01-00',,,),</v>
      </c>
    </row>
    <row r="58" spans="1:14" ht="20.100000000000001" customHeight="1" x14ac:dyDescent="0.25">
      <c r="A58" s="39">
        <v>10</v>
      </c>
      <c r="B58" s="48"/>
      <c r="C58" s="52"/>
      <c r="D58" s="19"/>
      <c r="E58" s="19"/>
      <c r="F58" s="42"/>
      <c r="G58" s="42"/>
      <c r="H58" s="42"/>
      <c r="I58" s="42"/>
      <c r="J58" s="42"/>
      <c r="K58" s="53"/>
      <c r="L58" s="44"/>
      <c r="M58" s="42"/>
      <c r="N58" s="52" t="str">
        <f t="shared" si="0"/>
        <v>(10,'','','1900-01-00','1900-01-00',,,),</v>
      </c>
    </row>
    <row r="59" spans="1:14" ht="20.100000000000001" customHeight="1" x14ac:dyDescent="0.25">
      <c r="A59" s="39" t="s">
        <v>867</v>
      </c>
      <c r="B59" s="48"/>
      <c r="C59" s="52"/>
      <c r="D59" s="19"/>
      <c r="E59" s="19"/>
      <c r="F59" s="42"/>
      <c r="G59" s="42"/>
      <c r="H59" s="42"/>
      <c r="I59" s="42"/>
      <c r="J59" s="42"/>
      <c r="K59" s="53"/>
      <c r="L59" s="44"/>
      <c r="M59" s="42"/>
      <c r="N59" s="52" t="str">
        <f t="shared" si="0"/>
        <v>(10Bis,'','','1900-01-00','1900-01-00',,,),</v>
      </c>
    </row>
    <row r="60" spans="1:14" ht="20.100000000000001" customHeight="1" x14ac:dyDescent="0.25">
      <c r="A60" s="39" t="s">
        <v>868</v>
      </c>
      <c r="B60" s="48"/>
      <c r="C60" s="52"/>
      <c r="D60" s="19"/>
      <c r="E60" s="19"/>
      <c r="F60" s="42"/>
      <c r="G60" s="42"/>
      <c r="H60" s="42"/>
      <c r="I60" s="42"/>
      <c r="J60" s="42"/>
      <c r="K60" s="53"/>
      <c r="L60" s="44"/>
      <c r="M60" s="42"/>
      <c r="N60" s="52" t="str">
        <f t="shared" si="0"/>
        <v>(10Ter,'','','1900-01-00','1900-01-00',,,),</v>
      </c>
    </row>
    <row r="61" spans="1:14" ht="20.100000000000001" customHeight="1" x14ac:dyDescent="0.25">
      <c r="A61" s="39">
        <v>11</v>
      </c>
      <c r="B61" s="48"/>
      <c r="C61" s="52"/>
      <c r="D61" s="19"/>
      <c r="E61" s="19"/>
      <c r="F61" s="42"/>
      <c r="G61" s="42"/>
      <c r="H61" s="42"/>
      <c r="I61" s="42"/>
      <c r="J61" s="42"/>
      <c r="K61" s="53"/>
      <c r="L61" s="44"/>
      <c r="M61" s="42"/>
      <c r="N61" s="52" t="str">
        <f t="shared" si="0"/>
        <v>(11,'','','1900-01-00','1900-01-00',,,),</v>
      </c>
    </row>
    <row r="62" spans="1:14" ht="20.100000000000001" customHeight="1" x14ac:dyDescent="0.25">
      <c r="A62" s="39">
        <v>12</v>
      </c>
      <c r="B62" s="48"/>
      <c r="C62" s="52"/>
      <c r="D62" s="19"/>
      <c r="E62" s="19"/>
      <c r="F62" s="42"/>
      <c r="G62" s="42"/>
      <c r="H62" s="42"/>
      <c r="I62" s="42"/>
      <c r="J62" s="42"/>
      <c r="K62" s="53"/>
      <c r="L62" s="44"/>
      <c r="M62" s="42"/>
      <c r="N62" s="52" t="str">
        <f t="shared" si="0"/>
        <v>(12,'','','1900-01-00','1900-01-00',,,),</v>
      </c>
    </row>
    <row r="63" spans="1:14" ht="20.100000000000001" customHeight="1" x14ac:dyDescent="0.25">
      <c r="A63" s="39">
        <v>13</v>
      </c>
      <c r="B63" s="48"/>
      <c r="C63" s="52"/>
      <c r="D63" s="19"/>
      <c r="E63" s="19"/>
      <c r="F63" s="42"/>
      <c r="G63" s="42"/>
      <c r="H63" s="42"/>
      <c r="I63" s="42"/>
      <c r="J63" s="42"/>
      <c r="K63" s="53"/>
      <c r="L63" s="44"/>
      <c r="M63" s="42"/>
      <c r="N63" s="52" t="str">
        <f t="shared" si="0"/>
        <v>(13,'','','1900-01-00','1900-01-00',,,),</v>
      </c>
    </row>
    <row r="64" spans="1:14" ht="20.100000000000001" customHeight="1" x14ac:dyDescent="0.25">
      <c r="A64" s="39">
        <v>14</v>
      </c>
      <c r="B64" s="48"/>
      <c r="C64" s="52"/>
      <c r="D64" s="19"/>
      <c r="E64" s="19"/>
      <c r="F64" s="42"/>
      <c r="G64" s="42"/>
      <c r="H64" s="42"/>
      <c r="I64" s="42"/>
      <c r="J64" s="42"/>
      <c r="K64" s="53"/>
      <c r="L64" s="44"/>
      <c r="M64" s="42"/>
      <c r="N64" s="52" t="str">
        <f t="shared" si="0"/>
        <v>(14,'','','1900-01-00','1900-01-00',,,),</v>
      </c>
    </row>
    <row r="65" spans="1:14" ht="20.100000000000001" customHeight="1" x14ac:dyDescent="0.25">
      <c r="A65" s="39" t="s">
        <v>869</v>
      </c>
      <c r="B65" s="48"/>
      <c r="C65" s="52"/>
      <c r="D65" s="19"/>
      <c r="E65" s="19"/>
      <c r="F65" s="42"/>
      <c r="G65" s="42"/>
      <c r="H65" s="42"/>
      <c r="I65" s="42"/>
      <c r="J65" s="42"/>
      <c r="K65" s="53"/>
      <c r="L65" s="44"/>
      <c r="M65" s="42"/>
      <c r="N65" s="52" t="str">
        <f t="shared" si="0"/>
        <v>(14Bis,'','','1900-01-00','1900-01-00',,,),</v>
      </c>
    </row>
    <row r="66" spans="1:14" ht="20.100000000000001" customHeight="1" x14ac:dyDescent="0.25">
      <c r="A66" s="39">
        <v>15</v>
      </c>
      <c r="B66" s="48"/>
      <c r="C66" s="52"/>
      <c r="D66" s="19"/>
      <c r="E66" s="19"/>
      <c r="F66" s="42"/>
      <c r="G66" s="42"/>
      <c r="H66" s="42"/>
      <c r="I66" s="42"/>
      <c r="J66" s="42"/>
      <c r="K66" s="53"/>
      <c r="L66" s="44"/>
      <c r="M66" s="42"/>
      <c r="N66" s="52" t="str">
        <f t="shared" si="0"/>
        <v>(15,'','','1900-01-00','1900-01-00',,,),</v>
      </c>
    </row>
    <row r="67" spans="1:14" ht="20.100000000000001" customHeight="1" x14ac:dyDescent="0.25">
      <c r="A67" s="39">
        <v>16</v>
      </c>
      <c r="B67" s="48"/>
      <c r="C67" s="52"/>
      <c r="D67" s="19"/>
      <c r="E67" s="19"/>
      <c r="F67" s="42"/>
      <c r="G67" s="42"/>
      <c r="H67" s="42"/>
      <c r="I67" s="42"/>
      <c r="J67" s="42"/>
      <c r="K67" s="53"/>
      <c r="L67" s="44"/>
      <c r="M67" s="42"/>
      <c r="N67" s="52" t="str">
        <f t="shared" ref="N67:N130" si="1">CONCATENATE("(",A67,",'",B67,"','",C67,"','",TEXT(D67,"aaaa-mm-jj"),"','",TEXT(E67,"aaaa-mm-jj"),"',",F67,",",G67,",",H67,"),")</f>
        <v>(16,'','','1900-01-00','1900-01-00',,,),</v>
      </c>
    </row>
    <row r="68" spans="1:14" ht="20.100000000000001" customHeight="1" x14ac:dyDescent="0.25">
      <c r="A68" s="39" t="s">
        <v>870</v>
      </c>
      <c r="B68" s="48"/>
      <c r="C68" s="52"/>
      <c r="D68" s="19"/>
      <c r="E68" s="19"/>
      <c r="F68" s="42"/>
      <c r="G68" s="42"/>
      <c r="H68" s="42"/>
      <c r="I68" s="42"/>
      <c r="J68" s="42"/>
      <c r="K68" s="53"/>
      <c r="L68" s="44"/>
      <c r="M68" s="42"/>
      <c r="N68" s="52" t="str">
        <f t="shared" si="1"/>
        <v>(16Bis,'','','1900-01-00','1900-01-00',,,),</v>
      </c>
    </row>
    <row r="69" spans="1:14" ht="20.100000000000001" customHeight="1" x14ac:dyDescent="0.25">
      <c r="A69" s="39">
        <v>17</v>
      </c>
      <c r="B69" s="48"/>
      <c r="C69" s="52"/>
      <c r="D69" s="19"/>
      <c r="E69" s="19"/>
      <c r="F69" s="42"/>
      <c r="G69" s="42"/>
      <c r="H69" s="42"/>
      <c r="I69" s="42"/>
      <c r="J69" s="42"/>
      <c r="K69" s="53"/>
      <c r="L69" s="44"/>
      <c r="M69" s="42"/>
      <c r="N69" s="52" t="str">
        <f t="shared" si="1"/>
        <v>(17,'','','1900-01-00','1900-01-00',,,),</v>
      </c>
    </row>
    <row r="70" spans="1:14" ht="20.100000000000001" customHeight="1" x14ac:dyDescent="0.25">
      <c r="A70" s="39">
        <v>18</v>
      </c>
      <c r="B70" s="48"/>
      <c r="C70" s="52"/>
      <c r="D70" s="19"/>
      <c r="E70" s="19"/>
      <c r="F70" s="42"/>
      <c r="G70" s="42"/>
      <c r="H70" s="42"/>
      <c r="I70" s="42"/>
      <c r="J70" s="42"/>
      <c r="K70" s="53"/>
      <c r="L70" s="44"/>
      <c r="M70" s="42"/>
      <c r="N70" s="52" t="str">
        <f t="shared" si="1"/>
        <v>(18,'','','1900-01-00','1900-01-00',,,),</v>
      </c>
    </row>
    <row r="71" spans="1:14" ht="20.100000000000001" customHeight="1" x14ac:dyDescent="0.25">
      <c r="A71" s="39">
        <v>1</v>
      </c>
      <c r="B71" s="40"/>
      <c r="C71" s="52"/>
      <c r="D71" s="19"/>
      <c r="E71" s="19"/>
      <c r="F71" s="42"/>
      <c r="G71" s="42"/>
      <c r="H71" s="42"/>
      <c r="I71" s="42"/>
      <c r="J71" s="42"/>
      <c r="K71" s="53"/>
      <c r="L71" s="44"/>
      <c r="M71" s="42"/>
      <c r="N71" s="52" t="str">
        <f t="shared" si="1"/>
        <v>(1,'','','1900-01-00','1900-01-00',,,),</v>
      </c>
    </row>
    <row r="72" spans="1:14" ht="20.100000000000001" customHeight="1" x14ac:dyDescent="0.25">
      <c r="A72" s="39">
        <v>2</v>
      </c>
      <c r="B72" s="40"/>
      <c r="C72" s="52"/>
      <c r="D72" s="19"/>
      <c r="E72" s="19"/>
      <c r="F72" s="42"/>
      <c r="G72" s="42"/>
      <c r="H72" s="42"/>
      <c r="I72" s="42"/>
      <c r="J72" s="42"/>
      <c r="K72" s="53"/>
      <c r="L72" s="44"/>
      <c r="M72" s="42"/>
      <c r="N72" s="52" t="str">
        <f t="shared" si="1"/>
        <v>(2,'','','1900-01-00','1900-01-00',,,),</v>
      </c>
    </row>
    <row r="73" spans="1:14" ht="20.100000000000001" customHeight="1" x14ac:dyDescent="0.25">
      <c r="A73" s="39">
        <v>3</v>
      </c>
      <c r="B73" s="40"/>
      <c r="C73" s="52"/>
      <c r="D73" s="19"/>
      <c r="E73" s="19"/>
      <c r="F73" s="42"/>
      <c r="G73" s="42"/>
      <c r="H73" s="42"/>
      <c r="I73" s="42"/>
      <c r="J73" s="42"/>
      <c r="K73" s="53"/>
      <c r="L73" s="44"/>
      <c r="M73" s="42"/>
      <c r="N73" s="52" t="str">
        <f t="shared" si="1"/>
        <v>(3,'','','1900-01-00','1900-01-00',,,),</v>
      </c>
    </row>
    <row r="74" spans="1:14" ht="20.100000000000001" customHeight="1" x14ac:dyDescent="0.25">
      <c r="A74" s="39">
        <v>4</v>
      </c>
      <c r="B74" s="40"/>
      <c r="C74" s="52"/>
      <c r="D74" s="19"/>
      <c r="E74" s="19"/>
      <c r="F74" s="42"/>
      <c r="G74" s="42"/>
      <c r="H74" s="42"/>
      <c r="I74" s="42"/>
      <c r="J74" s="42"/>
      <c r="K74" s="53"/>
      <c r="L74" s="44"/>
      <c r="M74" s="42"/>
      <c r="N74" s="52" t="str">
        <f t="shared" si="1"/>
        <v>(4,'','','1900-01-00','1900-01-00',,,),</v>
      </c>
    </row>
    <row r="75" spans="1:14" ht="20.100000000000001" customHeight="1" x14ac:dyDescent="0.25">
      <c r="A75" s="39" t="s">
        <v>871</v>
      </c>
      <c r="B75" s="40"/>
      <c r="C75" s="52"/>
      <c r="D75" s="19"/>
      <c r="E75" s="19"/>
      <c r="F75" s="42"/>
      <c r="G75" s="42"/>
      <c r="H75" s="42"/>
      <c r="I75" s="42"/>
      <c r="J75" s="42"/>
      <c r="K75" s="53"/>
      <c r="L75" s="44"/>
      <c r="M75" s="42"/>
      <c r="N75" s="52" t="str">
        <f t="shared" si="1"/>
        <v>(04Bis,'','','1900-01-00','1900-01-00',,,),</v>
      </c>
    </row>
    <row r="76" spans="1:14" ht="20.100000000000001" customHeight="1" x14ac:dyDescent="0.25">
      <c r="A76" s="39">
        <v>5</v>
      </c>
      <c r="B76" s="40"/>
      <c r="C76" s="52"/>
      <c r="D76" s="19"/>
      <c r="E76" s="19"/>
      <c r="F76" s="42"/>
      <c r="G76" s="42"/>
      <c r="H76" s="42"/>
      <c r="I76" s="42"/>
      <c r="J76" s="42"/>
      <c r="K76" s="53"/>
      <c r="L76" s="44"/>
      <c r="M76" s="42"/>
      <c r="N76" s="52" t="str">
        <f t="shared" si="1"/>
        <v>(5,'','','1900-01-00','1900-01-00',,,),</v>
      </c>
    </row>
    <row r="77" spans="1:14" ht="20.100000000000001" customHeight="1" x14ac:dyDescent="0.25">
      <c r="A77" s="39" t="s">
        <v>886</v>
      </c>
      <c r="B77" s="40"/>
      <c r="C77" s="52"/>
      <c r="D77" s="19"/>
      <c r="E77" s="19"/>
      <c r="F77" s="42"/>
      <c r="G77" s="42"/>
      <c r="H77" s="42"/>
      <c r="I77" s="42"/>
      <c r="J77" s="42"/>
      <c r="K77" s="53"/>
      <c r="L77" s="44"/>
      <c r="M77" s="42"/>
      <c r="N77" s="52" t="str">
        <f t="shared" si="1"/>
        <v>(N01,'','','1900-01-00','1900-01-00',,,),</v>
      </c>
    </row>
    <row r="78" spans="1:14" ht="20.100000000000001" customHeight="1" x14ac:dyDescent="0.25">
      <c r="A78" s="39" t="s">
        <v>887</v>
      </c>
      <c r="B78" s="40"/>
      <c r="C78" s="52"/>
      <c r="D78" s="19"/>
      <c r="E78" s="19"/>
      <c r="F78" s="42"/>
      <c r="G78" s="42"/>
      <c r="H78" s="42"/>
      <c r="I78" s="42"/>
      <c r="J78" s="42"/>
      <c r="K78" s="53"/>
      <c r="L78" s="44"/>
      <c r="M78" s="42"/>
      <c r="N78" s="52" t="str">
        <f t="shared" si="1"/>
        <v>(N02,'','','1900-01-00','1900-01-00',,,),</v>
      </c>
    </row>
    <row r="79" spans="1:14" ht="20.100000000000001" customHeight="1" x14ac:dyDescent="0.25">
      <c r="A79" s="39" t="s">
        <v>888</v>
      </c>
      <c r="B79" s="40"/>
      <c r="C79" s="52"/>
      <c r="D79" s="19"/>
      <c r="E79" s="19"/>
      <c r="F79" s="42"/>
      <c r="G79" s="42"/>
      <c r="H79" s="42"/>
      <c r="I79" s="42"/>
      <c r="J79" s="42"/>
      <c r="K79" s="53"/>
      <c r="L79" s="44"/>
      <c r="M79" s="42"/>
      <c r="N79" s="52" t="str">
        <f t="shared" si="1"/>
        <v>(N03,'','','1900-01-00','1900-01-00',,,),</v>
      </c>
    </row>
    <row r="80" spans="1:14" ht="20.100000000000001" customHeight="1" x14ac:dyDescent="0.25">
      <c r="A80" s="39" t="s">
        <v>891</v>
      </c>
      <c r="B80" s="40"/>
      <c r="C80" s="52"/>
      <c r="D80" s="19"/>
      <c r="E80" s="19"/>
      <c r="F80" s="42"/>
      <c r="G80" s="42"/>
      <c r="H80" s="42"/>
      <c r="I80" s="42"/>
      <c r="J80" s="42"/>
      <c r="K80" s="53"/>
      <c r="L80" s="44"/>
      <c r="M80" s="42"/>
      <c r="N80" s="52" t="str">
        <f t="shared" si="1"/>
        <v>(N03Bis,'','','1900-01-00','1900-01-00',,,),</v>
      </c>
    </row>
    <row r="81" spans="1:14" ht="20.100000000000001" customHeight="1" x14ac:dyDescent="0.25">
      <c r="A81" s="39" t="s">
        <v>889</v>
      </c>
      <c r="B81" s="40"/>
      <c r="C81" s="52"/>
      <c r="D81" s="19"/>
      <c r="E81" s="19"/>
      <c r="F81" s="42"/>
      <c r="G81" s="42"/>
      <c r="H81" s="42"/>
      <c r="I81" s="42"/>
      <c r="J81" s="42"/>
      <c r="K81" s="53"/>
      <c r="L81" s="44"/>
      <c r="M81" s="42"/>
      <c r="N81" s="52" t="str">
        <f t="shared" si="1"/>
        <v>(N04,'','','1900-01-00','1900-01-00',,,),</v>
      </c>
    </row>
    <row r="82" spans="1:14" ht="20.100000000000001" customHeight="1" x14ac:dyDescent="0.25">
      <c r="A82" s="39" t="s">
        <v>890</v>
      </c>
      <c r="B82" s="40"/>
      <c r="C82" s="52"/>
      <c r="D82" s="19"/>
      <c r="E82" s="19"/>
      <c r="F82" s="42"/>
      <c r="G82" s="42"/>
      <c r="H82" s="42"/>
      <c r="I82" s="42"/>
      <c r="J82" s="42"/>
      <c r="K82" s="53"/>
      <c r="L82" s="44"/>
      <c r="M82" s="42"/>
      <c r="N82" s="52" t="str">
        <f t="shared" si="1"/>
        <v>(N05,'','','1900-01-00','1900-01-00',,,),</v>
      </c>
    </row>
    <row r="83" spans="1:14" ht="20.100000000000001" customHeight="1" x14ac:dyDescent="0.25">
      <c r="A83" s="39" t="s">
        <v>892</v>
      </c>
      <c r="B83" s="40"/>
      <c r="C83" s="52"/>
      <c r="D83" s="19"/>
      <c r="E83" s="19"/>
      <c r="F83" s="42"/>
      <c r="G83" s="42"/>
      <c r="H83" s="42"/>
      <c r="I83" s="42"/>
      <c r="J83" s="42"/>
      <c r="K83" s="53"/>
      <c r="L83" s="44"/>
      <c r="M83" s="42"/>
      <c r="N83" s="52" t="str">
        <f t="shared" si="1"/>
        <v>(N06,'','','1900-01-00','1900-01-00',,,),</v>
      </c>
    </row>
    <row r="84" spans="1:14" ht="20.100000000000001" customHeight="1" x14ac:dyDescent="0.25">
      <c r="A84" s="39" t="s">
        <v>900</v>
      </c>
      <c r="B84" s="40"/>
      <c r="C84" s="52"/>
      <c r="D84" s="19"/>
      <c r="E84" s="19"/>
      <c r="F84" s="42"/>
      <c r="G84" s="42"/>
      <c r="H84" s="42"/>
      <c r="I84" s="42"/>
      <c r="J84" s="42"/>
      <c r="K84" s="53"/>
      <c r="L84" s="44"/>
      <c r="M84" s="42"/>
      <c r="N84" s="52" t="str">
        <f t="shared" si="1"/>
        <v>(N06Bis,'','','1900-01-00','1900-01-00',,,),</v>
      </c>
    </row>
    <row r="85" spans="1:14" ht="20.100000000000001" customHeight="1" x14ac:dyDescent="0.25">
      <c r="A85" s="39" t="s">
        <v>893</v>
      </c>
      <c r="B85" s="40"/>
      <c r="C85" s="52"/>
      <c r="D85" s="19"/>
      <c r="E85" s="19"/>
      <c r="F85" s="42"/>
      <c r="G85" s="42"/>
      <c r="H85" s="42"/>
      <c r="I85" s="42"/>
      <c r="J85" s="42"/>
      <c r="K85" s="53"/>
      <c r="L85" s="44"/>
      <c r="M85" s="42"/>
      <c r="N85" s="52" t="str">
        <f t="shared" si="1"/>
        <v>(N07,'','','1900-01-00','1900-01-00',,,),</v>
      </c>
    </row>
    <row r="86" spans="1:14" ht="20.100000000000001" customHeight="1" x14ac:dyDescent="0.25">
      <c r="A86" s="39" t="s">
        <v>894</v>
      </c>
      <c r="B86" s="40"/>
      <c r="C86" s="52"/>
      <c r="D86" s="19"/>
      <c r="E86" s="19"/>
      <c r="F86" s="42"/>
      <c r="G86" s="42"/>
      <c r="H86" s="42"/>
      <c r="I86" s="42"/>
      <c r="J86" s="42"/>
      <c r="K86" s="53"/>
      <c r="L86" s="44"/>
      <c r="M86" s="42"/>
      <c r="N86" s="52" t="str">
        <f t="shared" si="1"/>
        <v>(N08,'','','1900-01-00','1900-01-00',,,),</v>
      </c>
    </row>
    <row r="87" spans="1:14" ht="20.100000000000001" customHeight="1" x14ac:dyDescent="0.25">
      <c r="A87" s="39" t="s">
        <v>895</v>
      </c>
      <c r="B87" s="40"/>
      <c r="C87" s="52"/>
      <c r="D87" s="19"/>
      <c r="E87" s="19"/>
      <c r="F87" s="42"/>
      <c r="G87" s="42"/>
      <c r="H87" s="42"/>
      <c r="I87" s="42"/>
      <c r="J87" s="42"/>
      <c r="K87" s="53"/>
      <c r="L87" s="44"/>
      <c r="M87" s="42"/>
      <c r="N87" s="52" t="str">
        <f t="shared" si="1"/>
        <v>(N09,'','','1900-01-00','1900-01-00',,,),</v>
      </c>
    </row>
    <row r="88" spans="1:14" ht="20.100000000000001" customHeight="1" x14ac:dyDescent="0.25">
      <c r="A88" s="39" t="s">
        <v>896</v>
      </c>
      <c r="B88" s="40"/>
      <c r="C88" s="52"/>
      <c r="D88" s="19"/>
      <c r="E88" s="19"/>
      <c r="F88" s="42"/>
      <c r="G88" s="42"/>
      <c r="H88" s="42"/>
      <c r="I88" s="42"/>
      <c r="J88" s="42"/>
      <c r="K88" s="53"/>
      <c r="L88" s="44"/>
      <c r="M88" s="42"/>
      <c r="N88" s="52" t="str">
        <f t="shared" si="1"/>
        <v>(N10,'','','1900-01-00','1900-01-00',,,),</v>
      </c>
    </row>
    <row r="89" spans="1:14" ht="20.100000000000001" customHeight="1" x14ac:dyDescent="0.25">
      <c r="A89" s="39" t="s">
        <v>897</v>
      </c>
      <c r="B89" s="40"/>
      <c r="C89" s="52"/>
      <c r="D89" s="19"/>
      <c r="E89" s="19"/>
      <c r="F89" s="42"/>
      <c r="G89" s="42"/>
      <c r="H89" s="42"/>
      <c r="I89" s="42"/>
      <c r="J89" s="42"/>
      <c r="K89" s="53"/>
      <c r="L89" s="44"/>
      <c r="M89" s="42"/>
      <c r="N89" s="52" t="str">
        <f t="shared" si="1"/>
        <v>(N11,'','','1900-01-00','1900-01-00',,,),</v>
      </c>
    </row>
    <row r="90" spans="1:14" ht="20.100000000000001" customHeight="1" x14ac:dyDescent="0.25">
      <c r="A90" s="39" t="s">
        <v>898</v>
      </c>
      <c r="B90" s="40"/>
      <c r="C90" s="52"/>
      <c r="D90" s="19"/>
      <c r="E90" s="19"/>
      <c r="F90" s="42"/>
      <c r="G90" s="42"/>
      <c r="H90" s="42"/>
      <c r="I90" s="42"/>
      <c r="J90" s="42"/>
      <c r="K90" s="53"/>
      <c r="L90" s="44"/>
      <c r="M90" s="42"/>
      <c r="N90" s="52" t="str">
        <f t="shared" si="1"/>
        <v>(N12,'','','1900-01-00','1900-01-00',,,),</v>
      </c>
    </row>
    <row r="91" spans="1:14" ht="20.100000000000001" customHeight="1" x14ac:dyDescent="0.25">
      <c r="A91" s="39" t="s">
        <v>899</v>
      </c>
      <c r="B91" s="40"/>
      <c r="C91" s="52"/>
      <c r="D91" s="19"/>
      <c r="E91" s="19"/>
      <c r="F91" s="42"/>
      <c r="G91" s="42"/>
      <c r="H91" s="42"/>
      <c r="I91" s="42"/>
      <c r="J91" s="42"/>
      <c r="K91" s="53"/>
      <c r="L91" s="44"/>
      <c r="M91" s="42"/>
      <c r="N91" s="52" t="str">
        <f t="shared" si="1"/>
        <v>(N13,'','','1900-01-00','1900-01-00',,,),</v>
      </c>
    </row>
    <row r="92" spans="1:14" ht="20.100000000000001" customHeight="1" x14ac:dyDescent="0.25">
      <c r="A92" s="39" t="s">
        <v>885</v>
      </c>
      <c r="B92" s="40"/>
      <c r="C92" s="52"/>
      <c r="D92" s="19"/>
      <c r="E92" s="19"/>
      <c r="F92" s="42"/>
      <c r="G92" s="42"/>
      <c r="H92" s="42"/>
      <c r="I92" s="42"/>
      <c r="J92" s="42"/>
      <c r="K92" s="53"/>
      <c r="L92" s="44"/>
      <c r="M92" s="42"/>
      <c r="N92" s="52" t="str">
        <f t="shared" si="1"/>
        <v>(S01,'','','1900-01-00','1900-01-00',,,),</v>
      </c>
    </row>
    <row r="93" spans="1:14" ht="20.100000000000001" customHeight="1" x14ac:dyDescent="0.25">
      <c r="A93" s="39" t="s">
        <v>916</v>
      </c>
      <c r="B93" s="40"/>
      <c r="C93" s="52"/>
      <c r="D93" s="19"/>
      <c r="E93" s="19"/>
      <c r="F93" s="42"/>
      <c r="G93" s="42"/>
      <c r="H93" s="42"/>
      <c r="I93" s="42"/>
      <c r="J93" s="42"/>
      <c r="K93" s="53"/>
      <c r="L93" s="44"/>
      <c r="M93" s="42"/>
      <c r="N93" s="52" t="str">
        <f t="shared" si="1"/>
        <v>(S02,'','','1900-01-00','1900-01-00',,,),</v>
      </c>
    </row>
    <row r="94" spans="1:14" ht="20.100000000000001" customHeight="1" x14ac:dyDescent="0.25">
      <c r="A94" s="39" t="s">
        <v>917</v>
      </c>
      <c r="B94" s="40"/>
      <c r="C94" s="52"/>
      <c r="D94" s="19"/>
      <c r="E94" s="19"/>
      <c r="F94" s="42"/>
      <c r="G94" s="42"/>
      <c r="H94" s="42"/>
      <c r="I94" s="42"/>
      <c r="J94" s="42"/>
      <c r="K94" s="53"/>
      <c r="L94" s="44"/>
      <c r="M94" s="42"/>
      <c r="N94" s="52" t="str">
        <f t="shared" si="1"/>
        <v>(S03,'','','1900-01-00','1900-01-00',,,),</v>
      </c>
    </row>
    <row r="95" spans="1:14" ht="20.100000000000001" customHeight="1" x14ac:dyDescent="0.25">
      <c r="A95" s="39" t="s">
        <v>918</v>
      </c>
      <c r="B95" s="40"/>
      <c r="C95" s="52"/>
      <c r="D95" s="19"/>
      <c r="E95" s="19"/>
      <c r="F95" s="42"/>
      <c r="G95" s="42"/>
      <c r="H95" s="42"/>
      <c r="I95" s="42"/>
      <c r="J95" s="42"/>
      <c r="K95" s="53"/>
      <c r="L95" s="44"/>
      <c r="M95" s="42"/>
      <c r="N95" s="52" t="str">
        <f t="shared" si="1"/>
        <v>(S04,'','','1900-01-00','1900-01-00',,,),</v>
      </c>
    </row>
    <row r="96" spans="1:14" ht="20.100000000000001" customHeight="1" x14ac:dyDescent="0.25">
      <c r="A96" s="39" t="s">
        <v>919</v>
      </c>
      <c r="B96" s="40"/>
      <c r="C96" s="52"/>
      <c r="D96" s="19"/>
      <c r="E96" s="19"/>
      <c r="F96" s="42"/>
      <c r="G96" s="42"/>
      <c r="H96" s="42"/>
      <c r="I96" s="42"/>
      <c r="J96" s="42"/>
      <c r="K96" s="53"/>
      <c r="L96" s="44"/>
      <c r="M96" s="42"/>
      <c r="N96" s="52" t="str">
        <f t="shared" si="1"/>
        <v>(S05,'','','1900-01-00','1900-01-00',,,),</v>
      </c>
    </row>
    <row r="97" spans="1:14" ht="20.100000000000001" customHeight="1" x14ac:dyDescent="0.25">
      <c r="A97" s="39" t="s">
        <v>920</v>
      </c>
      <c r="B97" s="40"/>
      <c r="C97" s="52"/>
      <c r="D97" s="19"/>
      <c r="E97" s="19"/>
      <c r="F97" s="42"/>
      <c r="G97" s="42"/>
      <c r="H97" s="42"/>
      <c r="I97" s="42"/>
      <c r="J97" s="42"/>
      <c r="K97" s="53"/>
      <c r="L97" s="44"/>
      <c r="M97" s="42"/>
      <c r="N97" s="52" t="str">
        <f t="shared" si="1"/>
        <v>(S06,'','','1900-01-00','1900-01-00',,,),</v>
      </c>
    </row>
    <row r="98" spans="1:14" ht="20.100000000000001" customHeight="1" x14ac:dyDescent="0.25">
      <c r="A98" s="39" t="s">
        <v>921</v>
      </c>
      <c r="B98" s="40"/>
      <c r="C98" s="52"/>
      <c r="D98" s="19"/>
      <c r="E98" s="19"/>
      <c r="F98" s="42"/>
      <c r="G98" s="42"/>
      <c r="H98" s="42"/>
      <c r="I98" s="42"/>
      <c r="J98" s="42"/>
      <c r="K98" s="53"/>
      <c r="L98" s="44"/>
      <c r="M98" s="42"/>
      <c r="N98" s="52" t="str">
        <f t="shared" si="1"/>
        <v>(S07,'','','1900-01-00','1900-01-00',,,),</v>
      </c>
    </row>
    <row r="99" spans="1:14" ht="20.100000000000001" customHeight="1" x14ac:dyDescent="0.25">
      <c r="A99" s="39" t="s">
        <v>922</v>
      </c>
      <c r="B99" s="40"/>
      <c r="C99" s="52"/>
      <c r="D99" s="19"/>
      <c r="E99" s="19"/>
      <c r="F99" s="42"/>
      <c r="G99" s="42"/>
      <c r="H99" s="42"/>
      <c r="I99" s="42"/>
      <c r="J99" s="42"/>
      <c r="K99" s="53"/>
      <c r="L99" s="44"/>
      <c r="M99" s="42"/>
      <c r="N99" s="52" t="str">
        <f t="shared" si="1"/>
        <v>(S08,'','','1900-01-00','1900-01-00',,,),</v>
      </c>
    </row>
    <row r="100" spans="1:14" ht="20.100000000000001" customHeight="1" x14ac:dyDescent="0.25">
      <c r="A100" s="39" t="s">
        <v>923</v>
      </c>
      <c r="B100" s="40"/>
      <c r="C100" s="52"/>
      <c r="D100" s="19"/>
      <c r="E100" s="19"/>
      <c r="F100" s="42"/>
      <c r="G100" s="42"/>
      <c r="H100" s="42"/>
      <c r="I100" s="42"/>
      <c r="J100" s="42"/>
      <c r="K100" s="53"/>
      <c r="L100" s="44"/>
      <c r="M100" s="42"/>
      <c r="N100" s="52" t="str">
        <f t="shared" si="1"/>
        <v>(S09,'','','1900-01-00','1900-01-00',,,),</v>
      </c>
    </row>
    <row r="101" spans="1:14" ht="20.100000000000001" customHeight="1" x14ac:dyDescent="0.25">
      <c r="A101" s="39" t="s">
        <v>924</v>
      </c>
      <c r="B101" s="40"/>
      <c r="C101" s="52"/>
      <c r="D101" s="19"/>
      <c r="E101" s="19"/>
      <c r="F101" s="42"/>
      <c r="G101" s="42"/>
      <c r="H101" s="42"/>
      <c r="I101" s="42"/>
      <c r="J101" s="42"/>
      <c r="K101" s="53"/>
      <c r="L101" s="44"/>
      <c r="M101" s="42"/>
      <c r="N101" s="52" t="str">
        <f t="shared" si="1"/>
        <v>(S10,'','','1900-01-00','1900-01-00',,,),</v>
      </c>
    </row>
    <row r="102" spans="1:14" ht="20.100000000000001" customHeight="1" x14ac:dyDescent="0.25">
      <c r="A102" s="39" t="s">
        <v>925</v>
      </c>
      <c r="B102" s="40"/>
      <c r="C102" s="52"/>
      <c r="D102" s="19"/>
      <c r="E102" s="19"/>
      <c r="F102" s="42"/>
      <c r="G102" s="42"/>
      <c r="H102" s="42"/>
      <c r="I102" s="42"/>
      <c r="J102" s="42"/>
      <c r="K102" s="53"/>
      <c r="L102" s="44"/>
      <c r="M102" s="42"/>
      <c r="N102" s="52" t="str">
        <f t="shared" si="1"/>
        <v>(S11,'','','1900-01-00','1900-01-00',,,),</v>
      </c>
    </row>
    <row r="103" spans="1:14" ht="20.100000000000001" customHeight="1" x14ac:dyDescent="0.25">
      <c r="A103" s="39" t="s">
        <v>926</v>
      </c>
      <c r="B103" s="40"/>
      <c r="C103" s="52"/>
      <c r="D103" s="19"/>
      <c r="E103" s="19"/>
      <c r="F103" s="42"/>
      <c r="G103" s="42"/>
      <c r="H103" s="42"/>
      <c r="I103" s="42"/>
      <c r="J103" s="42"/>
      <c r="K103" s="53"/>
      <c r="L103" s="44"/>
      <c r="M103" s="42"/>
      <c r="N103" s="52" t="str">
        <f t="shared" si="1"/>
        <v>(S12,'','','1900-01-00','1900-01-00',,,),</v>
      </c>
    </row>
    <row r="104" spans="1:14" ht="20.100000000000001" customHeight="1" x14ac:dyDescent="0.25">
      <c r="A104" s="39" t="s">
        <v>927</v>
      </c>
      <c r="B104" s="40"/>
      <c r="C104" s="52"/>
      <c r="D104" s="19"/>
      <c r="E104" s="19"/>
      <c r="F104" s="42"/>
      <c r="G104" s="42"/>
      <c r="H104" s="42"/>
      <c r="I104" s="42"/>
      <c r="J104" s="42"/>
      <c r="K104" s="53"/>
      <c r="L104" s="44"/>
      <c r="M104" s="42"/>
      <c r="N104" s="52" t="str">
        <f t="shared" si="1"/>
        <v>(S13,'','','1900-01-00','1900-01-00',,,),</v>
      </c>
    </row>
    <row r="105" spans="1:14" ht="20.100000000000001" customHeight="1" x14ac:dyDescent="0.25">
      <c r="A105" s="39" t="s">
        <v>928</v>
      </c>
      <c r="B105" s="40"/>
      <c r="C105" s="52"/>
      <c r="D105" s="19"/>
      <c r="E105" s="19"/>
      <c r="F105" s="42"/>
      <c r="G105" s="42"/>
      <c r="H105" s="42"/>
      <c r="I105" s="42"/>
      <c r="J105" s="42"/>
      <c r="K105" s="53"/>
      <c r="L105" s="44"/>
      <c r="M105" s="42"/>
      <c r="N105" s="52" t="str">
        <f t="shared" si="1"/>
        <v>(S14,'','','1900-01-00','1900-01-00',,,),</v>
      </c>
    </row>
    <row r="106" spans="1:14" ht="20.100000000000001" customHeight="1" x14ac:dyDescent="0.25">
      <c r="A106" s="39" t="s">
        <v>929</v>
      </c>
      <c r="B106" s="40"/>
      <c r="C106" s="52"/>
      <c r="D106" s="19"/>
      <c r="E106" s="19"/>
      <c r="F106" s="42"/>
      <c r="G106" s="42"/>
      <c r="H106" s="42"/>
      <c r="I106" s="42"/>
      <c r="J106" s="42"/>
      <c r="K106" s="53"/>
      <c r="L106" s="44"/>
      <c r="M106" s="42"/>
      <c r="N106" s="52" t="str">
        <f t="shared" si="1"/>
        <v>(S15,'','','1900-01-00','1900-01-00',,,),</v>
      </c>
    </row>
    <row r="107" spans="1:14" ht="20.100000000000001" customHeight="1" x14ac:dyDescent="0.25">
      <c r="A107" s="39" t="s">
        <v>930</v>
      </c>
      <c r="B107" s="40"/>
      <c r="C107" s="52"/>
      <c r="D107" s="19"/>
      <c r="E107" s="19"/>
      <c r="F107" s="42"/>
      <c r="G107" s="42"/>
      <c r="H107" s="42"/>
      <c r="I107" s="42"/>
      <c r="J107" s="42"/>
      <c r="K107" s="53"/>
      <c r="L107" s="44"/>
      <c r="M107" s="42"/>
      <c r="N107" s="52" t="str">
        <f t="shared" si="1"/>
        <v>(S16,'','','1900-01-00','1900-01-00',,,),</v>
      </c>
    </row>
    <row r="108" spans="1:14" ht="20.100000000000001" customHeight="1" x14ac:dyDescent="0.25">
      <c r="A108" s="39" t="s">
        <v>931</v>
      </c>
      <c r="B108" s="40"/>
      <c r="C108" s="52"/>
      <c r="D108" s="19"/>
      <c r="E108" s="19"/>
      <c r="F108" s="42"/>
      <c r="G108" s="42"/>
      <c r="H108" s="42"/>
      <c r="I108" s="42"/>
      <c r="J108" s="42"/>
      <c r="K108" s="53"/>
      <c r="L108" s="44"/>
      <c r="M108" s="42"/>
      <c r="N108" s="52" t="str">
        <f t="shared" si="1"/>
        <v>(S17,'','','1900-01-00','1900-01-00',,,),</v>
      </c>
    </row>
    <row r="109" spans="1:14" ht="20.100000000000001" customHeight="1" x14ac:dyDescent="0.25">
      <c r="A109" s="39" t="s">
        <v>932</v>
      </c>
      <c r="B109" s="40"/>
      <c r="C109" s="52"/>
      <c r="D109" s="19"/>
      <c r="E109" s="19"/>
      <c r="F109" s="42"/>
      <c r="G109" s="42"/>
      <c r="H109" s="42"/>
      <c r="I109" s="42"/>
      <c r="J109" s="42"/>
      <c r="K109" s="53"/>
      <c r="L109" s="44"/>
      <c r="M109" s="42"/>
      <c r="N109" s="52" t="str">
        <f t="shared" si="1"/>
        <v>(S18,'','','1900-01-00','1900-01-00',,,),</v>
      </c>
    </row>
    <row r="110" spans="1:14" ht="20.100000000000001" customHeight="1" x14ac:dyDescent="0.25">
      <c r="A110" s="39" t="s">
        <v>933</v>
      </c>
      <c r="B110" s="40"/>
      <c r="C110" s="52"/>
      <c r="D110" s="19"/>
      <c r="E110" s="19"/>
      <c r="F110" s="42"/>
      <c r="G110" s="42"/>
      <c r="H110" s="42"/>
      <c r="I110" s="42"/>
      <c r="J110" s="42"/>
      <c r="K110" s="53"/>
      <c r="L110" s="44"/>
      <c r="M110" s="42"/>
      <c r="N110" s="52" t="str">
        <f t="shared" si="1"/>
        <v>(S19,'','','1900-01-00','1900-01-00',,,),</v>
      </c>
    </row>
    <row r="111" spans="1:14" ht="20.100000000000001" customHeight="1" x14ac:dyDescent="0.25">
      <c r="A111" s="39" t="s">
        <v>934</v>
      </c>
      <c r="B111" s="40"/>
      <c r="C111" s="52"/>
      <c r="D111" s="19"/>
      <c r="E111" s="19"/>
      <c r="F111" s="42"/>
      <c r="G111" s="42"/>
      <c r="H111" s="42"/>
      <c r="I111" s="42"/>
      <c r="J111" s="42"/>
      <c r="K111" s="53"/>
      <c r="L111" s="44"/>
      <c r="M111" s="42"/>
      <c r="N111" s="52" t="str">
        <f t="shared" si="1"/>
        <v>(S20,'','','1900-01-00','1900-01-00',,,),</v>
      </c>
    </row>
    <row r="112" spans="1:14" ht="20.100000000000001" customHeight="1" x14ac:dyDescent="0.25">
      <c r="A112" s="39" t="s">
        <v>935</v>
      </c>
      <c r="B112" s="40"/>
      <c r="C112" s="52"/>
      <c r="D112" s="19"/>
      <c r="E112" s="19"/>
      <c r="F112" s="42"/>
      <c r="G112" s="42"/>
      <c r="H112" s="42"/>
      <c r="I112" s="42"/>
      <c r="J112" s="42"/>
      <c r="K112" s="53"/>
      <c r="L112" s="44"/>
      <c r="M112" s="42"/>
      <c r="N112" s="52" t="str">
        <f t="shared" si="1"/>
        <v>(S21,'','','1900-01-00','1900-01-00',,,),</v>
      </c>
    </row>
    <row r="113" spans="1:14" ht="20.100000000000001" customHeight="1" x14ac:dyDescent="0.25">
      <c r="A113" s="39" t="s">
        <v>936</v>
      </c>
      <c r="B113" s="40"/>
      <c r="C113" s="52"/>
      <c r="D113" s="19"/>
      <c r="E113" s="19"/>
      <c r="F113" s="42"/>
      <c r="G113" s="42"/>
      <c r="H113" s="42"/>
      <c r="I113" s="42"/>
      <c r="J113" s="42"/>
      <c r="K113" s="53"/>
      <c r="L113" s="44"/>
      <c r="M113" s="42"/>
      <c r="N113" s="52" t="str">
        <f t="shared" si="1"/>
        <v>(S22,'','','1900-01-00','1900-01-00',,,),</v>
      </c>
    </row>
    <row r="114" spans="1:14" ht="20.100000000000001" customHeight="1" x14ac:dyDescent="0.25">
      <c r="A114" s="39">
        <v>1</v>
      </c>
      <c r="B114" s="40"/>
      <c r="C114" s="52"/>
      <c r="D114" s="19"/>
      <c r="E114" s="19"/>
      <c r="F114" s="42"/>
      <c r="G114" s="42"/>
      <c r="H114" s="42"/>
      <c r="I114" s="42"/>
      <c r="J114" s="42"/>
      <c r="K114" s="53"/>
      <c r="L114" s="44"/>
      <c r="M114" s="42"/>
      <c r="N114" s="52" t="str">
        <f t="shared" si="1"/>
        <v>(1,'','','1900-01-00','1900-01-00',,,),</v>
      </c>
    </row>
    <row r="115" spans="1:14" ht="20.100000000000001" customHeight="1" x14ac:dyDescent="0.25">
      <c r="A115" s="39">
        <v>2</v>
      </c>
      <c r="B115" s="40"/>
      <c r="C115" s="52"/>
      <c r="D115" s="19"/>
      <c r="E115" s="19"/>
      <c r="F115" s="42"/>
      <c r="G115" s="42"/>
      <c r="H115" s="42"/>
      <c r="I115" s="42"/>
      <c r="J115" s="42"/>
      <c r="K115" s="53"/>
      <c r="L115" s="44"/>
      <c r="M115" s="42"/>
      <c r="N115" s="52" t="str">
        <f t="shared" si="1"/>
        <v>(2,'','','1900-01-00','1900-01-00',,,),</v>
      </c>
    </row>
    <row r="116" spans="1:14" ht="20.100000000000001" customHeight="1" x14ac:dyDescent="0.25">
      <c r="A116" s="39">
        <v>3</v>
      </c>
      <c r="B116" s="40"/>
      <c r="C116" s="52"/>
      <c r="D116" s="19"/>
      <c r="E116" s="19"/>
      <c r="F116" s="42"/>
      <c r="G116" s="42"/>
      <c r="H116" s="42"/>
      <c r="I116" s="42"/>
      <c r="J116" s="42"/>
      <c r="K116" s="53"/>
      <c r="L116" s="44"/>
      <c r="M116" s="42"/>
      <c r="N116" s="52" t="str">
        <f t="shared" si="1"/>
        <v>(3,'','','1900-01-00','1900-01-00',,,),</v>
      </c>
    </row>
    <row r="117" spans="1:14" ht="20.100000000000001" customHeight="1" x14ac:dyDescent="0.25">
      <c r="A117" s="39">
        <v>4</v>
      </c>
      <c r="B117" s="40"/>
      <c r="C117" s="52"/>
      <c r="D117" s="19"/>
      <c r="E117" s="19"/>
      <c r="F117" s="42"/>
      <c r="G117" s="42"/>
      <c r="H117" s="42"/>
      <c r="I117" s="42"/>
      <c r="J117" s="42"/>
      <c r="K117" s="53"/>
      <c r="L117" s="44"/>
      <c r="M117" s="42"/>
      <c r="N117" s="52" t="str">
        <f t="shared" si="1"/>
        <v>(4,'','','1900-01-00','1900-01-00',,,),</v>
      </c>
    </row>
    <row r="118" spans="1:14" ht="20.100000000000001" customHeight="1" x14ac:dyDescent="0.25">
      <c r="A118" s="39">
        <v>5</v>
      </c>
      <c r="B118" s="40"/>
      <c r="C118" s="52"/>
      <c r="D118" s="19"/>
      <c r="E118" s="19"/>
      <c r="F118" s="42"/>
      <c r="G118" s="42"/>
      <c r="H118" s="42"/>
      <c r="I118" s="42"/>
      <c r="J118" s="42"/>
      <c r="K118" s="53"/>
      <c r="L118" s="44"/>
      <c r="M118" s="42"/>
      <c r="N118" s="52" t="str">
        <f t="shared" si="1"/>
        <v>(5,'','','1900-01-00','1900-01-00',,,),</v>
      </c>
    </row>
    <row r="119" spans="1:14" ht="20.100000000000001" customHeight="1" x14ac:dyDescent="0.25">
      <c r="A119" s="39">
        <v>6</v>
      </c>
      <c r="B119" s="40"/>
      <c r="C119" s="52"/>
      <c r="D119" s="19"/>
      <c r="E119" s="19"/>
      <c r="F119" s="42"/>
      <c r="G119" s="42"/>
      <c r="H119" s="42"/>
      <c r="I119" s="42"/>
      <c r="J119" s="42"/>
      <c r="K119" s="53"/>
      <c r="L119" s="44"/>
      <c r="M119" s="42"/>
      <c r="N119" s="52" t="str">
        <f t="shared" si="1"/>
        <v>(6,'','','1900-01-00','1900-01-00',,,),</v>
      </c>
    </row>
    <row r="120" spans="1:14" ht="20.100000000000001" customHeight="1" x14ac:dyDescent="0.25">
      <c r="A120" s="39">
        <v>7</v>
      </c>
      <c r="B120" s="40"/>
      <c r="C120" s="52"/>
      <c r="D120" s="19"/>
      <c r="E120" s="19"/>
      <c r="F120" s="42"/>
      <c r="G120" s="42"/>
      <c r="H120" s="42"/>
      <c r="I120" s="42"/>
      <c r="J120" s="42"/>
      <c r="K120" s="53"/>
      <c r="L120" s="44"/>
      <c r="M120" s="42"/>
      <c r="N120" s="52" t="str">
        <f t="shared" si="1"/>
        <v>(7,'','','1900-01-00','1900-01-00',,,),</v>
      </c>
    </row>
    <row r="121" spans="1:14" ht="20.100000000000001" customHeight="1" x14ac:dyDescent="0.25">
      <c r="A121" s="39">
        <v>1</v>
      </c>
      <c r="B121" s="40"/>
      <c r="C121" s="52"/>
      <c r="D121" s="19"/>
      <c r="E121" s="19"/>
      <c r="F121" s="42"/>
      <c r="G121" s="42"/>
      <c r="H121" s="42"/>
      <c r="I121" s="42"/>
      <c r="J121" s="42"/>
      <c r="K121" s="53"/>
      <c r="L121" s="44"/>
      <c r="M121" s="42"/>
      <c r="N121" s="52" t="str">
        <f t="shared" si="1"/>
        <v>(1,'','','1900-01-00','1900-01-00',,,),</v>
      </c>
    </row>
    <row r="122" spans="1:14" ht="20.100000000000001" customHeight="1" x14ac:dyDescent="0.25">
      <c r="A122" s="39">
        <v>2</v>
      </c>
      <c r="B122" s="40"/>
      <c r="C122" s="52"/>
      <c r="D122" s="19"/>
      <c r="E122" s="19"/>
      <c r="F122" s="42"/>
      <c r="G122" s="42"/>
      <c r="H122" s="42"/>
      <c r="I122" s="42"/>
      <c r="J122" s="42"/>
      <c r="K122" s="53"/>
      <c r="L122" s="44"/>
      <c r="M122" s="42"/>
      <c r="N122" s="52" t="str">
        <f t="shared" si="1"/>
        <v>(2,'','','1900-01-00','1900-01-00',,,),</v>
      </c>
    </row>
    <row r="123" spans="1:14" ht="20.100000000000001" customHeight="1" x14ac:dyDescent="0.25">
      <c r="A123" s="39">
        <v>3</v>
      </c>
      <c r="B123" s="40"/>
      <c r="C123" s="52"/>
      <c r="D123" s="19"/>
      <c r="E123" s="19"/>
      <c r="F123" s="42"/>
      <c r="G123" s="42"/>
      <c r="H123" s="42"/>
      <c r="I123" s="42"/>
      <c r="J123" s="42"/>
      <c r="K123" s="53"/>
      <c r="L123" s="44"/>
      <c r="M123" s="42"/>
      <c r="N123" s="52" t="str">
        <f t="shared" si="1"/>
        <v>(3,'','','1900-01-00','1900-01-00',,,),</v>
      </c>
    </row>
    <row r="124" spans="1:14" ht="20.100000000000001" customHeight="1" x14ac:dyDescent="0.25">
      <c r="A124" s="39">
        <v>4</v>
      </c>
      <c r="B124" s="40"/>
      <c r="C124" s="52"/>
      <c r="D124" s="19"/>
      <c r="E124" s="19"/>
      <c r="F124" s="42"/>
      <c r="G124" s="42"/>
      <c r="H124" s="42"/>
      <c r="I124" s="42"/>
      <c r="J124" s="42"/>
      <c r="K124" s="53"/>
      <c r="L124" s="44"/>
      <c r="M124" s="42"/>
      <c r="N124" s="52" t="str">
        <f t="shared" si="1"/>
        <v>(4,'','','1900-01-00','1900-01-00',,,),</v>
      </c>
    </row>
    <row r="125" spans="1:14" ht="20.100000000000001" customHeight="1" x14ac:dyDescent="0.25">
      <c r="A125" s="39">
        <v>5</v>
      </c>
      <c r="B125" s="40"/>
      <c r="C125" s="52"/>
      <c r="D125" s="19"/>
      <c r="E125" s="19"/>
      <c r="F125" s="42"/>
      <c r="G125" s="42"/>
      <c r="H125" s="42"/>
      <c r="I125" s="42"/>
      <c r="J125" s="42"/>
      <c r="K125" s="53"/>
      <c r="L125" s="44"/>
      <c r="M125" s="42"/>
      <c r="N125" s="52" t="str">
        <f t="shared" si="1"/>
        <v>(5,'','','1900-01-00','1900-01-00',,,),</v>
      </c>
    </row>
    <row r="126" spans="1:14" ht="20.100000000000001" customHeight="1" x14ac:dyDescent="0.25">
      <c r="A126" s="39">
        <v>6</v>
      </c>
      <c r="B126" s="40"/>
      <c r="C126" s="52"/>
      <c r="D126" s="19"/>
      <c r="E126" s="19"/>
      <c r="F126" s="42"/>
      <c r="G126" s="42"/>
      <c r="H126" s="42"/>
      <c r="I126" s="42"/>
      <c r="J126" s="42"/>
      <c r="K126" s="53"/>
      <c r="L126" s="44"/>
      <c r="M126" s="42"/>
      <c r="N126" s="52" t="str">
        <f t="shared" si="1"/>
        <v>(6,'','','1900-01-00','1900-01-00',,,),</v>
      </c>
    </row>
    <row r="127" spans="1:14" ht="20.100000000000001" customHeight="1" x14ac:dyDescent="0.25">
      <c r="A127" s="39">
        <v>7</v>
      </c>
      <c r="B127" s="40"/>
      <c r="C127" s="52"/>
      <c r="D127" s="19"/>
      <c r="E127" s="19"/>
      <c r="F127" s="42"/>
      <c r="G127" s="42"/>
      <c r="H127" s="42"/>
      <c r="I127" s="42"/>
      <c r="J127" s="42"/>
      <c r="K127" s="53"/>
      <c r="L127" s="44"/>
      <c r="M127" s="42"/>
      <c r="N127" s="52" t="str">
        <f t="shared" si="1"/>
        <v>(7,'','','1900-01-00','1900-01-00',,,),</v>
      </c>
    </row>
    <row r="128" spans="1:14" ht="20.100000000000001" customHeight="1" x14ac:dyDescent="0.25">
      <c r="A128" s="39">
        <v>1</v>
      </c>
      <c r="B128" s="40"/>
      <c r="C128" s="52"/>
      <c r="D128" s="19"/>
      <c r="E128" s="19"/>
      <c r="F128" s="42"/>
      <c r="G128" s="42"/>
      <c r="H128" s="42"/>
      <c r="I128" s="42"/>
      <c r="J128" s="42"/>
      <c r="K128" s="53"/>
      <c r="L128" s="44"/>
      <c r="M128" s="42"/>
      <c r="N128" s="52" t="str">
        <f t="shared" si="1"/>
        <v>(1,'','','1900-01-00','1900-01-00',,,),</v>
      </c>
    </row>
    <row r="129" spans="1:14" ht="20.100000000000001" customHeight="1" x14ac:dyDescent="0.25">
      <c r="A129" s="39">
        <v>2</v>
      </c>
      <c r="B129" s="40"/>
      <c r="C129" s="52"/>
      <c r="D129" s="19"/>
      <c r="E129" s="19"/>
      <c r="F129" s="42"/>
      <c r="G129" s="42"/>
      <c r="H129" s="42"/>
      <c r="I129" s="42"/>
      <c r="J129" s="42"/>
      <c r="K129" s="53"/>
      <c r="L129" s="44"/>
      <c r="M129" s="42"/>
      <c r="N129" s="52" t="str">
        <f t="shared" si="1"/>
        <v>(2,'','','1900-01-00','1900-01-00',,,),</v>
      </c>
    </row>
    <row r="130" spans="1:14" ht="20.100000000000001" customHeight="1" x14ac:dyDescent="0.25">
      <c r="A130" s="39">
        <v>3</v>
      </c>
      <c r="B130" s="40"/>
      <c r="C130" s="52"/>
      <c r="D130" s="19"/>
      <c r="E130" s="19"/>
      <c r="F130" s="42"/>
      <c r="G130" s="42"/>
      <c r="H130" s="42"/>
      <c r="I130" s="42"/>
      <c r="J130" s="42"/>
      <c r="K130" s="53"/>
      <c r="L130" s="44"/>
      <c r="M130" s="42"/>
      <c r="N130" s="52" t="str">
        <f t="shared" si="1"/>
        <v>(3,'','','1900-01-00','1900-01-00',,,),</v>
      </c>
    </row>
    <row r="131" spans="1:14" ht="20.100000000000001" customHeight="1" x14ac:dyDescent="0.25">
      <c r="A131" s="39">
        <v>4</v>
      </c>
      <c r="B131" s="40"/>
      <c r="C131" s="52"/>
      <c r="D131" s="19"/>
      <c r="E131" s="19"/>
      <c r="F131" s="42"/>
      <c r="G131" s="42"/>
      <c r="H131" s="42"/>
      <c r="I131" s="42"/>
      <c r="J131" s="42"/>
      <c r="K131" s="53"/>
      <c r="L131" s="44"/>
      <c r="M131" s="42"/>
      <c r="N131" s="52" t="str">
        <f t="shared" ref="N131:N194" si="2">CONCATENATE("(",A131,",'",B131,"','",C131,"','",TEXT(D131,"aaaa-mm-jj"),"','",TEXT(E131,"aaaa-mm-jj"),"',",F131,",",G131,",",H131,"),")</f>
        <v>(4,'','','1900-01-00','1900-01-00',,,),</v>
      </c>
    </row>
    <row r="132" spans="1:14" ht="20.100000000000001" customHeight="1" x14ac:dyDescent="0.25">
      <c r="A132" s="39">
        <v>1</v>
      </c>
      <c r="B132" s="40"/>
      <c r="C132" s="52"/>
      <c r="D132" s="19"/>
      <c r="E132" s="19"/>
      <c r="F132" s="42"/>
      <c r="G132" s="42"/>
      <c r="H132" s="42"/>
      <c r="I132" s="42"/>
      <c r="J132" s="42"/>
      <c r="K132" s="53"/>
      <c r="L132" s="44"/>
      <c r="M132" s="42"/>
      <c r="N132" s="52" t="str">
        <f t="shared" si="2"/>
        <v>(1,'','','1900-01-00','1900-01-00',,,),</v>
      </c>
    </row>
    <row r="133" spans="1:14" ht="20.100000000000001" customHeight="1" x14ac:dyDescent="0.25">
      <c r="A133" s="39">
        <v>2</v>
      </c>
      <c r="B133" s="40"/>
      <c r="C133" s="52"/>
      <c r="D133" s="19"/>
      <c r="E133" s="19"/>
      <c r="F133" s="42"/>
      <c r="G133" s="42"/>
      <c r="H133" s="42"/>
      <c r="I133" s="42"/>
      <c r="J133" s="42"/>
      <c r="K133" s="53"/>
      <c r="L133" s="44"/>
      <c r="M133" s="42"/>
      <c r="N133" s="52" t="str">
        <f t="shared" si="2"/>
        <v>(2,'','','1900-01-00','1900-01-00',,,),</v>
      </c>
    </row>
    <row r="134" spans="1:14" ht="20.100000000000001" customHeight="1" x14ac:dyDescent="0.25">
      <c r="A134" s="39">
        <v>3</v>
      </c>
      <c r="B134" s="40"/>
      <c r="C134" s="52"/>
      <c r="D134" s="19"/>
      <c r="E134" s="19"/>
      <c r="F134" s="42"/>
      <c r="G134" s="42"/>
      <c r="H134" s="42"/>
      <c r="I134" s="42"/>
      <c r="J134" s="42"/>
      <c r="K134" s="53"/>
      <c r="L134" s="44"/>
      <c r="M134" s="42"/>
      <c r="N134" s="52" t="str">
        <f t="shared" si="2"/>
        <v>(3,'','','1900-01-00','1900-01-00',,,),</v>
      </c>
    </row>
    <row r="135" spans="1:14" ht="20.100000000000001" customHeight="1" x14ac:dyDescent="0.25">
      <c r="A135" s="39">
        <v>4</v>
      </c>
      <c r="B135" s="40"/>
      <c r="C135" s="52"/>
      <c r="D135" s="19"/>
      <c r="E135" s="19"/>
      <c r="F135" s="42"/>
      <c r="G135" s="42"/>
      <c r="H135" s="42"/>
      <c r="I135" s="42"/>
      <c r="J135" s="42"/>
      <c r="K135" s="53"/>
      <c r="L135" s="44"/>
      <c r="M135" s="42"/>
      <c r="N135" s="52" t="str">
        <f t="shared" si="2"/>
        <v>(4,'','','1900-01-00','1900-01-00',,,),</v>
      </c>
    </row>
    <row r="136" spans="1:14" ht="20.100000000000001" customHeight="1" x14ac:dyDescent="0.25">
      <c r="A136" s="39">
        <v>5</v>
      </c>
      <c r="B136" s="40"/>
      <c r="C136" s="52"/>
      <c r="D136" s="19"/>
      <c r="E136" s="19"/>
      <c r="F136" s="42"/>
      <c r="G136" s="42"/>
      <c r="H136" s="42"/>
      <c r="I136" s="42"/>
      <c r="J136" s="42"/>
      <c r="K136" s="53"/>
      <c r="L136" s="44"/>
      <c r="M136" s="42"/>
      <c r="N136" s="52" t="str">
        <f t="shared" si="2"/>
        <v>(5,'','','1900-01-00','1900-01-00',,,),</v>
      </c>
    </row>
    <row r="137" spans="1:14" ht="20.100000000000001" customHeight="1" x14ac:dyDescent="0.25">
      <c r="A137" s="39">
        <v>6</v>
      </c>
      <c r="B137" s="40"/>
      <c r="C137" s="52"/>
      <c r="D137" s="19"/>
      <c r="E137" s="19"/>
      <c r="F137" s="42"/>
      <c r="G137" s="42"/>
      <c r="H137" s="42"/>
      <c r="I137" s="42"/>
      <c r="J137" s="42"/>
      <c r="K137" s="53"/>
      <c r="L137" s="44"/>
      <c r="M137" s="42"/>
      <c r="N137" s="52" t="str">
        <f t="shared" si="2"/>
        <v>(6,'','','1900-01-00','1900-01-00',,,),</v>
      </c>
    </row>
    <row r="138" spans="1:14" ht="20.100000000000001" customHeight="1" x14ac:dyDescent="0.25">
      <c r="A138" s="39">
        <v>7</v>
      </c>
      <c r="B138" s="40"/>
      <c r="C138" s="52"/>
      <c r="D138" s="19"/>
      <c r="E138" s="19"/>
      <c r="F138" s="42"/>
      <c r="G138" s="42"/>
      <c r="H138" s="42"/>
      <c r="I138" s="42"/>
      <c r="J138" s="42"/>
      <c r="K138" s="53"/>
      <c r="L138" s="44"/>
      <c r="M138" s="42"/>
      <c r="N138" s="52" t="str">
        <f t="shared" si="2"/>
        <v>(7,'','','1900-01-00','1900-01-00',,,),</v>
      </c>
    </row>
    <row r="139" spans="1:14" ht="20.100000000000001" customHeight="1" x14ac:dyDescent="0.25">
      <c r="A139" s="39">
        <v>8</v>
      </c>
      <c r="B139" s="40"/>
      <c r="C139" s="52"/>
      <c r="D139" s="19"/>
      <c r="E139" s="19"/>
      <c r="F139" s="42"/>
      <c r="G139" s="42"/>
      <c r="H139" s="42"/>
      <c r="I139" s="42"/>
      <c r="J139" s="42"/>
      <c r="K139" s="53"/>
      <c r="L139" s="44"/>
      <c r="M139" s="42"/>
      <c r="N139" s="52" t="str">
        <f t="shared" si="2"/>
        <v>(8,'','','1900-01-00','1900-01-00',,,),</v>
      </c>
    </row>
    <row r="140" spans="1:14" ht="20.100000000000001" customHeight="1" x14ac:dyDescent="0.25">
      <c r="A140" s="39">
        <v>9</v>
      </c>
      <c r="B140" s="40"/>
      <c r="C140" s="52"/>
      <c r="D140" s="19"/>
      <c r="E140" s="19"/>
      <c r="F140" s="42"/>
      <c r="G140" s="42"/>
      <c r="H140" s="42"/>
      <c r="I140" s="42"/>
      <c r="J140" s="42"/>
      <c r="K140" s="53"/>
      <c r="L140" s="44"/>
      <c r="M140" s="42"/>
      <c r="N140" s="52" t="str">
        <f t="shared" si="2"/>
        <v>(9,'','','1900-01-00','1900-01-00',,,),</v>
      </c>
    </row>
    <row r="141" spans="1:14" ht="20.100000000000001" customHeight="1" x14ac:dyDescent="0.25">
      <c r="A141" s="39">
        <v>10</v>
      </c>
      <c r="B141" s="40"/>
      <c r="C141" s="52"/>
      <c r="D141" s="19"/>
      <c r="E141" s="19"/>
      <c r="F141" s="42"/>
      <c r="G141" s="42"/>
      <c r="H141" s="42"/>
      <c r="I141" s="42"/>
      <c r="J141" s="42"/>
      <c r="K141" s="53"/>
      <c r="L141" s="44"/>
      <c r="M141" s="42"/>
      <c r="N141" s="52" t="str">
        <f t="shared" si="2"/>
        <v>(10,'','','1900-01-00','1900-01-00',,,),</v>
      </c>
    </row>
    <row r="142" spans="1:14" ht="20.100000000000001" customHeight="1" x14ac:dyDescent="0.25">
      <c r="A142" s="39">
        <v>1</v>
      </c>
      <c r="B142" s="40"/>
      <c r="C142" s="52"/>
      <c r="D142" s="19"/>
      <c r="E142" s="19"/>
      <c r="F142" s="42"/>
      <c r="G142" s="42"/>
      <c r="H142" s="42"/>
      <c r="I142" s="42"/>
      <c r="J142" s="42"/>
      <c r="K142" s="53"/>
      <c r="L142" s="44"/>
      <c r="M142" s="42"/>
      <c r="N142" s="52" t="str">
        <f t="shared" si="2"/>
        <v>(1,'','','1900-01-00','1900-01-00',,,),</v>
      </c>
    </row>
    <row r="143" spans="1:14" ht="20.100000000000001" customHeight="1" x14ac:dyDescent="0.25">
      <c r="A143" s="39">
        <v>2</v>
      </c>
      <c r="B143" s="40"/>
      <c r="C143" s="52"/>
      <c r="D143" s="19"/>
      <c r="E143" s="19"/>
      <c r="F143" s="42"/>
      <c r="G143" s="42"/>
      <c r="H143" s="42"/>
      <c r="I143" s="42"/>
      <c r="J143" s="42"/>
      <c r="K143" s="53"/>
      <c r="L143" s="44"/>
      <c r="M143" s="42"/>
      <c r="N143" s="52" t="str">
        <f t="shared" si="2"/>
        <v>(2,'','','1900-01-00','1900-01-00',,,),</v>
      </c>
    </row>
    <row r="144" spans="1:14" ht="20.100000000000001" customHeight="1" x14ac:dyDescent="0.2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si="2"/>
        <v>(,'','','1900-01-00','1900-01-00',,,),</v>
      </c>
    </row>
    <row r="145" spans="1:14" ht="20.100000000000001" customHeight="1" x14ac:dyDescent="0.2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2"/>
        <v>(,'','','1900-01-00','1900-01-00',,,),</v>
      </c>
    </row>
    <row r="146" spans="1:14" ht="20.100000000000001" customHeight="1" x14ac:dyDescent="0.2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2"/>
        <v>(,'','','1900-01-00','1900-01-00',,,),</v>
      </c>
    </row>
    <row r="147" spans="1:14" ht="20.100000000000001" customHeight="1" x14ac:dyDescent="0.2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2"/>
        <v>(,'','','1900-01-00','1900-01-00',,,),</v>
      </c>
    </row>
    <row r="148" spans="1:14" ht="20.100000000000001" customHeight="1" x14ac:dyDescent="0.2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2"/>
        <v>(,'','','1900-01-00','1900-01-00',,,),</v>
      </c>
    </row>
    <row r="149" spans="1:14" ht="20.100000000000001" customHeight="1" x14ac:dyDescent="0.2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2"/>
        <v>(,'','','1900-01-00','1900-01-00',,,),</v>
      </c>
    </row>
    <row r="150" spans="1:14" ht="20.100000000000001" customHeight="1" x14ac:dyDescent="0.2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2"/>
        <v>(,'','','1900-01-00','1900-01-00',,,),</v>
      </c>
    </row>
    <row r="151" spans="1:14" ht="20.100000000000001" customHeight="1" x14ac:dyDescent="0.2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2"/>
        <v>(,'','','1900-01-00','1900-01-00',,,),</v>
      </c>
    </row>
    <row r="152" spans="1:14" ht="20.100000000000001" customHeight="1" x14ac:dyDescent="0.2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2"/>
        <v>(,'','','1900-01-00','1900-01-00',,,),</v>
      </c>
    </row>
    <row r="153" spans="1:14" ht="20.100000000000001" customHeight="1" x14ac:dyDescent="0.2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2"/>
        <v>(,'','','1900-01-00','1900-01-00',,,),</v>
      </c>
    </row>
    <row r="154" spans="1:14" ht="20.100000000000001" customHeight="1" x14ac:dyDescent="0.2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2"/>
        <v>(,'','','1900-01-00','1900-01-00',,,),</v>
      </c>
    </row>
    <row r="155" spans="1:14" ht="20.100000000000001" customHeight="1" x14ac:dyDescent="0.2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2"/>
        <v>(,'','','1900-01-00','1900-01-00',,,),</v>
      </c>
    </row>
    <row r="156" spans="1:14" ht="20.100000000000001" customHeight="1" x14ac:dyDescent="0.2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2"/>
        <v>(,'','','1900-01-00','1900-01-00',,,),</v>
      </c>
    </row>
    <row r="157" spans="1:14" ht="20.100000000000001" customHeight="1" x14ac:dyDescent="0.2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2"/>
        <v>(,'','','1900-01-00','1900-01-00',,,),</v>
      </c>
    </row>
    <row r="158" spans="1:14" ht="20.100000000000001" customHeight="1" x14ac:dyDescent="0.2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2"/>
        <v>(,'','','1900-01-00','1900-01-00',,,),</v>
      </c>
    </row>
    <row r="159" spans="1:14" ht="20.100000000000001" customHeight="1" x14ac:dyDescent="0.2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2"/>
        <v>(,'','','1900-01-00','1900-01-00',,,),</v>
      </c>
    </row>
    <row r="160" spans="1:14" ht="20.100000000000001" customHeight="1" x14ac:dyDescent="0.2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2"/>
        <v>(,'','','1900-01-00','1900-01-00',,,),</v>
      </c>
    </row>
    <row r="161" spans="1:14" ht="20.100000000000001" customHeight="1" x14ac:dyDescent="0.2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2"/>
        <v>(,'','','1900-01-00','1900-01-00',,,),</v>
      </c>
    </row>
    <row r="162" spans="1:14" ht="20.100000000000001" customHeight="1" x14ac:dyDescent="0.25">
      <c r="A162" s="39"/>
      <c r="B162" s="40"/>
      <c r="C162" s="52"/>
      <c r="D162" s="19"/>
      <c r="E162" s="19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2"/>
        <v>(,'','','1900-01-00','1900-01-00',,,),</v>
      </c>
    </row>
    <row r="163" spans="1:14" ht="20.100000000000001" customHeight="1" x14ac:dyDescent="0.25">
      <c r="A163" s="39"/>
      <c r="B163" s="40"/>
      <c r="C163" s="52"/>
      <c r="D163" s="19"/>
      <c r="E163" s="19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2"/>
        <v>(,'','','1900-01-00','1900-01-00',,,),</v>
      </c>
    </row>
    <row r="164" spans="1:14" ht="20.100000000000001" customHeight="1" x14ac:dyDescent="0.2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2"/>
        <v>(,'','','1900-01-00','1900-01-00',,,),</v>
      </c>
    </row>
    <row r="165" spans="1:14" ht="20.100000000000001" customHeight="1" x14ac:dyDescent="0.2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2"/>
        <v>(,'','','1900-01-00','1900-01-00',,,),</v>
      </c>
    </row>
    <row r="166" spans="1:14" ht="20.100000000000001" customHeight="1" x14ac:dyDescent="0.2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2"/>
        <v>(,'','','1900-01-00','1900-01-00',,,),</v>
      </c>
    </row>
    <row r="167" spans="1:14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2"/>
        <v>(,'','','1900-01-00','1900-01-00',,,),</v>
      </c>
    </row>
    <row r="168" spans="1:14" ht="20.100000000000001" customHeight="1" x14ac:dyDescent="0.25">
      <c r="A168" s="39"/>
      <c r="B168" s="40"/>
      <c r="C168" s="5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2"/>
        <v>(,'','','1900-01-00','1900-01-00',,,),</v>
      </c>
    </row>
    <row r="169" spans="1:14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2"/>
        <v>(,'','','1900-01-00','1900-01-00',,,),</v>
      </c>
    </row>
    <row r="170" spans="1:14" ht="20.100000000000001" customHeight="1" x14ac:dyDescent="0.25">
      <c r="A170" s="39"/>
      <c r="B170" s="40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2"/>
        <v>(,'','','1900-01-00','1900-01-00',,,),</v>
      </c>
    </row>
    <row r="171" spans="1:14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2"/>
        <v>(,'','','1900-01-00','1900-01-00',,,),</v>
      </c>
    </row>
    <row r="172" spans="1:14" ht="20.100000000000001" customHeight="1" x14ac:dyDescent="0.25">
      <c r="A172" s="39"/>
      <c r="B172" s="40"/>
      <c r="C172" s="5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2"/>
        <v>(,'','','1900-01-00','1900-01-00',,,),</v>
      </c>
    </row>
    <row r="173" spans="1:14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2"/>
        <v>(,'','','1900-01-00','1900-01-00',,,),</v>
      </c>
    </row>
    <row r="174" spans="1:14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2"/>
        <v>(,'','','1900-01-00','1900-01-00',,,),</v>
      </c>
    </row>
    <row r="175" spans="1:14" ht="20.100000000000001" customHeight="1" x14ac:dyDescent="0.25">
      <c r="A175" s="39"/>
      <c r="B175" s="48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2"/>
        <v>(,'','','1900-01-00','1900-01-00',,,),</v>
      </c>
    </row>
    <row r="176" spans="1:14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2"/>
        <v>(,'','','1900-01-00','1900-01-00',,,),</v>
      </c>
    </row>
    <row r="177" spans="1:14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2"/>
        <v>(,'','','1900-01-00','1900-01-00',,,),</v>
      </c>
    </row>
    <row r="178" spans="1:14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2"/>
        <v>(,'','','1900-01-00','1900-01-00',,,),</v>
      </c>
    </row>
    <row r="179" spans="1:14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2"/>
        <v>(,'','','1900-01-00','1900-01-00',,,),</v>
      </c>
    </row>
    <row r="180" spans="1:14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2"/>
        <v>(,'','','1900-01-00','1900-01-00',,,),</v>
      </c>
    </row>
    <row r="181" spans="1:14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2"/>
        <v>(,'','','1900-01-00','1900-01-00',,,),</v>
      </c>
    </row>
    <row r="182" spans="1:14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2"/>
        <v>(,'','','1900-01-00','1900-01-00',,,),</v>
      </c>
    </row>
    <row r="183" spans="1:14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2"/>
        <v>(,'','','1900-01-00','1900-01-00',,,),</v>
      </c>
    </row>
    <row r="184" spans="1:14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2"/>
        <v>(,'','','1900-01-00','1900-01-00',,,),</v>
      </c>
    </row>
    <row r="185" spans="1:14" ht="20.100000000000001" customHeight="1" x14ac:dyDescent="0.25">
      <c r="A185" s="39"/>
      <c r="B185" s="40"/>
      <c r="C185" s="52"/>
      <c r="D185" s="19"/>
      <c r="E185" s="19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2"/>
        <v>(,'','','1900-01-00','1900-01-00',,,),</v>
      </c>
    </row>
    <row r="186" spans="1:14" ht="20.100000000000001" customHeight="1" x14ac:dyDescent="0.25">
      <c r="A186" s="39"/>
      <c r="B186" s="40"/>
      <c r="C186" s="52"/>
      <c r="D186" s="19"/>
      <c r="E186" s="19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2"/>
        <v>(,'','','1900-01-00','1900-01-00',,,),</v>
      </c>
    </row>
    <row r="187" spans="1:14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2"/>
        <v>(,'','','1900-01-00','1900-01-00',,,),</v>
      </c>
    </row>
    <row r="188" spans="1:14" ht="20.100000000000001" customHeight="1" x14ac:dyDescent="0.25">
      <c r="A188" s="39"/>
      <c r="B188" s="40"/>
      <c r="C188" s="52"/>
      <c r="D188" s="19"/>
      <c r="E188" s="19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2"/>
        <v>(,'','','1900-01-00','1900-01-00',,,),</v>
      </c>
    </row>
    <row r="189" spans="1:14" ht="20.100000000000001" customHeight="1" x14ac:dyDescent="0.25">
      <c r="A189" s="39"/>
      <c r="B189" s="40"/>
      <c r="C189" s="52"/>
      <c r="D189" s="19"/>
      <c r="E189" s="19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2"/>
        <v>(,'','','1900-01-00','1900-01-00',,,),</v>
      </c>
    </row>
    <row r="190" spans="1:14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2"/>
        <v>(,'','','1900-01-00','1900-01-00',,,),</v>
      </c>
    </row>
    <row r="191" spans="1:14" ht="20.100000000000001" customHeight="1" x14ac:dyDescent="0.25">
      <c r="A191" s="39"/>
      <c r="B191" s="40"/>
      <c r="C191" s="52"/>
      <c r="D191" s="19"/>
      <c r="E191" s="42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2"/>
        <v>(,'','','1900-01-00','1900-01-00',,,),</v>
      </c>
    </row>
    <row r="192" spans="1:14" ht="20.100000000000001" customHeight="1" x14ac:dyDescent="0.25">
      <c r="A192" s="39"/>
      <c r="B192" s="40"/>
      <c r="C192" s="52"/>
      <c r="D192" s="19"/>
      <c r="E192" s="19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2"/>
        <v>(,'','','1900-01-00','1900-01-00',,,),</v>
      </c>
    </row>
    <row r="193" spans="1:14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2"/>
        <v>(,'','','1900-01-00','1900-01-00',,,),</v>
      </c>
    </row>
    <row r="194" spans="1:14" ht="20.100000000000001" customHeight="1" x14ac:dyDescent="0.25">
      <c r="A194" s="39"/>
      <c r="B194" s="40"/>
      <c r="C194" s="52"/>
      <c r="D194" s="19"/>
      <c r="E194" s="42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2"/>
        <v>(,'','','1900-01-00','1900-01-00',,,),</v>
      </c>
    </row>
    <row r="195" spans="1:14" ht="20.100000000000001" customHeight="1" x14ac:dyDescent="0.25">
      <c r="A195" s="39"/>
      <c r="B195" s="40"/>
      <c r="C195" s="52"/>
      <c r="D195" s="19"/>
      <c r="E195" s="42"/>
      <c r="F195" s="42"/>
      <c r="G195" s="42"/>
      <c r="H195" s="42"/>
      <c r="I195" s="42"/>
      <c r="J195" s="42"/>
      <c r="K195" s="42"/>
      <c r="L195" s="42"/>
      <c r="M195" s="42"/>
      <c r="N195" s="52" t="str">
        <f t="shared" ref="N195:N237" si="3">CONCATENATE("(",A195,",'",B195,"','",C195,"','",TEXT(D195,"aaaa-mm-jj"),"','",TEXT(E195,"aaaa-mm-jj"),"',",F195,",",G195,",",H195,"),")</f>
        <v>(,'','','1900-01-00','1900-01-00',,,),</v>
      </c>
    </row>
    <row r="196" spans="1:14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3"/>
        <v>(,'','','1900-01-00','1900-01-00',,,),</v>
      </c>
    </row>
    <row r="197" spans="1:14" ht="20.100000000000001" customHeight="1" x14ac:dyDescent="0.25">
      <c r="A197" s="39"/>
      <c r="B197" s="40"/>
      <c r="C197" s="52"/>
      <c r="D197" s="19"/>
      <c r="E197" s="42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3"/>
        <v>(,'','','1900-01-00','1900-01-00',,,),</v>
      </c>
    </row>
    <row r="198" spans="1:14" ht="20.100000000000001" customHeight="1" x14ac:dyDescent="0.25">
      <c r="A198" s="39"/>
      <c r="B198" s="40"/>
      <c r="C198" s="52"/>
      <c r="D198" s="19"/>
      <c r="E198" s="42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3"/>
        <v>(,'','','1900-01-00','1900-01-00',,,),</v>
      </c>
    </row>
    <row r="199" spans="1:14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3"/>
        <v>(,'','','1900-01-00','1900-01-00',,,),</v>
      </c>
    </row>
    <row r="200" spans="1:14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3"/>
        <v>(,'','','1900-01-00','1900-01-00',,,),</v>
      </c>
    </row>
    <row r="201" spans="1:14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3"/>
        <v>(,'','','1900-01-00','1900-01-00',,,),</v>
      </c>
    </row>
    <row r="202" spans="1:14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3"/>
        <v>(,'','','1900-01-00','1900-01-00',,,),</v>
      </c>
    </row>
    <row r="203" spans="1:14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3"/>
        <v>(,'','','1900-01-00','1900-01-00',,,),</v>
      </c>
    </row>
    <row r="204" spans="1:14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3"/>
        <v>(,'','','1900-01-00','1900-01-00',,,),</v>
      </c>
    </row>
    <row r="205" spans="1:14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3"/>
        <v>(,'','','1900-01-00','1900-01-00',,,),</v>
      </c>
    </row>
    <row r="206" spans="1:14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3"/>
        <v>(,'','','1900-01-00','1900-01-00',,,),</v>
      </c>
    </row>
    <row r="207" spans="1:14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3"/>
        <v>(,'','','1900-01-00','1900-01-00',,,),</v>
      </c>
    </row>
    <row r="208" spans="1:14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si="3"/>
        <v>(,'','','1900-01-00','1900-01-00',,,),</v>
      </c>
    </row>
    <row r="209" spans="1:14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3"/>
        <v>(,'','','1900-01-00','1900-01-00',,,),</v>
      </c>
    </row>
    <row r="210" spans="1:14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3"/>
        <v>(,'','','1900-01-00','1900-01-00',,,),</v>
      </c>
    </row>
    <row r="211" spans="1:14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3"/>
        <v>(,'','','1900-01-00','1900-01-00',,,),</v>
      </c>
    </row>
    <row r="212" spans="1:14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3"/>
        <v>(,'','','1900-01-00','1900-01-00',,,),</v>
      </c>
    </row>
    <row r="213" spans="1:14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3"/>
        <v>(,'','','1900-01-00','1900-01-00',,,),</v>
      </c>
    </row>
    <row r="214" spans="1:14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3"/>
        <v>(,'','','1900-01-00','1900-01-00',,,),</v>
      </c>
    </row>
    <row r="215" spans="1:14" ht="20.100000000000001" customHeight="1" x14ac:dyDescent="0.25">
      <c r="A215" s="39"/>
      <c r="B215" s="40"/>
      <c r="C215" s="52"/>
      <c r="D215" s="19"/>
      <c r="E215" s="19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3"/>
        <v>(,'','','1900-01-00','1900-01-00',,,),</v>
      </c>
    </row>
    <row r="216" spans="1:14" ht="20.100000000000001" customHeight="1" x14ac:dyDescent="0.25">
      <c r="A216" s="39"/>
      <c r="B216" s="40"/>
      <c r="C216" s="52"/>
      <c r="D216" s="19"/>
      <c r="E216" s="19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3"/>
        <v>(,'','','1900-01-00','1900-01-00',,,),</v>
      </c>
    </row>
    <row r="217" spans="1:14" ht="20.100000000000001" customHeight="1" x14ac:dyDescent="0.25">
      <c r="A217" s="39"/>
      <c r="B217" s="40"/>
      <c r="C217" s="52"/>
      <c r="D217" s="19"/>
      <c r="E217" s="19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3"/>
        <v>(,'','','1900-01-00','1900-01-00',,,),</v>
      </c>
    </row>
    <row r="218" spans="1:14" ht="20.100000000000001" customHeight="1" x14ac:dyDescent="0.25">
      <c r="A218" s="39"/>
      <c r="B218" s="40"/>
      <c r="C218" s="52"/>
      <c r="D218" s="19"/>
      <c r="E218" s="19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3"/>
        <v>(,'','','1900-01-00','1900-01-00',,,),</v>
      </c>
    </row>
    <row r="219" spans="1:14" ht="20.100000000000001" customHeight="1" x14ac:dyDescent="0.25">
      <c r="A219" s="39"/>
      <c r="B219" s="40"/>
      <c r="C219" s="52"/>
      <c r="D219" s="19"/>
      <c r="E219" s="19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3"/>
        <v>(,'','','1900-01-00','1900-01-00',,,),</v>
      </c>
    </row>
    <row r="220" spans="1:14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3"/>
        <v>(,'','','1900-01-00','1900-01-00',,,),</v>
      </c>
    </row>
    <row r="221" spans="1:14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3"/>
        <v>(,'','','1900-01-00','1900-01-00',,,),</v>
      </c>
    </row>
    <row r="222" spans="1:14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3"/>
        <v>(,'','','1900-01-00','1900-01-00',,,),</v>
      </c>
    </row>
    <row r="223" spans="1:14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3"/>
        <v>(,'','','1900-01-00','1900-01-00',,,),</v>
      </c>
    </row>
    <row r="224" spans="1:14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3"/>
        <v>(,'','','1900-01-00','1900-01-00',,,),</v>
      </c>
    </row>
    <row r="225" spans="1:14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3"/>
        <v>(,'','','1900-01-00','1900-01-00',,,),</v>
      </c>
    </row>
    <row r="226" spans="1:14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3"/>
        <v>(,'','','1900-01-00','1900-01-00',,,),</v>
      </c>
    </row>
    <row r="227" spans="1:14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3"/>
        <v>(,'','','1900-01-00','1900-01-00',,,),</v>
      </c>
    </row>
    <row r="228" spans="1:14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3"/>
        <v>(,'','','1900-01-00','1900-01-00',,,),</v>
      </c>
    </row>
    <row r="229" spans="1:14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3"/>
        <v>(,'','','1900-01-00','1900-01-00',,,),</v>
      </c>
    </row>
    <row r="230" spans="1:14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3"/>
        <v>(,'','','1900-01-00','1900-01-00',,,),</v>
      </c>
    </row>
    <row r="231" spans="1:14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3"/>
        <v>(,'','','1900-01-00','1900-01-00',,,),</v>
      </c>
    </row>
    <row r="232" spans="1:14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3"/>
        <v>(,'','','1900-01-00','1900-01-00',,,),</v>
      </c>
    </row>
    <row r="233" spans="1:14" ht="20.100000000000001" customHeight="1" x14ac:dyDescent="0.25">
      <c r="A233" s="39"/>
      <c r="B233" s="40"/>
      <c r="C233" s="52"/>
      <c r="D233" s="19"/>
      <c r="E233" s="42"/>
      <c r="F233" s="42"/>
      <c r="G233" s="42"/>
      <c r="H233" s="42"/>
      <c r="I233" s="42"/>
      <c r="J233" s="42"/>
      <c r="K233" s="42"/>
      <c r="L233" s="42"/>
      <c r="M233" s="42"/>
      <c r="N233" s="52" t="str">
        <f t="shared" si="3"/>
        <v>(,'','','1900-01-00','1900-01-00',,,),</v>
      </c>
    </row>
    <row r="234" spans="1:14" ht="20.100000000000001" customHeight="1" x14ac:dyDescent="0.25">
      <c r="A234" s="39"/>
      <c r="B234" s="40"/>
      <c r="C234" s="52"/>
      <c r="D234" s="19"/>
      <c r="E234" s="42"/>
      <c r="F234" s="42"/>
      <c r="G234" s="42"/>
      <c r="H234" s="42"/>
      <c r="I234" s="42"/>
      <c r="J234" s="42"/>
      <c r="K234" s="42"/>
      <c r="L234" s="42"/>
      <c r="M234" s="42"/>
      <c r="N234" s="52" t="str">
        <f t="shared" si="3"/>
        <v>(,'','','1900-01-00','1900-01-00',,,),</v>
      </c>
    </row>
    <row r="235" spans="1:14" ht="20.100000000000001" customHeight="1" x14ac:dyDescent="0.25">
      <c r="A235" s="39"/>
      <c r="B235" s="40"/>
      <c r="C235" s="52"/>
      <c r="D235" s="19"/>
      <c r="E235" s="42"/>
      <c r="F235" s="42"/>
      <c r="G235" s="42"/>
      <c r="H235" s="42"/>
      <c r="I235" s="42"/>
      <c r="J235" s="42"/>
      <c r="K235" s="42"/>
      <c r="L235" s="42"/>
      <c r="M235" s="42"/>
      <c r="N235" s="52" t="str">
        <f t="shared" si="3"/>
        <v>(,'','','1900-01-00','1900-01-00',,,),</v>
      </c>
    </row>
    <row r="236" spans="1:14" ht="20.100000000000001" customHeight="1" x14ac:dyDescent="0.25">
      <c r="A236" s="39"/>
      <c r="B236" s="40"/>
      <c r="C236" s="52"/>
      <c r="D236" s="19"/>
      <c r="E236" s="42"/>
      <c r="F236" s="42"/>
      <c r="G236" s="42"/>
      <c r="H236" s="42"/>
      <c r="I236" s="42"/>
      <c r="J236" s="42"/>
      <c r="K236" s="42"/>
      <c r="L236" s="42"/>
      <c r="M236" s="42"/>
      <c r="N236" s="52" t="str">
        <f t="shared" si="3"/>
        <v>(,'','','1900-01-00','1900-01-00',,,),</v>
      </c>
    </row>
    <row r="237" spans="1:14" ht="20.100000000000001" customHeight="1" x14ac:dyDescent="0.25">
      <c r="A237" s="39"/>
      <c r="B237" s="40"/>
      <c r="C237" s="52"/>
      <c r="D237" s="19"/>
      <c r="E237" s="42"/>
      <c r="F237" s="42"/>
      <c r="G237" s="42"/>
      <c r="H237" s="42"/>
      <c r="I237" s="42"/>
      <c r="J237" s="42"/>
      <c r="K237" s="42"/>
      <c r="L237" s="42"/>
      <c r="M237" s="42"/>
      <c r="N237" s="52" t="str">
        <f t="shared" si="3"/>
        <v>(,'','','1900-01-00','1900-01-00',,,),</v>
      </c>
    </row>
  </sheetData>
  <autoFilter ref="A1:N238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36"/>
  <sheetViews>
    <sheetView zoomScaleNormal="10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F9" sqref="F9:F11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324</v>
      </c>
      <c r="D1" s="54" t="s">
        <v>326</v>
      </c>
      <c r="E1" s="54" t="s">
        <v>329</v>
      </c>
      <c r="F1" s="54" t="s">
        <v>332</v>
      </c>
      <c r="G1" s="54" t="s">
        <v>884</v>
      </c>
      <c r="H1" s="54" t="s">
        <v>338</v>
      </c>
      <c r="I1" s="54" t="s">
        <v>341</v>
      </c>
      <c r="J1" s="54" t="s">
        <v>343</v>
      </c>
      <c r="K1" s="54" t="s">
        <v>356</v>
      </c>
      <c r="L1" s="54" t="s">
        <v>359</v>
      </c>
      <c r="M1" s="54" t="s">
        <v>363</v>
      </c>
      <c r="N1" s="54" t="s">
        <v>348</v>
      </c>
      <c r="O1" s="54" t="s">
        <v>351</v>
      </c>
      <c r="P1" s="54" t="s">
        <v>353</v>
      </c>
      <c r="Q1" s="55" t="s">
        <v>365</v>
      </c>
      <c r="R1" s="55" t="s">
        <v>368</v>
      </c>
      <c r="S1" s="55" t="s">
        <v>371</v>
      </c>
      <c r="T1" s="57" t="s">
        <v>376</v>
      </c>
      <c r="U1" s="57" t="s">
        <v>374</v>
      </c>
      <c r="V1" s="57" t="s">
        <v>379</v>
      </c>
      <c r="W1" s="57" t="s">
        <v>382</v>
      </c>
      <c r="X1" s="57" t="s">
        <v>388</v>
      </c>
      <c r="Y1" s="57" t="s">
        <v>385</v>
      </c>
      <c r="Z1" s="1" t="s">
        <v>391</v>
      </c>
      <c r="AA1" s="1" t="s">
        <v>393</v>
      </c>
      <c r="AB1" s="1" t="s">
        <v>396</v>
      </c>
      <c r="AC1" s="1" t="s">
        <v>1027</v>
      </c>
      <c r="AD1" s="1" t="s">
        <v>399</v>
      </c>
      <c r="AE1" s="1" t="s">
        <v>401</v>
      </c>
      <c r="AF1" s="1" t="s">
        <v>403</v>
      </c>
      <c r="AG1" s="1" t="s">
        <v>1028</v>
      </c>
      <c r="AH1" s="1" t="s">
        <v>666</v>
      </c>
      <c r="AI1" s="1" t="s">
        <v>1029</v>
      </c>
      <c r="AJ1" s="1" t="s">
        <v>418</v>
      </c>
      <c r="AK1" s="1" t="s">
        <v>422</v>
      </c>
      <c r="AL1" s="1" t="s">
        <v>679</v>
      </c>
      <c r="AM1" s="1" t="s">
        <v>1030</v>
      </c>
      <c r="AN1" s="1" t="s">
        <v>431</v>
      </c>
      <c r="AO1" s="1" t="s">
        <v>434</v>
      </c>
      <c r="AP1" s="1" t="s">
        <v>458</v>
      </c>
      <c r="AQ1" s="1" t="s">
        <v>460</v>
      </c>
      <c r="AR1" s="1" t="s">
        <v>463</v>
      </c>
      <c r="AS1" s="1" t="s">
        <v>465</v>
      </c>
      <c r="AT1" s="1" t="s">
        <v>468</v>
      </c>
      <c r="AU1" s="1" t="s">
        <v>439</v>
      </c>
      <c r="AV1" s="1" t="s">
        <v>442</v>
      </c>
      <c r="AW1" s="1" t="s">
        <v>447</v>
      </c>
      <c r="AX1" s="1" t="s">
        <v>449</v>
      </c>
      <c r="AY1" s="1" t="s">
        <v>452</v>
      </c>
      <c r="AZ1" s="1" t="s">
        <v>455</v>
      </c>
    </row>
    <row r="2" spans="1:52" ht="20.100000000000001" customHeight="1" x14ac:dyDescent="0.25">
      <c r="A2" s="39">
        <v>1</v>
      </c>
      <c r="B2" s="48" t="s">
        <v>1116</v>
      </c>
      <c r="C2" s="18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 t="s">
        <v>1177</v>
      </c>
      <c r="R2" s="56"/>
      <c r="S2" s="56"/>
      <c r="T2" s="58"/>
      <c r="U2" s="58"/>
      <c r="V2" s="58"/>
      <c r="W2" s="58"/>
      <c r="X2" s="58"/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1117</v>
      </c>
      <c r="C3" s="18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 t="s">
        <v>1177</v>
      </c>
      <c r="R3" s="56"/>
      <c r="S3" s="56"/>
      <c r="T3" s="58"/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700</v>
      </c>
      <c r="C4" s="18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 t="s">
        <v>1177</v>
      </c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1118</v>
      </c>
      <c r="C5" s="18" t="s">
        <v>1122</v>
      </c>
      <c r="D5" s="17" t="s">
        <v>1126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1119</v>
      </c>
      <c r="C6" s="18" t="s">
        <v>1123</v>
      </c>
      <c r="D6" s="17" t="s">
        <v>1127</v>
      </c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1120</v>
      </c>
      <c r="C7" s="18" t="s">
        <v>1124</v>
      </c>
      <c r="D7" s="17" t="s">
        <v>1128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00000000000001" customHeight="1" x14ac:dyDescent="0.25">
      <c r="A8" s="39">
        <v>7</v>
      </c>
      <c r="B8" s="48" t="s">
        <v>1121</v>
      </c>
      <c r="C8" s="18" t="s">
        <v>1125</v>
      </c>
      <c r="D8" s="17" t="s">
        <v>1129</v>
      </c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1130</v>
      </c>
      <c r="C9" s="18"/>
      <c r="D9" s="17"/>
      <c r="E9" s="17"/>
      <c r="F9" s="18" t="s">
        <v>1133</v>
      </c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00000000000001" customHeight="1" x14ac:dyDescent="0.25">
      <c r="A10" s="39">
        <v>9</v>
      </c>
      <c r="B10" s="48" t="s">
        <v>1131</v>
      </c>
      <c r="C10" s="18"/>
      <c r="D10" s="17"/>
      <c r="E10" s="17"/>
      <c r="F10" s="18" t="s">
        <v>1133</v>
      </c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1132</v>
      </c>
      <c r="C11" s="18"/>
      <c r="D11" s="17"/>
      <c r="E11" s="17"/>
      <c r="F11" s="18" t="s">
        <v>1134</v>
      </c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00000000000001" customHeight="1" x14ac:dyDescent="0.25">
      <c r="A12" s="39">
        <v>11</v>
      </c>
      <c r="B12" s="48" t="s">
        <v>1140</v>
      </c>
      <c r="C12" s="18"/>
      <c r="D12" s="17"/>
      <c r="E12" s="17"/>
      <c r="F12" s="18"/>
      <c r="G12" s="18"/>
      <c r="H12" s="18"/>
      <c r="I12" s="18" t="s">
        <v>1139</v>
      </c>
      <c r="J12" s="18" t="s">
        <v>1139</v>
      </c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1141</v>
      </c>
      <c r="C13" s="18"/>
      <c r="D13" s="17"/>
      <c r="E13" s="17"/>
      <c r="F13" s="18"/>
      <c r="G13" s="18"/>
      <c r="H13" s="18"/>
      <c r="I13" s="18" t="s">
        <v>1139</v>
      </c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1142</v>
      </c>
      <c r="C14" s="18"/>
      <c r="D14" s="17"/>
      <c r="E14" s="17"/>
      <c r="F14" s="18"/>
      <c r="G14" s="18"/>
      <c r="H14" s="18"/>
      <c r="I14" s="18" t="s">
        <v>1139</v>
      </c>
      <c r="J14" s="18" t="s">
        <v>1139</v>
      </c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1143</v>
      </c>
      <c r="C15" s="18"/>
      <c r="D15" s="17"/>
      <c r="E15" s="17"/>
      <c r="F15" s="18"/>
      <c r="G15" s="18"/>
      <c r="H15" s="18"/>
      <c r="I15" s="18" t="s">
        <v>1139</v>
      </c>
      <c r="J15" s="18" t="s">
        <v>1139</v>
      </c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1144</v>
      </c>
      <c r="C16" s="18"/>
      <c r="D16" s="17"/>
      <c r="E16" s="17"/>
      <c r="F16" s="18"/>
      <c r="G16" s="18"/>
      <c r="H16" s="18"/>
      <c r="I16" s="18" t="s">
        <v>1139</v>
      </c>
      <c r="J16" s="18" t="s">
        <v>1139</v>
      </c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00000000000001" customHeight="1" x14ac:dyDescent="0.25">
      <c r="A17" s="39">
        <v>16</v>
      </c>
      <c r="B17" s="48" t="s">
        <v>1136</v>
      </c>
      <c r="C17" s="18"/>
      <c r="D17" s="17"/>
      <c r="E17" s="17"/>
      <c r="F17" s="18"/>
      <c r="G17" s="18"/>
      <c r="H17" s="18"/>
      <c r="I17" s="18" t="s">
        <v>1137</v>
      </c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1135</v>
      </c>
      <c r="C18" s="18"/>
      <c r="D18" s="17"/>
      <c r="E18" s="17"/>
      <c r="F18" s="18"/>
      <c r="G18" s="18"/>
      <c r="H18" s="18"/>
      <c r="I18" s="18" t="s">
        <v>1138</v>
      </c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1145</v>
      </c>
      <c r="C19" s="18"/>
      <c r="D19" s="17"/>
      <c r="E19" s="17"/>
      <c r="F19" s="18"/>
      <c r="G19" s="18"/>
      <c r="H19" s="18"/>
      <c r="I19" s="18"/>
      <c r="J19" s="18" t="s">
        <v>1137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1146</v>
      </c>
      <c r="C20" s="18"/>
      <c r="D20" s="17"/>
      <c r="E20" s="17"/>
      <c r="F20" s="18"/>
      <c r="G20" s="18"/>
      <c r="H20" s="18"/>
      <c r="I20" s="18"/>
      <c r="J20" s="18" t="s">
        <v>1152</v>
      </c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1147</v>
      </c>
      <c r="C21" s="18"/>
      <c r="D21" s="17"/>
      <c r="E21" s="17"/>
      <c r="F21" s="18"/>
      <c r="G21" s="18"/>
      <c r="H21" s="18"/>
      <c r="I21" s="18"/>
      <c r="J21" s="18" t="s">
        <v>1153</v>
      </c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1148</v>
      </c>
      <c r="C22" s="18"/>
      <c r="D22" s="17"/>
      <c r="E22" s="17"/>
      <c r="F22" s="18"/>
      <c r="G22" s="18"/>
      <c r="H22" s="18"/>
      <c r="I22" s="18"/>
      <c r="J22" s="18" t="s">
        <v>1154</v>
      </c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1149</v>
      </c>
      <c r="C23" s="18"/>
      <c r="D23" s="17"/>
      <c r="E23" s="17"/>
      <c r="F23" s="18"/>
      <c r="G23" s="18"/>
      <c r="H23" s="18"/>
      <c r="I23" s="18"/>
      <c r="J23" s="18" t="s">
        <v>1155</v>
      </c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1150</v>
      </c>
      <c r="C24" s="18"/>
      <c r="D24" s="17"/>
      <c r="E24" s="17"/>
      <c r="F24" s="18"/>
      <c r="G24" s="18"/>
      <c r="H24" s="18"/>
      <c r="I24" s="18"/>
      <c r="J24" s="18" t="s">
        <v>1156</v>
      </c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1151</v>
      </c>
      <c r="C25" s="18"/>
      <c r="D25" s="17"/>
      <c r="E25" s="17"/>
      <c r="F25" s="18"/>
      <c r="G25" s="18"/>
      <c r="H25" s="18"/>
      <c r="I25" s="18"/>
      <c r="J25" s="18" t="s">
        <v>1157</v>
      </c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616</v>
      </c>
      <c r="C26" s="18"/>
      <c r="D26" s="17"/>
      <c r="E26" s="17"/>
      <c r="F26" s="18"/>
      <c r="G26" s="18"/>
      <c r="H26" s="18"/>
      <c r="I26" s="18"/>
      <c r="J26" s="18"/>
      <c r="K26" s="18" t="s">
        <v>1162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1158</v>
      </c>
      <c r="C27" s="18"/>
      <c r="D27" s="17"/>
      <c r="E27" s="17"/>
      <c r="F27" s="18"/>
      <c r="G27" s="18"/>
      <c r="H27" s="18"/>
      <c r="I27" s="18"/>
      <c r="J27" s="18"/>
      <c r="K27" s="18" t="s">
        <v>1163</v>
      </c>
      <c r="L27" s="18" t="s">
        <v>1164</v>
      </c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617</v>
      </c>
      <c r="C28" s="18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 t="s">
        <v>1165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1159</v>
      </c>
      <c r="C29" s="18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 t="s">
        <v>1165</v>
      </c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1160</v>
      </c>
      <c r="C30" s="18"/>
      <c r="D30" s="17"/>
      <c r="E30" s="17"/>
      <c r="F30" s="18"/>
      <c r="G30" s="18"/>
      <c r="H30" s="18"/>
      <c r="I30" s="18"/>
      <c r="J30" s="18"/>
      <c r="K30" s="18"/>
      <c r="L30" s="18"/>
      <c r="M30" s="18" t="s">
        <v>1166</v>
      </c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1161</v>
      </c>
      <c r="C31" s="18"/>
      <c r="D31" s="17"/>
      <c r="E31" s="17"/>
      <c r="F31" s="18"/>
      <c r="G31" s="18"/>
      <c r="H31" s="18"/>
      <c r="I31" s="18"/>
      <c r="J31" s="18"/>
      <c r="K31" s="18"/>
      <c r="L31" s="18"/>
      <c r="M31" s="18" t="s">
        <v>1166</v>
      </c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1167</v>
      </c>
      <c r="C32" s="18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 t="s">
        <v>1174</v>
      </c>
      <c r="P32" s="18" t="s">
        <v>1174</v>
      </c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1168</v>
      </c>
      <c r="C33" s="18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 t="s">
        <v>1174</v>
      </c>
      <c r="P33" s="18" t="s">
        <v>1174</v>
      </c>
      <c r="Q33" s="56"/>
      <c r="R33" s="56"/>
      <c r="S33" s="56"/>
      <c r="T33" s="58"/>
      <c r="U33" s="58"/>
      <c r="V33" s="58"/>
      <c r="W33" s="58"/>
      <c r="X33" s="58"/>
      <c r="Y33" s="58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1169</v>
      </c>
      <c r="C34" s="18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 t="s">
        <v>1174</v>
      </c>
      <c r="P34" s="18" t="s">
        <v>1174</v>
      </c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1172</v>
      </c>
      <c r="C35" s="18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 t="s">
        <v>1174</v>
      </c>
      <c r="P35" s="18" t="s">
        <v>1174</v>
      </c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1173</v>
      </c>
      <c r="C36" s="18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 t="s">
        <v>1174</v>
      </c>
      <c r="P36" s="18" t="s">
        <v>1174</v>
      </c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1170</v>
      </c>
      <c r="C37" s="18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 t="s">
        <v>1174</v>
      </c>
      <c r="P37" s="18" t="s">
        <v>1174</v>
      </c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00000000000001" customHeight="1" x14ac:dyDescent="0.25">
      <c r="A38" s="39">
        <v>37</v>
      </c>
      <c r="B38" s="48" t="s">
        <v>1171</v>
      </c>
      <c r="C38" s="18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 t="s">
        <v>1174</v>
      </c>
      <c r="P38" s="18" t="s">
        <v>1174</v>
      </c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00000000000001" customHeight="1" x14ac:dyDescent="0.25">
      <c r="A39" s="39">
        <v>38</v>
      </c>
      <c r="B39" s="48" t="s">
        <v>1175</v>
      </c>
      <c r="C39" s="18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 t="s">
        <v>1176</v>
      </c>
      <c r="P39" s="18" t="s">
        <v>1176</v>
      </c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00000000000001" customHeight="1" x14ac:dyDescent="0.25">
      <c r="A40" s="39">
        <v>39</v>
      </c>
      <c r="B40" s="48" t="s">
        <v>1178</v>
      </c>
      <c r="C40" s="18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 t="s">
        <v>1180</v>
      </c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00000000000001" customHeight="1" x14ac:dyDescent="0.25">
      <c r="A41" s="39">
        <v>40</v>
      </c>
      <c r="B41" s="48" t="s">
        <v>1179</v>
      </c>
      <c r="C41" s="18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 t="s">
        <v>1180</v>
      </c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00000000000001" customHeight="1" x14ac:dyDescent="0.25">
      <c r="A42" s="39">
        <v>41</v>
      </c>
      <c r="B42" s="48" t="s">
        <v>639</v>
      </c>
      <c r="C42" s="18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>
        <v>0</v>
      </c>
      <c r="T42" s="58"/>
      <c r="U42" s="58"/>
      <c r="V42" s="58"/>
      <c r="W42" s="58"/>
      <c r="X42" s="58"/>
      <c r="Y42" s="58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00000000000001" customHeight="1" x14ac:dyDescent="0.25">
      <c r="A43" s="39">
        <v>42</v>
      </c>
      <c r="B43" s="48" t="s">
        <v>1181</v>
      </c>
      <c r="C43" s="18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>
        <v>0</v>
      </c>
      <c r="T43" s="58"/>
      <c r="U43" s="58"/>
      <c r="V43" s="58"/>
      <c r="W43" s="58"/>
      <c r="X43" s="58"/>
      <c r="Y43" s="58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00000000000001" customHeight="1" x14ac:dyDescent="0.25">
      <c r="A44" s="39">
        <v>43</v>
      </c>
      <c r="B44" s="48" t="s">
        <v>1182</v>
      </c>
      <c r="C44" s="18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>
        <v>47</v>
      </c>
      <c r="T44" s="58"/>
      <c r="U44" s="58"/>
      <c r="V44" s="58"/>
      <c r="W44" s="58"/>
      <c r="X44" s="58"/>
      <c r="Y44" s="58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00000000000001" customHeight="1" x14ac:dyDescent="0.25">
      <c r="A45" s="39">
        <v>44</v>
      </c>
      <c r="B45" s="48" t="s">
        <v>1183</v>
      </c>
      <c r="C45" s="18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>
        <v>47</v>
      </c>
      <c r="T45" s="58"/>
      <c r="U45" s="58"/>
      <c r="V45" s="58"/>
      <c r="W45" s="58"/>
      <c r="X45" s="58"/>
      <c r="Y45" s="58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00000000000001" customHeight="1" x14ac:dyDescent="0.25">
      <c r="A46" s="39">
        <v>45</v>
      </c>
      <c r="B46" s="48" t="s">
        <v>1181</v>
      </c>
      <c r="C46" s="18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>
        <v>47</v>
      </c>
      <c r="T46" s="58"/>
      <c r="U46" s="58"/>
      <c r="V46" s="58"/>
      <c r="W46" s="58"/>
      <c r="X46" s="58"/>
      <c r="Y46" s="58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00000000000001" customHeight="1" x14ac:dyDescent="0.25">
      <c r="A47" s="39">
        <v>46</v>
      </c>
      <c r="B47" s="48" t="s">
        <v>1184</v>
      </c>
      <c r="C47" s="18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>
        <v>158</v>
      </c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00000000000001" customHeight="1" x14ac:dyDescent="0.25">
      <c r="A48" s="39">
        <v>47</v>
      </c>
      <c r="B48" s="48" t="s">
        <v>1185</v>
      </c>
      <c r="C48" s="18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>
        <v>158</v>
      </c>
      <c r="T48" s="58"/>
      <c r="U48" s="58"/>
      <c r="V48" s="58"/>
      <c r="W48" s="58"/>
      <c r="X48" s="58"/>
      <c r="Y48" s="58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00000000000001" customHeight="1" x14ac:dyDescent="0.25">
      <c r="A49" s="39">
        <v>48</v>
      </c>
      <c r="B49" s="48" t="s">
        <v>1186</v>
      </c>
      <c r="C49" s="18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 t="s">
        <v>1189</v>
      </c>
      <c r="T49" s="58"/>
      <c r="U49" s="58"/>
      <c r="V49" s="58"/>
      <c r="W49" s="58"/>
      <c r="X49" s="58"/>
      <c r="Y49" s="58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00000000000001" customHeight="1" x14ac:dyDescent="0.25">
      <c r="A50" s="39">
        <v>49</v>
      </c>
      <c r="B50" s="48" t="s">
        <v>1187</v>
      </c>
      <c r="C50" s="18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 t="s">
        <v>1189</v>
      </c>
      <c r="T50" s="58"/>
      <c r="U50" s="58"/>
      <c r="V50" s="58"/>
      <c r="W50" s="58"/>
      <c r="X50" s="58"/>
      <c r="Y50" s="58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00000000000001" customHeight="1" x14ac:dyDescent="0.25">
      <c r="A51" s="39">
        <v>50</v>
      </c>
      <c r="B51" s="48" t="s">
        <v>1188</v>
      </c>
      <c r="C51" s="18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 t="s">
        <v>1190</v>
      </c>
      <c r="T51" s="58"/>
      <c r="U51" s="58"/>
      <c r="V51" s="58"/>
      <c r="W51" s="58"/>
      <c r="X51" s="58"/>
      <c r="Y51" s="58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00000000000001" customHeight="1" x14ac:dyDescent="0.25">
      <c r="A52" s="39">
        <v>51</v>
      </c>
      <c r="B52" s="48" t="s">
        <v>1170</v>
      </c>
      <c r="C52" s="18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 t="s">
        <v>1190</v>
      </c>
      <c r="T52" s="58"/>
      <c r="U52" s="58"/>
      <c r="V52" s="58"/>
      <c r="W52" s="58"/>
      <c r="X52" s="58"/>
      <c r="Y52" s="58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00000000000001" customHeight="1" x14ac:dyDescent="0.25">
      <c r="A53" s="39">
        <v>52</v>
      </c>
      <c r="B53" s="48" t="s">
        <v>645</v>
      </c>
      <c r="C53" s="18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 t="s">
        <v>1190</v>
      </c>
      <c r="T53" s="58"/>
      <c r="U53" s="58"/>
      <c r="V53" s="58"/>
      <c r="W53" s="58"/>
      <c r="X53" s="58"/>
      <c r="Y53" s="58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00000000000001" customHeight="1" x14ac:dyDescent="0.25">
      <c r="A54" s="39">
        <v>53</v>
      </c>
      <c r="B54" s="48" t="s">
        <v>1191</v>
      </c>
      <c r="C54" s="18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 t="s">
        <v>1192</v>
      </c>
      <c r="U54" s="58"/>
      <c r="V54" s="58" t="s">
        <v>1192</v>
      </c>
      <c r="W54" s="58"/>
      <c r="X54" s="58"/>
      <c r="Y54" s="58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00000000000001" customHeight="1" x14ac:dyDescent="0.25">
      <c r="A55" s="39">
        <v>54</v>
      </c>
      <c r="B55" s="48" t="s">
        <v>1116</v>
      </c>
      <c r="C55" s="18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 t="s">
        <v>1192</v>
      </c>
      <c r="U55" s="58"/>
      <c r="V55" s="58" t="s">
        <v>1192</v>
      </c>
      <c r="W55" s="58"/>
      <c r="X55" s="58"/>
      <c r="Y55" s="58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00000000000001" customHeight="1" x14ac:dyDescent="0.25">
      <c r="A56" s="39">
        <v>55</v>
      </c>
      <c r="B56" s="48" t="s">
        <v>1193</v>
      </c>
      <c r="C56" s="18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 t="s">
        <v>1211</v>
      </c>
      <c r="X56" s="58"/>
      <c r="Y56" s="58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00000000000001" customHeight="1" x14ac:dyDescent="0.25">
      <c r="A57" s="39">
        <v>56</v>
      </c>
      <c r="B57" s="48" t="s">
        <v>1194</v>
      </c>
      <c r="C57" s="18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 t="s">
        <v>1212</v>
      </c>
      <c r="X57" s="58"/>
      <c r="Y57" s="58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00000000000001" customHeight="1" x14ac:dyDescent="0.25">
      <c r="A58" s="39">
        <v>57</v>
      </c>
      <c r="B58" s="48" t="s">
        <v>1195</v>
      </c>
      <c r="C58" s="18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 t="s">
        <v>1213</v>
      </c>
      <c r="X58" s="58"/>
      <c r="Y58" s="58" t="s">
        <v>1213</v>
      </c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00000000000001" customHeight="1" x14ac:dyDescent="0.25">
      <c r="A59" s="39">
        <v>58</v>
      </c>
      <c r="B59" s="48" t="s">
        <v>1196</v>
      </c>
      <c r="C59" s="18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 t="s">
        <v>1213</v>
      </c>
      <c r="X59" s="58"/>
      <c r="Y59" s="58" t="s">
        <v>1213</v>
      </c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00000000000001" customHeight="1" x14ac:dyDescent="0.25">
      <c r="A60" s="39">
        <v>59</v>
      </c>
      <c r="B60" s="48" t="s">
        <v>1197</v>
      </c>
      <c r="C60" s="18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 t="s">
        <v>1214</v>
      </c>
      <c r="X60" s="58"/>
      <c r="Y60" s="58" t="s">
        <v>1214</v>
      </c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00000000000001" customHeight="1" x14ac:dyDescent="0.25">
      <c r="A61" s="39">
        <v>60</v>
      </c>
      <c r="B61" s="48" t="s">
        <v>1198</v>
      </c>
      <c r="C61" s="18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 t="s">
        <v>1214</v>
      </c>
      <c r="X61" s="58"/>
      <c r="Y61" s="58" t="s">
        <v>1214</v>
      </c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00000000000001" customHeight="1" x14ac:dyDescent="0.25">
      <c r="A62" s="39">
        <v>61</v>
      </c>
      <c r="B62" s="48" t="s">
        <v>1199</v>
      </c>
      <c r="C62" s="18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 t="s">
        <v>1215</v>
      </c>
      <c r="X62" s="58"/>
      <c r="Y62" s="58" t="s">
        <v>1215</v>
      </c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00000000000001" customHeight="1" x14ac:dyDescent="0.25">
      <c r="A63" s="39">
        <v>62</v>
      </c>
      <c r="B63" s="48" t="s">
        <v>1200</v>
      </c>
      <c r="C63" s="18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 t="s">
        <v>1216</v>
      </c>
      <c r="X63" s="58"/>
      <c r="Y63" s="58" t="s">
        <v>1216</v>
      </c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00000000000001" customHeight="1" x14ac:dyDescent="0.25">
      <c r="A64" s="39">
        <v>63</v>
      </c>
      <c r="B64" s="48" t="s">
        <v>1201</v>
      </c>
      <c r="C64" s="18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 t="s">
        <v>1216</v>
      </c>
      <c r="X64" s="58"/>
      <c r="Y64" s="58" t="s">
        <v>1216</v>
      </c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00000000000001" customHeight="1" x14ac:dyDescent="0.25">
      <c r="A65" s="39">
        <v>64</v>
      </c>
      <c r="B65" s="48" t="s">
        <v>1202</v>
      </c>
      <c r="C65" s="18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 t="s">
        <v>1216</v>
      </c>
      <c r="X65" s="58"/>
      <c r="Y65" s="58" t="s">
        <v>1216</v>
      </c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00000000000001" customHeight="1" x14ac:dyDescent="0.25">
      <c r="A66" s="39">
        <v>65</v>
      </c>
      <c r="B66" s="48" t="s">
        <v>1203</v>
      </c>
      <c r="C66" s="18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 t="s">
        <v>1217</v>
      </c>
      <c r="X66" s="58"/>
      <c r="Y66" s="58" t="s">
        <v>1217</v>
      </c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00000000000001" customHeight="1" x14ac:dyDescent="0.25">
      <c r="A67" s="39">
        <v>66</v>
      </c>
      <c r="B67" s="48" t="s">
        <v>1204</v>
      </c>
      <c r="C67" s="18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 t="s">
        <v>1217</v>
      </c>
      <c r="X67" s="58"/>
      <c r="Y67" s="58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00000000000001" customHeight="1" x14ac:dyDescent="0.25">
      <c r="A68" s="39">
        <v>67</v>
      </c>
      <c r="B68" s="48" t="s">
        <v>1205</v>
      </c>
      <c r="C68" s="18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 t="s">
        <v>1217</v>
      </c>
      <c r="X68" s="58"/>
      <c r="Y68" s="58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00000000000001" customHeight="1" x14ac:dyDescent="0.25">
      <c r="A69" s="39">
        <v>68</v>
      </c>
      <c r="B69" s="48" t="s">
        <v>1206</v>
      </c>
      <c r="C69" s="18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 t="s">
        <v>1218</v>
      </c>
      <c r="X69" s="58"/>
      <c r="Y69" s="58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00000000000001" customHeight="1" x14ac:dyDescent="0.25">
      <c r="A70" s="39">
        <v>69</v>
      </c>
      <c r="B70" s="40" t="s">
        <v>1207</v>
      </c>
      <c r="C70" s="18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 t="s">
        <v>1219</v>
      </c>
      <c r="X70" s="58" t="s">
        <v>1222</v>
      </c>
      <c r="Y70" s="58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00000000000001" customHeight="1" x14ac:dyDescent="0.25">
      <c r="A71" s="39">
        <v>70</v>
      </c>
      <c r="B71" s="40" t="s">
        <v>1208</v>
      </c>
      <c r="C71" s="18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 t="s">
        <v>1219</v>
      </c>
      <c r="X71" s="58" t="s">
        <v>1223</v>
      </c>
      <c r="Y71" s="58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00000000000001" customHeight="1" x14ac:dyDescent="0.25">
      <c r="A72" s="39">
        <v>71</v>
      </c>
      <c r="B72" s="40" t="s">
        <v>1209</v>
      </c>
      <c r="C72" s="18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 t="s">
        <v>1220</v>
      </c>
      <c r="X72" s="58"/>
      <c r="Y72" s="58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00000000000001" customHeight="1" x14ac:dyDescent="0.25">
      <c r="A73" s="39">
        <v>72</v>
      </c>
      <c r="B73" s="40" t="s">
        <v>1210</v>
      </c>
      <c r="C73" s="18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 t="s">
        <v>1221</v>
      </c>
      <c r="X73" s="58"/>
      <c r="Y73" s="58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00000000000001" customHeight="1" x14ac:dyDescent="0.25">
      <c r="A74" s="39">
        <v>73</v>
      </c>
      <c r="B74" s="40" t="s">
        <v>639</v>
      </c>
      <c r="C74" s="18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>
        <v>0</v>
      </c>
      <c r="AV74" s="42">
        <v>0</v>
      </c>
      <c r="AW74" s="42"/>
      <c r="AX74" s="42"/>
      <c r="AY74" s="42"/>
      <c r="AZ74" s="42"/>
    </row>
    <row r="75" spans="1:52" ht="20.100000000000001" customHeight="1" x14ac:dyDescent="0.25">
      <c r="A75" s="39">
        <v>74</v>
      </c>
      <c r="B75" s="40" t="s">
        <v>1183</v>
      </c>
      <c r="C75" s="18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>
        <v>101</v>
      </c>
      <c r="AV75" s="42">
        <v>101</v>
      </c>
      <c r="AW75" s="42"/>
      <c r="AX75" s="42"/>
      <c r="AY75" s="42"/>
      <c r="AZ75" s="42"/>
    </row>
    <row r="76" spans="1:52" ht="20.100000000000001" customHeight="1" x14ac:dyDescent="0.25">
      <c r="A76" s="39">
        <v>75</v>
      </c>
      <c r="B76" s="40" t="s">
        <v>1182</v>
      </c>
      <c r="C76" s="18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>
        <v>101</v>
      </c>
      <c r="AV76" s="42">
        <v>101</v>
      </c>
      <c r="AW76" s="42"/>
      <c r="AX76" s="42"/>
      <c r="AY76" s="42"/>
      <c r="AZ76" s="42"/>
    </row>
    <row r="77" spans="1:52" ht="20.100000000000001" customHeight="1" x14ac:dyDescent="0.25">
      <c r="A77" s="39">
        <v>76</v>
      </c>
      <c r="B77" s="40" t="s">
        <v>1626</v>
      </c>
      <c r="C77" s="18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>
        <v>232</v>
      </c>
      <c r="AV77" s="42">
        <v>232</v>
      </c>
      <c r="AW77" s="42"/>
      <c r="AX77" s="42"/>
      <c r="AY77" s="42"/>
      <c r="AZ77" s="42"/>
    </row>
    <row r="78" spans="1:52" ht="20.100000000000001" customHeight="1" x14ac:dyDescent="0.25">
      <c r="A78" s="39">
        <v>77</v>
      </c>
      <c r="B78" s="40" t="s">
        <v>1184</v>
      </c>
      <c r="C78" s="18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>
        <v>232</v>
      </c>
      <c r="AV78" s="42">
        <v>232</v>
      </c>
      <c r="AW78" s="42"/>
      <c r="AX78" s="42"/>
      <c r="AY78" s="42"/>
      <c r="AZ78" s="42"/>
    </row>
    <row r="79" spans="1:52" ht="20.100000000000001" customHeight="1" x14ac:dyDescent="0.25">
      <c r="A79" s="39">
        <v>78</v>
      </c>
      <c r="B79" s="40" t="s">
        <v>1627</v>
      </c>
      <c r="C79" s="18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>
        <v>232</v>
      </c>
      <c r="AV79" s="42">
        <v>232</v>
      </c>
      <c r="AW79" s="42"/>
      <c r="AX79" s="42"/>
      <c r="AY79" s="42"/>
      <c r="AZ79" s="42"/>
    </row>
    <row r="80" spans="1:52" ht="20.100000000000001" customHeight="1" x14ac:dyDescent="0.25">
      <c r="A80" s="39">
        <v>79</v>
      </c>
      <c r="B80" s="40" t="s">
        <v>1186</v>
      </c>
      <c r="C80" s="18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>
        <v>398</v>
      </c>
      <c r="AV80" s="42">
        <v>398</v>
      </c>
      <c r="AW80" s="42"/>
      <c r="AX80" s="42"/>
      <c r="AY80" s="42"/>
      <c r="AZ80" s="42"/>
    </row>
    <row r="81" spans="1:52" ht="20.100000000000001" customHeight="1" x14ac:dyDescent="0.25">
      <c r="A81" s="39">
        <v>80</v>
      </c>
      <c r="B81" s="40" t="s">
        <v>1187</v>
      </c>
      <c r="C81" s="18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>
        <v>431</v>
      </c>
      <c r="AV81" s="42">
        <v>431</v>
      </c>
      <c r="AW81" s="42">
        <v>0</v>
      </c>
      <c r="AX81" s="42"/>
      <c r="AY81" s="42">
        <v>0</v>
      </c>
      <c r="AZ81" s="42"/>
    </row>
    <row r="82" spans="1:52" ht="20.100000000000001" customHeight="1" x14ac:dyDescent="0.25">
      <c r="A82" s="39">
        <v>81</v>
      </c>
      <c r="B82" s="40" t="s">
        <v>1188</v>
      </c>
      <c r="C82" s="18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>
        <v>505</v>
      </c>
      <c r="AV82" s="42">
        <v>505</v>
      </c>
      <c r="AW82" s="42">
        <v>73</v>
      </c>
      <c r="AX82" s="42"/>
      <c r="AY82" s="42">
        <v>73</v>
      </c>
      <c r="AZ82" s="42"/>
    </row>
    <row r="83" spans="1:52" ht="20.100000000000001" customHeight="1" x14ac:dyDescent="0.25">
      <c r="A83" s="39">
        <v>82</v>
      </c>
      <c r="B83" s="40" t="s">
        <v>645</v>
      </c>
      <c r="C83" s="18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>
        <v>505</v>
      </c>
      <c r="AV83" s="42">
        <v>505</v>
      </c>
      <c r="AW83" s="42">
        <v>73</v>
      </c>
      <c r="AX83" s="42"/>
      <c r="AY83" s="42">
        <v>73</v>
      </c>
      <c r="AZ83" s="42"/>
    </row>
    <row r="84" spans="1:52" ht="20.100000000000001" customHeight="1" x14ac:dyDescent="0.25">
      <c r="A84" s="39">
        <v>83</v>
      </c>
      <c r="B84" s="40" t="s">
        <v>1628</v>
      </c>
      <c r="C84" s="18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>
        <v>73</v>
      </c>
      <c r="AX84" s="42"/>
      <c r="AY84" s="42">
        <v>73</v>
      </c>
      <c r="AZ84" s="42"/>
    </row>
    <row r="85" spans="1:52" ht="20.100000000000001" customHeight="1" x14ac:dyDescent="0.25">
      <c r="A85" s="39">
        <v>84</v>
      </c>
      <c r="B85" s="40" t="s">
        <v>621</v>
      </c>
      <c r="C85" s="18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>
        <v>588</v>
      </c>
      <c r="AV85" s="42">
        <v>588</v>
      </c>
      <c r="AW85" s="42">
        <v>154</v>
      </c>
      <c r="AX85" s="42"/>
      <c r="AY85" s="42">
        <v>154</v>
      </c>
      <c r="AZ85" s="42"/>
    </row>
    <row r="86" spans="1:52" ht="20.100000000000001" customHeight="1" x14ac:dyDescent="0.25">
      <c r="A86" s="39">
        <v>85</v>
      </c>
      <c r="B86" s="40" t="s">
        <v>1629</v>
      </c>
      <c r="C86" s="18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>
        <v>656</v>
      </c>
      <c r="AV86" s="42">
        <v>656</v>
      </c>
      <c r="AW86" s="42">
        <v>222</v>
      </c>
      <c r="AX86" s="42"/>
      <c r="AY86" s="42">
        <v>222</v>
      </c>
      <c r="AZ86" s="42"/>
    </row>
    <row r="87" spans="1:52" ht="20.100000000000001" customHeight="1" x14ac:dyDescent="0.25">
      <c r="A87" s="39">
        <v>86</v>
      </c>
      <c r="B87" s="40" t="s">
        <v>1630</v>
      </c>
      <c r="C87" s="18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>
        <v>749</v>
      </c>
      <c r="AV87" s="42">
        <v>749</v>
      </c>
      <c r="AW87" s="42"/>
      <c r="AX87" s="42"/>
      <c r="AY87" s="42"/>
      <c r="AZ87" s="42"/>
    </row>
    <row r="88" spans="1:52" ht="20.100000000000001" customHeight="1" x14ac:dyDescent="0.25">
      <c r="A88" s="39">
        <v>87</v>
      </c>
      <c r="B88" s="40" t="s">
        <v>1631</v>
      </c>
      <c r="C88" s="18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>
        <v>879</v>
      </c>
      <c r="AV88" s="42">
        <v>879</v>
      </c>
      <c r="AW88" s="42"/>
      <c r="AX88" s="42"/>
      <c r="AY88" s="42"/>
      <c r="AZ88" s="42"/>
    </row>
    <row r="89" spans="1:52" ht="20.100000000000001" customHeight="1" x14ac:dyDescent="0.25">
      <c r="A89" s="39">
        <v>88</v>
      </c>
      <c r="B89" s="40" t="s">
        <v>1668</v>
      </c>
      <c r="C89" s="18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>
        <v>0</v>
      </c>
      <c r="AY89" s="42"/>
      <c r="AZ89" s="42"/>
    </row>
    <row r="90" spans="1:52" ht="20.100000000000001" customHeight="1" x14ac:dyDescent="0.25">
      <c r="A90" s="39">
        <v>89</v>
      </c>
      <c r="B90" s="40" t="s">
        <v>1669</v>
      </c>
      <c r="C90" s="18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>
        <v>95</v>
      </c>
      <c r="AY90" s="42"/>
      <c r="AZ90" s="42"/>
    </row>
    <row r="91" spans="1:52" ht="20.100000000000001" customHeight="1" x14ac:dyDescent="0.25">
      <c r="A91" s="39">
        <v>90</v>
      </c>
      <c r="B91" s="40" t="s">
        <v>1670</v>
      </c>
      <c r="C91" s="18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>
        <v>198</v>
      </c>
      <c r="AY91" s="42"/>
      <c r="AZ91" s="42"/>
    </row>
    <row r="92" spans="1:52" ht="20.100000000000001" customHeight="1" x14ac:dyDescent="0.25">
      <c r="A92" s="39">
        <v>91</v>
      </c>
      <c r="B92" s="40" t="s">
        <v>1671</v>
      </c>
      <c r="C92" s="18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>
        <v>309</v>
      </c>
      <c r="AY92" s="42"/>
      <c r="AZ92" s="42"/>
    </row>
    <row r="93" spans="1:52" ht="20.100000000000001" customHeight="1" x14ac:dyDescent="0.25">
      <c r="A93" s="39">
        <v>92</v>
      </c>
      <c r="B93" s="40" t="s">
        <v>1672</v>
      </c>
      <c r="C93" s="18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00000000000001" customHeight="1" x14ac:dyDescent="0.25">
      <c r="A94" s="39">
        <v>93</v>
      </c>
      <c r="B94" s="40" t="s">
        <v>1673</v>
      </c>
      <c r="C94" s="18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>
        <v>533</v>
      </c>
      <c r="AY94" s="42"/>
      <c r="AZ94" s="42"/>
    </row>
    <row r="95" spans="1:52" ht="20.100000000000001" customHeight="1" x14ac:dyDescent="0.25">
      <c r="A95" s="39">
        <v>94</v>
      </c>
      <c r="B95" s="40"/>
      <c r="C95" s="18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00000000000001" customHeight="1" x14ac:dyDescent="0.25">
      <c r="A96" s="39">
        <v>95</v>
      </c>
      <c r="B96" s="40"/>
      <c r="C96" s="18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00000000000001" customHeight="1" x14ac:dyDescent="0.25">
      <c r="A97" s="39">
        <v>96</v>
      </c>
      <c r="B97" s="40"/>
      <c r="C97" s="18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00000000000001" customHeight="1" x14ac:dyDescent="0.25">
      <c r="A98" s="39">
        <v>97</v>
      </c>
      <c r="B98" s="40"/>
      <c r="C98" s="18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00000000000001" customHeight="1" x14ac:dyDescent="0.25">
      <c r="A99" s="39">
        <v>98</v>
      </c>
      <c r="B99" s="40"/>
      <c r="C99" s="18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00000000000001" customHeight="1" x14ac:dyDescent="0.25">
      <c r="A100" s="39">
        <v>99</v>
      </c>
      <c r="B100" s="40"/>
      <c r="C100" s="18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00000000000001" customHeight="1" x14ac:dyDescent="0.25">
      <c r="A101" s="39">
        <v>100</v>
      </c>
      <c r="B101" s="40"/>
      <c r="C101" s="18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00000000000001" customHeight="1" x14ac:dyDescent="0.25">
      <c r="A102" s="39">
        <v>101</v>
      </c>
      <c r="B102" s="40"/>
      <c r="C102" s="18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00000000000001" customHeight="1" x14ac:dyDescent="0.25">
      <c r="A103" s="39">
        <v>102</v>
      </c>
      <c r="B103" s="40"/>
      <c r="C103" s="18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00000000000001" customHeight="1" x14ac:dyDescent="0.25">
      <c r="A104" s="39">
        <v>103</v>
      </c>
      <c r="B104" s="40"/>
      <c r="C104" s="18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00000000000001" customHeight="1" x14ac:dyDescent="0.25">
      <c r="A105" s="39">
        <v>104</v>
      </c>
      <c r="B105" s="40"/>
      <c r="C105" s="18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00000000000001" customHeight="1" x14ac:dyDescent="0.25">
      <c r="A106" s="39">
        <v>105</v>
      </c>
      <c r="B106" s="40"/>
      <c r="C106" s="18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00000000000001" customHeight="1" x14ac:dyDescent="0.25">
      <c r="A107" s="39">
        <v>106</v>
      </c>
      <c r="B107" s="40"/>
      <c r="C107" s="18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00000000000001" customHeight="1" x14ac:dyDescent="0.25">
      <c r="A108" s="39">
        <v>107</v>
      </c>
      <c r="B108" s="40"/>
      <c r="C108" s="18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00000000000001" customHeight="1" x14ac:dyDescent="0.25">
      <c r="A109" s="39">
        <v>108</v>
      </c>
      <c r="B109" s="40"/>
      <c r="C109" s="18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00000000000001" customHeight="1" x14ac:dyDescent="0.25">
      <c r="A110" s="39">
        <v>109</v>
      </c>
      <c r="B110" s="40"/>
      <c r="C110" s="18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00000000000001" customHeight="1" x14ac:dyDescent="0.25">
      <c r="A111" s="39">
        <v>110</v>
      </c>
      <c r="B111" s="40"/>
      <c r="C111" s="18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00000000000001" customHeight="1" x14ac:dyDescent="0.25">
      <c r="A112" s="39">
        <v>111</v>
      </c>
      <c r="B112" s="40"/>
      <c r="C112" s="18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00000000000001" customHeight="1" x14ac:dyDescent="0.25">
      <c r="A113" s="39">
        <v>112</v>
      </c>
      <c r="B113" s="40"/>
      <c r="C113" s="18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00000000000001" customHeight="1" x14ac:dyDescent="0.25">
      <c r="A114" s="39">
        <v>113</v>
      </c>
      <c r="B114" s="40"/>
      <c r="C114" s="18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00000000000001" customHeight="1" x14ac:dyDescent="0.25">
      <c r="A115" s="39">
        <v>114</v>
      </c>
      <c r="B115" s="40"/>
      <c r="C115" s="18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00000000000001" customHeight="1" x14ac:dyDescent="0.25">
      <c r="A116" s="39">
        <v>115</v>
      </c>
      <c r="B116" s="40"/>
      <c r="C116" s="18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00000000000001" customHeight="1" x14ac:dyDescent="0.25">
      <c r="A117" s="39">
        <v>116</v>
      </c>
      <c r="B117" s="40"/>
      <c r="C117" s="18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00000000000001" customHeight="1" x14ac:dyDescent="0.25">
      <c r="A118" s="39">
        <v>117</v>
      </c>
      <c r="B118" s="40"/>
      <c r="C118" s="18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00000000000001" customHeight="1" x14ac:dyDescent="0.25">
      <c r="A119" s="39">
        <v>118</v>
      </c>
      <c r="B119" s="40"/>
      <c r="C119" s="18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00000000000001" customHeight="1" x14ac:dyDescent="0.25">
      <c r="A120" s="39">
        <v>119</v>
      </c>
      <c r="B120" s="40"/>
      <c r="C120" s="18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00000000000001" customHeight="1" x14ac:dyDescent="0.25">
      <c r="A121" s="39">
        <v>120</v>
      </c>
      <c r="B121" s="40"/>
      <c r="C121" s="18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00000000000001" customHeight="1" x14ac:dyDescent="0.25">
      <c r="A122" s="39">
        <v>121</v>
      </c>
      <c r="B122" s="40"/>
      <c r="C122" s="18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00000000000001" customHeight="1" x14ac:dyDescent="0.25">
      <c r="A123" s="39">
        <v>122</v>
      </c>
      <c r="B123" s="40"/>
      <c r="C123" s="18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00000000000001" customHeight="1" x14ac:dyDescent="0.25">
      <c r="A124" s="39">
        <v>123</v>
      </c>
      <c r="B124" s="40"/>
      <c r="C124" s="18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00000000000001" customHeight="1" x14ac:dyDescent="0.25">
      <c r="A125" s="39">
        <v>124</v>
      </c>
      <c r="B125" s="40"/>
      <c r="C125" s="18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00000000000001" customHeight="1" x14ac:dyDescent="0.25">
      <c r="A126" s="39">
        <v>125</v>
      </c>
      <c r="B126" s="40"/>
      <c r="C126" s="18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00000000000001" customHeight="1" x14ac:dyDescent="0.25">
      <c r="A127" s="39">
        <v>126</v>
      </c>
      <c r="B127" s="40"/>
      <c r="C127" s="18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00000000000001" customHeight="1" x14ac:dyDescent="0.25">
      <c r="A128" s="39">
        <v>127</v>
      </c>
      <c r="B128" s="40"/>
      <c r="C128" s="18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00000000000001" customHeight="1" x14ac:dyDescent="0.25">
      <c r="A129" s="39">
        <v>128</v>
      </c>
      <c r="B129" s="40"/>
      <c r="C129" s="18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00000000000001" customHeight="1" x14ac:dyDescent="0.25">
      <c r="A130" s="39">
        <v>129</v>
      </c>
      <c r="B130" s="40"/>
      <c r="C130" s="18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00000000000001" customHeight="1" x14ac:dyDescent="0.25">
      <c r="A131" s="39">
        <v>130</v>
      </c>
      <c r="B131" s="40"/>
      <c r="C131" s="18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00000000000001" customHeight="1" x14ac:dyDescent="0.25">
      <c r="A132" s="39">
        <v>131</v>
      </c>
      <c r="B132" s="40"/>
      <c r="C132" s="18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00000000000001" customHeight="1" x14ac:dyDescent="0.25">
      <c r="A133" s="39">
        <v>132</v>
      </c>
      <c r="B133" s="40"/>
      <c r="C133" s="18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00000000000001" customHeight="1" x14ac:dyDescent="0.25">
      <c r="A134" s="39">
        <v>133</v>
      </c>
      <c r="B134" s="40"/>
      <c r="C134" s="18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00000000000001" customHeight="1" x14ac:dyDescent="0.25">
      <c r="A135" s="39">
        <v>134</v>
      </c>
      <c r="B135" s="40"/>
      <c r="C135" s="18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00000000000001" customHeight="1" x14ac:dyDescent="0.25">
      <c r="A136" s="39">
        <v>135</v>
      </c>
      <c r="B136" s="40"/>
      <c r="C136" s="18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00000000000001" customHeight="1" x14ac:dyDescent="0.25">
      <c r="A137" s="39">
        <v>136</v>
      </c>
      <c r="B137" s="40"/>
      <c r="C137" s="18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00000000000001" customHeight="1" x14ac:dyDescent="0.25">
      <c r="A138" s="39">
        <v>137</v>
      </c>
      <c r="B138" s="40"/>
      <c r="C138" s="18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00000000000001" customHeight="1" x14ac:dyDescent="0.25">
      <c r="A139" s="39">
        <v>138</v>
      </c>
      <c r="B139" s="40"/>
      <c r="C139" s="18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00000000000001" customHeight="1" x14ac:dyDescent="0.25">
      <c r="A140" s="39">
        <v>139</v>
      </c>
      <c r="B140" s="40"/>
      <c r="C140" s="18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00000000000001" customHeight="1" x14ac:dyDescent="0.25">
      <c r="A141" s="39">
        <v>140</v>
      </c>
      <c r="B141" s="40"/>
      <c r="C141" s="18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00000000000001" customHeight="1" x14ac:dyDescent="0.25">
      <c r="A142" s="39">
        <v>141</v>
      </c>
      <c r="B142" s="40"/>
      <c r="C142" s="18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00000000000001" customHeight="1" x14ac:dyDescent="0.25">
      <c r="A143" s="39">
        <v>142</v>
      </c>
      <c r="B143" s="40"/>
      <c r="C143" s="18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00000000000001" customHeight="1" x14ac:dyDescent="0.25">
      <c r="A144" s="39">
        <v>143</v>
      </c>
      <c r="B144" s="40"/>
      <c r="C144" s="18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00000000000001" customHeight="1" x14ac:dyDescent="0.25">
      <c r="A145" s="39">
        <v>144</v>
      </c>
      <c r="B145" s="40"/>
      <c r="C145" s="18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00000000000001" customHeight="1" x14ac:dyDescent="0.25">
      <c r="A146" s="39">
        <v>145</v>
      </c>
      <c r="B146" s="40"/>
      <c r="C146" s="18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00000000000001" customHeight="1" x14ac:dyDescent="0.25">
      <c r="A147" s="39">
        <v>146</v>
      </c>
      <c r="B147" s="40"/>
      <c r="C147" s="18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00000000000001" customHeight="1" x14ac:dyDescent="0.25">
      <c r="A148" s="39">
        <v>147</v>
      </c>
      <c r="B148" s="40"/>
      <c r="C148" s="18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00000000000001" customHeight="1" x14ac:dyDescent="0.25">
      <c r="A149" s="39">
        <v>148</v>
      </c>
      <c r="B149" s="40"/>
      <c r="C149" s="18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00000000000001" customHeight="1" x14ac:dyDescent="0.25">
      <c r="A150" s="39">
        <v>149</v>
      </c>
      <c r="B150" s="40"/>
      <c r="C150" s="18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00000000000001" customHeight="1" x14ac:dyDescent="0.25">
      <c r="A151" s="39">
        <v>150</v>
      </c>
      <c r="B151" s="40"/>
      <c r="C151" s="18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00000000000001" customHeight="1" x14ac:dyDescent="0.25">
      <c r="A152" s="39">
        <v>151</v>
      </c>
      <c r="B152" s="40"/>
      <c r="C152" s="18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00000000000001" customHeight="1" x14ac:dyDescent="0.25">
      <c r="A153" s="39">
        <v>152</v>
      </c>
      <c r="B153" s="40"/>
      <c r="C153" s="18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00000000000001" customHeight="1" x14ac:dyDescent="0.25">
      <c r="A154" s="39">
        <v>153</v>
      </c>
      <c r="B154" s="40"/>
      <c r="C154" s="18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00000000000001" customHeight="1" x14ac:dyDescent="0.25">
      <c r="A155" s="39">
        <v>154</v>
      </c>
      <c r="B155" s="40"/>
      <c r="C155" s="18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00000000000001" customHeight="1" x14ac:dyDescent="0.25">
      <c r="A156" s="39">
        <v>155</v>
      </c>
      <c r="B156" s="40"/>
      <c r="C156" s="18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00000000000001" customHeight="1" x14ac:dyDescent="0.25">
      <c r="A157" s="39">
        <v>156</v>
      </c>
      <c r="B157" s="40"/>
      <c r="C157" s="18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00000000000001" customHeight="1" x14ac:dyDescent="0.25">
      <c r="A158" s="39">
        <v>157</v>
      </c>
      <c r="B158" s="40"/>
      <c r="C158" s="18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00000000000001" customHeight="1" x14ac:dyDescent="0.25">
      <c r="A159" s="39">
        <v>158</v>
      </c>
      <c r="B159" s="40"/>
      <c r="C159" s="18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00000000000001" customHeight="1" x14ac:dyDescent="0.25">
      <c r="A160" s="39">
        <v>159</v>
      </c>
      <c r="B160" s="40"/>
      <c r="C160" s="18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00000000000001" customHeight="1" x14ac:dyDescent="0.25">
      <c r="A161" s="39">
        <v>160</v>
      </c>
      <c r="B161" s="40"/>
      <c r="C161" s="18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00000000000001" customHeight="1" x14ac:dyDescent="0.25">
      <c r="A162" s="39">
        <v>161</v>
      </c>
      <c r="B162" s="40"/>
      <c r="C162" s="18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00000000000001" customHeight="1" x14ac:dyDescent="0.25">
      <c r="A163" s="39">
        <v>162</v>
      </c>
      <c r="B163" s="40"/>
      <c r="C163" s="18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00000000000001" customHeight="1" x14ac:dyDescent="0.25">
      <c r="A164" s="39">
        <v>163</v>
      </c>
      <c r="B164" s="40"/>
      <c r="C164" s="18"/>
      <c r="D164" s="17"/>
      <c r="E164" s="17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00000000000001" customHeight="1" x14ac:dyDescent="0.25">
      <c r="A165" s="39">
        <v>164</v>
      </c>
      <c r="B165" s="40"/>
      <c r="C165" s="18"/>
      <c r="D165" s="17"/>
      <c r="E165" s="17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00000000000001" customHeight="1" x14ac:dyDescent="0.25">
      <c r="A166" s="39">
        <v>165</v>
      </c>
      <c r="B166" s="40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00000000000001" customHeight="1" x14ac:dyDescent="0.25">
      <c r="A167" s="39">
        <v>166</v>
      </c>
      <c r="B167" s="40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00000000000001" customHeight="1" x14ac:dyDescent="0.25">
      <c r="A168" s="39">
        <v>167</v>
      </c>
      <c r="B168" s="40"/>
      <c r="C168" s="18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  <c r="AO168" s="42"/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00000000000001" customHeight="1" x14ac:dyDescent="0.25">
      <c r="A169" s="39">
        <v>168</v>
      </c>
      <c r="B169" s="40"/>
      <c r="C169" s="18"/>
      <c r="D169" s="17"/>
      <c r="E169" s="17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00000000000001" customHeight="1" x14ac:dyDescent="0.25">
      <c r="A170" s="39">
        <v>169</v>
      </c>
      <c r="B170" s="40"/>
      <c r="C170" s="18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00000000000001" customHeight="1" x14ac:dyDescent="0.25">
      <c r="A171" s="39">
        <v>170</v>
      </c>
      <c r="B171" s="40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  <c r="AO171" s="42"/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00000000000001" customHeight="1" x14ac:dyDescent="0.25">
      <c r="A172" s="39">
        <v>171</v>
      </c>
      <c r="B172" s="40"/>
      <c r="C172" s="18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00000000000001" customHeight="1" x14ac:dyDescent="0.25">
      <c r="A173" s="39">
        <v>172</v>
      </c>
      <c r="B173" s="40"/>
      <c r="C173" s="18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00000000000001" customHeight="1" x14ac:dyDescent="0.25">
      <c r="A174" s="39">
        <v>173</v>
      </c>
      <c r="B174" s="48"/>
      <c r="C174" s="18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00000000000001" customHeight="1" x14ac:dyDescent="0.25">
      <c r="A175" s="39">
        <v>174</v>
      </c>
      <c r="B175" s="40"/>
      <c r="C175" s="18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00000000000001" customHeight="1" x14ac:dyDescent="0.25">
      <c r="A176" s="39">
        <v>175</v>
      </c>
      <c r="B176" s="40"/>
      <c r="C176" s="18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  <c r="AO176" s="42"/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00000000000001" customHeight="1" x14ac:dyDescent="0.25">
      <c r="A177" s="39">
        <v>176</v>
      </c>
      <c r="B177" s="40"/>
      <c r="C177" s="18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00000000000001" customHeight="1" x14ac:dyDescent="0.25">
      <c r="A178" s="39">
        <v>177</v>
      </c>
      <c r="B178" s="40"/>
      <c r="C178" s="18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00000000000001" customHeight="1" x14ac:dyDescent="0.25">
      <c r="A179" s="39">
        <v>178</v>
      </c>
      <c r="B179" s="40"/>
      <c r="C179" s="18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00000000000001" customHeight="1" x14ac:dyDescent="0.25">
      <c r="A180" s="39">
        <v>179</v>
      </c>
      <c r="B180" s="40"/>
      <c r="C180" s="18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  <c r="AO180" s="42"/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00000000000001" customHeight="1" x14ac:dyDescent="0.25">
      <c r="A181" s="39">
        <v>180</v>
      </c>
      <c r="B181" s="40"/>
      <c r="C181" s="18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00000000000001" customHeight="1" x14ac:dyDescent="0.25">
      <c r="A182" s="39">
        <v>181</v>
      </c>
      <c r="B182" s="40"/>
      <c r="C182" s="18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00000000000001" customHeight="1" x14ac:dyDescent="0.25">
      <c r="A183" s="39">
        <v>182</v>
      </c>
      <c r="B183" s="40"/>
      <c r="C183" s="18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  <c r="AO183" s="42"/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00000000000001" customHeight="1" x14ac:dyDescent="0.25">
      <c r="A184" s="39">
        <v>183</v>
      </c>
      <c r="B184" s="40"/>
      <c r="C184" s="18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  <c r="AO184" s="42"/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00000000000001" customHeight="1" x14ac:dyDescent="0.25">
      <c r="A185" s="39">
        <v>184</v>
      </c>
      <c r="B185" s="40"/>
      <c r="C185" s="18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00000000000001" customHeight="1" x14ac:dyDescent="0.25">
      <c r="A186" s="39">
        <v>185</v>
      </c>
      <c r="B186" s="40"/>
      <c r="C186" s="18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00000000000001" customHeight="1" x14ac:dyDescent="0.25">
      <c r="A187" s="39">
        <v>186</v>
      </c>
      <c r="B187" s="40"/>
      <c r="C187" s="18"/>
      <c r="D187" s="17"/>
      <c r="E187" s="17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00000000000001" customHeight="1" x14ac:dyDescent="0.25">
      <c r="A188" s="39">
        <v>187</v>
      </c>
      <c r="B188" s="40"/>
      <c r="C188" s="18"/>
      <c r="D188" s="17"/>
      <c r="E188" s="17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00000000000001" customHeight="1" x14ac:dyDescent="0.25">
      <c r="A189" s="39">
        <v>188</v>
      </c>
      <c r="B189" s="40"/>
      <c r="C189" s="18"/>
      <c r="D189" s="17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00000000000001" customHeight="1" x14ac:dyDescent="0.25">
      <c r="A190" s="39">
        <v>189</v>
      </c>
      <c r="B190" s="40"/>
      <c r="C190" s="18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00000000000001" customHeight="1" x14ac:dyDescent="0.25">
      <c r="A191" s="39">
        <v>190</v>
      </c>
      <c r="B191" s="40"/>
      <c r="C191" s="18"/>
      <c r="D191" s="17"/>
      <c r="E191" s="17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/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00000000000001" customHeight="1" x14ac:dyDescent="0.25">
      <c r="A192" s="39">
        <v>191</v>
      </c>
      <c r="B192" s="40"/>
      <c r="C192" s="18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/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00000000000001" customHeight="1" x14ac:dyDescent="0.25">
      <c r="A193" s="39">
        <v>192</v>
      </c>
      <c r="B193" s="40"/>
      <c r="C193" s="18"/>
      <c r="D193" s="17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00000000000001" customHeight="1" x14ac:dyDescent="0.25">
      <c r="A194" s="39">
        <v>193</v>
      </c>
      <c r="B194" s="40"/>
      <c r="C194" s="18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00000000000001" customHeight="1" x14ac:dyDescent="0.25">
      <c r="A195" s="39">
        <v>194</v>
      </c>
      <c r="B195" s="40"/>
      <c r="C195" s="18"/>
      <c r="D195" s="17"/>
      <c r="E195" s="17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00000000000001" customHeight="1" x14ac:dyDescent="0.25">
      <c r="A196" s="39">
        <v>195</v>
      </c>
      <c r="B196" s="40"/>
      <c r="C196" s="18"/>
      <c r="D196" s="17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/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00000000000001" customHeight="1" x14ac:dyDescent="0.25">
      <c r="A197" s="39">
        <v>196</v>
      </c>
      <c r="B197" s="40"/>
      <c r="C197" s="18"/>
      <c r="D197" s="17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00000000000001" customHeight="1" x14ac:dyDescent="0.25">
      <c r="A198" s="39">
        <v>197</v>
      </c>
      <c r="B198" s="40"/>
      <c r="C198" s="18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00000000000001" customHeight="1" x14ac:dyDescent="0.25">
      <c r="A199" s="39">
        <v>198</v>
      </c>
      <c r="B199" s="40"/>
      <c r="C199" s="18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/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00000000000001" customHeight="1" x14ac:dyDescent="0.25">
      <c r="A200" s="39">
        <v>199</v>
      </c>
      <c r="B200" s="40"/>
      <c r="C200" s="18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00000000000001" customHeight="1" x14ac:dyDescent="0.25">
      <c r="A201" s="39">
        <v>200</v>
      </c>
      <c r="B201" s="40"/>
      <c r="C201" s="18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/>
      <c r="AS201" s="42"/>
      <c r="AT201" s="42"/>
      <c r="AU201" s="42"/>
      <c r="AV201" s="42"/>
      <c r="AW201" s="42"/>
      <c r="AX201" s="42"/>
      <c r="AY201" s="42"/>
      <c r="AZ201" s="42"/>
    </row>
    <row r="202" spans="1:52" ht="20.100000000000001" customHeight="1" x14ac:dyDescent="0.25">
      <c r="A202" s="39">
        <v>201</v>
      </c>
      <c r="B202" s="40"/>
      <c r="C202" s="18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/>
      <c r="AS202" s="42"/>
      <c r="AT202" s="42"/>
      <c r="AU202" s="42"/>
      <c r="AV202" s="42"/>
      <c r="AW202" s="42"/>
      <c r="AX202" s="42"/>
      <c r="AY202" s="42"/>
      <c r="AZ202" s="42"/>
    </row>
    <row r="203" spans="1:52" ht="20.100000000000001" customHeight="1" x14ac:dyDescent="0.25">
      <c r="A203" s="39">
        <v>202</v>
      </c>
      <c r="B203" s="40"/>
      <c r="C203" s="18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spans="1:52" ht="20.100000000000001" customHeight="1" x14ac:dyDescent="0.25">
      <c r="A204" s="39">
        <v>203</v>
      </c>
      <c r="B204" s="40"/>
      <c r="C204" s="18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/>
      <c r="AS204" s="42"/>
      <c r="AT204" s="42"/>
      <c r="AU204" s="42"/>
      <c r="AV204" s="42"/>
      <c r="AW204" s="42"/>
      <c r="AX204" s="42"/>
      <c r="AY204" s="42"/>
      <c r="AZ204" s="42"/>
    </row>
    <row r="205" spans="1:52" ht="20.100000000000001" customHeight="1" x14ac:dyDescent="0.25">
      <c r="A205" s="39">
        <v>204</v>
      </c>
      <c r="B205" s="40"/>
      <c r="C205" s="18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/>
      <c r="AS205" s="42"/>
      <c r="AT205" s="42"/>
      <c r="AU205" s="42"/>
      <c r="AV205" s="42"/>
      <c r="AW205" s="42"/>
      <c r="AX205" s="42"/>
      <c r="AY205" s="42"/>
      <c r="AZ205" s="42"/>
    </row>
    <row r="206" spans="1:52" ht="20.100000000000001" customHeight="1" x14ac:dyDescent="0.25">
      <c r="A206" s="39">
        <v>205</v>
      </c>
      <c r="B206" s="40"/>
      <c r="C206" s="18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spans="1:52" ht="20.100000000000001" customHeight="1" x14ac:dyDescent="0.25">
      <c r="A207" s="39">
        <v>206</v>
      </c>
      <c r="B207" s="40"/>
      <c r="C207" s="18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/>
      <c r="AS207" s="42"/>
      <c r="AT207" s="42"/>
      <c r="AU207" s="42"/>
      <c r="AV207" s="42"/>
      <c r="AW207" s="42"/>
      <c r="AX207" s="42"/>
      <c r="AY207" s="42"/>
      <c r="AZ207" s="42"/>
    </row>
    <row r="208" spans="1:52" ht="20.100000000000001" customHeight="1" x14ac:dyDescent="0.25">
      <c r="A208" s="39">
        <v>207</v>
      </c>
      <c r="B208" s="40"/>
      <c r="C208" s="18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/>
      <c r="AS208" s="42"/>
      <c r="AT208" s="42"/>
      <c r="AU208" s="42"/>
      <c r="AV208" s="42"/>
      <c r="AW208" s="42"/>
      <c r="AX208" s="42"/>
      <c r="AY208" s="42"/>
      <c r="AZ208" s="42"/>
    </row>
    <row r="209" spans="1:52" ht="20.100000000000001" customHeight="1" x14ac:dyDescent="0.25">
      <c r="A209" s="39">
        <v>208</v>
      </c>
      <c r="B209" s="40"/>
      <c r="C209" s="18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/>
      <c r="AT209" s="42"/>
      <c r="AU209" s="42"/>
      <c r="AV209" s="42"/>
      <c r="AW209" s="42"/>
      <c r="AX209" s="42"/>
      <c r="AY209" s="42"/>
      <c r="AZ209" s="42"/>
    </row>
    <row r="210" spans="1:52" ht="20.100000000000001" customHeight="1" x14ac:dyDescent="0.25">
      <c r="A210" s="39">
        <v>209</v>
      </c>
      <c r="B210" s="40"/>
      <c r="C210" s="18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/>
      <c r="AS210" s="42"/>
      <c r="AT210" s="42"/>
      <c r="AU210" s="42"/>
      <c r="AV210" s="42"/>
      <c r="AW210" s="42"/>
      <c r="AX210" s="42"/>
      <c r="AY210" s="42"/>
      <c r="AZ210" s="42"/>
    </row>
    <row r="211" spans="1:52" ht="20.100000000000001" customHeight="1" x14ac:dyDescent="0.25">
      <c r="A211" s="39">
        <v>210</v>
      </c>
      <c r="B211" s="40"/>
      <c r="C211" s="18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/>
      <c r="AU211" s="42"/>
      <c r="AV211" s="42"/>
      <c r="AW211" s="42"/>
      <c r="AX211" s="42"/>
      <c r="AY211" s="42"/>
      <c r="AZ211" s="42"/>
    </row>
    <row r="212" spans="1:52" ht="20.100000000000001" customHeight="1" x14ac:dyDescent="0.25">
      <c r="A212" s="39">
        <v>211</v>
      </c>
      <c r="B212" s="40"/>
      <c r="C212" s="18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/>
      <c r="AS212" s="42"/>
      <c r="AT212" s="42"/>
      <c r="AU212" s="42"/>
      <c r="AV212" s="42"/>
      <c r="AW212" s="42"/>
      <c r="AX212" s="42"/>
      <c r="AY212" s="42"/>
      <c r="AZ212" s="42"/>
    </row>
    <row r="213" spans="1:52" ht="20.100000000000001" customHeight="1" x14ac:dyDescent="0.25">
      <c r="A213" s="39">
        <v>212</v>
      </c>
      <c r="B213" s="40"/>
      <c r="C213" s="18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spans="1:52" ht="20.100000000000001" customHeight="1" x14ac:dyDescent="0.25">
      <c r="A214" s="39">
        <v>213</v>
      </c>
      <c r="B214" s="40"/>
      <c r="C214" s="18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/>
      <c r="AV214" s="42"/>
      <c r="AW214" s="42"/>
      <c r="AX214" s="42"/>
      <c r="AY214" s="42"/>
      <c r="AZ214" s="42"/>
    </row>
    <row r="215" spans="1:52" ht="20.100000000000001" customHeight="1" x14ac:dyDescent="0.25">
      <c r="A215" s="39">
        <v>214</v>
      </c>
      <c r="B215" s="40"/>
      <c r="C215" s="18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/>
      <c r="AV215" s="42"/>
      <c r="AW215" s="42"/>
      <c r="AX215" s="42"/>
      <c r="AY215" s="42"/>
      <c r="AZ215" s="42"/>
    </row>
    <row r="216" spans="1:52" ht="20.100000000000001" customHeight="1" x14ac:dyDescent="0.25">
      <c r="A216" s="39">
        <v>215</v>
      </c>
      <c r="B216" s="40"/>
      <c r="C216" s="18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spans="1:52" ht="20.100000000000001" customHeight="1" x14ac:dyDescent="0.25">
      <c r="A217" s="39">
        <v>216</v>
      </c>
      <c r="B217" s="40"/>
      <c r="C217" s="18"/>
      <c r="D217" s="17"/>
      <c r="E217" s="17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/>
      <c r="AV217" s="42"/>
      <c r="AW217" s="42"/>
      <c r="AX217" s="42"/>
      <c r="AY217" s="42"/>
      <c r="AZ217" s="42"/>
    </row>
    <row r="218" spans="1:52" ht="20.100000000000001" customHeight="1" x14ac:dyDescent="0.25">
      <c r="A218" s="39">
        <v>217</v>
      </c>
      <c r="B218" s="40"/>
      <c r="C218" s="18"/>
      <c r="D218" s="17"/>
      <c r="E218" s="17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/>
      <c r="AV218" s="42"/>
      <c r="AW218" s="42"/>
      <c r="AX218" s="42"/>
      <c r="AY218" s="42"/>
      <c r="AZ218" s="42"/>
    </row>
    <row r="219" spans="1:52" ht="20.100000000000001" customHeight="1" x14ac:dyDescent="0.25">
      <c r="A219" s="39">
        <v>218</v>
      </c>
      <c r="B219" s="40"/>
      <c r="C219" s="18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spans="1:52" ht="20.100000000000001" customHeight="1" x14ac:dyDescent="0.25">
      <c r="A220" s="39">
        <v>219</v>
      </c>
      <c r="B220" s="40"/>
      <c r="C220" s="18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/>
      <c r="AV220" s="42"/>
      <c r="AW220" s="42"/>
      <c r="AX220" s="42"/>
      <c r="AY220" s="42"/>
      <c r="AZ220" s="42"/>
    </row>
    <row r="221" spans="1:52" ht="20.100000000000001" customHeight="1" x14ac:dyDescent="0.25">
      <c r="A221" s="39">
        <v>220</v>
      </c>
      <c r="B221" s="40"/>
      <c r="C221" s="18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/>
      <c r="AV221" s="42"/>
      <c r="AW221" s="42"/>
      <c r="AX221" s="42"/>
      <c r="AY221" s="42"/>
      <c r="AZ221" s="42"/>
    </row>
    <row r="222" spans="1:52" ht="20.100000000000001" customHeight="1" x14ac:dyDescent="0.25">
      <c r="A222" s="39">
        <v>221</v>
      </c>
      <c r="B222" s="40"/>
      <c r="C222" s="18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spans="1:52" ht="20.100000000000001" customHeight="1" x14ac:dyDescent="0.25">
      <c r="A223" s="39">
        <v>222</v>
      </c>
      <c r="B223" s="40"/>
      <c r="C223" s="18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/>
      <c r="AV223" s="42"/>
      <c r="AW223" s="42"/>
      <c r="AX223" s="42"/>
      <c r="AY223" s="42"/>
      <c r="AZ223" s="42"/>
    </row>
    <row r="224" spans="1:52" ht="20.100000000000001" customHeight="1" x14ac:dyDescent="0.25">
      <c r="A224" s="39">
        <v>223</v>
      </c>
      <c r="B224" s="40"/>
      <c r="C224" s="18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/>
      <c r="AV224" s="42"/>
      <c r="AW224" s="42"/>
      <c r="AX224" s="42"/>
      <c r="AY224" s="42"/>
      <c r="AZ224" s="42"/>
    </row>
    <row r="225" spans="1:52" ht="20.100000000000001" customHeight="1" x14ac:dyDescent="0.25">
      <c r="A225" s="39">
        <v>224</v>
      </c>
      <c r="B225" s="40"/>
      <c r="C225" s="18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/>
      <c r="AV225" s="42"/>
      <c r="AW225" s="42"/>
      <c r="AX225" s="42"/>
      <c r="AY225" s="42"/>
      <c r="AZ225" s="42"/>
    </row>
    <row r="226" spans="1:52" ht="20.100000000000001" customHeight="1" x14ac:dyDescent="0.25">
      <c r="A226" s="39">
        <v>225</v>
      </c>
      <c r="B226" s="40"/>
      <c r="C226" s="18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/>
      <c r="AV226" s="42"/>
      <c r="AW226" s="42"/>
      <c r="AX226" s="42"/>
      <c r="AY226" s="42"/>
      <c r="AZ226" s="42"/>
    </row>
    <row r="227" spans="1:52" ht="20.100000000000001" customHeight="1" x14ac:dyDescent="0.25">
      <c r="A227" s="39">
        <v>226</v>
      </c>
      <c r="B227" s="40"/>
      <c r="C227" s="18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/>
      <c r="AV227" s="42"/>
      <c r="AW227" s="42"/>
      <c r="AX227" s="42"/>
      <c r="AY227" s="42"/>
      <c r="AZ227" s="42"/>
    </row>
    <row r="228" spans="1:52" ht="20.100000000000001" customHeight="1" x14ac:dyDescent="0.25">
      <c r="A228" s="39">
        <v>227</v>
      </c>
      <c r="B228" s="40"/>
      <c r="C228" s="18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spans="1:52" ht="20.100000000000001" customHeight="1" x14ac:dyDescent="0.25">
      <c r="A229" s="39">
        <v>228</v>
      </c>
      <c r="B229" s="40"/>
      <c r="C229" s="18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/>
      <c r="AV229" s="42"/>
      <c r="AW229" s="42"/>
      <c r="AX229" s="42"/>
      <c r="AY229" s="42"/>
      <c r="AZ229" s="42"/>
    </row>
    <row r="230" spans="1:52" ht="20.100000000000001" customHeight="1" x14ac:dyDescent="0.25">
      <c r="A230" s="39">
        <v>229</v>
      </c>
      <c r="B230" s="40"/>
      <c r="C230" s="18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/>
      <c r="AV230" s="42"/>
      <c r="AW230" s="42"/>
      <c r="AX230" s="42"/>
      <c r="AY230" s="42"/>
      <c r="AZ230" s="42"/>
    </row>
    <row r="231" spans="1:52" ht="20.100000000000001" customHeight="1" x14ac:dyDescent="0.25">
      <c r="A231" s="39">
        <v>230</v>
      </c>
      <c r="B231" s="40"/>
      <c r="C231" s="18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/>
      <c r="AV231" s="42"/>
      <c r="AW231" s="42"/>
      <c r="AX231" s="42"/>
      <c r="AY231" s="42"/>
      <c r="AZ231" s="42"/>
    </row>
    <row r="232" spans="1:52" ht="20.100000000000001" customHeight="1" x14ac:dyDescent="0.25">
      <c r="A232" s="39">
        <v>231</v>
      </c>
      <c r="B232" s="40"/>
      <c r="C232" s="18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spans="1:52" ht="20.100000000000001" customHeight="1" x14ac:dyDescent="0.25">
      <c r="A233" s="39">
        <v>232</v>
      </c>
      <c r="B233" s="40"/>
      <c r="C233" s="18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/>
      <c r="AV233" s="42"/>
      <c r="AW233" s="42"/>
      <c r="AX233" s="42"/>
      <c r="AY233" s="42"/>
      <c r="AZ233" s="42"/>
    </row>
    <row r="234" spans="1:52" ht="20.100000000000001" customHeight="1" x14ac:dyDescent="0.25">
      <c r="A234" s="39">
        <v>233</v>
      </c>
      <c r="B234" s="40"/>
      <c r="C234" s="18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/>
      <c r="AY234" s="42"/>
      <c r="AZ234" s="42"/>
    </row>
    <row r="235" spans="1:52" ht="20.100000000000001" customHeight="1" x14ac:dyDescent="0.25">
      <c r="A235" s="39">
        <v>234</v>
      </c>
      <c r="B235" s="40"/>
      <c r="C235" s="18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spans="1:52" ht="20.100000000000001" customHeight="1" x14ac:dyDescent="0.25">
      <c r="A236" s="39">
        <v>235</v>
      </c>
      <c r="B236" s="40"/>
      <c r="C236" s="18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</sheetData>
  <autoFilter ref="A1:AZ236"/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296"/>
  <sheetViews>
    <sheetView zoomScaleNormal="100" workbookViewId="0">
      <pane xSplit="2" ySplit="1" topLeftCell="S2" activePane="bottomRight" state="frozen"/>
      <selection pane="topRight" activeCell="C1" sqref="C1"/>
      <selection pane="bottomLeft" activeCell="A2" sqref="A2"/>
      <selection pane="bottomRight" activeCell="AX234" sqref="AX234:AX235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324</v>
      </c>
      <c r="D1" s="54" t="s">
        <v>326</v>
      </c>
      <c r="E1" s="54" t="s">
        <v>329</v>
      </c>
      <c r="F1" s="54" t="s">
        <v>332</v>
      </c>
      <c r="G1" s="54" t="s">
        <v>884</v>
      </c>
      <c r="H1" s="54" t="s">
        <v>338</v>
      </c>
      <c r="I1" s="54" t="s">
        <v>341</v>
      </c>
      <c r="J1" s="54" t="s">
        <v>343</v>
      </c>
      <c r="K1" s="54" t="s">
        <v>356</v>
      </c>
      <c r="L1" s="54" t="s">
        <v>359</v>
      </c>
      <c r="M1" s="54" t="s">
        <v>363</v>
      </c>
      <c r="N1" s="54" t="s">
        <v>348</v>
      </c>
      <c r="O1" s="54" t="s">
        <v>351</v>
      </c>
      <c r="P1" s="54" t="s">
        <v>353</v>
      </c>
      <c r="Q1" s="55" t="s">
        <v>365</v>
      </c>
      <c r="R1" s="55" t="s">
        <v>368</v>
      </c>
      <c r="S1" s="55" t="s">
        <v>371</v>
      </c>
      <c r="T1" s="57" t="s">
        <v>376</v>
      </c>
      <c r="U1" s="57" t="s">
        <v>374</v>
      </c>
      <c r="V1" s="57" t="s">
        <v>379</v>
      </c>
      <c r="W1" s="57" t="s">
        <v>382</v>
      </c>
      <c r="X1" s="57" t="s">
        <v>388</v>
      </c>
      <c r="Y1" s="57" t="s">
        <v>385</v>
      </c>
      <c r="Z1" s="1" t="s">
        <v>391</v>
      </c>
      <c r="AA1" s="1" t="s">
        <v>393</v>
      </c>
      <c r="AB1" s="1" t="s">
        <v>396</v>
      </c>
      <c r="AC1" s="1" t="s">
        <v>1027</v>
      </c>
      <c r="AD1" s="1" t="s">
        <v>399</v>
      </c>
      <c r="AE1" s="1" t="s">
        <v>401</v>
      </c>
      <c r="AF1" s="1" t="s">
        <v>403</v>
      </c>
      <c r="AG1" s="1" t="s">
        <v>1028</v>
      </c>
      <c r="AH1" s="1" t="s">
        <v>666</v>
      </c>
      <c r="AI1" s="1" t="s">
        <v>1029</v>
      </c>
      <c r="AJ1" s="1" t="s">
        <v>418</v>
      </c>
      <c r="AK1" s="1" t="s">
        <v>422</v>
      </c>
      <c r="AL1" s="1" t="s">
        <v>679</v>
      </c>
      <c r="AM1" s="1" t="s">
        <v>1030</v>
      </c>
      <c r="AN1" s="1" t="s">
        <v>431</v>
      </c>
      <c r="AO1" s="1" t="s">
        <v>434</v>
      </c>
      <c r="AP1" s="1" t="s">
        <v>458</v>
      </c>
      <c r="AQ1" s="1" t="s">
        <v>460</v>
      </c>
      <c r="AR1" s="1" t="s">
        <v>463</v>
      </c>
      <c r="AS1" s="1" t="s">
        <v>465</v>
      </c>
      <c r="AT1" s="1" t="s">
        <v>468</v>
      </c>
      <c r="AU1" s="1" t="s">
        <v>439</v>
      </c>
      <c r="AV1" s="1" t="s">
        <v>442</v>
      </c>
      <c r="AW1" s="1" t="s">
        <v>447</v>
      </c>
      <c r="AX1" s="1" t="s">
        <v>449</v>
      </c>
      <c r="AY1" s="1" t="s">
        <v>452</v>
      </c>
      <c r="AZ1" s="1" t="s">
        <v>455</v>
      </c>
    </row>
    <row r="2" spans="1:52" ht="20.100000000000001" customHeight="1" x14ac:dyDescent="0.25">
      <c r="A2" s="39">
        <v>1</v>
      </c>
      <c r="B2" s="48" t="s">
        <v>1224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/>
      <c r="S2" s="56"/>
      <c r="T2" s="58"/>
      <c r="U2" s="58"/>
      <c r="V2" s="58"/>
      <c r="W2" s="58"/>
      <c r="X2" s="58"/>
      <c r="Y2" s="58"/>
      <c r="Z2" s="42" t="s">
        <v>1244</v>
      </c>
      <c r="AA2" s="42"/>
      <c r="AB2" s="42" t="s">
        <v>1244</v>
      </c>
      <c r="AC2" s="42"/>
      <c r="AD2" s="42" t="s">
        <v>1244</v>
      </c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1225</v>
      </c>
      <c r="C3" s="16"/>
      <c r="D3" s="17"/>
      <c r="E3" s="17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56"/>
      <c r="R3" s="56"/>
      <c r="S3" s="56"/>
      <c r="T3" s="58"/>
      <c r="U3" s="58"/>
      <c r="V3" s="58"/>
      <c r="W3" s="58"/>
      <c r="X3" s="58"/>
      <c r="Y3" s="58"/>
      <c r="Z3" s="42" t="s">
        <v>1245</v>
      </c>
      <c r="AA3" s="42"/>
      <c r="AB3" s="42" t="s">
        <v>1245</v>
      </c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1226</v>
      </c>
      <c r="C4" s="16"/>
      <c r="D4" s="17"/>
      <c r="E4" s="17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 t="s">
        <v>1246</v>
      </c>
      <c r="AA4" s="42"/>
      <c r="AB4" s="42" t="s">
        <v>1246</v>
      </c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1227</v>
      </c>
      <c r="C5" s="16"/>
      <c r="D5" s="17"/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 t="s">
        <v>1247</v>
      </c>
      <c r="AA5" s="42"/>
      <c r="AB5" s="42" t="s">
        <v>1247</v>
      </c>
      <c r="AC5" s="42"/>
      <c r="AD5" s="42"/>
      <c r="AE5" s="42"/>
      <c r="AF5" s="42" t="s">
        <v>1247</v>
      </c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1228</v>
      </c>
      <c r="C6" s="16"/>
      <c r="D6" s="17"/>
      <c r="E6" s="17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 t="s">
        <v>1248</v>
      </c>
      <c r="AA6" s="42"/>
      <c r="AB6" s="42" t="s">
        <v>1248</v>
      </c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1229</v>
      </c>
      <c r="C7" s="16"/>
      <c r="D7" s="17"/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/>
      <c r="X7" s="58"/>
      <c r="Y7" s="58"/>
      <c r="Z7" s="42" t="s">
        <v>1249</v>
      </c>
      <c r="AA7" s="42"/>
      <c r="AB7" s="42" t="s">
        <v>1249</v>
      </c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</row>
    <row r="8" spans="1:52" ht="20.100000000000001" customHeight="1" x14ac:dyDescent="0.25">
      <c r="A8" s="39">
        <v>7</v>
      </c>
      <c r="B8" s="48" t="s">
        <v>1230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 t="s">
        <v>1250</v>
      </c>
      <c r="AA8" s="42"/>
      <c r="AB8" s="42" t="s">
        <v>1250</v>
      </c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1231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56"/>
      <c r="R9" s="56"/>
      <c r="S9" s="56"/>
      <c r="T9" s="58"/>
      <c r="U9" s="58"/>
      <c r="V9" s="58"/>
      <c r="W9" s="58"/>
      <c r="X9" s="58"/>
      <c r="Y9" s="58"/>
      <c r="Z9" s="42" t="s">
        <v>1251</v>
      </c>
      <c r="AA9" s="42"/>
      <c r="AB9" s="42" t="s">
        <v>1251</v>
      </c>
      <c r="AC9" s="42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</row>
    <row r="10" spans="1:52" ht="20.100000000000001" customHeight="1" x14ac:dyDescent="0.25">
      <c r="A10" s="39">
        <v>9</v>
      </c>
      <c r="B10" s="48" t="s">
        <v>1232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/>
      <c r="X10" s="58"/>
      <c r="Y10" s="58"/>
      <c r="Z10" s="42" t="s">
        <v>1252</v>
      </c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1233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/>
      <c r="X11" s="58"/>
      <c r="Y11" s="58"/>
      <c r="Z11" s="42" t="s">
        <v>1253</v>
      </c>
      <c r="AA11" s="42"/>
      <c r="AB11" s="42" t="s">
        <v>1253</v>
      </c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</row>
    <row r="12" spans="1:52" ht="20.100000000000001" customHeight="1" x14ac:dyDescent="0.25">
      <c r="A12" s="39">
        <v>11</v>
      </c>
      <c r="B12" s="48" t="s">
        <v>1234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 t="s">
        <v>1254</v>
      </c>
      <c r="AA12" s="42"/>
      <c r="AB12" s="42" t="s">
        <v>1254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1235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 t="s">
        <v>1255</v>
      </c>
      <c r="AA13" s="42"/>
      <c r="AB13" s="42" t="s">
        <v>1255</v>
      </c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1236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/>
      <c r="T14" s="58"/>
      <c r="U14" s="58"/>
      <c r="V14" s="58"/>
      <c r="W14" s="58"/>
      <c r="X14" s="58"/>
      <c r="Y14" s="58"/>
      <c r="Z14" s="42" t="s">
        <v>1256</v>
      </c>
      <c r="AA14" s="42"/>
      <c r="AB14" s="42" t="s">
        <v>1256</v>
      </c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1237</v>
      </c>
      <c r="C15" s="16"/>
      <c r="D15" s="17"/>
      <c r="E15" s="17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 t="s">
        <v>1257</v>
      </c>
      <c r="AA15" s="42"/>
      <c r="AB15" s="42" t="s">
        <v>1257</v>
      </c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1238</v>
      </c>
      <c r="C16" s="16"/>
      <c r="D16" s="17"/>
      <c r="E16" s="17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/>
      <c r="X16" s="58"/>
      <c r="Y16" s="58"/>
      <c r="Z16" s="42" t="s">
        <v>1258</v>
      </c>
      <c r="AA16" s="42"/>
      <c r="AB16" s="42" t="s">
        <v>1258</v>
      </c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</row>
    <row r="17" spans="1:52" ht="20.100000000000001" customHeight="1" x14ac:dyDescent="0.25">
      <c r="A17" s="39">
        <v>16</v>
      </c>
      <c r="B17" s="48" t="s">
        <v>1239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 t="s">
        <v>1259</v>
      </c>
      <c r="AA17" s="42"/>
      <c r="AB17" s="42" t="s">
        <v>1259</v>
      </c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1240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56"/>
      <c r="R18" s="56"/>
      <c r="S18" s="56"/>
      <c r="T18" s="58"/>
      <c r="U18" s="58"/>
      <c r="V18" s="58"/>
      <c r="W18" s="58"/>
      <c r="X18" s="58"/>
      <c r="Y18" s="58"/>
      <c r="Z18" s="42" t="s">
        <v>1260</v>
      </c>
      <c r="AA18" s="42"/>
      <c r="AB18" s="42" t="s">
        <v>1260</v>
      </c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1241</v>
      </c>
      <c r="C19" s="16"/>
      <c r="D19" s="17"/>
      <c r="E19" s="17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 t="s">
        <v>1261</v>
      </c>
      <c r="AA19" s="42"/>
      <c r="AB19" s="42" t="s">
        <v>1261</v>
      </c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1099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 t="s">
        <v>1262</v>
      </c>
      <c r="AA20" s="42"/>
      <c r="AB20" s="42" t="s">
        <v>1262</v>
      </c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1242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 t="s">
        <v>1263</v>
      </c>
      <c r="AA21" s="42"/>
      <c r="AB21" s="42" t="s">
        <v>1263</v>
      </c>
      <c r="AC21" s="42"/>
      <c r="AD21" s="42" t="s">
        <v>1263</v>
      </c>
      <c r="AE21" s="42"/>
      <c r="AF21" s="42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1243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/>
      <c r="S22" s="56"/>
      <c r="T22" s="58"/>
      <c r="U22" s="58"/>
      <c r="V22" s="58"/>
      <c r="W22" s="58"/>
      <c r="X22" s="58"/>
      <c r="Y22" s="58"/>
      <c r="Z22" s="42" t="s">
        <v>1263</v>
      </c>
      <c r="AA22" s="42"/>
      <c r="AB22" s="42" t="s">
        <v>1263</v>
      </c>
      <c r="AC22" s="42"/>
      <c r="AD22" s="42" t="s">
        <v>1263</v>
      </c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1264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 t="s">
        <v>1272</v>
      </c>
      <c r="AA23" s="42"/>
      <c r="AB23" s="42" t="s">
        <v>1272</v>
      </c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1265</v>
      </c>
      <c r="C24" s="16"/>
      <c r="D24" s="17"/>
      <c r="E24" s="17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56"/>
      <c r="R24" s="56"/>
      <c r="S24" s="56"/>
      <c r="T24" s="58"/>
      <c r="U24" s="58"/>
      <c r="V24" s="58"/>
      <c r="W24" s="58"/>
      <c r="X24" s="58"/>
      <c r="Y24" s="58"/>
      <c r="Z24" s="42" t="s">
        <v>1273</v>
      </c>
      <c r="AA24" s="42"/>
      <c r="AB24" s="42" t="s">
        <v>1273</v>
      </c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1266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/>
      <c r="Y25" s="58"/>
      <c r="Z25" s="42" t="s">
        <v>1274</v>
      </c>
      <c r="AA25" s="42"/>
      <c r="AB25" s="42" t="s">
        <v>1274</v>
      </c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1267</v>
      </c>
      <c r="C26" s="16"/>
      <c r="D26" s="17"/>
      <c r="E26" s="17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 t="s">
        <v>1275</v>
      </c>
      <c r="AA26" s="42"/>
      <c r="AB26" s="42" t="s">
        <v>1275</v>
      </c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1268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/>
      <c r="R27" s="56"/>
      <c r="S27" s="56"/>
      <c r="T27" s="58"/>
      <c r="U27" s="58"/>
      <c r="V27" s="58"/>
      <c r="W27" s="58"/>
      <c r="X27" s="58"/>
      <c r="Y27" s="58"/>
      <c r="Z27" s="42" t="s">
        <v>1276</v>
      </c>
      <c r="AA27" s="42"/>
      <c r="AB27" s="42" t="s">
        <v>1276</v>
      </c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1269</v>
      </c>
      <c r="C28" s="16"/>
      <c r="D28" s="17"/>
      <c r="E28" s="17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 t="s">
        <v>1277</v>
      </c>
      <c r="AA28" s="42"/>
      <c r="AB28" s="42" t="s">
        <v>1277</v>
      </c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656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/>
      <c r="T29" s="58"/>
      <c r="U29" s="58"/>
      <c r="V29" s="58"/>
      <c r="W29" s="58"/>
      <c r="X29" s="58"/>
      <c r="Y29" s="58"/>
      <c r="Z29" s="42" t="s">
        <v>1278</v>
      </c>
      <c r="AA29" s="42"/>
      <c r="AB29" s="42" t="s">
        <v>1278</v>
      </c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1270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/>
      <c r="X30" s="58"/>
      <c r="Y30" s="58"/>
      <c r="Z30" s="42" t="s">
        <v>1279</v>
      </c>
      <c r="AA30" s="42" t="s">
        <v>1279</v>
      </c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266</v>
      </c>
      <c r="C31" s="16"/>
      <c r="D31" s="17"/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 t="s">
        <v>1280</v>
      </c>
      <c r="AA31" s="42" t="s">
        <v>1280</v>
      </c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280</v>
      </c>
      <c r="C32" s="16"/>
      <c r="D32" s="17"/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 t="s">
        <v>1281</v>
      </c>
      <c r="AA32" s="42" t="s">
        <v>1281</v>
      </c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270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/>
      <c r="Z33" s="42" t="s">
        <v>1281</v>
      </c>
      <c r="AA33" s="42" t="s">
        <v>1281</v>
      </c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1271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 t="s">
        <v>1282</v>
      </c>
      <c r="AA34" s="42" t="s">
        <v>1282</v>
      </c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1283</v>
      </c>
      <c r="C35" s="16"/>
      <c r="D35" s="17"/>
      <c r="E35" s="17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 t="s">
        <v>1244</v>
      </c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1284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 t="s">
        <v>1245</v>
      </c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1226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 t="s">
        <v>1246</v>
      </c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  <row r="38" spans="1:52" ht="20.100000000000001" customHeight="1" x14ac:dyDescent="0.25">
      <c r="A38" s="39">
        <v>37</v>
      </c>
      <c r="B38" s="48" t="s">
        <v>1285</v>
      </c>
      <c r="C38" s="16"/>
      <c r="D38" s="17"/>
      <c r="E38" s="17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56"/>
      <c r="R38" s="56"/>
      <c r="S38" s="56"/>
      <c r="T38" s="58"/>
      <c r="U38" s="58"/>
      <c r="V38" s="58"/>
      <c r="W38" s="58"/>
      <c r="X38" s="58"/>
      <c r="Y38" s="58"/>
      <c r="Z38" s="42"/>
      <c r="AA38" s="42"/>
      <c r="AB38" s="42"/>
      <c r="AC38" s="42" t="s">
        <v>1247</v>
      </c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</row>
    <row r="39" spans="1:52" ht="20.100000000000001" customHeight="1" x14ac:dyDescent="0.25">
      <c r="A39" s="39">
        <v>38</v>
      </c>
      <c r="B39" s="48" t="s">
        <v>1097</v>
      </c>
      <c r="C39" s="16"/>
      <c r="D39" s="17"/>
      <c r="E39" s="17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56"/>
      <c r="R39" s="56"/>
      <c r="S39" s="56"/>
      <c r="T39" s="58"/>
      <c r="U39" s="58"/>
      <c r="V39" s="58"/>
      <c r="W39" s="58"/>
      <c r="X39" s="58"/>
      <c r="Y39" s="58"/>
      <c r="Z39" s="42"/>
      <c r="AA39" s="42"/>
      <c r="AB39" s="42"/>
      <c r="AC39" s="42" t="s">
        <v>1248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</row>
    <row r="40" spans="1:52" ht="20.100000000000001" customHeight="1" x14ac:dyDescent="0.25">
      <c r="A40" s="39">
        <v>39</v>
      </c>
      <c r="B40" s="48" t="s">
        <v>1229</v>
      </c>
      <c r="C40" s="16"/>
      <c r="D40" s="17"/>
      <c r="E40" s="17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56"/>
      <c r="R40" s="56"/>
      <c r="S40" s="56"/>
      <c r="T40" s="58"/>
      <c r="U40" s="58"/>
      <c r="V40" s="58"/>
      <c r="W40" s="58"/>
      <c r="X40" s="58"/>
      <c r="Y40" s="58"/>
      <c r="Z40" s="42"/>
      <c r="AA40" s="42"/>
      <c r="AB40" s="42"/>
      <c r="AC40" s="42" t="s">
        <v>1289</v>
      </c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</row>
    <row r="41" spans="1:52" ht="20.100000000000001" customHeight="1" x14ac:dyDescent="0.25">
      <c r="A41" s="39">
        <v>40</v>
      </c>
      <c r="B41" s="48" t="s">
        <v>1230</v>
      </c>
      <c r="C41" s="16"/>
      <c r="D41" s="17"/>
      <c r="E41" s="17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56"/>
      <c r="R41" s="56"/>
      <c r="S41" s="56"/>
      <c r="T41" s="58"/>
      <c r="U41" s="58"/>
      <c r="V41" s="58"/>
      <c r="W41" s="58"/>
      <c r="X41" s="58"/>
      <c r="Y41" s="58"/>
      <c r="Z41" s="42"/>
      <c r="AA41" s="42"/>
      <c r="AB41" s="42"/>
      <c r="AC41" s="42" t="s">
        <v>1250</v>
      </c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</row>
    <row r="42" spans="1:52" ht="20.100000000000001" customHeight="1" x14ac:dyDescent="0.25">
      <c r="A42" s="39">
        <v>41</v>
      </c>
      <c r="B42" s="48" t="s">
        <v>1286</v>
      </c>
      <c r="C42" s="16"/>
      <c r="D42" s="17"/>
      <c r="E42" s="17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56"/>
      <c r="R42" s="56"/>
      <c r="S42" s="56"/>
      <c r="T42" s="58"/>
      <c r="U42" s="58"/>
      <c r="V42" s="58"/>
      <c r="W42" s="58"/>
      <c r="X42" s="58"/>
      <c r="Y42" s="58"/>
      <c r="Z42" s="42"/>
      <c r="AA42" s="42"/>
      <c r="AB42" s="42"/>
      <c r="AC42" s="42" t="s">
        <v>1251</v>
      </c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  <c r="AO42" s="42"/>
      <c r="AP42" s="42"/>
      <c r="AQ42" s="42"/>
      <c r="AR42" s="42"/>
      <c r="AS42" s="42"/>
      <c r="AT42" s="42"/>
      <c r="AU42" s="42"/>
      <c r="AV42" s="42"/>
      <c r="AW42" s="42"/>
      <c r="AX42" s="42"/>
      <c r="AY42" s="42"/>
      <c r="AZ42" s="42"/>
    </row>
    <row r="43" spans="1:52" ht="20.100000000000001" customHeight="1" x14ac:dyDescent="0.25">
      <c r="A43" s="39">
        <v>42</v>
      </c>
      <c r="B43" s="48" t="s">
        <v>1232</v>
      </c>
      <c r="C43" s="16"/>
      <c r="D43" s="17"/>
      <c r="E43" s="17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56"/>
      <c r="R43" s="56"/>
      <c r="S43" s="56"/>
      <c r="T43" s="58"/>
      <c r="U43" s="58"/>
      <c r="V43" s="58"/>
      <c r="W43" s="58"/>
      <c r="X43" s="58"/>
      <c r="Y43" s="58"/>
      <c r="Z43" s="42"/>
      <c r="AA43" s="42"/>
      <c r="AB43" s="42"/>
      <c r="AC43" s="42" t="s">
        <v>1290</v>
      </c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</row>
    <row r="44" spans="1:52" ht="20.100000000000001" customHeight="1" x14ac:dyDescent="0.25">
      <c r="A44" s="39">
        <v>43</v>
      </c>
      <c r="B44" s="48" t="s">
        <v>1233</v>
      </c>
      <c r="C44" s="16"/>
      <c r="D44" s="17"/>
      <c r="E44" s="17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56"/>
      <c r="R44" s="56"/>
      <c r="S44" s="56"/>
      <c r="T44" s="58"/>
      <c r="U44" s="58"/>
      <c r="V44" s="58"/>
      <c r="W44" s="58"/>
      <c r="X44" s="58"/>
      <c r="Y44" s="58"/>
      <c r="Z44" s="42"/>
      <c r="AA44" s="42"/>
      <c r="AB44" s="42" t="s">
        <v>1291</v>
      </c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</row>
    <row r="45" spans="1:52" ht="20.100000000000001" customHeight="1" x14ac:dyDescent="0.25">
      <c r="A45" s="39">
        <v>44</v>
      </c>
      <c r="B45" s="48" t="s">
        <v>1287</v>
      </c>
      <c r="C45" s="16"/>
      <c r="D45" s="17"/>
      <c r="E45" s="17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56"/>
      <c r="R45" s="56"/>
      <c r="S45" s="56"/>
      <c r="T45" s="58"/>
      <c r="U45" s="58"/>
      <c r="V45" s="58"/>
      <c r="W45" s="58"/>
      <c r="X45" s="58"/>
      <c r="Y45" s="58"/>
      <c r="Z45" s="42"/>
      <c r="AA45" s="42"/>
      <c r="AB45" s="42" t="s">
        <v>1292</v>
      </c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</row>
    <row r="46" spans="1:52" ht="20.100000000000001" customHeight="1" x14ac:dyDescent="0.25">
      <c r="A46" s="39">
        <v>45</v>
      </c>
      <c r="B46" s="48" t="s">
        <v>1235</v>
      </c>
      <c r="C46" s="16"/>
      <c r="D46" s="17"/>
      <c r="E46" s="17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56"/>
      <c r="R46" s="56"/>
      <c r="S46" s="56"/>
      <c r="T46" s="58"/>
      <c r="U46" s="58"/>
      <c r="V46" s="58"/>
      <c r="W46" s="58"/>
      <c r="X46" s="58"/>
      <c r="Y46" s="58"/>
      <c r="Z46" s="42"/>
      <c r="AA46" s="42"/>
      <c r="AB46" s="42" t="s">
        <v>1255</v>
      </c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</row>
    <row r="47" spans="1:52" ht="20.100000000000001" customHeight="1" x14ac:dyDescent="0.25">
      <c r="A47" s="39">
        <v>46</v>
      </c>
      <c r="B47" s="48" t="s">
        <v>1288</v>
      </c>
      <c r="C47" s="16"/>
      <c r="D47" s="17"/>
      <c r="E47" s="17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56"/>
      <c r="R47" s="56"/>
      <c r="S47" s="56"/>
      <c r="T47" s="58"/>
      <c r="U47" s="58"/>
      <c r="V47" s="58"/>
      <c r="W47" s="58"/>
      <c r="X47" s="58"/>
      <c r="Y47" s="58"/>
      <c r="Z47" s="42"/>
      <c r="AA47" s="42"/>
      <c r="AB47" s="42"/>
      <c r="AC47" s="42"/>
      <c r="AD47" s="42"/>
      <c r="AE47" s="42"/>
      <c r="AF47" s="42"/>
      <c r="AG47" s="42" t="s">
        <v>1293</v>
      </c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</row>
    <row r="48" spans="1:52" ht="20.100000000000001" customHeight="1" x14ac:dyDescent="0.25">
      <c r="A48" s="39">
        <v>47</v>
      </c>
      <c r="B48" s="48" t="s">
        <v>1294</v>
      </c>
      <c r="C48" s="16"/>
      <c r="D48" s="17"/>
      <c r="E48" s="17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56"/>
      <c r="R48" s="56"/>
      <c r="S48" s="56"/>
      <c r="T48" s="58"/>
      <c r="U48" s="58"/>
      <c r="V48" s="58"/>
      <c r="W48" s="58"/>
      <c r="X48" s="58"/>
      <c r="Y48" s="58"/>
      <c r="Z48" s="42"/>
      <c r="AA48" s="42"/>
      <c r="AB48" s="37" t="s">
        <v>1311</v>
      </c>
      <c r="AC48" s="42"/>
      <c r="AD48" s="42"/>
      <c r="AE48" s="42"/>
      <c r="AF48" s="42"/>
      <c r="AG48" s="42" t="s">
        <v>1311</v>
      </c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</row>
    <row r="49" spans="1:52" ht="20.100000000000001" customHeight="1" x14ac:dyDescent="0.25">
      <c r="A49" s="39">
        <v>48</v>
      </c>
      <c r="B49" s="48" t="s">
        <v>1295</v>
      </c>
      <c r="C49" s="16"/>
      <c r="D49" s="17"/>
      <c r="E49" s="17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56"/>
      <c r="R49" s="56"/>
      <c r="S49" s="56"/>
      <c r="T49" s="58"/>
      <c r="U49" s="58"/>
      <c r="V49" s="58"/>
      <c r="W49" s="58"/>
      <c r="X49" s="58"/>
      <c r="Y49" s="58"/>
      <c r="Z49" s="42"/>
      <c r="AA49" s="42"/>
      <c r="AB49" s="42" t="s">
        <v>1256</v>
      </c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</row>
    <row r="50" spans="1:52" ht="20.100000000000001" customHeight="1" x14ac:dyDescent="0.25">
      <c r="A50" s="39">
        <v>49</v>
      </c>
      <c r="B50" s="48" t="s">
        <v>1296</v>
      </c>
      <c r="C50" s="16"/>
      <c r="D50" s="17"/>
      <c r="E50" s="17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56"/>
      <c r="R50" s="56"/>
      <c r="S50" s="56"/>
      <c r="T50" s="58"/>
      <c r="U50" s="58"/>
      <c r="V50" s="58"/>
      <c r="W50" s="58"/>
      <c r="X50" s="58"/>
      <c r="Y50" s="58"/>
      <c r="Z50" s="42"/>
      <c r="AA50" s="42"/>
      <c r="AB50" s="42" t="s">
        <v>1257</v>
      </c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</row>
    <row r="51" spans="1:52" ht="20.100000000000001" customHeight="1" x14ac:dyDescent="0.25">
      <c r="A51" s="39">
        <v>50</v>
      </c>
      <c r="B51" s="48" t="s">
        <v>1297</v>
      </c>
      <c r="C51" s="16"/>
      <c r="D51" s="17"/>
      <c r="E51" s="17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56"/>
      <c r="R51" s="56"/>
      <c r="S51" s="56"/>
      <c r="T51" s="58"/>
      <c r="U51" s="58"/>
      <c r="V51" s="58"/>
      <c r="W51" s="58"/>
      <c r="X51" s="58"/>
      <c r="Y51" s="58"/>
      <c r="Z51" s="42"/>
      <c r="AA51" s="42"/>
      <c r="AB51" s="42" t="s">
        <v>1312</v>
      </c>
      <c r="AC51" s="42"/>
      <c r="AD51" s="42" t="s">
        <v>1312</v>
      </c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</row>
    <row r="52" spans="1:52" ht="20.100000000000001" customHeight="1" x14ac:dyDescent="0.25">
      <c r="A52" s="39">
        <v>51</v>
      </c>
      <c r="B52" s="48" t="s">
        <v>1298</v>
      </c>
      <c r="C52" s="16"/>
      <c r="D52" s="17"/>
      <c r="E52" s="17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56"/>
      <c r="R52" s="56"/>
      <c r="S52" s="56"/>
      <c r="T52" s="58"/>
      <c r="U52" s="58"/>
      <c r="V52" s="58"/>
      <c r="W52" s="58"/>
      <c r="X52" s="58"/>
      <c r="Y52" s="58"/>
      <c r="Z52" s="42"/>
      <c r="AA52" s="42"/>
      <c r="AB52" s="42" t="s">
        <v>1313</v>
      </c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</row>
    <row r="53" spans="1:52" ht="20.100000000000001" customHeight="1" x14ac:dyDescent="0.25">
      <c r="A53" s="39">
        <v>52</v>
      </c>
      <c r="B53" s="48" t="s">
        <v>1299</v>
      </c>
      <c r="C53" s="16"/>
      <c r="D53" s="17"/>
      <c r="E53" s="17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56"/>
      <c r="R53" s="56"/>
      <c r="S53" s="56"/>
      <c r="T53" s="58"/>
      <c r="U53" s="58"/>
      <c r="V53" s="58"/>
      <c r="W53" s="58"/>
      <c r="X53" s="58"/>
      <c r="Y53" s="58"/>
      <c r="Z53" s="42"/>
      <c r="AA53" s="42"/>
      <c r="AB53" s="42" t="s">
        <v>1259</v>
      </c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</row>
    <row r="54" spans="1:52" ht="20.100000000000001" customHeight="1" x14ac:dyDescent="0.25">
      <c r="A54" s="39">
        <v>53</v>
      </c>
      <c r="B54" s="48" t="s">
        <v>1300</v>
      </c>
      <c r="C54" s="16"/>
      <c r="D54" s="17"/>
      <c r="E54" s="17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56"/>
      <c r="R54" s="56"/>
      <c r="S54" s="56"/>
      <c r="T54" s="58"/>
      <c r="U54" s="58"/>
      <c r="V54" s="58"/>
      <c r="W54" s="58"/>
      <c r="X54" s="58"/>
      <c r="Y54" s="58"/>
      <c r="Z54" s="42"/>
      <c r="AA54" s="42"/>
      <c r="AB54" s="42" t="s">
        <v>1260</v>
      </c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</row>
    <row r="55" spans="1:52" ht="20.100000000000001" customHeight="1" x14ac:dyDescent="0.25">
      <c r="A55" s="39">
        <v>54</v>
      </c>
      <c r="B55" s="48" t="s">
        <v>1301</v>
      </c>
      <c r="C55" s="16"/>
      <c r="D55" s="17"/>
      <c r="E55" s="17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56"/>
      <c r="R55" s="56"/>
      <c r="S55" s="56"/>
      <c r="T55" s="58"/>
      <c r="U55" s="58"/>
      <c r="V55" s="58"/>
      <c r="W55" s="58"/>
      <c r="X55" s="58"/>
      <c r="Y55" s="58"/>
      <c r="Z55" s="42"/>
      <c r="AA55" s="42"/>
      <c r="AB55" s="42" t="s">
        <v>1261</v>
      </c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</row>
    <row r="56" spans="1:52" ht="20.100000000000001" customHeight="1" x14ac:dyDescent="0.25">
      <c r="A56" s="39">
        <v>55</v>
      </c>
      <c r="B56" s="48" t="s">
        <v>1302</v>
      </c>
      <c r="C56" s="16"/>
      <c r="D56" s="17"/>
      <c r="E56" s="17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56"/>
      <c r="R56" s="56"/>
      <c r="S56" s="56"/>
      <c r="T56" s="58"/>
      <c r="U56" s="58"/>
      <c r="V56" s="58"/>
      <c r="W56" s="58"/>
      <c r="X56" s="58"/>
      <c r="Y56" s="58"/>
      <c r="Z56" s="42"/>
      <c r="AA56" s="42"/>
      <c r="AB56" s="42" t="s">
        <v>1314</v>
      </c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</row>
    <row r="57" spans="1:52" ht="20.100000000000001" customHeight="1" x14ac:dyDescent="0.25">
      <c r="A57" s="39">
        <v>56</v>
      </c>
      <c r="B57" s="48" t="s">
        <v>1098</v>
      </c>
      <c r="C57" s="16"/>
      <c r="D57" s="17"/>
      <c r="E57" s="17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56"/>
      <c r="R57" s="56"/>
      <c r="S57" s="56"/>
      <c r="T57" s="58"/>
      <c r="U57" s="58"/>
      <c r="V57" s="58"/>
      <c r="W57" s="58"/>
      <c r="X57" s="58"/>
      <c r="Y57" s="58"/>
      <c r="Z57" s="42"/>
      <c r="AA57" s="42"/>
      <c r="AB57" s="42" t="s">
        <v>1315</v>
      </c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</row>
    <row r="58" spans="1:52" ht="20.100000000000001" customHeight="1" x14ac:dyDescent="0.25">
      <c r="A58" s="39">
        <v>57</v>
      </c>
      <c r="B58" s="48" t="s">
        <v>1303</v>
      </c>
      <c r="C58" s="16"/>
      <c r="D58" s="17"/>
      <c r="E58" s="17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56"/>
      <c r="R58" s="56"/>
      <c r="S58" s="56"/>
      <c r="T58" s="58"/>
      <c r="U58" s="58"/>
      <c r="V58" s="58"/>
      <c r="W58" s="58"/>
      <c r="X58" s="58"/>
      <c r="Y58" s="58"/>
      <c r="Z58" s="42"/>
      <c r="AA58" s="42"/>
      <c r="AB58" s="42" t="s">
        <v>1316</v>
      </c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</row>
    <row r="59" spans="1:52" ht="20.100000000000001" customHeight="1" x14ac:dyDescent="0.25">
      <c r="A59" s="39">
        <v>58</v>
      </c>
      <c r="B59" s="48" t="s">
        <v>1304</v>
      </c>
      <c r="C59" s="16"/>
      <c r="D59" s="17"/>
      <c r="E59" s="17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56"/>
      <c r="R59" s="56"/>
      <c r="S59" s="56"/>
      <c r="T59" s="58"/>
      <c r="U59" s="58"/>
      <c r="V59" s="58"/>
      <c r="W59" s="58"/>
      <c r="X59" s="58"/>
      <c r="Y59" s="58"/>
      <c r="Z59" s="42"/>
      <c r="AA59" s="42"/>
      <c r="AB59" s="42" t="s">
        <v>1317</v>
      </c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spans="1:52" ht="20.100000000000001" customHeight="1" x14ac:dyDescent="0.25">
      <c r="A60" s="39">
        <v>59</v>
      </c>
      <c r="B60" s="40" t="s">
        <v>1099</v>
      </c>
      <c r="C60" s="16"/>
      <c r="D60" s="17"/>
      <c r="E60" s="17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56"/>
      <c r="R60" s="56"/>
      <c r="S60" s="56"/>
      <c r="T60" s="58"/>
      <c r="U60" s="58"/>
      <c r="V60" s="58"/>
      <c r="W60" s="58"/>
      <c r="X60" s="58"/>
      <c r="Y60" s="58"/>
      <c r="Z60" s="42"/>
      <c r="AA60" s="42"/>
      <c r="AB60" s="42" t="s">
        <v>1262</v>
      </c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</row>
    <row r="61" spans="1:52" ht="20.100000000000001" customHeight="1" x14ac:dyDescent="0.25">
      <c r="A61" s="39">
        <v>60</v>
      </c>
      <c r="B61" s="40" t="s">
        <v>1305</v>
      </c>
      <c r="C61" s="16"/>
      <c r="D61" s="17"/>
      <c r="E61" s="17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56"/>
      <c r="R61" s="56"/>
      <c r="S61" s="56"/>
      <c r="T61" s="58"/>
      <c r="U61" s="58"/>
      <c r="V61" s="58"/>
      <c r="W61" s="58"/>
      <c r="X61" s="58"/>
      <c r="Y61" s="58"/>
      <c r="Z61" s="42"/>
      <c r="AA61" s="42"/>
      <c r="AB61" s="42" t="s">
        <v>1318</v>
      </c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</row>
    <row r="62" spans="1:52" ht="20.100000000000001" customHeight="1" x14ac:dyDescent="0.25">
      <c r="A62" s="39">
        <v>61</v>
      </c>
      <c r="B62" s="40" t="s">
        <v>1306</v>
      </c>
      <c r="C62" s="16"/>
      <c r="D62" s="17"/>
      <c r="E62" s="17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56"/>
      <c r="R62" s="56"/>
      <c r="S62" s="56"/>
      <c r="T62" s="58"/>
      <c r="U62" s="58"/>
      <c r="V62" s="58"/>
      <c r="W62" s="58"/>
      <c r="X62" s="58"/>
      <c r="Y62" s="58"/>
      <c r="Z62" s="42"/>
      <c r="AA62" s="42"/>
      <c r="AB62" s="42" t="s">
        <v>1319</v>
      </c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  <c r="AO62" s="42"/>
      <c r="AP62" s="42"/>
      <c r="AQ62" s="42"/>
      <c r="AR62" s="42"/>
      <c r="AS62" s="42"/>
      <c r="AT62" s="42"/>
      <c r="AU62" s="42"/>
      <c r="AV62" s="42"/>
      <c r="AW62" s="42"/>
      <c r="AX62" s="42"/>
      <c r="AY62" s="42"/>
      <c r="AZ62" s="42"/>
    </row>
    <row r="63" spans="1:52" ht="20.100000000000001" customHeight="1" x14ac:dyDescent="0.25">
      <c r="A63" s="39">
        <v>62</v>
      </c>
      <c r="B63" s="40" t="s">
        <v>1100</v>
      </c>
      <c r="C63" s="16"/>
      <c r="D63" s="17"/>
      <c r="E63" s="17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56"/>
      <c r="R63" s="56"/>
      <c r="S63" s="56"/>
      <c r="T63" s="58"/>
      <c r="U63" s="58"/>
      <c r="V63" s="58"/>
      <c r="W63" s="58"/>
      <c r="X63" s="58"/>
      <c r="Y63" s="58"/>
      <c r="Z63" s="42"/>
      <c r="AA63" s="42"/>
      <c r="AB63" s="42" t="s">
        <v>1321</v>
      </c>
      <c r="AC63" s="42"/>
      <c r="AD63" s="42" t="s">
        <v>1321</v>
      </c>
      <c r="AE63" s="42"/>
      <c r="AF63" s="42"/>
      <c r="AG63" s="42" t="s">
        <v>1320</v>
      </c>
      <c r="AH63" s="42"/>
      <c r="AI63" s="42"/>
      <c r="AJ63" s="42"/>
      <c r="AK63" s="42"/>
      <c r="AL63" s="42"/>
      <c r="AM63" s="42"/>
      <c r="AN63" s="42"/>
      <c r="AO63" s="42"/>
      <c r="AP63" s="42"/>
      <c r="AQ63" s="42"/>
      <c r="AR63" s="42"/>
      <c r="AS63" s="42"/>
      <c r="AT63" s="42"/>
      <c r="AU63" s="42"/>
      <c r="AV63" s="42"/>
      <c r="AW63" s="42"/>
      <c r="AX63" s="42"/>
      <c r="AY63" s="42"/>
      <c r="AZ63" s="42"/>
    </row>
    <row r="64" spans="1:52" ht="20.100000000000001" customHeight="1" x14ac:dyDescent="0.25">
      <c r="A64" s="39">
        <v>63</v>
      </c>
      <c r="B64" s="40" t="s">
        <v>1307</v>
      </c>
      <c r="C64" s="16"/>
      <c r="D64" s="17"/>
      <c r="E64" s="17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56"/>
      <c r="R64" s="56"/>
      <c r="S64" s="56"/>
      <c r="T64" s="58"/>
      <c r="U64" s="58"/>
      <c r="V64" s="58"/>
      <c r="W64" s="58"/>
      <c r="X64" s="58"/>
      <c r="Y64" s="58"/>
      <c r="Z64" s="42"/>
      <c r="AA64" s="42"/>
      <c r="AB64" s="42" t="s">
        <v>1263</v>
      </c>
      <c r="AC64" s="42"/>
      <c r="AD64" s="42" t="s">
        <v>1263</v>
      </c>
      <c r="AE64" s="42"/>
      <c r="AF64" s="42"/>
      <c r="AG64" s="42" t="s">
        <v>1263</v>
      </c>
      <c r="AH64" s="42"/>
      <c r="AI64" s="42"/>
      <c r="AJ64" s="42"/>
      <c r="AK64" s="42"/>
      <c r="AL64" s="42"/>
      <c r="AM64" s="42"/>
      <c r="AN64" s="42"/>
      <c r="AO64" s="42"/>
      <c r="AP64" s="42"/>
      <c r="AQ64" s="42"/>
      <c r="AR64" s="42"/>
      <c r="AS64" s="42"/>
      <c r="AT64" s="42"/>
      <c r="AU64" s="42"/>
      <c r="AV64" s="42"/>
      <c r="AW64" s="42"/>
      <c r="AX64" s="42"/>
      <c r="AY64" s="42"/>
      <c r="AZ64" s="42"/>
    </row>
    <row r="65" spans="1:52" ht="20.100000000000001" customHeight="1" x14ac:dyDescent="0.25">
      <c r="A65" s="39">
        <v>64</v>
      </c>
      <c r="B65" s="40" t="s">
        <v>1308</v>
      </c>
      <c r="C65" s="16"/>
      <c r="D65" s="17"/>
      <c r="E65" s="17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56"/>
      <c r="R65" s="56"/>
      <c r="S65" s="56"/>
      <c r="T65" s="58"/>
      <c r="U65" s="58"/>
      <c r="V65" s="58"/>
      <c r="W65" s="58"/>
      <c r="X65" s="58"/>
      <c r="Y65" s="58"/>
      <c r="Z65" s="42"/>
      <c r="AA65" s="42"/>
      <c r="AB65" s="42" t="s">
        <v>1263</v>
      </c>
      <c r="AC65" s="42"/>
      <c r="AD65" s="42" t="s">
        <v>1263</v>
      </c>
      <c r="AE65" s="42"/>
      <c r="AF65" s="42"/>
      <c r="AG65" s="42"/>
      <c r="AH65" s="42"/>
      <c r="AI65" s="42"/>
      <c r="AJ65" s="42"/>
      <c r="AK65" s="42"/>
      <c r="AL65" s="42"/>
      <c r="AM65" s="42"/>
      <c r="AN65" s="42"/>
      <c r="AO65" s="42"/>
      <c r="AP65" s="42"/>
      <c r="AQ65" s="42"/>
      <c r="AR65" s="42"/>
      <c r="AS65" s="42"/>
      <c r="AT65" s="42"/>
      <c r="AU65" s="42"/>
      <c r="AV65" s="42"/>
      <c r="AW65" s="42"/>
      <c r="AX65" s="42"/>
      <c r="AY65" s="42"/>
      <c r="AZ65" s="42"/>
    </row>
    <row r="66" spans="1:52" ht="20.100000000000001" customHeight="1" x14ac:dyDescent="0.25">
      <c r="A66" s="39">
        <v>65</v>
      </c>
      <c r="B66" s="40" t="s">
        <v>1309</v>
      </c>
      <c r="C66" s="16"/>
      <c r="D66" s="17"/>
      <c r="E66" s="17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56"/>
      <c r="R66" s="56"/>
      <c r="S66" s="56"/>
      <c r="T66" s="58"/>
      <c r="U66" s="58"/>
      <c r="V66" s="58"/>
      <c r="W66" s="58"/>
      <c r="X66" s="58"/>
      <c r="Y66" s="58"/>
      <c r="Z66" s="42"/>
      <c r="AA66" s="42"/>
      <c r="AB66" s="42" t="s">
        <v>1322</v>
      </c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</row>
    <row r="67" spans="1:52" ht="20.100000000000001" customHeight="1" x14ac:dyDescent="0.25">
      <c r="A67" s="39">
        <v>66</v>
      </c>
      <c r="B67" s="40" t="s">
        <v>1310</v>
      </c>
      <c r="C67" s="16"/>
      <c r="D67" s="17"/>
      <c r="E67" s="17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56"/>
      <c r="R67" s="56"/>
      <c r="S67" s="56"/>
      <c r="T67" s="58"/>
      <c r="U67" s="58"/>
      <c r="V67" s="58"/>
      <c r="W67" s="58"/>
      <c r="X67" s="58"/>
      <c r="Y67" s="58"/>
      <c r="Z67" s="42"/>
      <c r="AA67" s="42"/>
      <c r="AB67" s="42" t="s">
        <v>1323</v>
      </c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  <c r="AQ67" s="42"/>
      <c r="AR67" s="42"/>
      <c r="AS67" s="42"/>
      <c r="AT67" s="42"/>
      <c r="AU67" s="42"/>
      <c r="AV67" s="42"/>
      <c r="AW67" s="42"/>
      <c r="AX67" s="42"/>
      <c r="AY67" s="42"/>
      <c r="AZ67" s="42"/>
    </row>
    <row r="68" spans="1:52" ht="20.100000000000001" customHeight="1" x14ac:dyDescent="0.25">
      <c r="A68" s="39">
        <v>68</v>
      </c>
      <c r="B68" s="40" t="s">
        <v>1324</v>
      </c>
      <c r="C68" s="16"/>
      <c r="D68" s="17"/>
      <c r="E68" s="17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56"/>
      <c r="R68" s="56"/>
      <c r="S68" s="56"/>
      <c r="T68" s="58"/>
      <c r="U68" s="58"/>
      <c r="V68" s="58"/>
      <c r="W68" s="58"/>
      <c r="X68" s="58"/>
      <c r="Y68" s="58"/>
      <c r="Z68" s="42"/>
      <c r="AA68" s="42"/>
      <c r="AB68" s="42" t="s">
        <v>1336</v>
      </c>
      <c r="AC68" s="42"/>
      <c r="AD68" s="42"/>
      <c r="AE68" s="42"/>
      <c r="AF68" s="42"/>
      <c r="AG68" s="42" t="s">
        <v>1337</v>
      </c>
      <c r="AH68" s="42"/>
      <c r="AI68" s="42"/>
      <c r="AJ68" s="42"/>
      <c r="AK68" s="42"/>
      <c r="AL68" s="42"/>
      <c r="AM68" s="42"/>
      <c r="AN68" s="42"/>
      <c r="AO68" s="42"/>
      <c r="AP68" s="42"/>
      <c r="AQ68" s="42"/>
      <c r="AR68" s="42"/>
      <c r="AS68" s="42"/>
      <c r="AT68" s="42"/>
      <c r="AU68" s="42"/>
      <c r="AV68" s="42"/>
      <c r="AW68" s="42"/>
      <c r="AX68" s="42"/>
      <c r="AY68" s="42"/>
      <c r="AZ68" s="42"/>
    </row>
    <row r="69" spans="1:52" ht="20.100000000000001" customHeight="1" x14ac:dyDescent="0.25">
      <c r="A69" s="39">
        <v>69</v>
      </c>
      <c r="B69" s="40" t="s">
        <v>1325</v>
      </c>
      <c r="C69" s="16"/>
      <c r="D69" s="17"/>
      <c r="E69" s="17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56"/>
      <c r="R69" s="56"/>
      <c r="S69" s="56"/>
      <c r="T69" s="58"/>
      <c r="U69" s="58"/>
      <c r="V69" s="58"/>
      <c r="W69" s="58"/>
      <c r="X69" s="58"/>
      <c r="Y69" s="58"/>
      <c r="Z69" s="42"/>
      <c r="AA69" s="42"/>
      <c r="AB69" s="42" t="s">
        <v>1338</v>
      </c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  <c r="AQ69" s="42"/>
      <c r="AR69" s="42"/>
      <c r="AS69" s="42"/>
      <c r="AT69" s="42"/>
      <c r="AU69" s="42"/>
      <c r="AV69" s="42"/>
      <c r="AW69" s="42"/>
      <c r="AX69" s="42"/>
      <c r="AY69" s="42"/>
      <c r="AZ69" s="42"/>
    </row>
    <row r="70" spans="1:52" ht="20.100000000000001" customHeight="1" x14ac:dyDescent="0.25">
      <c r="A70" s="39">
        <v>70</v>
      </c>
      <c r="B70" s="40" t="s">
        <v>1264</v>
      </c>
      <c r="C70" s="16"/>
      <c r="D70" s="17"/>
      <c r="E70" s="17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56"/>
      <c r="R70" s="56"/>
      <c r="S70" s="56"/>
      <c r="T70" s="58"/>
      <c r="U70" s="58"/>
      <c r="V70" s="58"/>
      <c r="W70" s="58"/>
      <c r="X70" s="58"/>
      <c r="Y70" s="58"/>
      <c r="Z70" s="42"/>
      <c r="AA70" s="42"/>
      <c r="AB70" s="42" t="s">
        <v>1272</v>
      </c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  <c r="AQ70" s="42"/>
      <c r="AR70" s="42"/>
      <c r="AS70" s="42"/>
      <c r="AT70" s="42"/>
      <c r="AU70" s="42"/>
      <c r="AV70" s="42"/>
      <c r="AW70" s="42"/>
      <c r="AX70" s="42"/>
      <c r="AY70" s="42"/>
      <c r="AZ70" s="42"/>
    </row>
    <row r="71" spans="1:52" ht="20.100000000000001" customHeight="1" x14ac:dyDescent="0.25">
      <c r="A71" s="39">
        <v>71</v>
      </c>
      <c r="B71" s="40" t="s">
        <v>1326</v>
      </c>
      <c r="C71" s="16"/>
      <c r="D71" s="17"/>
      <c r="E71" s="17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56"/>
      <c r="R71" s="56"/>
      <c r="S71" s="56"/>
      <c r="T71" s="58"/>
      <c r="U71" s="58"/>
      <c r="V71" s="58"/>
      <c r="W71" s="58"/>
      <c r="X71" s="58"/>
      <c r="Y71" s="58"/>
      <c r="Z71" s="42"/>
      <c r="AA71" s="42"/>
      <c r="AB71" s="62" t="s">
        <v>1339</v>
      </c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  <c r="AO71" s="42"/>
      <c r="AP71" s="42"/>
      <c r="AQ71" s="42"/>
      <c r="AR71" s="42"/>
      <c r="AS71" s="42"/>
      <c r="AT71" s="42"/>
      <c r="AU71" s="42"/>
      <c r="AV71" s="42"/>
      <c r="AW71" s="42"/>
      <c r="AX71" s="42"/>
      <c r="AY71" s="42"/>
      <c r="AZ71" s="42"/>
    </row>
    <row r="72" spans="1:52" ht="20.100000000000001" customHeight="1" x14ac:dyDescent="0.25">
      <c r="A72" s="39">
        <v>72</v>
      </c>
      <c r="B72" s="40" t="s">
        <v>1327</v>
      </c>
      <c r="C72" s="16"/>
      <c r="D72" s="17"/>
      <c r="E72" s="17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56"/>
      <c r="R72" s="56"/>
      <c r="S72" s="56"/>
      <c r="T72" s="58"/>
      <c r="U72" s="58"/>
      <c r="V72" s="58"/>
      <c r="W72" s="58"/>
      <c r="X72" s="58"/>
      <c r="Y72" s="58"/>
      <c r="Z72" s="42"/>
      <c r="AA72" s="42"/>
      <c r="AB72" s="62" t="s">
        <v>1339</v>
      </c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42"/>
      <c r="AY72" s="42"/>
      <c r="AZ72" s="42"/>
    </row>
    <row r="73" spans="1:52" ht="20.100000000000001" customHeight="1" x14ac:dyDescent="0.25">
      <c r="A73" s="39">
        <v>73</v>
      </c>
      <c r="B73" s="40" t="s">
        <v>1328</v>
      </c>
      <c r="C73" s="16"/>
      <c r="D73" s="17"/>
      <c r="E73" s="17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56"/>
      <c r="R73" s="56"/>
      <c r="S73" s="56"/>
      <c r="T73" s="58"/>
      <c r="U73" s="58"/>
      <c r="V73" s="58"/>
      <c r="W73" s="58"/>
      <c r="X73" s="58"/>
      <c r="Y73" s="58"/>
      <c r="Z73" s="42"/>
      <c r="AA73" s="42"/>
      <c r="AB73" s="42" t="s">
        <v>1273</v>
      </c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  <c r="AQ73" s="42"/>
      <c r="AR73" s="42"/>
      <c r="AS73" s="42"/>
      <c r="AT73" s="42"/>
      <c r="AU73" s="42"/>
      <c r="AV73" s="42"/>
      <c r="AW73" s="42"/>
      <c r="AX73" s="42"/>
      <c r="AY73" s="42"/>
      <c r="AZ73" s="42"/>
    </row>
    <row r="74" spans="1:52" ht="20.100000000000001" customHeight="1" x14ac:dyDescent="0.25">
      <c r="A74" s="39">
        <v>74</v>
      </c>
      <c r="B74" s="40" t="s">
        <v>1329</v>
      </c>
      <c r="C74" s="16"/>
      <c r="D74" s="17"/>
      <c r="E74" s="17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56"/>
      <c r="R74" s="56"/>
      <c r="S74" s="56"/>
      <c r="T74" s="58"/>
      <c r="U74" s="58"/>
      <c r="V74" s="58"/>
      <c r="W74" s="58"/>
      <c r="X74" s="58"/>
      <c r="Y74" s="58"/>
      <c r="Z74" s="42"/>
      <c r="AA74" s="42"/>
      <c r="AB74" s="42" t="s">
        <v>1274</v>
      </c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  <c r="AO74" s="42"/>
      <c r="AP74" s="42"/>
      <c r="AQ74" s="42"/>
      <c r="AR74" s="42"/>
      <c r="AS74" s="42"/>
      <c r="AT74" s="42"/>
      <c r="AU74" s="42"/>
      <c r="AV74" s="42"/>
      <c r="AW74" s="42"/>
      <c r="AX74" s="42"/>
      <c r="AY74" s="42"/>
      <c r="AZ74" s="42"/>
    </row>
    <row r="75" spans="1:52" ht="20.100000000000001" customHeight="1" x14ac:dyDescent="0.25">
      <c r="A75" s="39">
        <v>75</v>
      </c>
      <c r="B75" s="40" t="s">
        <v>1330</v>
      </c>
      <c r="C75" s="16"/>
      <c r="D75" s="17"/>
      <c r="E75" s="17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56"/>
      <c r="R75" s="56"/>
      <c r="S75" s="56"/>
      <c r="T75" s="58"/>
      <c r="U75" s="58"/>
      <c r="V75" s="58"/>
      <c r="W75" s="58"/>
      <c r="X75" s="58"/>
      <c r="Y75" s="58"/>
      <c r="Z75" s="42"/>
      <c r="AA75" s="42"/>
      <c r="AB75" s="42" t="s">
        <v>1340</v>
      </c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  <c r="AO75" s="42"/>
      <c r="AP75" s="42"/>
      <c r="AQ75" s="42"/>
      <c r="AR75" s="42"/>
      <c r="AS75" s="42"/>
      <c r="AT75" s="42"/>
      <c r="AU75" s="42"/>
      <c r="AV75" s="42"/>
      <c r="AW75" s="42"/>
      <c r="AX75" s="42"/>
      <c r="AY75" s="42"/>
      <c r="AZ75" s="42"/>
    </row>
    <row r="76" spans="1:52" ht="20.100000000000001" customHeight="1" x14ac:dyDescent="0.25">
      <c r="A76" s="39">
        <v>76</v>
      </c>
      <c r="B76" s="40" t="s">
        <v>1331</v>
      </c>
      <c r="C76" s="16"/>
      <c r="D76" s="17"/>
      <c r="E76" s="17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56"/>
      <c r="R76" s="56"/>
      <c r="S76" s="56"/>
      <c r="T76" s="58"/>
      <c r="U76" s="58"/>
      <c r="V76" s="58"/>
      <c r="W76" s="58"/>
      <c r="X76" s="58"/>
      <c r="Y76" s="58"/>
      <c r="Z76" s="42"/>
      <c r="AA76" s="42"/>
      <c r="AB76" s="42" t="s">
        <v>1341</v>
      </c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  <c r="AQ76" s="42"/>
      <c r="AR76" s="42"/>
      <c r="AS76" s="42"/>
      <c r="AT76" s="42"/>
      <c r="AU76" s="42"/>
      <c r="AV76" s="42"/>
      <c r="AW76" s="42"/>
      <c r="AX76" s="42"/>
      <c r="AY76" s="42"/>
      <c r="AZ76" s="42"/>
    </row>
    <row r="77" spans="1:52" ht="20.100000000000001" customHeight="1" x14ac:dyDescent="0.25">
      <c r="A77" s="39">
        <v>77</v>
      </c>
      <c r="B77" s="40" t="s">
        <v>1332</v>
      </c>
      <c r="C77" s="16"/>
      <c r="D77" s="17"/>
      <c r="E77" s="17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56"/>
      <c r="R77" s="56"/>
      <c r="S77" s="56"/>
      <c r="T77" s="58"/>
      <c r="U77" s="58"/>
      <c r="V77" s="58"/>
      <c r="W77" s="58"/>
      <c r="X77" s="58"/>
      <c r="Y77" s="58"/>
      <c r="Z77" s="42"/>
      <c r="AA77" s="42"/>
      <c r="AB77" s="42" t="s">
        <v>1276</v>
      </c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  <c r="AQ77" s="42"/>
      <c r="AR77" s="42"/>
      <c r="AS77" s="42"/>
      <c r="AT77" s="42"/>
      <c r="AU77" s="42"/>
      <c r="AV77" s="42"/>
      <c r="AW77" s="42"/>
      <c r="AX77" s="42"/>
      <c r="AY77" s="42"/>
      <c r="AZ77" s="42"/>
    </row>
    <row r="78" spans="1:52" ht="20.100000000000001" customHeight="1" x14ac:dyDescent="0.25">
      <c r="A78" s="39">
        <v>78</v>
      </c>
      <c r="B78" s="40" t="s">
        <v>1269</v>
      </c>
      <c r="C78" s="16"/>
      <c r="D78" s="17"/>
      <c r="E78" s="17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56"/>
      <c r="R78" s="56"/>
      <c r="S78" s="56"/>
      <c r="T78" s="58"/>
      <c r="U78" s="58"/>
      <c r="V78" s="58"/>
      <c r="W78" s="58"/>
      <c r="X78" s="58"/>
      <c r="Y78" s="58"/>
      <c r="Z78" s="42"/>
      <c r="AA78" s="42"/>
      <c r="AB78" s="42" t="s">
        <v>1277</v>
      </c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  <c r="AO78" s="42"/>
      <c r="AP78" s="42"/>
      <c r="AQ78" s="42"/>
      <c r="AR78" s="42"/>
      <c r="AS78" s="42"/>
      <c r="AT78" s="42"/>
      <c r="AU78" s="42"/>
      <c r="AV78" s="42"/>
      <c r="AW78" s="42"/>
      <c r="AX78" s="42"/>
      <c r="AY78" s="42"/>
      <c r="AZ78" s="42"/>
    </row>
    <row r="79" spans="1:52" ht="20.100000000000001" customHeight="1" x14ac:dyDescent="0.25">
      <c r="A79" s="39">
        <v>79</v>
      </c>
      <c r="B79" s="40" t="s">
        <v>656</v>
      </c>
      <c r="C79" s="16"/>
      <c r="D79" s="17"/>
      <c r="E79" s="17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56"/>
      <c r="R79" s="56"/>
      <c r="S79" s="56"/>
      <c r="T79" s="58"/>
      <c r="U79" s="58"/>
      <c r="V79" s="58"/>
      <c r="W79" s="58"/>
      <c r="X79" s="58"/>
      <c r="Y79" s="58"/>
      <c r="Z79" s="42"/>
      <c r="AA79" s="42"/>
      <c r="AB79" s="42" t="s">
        <v>1278</v>
      </c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  <c r="AQ79" s="42"/>
      <c r="AR79" s="42"/>
      <c r="AS79" s="42"/>
      <c r="AT79" s="42"/>
      <c r="AU79" s="42"/>
      <c r="AV79" s="42"/>
      <c r="AW79" s="42"/>
      <c r="AX79" s="42"/>
      <c r="AY79" s="42"/>
      <c r="AZ79" s="42"/>
    </row>
    <row r="80" spans="1:52" ht="20.100000000000001" customHeight="1" x14ac:dyDescent="0.25">
      <c r="A80" s="39">
        <v>80</v>
      </c>
      <c r="B80" s="40" t="s">
        <v>1333</v>
      </c>
      <c r="C80" s="16"/>
      <c r="D80" s="17"/>
      <c r="E80" s="17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56"/>
      <c r="R80" s="56"/>
      <c r="S80" s="56"/>
      <c r="T80" s="58"/>
      <c r="U80" s="58"/>
      <c r="V80" s="58"/>
      <c r="W80" s="58"/>
      <c r="X80" s="58"/>
      <c r="Y80" s="58"/>
      <c r="Z80" s="42"/>
      <c r="AA80" s="42"/>
      <c r="AB80" s="42" t="s">
        <v>1342</v>
      </c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  <c r="AQ80" s="42"/>
      <c r="AR80" s="42"/>
      <c r="AS80" s="42"/>
      <c r="AT80" s="42"/>
      <c r="AU80" s="42"/>
      <c r="AV80" s="42"/>
      <c r="AW80" s="42"/>
      <c r="AX80" s="42"/>
      <c r="AY80" s="42"/>
      <c r="AZ80" s="42"/>
    </row>
    <row r="81" spans="1:52" ht="20.100000000000001" customHeight="1" x14ac:dyDescent="0.25">
      <c r="A81" s="39">
        <v>81</v>
      </c>
      <c r="B81" s="40" t="s">
        <v>1334</v>
      </c>
      <c r="C81" s="16"/>
      <c r="D81" s="17"/>
      <c r="E81" s="17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56"/>
      <c r="R81" s="56"/>
      <c r="S81" s="56"/>
      <c r="T81" s="58"/>
      <c r="U81" s="58"/>
      <c r="V81" s="58"/>
      <c r="W81" s="58"/>
      <c r="X81" s="58"/>
      <c r="Y81" s="58"/>
      <c r="Z81" s="42"/>
      <c r="AA81" s="42"/>
      <c r="AB81" s="42" t="s">
        <v>1280</v>
      </c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  <c r="AO81" s="42"/>
      <c r="AP81" s="42"/>
      <c r="AQ81" s="42"/>
      <c r="AR81" s="42"/>
      <c r="AS81" s="42"/>
      <c r="AT81" s="42"/>
      <c r="AU81" s="42"/>
      <c r="AV81" s="42"/>
      <c r="AW81" s="42"/>
      <c r="AX81" s="42"/>
      <c r="AY81" s="42"/>
      <c r="AZ81" s="42"/>
    </row>
    <row r="82" spans="1:52" ht="20.100000000000001" customHeight="1" x14ac:dyDescent="0.25">
      <c r="A82" s="39">
        <v>82</v>
      </c>
      <c r="B82" s="40" t="s">
        <v>1335</v>
      </c>
      <c r="C82" s="16"/>
      <c r="D82" s="17"/>
      <c r="E82" s="17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56"/>
      <c r="R82" s="56"/>
      <c r="S82" s="56"/>
      <c r="T82" s="58"/>
      <c r="U82" s="58"/>
      <c r="V82" s="58"/>
      <c r="W82" s="58"/>
      <c r="X82" s="58"/>
      <c r="Y82" s="58"/>
      <c r="Z82" s="42"/>
      <c r="AA82" s="42"/>
      <c r="AB82" s="42"/>
      <c r="AC82" s="42"/>
      <c r="AD82" s="42" t="s">
        <v>1343</v>
      </c>
      <c r="AE82" s="42"/>
      <c r="AF82" s="42"/>
      <c r="AG82" s="42" t="s">
        <v>1343</v>
      </c>
      <c r="AH82" s="42"/>
      <c r="AI82" s="42"/>
      <c r="AJ82" s="42"/>
      <c r="AK82" s="42"/>
      <c r="AL82" s="42"/>
      <c r="AM82" s="42"/>
      <c r="AN82" s="42"/>
      <c r="AO82" s="42"/>
      <c r="AP82" s="42"/>
      <c r="AQ82" s="42"/>
      <c r="AR82" s="42"/>
      <c r="AS82" s="42"/>
      <c r="AT82" s="42"/>
      <c r="AU82" s="42"/>
      <c r="AV82" s="42"/>
      <c r="AW82" s="42"/>
      <c r="AX82" s="42"/>
      <c r="AY82" s="42"/>
      <c r="AZ82" s="42"/>
    </row>
    <row r="83" spans="1:52" ht="20.100000000000001" customHeight="1" x14ac:dyDescent="0.25">
      <c r="A83" s="39">
        <v>83</v>
      </c>
      <c r="B83" s="40" t="s">
        <v>1344</v>
      </c>
      <c r="C83" s="16"/>
      <c r="D83" s="17"/>
      <c r="E83" s="17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56"/>
      <c r="R83" s="56"/>
      <c r="S83" s="56"/>
      <c r="T83" s="58"/>
      <c r="U83" s="58"/>
      <c r="V83" s="58"/>
      <c r="W83" s="58"/>
      <c r="X83" s="58"/>
      <c r="Y83" s="58"/>
      <c r="Z83" s="42"/>
      <c r="AA83" s="42"/>
      <c r="AB83" s="42"/>
      <c r="AC83" s="42"/>
      <c r="AD83" s="42" t="s">
        <v>1348</v>
      </c>
      <c r="AE83" s="42"/>
      <c r="AF83" s="42"/>
      <c r="AG83" s="42" t="s">
        <v>1348</v>
      </c>
      <c r="AH83" s="42"/>
      <c r="AI83" s="42"/>
      <c r="AJ83" s="42"/>
      <c r="AK83" s="42"/>
      <c r="AL83" s="42"/>
      <c r="AM83" s="42"/>
      <c r="AN83" s="42"/>
      <c r="AO83" s="42"/>
      <c r="AP83" s="42"/>
      <c r="AQ83" s="42"/>
      <c r="AR83" s="42"/>
      <c r="AS83" s="42"/>
      <c r="AT83" s="42"/>
      <c r="AU83" s="42"/>
      <c r="AV83" s="42"/>
      <c r="AW83" s="42"/>
      <c r="AX83" s="42"/>
      <c r="AY83" s="42"/>
      <c r="AZ83" s="42"/>
    </row>
    <row r="84" spans="1:52" ht="20.100000000000001" customHeight="1" x14ac:dyDescent="0.25">
      <c r="A84" s="39">
        <v>84</v>
      </c>
      <c r="B84" s="40" t="s">
        <v>1345</v>
      </c>
      <c r="C84" s="16"/>
      <c r="D84" s="17"/>
      <c r="E84" s="17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56"/>
      <c r="R84" s="56"/>
      <c r="S84" s="56"/>
      <c r="T84" s="58"/>
      <c r="U84" s="58"/>
      <c r="V84" s="58"/>
      <c r="W84" s="58"/>
      <c r="X84" s="58"/>
      <c r="Y84" s="58"/>
      <c r="Z84" s="42"/>
      <c r="AA84" s="42"/>
      <c r="AB84" s="42"/>
      <c r="AC84" s="42"/>
      <c r="AD84" s="42" t="s">
        <v>1349</v>
      </c>
      <c r="AE84" s="42"/>
      <c r="AF84" s="42"/>
      <c r="AG84" s="42" t="s">
        <v>1350</v>
      </c>
      <c r="AH84" s="42"/>
      <c r="AI84" s="42"/>
      <c r="AJ84" s="42"/>
      <c r="AK84" s="42"/>
      <c r="AL84" s="42"/>
      <c r="AM84" s="42"/>
      <c r="AN84" s="42"/>
      <c r="AO84" s="42"/>
      <c r="AP84" s="42"/>
      <c r="AQ84" s="42"/>
      <c r="AR84" s="42"/>
      <c r="AS84" s="42"/>
      <c r="AT84" s="42"/>
      <c r="AU84" s="42"/>
      <c r="AV84" s="42"/>
      <c r="AW84" s="42"/>
      <c r="AX84" s="42"/>
      <c r="AY84" s="42"/>
      <c r="AZ84" s="42"/>
    </row>
    <row r="85" spans="1:52" ht="20.100000000000001" customHeight="1" x14ac:dyDescent="0.25">
      <c r="A85" s="39">
        <v>85</v>
      </c>
      <c r="B85" s="40" t="s">
        <v>1346</v>
      </c>
      <c r="C85" s="16"/>
      <c r="D85" s="17"/>
      <c r="E85" s="17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56"/>
      <c r="R85" s="56"/>
      <c r="S85" s="56"/>
      <c r="T85" s="58"/>
      <c r="U85" s="58"/>
      <c r="V85" s="58"/>
      <c r="W85" s="58"/>
      <c r="X85" s="58"/>
      <c r="Y85" s="58"/>
      <c r="Z85" s="42"/>
      <c r="AA85" s="42"/>
      <c r="AB85" s="42"/>
      <c r="AC85" s="42"/>
      <c r="AD85" s="42" t="s">
        <v>1349</v>
      </c>
      <c r="AE85" s="42"/>
      <c r="AF85" s="42"/>
      <c r="AG85" s="42" t="s">
        <v>1350</v>
      </c>
      <c r="AH85" s="42"/>
      <c r="AI85" s="42"/>
      <c r="AJ85" s="42"/>
      <c r="AK85" s="42"/>
      <c r="AL85" s="42"/>
      <c r="AM85" s="42"/>
      <c r="AN85" s="42"/>
      <c r="AO85" s="42"/>
      <c r="AP85" s="42"/>
      <c r="AQ85" s="42"/>
      <c r="AR85" s="42"/>
      <c r="AS85" s="42"/>
      <c r="AT85" s="42"/>
      <c r="AU85" s="42"/>
      <c r="AV85" s="42"/>
      <c r="AW85" s="42"/>
      <c r="AX85" s="42"/>
      <c r="AY85" s="42"/>
      <c r="AZ85" s="42"/>
    </row>
    <row r="86" spans="1:52" ht="20.100000000000001" customHeight="1" x14ac:dyDescent="0.25">
      <c r="A86" s="39">
        <v>86</v>
      </c>
      <c r="B86" s="40" t="s">
        <v>286</v>
      </c>
      <c r="C86" s="16"/>
      <c r="D86" s="17"/>
      <c r="E86" s="17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56"/>
      <c r="R86" s="56"/>
      <c r="S86" s="56"/>
      <c r="T86" s="58"/>
      <c r="U86" s="58"/>
      <c r="V86" s="58"/>
      <c r="W86" s="58"/>
      <c r="X86" s="58"/>
      <c r="Y86" s="58"/>
      <c r="Z86" s="42"/>
      <c r="AA86" s="42"/>
      <c r="AB86" s="42"/>
      <c r="AC86" s="42"/>
      <c r="AD86" s="42" t="s">
        <v>1349</v>
      </c>
      <c r="AE86" s="42"/>
      <c r="AF86" s="42"/>
      <c r="AG86" s="42" t="s">
        <v>1350</v>
      </c>
      <c r="AH86" s="42"/>
      <c r="AI86" s="42"/>
      <c r="AJ86" s="42"/>
      <c r="AK86" s="42"/>
      <c r="AL86" s="42"/>
      <c r="AM86" s="42"/>
      <c r="AN86" s="42"/>
      <c r="AO86" s="42"/>
      <c r="AP86" s="42"/>
      <c r="AQ86" s="42"/>
      <c r="AR86" s="42"/>
      <c r="AS86" s="42"/>
      <c r="AT86" s="42"/>
      <c r="AU86" s="42"/>
      <c r="AV86" s="42"/>
      <c r="AW86" s="42"/>
      <c r="AX86" s="42"/>
      <c r="AY86" s="42"/>
      <c r="AZ86" s="42"/>
    </row>
    <row r="87" spans="1:52" ht="20.100000000000001" customHeight="1" x14ac:dyDescent="0.25">
      <c r="A87" s="39">
        <v>87</v>
      </c>
      <c r="B87" s="40" t="s">
        <v>1347</v>
      </c>
      <c r="C87" s="16"/>
      <c r="D87" s="17"/>
      <c r="E87" s="17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56"/>
      <c r="R87" s="56"/>
      <c r="S87" s="56"/>
      <c r="T87" s="58"/>
      <c r="U87" s="58"/>
      <c r="V87" s="58"/>
      <c r="W87" s="58"/>
      <c r="X87" s="58"/>
      <c r="Y87" s="58"/>
      <c r="Z87" s="42"/>
      <c r="AA87" s="42" t="s">
        <v>1351</v>
      </c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  <c r="AQ87" s="42"/>
      <c r="AR87" s="42"/>
      <c r="AS87" s="42"/>
      <c r="AT87" s="42"/>
      <c r="AU87" s="42"/>
      <c r="AV87" s="42"/>
      <c r="AW87" s="42"/>
      <c r="AX87" s="42"/>
      <c r="AY87" s="42"/>
      <c r="AZ87" s="42"/>
    </row>
    <row r="88" spans="1:52" ht="20.100000000000001" customHeight="1" x14ac:dyDescent="0.25">
      <c r="A88" s="39">
        <v>88</v>
      </c>
      <c r="B88" s="40" t="s">
        <v>266</v>
      </c>
      <c r="C88" s="16"/>
      <c r="D88" s="17"/>
      <c r="E88" s="17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56"/>
      <c r="R88" s="56"/>
      <c r="S88" s="56"/>
      <c r="T88" s="58"/>
      <c r="U88" s="58"/>
      <c r="V88" s="58"/>
      <c r="W88" s="58"/>
      <c r="X88" s="58"/>
      <c r="Y88" s="58"/>
      <c r="Z88" s="42"/>
      <c r="AA88" s="42" t="s">
        <v>1352</v>
      </c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  <c r="AO88" s="42"/>
      <c r="AP88" s="42"/>
      <c r="AQ88" s="42"/>
      <c r="AR88" s="42"/>
      <c r="AS88" s="42"/>
      <c r="AT88" s="42"/>
      <c r="AU88" s="42"/>
      <c r="AV88" s="42"/>
      <c r="AW88" s="42"/>
      <c r="AX88" s="42"/>
      <c r="AY88" s="42"/>
      <c r="AZ88" s="42"/>
    </row>
    <row r="89" spans="1:52" ht="20.100000000000001" customHeight="1" x14ac:dyDescent="0.25">
      <c r="A89" s="39">
        <v>89</v>
      </c>
      <c r="B89" s="40" t="s">
        <v>280</v>
      </c>
      <c r="C89" s="16"/>
      <c r="D89" s="17"/>
      <c r="E89" s="17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56"/>
      <c r="R89" s="56"/>
      <c r="S89" s="56"/>
      <c r="T89" s="58"/>
      <c r="U89" s="58"/>
      <c r="V89" s="58"/>
      <c r="W89" s="58"/>
      <c r="X89" s="58"/>
      <c r="Y89" s="58"/>
      <c r="Z89" s="42"/>
      <c r="AA89" s="42" t="s">
        <v>1353</v>
      </c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  <c r="AQ89" s="42"/>
      <c r="AR89" s="42"/>
      <c r="AS89" s="42"/>
      <c r="AT89" s="42"/>
      <c r="AU89" s="42"/>
      <c r="AV89" s="42"/>
      <c r="AW89" s="42"/>
      <c r="AX89" s="42"/>
      <c r="AY89" s="42"/>
      <c r="AZ89" s="42"/>
    </row>
    <row r="90" spans="1:52" ht="20.100000000000001" customHeight="1" x14ac:dyDescent="0.25">
      <c r="A90" s="39">
        <v>90</v>
      </c>
      <c r="B90" s="40" t="s">
        <v>270</v>
      </c>
      <c r="C90" s="16"/>
      <c r="D90" s="17"/>
      <c r="E90" s="17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56"/>
      <c r="R90" s="56"/>
      <c r="S90" s="56"/>
      <c r="T90" s="58"/>
      <c r="U90" s="58"/>
      <c r="V90" s="58"/>
      <c r="W90" s="58"/>
      <c r="X90" s="58"/>
      <c r="Y90" s="58"/>
      <c r="Z90" s="42"/>
      <c r="AA90" s="42" t="s">
        <v>1353</v>
      </c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  <c r="AQ90" s="42"/>
      <c r="AR90" s="42"/>
      <c r="AS90" s="42"/>
      <c r="AT90" s="42"/>
      <c r="AU90" s="42"/>
      <c r="AV90" s="42"/>
      <c r="AW90" s="42"/>
      <c r="AX90" s="42"/>
      <c r="AY90" s="42"/>
      <c r="AZ90" s="42"/>
    </row>
    <row r="91" spans="1:52" ht="20.100000000000001" customHeight="1" x14ac:dyDescent="0.25">
      <c r="A91" s="39">
        <v>91</v>
      </c>
      <c r="B91" s="40" t="s">
        <v>554</v>
      </c>
      <c r="C91" s="16"/>
      <c r="D91" s="17"/>
      <c r="E91" s="17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56"/>
      <c r="R91" s="56"/>
      <c r="S91" s="56"/>
      <c r="T91" s="58"/>
      <c r="U91" s="58"/>
      <c r="V91" s="58"/>
      <c r="W91" s="58"/>
      <c r="X91" s="58"/>
      <c r="Y91" s="58"/>
      <c r="Z91" s="42"/>
      <c r="AA91" s="42" t="s">
        <v>1353</v>
      </c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  <c r="AO91" s="42"/>
      <c r="AP91" s="42"/>
      <c r="AQ91" s="42"/>
      <c r="AR91" s="42"/>
      <c r="AS91" s="42"/>
      <c r="AT91" s="42"/>
      <c r="AU91" s="42"/>
      <c r="AV91" s="42"/>
      <c r="AW91" s="42"/>
      <c r="AX91" s="42"/>
      <c r="AY91" s="42"/>
      <c r="AZ91" s="42"/>
    </row>
    <row r="92" spans="1:52" ht="20.100000000000001" customHeight="1" x14ac:dyDescent="0.25">
      <c r="A92" s="39">
        <v>92</v>
      </c>
      <c r="B92" s="40" t="s">
        <v>256</v>
      </c>
      <c r="C92" s="16"/>
      <c r="D92" s="17"/>
      <c r="E92" s="17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56"/>
      <c r="R92" s="56"/>
      <c r="S92" s="56"/>
      <c r="T92" s="58"/>
      <c r="U92" s="58"/>
      <c r="V92" s="58"/>
      <c r="W92" s="58"/>
      <c r="X92" s="58"/>
      <c r="Y92" s="58"/>
      <c r="Z92" s="42"/>
      <c r="AA92" s="42" t="s">
        <v>1353</v>
      </c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  <c r="AQ92" s="42"/>
      <c r="AR92" s="42"/>
      <c r="AS92" s="42"/>
      <c r="AT92" s="42"/>
      <c r="AU92" s="42"/>
      <c r="AV92" s="42"/>
      <c r="AW92" s="42"/>
      <c r="AX92" s="42"/>
      <c r="AY92" s="42"/>
      <c r="AZ92" s="42"/>
    </row>
    <row r="93" spans="1:52" ht="20.100000000000001" customHeight="1" x14ac:dyDescent="0.25">
      <c r="A93" s="39">
        <v>93</v>
      </c>
      <c r="B93" s="40" t="s">
        <v>1354</v>
      </c>
      <c r="C93" s="16"/>
      <c r="D93" s="17"/>
      <c r="E93" s="17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56"/>
      <c r="R93" s="56"/>
      <c r="S93" s="56"/>
      <c r="T93" s="58"/>
      <c r="U93" s="58"/>
      <c r="V93" s="58"/>
      <c r="W93" s="58"/>
      <c r="X93" s="58"/>
      <c r="Y93" s="58"/>
      <c r="Z93" s="42"/>
      <c r="AA93" s="42"/>
      <c r="AB93" s="42"/>
      <c r="AC93" s="42"/>
      <c r="AD93" s="42"/>
      <c r="AE93" s="42"/>
      <c r="AF93" s="42"/>
      <c r="AG93" s="42"/>
      <c r="AH93" s="42" t="s">
        <v>1357</v>
      </c>
      <c r="AI93" s="42"/>
      <c r="AJ93" s="42"/>
      <c r="AK93" s="42"/>
      <c r="AL93" s="42"/>
      <c r="AM93" s="42"/>
      <c r="AN93" s="42"/>
      <c r="AO93" s="42"/>
      <c r="AP93" s="42"/>
      <c r="AQ93" s="42"/>
      <c r="AR93" s="42"/>
      <c r="AS93" s="42"/>
      <c r="AT93" s="42"/>
      <c r="AU93" s="42"/>
      <c r="AV93" s="42"/>
      <c r="AW93" s="42"/>
      <c r="AX93" s="42"/>
      <c r="AY93" s="42"/>
      <c r="AZ93" s="42"/>
    </row>
    <row r="94" spans="1:52" ht="20.100000000000001" customHeight="1" x14ac:dyDescent="0.25">
      <c r="A94" s="39">
        <v>94</v>
      </c>
      <c r="B94" s="40" t="s">
        <v>1355</v>
      </c>
      <c r="C94" s="16"/>
      <c r="D94" s="17"/>
      <c r="E94" s="17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56"/>
      <c r="R94" s="56"/>
      <c r="S94" s="56"/>
      <c r="T94" s="58"/>
      <c r="U94" s="58"/>
      <c r="V94" s="58"/>
      <c r="W94" s="58"/>
      <c r="X94" s="58"/>
      <c r="Y94" s="58"/>
      <c r="Z94" s="42"/>
      <c r="AA94" s="42"/>
      <c r="AB94" s="42"/>
      <c r="AC94" s="42"/>
      <c r="AD94" s="42"/>
      <c r="AE94" s="42"/>
      <c r="AF94" s="42"/>
      <c r="AG94" s="42"/>
      <c r="AH94" s="42"/>
      <c r="AI94" s="42" t="s">
        <v>1358</v>
      </c>
      <c r="AJ94" s="42"/>
      <c r="AK94" s="42"/>
      <c r="AL94" s="42"/>
      <c r="AM94" s="42"/>
      <c r="AN94" s="42"/>
      <c r="AO94" s="42"/>
      <c r="AP94" s="42"/>
      <c r="AQ94" s="42"/>
      <c r="AR94" s="42"/>
      <c r="AS94" s="42"/>
      <c r="AT94" s="42"/>
      <c r="AU94" s="42"/>
      <c r="AV94" s="42"/>
      <c r="AW94" s="42"/>
      <c r="AX94" s="42"/>
      <c r="AY94" s="42"/>
      <c r="AZ94" s="42"/>
    </row>
    <row r="95" spans="1:52" ht="20.100000000000001" customHeight="1" x14ac:dyDescent="0.25">
      <c r="A95" s="39">
        <v>95</v>
      </c>
      <c r="B95" s="40" t="s">
        <v>1356</v>
      </c>
      <c r="C95" s="16"/>
      <c r="D95" s="17"/>
      <c r="E95" s="17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56"/>
      <c r="R95" s="56"/>
      <c r="S95" s="56"/>
      <c r="T95" s="58"/>
      <c r="U95" s="58"/>
      <c r="V95" s="58"/>
      <c r="W95" s="58"/>
      <c r="X95" s="58"/>
      <c r="Y95" s="58"/>
      <c r="Z95" s="42"/>
      <c r="AA95" s="42"/>
      <c r="AB95" s="42"/>
      <c r="AC95" s="42"/>
      <c r="AD95" s="42"/>
      <c r="AE95" s="42"/>
      <c r="AF95" s="42"/>
      <c r="AG95" s="42"/>
      <c r="AH95" s="42"/>
      <c r="AI95" s="42" t="s">
        <v>1359</v>
      </c>
      <c r="AJ95" s="42"/>
      <c r="AK95" s="42"/>
      <c r="AL95" s="42"/>
      <c r="AM95" s="42"/>
      <c r="AN95" s="42"/>
      <c r="AO95" s="42"/>
      <c r="AP95" s="42"/>
      <c r="AQ95" s="42"/>
      <c r="AR95" s="42"/>
      <c r="AS95" s="42"/>
      <c r="AT95" s="42"/>
      <c r="AU95" s="42"/>
      <c r="AV95" s="42"/>
      <c r="AW95" s="42"/>
      <c r="AX95" s="42"/>
      <c r="AY95" s="42"/>
      <c r="AZ95" s="42"/>
    </row>
    <row r="96" spans="1:52" ht="20.100000000000001" customHeight="1" x14ac:dyDescent="0.25">
      <c r="A96" s="39">
        <v>96</v>
      </c>
      <c r="B96" s="40" t="s">
        <v>1096</v>
      </c>
      <c r="C96" s="16"/>
      <c r="D96" s="17"/>
      <c r="E96" s="17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56"/>
      <c r="R96" s="56"/>
      <c r="S96" s="56"/>
      <c r="T96" s="58"/>
      <c r="U96" s="58"/>
      <c r="V96" s="58"/>
      <c r="W96" s="58"/>
      <c r="X96" s="58"/>
      <c r="Y96" s="58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 t="s">
        <v>1408</v>
      </c>
      <c r="AK96" s="42" t="s">
        <v>1408</v>
      </c>
      <c r="AL96" s="42"/>
      <c r="AM96" s="42"/>
      <c r="AN96" s="42"/>
      <c r="AO96" s="42"/>
      <c r="AP96" s="42"/>
      <c r="AQ96" s="42"/>
      <c r="AR96" s="42"/>
      <c r="AS96" s="42"/>
      <c r="AT96" s="42"/>
      <c r="AU96" s="42"/>
      <c r="AV96" s="42"/>
      <c r="AW96" s="42"/>
      <c r="AX96" s="42"/>
      <c r="AY96" s="42"/>
      <c r="AZ96" s="42"/>
    </row>
    <row r="97" spans="1:52" ht="20.100000000000001" customHeight="1" x14ac:dyDescent="0.25">
      <c r="A97" s="39">
        <v>97</v>
      </c>
      <c r="B97" s="40" t="s">
        <v>1360</v>
      </c>
      <c r="C97" s="16"/>
      <c r="D97" s="17"/>
      <c r="E97" s="17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56"/>
      <c r="R97" s="56"/>
      <c r="S97" s="56"/>
      <c r="T97" s="58"/>
      <c r="U97" s="58"/>
      <c r="V97" s="58"/>
      <c r="W97" s="58"/>
      <c r="X97" s="58"/>
      <c r="Y97" s="58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 t="s">
        <v>1409</v>
      </c>
      <c r="AK97" s="42"/>
      <c r="AL97" s="42"/>
      <c r="AM97" s="42"/>
      <c r="AN97" s="42"/>
      <c r="AO97" s="42"/>
      <c r="AP97" s="42"/>
      <c r="AQ97" s="42"/>
      <c r="AR97" s="42"/>
      <c r="AS97" s="42"/>
      <c r="AT97" s="42"/>
      <c r="AU97" s="42"/>
      <c r="AV97" s="42"/>
      <c r="AW97" s="42"/>
      <c r="AX97" s="42"/>
      <c r="AY97" s="42"/>
      <c r="AZ97" s="42"/>
    </row>
    <row r="98" spans="1:52" ht="20.100000000000001" customHeight="1" x14ac:dyDescent="0.25">
      <c r="A98" s="39">
        <v>98</v>
      </c>
      <c r="B98" s="40" t="s">
        <v>1361</v>
      </c>
      <c r="C98" s="16"/>
      <c r="D98" s="17"/>
      <c r="E98" s="17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56"/>
      <c r="R98" s="56"/>
      <c r="S98" s="56"/>
      <c r="T98" s="58"/>
      <c r="U98" s="58"/>
      <c r="V98" s="58"/>
      <c r="W98" s="58"/>
      <c r="X98" s="58"/>
      <c r="Y98" s="58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 t="s">
        <v>1411</v>
      </c>
      <c r="AL98" s="42"/>
      <c r="AM98" s="42"/>
      <c r="AN98" s="42"/>
      <c r="AO98" s="42"/>
      <c r="AP98" s="42"/>
      <c r="AQ98" s="42"/>
      <c r="AR98" s="42"/>
      <c r="AS98" s="42"/>
      <c r="AT98" s="42"/>
      <c r="AU98" s="42"/>
      <c r="AV98" s="42"/>
      <c r="AW98" s="42"/>
      <c r="AX98" s="42"/>
      <c r="AY98" s="42"/>
      <c r="AZ98" s="42"/>
    </row>
    <row r="99" spans="1:52" ht="20.100000000000001" customHeight="1" x14ac:dyDescent="0.25">
      <c r="A99" s="39">
        <v>99</v>
      </c>
      <c r="B99" s="40" t="s">
        <v>1362</v>
      </c>
      <c r="C99" s="16"/>
      <c r="D99" s="17"/>
      <c r="E99" s="17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56"/>
      <c r="R99" s="56"/>
      <c r="S99" s="56"/>
      <c r="T99" s="58"/>
      <c r="U99" s="58"/>
      <c r="V99" s="58"/>
      <c r="W99" s="58"/>
      <c r="X99" s="58"/>
      <c r="Y99" s="58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 t="s">
        <v>1412</v>
      </c>
      <c r="AK99" s="42"/>
      <c r="AL99" s="42"/>
      <c r="AM99" s="42"/>
      <c r="AN99" s="42"/>
      <c r="AO99" s="42"/>
      <c r="AP99" s="42"/>
      <c r="AQ99" s="42"/>
      <c r="AR99" s="42"/>
      <c r="AS99" s="42"/>
      <c r="AT99" s="42"/>
      <c r="AU99" s="42"/>
      <c r="AV99" s="42"/>
      <c r="AW99" s="42"/>
      <c r="AX99" s="42"/>
      <c r="AY99" s="42"/>
      <c r="AZ99" s="42"/>
    </row>
    <row r="100" spans="1:52" ht="20.100000000000001" customHeight="1" x14ac:dyDescent="0.25">
      <c r="A100" s="39">
        <v>100</v>
      </c>
      <c r="B100" s="40" t="s">
        <v>1363</v>
      </c>
      <c r="C100" s="16"/>
      <c r="D100" s="17"/>
      <c r="E100" s="17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56"/>
      <c r="R100" s="56"/>
      <c r="S100" s="56"/>
      <c r="T100" s="58"/>
      <c r="U100" s="58"/>
      <c r="V100" s="58"/>
      <c r="W100" s="58"/>
      <c r="X100" s="58"/>
      <c r="Y100" s="58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 t="s">
        <v>1413</v>
      </c>
      <c r="AK100" s="42" t="s">
        <v>1413</v>
      </c>
      <c r="AL100" s="42"/>
      <c r="AM100" s="42"/>
      <c r="AN100" s="42"/>
      <c r="AO100" s="42"/>
      <c r="AP100" s="42"/>
      <c r="AQ100" s="42"/>
      <c r="AR100" s="42"/>
      <c r="AS100" s="42"/>
      <c r="AT100" s="42"/>
      <c r="AU100" s="42"/>
      <c r="AV100" s="42"/>
      <c r="AW100" s="42"/>
      <c r="AX100" s="42"/>
      <c r="AY100" s="42"/>
      <c r="AZ100" s="42"/>
    </row>
    <row r="101" spans="1:52" ht="20.100000000000001" customHeight="1" x14ac:dyDescent="0.25">
      <c r="A101" s="39">
        <v>101</v>
      </c>
      <c r="B101" s="40" t="s">
        <v>1364</v>
      </c>
      <c r="C101" s="16"/>
      <c r="D101" s="17"/>
      <c r="E101" s="17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56"/>
      <c r="R101" s="56"/>
      <c r="S101" s="56"/>
      <c r="T101" s="58"/>
      <c r="U101" s="58"/>
      <c r="V101" s="58"/>
      <c r="W101" s="58"/>
      <c r="X101" s="58"/>
      <c r="Y101" s="58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 t="s">
        <v>1414</v>
      </c>
      <c r="AK101" s="42" t="s">
        <v>1415</v>
      </c>
      <c r="AL101" s="42"/>
      <c r="AM101" s="42"/>
      <c r="AN101" s="42"/>
      <c r="AO101" s="42"/>
      <c r="AP101" s="42"/>
      <c r="AQ101" s="42"/>
      <c r="AR101" s="42"/>
      <c r="AS101" s="42"/>
      <c r="AT101" s="42"/>
      <c r="AU101" s="42"/>
      <c r="AV101" s="42"/>
      <c r="AW101" s="42"/>
      <c r="AX101" s="42"/>
      <c r="AY101" s="42"/>
      <c r="AZ101" s="42"/>
    </row>
    <row r="102" spans="1:52" ht="20.100000000000001" customHeight="1" x14ac:dyDescent="0.25">
      <c r="A102" s="39">
        <v>102</v>
      </c>
      <c r="B102" s="40" t="s">
        <v>1365</v>
      </c>
      <c r="C102" s="16"/>
      <c r="D102" s="17"/>
      <c r="E102" s="17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56"/>
      <c r="R102" s="56"/>
      <c r="S102" s="56"/>
      <c r="T102" s="58"/>
      <c r="U102" s="58"/>
      <c r="V102" s="58"/>
      <c r="W102" s="58"/>
      <c r="X102" s="58"/>
      <c r="Y102" s="58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 t="s">
        <v>1416</v>
      </c>
      <c r="AL102" s="42"/>
      <c r="AM102" s="42"/>
      <c r="AN102" s="42"/>
      <c r="AO102" s="42"/>
      <c r="AP102" s="42"/>
      <c r="AQ102" s="42"/>
      <c r="AR102" s="42"/>
      <c r="AS102" s="42"/>
      <c r="AT102" s="42"/>
      <c r="AU102" s="42"/>
      <c r="AV102" s="42"/>
      <c r="AW102" s="42"/>
      <c r="AX102" s="42"/>
      <c r="AY102" s="42"/>
      <c r="AZ102" s="42"/>
    </row>
    <row r="103" spans="1:52" ht="20.100000000000001" customHeight="1" x14ac:dyDescent="0.25">
      <c r="A103" s="39">
        <v>103</v>
      </c>
      <c r="B103" s="40" t="s">
        <v>1366</v>
      </c>
      <c r="C103" s="16"/>
      <c r="D103" s="17"/>
      <c r="E103" s="17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56"/>
      <c r="R103" s="56"/>
      <c r="S103" s="56"/>
      <c r="T103" s="58"/>
      <c r="U103" s="58"/>
      <c r="V103" s="58"/>
      <c r="W103" s="58"/>
      <c r="X103" s="58"/>
      <c r="Y103" s="58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  <c r="AO103" s="42"/>
      <c r="AP103" s="42"/>
      <c r="AQ103" s="42"/>
      <c r="AR103" s="42"/>
      <c r="AS103" s="42"/>
      <c r="AT103" s="42"/>
      <c r="AU103" s="42"/>
      <c r="AV103" s="42"/>
      <c r="AW103" s="42"/>
      <c r="AX103" s="42"/>
      <c r="AY103" s="42"/>
      <c r="AZ103" s="42"/>
    </row>
    <row r="104" spans="1:52" ht="20.100000000000001" customHeight="1" x14ac:dyDescent="0.25">
      <c r="A104" s="39">
        <v>104</v>
      </c>
      <c r="B104" s="40" t="s">
        <v>1367</v>
      </c>
      <c r="C104" s="16"/>
      <c r="D104" s="17"/>
      <c r="E104" s="17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56"/>
      <c r="R104" s="56"/>
      <c r="S104" s="56"/>
      <c r="T104" s="58"/>
      <c r="U104" s="58"/>
      <c r="V104" s="58"/>
      <c r="W104" s="58"/>
      <c r="X104" s="58"/>
      <c r="Y104" s="58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 t="s">
        <v>1417</v>
      </c>
      <c r="AK104" s="42" t="s">
        <v>1418</v>
      </c>
      <c r="AL104" s="42"/>
      <c r="AM104" s="42"/>
      <c r="AN104" s="42"/>
      <c r="AO104" s="42"/>
      <c r="AP104" s="42"/>
      <c r="AQ104" s="42"/>
      <c r="AR104" s="42"/>
      <c r="AS104" s="42"/>
      <c r="AT104" s="42"/>
      <c r="AU104" s="42"/>
      <c r="AV104" s="42"/>
      <c r="AW104" s="42"/>
      <c r="AX104" s="42"/>
      <c r="AY104" s="42"/>
      <c r="AZ104" s="42"/>
    </row>
    <row r="105" spans="1:52" ht="20.100000000000001" customHeight="1" x14ac:dyDescent="0.25">
      <c r="A105" s="39">
        <v>105</v>
      </c>
      <c r="B105" s="40" t="s">
        <v>1368</v>
      </c>
      <c r="C105" s="16"/>
      <c r="D105" s="17"/>
      <c r="E105" s="17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56"/>
      <c r="R105" s="56"/>
      <c r="S105" s="56"/>
      <c r="T105" s="58"/>
      <c r="U105" s="58"/>
      <c r="V105" s="58"/>
      <c r="W105" s="58"/>
      <c r="X105" s="58"/>
      <c r="Y105" s="58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 t="s">
        <v>1419</v>
      </c>
      <c r="AK105" s="42" t="s">
        <v>1314</v>
      </c>
      <c r="AL105" s="42"/>
      <c r="AM105" s="42"/>
      <c r="AN105" s="42"/>
      <c r="AO105" s="42"/>
      <c r="AP105" s="42"/>
      <c r="AQ105" s="42"/>
      <c r="AR105" s="42"/>
      <c r="AS105" s="42"/>
      <c r="AT105" s="42"/>
      <c r="AU105" s="42"/>
      <c r="AV105" s="42"/>
      <c r="AW105" s="42"/>
      <c r="AX105" s="42"/>
      <c r="AY105" s="42"/>
      <c r="AZ105" s="42"/>
    </row>
    <row r="106" spans="1:52" ht="20.100000000000001" customHeight="1" x14ac:dyDescent="0.25">
      <c r="A106" s="39">
        <v>106</v>
      </c>
      <c r="B106" s="40" t="s">
        <v>1369</v>
      </c>
      <c r="C106" s="16"/>
      <c r="D106" s="17"/>
      <c r="E106" s="17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56"/>
      <c r="R106" s="56"/>
      <c r="S106" s="56"/>
      <c r="T106" s="58"/>
      <c r="U106" s="58"/>
      <c r="V106" s="58"/>
      <c r="W106" s="58"/>
      <c r="X106" s="58"/>
      <c r="Y106" s="58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 t="s">
        <v>1420</v>
      </c>
      <c r="AK106" s="42" t="s">
        <v>1421</v>
      </c>
      <c r="AL106" s="42"/>
      <c r="AM106" s="42"/>
      <c r="AN106" s="42"/>
      <c r="AO106" s="42"/>
      <c r="AP106" s="42"/>
      <c r="AQ106" s="42"/>
      <c r="AR106" s="42"/>
      <c r="AS106" s="42"/>
      <c r="AT106" s="42"/>
      <c r="AU106" s="42"/>
      <c r="AV106" s="42"/>
      <c r="AW106" s="42"/>
      <c r="AX106" s="42"/>
      <c r="AY106" s="42"/>
      <c r="AZ106" s="42"/>
    </row>
    <row r="107" spans="1:52" ht="20.100000000000001" customHeight="1" x14ac:dyDescent="0.25">
      <c r="A107" s="39">
        <v>107</v>
      </c>
      <c r="B107" s="40" t="s">
        <v>1370</v>
      </c>
      <c r="C107" s="16"/>
      <c r="D107" s="17"/>
      <c r="E107" s="17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56"/>
      <c r="R107" s="56"/>
      <c r="S107" s="56"/>
      <c r="T107" s="58"/>
      <c r="U107" s="58"/>
      <c r="V107" s="58"/>
      <c r="W107" s="58"/>
      <c r="X107" s="58"/>
      <c r="Y107" s="58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  <c r="AQ107" s="42"/>
      <c r="AR107" s="42"/>
      <c r="AS107" s="42"/>
      <c r="AT107" s="42"/>
      <c r="AU107" s="42"/>
      <c r="AV107" s="42"/>
      <c r="AW107" s="42"/>
      <c r="AX107" s="42"/>
      <c r="AY107" s="42"/>
      <c r="AZ107" s="42"/>
    </row>
    <row r="108" spans="1:52" ht="20.100000000000001" customHeight="1" x14ac:dyDescent="0.25">
      <c r="A108" s="39">
        <v>108</v>
      </c>
      <c r="B108" s="40" t="s">
        <v>1371</v>
      </c>
      <c r="C108" s="16"/>
      <c r="D108" s="17"/>
      <c r="E108" s="17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56"/>
      <c r="R108" s="56"/>
      <c r="S108" s="56"/>
      <c r="T108" s="58"/>
      <c r="U108" s="58"/>
      <c r="V108" s="58"/>
      <c r="W108" s="58"/>
      <c r="X108" s="58"/>
      <c r="Y108" s="58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 t="s">
        <v>1422</v>
      </c>
      <c r="AK108" s="42" t="s">
        <v>1423</v>
      </c>
      <c r="AL108" s="42"/>
      <c r="AM108" s="42"/>
      <c r="AN108" s="42"/>
      <c r="AO108" s="42"/>
      <c r="AP108" s="42"/>
      <c r="AQ108" s="42"/>
      <c r="AR108" s="42"/>
      <c r="AS108" s="42"/>
      <c r="AT108" s="42"/>
      <c r="AU108" s="42"/>
      <c r="AV108" s="42"/>
      <c r="AW108" s="42"/>
      <c r="AX108" s="42"/>
      <c r="AY108" s="42"/>
      <c r="AZ108" s="42"/>
    </row>
    <row r="109" spans="1:52" ht="20.100000000000001" customHeight="1" x14ac:dyDescent="0.25">
      <c r="A109" s="39">
        <v>109</v>
      </c>
      <c r="B109" s="40" t="s">
        <v>1372</v>
      </c>
      <c r="C109" s="16"/>
      <c r="D109" s="17"/>
      <c r="E109" s="17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56"/>
      <c r="R109" s="56"/>
      <c r="S109" s="56"/>
      <c r="T109" s="58"/>
      <c r="U109" s="58"/>
      <c r="V109" s="58"/>
      <c r="W109" s="58"/>
      <c r="X109" s="58"/>
      <c r="Y109" s="58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 t="s">
        <v>1424</v>
      </c>
      <c r="AK109" s="42" t="s">
        <v>1425</v>
      </c>
      <c r="AL109" s="42"/>
      <c r="AM109" s="42"/>
      <c r="AN109" s="42"/>
      <c r="AO109" s="42"/>
      <c r="AP109" s="42"/>
      <c r="AQ109" s="42"/>
      <c r="AR109" s="42"/>
      <c r="AS109" s="42"/>
      <c r="AT109" s="42"/>
      <c r="AU109" s="42"/>
      <c r="AV109" s="42"/>
      <c r="AW109" s="42"/>
      <c r="AX109" s="42"/>
      <c r="AY109" s="42"/>
      <c r="AZ109" s="42"/>
    </row>
    <row r="110" spans="1:52" ht="20.100000000000001" customHeight="1" x14ac:dyDescent="0.25">
      <c r="A110" s="39">
        <v>110</v>
      </c>
      <c r="B110" s="40" t="s">
        <v>1373</v>
      </c>
      <c r="C110" s="16"/>
      <c r="D110" s="17"/>
      <c r="E110" s="17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56"/>
      <c r="R110" s="56"/>
      <c r="S110" s="56"/>
      <c r="T110" s="58"/>
      <c r="U110" s="58"/>
      <c r="V110" s="58"/>
      <c r="W110" s="58"/>
      <c r="X110" s="58"/>
      <c r="Y110" s="58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 t="s">
        <v>1426</v>
      </c>
      <c r="AL110" s="42"/>
      <c r="AM110" s="42"/>
      <c r="AN110" s="42"/>
      <c r="AO110" s="42"/>
      <c r="AP110" s="42"/>
      <c r="AQ110" s="42"/>
      <c r="AR110" s="42"/>
      <c r="AS110" s="42"/>
      <c r="AT110" s="42"/>
      <c r="AU110" s="42"/>
      <c r="AV110" s="42"/>
      <c r="AW110" s="42"/>
      <c r="AX110" s="42"/>
      <c r="AY110" s="42"/>
      <c r="AZ110" s="42"/>
    </row>
    <row r="111" spans="1:52" ht="20.100000000000001" customHeight="1" x14ac:dyDescent="0.25">
      <c r="A111" s="39">
        <v>111</v>
      </c>
      <c r="B111" s="40" t="s">
        <v>1374</v>
      </c>
      <c r="C111" s="16"/>
      <c r="D111" s="17"/>
      <c r="E111" s="17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56"/>
      <c r="R111" s="56"/>
      <c r="S111" s="56"/>
      <c r="T111" s="58"/>
      <c r="U111" s="58"/>
      <c r="V111" s="58"/>
      <c r="W111" s="58"/>
      <c r="X111" s="58"/>
      <c r="Y111" s="58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 t="s">
        <v>1427</v>
      </c>
      <c r="AK111" s="42" t="s">
        <v>1428</v>
      </c>
      <c r="AL111" s="42"/>
      <c r="AM111" s="42"/>
      <c r="AN111" s="42"/>
      <c r="AO111" s="42"/>
      <c r="AP111" s="42"/>
      <c r="AQ111" s="42"/>
      <c r="AR111" s="42"/>
      <c r="AS111" s="42"/>
      <c r="AT111" s="42"/>
      <c r="AU111" s="42"/>
      <c r="AV111" s="42"/>
      <c r="AW111" s="42"/>
      <c r="AX111" s="42"/>
      <c r="AY111" s="42"/>
      <c r="AZ111" s="42"/>
    </row>
    <row r="112" spans="1:52" ht="20.100000000000001" customHeight="1" x14ac:dyDescent="0.25">
      <c r="A112" s="39">
        <v>112</v>
      </c>
      <c r="B112" s="40" t="s">
        <v>1375</v>
      </c>
      <c r="C112" s="16"/>
      <c r="D112" s="17"/>
      <c r="E112" s="17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56"/>
      <c r="R112" s="56"/>
      <c r="S112" s="56"/>
      <c r="T112" s="58"/>
      <c r="U112" s="58"/>
      <c r="V112" s="58"/>
      <c r="W112" s="58"/>
      <c r="X112" s="58"/>
      <c r="Y112" s="58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 t="s">
        <v>1429</v>
      </c>
      <c r="AL112" s="42"/>
      <c r="AM112" s="42"/>
      <c r="AN112" s="42"/>
      <c r="AO112" s="42"/>
      <c r="AP112" s="42"/>
      <c r="AQ112" s="42"/>
      <c r="AR112" s="42"/>
      <c r="AS112" s="42"/>
      <c r="AT112" s="42"/>
      <c r="AU112" s="42"/>
      <c r="AV112" s="42"/>
      <c r="AW112" s="42"/>
      <c r="AX112" s="42"/>
      <c r="AY112" s="42"/>
      <c r="AZ112" s="42"/>
    </row>
    <row r="113" spans="1:52" ht="20.100000000000001" customHeight="1" x14ac:dyDescent="0.25">
      <c r="A113" s="39">
        <v>113</v>
      </c>
      <c r="B113" s="40" t="s">
        <v>1376</v>
      </c>
      <c r="C113" s="16"/>
      <c r="D113" s="17"/>
      <c r="E113" s="17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56"/>
      <c r="R113" s="56"/>
      <c r="S113" s="56"/>
      <c r="T113" s="58"/>
      <c r="U113" s="58"/>
      <c r="V113" s="58"/>
      <c r="W113" s="58"/>
      <c r="X113" s="58"/>
      <c r="Y113" s="58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 t="s">
        <v>1430</v>
      </c>
      <c r="AK113" s="42"/>
      <c r="AL113" s="42"/>
      <c r="AM113" s="42"/>
      <c r="AN113" s="42"/>
      <c r="AO113" s="42"/>
      <c r="AP113" s="42"/>
      <c r="AQ113" s="42"/>
      <c r="AR113" s="42"/>
      <c r="AS113" s="42"/>
      <c r="AT113" s="42"/>
      <c r="AU113" s="42"/>
      <c r="AV113" s="42"/>
      <c r="AW113" s="42"/>
      <c r="AX113" s="42"/>
      <c r="AY113" s="42"/>
      <c r="AZ113" s="42"/>
    </row>
    <row r="114" spans="1:52" ht="20.100000000000001" customHeight="1" x14ac:dyDescent="0.25">
      <c r="A114" s="39">
        <v>114</v>
      </c>
      <c r="B114" s="40" t="s">
        <v>1377</v>
      </c>
      <c r="C114" s="16"/>
      <c r="D114" s="17"/>
      <c r="E114" s="17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56"/>
      <c r="R114" s="56"/>
      <c r="S114" s="56"/>
      <c r="T114" s="58"/>
      <c r="U114" s="58"/>
      <c r="V114" s="58"/>
      <c r="W114" s="58"/>
      <c r="X114" s="58"/>
      <c r="Y114" s="58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 t="s">
        <v>1431</v>
      </c>
      <c r="AK114" s="42" t="s">
        <v>1432</v>
      </c>
      <c r="AL114" s="42"/>
      <c r="AM114" s="42"/>
      <c r="AN114" s="42"/>
      <c r="AO114" s="42"/>
      <c r="AP114" s="42"/>
      <c r="AQ114" s="42"/>
      <c r="AR114" s="42"/>
      <c r="AS114" s="42"/>
      <c r="AT114" s="42"/>
      <c r="AU114" s="42"/>
      <c r="AV114" s="42"/>
      <c r="AW114" s="42"/>
      <c r="AX114" s="42"/>
      <c r="AY114" s="42"/>
      <c r="AZ114" s="42"/>
    </row>
    <row r="115" spans="1:52" ht="20.100000000000001" customHeight="1" x14ac:dyDescent="0.25">
      <c r="A115" s="39">
        <v>115</v>
      </c>
      <c r="B115" s="40" t="s">
        <v>1378</v>
      </c>
      <c r="C115" s="16"/>
      <c r="D115" s="17"/>
      <c r="E115" s="17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56"/>
      <c r="R115" s="56"/>
      <c r="S115" s="56"/>
      <c r="T115" s="58"/>
      <c r="U115" s="58"/>
      <c r="V115" s="58"/>
      <c r="W115" s="58"/>
      <c r="X115" s="58"/>
      <c r="Y115" s="58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 t="s">
        <v>1433</v>
      </c>
      <c r="AK115" s="42" t="s">
        <v>1434</v>
      </c>
      <c r="AL115" s="42"/>
      <c r="AM115" s="42"/>
      <c r="AN115" s="42"/>
      <c r="AO115" s="42"/>
      <c r="AP115" s="42"/>
      <c r="AQ115" s="42"/>
      <c r="AR115" s="42"/>
      <c r="AS115" s="42"/>
      <c r="AT115" s="42"/>
      <c r="AU115" s="42"/>
      <c r="AV115" s="42"/>
      <c r="AW115" s="42"/>
      <c r="AX115" s="42"/>
      <c r="AY115" s="42"/>
      <c r="AZ115" s="42"/>
    </row>
    <row r="116" spans="1:52" ht="20.100000000000001" customHeight="1" x14ac:dyDescent="0.25">
      <c r="A116" s="39">
        <v>116</v>
      </c>
      <c r="B116" s="40" t="s">
        <v>1379</v>
      </c>
      <c r="C116" s="16"/>
      <c r="D116" s="17"/>
      <c r="E116" s="17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56"/>
      <c r="R116" s="56"/>
      <c r="S116" s="56"/>
      <c r="T116" s="58"/>
      <c r="U116" s="58"/>
      <c r="V116" s="58"/>
      <c r="W116" s="58"/>
      <c r="X116" s="58"/>
      <c r="Y116" s="58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 t="s">
        <v>1435</v>
      </c>
      <c r="AL116" s="42"/>
      <c r="AM116" s="42"/>
      <c r="AN116" s="42"/>
      <c r="AO116" s="42"/>
      <c r="AP116" s="42"/>
      <c r="AQ116" s="42"/>
      <c r="AR116" s="42"/>
      <c r="AS116" s="42"/>
      <c r="AT116" s="42"/>
      <c r="AU116" s="42"/>
      <c r="AV116" s="42"/>
      <c r="AW116" s="42"/>
      <c r="AX116" s="42"/>
      <c r="AY116" s="42"/>
      <c r="AZ116" s="42"/>
    </row>
    <row r="117" spans="1:52" ht="20.100000000000001" customHeight="1" x14ac:dyDescent="0.25">
      <c r="A117" s="39">
        <v>117</v>
      </c>
      <c r="B117" s="40" t="s">
        <v>1380</v>
      </c>
      <c r="C117" s="16"/>
      <c r="D117" s="17"/>
      <c r="E117" s="17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56"/>
      <c r="R117" s="56"/>
      <c r="S117" s="56"/>
      <c r="T117" s="58"/>
      <c r="U117" s="58"/>
      <c r="V117" s="58"/>
      <c r="W117" s="58"/>
      <c r="X117" s="58"/>
      <c r="Y117" s="58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 t="s">
        <v>1436</v>
      </c>
      <c r="AL117" s="42"/>
      <c r="AM117" s="42"/>
      <c r="AN117" s="42"/>
      <c r="AO117" s="42"/>
      <c r="AP117" s="42"/>
      <c r="AQ117" s="42"/>
      <c r="AR117" s="42"/>
      <c r="AS117" s="42"/>
      <c r="AT117" s="42"/>
      <c r="AU117" s="42"/>
      <c r="AV117" s="42"/>
      <c r="AW117" s="42"/>
      <c r="AX117" s="42"/>
      <c r="AY117" s="42"/>
      <c r="AZ117" s="42"/>
    </row>
    <row r="118" spans="1:52" ht="20.100000000000001" customHeight="1" x14ac:dyDescent="0.25">
      <c r="A118" s="39">
        <v>118</v>
      </c>
      <c r="B118" s="40" t="s">
        <v>1381</v>
      </c>
      <c r="C118" s="16"/>
      <c r="D118" s="17"/>
      <c r="E118" s="17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56"/>
      <c r="R118" s="56"/>
      <c r="S118" s="56"/>
      <c r="T118" s="58"/>
      <c r="U118" s="58"/>
      <c r="V118" s="58"/>
      <c r="W118" s="58"/>
      <c r="X118" s="58"/>
      <c r="Y118" s="58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 t="s">
        <v>1437</v>
      </c>
      <c r="AK118" s="42" t="s">
        <v>1438</v>
      </c>
      <c r="AL118" s="42"/>
      <c r="AM118" s="42"/>
      <c r="AN118" s="42"/>
      <c r="AO118" s="42"/>
      <c r="AP118" s="42"/>
      <c r="AQ118" s="42"/>
      <c r="AR118" s="42"/>
      <c r="AS118" s="42"/>
      <c r="AT118" s="42"/>
      <c r="AU118" s="42"/>
      <c r="AV118" s="42"/>
      <c r="AW118" s="42"/>
      <c r="AX118" s="42"/>
      <c r="AY118" s="42"/>
      <c r="AZ118" s="42"/>
    </row>
    <row r="119" spans="1:52" ht="20.100000000000001" customHeight="1" x14ac:dyDescent="0.25">
      <c r="A119" s="39">
        <v>119</v>
      </c>
      <c r="B119" s="40" t="s">
        <v>1382</v>
      </c>
      <c r="C119" s="16"/>
      <c r="D119" s="17"/>
      <c r="E119" s="17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56"/>
      <c r="R119" s="56"/>
      <c r="S119" s="56"/>
      <c r="T119" s="58"/>
      <c r="U119" s="58"/>
      <c r="V119" s="58"/>
      <c r="W119" s="58"/>
      <c r="X119" s="58"/>
      <c r="Y119" s="58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 t="s">
        <v>1439</v>
      </c>
      <c r="AL119" s="42"/>
      <c r="AM119" s="42"/>
      <c r="AN119" s="42"/>
      <c r="AO119" s="42"/>
      <c r="AP119" s="42"/>
      <c r="AQ119" s="42"/>
      <c r="AR119" s="42"/>
      <c r="AS119" s="42"/>
      <c r="AT119" s="42"/>
      <c r="AU119" s="42"/>
      <c r="AV119" s="42"/>
      <c r="AW119" s="42"/>
      <c r="AX119" s="42"/>
      <c r="AY119" s="42"/>
      <c r="AZ119" s="42"/>
    </row>
    <row r="120" spans="1:52" ht="20.100000000000001" customHeight="1" x14ac:dyDescent="0.25">
      <c r="A120" s="39">
        <v>120</v>
      </c>
      <c r="B120" s="40" t="s">
        <v>1383</v>
      </c>
      <c r="C120" s="16"/>
      <c r="D120" s="17"/>
      <c r="E120" s="17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56"/>
      <c r="R120" s="56"/>
      <c r="S120" s="56"/>
      <c r="T120" s="58"/>
      <c r="U120" s="58"/>
      <c r="V120" s="58"/>
      <c r="W120" s="58"/>
      <c r="X120" s="58"/>
      <c r="Y120" s="58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 t="s">
        <v>1440</v>
      </c>
      <c r="AK120" s="42" t="s">
        <v>1441</v>
      </c>
      <c r="AL120" s="42"/>
      <c r="AM120" s="42"/>
      <c r="AN120" s="42"/>
      <c r="AO120" s="42"/>
      <c r="AP120" s="42"/>
      <c r="AQ120" s="42"/>
      <c r="AR120" s="42"/>
      <c r="AS120" s="42"/>
      <c r="AT120" s="42"/>
      <c r="AU120" s="42"/>
      <c r="AV120" s="42"/>
      <c r="AW120" s="42"/>
      <c r="AX120" s="42"/>
      <c r="AY120" s="42"/>
      <c r="AZ120" s="42"/>
    </row>
    <row r="121" spans="1:52" ht="20.100000000000001" customHeight="1" x14ac:dyDescent="0.25">
      <c r="A121" s="39">
        <v>121</v>
      </c>
      <c r="B121" s="40" t="s">
        <v>1384</v>
      </c>
      <c r="C121" s="16"/>
      <c r="D121" s="17"/>
      <c r="E121" s="17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56"/>
      <c r="R121" s="56"/>
      <c r="S121" s="56"/>
      <c r="T121" s="58"/>
      <c r="U121" s="58"/>
      <c r="V121" s="58"/>
      <c r="W121" s="58"/>
      <c r="X121" s="58"/>
      <c r="Y121" s="58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 t="s">
        <v>1442</v>
      </c>
      <c r="AL121" s="42"/>
      <c r="AM121" s="42"/>
      <c r="AN121" s="42"/>
      <c r="AO121" s="42"/>
      <c r="AP121" s="42"/>
      <c r="AQ121" s="42"/>
      <c r="AR121" s="42"/>
      <c r="AS121" s="42"/>
      <c r="AT121" s="42"/>
      <c r="AU121" s="42"/>
      <c r="AV121" s="42"/>
      <c r="AW121" s="42"/>
      <c r="AX121" s="42"/>
      <c r="AY121" s="42"/>
      <c r="AZ121" s="42"/>
    </row>
    <row r="122" spans="1:52" ht="20.100000000000001" customHeight="1" x14ac:dyDescent="0.25">
      <c r="A122" s="39">
        <v>122</v>
      </c>
      <c r="B122" s="63" t="s">
        <v>1385</v>
      </c>
      <c r="C122" s="16"/>
      <c r="D122" s="17"/>
      <c r="E122" s="17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56"/>
      <c r="R122" s="56"/>
      <c r="S122" s="56"/>
      <c r="T122" s="58"/>
      <c r="U122" s="58"/>
      <c r="V122" s="58"/>
      <c r="W122" s="58"/>
      <c r="X122" s="58"/>
      <c r="Y122" s="58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 t="s">
        <v>1443</v>
      </c>
      <c r="AK122" s="42" t="s">
        <v>1444</v>
      </c>
      <c r="AL122" s="42"/>
      <c r="AM122" s="42"/>
      <c r="AN122" s="42"/>
      <c r="AO122" s="42"/>
      <c r="AP122" s="42"/>
      <c r="AQ122" s="42"/>
      <c r="AR122" s="42"/>
      <c r="AS122" s="42"/>
      <c r="AT122" s="42"/>
      <c r="AU122" s="42"/>
      <c r="AV122" s="42"/>
      <c r="AW122" s="42"/>
      <c r="AX122" s="42"/>
      <c r="AY122" s="42"/>
      <c r="AZ122" s="42"/>
    </row>
    <row r="123" spans="1:52" ht="20.100000000000001" customHeight="1" x14ac:dyDescent="0.25">
      <c r="A123" s="39">
        <v>123</v>
      </c>
      <c r="B123" s="63" t="s">
        <v>1386</v>
      </c>
      <c r="C123" s="16"/>
      <c r="D123" s="17"/>
      <c r="E123" s="17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56"/>
      <c r="R123" s="56"/>
      <c r="S123" s="56"/>
      <c r="T123" s="58"/>
      <c r="U123" s="58"/>
      <c r="V123" s="58"/>
      <c r="W123" s="58"/>
      <c r="X123" s="58"/>
      <c r="Y123" s="58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 t="s">
        <v>1445</v>
      </c>
      <c r="AK123" s="42" t="s">
        <v>1446</v>
      </c>
      <c r="AL123" s="42"/>
      <c r="AM123" s="42"/>
      <c r="AN123" s="42"/>
      <c r="AO123" s="42"/>
      <c r="AP123" s="42"/>
      <c r="AQ123" s="42"/>
      <c r="AR123" s="42"/>
      <c r="AS123" s="42"/>
      <c r="AT123" s="42"/>
      <c r="AU123" s="42"/>
      <c r="AV123" s="42"/>
      <c r="AW123" s="42"/>
      <c r="AX123" s="42"/>
      <c r="AY123" s="42"/>
      <c r="AZ123" s="42"/>
    </row>
    <row r="124" spans="1:52" ht="20.100000000000001" customHeight="1" x14ac:dyDescent="0.25">
      <c r="A124" s="39">
        <v>124</v>
      </c>
      <c r="B124" s="40" t="s">
        <v>1387</v>
      </c>
      <c r="C124" s="16"/>
      <c r="D124" s="17"/>
      <c r="E124" s="17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56"/>
      <c r="R124" s="56"/>
      <c r="S124" s="56"/>
      <c r="T124" s="58"/>
      <c r="U124" s="58"/>
      <c r="V124" s="58"/>
      <c r="W124" s="58"/>
      <c r="X124" s="58"/>
      <c r="Y124" s="58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 t="s">
        <v>1447</v>
      </c>
      <c r="AK124" s="42"/>
      <c r="AL124" s="42"/>
      <c r="AM124" s="42"/>
      <c r="AN124" s="42"/>
      <c r="AO124" s="42"/>
      <c r="AP124" s="42"/>
      <c r="AQ124" s="42"/>
      <c r="AR124" s="42"/>
      <c r="AS124" s="42"/>
      <c r="AT124" s="42"/>
      <c r="AU124" s="42"/>
      <c r="AV124" s="42"/>
      <c r="AW124" s="42"/>
      <c r="AX124" s="42"/>
      <c r="AY124" s="42"/>
      <c r="AZ124" s="42"/>
    </row>
    <row r="125" spans="1:52" ht="20.100000000000001" customHeight="1" x14ac:dyDescent="0.25">
      <c r="A125" s="39">
        <v>125</v>
      </c>
      <c r="B125" s="63" t="s">
        <v>1388</v>
      </c>
      <c r="C125" s="16"/>
      <c r="D125" s="17"/>
      <c r="E125" s="17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56"/>
      <c r="R125" s="56"/>
      <c r="S125" s="56"/>
      <c r="T125" s="58"/>
      <c r="U125" s="58"/>
      <c r="V125" s="58"/>
      <c r="W125" s="58"/>
      <c r="X125" s="58"/>
      <c r="Y125" s="58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 t="s">
        <v>1448</v>
      </c>
      <c r="AK125" s="42" t="s">
        <v>1449</v>
      </c>
      <c r="AL125" s="42"/>
      <c r="AM125" s="42"/>
      <c r="AN125" s="42"/>
      <c r="AO125" s="42"/>
      <c r="AP125" s="42"/>
      <c r="AQ125" s="42"/>
      <c r="AR125" s="42"/>
      <c r="AS125" s="42"/>
      <c r="AT125" s="42"/>
      <c r="AU125" s="42"/>
      <c r="AV125" s="42"/>
      <c r="AW125" s="42"/>
      <c r="AX125" s="42"/>
      <c r="AY125" s="42"/>
      <c r="AZ125" s="42"/>
    </row>
    <row r="126" spans="1:52" ht="20.100000000000001" customHeight="1" x14ac:dyDescent="0.25">
      <c r="A126" s="39">
        <v>126</v>
      </c>
      <c r="B126" s="40" t="s">
        <v>1389</v>
      </c>
      <c r="C126" s="16"/>
      <c r="D126" s="17"/>
      <c r="E126" s="17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56"/>
      <c r="R126" s="56"/>
      <c r="S126" s="56"/>
      <c r="T126" s="58"/>
      <c r="U126" s="58"/>
      <c r="V126" s="58"/>
      <c r="W126" s="58"/>
      <c r="X126" s="58"/>
      <c r="Y126" s="58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 t="s">
        <v>1094</v>
      </c>
      <c r="AL126" s="42"/>
      <c r="AM126" s="42"/>
      <c r="AN126" s="42"/>
      <c r="AO126" s="42"/>
      <c r="AP126" s="42"/>
      <c r="AQ126" s="42"/>
      <c r="AR126" s="42"/>
      <c r="AS126" s="42"/>
      <c r="AT126" s="42"/>
      <c r="AU126" s="42"/>
      <c r="AV126" s="42"/>
      <c r="AW126" s="42"/>
      <c r="AX126" s="42"/>
      <c r="AY126" s="42"/>
      <c r="AZ126" s="42"/>
    </row>
    <row r="127" spans="1:52" ht="20.100000000000001" customHeight="1" x14ac:dyDescent="0.25">
      <c r="A127" s="39">
        <v>127</v>
      </c>
      <c r="B127" s="63" t="s">
        <v>1390</v>
      </c>
      <c r="C127" s="16"/>
      <c r="D127" s="17"/>
      <c r="E127" s="17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56"/>
      <c r="R127" s="56"/>
      <c r="S127" s="56"/>
      <c r="T127" s="58"/>
      <c r="U127" s="58"/>
      <c r="V127" s="58"/>
      <c r="W127" s="58"/>
      <c r="X127" s="58"/>
      <c r="Y127" s="58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 t="s">
        <v>1450</v>
      </c>
      <c r="AK127" s="42" t="s">
        <v>1451</v>
      </c>
      <c r="AL127" s="42"/>
      <c r="AM127" s="42"/>
      <c r="AN127" s="42"/>
      <c r="AO127" s="42"/>
      <c r="AP127" s="42"/>
      <c r="AQ127" s="42"/>
      <c r="AR127" s="42"/>
      <c r="AS127" s="42"/>
      <c r="AT127" s="42"/>
      <c r="AU127" s="42"/>
      <c r="AV127" s="42"/>
      <c r="AW127" s="42"/>
      <c r="AX127" s="42"/>
      <c r="AY127" s="42"/>
      <c r="AZ127" s="42"/>
    </row>
    <row r="128" spans="1:52" ht="20.100000000000001" customHeight="1" x14ac:dyDescent="0.25">
      <c r="A128" s="39">
        <v>128</v>
      </c>
      <c r="B128" s="63" t="s">
        <v>1391</v>
      </c>
      <c r="C128" s="16"/>
      <c r="D128" s="17"/>
      <c r="E128" s="17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56"/>
      <c r="R128" s="56"/>
      <c r="S128" s="56"/>
      <c r="T128" s="58"/>
      <c r="U128" s="58"/>
      <c r="V128" s="58"/>
      <c r="W128" s="58"/>
      <c r="X128" s="58"/>
      <c r="Y128" s="58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 t="s">
        <v>1452</v>
      </c>
      <c r="AK128" s="42" t="s">
        <v>1453</v>
      </c>
      <c r="AL128" s="42"/>
      <c r="AM128" s="42"/>
      <c r="AN128" s="42"/>
      <c r="AO128" s="42"/>
      <c r="AP128" s="42"/>
      <c r="AQ128" s="42"/>
      <c r="AR128" s="42"/>
      <c r="AS128" s="42"/>
      <c r="AT128" s="42"/>
      <c r="AU128" s="42"/>
      <c r="AV128" s="42"/>
      <c r="AW128" s="42"/>
      <c r="AX128" s="42"/>
      <c r="AY128" s="42"/>
      <c r="AZ128" s="42"/>
    </row>
    <row r="129" spans="1:52" ht="20.100000000000001" customHeight="1" x14ac:dyDescent="0.25">
      <c r="A129" s="39">
        <v>129</v>
      </c>
      <c r="B129" s="40" t="s">
        <v>1392</v>
      </c>
      <c r="C129" s="16"/>
      <c r="D129" s="17"/>
      <c r="E129" s="17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56"/>
      <c r="R129" s="56"/>
      <c r="S129" s="56"/>
      <c r="T129" s="58"/>
      <c r="U129" s="58"/>
      <c r="V129" s="58"/>
      <c r="W129" s="58"/>
      <c r="X129" s="58"/>
      <c r="Y129" s="58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 t="s">
        <v>1454</v>
      </c>
      <c r="AK129" s="42" t="s">
        <v>1455</v>
      </c>
      <c r="AL129" s="42"/>
      <c r="AM129" s="42"/>
      <c r="AN129" s="42"/>
      <c r="AO129" s="42"/>
      <c r="AP129" s="42"/>
      <c r="AQ129" s="42"/>
      <c r="AR129" s="42"/>
      <c r="AS129" s="42"/>
      <c r="AT129" s="42"/>
      <c r="AU129" s="42"/>
      <c r="AV129" s="42"/>
      <c r="AW129" s="42"/>
      <c r="AX129" s="42"/>
      <c r="AY129" s="42"/>
      <c r="AZ129" s="42"/>
    </row>
    <row r="130" spans="1:52" ht="20.100000000000001" customHeight="1" x14ac:dyDescent="0.25">
      <c r="A130" s="39">
        <v>130</v>
      </c>
      <c r="B130" s="40" t="s">
        <v>1393</v>
      </c>
      <c r="C130" s="16"/>
      <c r="D130" s="17"/>
      <c r="E130" s="17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56"/>
      <c r="R130" s="56"/>
      <c r="S130" s="56"/>
      <c r="T130" s="58"/>
      <c r="U130" s="58"/>
      <c r="V130" s="58"/>
      <c r="W130" s="58"/>
      <c r="X130" s="58"/>
      <c r="Y130" s="58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 t="s">
        <v>1456</v>
      </c>
      <c r="AK130" s="42" t="s">
        <v>1456</v>
      </c>
      <c r="AL130" s="42"/>
      <c r="AM130" s="42"/>
      <c r="AN130" s="42"/>
      <c r="AO130" s="42"/>
      <c r="AP130" s="42"/>
      <c r="AQ130" s="42"/>
      <c r="AR130" s="42"/>
      <c r="AS130" s="42"/>
      <c r="AT130" s="42"/>
      <c r="AU130" s="42"/>
      <c r="AV130" s="42"/>
      <c r="AW130" s="42"/>
      <c r="AX130" s="42"/>
      <c r="AY130" s="42"/>
      <c r="AZ130" s="42"/>
    </row>
    <row r="131" spans="1:52" ht="20.100000000000001" customHeight="1" x14ac:dyDescent="0.25">
      <c r="A131" s="39">
        <v>131</v>
      </c>
      <c r="B131" s="40" t="s">
        <v>1394</v>
      </c>
      <c r="C131" s="16"/>
      <c r="D131" s="17"/>
      <c r="E131" s="17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56"/>
      <c r="R131" s="56"/>
      <c r="S131" s="56"/>
      <c r="T131" s="58"/>
      <c r="U131" s="58"/>
      <c r="V131" s="58"/>
      <c r="W131" s="58"/>
      <c r="X131" s="58"/>
      <c r="Y131" s="58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 t="s">
        <v>1457</v>
      </c>
      <c r="AK131" s="42" t="s">
        <v>1458</v>
      </c>
      <c r="AL131" s="42"/>
      <c r="AM131" s="42"/>
      <c r="AN131" s="42"/>
      <c r="AO131" s="42"/>
      <c r="AP131" s="42"/>
      <c r="AQ131" s="42"/>
      <c r="AR131" s="42"/>
      <c r="AS131" s="42"/>
      <c r="AT131" s="42"/>
      <c r="AU131" s="42"/>
      <c r="AV131" s="42"/>
      <c r="AW131" s="42"/>
      <c r="AX131" s="42"/>
      <c r="AY131" s="42"/>
      <c r="AZ131" s="42"/>
    </row>
    <row r="132" spans="1:52" ht="20.100000000000001" customHeight="1" x14ac:dyDescent="0.25">
      <c r="A132" s="39">
        <v>132</v>
      </c>
      <c r="B132" s="40" t="s">
        <v>1395</v>
      </c>
      <c r="C132" s="16"/>
      <c r="D132" s="17"/>
      <c r="E132" s="17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56"/>
      <c r="R132" s="56"/>
      <c r="S132" s="56"/>
      <c r="T132" s="58"/>
      <c r="U132" s="58"/>
      <c r="V132" s="58"/>
      <c r="W132" s="58"/>
      <c r="X132" s="58"/>
      <c r="Y132" s="58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 t="s">
        <v>1459</v>
      </c>
      <c r="AK132" s="42" t="s">
        <v>1460</v>
      </c>
      <c r="AL132" s="42"/>
      <c r="AM132" s="42"/>
      <c r="AN132" s="42"/>
      <c r="AO132" s="42"/>
      <c r="AP132" s="42"/>
      <c r="AQ132" s="42"/>
      <c r="AR132" s="42"/>
      <c r="AS132" s="42"/>
      <c r="AT132" s="42"/>
      <c r="AU132" s="42"/>
      <c r="AV132" s="42"/>
      <c r="AW132" s="42"/>
      <c r="AX132" s="42"/>
      <c r="AY132" s="42"/>
      <c r="AZ132" s="42"/>
    </row>
    <row r="133" spans="1:52" ht="20.100000000000001" customHeight="1" x14ac:dyDescent="0.25">
      <c r="A133" s="39">
        <v>133</v>
      </c>
      <c r="B133" s="40" t="s">
        <v>1396</v>
      </c>
      <c r="C133" s="16"/>
      <c r="D133" s="17"/>
      <c r="E133" s="17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56"/>
      <c r="R133" s="56"/>
      <c r="S133" s="56"/>
      <c r="T133" s="58"/>
      <c r="U133" s="58"/>
      <c r="V133" s="58"/>
      <c r="W133" s="58"/>
      <c r="X133" s="58"/>
      <c r="Y133" s="58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 t="s">
        <v>1461</v>
      </c>
      <c r="AK133" s="42" t="s">
        <v>1462</v>
      </c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spans="1:52" ht="20.100000000000001" customHeight="1" x14ac:dyDescent="0.25">
      <c r="A134" s="39">
        <v>134</v>
      </c>
      <c r="B134" s="40" t="s">
        <v>1397</v>
      </c>
      <c r="C134" s="16"/>
      <c r="D134" s="17"/>
      <c r="E134" s="17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56"/>
      <c r="R134" s="56"/>
      <c r="S134" s="56"/>
      <c r="T134" s="58"/>
      <c r="U134" s="58"/>
      <c r="V134" s="58"/>
      <c r="W134" s="58"/>
      <c r="X134" s="58"/>
      <c r="Y134" s="58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 t="s">
        <v>1463</v>
      </c>
      <c r="AK134" s="42" t="s">
        <v>1464</v>
      </c>
      <c r="AL134" s="42"/>
      <c r="AM134" s="42"/>
      <c r="AN134" s="42"/>
      <c r="AO134" s="42"/>
      <c r="AP134" s="42"/>
      <c r="AQ134" s="42"/>
      <c r="AR134" s="42"/>
      <c r="AS134" s="42"/>
      <c r="AT134" s="42"/>
      <c r="AU134" s="42"/>
      <c r="AV134" s="42"/>
      <c r="AW134" s="42"/>
      <c r="AX134" s="42"/>
      <c r="AY134" s="42"/>
      <c r="AZ134" s="42"/>
    </row>
    <row r="135" spans="1:52" ht="20.100000000000001" customHeight="1" x14ac:dyDescent="0.25">
      <c r="A135" s="39">
        <v>135</v>
      </c>
      <c r="B135" s="40" t="s">
        <v>1398</v>
      </c>
      <c r="C135" s="16"/>
      <c r="D135" s="17"/>
      <c r="E135" s="17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56"/>
      <c r="R135" s="56"/>
      <c r="S135" s="56"/>
      <c r="T135" s="58"/>
      <c r="U135" s="58"/>
      <c r="V135" s="58"/>
      <c r="W135" s="58"/>
      <c r="X135" s="58"/>
      <c r="Y135" s="58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 t="s">
        <v>1465</v>
      </c>
      <c r="AL135" s="42"/>
      <c r="AM135" s="42"/>
      <c r="AN135" s="42"/>
      <c r="AO135" s="42"/>
      <c r="AP135" s="42"/>
      <c r="AQ135" s="42"/>
      <c r="AR135" s="42"/>
      <c r="AS135" s="42"/>
      <c r="AT135" s="42"/>
      <c r="AU135" s="42"/>
      <c r="AV135" s="42"/>
      <c r="AW135" s="42"/>
      <c r="AX135" s="42"/>
      <c r="AY135" s="42"/>
      <c r="AZ135" s="42"/>
    </row>
    <row r="136" spans="1:52" ht="20.100000000000001" customHeight="1" x14ac:dyDescent="0.25">
      <c r="A136" s="39">
        <v>136</v>
      </c>
      <c r="B136" s="40" t="s">
        <v>1399</v>
      </c>
      <c r="C136" s="16"/>
      <c r="D136" s="17"/>
      <c r="E136" s="17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56"/>
      <c r="R136" s="56"/>
      <c r="S136" s="56"/>
      <c r="T136" s="58"/>
      <c r="U136" s="58"/>
      <c r="V136" s="58"/>
      <c r="W136" s="58"/>
      <c r="X136" s="58"/>
      <c r="Y136" s="58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 t="s">
        <v>1466</v>
      </c>
      <c r="AK136" s="42" t="s">
        <v>1467</v>
      </c>
      <c r="AL136" s="42"/>
      <c r="AM136" s="42"/>
      <c r="AN136" s="42"/>
      <c r="AO136" s="42"/>
      <c r="AP136" s="42"/>
      <c r="AQ136" s="42"/>
      <c r="AR136" s="42"/>
      <c r="AS136" s="42"/>
      <c r="AT136" s="42"/>
      <c r="AU136" s="42"/>
      <c r="AV136" s="42"/>
      <c r="AW136" s="42"/>
      <c r="AX136" s="42"/>
      <c r="AY136" s="42"/>
      <c r="AZ136" s="42"/>
    </row>
    <row r="137" spans="1:52" ht="20.100000000000001" customHeight="1" x14ac:dyDescent="0.25">
      <c r="A137" s="39">
        <v>137</v>
      </c>
      <c r="B137" s="40" t="s">
        <v>1400</v>
      </c>
      <c r="C137" s="16"/>
      <c r="D137" s="17"/>
      <c r="E137" s="17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56"/>
      <c r="R137" s="56"/>
      <c r="S137" s="56"/>
      <c r="T137" s="58"/>
      <c r="U137" s="58"/>
      <c r="V137" s="58"/>
      <c r="W137" s="58"/>
      <c r="X137" s="58"/>
      <c r="Y137" s="58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 t="s">
        <v>1468</v>
      </c>
      <c r="AL137" s="42"/>
      <c r="AM137" s="42"/>
      <c r="AN137" s="42"/>
      <c r="AO137" s="42"/>
      <c r="AP137" s="42"/>
      <c r="AQ137" s="42"/>
      <c r="AR137" s="42"/>
      <c r="AS137" s="42"/>
      <c r="AT137" s="42"/>
      <c r="AU137" s="42"/>
      <c r="AV137" s="42"/>
      <c r="AW137" s="42"/>
      <c r="AX137" s="42"/>
      <c r="AY137" s="42"/>
      <c r="AZ137" s="42"/>
    </row>
    <row r="138" spans="1:52" ht="20.100000000000001" customHeight="1" x14ac:dyDescent="0.25">
      <c r="A138" s="39">
        <v>138</v>
      </c>
      <c r="B138" s="40" t="s">
        <v>1401</v>
      </c>
      <c r="C138" s="16"/>
      <c r="D138" s="17"/>
      <c r="E138" s="17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56"/>
      <c r="R138" s="56"/>
      <c r="S138" s="56"/>
      <c r="T138" s="58"/>
      <c r="U138" s="58"/>
      <c r="V138" s="58"/>
      <c r="W138" s="58"/>
      <c r="X138" s="58"/>
      <c r="Y138" s="58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 t="s">
        <v>1469</v>
      </c>
      <c r="AK138" s="42" t="s">
        <v>1470</v>
      </c>
      <c r="AL138" s="42"/>
      <c r="AM138" s="42"/>
      <c r="AN138" s="42"/>
      <c r="AO138" s="42"/>
      <c r="AP138" s="42"/>
      <c r="AQ138" s="42"/>
      <c r="AR138" s="42"/>
      <c r="AS138" s="42"/>
      <c r="AT138" s="42"/>
      <c r="AU138" s="42"/>
      <c r="AV138" s="42"/>
      <c r="AW138" s="42"/>
      <c r="AX138" s="42"/>
      <c r="AY138" s="42"/>
      <c r="AZ138" s="42"/>
    </row>
    <row r="139" spans="1:52" ht="20.100000000000001" customHeight="1" x14ac:dyDescent="0.25">
      <c r="A139" s="39">
        <v>139</v>
      </c>
      <c r="B139" s="40" t="s">
        <v>1402</v>
      </c>
      <c r="C139" s="16"/>
      <c r="D139" s="17"/>
      <c r="E139" s="17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56"/>
      <c r="R139" s="56"/>
      <c r="S139" s="56"/>
      <c r="T139" s="58"/>
      <c r="U139" s="58"/>
      <c r="V139" s="58"/>
      <c r="W139" s="58"/>
      <c r="X139" s="58"/>
      <c r="Y139" s="58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 t="s">
        <v>1471</v>
      </c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spans="1:52" ht="20.100000000000001" customHeight="1" x14ac:dyDescent="0.25">
      <c r="A140" s="39">
        <v>140</v>
      </c>
      <c r="B140" s="40" t="s">
        <v>1403</v>
      </c>
      <c r="C140" s="16"/>
      <c r="D140" s="17"/>
      <c r="E140" s="17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56"/>
      <c r="R140" s="56"/>
      <c r="S140" s="56"/>
      <c r="T140" s="58"/>
      <c r="U140" s="58"/>
      <c r="V140" s="58"/>
      <c r="W140" s="58"/>
      <c r="X140" s="58"/>
      <c r="Y140" s="58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 t="s">
        <v>1471</v>
      </c>
      <c r="AK140" s="42"/>
      <c r="AL140" s="42"/>
      <c r="AM140" s="42"/>
      <c r="AN140" s="42"/>
      <c r="AO140" s="42"/>
      <c r="AP140" s="42"/>
      <c r="AQ140" s="42"/>
      <c r="AR140" s="42"/>
      <c r="AS140" s="42"/>
      <c r="AT140" s="42"/>
      <c r="AU140" s="42"/>
      <c r="AV140" s="42"/>
      <c r="AW140" s="42"/>
      <c r="AX140" s="42"/>
      <c r="AY140" s="42"/>
      <c r="AZ140" s="42"/>
    </row>
    <row r="141" spans="1:52" ht="20.100000000000001" customHeight="1" x14ac:dyDescent="0.25">
      <c r="A141" s="39">
        <v>141</v>
      </c>
      <c r="B141" s="40" t="s">
        <v>1404</v>
      </c>
      <c r="C141" s="16"/>
      <c r="D141" s="17"/>
      <c r="E141" s="17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56"/>
      <c r="R141" s="56"/>
      <c r="S141" s="56"/>
      <c r="T141" s="58"/>
      <c r="U141" s="58"/>
      <c r="V141" s="58"/>
      <c r="W141" s="58"/>
      <c r="X141" s="58"/>
      <c r="Y141" s="58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>
        <v>575</v>
      </c>
      <c r="AK141" s="42">
        <v>576</v>
      </c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</row>
    <row r="142" spans="1:52" ht="20.100000000000001" customHeight="1" x14ac:dyDescent="0.25">
      <c r="A142" s="39">
        <v>142</v>
      </c>
      <c r="B142" s="40" t="s">
        <v>275</v>
      </c>
      <c r="C142" s="16"/>
      <c r="D142" s="17"/>
      <c r="E142" s="17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56"/>
      <c r="R142" s="56"/>
      <c r="S142" s="56"/>
      <c r="T142" s="58"/>
      <c r="U142" s="58"/>
      <c r="V142" s="58"/>
      <c r="W142" s="58"/>
      <c r="X142" s="58"/>
      <c r="Y142" s="58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>
        <v>575</v>
      </c>
      <c r="AK142" s="42">
        <v>576</v>
      </c>
      <c r="AL142" s="42"/>
      <c r="AM142" s="42"/>
      <c r="AN142" s="42"/>
      <c r="AO142" s="42"/>
      <c r="AP142" s="42"/>
      <c r="AQ142" s="42"/>
      <c r="AR142" s="42"/>
      <c r="AS142" s="42"/>
      <c r="AT142" s="42"/>
      <c r="AU142" s="42"/>
      <c r="AV142" s="42"/>
      <c r="AW142" s="42"/>
      <c r="AX142" s="42"/>
      <c r="AY142" s="42"/>
      <c r="AZ142" s="42"/>
    </row>
    <row r="143" spans="1:52" ht="20.100000000000001" customHeight="1" x14ac:dyDescent="0.25">
      <c r="A143" s="39">
        <v>143</v>
      </c>
      <c r="B143" s="40" t="s">
        <v>1405</v>
      </c>
      <c r="C143" s="16"/>
      <c r="D143" s="17"/>
      <c r="E143" s="17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56"/>
      <c r="R143" s="56"/>
      <c r="S143" s="56"/>
      <c r="T143" s="58"/>
      <c r="U143" s="58"/>
      <c r="V143" s="58"/>
      <c r="W143" s="58"/>
      <c r="X143" s="58"/>
      <c r="Y143" s="58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>
        <v>575</v>
      </c>
      <c r="AK143" s="42">
        <v>576</v>
      </c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spans="1:52" ht="20.100000000000001" customHeight="1" x14ac:dyDescent="0.25">
      <c r="A144" s="39">
        <v>144</v>
      </c>
      <c r="B144" s="40" t="s">
        <v>1406</v>
      </c>
      <c r="C144" s="16"/>
      <c r="D144" s="17"/>
      <c r="E144" s="17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56"/>
      <c r="R144" s="56"/>
      <c r="S144" s="56"/>
      <c r="T144" s="58"/>
      <c r="U144" s="58"/>
      <c r="V144" s="58"/>
      <c r="W144" s="58"/>
      <c r="X144" s="58"/>
      <c r="Y144" s="58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>
        <v>575</v>
      </c>
      <c r="AK144" s="42">
        <v>576</v>
      </c>
      <c r="AL144" s="42"/>
      <c r="AM144" s="42"/>
      <c r="AN144" s="42"/>
      <c r="AO144" s="42"/>
      <c r="AP144" s="42"/>
      <c r="AQ144" s="42"/>
      <c r="AR144" s="42"/>
      <c r="AS144" s="42"/>
      <c r="AT144" s="42"/>
      <c r="AU144" s="42"/>
      <c r="AV144" s="42"/>
      <c r="AW144" s="42"/>
      <c r="AX144" s="42"/>
      <c r="AY144" s="42"/>
      <c r="AZ144" s="42"/>
    </row>
    <row r="145" spans="1:52" ht="20.100000000000001" customHeight="1" x14ac:dyDescent="0.25">
      <c r="A145" s="39">
        <v>145</v>
      </c>
      <c r="B145" s="40" t="s">
        <v>1407</v>
      </c>
      <c r="C145" s="16"/>
      <c r="D145" s="17"/>
      <c r="E145" s="17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56"/>
      <c r="R145" s="56"/>
      <c r="S145" s="56"/>
      <c r="T145" s="58"/>
      <c r="U145" s="58"/>
      <c r="V145" s="58"/>
      <c r="W145" s="58"/>
      <c r="X145" s="58"/>
      <c r="Y145" s="58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>
        <v>575</v>
      </c>
      <c r="AK145" s="42">
        <v>576</v>
      </c>
      <c r="AL145" s="42"/>
      <c r="AM145" s="42"/>
      <c r="AN145" s="42"/>
      <c r="AO145" s="42"/>
      <c r="AP145" s="42"/>
      <c r="AQ145" s="42"/>
      <c r="AR145" s="42"/>
      <c r="AS145" s="42"/>
      <c r="AT145" s="42"/>
      <c r="AU145" s="42"/>
      <c r="AV145" s="42"/>
      <c r="AW145" s="42"/>
      <c r="AX145" s="42"/>
      <c r="AY145" s="42"/>
      <c r="AZ145" s="42"/>
    </row>
    <row r="146" spans="1:52" ht="20.100000000000001" customHeight="1" x14ac:dyDescent="0.25">
      <c r="A146" s="39">
        <v>146</v>
      </c>
      <c r="B146" s="40" t="s">
        <v>1472</v>
      </c>
      <c r="C146" s="16"/>
      <c r="D146" s="17"/>
      <c r="E146" s="17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56"/>
      <c r="R146" s="56"/>
      <c r="S146" s="56"/>
      <c r="T146" s="58"/>
      <c r="U146" s="58"/>
      <c r="V146" s="58"/>
      <c r="W146" s="58"/>
      <c r="X146" s="58"/>
      <c r="Y146" s="58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 t="s">
        <v>1481</v>
      </c>
      <c r="AM146" s="42"/>
      <c r="AN146" s="42"/>
      <c r="AO146" s="42"/>
      <c r="AP146" s="42"/>
      <c r="AQ146" s="42"/>
      <c r="AR146" s="42"/>
      <c r="AS146" s="42"/>
      <c r="AT146" s="42"/>
      <c r="AU146" s="42"/>
      <c r="AV146" s="42"/>
      <c r="AW146" s="42"/>
      <c r="AX146" s="42"/>
      <c r="AY146" s="42"/>
      <c r="AZ146" s="42"/>
    </row>
    <row r="147" spans="1:52" ht="20.100000000000001" customHeight="1" x14ac:dyDescent="0.25">
      <c r="A147" s="39">
        <v>147</v>
      </c>
      <c r="B147" s="40" t="s">
        <v>1473</v>
      </c>
      <c r="C147" s="16"/>
      <c r="D147" s="17"/>
      <c r="E147" s="17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56"/>
      <c r="R147" s="56"/>
      <c r="S147" s="56"/>
      <c r="T147" s="58"/>
      <c r="U147" s="58"/>
      <c r="V147" s="58"/>
      <c r="W147" s="58"/>
      <c r="X147" s="58"/>
      <c r="Y147" s="58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 t="s">
        <v>1482</v>
      </c>
      <c r="AM147" s="42"/>
      <c r="AN147" s="42"/>
      <c r="AO147" s="42"/>
      <c r="AP147" s="42"/>
      <c r="AQ147" s="42"/>
      <c r="AR147" s="42"/>
      <c r="AS147" s="42"/>
      <c r="AT147" s="42"/>
      <c r="AU147" s="42"/>
      <c r="AV147" s="42"/>
      <c r="AW147" s="42"/>
      <c r="AX147" s="42"/>
      <c r="AY147" s="42"/>
      <c r="AZ147" s="42"/>
    </row>
    <row r="148" spans="1:52" ht="20.100000000000001" customHeight="1" x14ac:dyDescent="0.25">
      <c r="A148" s="39">
        <v>148</v>
      </c>
      <c r="B148" s="40" t="s">
        <v>1474</v>
      </c>
      <c r="C148" s="16"/>
      <c r="D148" s="17"/>
      <c r="E148" s="17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56"/>
      <c r="R148" s="56"/>
      <c r="S148" s="56"/>
      <c r="T148" s="58"/>
      <c r="U148" s="58"/>
      <c r="V148" s="58"/>
      <c r="W148" s="58"/>
      <c r="X148" s="58"/>
      <c r="Y148" s="58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 t="s">
        <v>1483</v>
      </c>
      <c r="AM148" s="42"/>
      <c r="AN148" s="42"/>
      <c r="AO148" s="42"/>
      <c r="AP148" s="42"/>
      <c r="AQ148" s="42"/>
      <c r="AR148" s="42"/>
      <c r="AS148" s="42"/>
      <c r="AT148" s="42"/>
      <c r="AU148" s="42"/>
      <c r="AV148" s="42"/>
      <c r="AW148" s="42"/>
      <c r="AX148" s="42"/>
      <c r="AY148" s="42"/>
      <c r="AZ148" s="42"/>
    </row>
    <row r="149" spans="1:52" ht="20.100000000000001" customHeight="1" x14ac:dyDescent="0.25">
      <c r="A149" s="39">
        <v>149</v>
      </c>
      <c r="B149" s="40" t="s">
        <v>1475</v>
      </c>
      <c r="C149" s="16"/>
      <c r="D149" s="17"/>
      <c r="E149" s="17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56"/>
      <c r="R149" s="56"/>
      <c r="S149" s="56"/>
      <c r="T149" s="58"/>
      <c r="U149" s="58"/>
      <c r="V149" s="58"/>
      <c r="W149" s="58"/>
      <c r="X149" s="58"/>
      <c r="Y149" s="58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 t="s">
        <v>1484</v>
      </c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spans="1:52" ht="20.100000000000001" customHeight="1" x14ac:dyDescent="0.25">
      <c r="A150" s="39">
        <v>150</v>
      </c>
      <c r="B150" s="40" t="s">
        <v>1476</v>
      </c>
      <c r="C150" s="16"/>
      <c r="D150" s="17"/>
      <c r="E150" s="17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56"/>
      <c r="R150" s="56"/>
      <c r="S150" s="56"/>
      <c r="T150" s="58"/>
      <c r="U150" s="58"/>
      <c r="V150" s="58"/>
      <c r="W150" s="58"/>
      <c r="X150" s="58"/>
      <c r="Y150" s="58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 t="s">
        <v>1485</v>
      </c>
      <c r="AM150" s="42"/>
      <c r="AN150" s="42"/>
      <c r="AO150" s="42"/>
      <c r="AP150" s="42"/>
      <c r="AQ150" s="42"/>
      <c r="AR150" s="42"/>
      <c r="AS150" s="42"/>
      <c r="AT150" s="42"/>
      <c r="AU150" s="42"/>
      <c r="AV150" s="42"/>
      <c r="AW150" s="42"/>
      <c r="AX150" s="42"/>
      <c r="AY150" s="42"/>
      <c r="AZ150" s="42"/>
    </row>
    <row r="151" spans="1:52" ht="20.100000000000001" customHeight="1" x14ac:dyDescent="0.25">
      <c r="A151" s="39">
        <v>151</v>
      </c>
      <c r="B151" s="40" t="s">
        <v>1477</v>
      </c>
      <c r="C151" s="16"/>
      <c r="D151" s="17"/>
      <c r="E151" s="17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56"/>
      <c r="R151" s="56"/>
      <c r="S151" s="56"/>
      <c r="T151" s="58"/>
      <c r="U151" s="58"/>
      <c r="V151" s="58"/>
      <c r="W151" s="58"/>
      <c r="X151" s="58"/>
      <c r="Y151" s="58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 t="s">
        <v>1486</v>
      </c>
      <c r="AM151" s="42"/>
      <c r="AN151" s="42"/>
      <c r="AO151" s="42"/>
      <c r="AP151" s="42"/>
      <c r="AQ151" s="42"/>
      <c r="AR151" s="42"/>
      <c r="AS151" s="42"/>
      <c r="AT151" s="42"/>
      <c r="AU151" s="42"/>
      <c r="AV151" s="42"/>
      <c r="AW151" s="42"/>
      <c r="AX151" s="42"/>
      <c r="AY151" s="42"/>
      <c r="AZ151" s="42"/>
    </row>
    <row r="152" spans="1:52" ht="20.100000000000001" customHeight="1" x14ac:dyDescent="0.25">
      <c r="A152" s="39">
        <v>152</v>
      </c>
      <c r="B152" s="40" t="s">
        <v>1478</v>
      </c>
      <c r="C152" s="16"/>
      <c r="D152" s="17"/>
      <c r="E152" s="17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56"/>
      <c r="R152" s="56"/>
      <c r="S152" s="56"/>
      <c r="T152" s="58"/>
      <c r="U152" s="58"/>
      <c r="V152" s="58"/>
      <c r="W152" s="58"/>
      <c r="X152" s="58"/>
      <c r="Y152" s="58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 t="s">
        <v>1487</v>
      </c>
      <c r="AM152" s="42"/>
      <c r="AN152" s="42"/>
      <c r="AO152" s="42"/>
      <c r="AP152" s="42"/>
      <c r="AQ152" s="42"/>
      <c r="AR152" s="42"/>
      <c r="AS152" s="42"/>
      <c r="AT152" s="42"/>
      <c r="AU152" s="42"/>
      <c r="AV152" s="42"/>
      <c r="AW152" s="42"/>
      <c r="AX152" s="42"/>
      <c r="AY152" s="42"/>
      <c r="AZ152" s="42"/>
    </row>
    <row r="153" spans="1:52" ht="20.100000000000001" customHeight="1" x14ac:dyDescent="0.25">
      <c r="A153" s="39">
        <v>153</v>
      </c>
      <c r="B153" s="40" t="s">
        <v>1479</v>
      </c>
      <c r="C153" s="16"/>
      <c r="D153" s="17"/>
      <c r="E153" s="17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56"/>
      <c r="R153" s="56"/>
      <c r="S153" s="56"/>
      <c r="T153" s="58"/>
      <c r="U153" s="58"/>
      <c r="V153" s="58"/>
      <c r="W153" s="58"/>
      <c r="X153" s="58"/>
      <c r="Y153" s="58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 t="s">
        <v>1488</v>
      </c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spans="1:52" ht="20.100000000000001" customHeight="1" x14ac:dyDescent="0.25">
      <c r="A154" s="39">
        <v>154</v>
      </c>
      <c r="B154" s="40" t="s">
        <v>1480</v>
      </c>
      <c r="C154" s="16"/>
      <c r="D154" s="17"/>
      <c r="E154" s="17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56"/>
      <c r="R154" s="56"/>
      <c r="S154" s="56"/>
      <c r="T154" s="58"/>
      <c r="U154" s="58"/>
      <c r="V154" s="58"/>
      <c r="W154" s="58"/>
      <c r="X154" s="58"/>
      <c r="Y154" s="58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 t="s">
        <v>1489</v>
      </c>
      <c r="AM154" s="42"/>
      <c r="AN154" s="42"/>
      <c r="AO154" s="42"/>
      <c r="AP154" s="42"/>
      <c r="AQ154" s="42"/>
      <c r="AR154" s="42"/>
      <c r="AS154" s="42"/>
      <c r="AT154" s="42"/>
      <c r="AU154" s="42"/>
      <c r="AV154" s="42"/>
      <c r="AW154" s="42"/>
      <c r="AX154" s="42"/>
      <c r="AY154" s="42"/>
      <c r="AZ154" s="42"/>
    </row>
    <row r="155" spans="1:52" ht="20.100000000000001" customHeight="1" x14ac:dyDescent="0.25">
      <c r="A155" s="39">
        <v>155</v>
      </c>
      <c r="B155" s="40" t="s">
        <v>1490</v>
      </c>
      <c r="C155" s="16"/>
      <c r="D155" s="17"/>
      <c r="E155" s="17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56"/>
      <c r="R155" s="56"/>
      <c r="S155" s="56"/>
      <c r="T155" s="58"/>
      <c r="U155" s="58"/>
      <c r="V155" s="58"/>
      <c r="W155" s="58"/>
      <c r="X155" s="58"/>
      <c r="Y155" s="58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 t="s">
        <v>1492</v>
      </c>
      <c r="AN155" s="42"/>
      <c r="AO155" s="42"/>
      <c r="AP155" s="42"/>
      <c r="AQ155" s="42"/>
      <c r="AR155" s="42"/>
      <c r="AS155" s="42"/>
      <c r="AT155" s="42"/>
      <c r="AU155" s="42"/>
      <c r="AV155" s="42"/>
      <c r="AW155" s="42"/>
      <c r="AX155" s="42"/>
      <c r="AY155" s="42"/>
      <c r="AZ155" s="42"/>
    </row>
    <row r="156" spans="1:52" ht="20.100000000000001" customHeight="1" x14ac:dyDescent="0.25">
      <c r="A156" s="39">
        <v>156</v>
      </c>
      <c r="B156" s="40" t="s">
        <v>1491</v>
      </c>
      <c r="C156" s="16"/>
      <c r="D156" s="17"/>
      <c r="E156" s="17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56"/>
      <c r="R156" s="56"/>
      <c r="S156" s="56"/>
      <c r="T156" s="58"/>
      <c r="U156" s="58"/>
      <c r="V156" s="58"/>
      <c r="W156" s="58"/>
      <c r="X156" s="58"/>
      <c r="Y156" s="58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 t="s">
        <v>1493</v>
      </c>
      <c r="AN156" s="42"/>
      <c r="AO156" s="42"/>
      <c r="AP156" s="42"/>
      <c r="AQ156" s="42"/>
      <c r="AR156" s="42"/>
      <c r="AS156" s="42"/>
      <c r="AT156" s="42"/>
      <c r="AU156" s="42"/>
      <c r="AV156" s="42"/>
      <c r="AW156" s="42"/>
      <c r="AX156" s="42"/>
      <c r="AY156" s="42"/>
      <c r="AZ156" s="42"/>
    </row>
    <row r="157" spans="1:52" ht="20.100000000000001" customHeight="1" x14ac:dyDescent="0.25">
      <c r="A157" s="39">
        <v>157</v>
      </c>
      <c r="B157" s="40" t="s">
        <v>1494</v>
      </c>
      <c r="C157" s="16"/>
      <c r="D157" s="17"/>
      <c r="E157" s="17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56"/>
      <c r="R157" s="56"/>
      <c r="S157" s="56"/>
      <c r="T157" s="58"/>
      <c r="U157" s="58"/>
      <c r="V157" s="58"/>
      <c r="W157" s="58"/>
      <c r="X157" s="58"/>
      <c r="Y157" s="58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 t="s">
        <v>1504</v>
      </c>
      <c r="AO157" s="42"/>
      <c r="AP157" s="42"/>
      <c r="AQ157" s="42"/>
      <c r="AR157" s="42"/>
      <c r="AS157" s="42"/>
      <c r="AT157" s="42"/>
      <c r="AU157" s="42"/>
      <c r="AV157" s="42"/>
      <c r="AW157" s="42"/>
      <c r="AX157" s="42"/>
      <c r="AY157" s="42"/>
      <c r="AZ157" s="42"/>
    </row>
    <row r="158" spans="1:52" ht="20.100000000000001" customHeight="1" x14ac:dyDescent="0.25">
      <c r="A158" s="39">
        <v>158</v>
      </c>
      <c r="B158" s="40" t="s">
        <v>1495</v>
      </c>
      <c r="C158" s="16"/>
      <c r="D158" s="17"/>
      <c r="E158" s="17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56"/>
      <c r="R158" s="56"/>
      <c r="S158" s="56"/>
      <c r="T158" s="58"/>
      <c r="U158" s="58"/>
      <c r="V158" s="58"/>
      <c r="W158" s="58"/>
      <c r="X158" s="58"/>
      <c r="Y158" s="58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 t="s">
        <v>1505</v>
      </c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spans="1:52" ht="20.100000000000001" customHeight="1" x14ac:dyDescent="0.25">
      <c r="A159" s="39">
        <v>159</v>
      </c>
      <c r="B159" s="40" t="s">
        <v>1496</v>
      </c>
      <c r="C159" s="16"/>
      <c r="D159" s="17"/>
      <c r="E159" s="17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56"/>
      <c r="R159" s="56"/>
      <c r="S159" s="56"/>
      <c r="T159" s="58"/>
      <c r="U159" s="58"/>
      <c r="V159" s="58"/>
      <c r="W159" s="58"/>
      <c r="X159" s="58"/>
      <c r="Y159" s="58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 t="s">
        <v>1506</v>
      </c>
      <c r="AO159" s="42"/>
      <c r="AP159" s="42"/>
      <c r="AQ159" s="42"/>
      <c r="AR159" s="42"/>
      <c r="AS159" s="42"/>
      <c r="AT159" s="42"/>
      <c r="AU159" s="42"/>
      <c r="AV159" s="42"/>
      <c r="AW159" s="42"/>
      <c r="AX159" s="42"/>
      <c r="AY159" s="42"/>
      <c r="AZ159" s="42"/>
    </row>
    <row r="160" spans="1:52" ht="20.100000000000001" customHeight="1" x14ac:dyDescent="0.25">
      <c r="A160" s="39">
        <v>160</v>
      </c>
      <c r="B160" s="40" t="s">
        <v>1497</v>
      </c>
      <c r="C160" s="16"/>
      <c r="D160" s="17"/>
      <c r="E160" s="17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56"/>
      <c r="R160" s="56"/>
      <c r="S160" s="56"/>
      <c r="T160" s="58"/>
      <c r="U160" s="58"/>
      <c r="V160" s="58"/>
      <c r="W160" s="58"/>
      <c r="X160" s="58"/>
      <c r="Y160" s="58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 t="s">
        <v>1507</v>
      </c>
      <c r="AO160" s="42"/>
      <c r="AP160" s="42"/>
      <c r="AQ160" s="42"/>
      <c r="AR160" s="42"/>
      <c r="AS160" s="42"/>
      <c r="AT160" s="42"/>
      <c r="AU160" s="42"/>
      <c r="AV160" s="42"/>
      <c r="AW160" s="42"/>
      <c r="AX160" s="42"/>
      <c r="AY160" s="42"/>
      <c r="AZ160" s="42"/>
    </row>
    <row r="161" spans="1:52" ht="20.100000000000001" customHeight="1" x14ac:dyDescent="0.25">
      <c r="A161" s="39">
        <v>161</v>
      </c>
      <c r="B161" s="40" t="s">
        <v>1498</v>
      </c>
      <c r="C161" s="16"/>
      <c r="D161" s="17"/>
      <c r="E161" s="17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56"/>
      <c r="R161" s="56"/>
      <c r="S161" s="56"/>
      <c r="T161" s="58"/>
      <c r="U161" s="58"/>
      <c r="V161" s="58"/>
      <c r="W161" s="58"/>
      <c r="X161" s="58"/>
      <c r="Y161" s="58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 t="s">
        <v>1508</v>
      </c>
      <c r="AO161" s="42"/>
      <c r="AP161" s="42"/>
      <c r="AQ161" s="42"/>
      <c r="AR161" s="42"/>
      <c r="AS161" s="42"/>
      <c r="AT161" s="42"/>
      <c r="AU161" s="42"/>
      <c r="AV161" s="42"/>
      <c r="AW161" s="42"/>
      <c r="AX161" s="42"/>
      <c r="AY161" s="42"/>
      <c r="AZ161" s="42"/>
    </row>
    <row r="162" spans="1:52" ht="20.100000000000001" customHeight="1" x14ac:dyDescent="0.25">
      <c r="A162" s="39">
        <v>162</v>
      </c>
      <c r="B162" s="40" t="s">
        <v>1499</v>
      </c>
      <c r="C162" s="16"/>
      <c r="D162" s="17"/>
      <c r="E162" s="17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56"/>
      <c r="R162" s="56"/>
      <c r="S162" s="56"/>
      <c r="T162" s="58"/>
      <c r="U162" s="58"/>
      <c r="V162" s="58"/>
      <c r="W162" s="58"/>
      <c r="X162" s="58"/>
      <c r="Y162" s="58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 t="s">
        <v>1509</v>
      </c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42"/>
    </row>
    <row r="163" spans="1:52" ht="20.100000000000001" customHeight="1" x14ac:dyDescent="0.25">
      <c r="A163" s="39">
        <v>163</v>
      </c>
      <c r="B163" s="40" t="s">
        <v>1500</v>
      </c>
      <c r="C163" s="16"/>
      <c r="D163" s="17"/>
      <c r="E163" s="17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56"/>
      <c r="R163" s="56"/>
      <c r="S163" s="56"/>
      <c r="T163" s="58"/>
      <c r="U163" s="58"/>
      <c r="V163" s="58"/>
      <c r="W163" s="58"/>
      <c r="X163" s="58"/>
      <c r="Y163" s="58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 t="s">
        <v>1510</v>
      </c>
      <c r="AO163" s="42"/>
      <c r="AP163" s="42"/>
      <c r="AQ163" s="42"/>
      <c r="AR163" s="42"/>
      <c r="AS163" s="42"/>
      <c r="AT163" s="42"/>
      <c r="AU163" s="42"/>
      <c r="AV163" s="42"/>
      <c r="AW163" s="42"/>
      <c r="AX163" s="42"/>
      <c r="AY163" s="42"/>
      <c r="AZ163" s="42"/>
    </row>
    <row r="164" spans="1:52" ht="20.100000000000001" customHeight="1" x14ac:dyDescent="0.25">
      <c r="A164" s="39">
        <v>164</v>
      </c>
      <c r="B164" s="40" t="s">
        <v>1501</v>
      </c>
      <c r="C164" s="16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56"/>
      <c r="R164" s="56"/>
      <c r="S164" s="56"/>
      <c r="T164" s="58"/>
      <c r="U164" s="58"/>
      <c r="V164" s="58"/>
      <c r="W164" s="58"/>
      <c r="X164" s="58"/>
      <c r="Y164" s="58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 t="s">
        <v>1511</v>
      </c>
      <c r="AO164" s="42"/>
      <c r="AP164" s="42"/>
      <c r="AQ164" s="42"/>
      <c r="AR164" s="42"/>
      <c r="AS164" s="42"/>
      <c r="AT164" s="42"/>
      <c r="AU164" s="42"/>
      <c r="AV164" s="42"/>
      <c r="AW164" s="42"/>
      <c r="AX164" s="42"/>
      <c r="AY164" s="42"/>
      <c r="AZ164" s="42"/>
    </row>
    <row r="165" spans="1:52" ht="20.100000000000001" customHeight="1" x14ac:dyDescent="0.25">
      <c r="A165" s="39">
        <v>165</v>
      </c>
      <c r="B165" s="40" t="s">
        <v>1502</v>
      </c>
      <c r="C165" s="16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56"/>
      <c r="R165" s="56"/>
      <c r="S165" s="56"/>
      <c r="T165" s="58"/>
      <c r="U165" s="58"/>
      <c r="V165" s="58"/>
      <c r="W165" s="58"/>
      <c r="X165" s="58"/>
      <c r="Y165" s="58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 t="s">
        <v>1512</v>
      </c>
      <c r="AO165" s="42"/>
      <c r="AP165" s="42"/>
      <c r="AQ165" s="42"/>
      <c r="AR165" s="42"/>
      <c r="AS165" s="42"/>
      <c r="AT165" s="42"/>
      <c r="AU165" s="42"/>
      <c r="AV165" s="42"/>
      <c r="AW165" s="42"/>
      <c r="AX165" s="42"/>
      <c r="AY165" s="42"/>
      <c r="AZ165" s="42"/>
    </row>
    <row r="166" spans="1:52" ht="20.100000000000001" customHeight="1" x14ac:dyDescent="0.25">
      <c r="A166" s="39">
        <v>166</v>
      </c>
      <c r="B166" s="40" t="s">
        <v>1503</v>
      </c>
      <c r="C166" s="16"/>
      <c r="D166" s="17"/>
      <c r="E166" s="17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56"/>
      <c r="R166" s="56"/>
      <c r="S166" s="56"/>
      <c r="T166" s="58"/>
      <c r="U166" s="58"/>
      <c r="V166" s="58"/>
      <c r="W166" s="58"/>
      <c r="X166" s="58"/>
      <c r="Y166" s="58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 t="s">
        <v>1513</v>
      </c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spans="1:52" ht="20.100000000000001" customHeight="1" x14ac:dyDescent="0.25">
      <c r="A167" s="39">
        <v>167</v>
      </c>
      <c r="B167" s="40" t="s">
        <v>1514</v>
      </c>
      <c r="C167" s="16"/>
      <c r="D167" s="17"/>
      <c r="E167" s="17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56"/>
      <c r="R167" s="56"/>
      <c r="S167" s="56"/>
      <c r="T167" s="58"/>
      <c r="U167" s="58"/>
      <c r="V167" s="58"/>
      <c r="W167" s="58"/>
      <c r="X167" s="58"/>
      <c r="Y167" s="58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 t="s">
        <v>1518</v>
      </c>
      <c r="AO167" s="42" t="s">
        <v>1606</v>
      </c>
      <c r="AP167" s="42"/>
      <c r="AQ167" s="42"/>
      <c r="AR167" s="42"/>
      <c r="AS167" s="42"/>
      <c r="AT167" s="42"/>
      <c r="AU167" s="42"/>
      <c r="AV167" s="42"/>
      <c r="AW167" s="42"/>
      <c r="AX167" s="42"/>
      <c r="AY167" s="42"/>
      <c r="AZ167" s="42"/>
    </row>
    <row r="168" spans="1:52" ht="20.100000000000001" customHeight="1" x14ac:dyDescent="0.25">
      <c r="A168" s="39">
        <v>168</v>
      </c>
      <c r="B168" s="40" t="s">
        <v>1515</v>
      </c>
      <c r="C168" s="16"/>
      <c r="D168" s="17"/>
      <c r="E168" s="17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56"/>
      <c r="R168" s="56"/>
      <c r="S168" s="56"/>
      <c r="T168" s="58"/>
      <c r="U168" s="58"/>
      <c r="V168" s="58"/>
      <c r="W168" s="58"/>
      <c r="X168" s="58"/>
      <c r="Y168" s="58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 t="s">
        <v>1519</v>
      </c>
      <c r="AO168" s="42" t="s">
        <v>1607</v>
      </c>
      <c r="AP168" s="42"/>
      <c r="AQ168" s="42"/>
      <c r="AR168" s="42"/>
      <c r="AS168" s="42"/>
      <c r="AT168" s="42"/>
      <c r="AU168" s="42"/>
      <c r="AV168" s="42"/>
      <c r="AW168" s="42"/>
      <c r="AX168" s="42"/>
      <c r="AY168" s="42"/>
      <c r="AZ168" s="42"/>
    </row>
    <row r="169" spans="1:52" ht="20.100000000000001" customHeight="1" x14ac:dyDescent="0.25">
      <c r="A169" s="39">
        <v>169</v>
      </c>
      <c r="B169" s="40" t="s">
        <v>1516</v>
      </c>
      <c r="C169" s="16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56"/>
      <c r="R169" s="56"/>
      <c r="S169" s="56"/>
      <c r="T169" s="58"/>
      <c r="U169" s="58"/>
      <c r="V169" s="58"/>
      <c r="W169" s="58"/>
      <c r="X169" s="58"/>
      <c r="Y169" s="58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 t="s">
        <v>1520</v>
      </c>
      <c r="AO169" s="42" t="s">
        <v>1608</v>
      </c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spans="1:52" ht="20.100000000000001" customHeight="1" x14ac:dyDescent="0.25">
      <c r="A170" s="39">
        <v>170</v>
      </c>
      <c r="B170" s="48" t="s">
        <v>1517</v>
      </c>
      <c r="C170" s="16"/>
      <c r="D170" s="17"/>
      <c r="E170" s="17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56"/>
      <c r="R170" s="56"/>
      <c r="S170" s="56"/>
      <c r="T170" s="58"/>
      <c r="U170" s="58"/>
      <c r="V170" s="58"/>
      <c r="W170" s="58"/>
      <c r="X170" s="58"/>
      <c r="Y170" s="58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 t="s">
        <v>1521</v>
      </c>
      <c r="AO170" s="42" t="s">
        <v>1609</v>
      </c>
      <c r="AP170" s="42"/>
      <c r="AQ170" s="42"/>
      <c r="AR170" s="42"/>
      <c r="AS170" s="42"/>
      <c r="AT170" s="42"/>
      <c r="AU170" s="42"/>
      <c r="AV170" s="42"/>
      <c r="AW170" s="42"/>
      <c r="AX170" s="42"/>
      <c r="AY170" s="42"/>
      <c r="AZ170" s="42"/>
    </row>
    <row r="171" spans="1:52" ht="20.100000000000001" customHeight="1" x14ac:dyDescent="0.25">
      <c r="A171" s="39">
        <v>171</v>
      </c>
      <c r="B171" s="40" t="s">
        <v>1522</v>
      </c>
      <c r="C171" s="16"/>
      <c r="D171" s="17"/>
      <c r="E171" s="17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56"/>
      <c r="R171" s="56"/>
      <c r="S171" s="56"/>
      <c r="T171" s="58"/>
      <c r="U171" s="58"/>
      <c r="V171" s="58"/>
      <c r="W171" s="58"/>
      <c r="X171" s="58"/>
      <c r="Y171" s="58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 t="s">
        <v>1524</v>
      </c>
      <c r="AO171" s="42" t="s">
        <v>1610</v>
      </c>
      <c r="AP171" s="42"/>
      <c r="AQ171" s="42"/>
      <c r="AR171" s="42"/>
      <c r="AS171" s="42"/>
      <c r="AT171" s="42"/>
      <c r="AU171" s="42"/>
      <c r="AV171" s="42"/>
      <c r="AW171" s="42"/>
      <c r="AX171" s="42"/>
      <c r="AY171" s="42"/>
      <c r="AZ171" s="42"/>
    </row>
    <row r="172" spans="1:52" ht="20.100000000000001" customHeight="1" x14ac:dyDescent="0.25">
      <c r="A172" s="39">
        <v>172</v>
      </c>
      <c r="B172" s="48" t="s">
        <v>1523</v>
      </c>
      <c r="C172" s="16"/>
      <c r="D172" s="17"/>
      <c r="E172" s="17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56"/>
      <c r="R172" s="56"/>
      <c r="S172" s="56"/>
      <c r="T172" s="58"/>
      <c r="U172" s="58"/>
      <c r="V172" s="58"/>
      <c r="W172" s="58"/>
      <c r="X172" s="58"/>
      <c r="Y172" s="58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 t="s">
        <v>1525</v>
      </c>
      <c r="AO172" s="42" t="s">
        <v>1611</v>
      </c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spans="1:52" ht="20.100000000000001" customHeight="1" x14ac:dyDescent="0.25">
      <c r="A173" s="39">
        <v>173</v>
      </c>
      <c r="B173" s="40" t="s">
        <v>1526</v>
      </c>
      <c r="C173" s="16"/>
      <c r="D173" s="17"/>
      <c r="E173" s="17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56"/>
      <c r="R173" s="56"/>
      <c r="S173" s="56"/>
      <c r="T173" s="58"/>
      <c r="U173" s="58"/>
      <c r="V173" s="58"/>
      <c r="W173" s="58"/>
      <c r="X173" s="58"/>
      <c r="Y173" s="58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 t="s">
        <v>1540</v>
      </c>
      <c r="AO173" s="42" t="s">
        <v>1612</v>
      </c>
      <c r="AP173" s="42"/>
      <c r="AQ173" s="42"/>
      <c r="AR173" s="42"/>
      <c r="AS173" s="42"/>
      <c r="AT173" s="42"/>
      <c r="AU173" s="42"/>
      <c r="AV173" s="42"/>
      <c r="AW173" s="42"/>
      <c r="AX173" s="42"/>
      <c r="AY173" s="42"/>
      <c r="AZ173" s="42"/>
    </row>
    <row r="174" spans="1:52" ht="20.100000000000001" customHeight="1" x14ac:dyDescent="0.25">
      <c r="A174" s="39">
        <v>174</v>
      </c>
      <c r="B174" s="40" t="s">
        <v>1527</v>
      </c>
      <c r="C174" s="16"/>
      <c r="D174" s="17"/>
      <c r="E174" s="17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56"/>
      <c r="R174" s="56"/>
      <c r="S174" s="56"/>
      <c r="T174" s="58"/>
      <c r="U174" s="58"/>
      <c r="V174" s="58"/>
      <c r="W174" s="58"/>
      <c r="X174" s="58"/>
      <c r="Y174" s="58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 t="s">
        <v>1541</v>
      </c>
      <c r="AO174" s="42" t="s">
        <v>1613</v>
      </c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spans="1:52" ht="20.100000000000001" customHeight="1" x14ac:dyDescent="0.25">
      <c r="A175" s="39">
        <v>175</v>
      </c>
      <c r="B175" s="40" t="s">
        <v>1528</v>
      </c>
      <c r="C175" s="16"/>
      <c r="D175" s="17"/>
      <c r="E175" s="17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56"/>
      <c r="R175" s="56"/>
      <c r="S175" s="56"/>
      <c r="T175" s="58"/>
      <c r="U175" s="58"/>
      <c r="V175" s="58"/>
      <c r="W175" s="58"/>
      <c r="X175" s="58"/>
      <c r="Y175" s="58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 t="s">
        <v>1542</v>
      </c>
      <c r="AO175" s="42" t="s">
        <v>1614</v>
      </c>
      <c r="AP175" s="42"/>
      <c r="AQ175" s="42"/>
      <c r="AR175" s="42"/>
      <c r="AS175" s="42"/>
      <c r="AT175" s="42"/>
      <c r="AU175" s="42"/>
      <c r="AV175" s="42"/>
      <c r="AW175" s="42"/>
      <c r="AX175" s="42"/>
      <c r="AY175" s="42"/>
      <c r="AZ175" s="42"/>
    </row>
    <row r="176" spans="1:52" ht="20.100000000000001" customHeight="1" x14ac:dyDescent="0.25">
      <c r="A176" s="39">
        <v>176</v>
      </c>
      <c r="B176" s="40" t="s">
        <v>1529</v>
      </c>
      <c r="C176" s="16"/>
      <c r="D176" s="17"/>
      <c r="E176" s="17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56"/>
      <c r="R176" s="56"/>
      <c r="S176" s="56"/>
      <c r="T176" s="58"/>
      <c r="U176" s="58"/>
      <c r="V176" s="58"/>
      <c r="W176" s="58"/>
      <c r="X176" s="58"/>
      <c r="Y176" s="58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 t="s">
        <v>1543</v>
      </c>
      <c r="AO176" s="42" t="s">
        <v>1615</v>
      </c>
      <c r="AP176" s="42"/>
      <c r="AQ176" s="42"/>
      <c r="AR176" s="42"/>
      <c r="AS176" s="42"/>
      <c r="AT176" s="42"/>
      <c r="AU176" s="42"/>
      <c r="AV176" s="42"/>
      <c r="AW176" s="42"/>
      <c r="AX176" s="42"/>
      <c r="AY176" s="42"/>
      <c r="AZ176" s="42"/>
    </row>
    <row r="177" spans="1:52" ht="20.100000000000001" customHeight="1" x14ac:dyDescent="0.25">
      <c r="A177" s="39">
        <v>177</v>
      </c>
      <c r="B177" s="40" t="s">
        <v>1530</v>
      </c>
      <c r="C177" s="16"/>
      <c r="D177" s="17"/>
      <c r="E177" s="17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56"/>
      <c r="R177" s="56"/>
      <c r="S177" s="56"/>
      <c r="T177" s="58"/>
      <c r="U177" s="58"/>
      <c r="V177" s="58"/>
      <c r="W177" s="58"/>
      <c r="X177" s="58"/>
      <c r="Y177" s="58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 t="s">
        <v>1427</v>
      </c>
      <c r="AO177" s="42" t="s">
        <v>1616</v>
      </c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spans="1:52" ht="20.100000000000001" customHeight="1" x14ac:dyDescent="0.25">
      <c r="A178" s="39">
        <v>178</v>
      </c>
      <c r="B178" s="40" t="s">
        <v>1531</v>
      </c>
      <c r="C178" s="16"/>
      <c r="D178" s="17"/>
      <c r="E178" s="17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56"/>
      <c r="R178" s="56"/>
      <c r="S178" s="56"/>
      <c r="T178" s="58"/>
      <c r="U178" s="58"/>
      <c r="V178" s="58"/>
      <c r="W178" s="58"/>
      <c r="X178" s="58"/>
      <c r="Y178" s="58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 t="s">
        <v>1544</v>
      </c>
      <c r="AO178" s="42" t="s">
        <v>1617</v>
      </c>
      <c r="AP178" s="42"/>
      <c r="AQ178" s="42"/>
      <c r="AR178" s="42"/>
      <c r="AS178" s="42"/>
      <c r="AT178" s="42"/>
      <c r="AU178" s="42"/>
      <c r="AV178" s="42"/>
      <c r="AW178" s="42"/>
      <c r="AX178" s="42"/>
      <c r="AY178" s="42"/>
      <c r="AZ178" s="42"/>
    </row>
    <row r="179" spans="1:52" ht="20.100000000000001" customHeight="1" x14ac:dyDescent="0.25">
      <c r="A179" s="39">
        <v>179</v>
      </c>
      <c r="B179" s="40" t="s">
        <v>1532</v>
      </c>
      <c r="C179" s="16"/>
      <c r="D179" s="17"/>
      <c r="E179" s="17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56"/>
      <c r="R179" s="56"/>
      <c r="S179" s="56"/>
      <c r="T179" s="58"/>
      <c r="U179" s="58"/>
      <c r="V179" s="58"/>
      <c r="W179" s="58"/>
      <c r="X179" s="58"/>
      <c r="Y179" s="58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 t="s">
        <v>1545</v>
      </c>
      <c r="AO179" s="42" t="s">
        <v>1618</v>
      </c>
      <c r="AP179" s="42"/>
      <c r="AQ179" s="42"/>
      <c r="AR179" s="42"/>
      <c r="AS179" s="42"/>
      <c r="AT179" s="42"/>
      <c r="AU179" s="42"/>
      <c r="AV179" s="42"/>
      <c r="AW179" s="42"/>
      <c r="AX179" s="42"/>
      <c r="AY179" s="42"/>
      <c r="AZ179" s="42"/>
    </row>
    <row r="180" spans="1:52" ht="20.100000000000001" customHeight="1" x14ac:dyDescent="0.25">
      <c r="A180" s="39">
        <v>180</v>
      </c>
      <c r="B180" s="40" t="s">
        <v>1533</v>
      </c>
      <c r="C180" s="16"/>
      <c r="D180" s="17"/>
      <c r="E180" s="17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56"/>
      <c r="R180" s="56"/>
      <c r="S180" s="56"/>
      <c r="T180" s="58"/>
      <c r="U180" s="58"/>
      <c r="V180" s="58"/>
      <c r="W180" s="58"/>
      <c r="X180" s="58"/>
      <c r="Y180" s="58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 t="s">
        <v>1546</v>
      </c>
      <c r="AO180" s="42" t="s">
        <v>1619</v>
      </c>
      <c r="AP180" s="42"/>
      <c r="AQ180" s="42"/>
      <c r="AR180" s="42"/>
      <c r="AS180" s="42"/>
      <c r="AT180" s="42"/>
      <c r="AU180" s="42"/>
      <c r="AV180" s="42"/>
      <c r="AW180" s="42"/>
      <c r="AX180" s="42"/>
      <c r="AY180" s="42"/>
      <c r="AZ180" s="42"/>
    </row>
    <row r="181" spans="1:52" ht="20.100000000000001" customHeight="1" x14ac:dyDescent="0.25">
      <c r="A181" s="39">
        <v>181</v>
      </c>
      <c r="B181" s="40" t="s">
        <v>1534</v>
      </c>
      <c r="C181" s="16"/>
      <c r="D181" s="17"/>
      <c r="E181" s="17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56"/>
      <c r="R181" s="56"/>
      <c r="S181" s="56"/>
      <c r="T181" s="58"/>
      <c r="U181" s="58"/>
      <c r="V181" s="58"/>
      <c r="W181" s="58"/>
      <c r="X181" s="58"/>
      <c r="Y181" s="58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 t="s">
        <v>1547</v>
      </c>
      <c r="AO181" s="42" t="s">
        <v>1620</v>
      </c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spans="1:52" ht="20.100000000000001" customHeight="1" x14ac:dyDescent="0.25">
      <c r="A182" s="39">
        <v>182</v>
      </c>
      <c r="B182" s="40" t="s">
        <v>1554</v>
      </c>
      <c r="C182" s="16"/>
      <c r="D182" s="17"/>
      <c r="E182" s="17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56"/>
      <c r="R182" s="56"/>
      <c r="S182" s="56"/>
      <c r="T182" s="58"/>
      <c r="U182" s="58"/>
      <c r="V182" s="58"/>
      <c r="W182" s="58"/>
      <c r="X182" s="58"/>
      <c r="Y182" s="58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 t="s">
        <v>1548</v>
      </c>
      <c r="AO182" s="42" t="s">
        <v>1621</v>
      </c>
      <c r="AP182" s="42"/>
      <c r="AQ182" s="42"/>
      <c r="AR182" s="42"/>
      <c r="AS182" s="42"/>
      <c r="AT182" s="42"/>
      <c r="AU182" s="42"/>
      <c r="AV182" s="42"/>
      <c r="AW182" s="42"/>
      <c r="AX182" s="42"/>
      <c r="AY182" s="42"/>
      <c r="AZ182" s="42"/>
    </row>
    <row r="183" spans="1:52" ht="20.100000000000001" customHeight="1" x14ac:dyDescent="0.25">
      <c r="A183" s="39">
        <v>183</v>
      </c>
      <c r="B183" s="40" t="s">
        <v>1535</v>
      </c>
      <c r="C183" s="16"/>
      <c r="D183" s="17"/>
      <c r="E183" s="17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56"/>
      <c r="R183" s="56"/>
      <c r="S183" s="56"/>
      <c r="T183" s="58"/>
      <c r="U183" s="58"/>
      <c r="V183" s="58"/>
      <c r="W183" s="58"/>
      <c r="X183" s="58"/>
      <c r="Y183" s="58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 t="s">
        <v>1549</v>
      </c>
      <c r="AO183" s="42" t="s">
        <v>1622</v>
      </c>
      <c r="AP183" s="42"/>
      <c r="AQ183" s="42"/>
      <c r="AR183" s="42"/>
      <c r="AS183" s="42"/>
      <c r="AT183" s="42"/>
      <c r="AU183" s="42"/>
      <c r="AV183" s="42"/>
      <c r="AW183" s="42"/>
      <c r="AX183" s="42"/>
      <c r="AY183" s="42"/>
      <c r="AZ183" s="42"/>
    </row>
    <row r="184" spans="1:52" ht="20.100000000000001" customHeight="1" x14ac:dyDescent="0.25">
      <c r="A184" s="39">
        <v>184</v>
      </c>
      <c r="B184" s="40" t="s">
        <v>1536</v>
      </c>
      <c r="C184" s="16"/>
      <c r="D184" s="17"/>
      <c r="E184" s="17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56"/>
      <c r="R184" s="56"/>
      <c r="S184" s="56"/>
      <c r="T184" s="58"/>
      <c r="U184" s="58"/>
      <c r="V184" s="58"/>
      <c r="W184" s="58"/>
      <c r="X184" s="58"/>
      <c r="Y184" s="58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 t="s">
        <v>1550</v>
      </c>
      <c r="AO184" s="42" t="s">
        <v>1623</v>
      </c>
      <c r="AP184" s="42"/>
      <c r="AQ184" s="42"/>
      <c r="AR184" s="42"/>
      <c r="AS184" s="42"/>
      <c r="AT184" s="42"/>
      <c r="AU184" s="42"/>
      <c r="AV184" s="42"/>
      <c r="AW184" s="42"/>
      <c r="AX184" s="42"/>
      <c r="AY184" s="42"/>
      <c r="AZ184" s="42"/>
    </row>
    <row r="185" spans="1:52" ht="20.100000000000001" customHeight="1" x14ac:dyDescent="0.25">
      <c r="A185" s="39">
        <v>185</v>
      </c>
      <c r="B185" s="40" t="s">
        <v>1537</v>
      </c>
      <c r="C185" s="16"/>
      <c r="D185" s="17"/>
      <c r="E185" s="17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56"/>
      <c r="R185" s="56"/>
      <c r="S185" s="56"/>
      <c r="T185" s="58"/>
      <c r="U185" s="58"/>
      <c r="V185" s="58"/>
      <c r="W185" s="58"/>
      <c r="X185" s="58"/>
      <c r="Y185" s="58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 t="s">
        <v>1551</v>
      </c>
      <c r="AO185" s="42" t="s">
        <v>1624</v>
      </c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spans="1:52" ht="20.100000000000001" customHeight="1" x14ac:dyDescent="0.25">
      <c r="A186" s="39">
        <v>186</v>
      </c>
      <c r="B186" s="40" t="s">
        <v>1538</v>
      </c>
      <c r="C186" s="16"/>
      <c r="D186" s="17"/>
      <c r="E186" s="17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56"/>
      <c r="R186" s="56"/>
      <c r="S186" s="56"/>
      <c r="T186" s="58"/>
      <c r="U186" s="58"/>
      <c r="V186" s="58"/>
      <c r="W186" s="58"/>
      <c r="X186" s="58"/>
      <c r="Y186" s="58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 t="s">
        <v>1552</v>
      </c>
      <c r="AO186" s="42" t="s">
        <v>1625</v>
      </c>
      <c r="AP186" s="42"/>
      <c r="AQ186" s="42"/>
      <c r="AR186" s="42"/>
      <c r="AS186" s="42"/>
      <c r="AT186" s="42"/>
      <c r="AU186" s="42"/>
      <c r="AV186" s="42"/>
      <c r="AW186" s="42"/>
      <c r="AX186" s="42"/>
      <c r="AY186" s="42"/>
      <c r="AZ186" s="42"/>
    </row>
    <row r="187" spans="1:52" ht="20.100000000000001" customHeight="1" x14ac:dyDescent="0.25">
      <c r="A187" s="39">
        <v>187</v>
      </c>
      <c r="B187" s="40" t="s">
        <v>1539</v>
      </c>
      <c r="C187" s="16"/>
      <c r="D187" s="17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56"/>
      <c r="R187" s="56"/>
      <c r="S187" s="56"/>
      <c r="T187" s="58"/>
      <c r="U187" s="58"/>
      <c r="V187" s="58"/>
      <c r="W187" s="58"/>
      <c r="X187" s="58"/>
      <c r="Y187" s="58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 t="s">
        <v>1553</v>
      </c>
      <c r="AO187" s="42">
        <v>207</v>
      </c>
      <c r="AP187" s="42"/>
      <c r="AQ187" s="42"/>
      <c r="AR187" s="42"/>
      <c r="AS187" s="42"/>
      <c r="AT187" s="42"/>
      <c r="AU187" s="42"/>
      <c r="AV187" s="42"/>
      <c r="AW187" s="42"/>
      <c r="AX187" s="42"/>
      <c r="AY187" s="42"/>
      <c r="AZ187" s="42"/>
    </row>
    <row r="188" spans="1:52" ht="20.100000000000001" customHeight="1" x14ac:dyDescent="0.25">
      <c r="A188" s="39">
        <v>188</v>
      </c>
      <c r="B188" s="40" t="s">
        <v>1555</v>
      </c>
      <c r="C188" s="16"/>
      <c r="D188" s="17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56"/>
      <c r="R188" s="56"/>
      <c r="S188" s="56"/>
      <c r="T188" s="58"/>
      <c r="U188" s="58"/>
      <c r="V188" s="58"/>
      <c r="W188" s="58"/>
      <c r="X188" s="58"/>
      <c r="Y188" s="58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 t="s">
        <v>1568</v>
      </c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spans="1:52" ht="20.100000000000001" customHeight="1" x14ac:dyDescent="0.25">
      <c r="A189" s="39">
        <v>189</v>
      </c>
      <c r="B189" s="40" t="s">
        <v>1556</v>
      </c>
      <c r="C189" s="16"/>
      <c r="D189" s="17"/>
      <c r="E189" s="17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56"/>
      <c r="R189" s="56"/>
      <c r="S189" s="56"/>
      <c r="T189" s="58"/>
      <c r="U189" s="58"/>
      <c r="V189" s="58"/>
      <c r="W189" s="58"/>
      <c r="X189" s="58"/>
      <c r="Y189" s="58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 t="s">
        <v>1569</v>
      </c>
      <c r="AQ189" s="42"/>
      <c r="AR189" s="42"/>
      <c r="AS189" s="42"/>
      <c r="AT189" s="42"/>
      <c r="AU189" s="42"/>
      <c r="AV189" s="42"/>
      <c r="AW189" s="42"/>
      <c r="AX189" s="42"/>
      <c r="AY189" s="42"/>
      <c r="AZ189" s="42"/>
    </row>
    <row r="190" spans="1:52" ht="20.100000000000001" customHeight="1" x14ac:dyDescent="0.25">
      <c r="A190" s="39">
        <v>190</v>
      </c>
      <c r="B190" s="40" t="s">
        <v>1579</v>
      </c>
      <c r="C190" s="16"/>
      <c r="D190" s="17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56"/>
      <c r="R190" s="56"/>
      <c r="S190" s="56"/>
      <c r="T190" s="58"/>
      <c r="U190" s="58"/>
      <c r="V190" s="58"/>
      <c r="W190" s="58"/>
      <c r="X190" s="58"/>
      <c r="Y190" s="58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 t="s">
        <v>1570</v>
      </c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spans="1:52" ht="20.100000000000001" customHeight="1" x14ac:dyDescent="0.25">
      <c r="A191" s="39">
        <v>191</v>
      </c>
      <c r="B191" s="40" t="s">
        <v>1557</v>
      </c>
      <c r="C191" s="16"/>
      <c r="D191" s="17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56"/>
      <c r="R191" s="56"/>
      <c r="S191" s="56"/>
      <c r="T191" s="58"/>
      <c r="U191" s="58"/>
      <c r="V191" s="58"/>
      <c r="W191" s="58"/>
      <c r="X191" s="58"/>
      <c r="Y191" s="58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  <c r="AO191" s="42"/>
      <c r="AP191" s="42" t="s">
        <v>1571</v>
      </c>
      <c r="AQ191" s="42"/>
      <c r="AR191" s="42"/>
      <c r="AS191" s="42"/>
      <c r="AT191" s="42"/>
      <c r="AU191" s="42"/>
      <c r="AV191" s="42"/>
      <c r="AW191" s="42"/>
      <c r="AX191" s="42"/>
      <c r="AY191" s="42"/>
      <c r="AZ191" s="42"/>
    </row>
    <row r="192" spans="1:52" ht="20.100000000000001" customHeight="1" x14ac:dyDescent="0.25">
      <c r="A192" s="39">
        <v>192</v>
      </c>
      <c r="B192" s="40" t="s">
        <v>1558</v>
      </c>
      <c r="C192" s="16"/>
      <c r="D192" s="17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56"/>
      <c r="R192" s="56"/>
      <c r="S192" s="56"/>
      <c r="T192" s="58"/>
      <c r="U192" s="58"/>
      <c r="V192" s="58"/>
      <c r="W192" s="58"/>
      <c r="X192" s="58"/>
      <c r="Y192" s="58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  <c r="AO192" s="42"/>
      <c r="AP192" s="42" t="s">
        <v>1572</v>
      </c>
      <c r="AQ192" s="42"/>
      <c r="AR192" s="42"/>
      <c r="AS192" s="42"/>
      <c r="AT192" s="42"/>
      <c r="AU192" s="42"/>
      <c r="AV192" s="42"/>
      <c r="AW192" s="42"/>
      <c r="AX192" s="42"/>
      <c r="AY192" s="42"/>
      <c r="AZ192" s="42"/>
    </row>
    <row r="193" spans="1:52" ht="20.100000000000001" customHeight="1" x14ac:dyDescent="0.25">
      <c r="A193" s="39">
        <v>193</v>
      </c>
      <c r="B193" s="40" t="s">
        <v>1559</v>
      </c>
      <c r="C193" s="16"/>
      <c r="D193" s="17"/>
      <c r="E193" s="17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56"/>
      <c r="R193" s="56"/>
      <c r="S193" s="56"/>
      <c r="T193" s="58"/>
      <c r="U193" s="58"/>
      <c r="V193" s="58"/>
      <c r="W193" s="58"/>
      <c r="X193" s="58"/>
      <c r="Y193" s="58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 t="s">
        <v>1573</v>
      </c>
      <c r="AQ193" s="42"/>
      <c r="AR193" s="42"/>
      <c r="AS193" s="42"/>
      <c r="AT193" s="42"/>
      <c r="AU193" s="42"/>
      <c r="AV193" s="42"/>
      <c r="AW193" s="42"/>
      <c r="AX193" s="42"/>
      <c r="AY193" s="42"/>
      <c r="AZ193" s="42"/>
    </row>
    <row r="194" spans="1:52" ht="20.100000000000001" customHeight="1" x14ac:dyDescent="0.25">
      <c r="A194" s="39">
        <v>194</v>
      </c>
      <c r="B194" s="40" t="s">
        <v>1560</v>
      </c>
      <c r="C194" s="16"/>
      <c r="D194" s="17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56"/>
      <c r="R194" s="56"/>
      <c r="S194" s="56"/>
      <c r="T194" s="58"/>
      <c r="U194" s="58"/>
      <c r="V194" s="58"/>
      <c r="W194" s="58"/>
      <c r="X194" s="58"/>
      <c r="Y194" s="58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 t="s">
        <v>1574</v>
      </c>
      <c r="AQ194" s="42"/>
      <c r="AR194" s="42"/>
      <c r="AS194" s="42"/>
      <c r="AT194" s="42"/>
      <c r="AU194" s="42"/>
      <c r="AV194" s="42"/>
      <c r="AW194" s="42"/>
      <c r="AX194" s="42"/>
      <c r="AY194" s="42"/>
      <c r="AZ194" s="42"/>
    </row>
    <row r="195" spans="1:52" ht="20.100000000000001" customHeight="1" x14ac:dyDescent="0.25">
      <c r="A195" s="39">
        <v>195</v>
      </c>
      <c r="B195" s="40" t="s">
        <v>1561</v>
      </c>
      <c r="C195" s="16"/>
      <c r="D195" s="17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56"/>
      <c r="R195" s="56"/>
      <c r="S195" s="56"/>
      <c r="T195" s="58"/>
      <c r="U195" s="58"/>
      <c r="V195" s="58"/>
      <c r="W195" s="58"/>
      <c r="X195" s="58"/>
      <c r="Y195" s="58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 t="s">
        <v>1575</v>
      </c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spans="1:52" ht="20.100000000000001" customHeight="1" x14ac:dyDescent="0.25">
      <c r="A196" s="39">
        <v>196</v>
      </c>
      <c r="B196" s="40" t="s">
        <v>1562</v>
      </c>
      <c r="C196" s="16"/>
      <c r="D196" s="17"/>
      <c r="E196" s="17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56"/>
      <c r="R196" s="56"/>
      <c r="S196" s="56"/>
      <c r="T196" s="58"/>
      <c r="U196" s="58"/>
      <c r="V196" s="58"/>
      <c r="W196" s="58"/>
      <c r="X196" s="58"/>
      <c r="Y196" s="58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  <c r="AO196" s="42"/>
      <c r="AP196" s="42" t="s">
        <v>1576</v>
      </c>
      <c r="AQ196" s="42"/>
      <c r="AR196" s="42"/>
      <c r="AS196" s="42"/>
      <c r="AT196" s="42"/>
      <c r="AU196" s="42"/>
      <c r="AV196" s="42"/>
      <c r="AW196" s="42"/>
      <c r="AX196" s="42"/>
      <c r="AY196" s="42"/>
      <c r="AZ196" s="42"/>
    </row>
    <row r="197" spans="1:52" ht="20.100000000000001" customHeight="1" x14ac:dyDescent="0.25">
      <c r="A197" s="39">
        <v>197</v>
      </c>
      <c r="B197" s="40" t="s">
        <v>1563</v>
      </c>
      <c r="C197" s="16"/>
      <c r="D197" s="17"/>
      <c r="E197" s="17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56"/>
      <c r="R197" s="56"/>
      <c r="S197" s="56"/>
      <c r="T197" s="58"/>
      <c r="U197" s="58"/>
      <c r="V197" s="58"/>
      <c r="W197" s="58"/>
      <c r="X197" s="58"/>
      <c r="Y197" s="58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 t="s">
        <v>1567</v>
      </c>
      <c r="AQ197" s="42"/>
      <c r="AR197" s="42"/>
      <c r="AS197" s="42"/>
      <c r="AT197" s="42"/>
      <c r="AU197" s="42"/>
      <c r="AV197" s="42"/>
      <c r="AW197" s="42"/>
      <c r="AX197" s="42"/>
      <c r="AY197" s="42"/>
      <c r="AZ197" s="42"/>
    </row>
    <row r="198" spans="1:52" ht="20.100000000000001" customHeight="1" x14ac:dyDescent="0.25">
      <c r="A198" s="39">
        <v>198</v>
      </c>
      <c r="B198" s="40" t="s">
        <v>1564</v>
      </c>
      <c r="C198" s="16"/>
      <c r="D198" s="17"/>
      <c r="E198" s="17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56"/>
      <c r="R198" s="56"/>
      <c r="S198" s="56"/>
      <c r="T198" s="58"/>
      <c r="U198" s="58"/>
      <c r="V198" s="58"/>
      <c r="W198" s="58"/>
      <c r="X198" s="58"/>
      <c r="Y198" s="58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 t="s">
        <v>1577</v>
      </c>
      <c r="AQ198" s="42"/>
      <c r="AR198" s="42"/>
      <c r="AS198" s="42"/>
      <c r="AT198" s="42"/>
      <c r="AU198" s="42"/>
      <c r="AV198" s="42"/>
      <c r="AW198" s="42"/>
      <c r="AX198" s="42"/>
      <c r="AY198" s="42"/>
      <c r="AZ198" s="42"/>
    </row>
    <row r="199" spans="1:52" ht="20.100000000000001" customHeight="1" x14ac:dyDescent="0.25">
      <c r="A199" s="39">
        <v>199</v>
      </c>
      <c r="B199" s="40" t="s">
        <v>1565</v>
      </c>
      <c r="C199" s="16"/>
      <c r="D199" s="17"/>
      <c r="E199" s="17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56"/>
      <c r="R199" s="56"/>
      <c r="S199" s="56"/>
      <c r="T199" s="58"/>
      <c r="U199" s="58"/>
      <c r="V199" s="58"/>
      <c r="W199" s="58"/>
      <c r="X199" s="58"/>
      <c r="Y199" s="58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  <c r="AO199" s="42"/>
      <c r="AP199" s="42" t="s">
        <v>1578</v>
      </c>
      <c r="AQ199" s="42"/>
      <c r="AR199" s="42"/>
      <c r="AS199" s="42"/>
      <c r="AT199" s="42"/>
      <c r="AU199" s="42"/>
      <c r="AV199" s="42"/>
      <c r="AW199" s="42"/>
      <c r="AX199" s="42"/>
      <c r="AY199" s="42"/>
      <c r="AZ199" s="42"/>
    </row>
    <row r="200" spans="1:52" ht="20.100000000000001" customHeight="1" x14ac:dyDescent="0.25">
      <c r="A200" s="39">
        <v>200</v>
      </c>
      <c r="B200" s="40" t="s">
        <v>1566</v>
      </c>
      <c r="C200" s="16"/>
      <c r="D200" s="17"/>
      <c r="E200" s="17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56"/>
      <c r="R200" s="56"/>
      <c r="S200" s="56"/>
      <c r="T200" s="58"/>
      <c r="U200" s="58"/>
      <c r="V200" s="58"/>
      <c r="W200" s="58"/>
      <c r="X200" s="58"/>
      <c r="Y200" s="58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 t="s">
        <v>1580</v>
      </c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spans="1:52" ht="20.100000000000001" customHeight="1" x14ac:dyDescent="0.25">
      <c r="A201" s="39">
        <v>201</v>
      </c>
      <c r="B201" s="2" t="s">
        <v>1581</v>
      </c>
      <c r="C201" s="16"/>
      <c r="D201" s="17"/>
      <c r="E201" s="17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56"/>
      <c r="R201" s="56"/>
      <c r="S201" s="56"/>
      <c r="T201" s="58"/>
      <c r="U201" s="58"/>
      <c r="V201" s="58"/>
      <c r="W201" s="58"/>
      <c r="X201" s="58"/>
      <c r="Y201" s="58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  <c r="AQ201" s="42"/>
      <c r="AR201" s="42" t="s">
        <v>1593</v>
      </c>
      <c r="AS201" s="42"/>
      <c r="AT201" s="42"/>
      <c r="AU201" s="42"/>
      <c r="AV201" s="42"/>
      <c r="AW201" s="42"/>
      <c r="AX201" s="42"/>
      <c r="AY201" s="42"/>
      <c r="AZ201" s="42"/>
    </row>
    <row r="202" spans="1:52" ht="20.100000000000001" customHeight="1" x14ac:dyDescent="0.25">
      <c r="A202" s="39">
        <v>202</v>
      </c>
      <c r="B202" s="40" t="s">
        <v>1582</v>
      </c>
      <c r="C202" s="16"/>
      <c r="D202" s="17"/>
      <c r="E202" s="17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56"/>
      <c r="R202" s="56"/>
      <c r="S202" s="56"/>
      <c r="T202" s="58"/>
      <c r="U202" s="58"/>
      <c r="V202" s="58"/>
      <c r="W202" s="58"/>
      <c r="X202" s="58"/>
      <c r="Y202" s="58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  <c r="AO202" s="42"/>
      <c r="AP202" s="42"/>
      <c r="AQ202" s="42"/>
      <c r="AR202" s="42" t="s">
        <v>1410</v>
      </c>
      <c r="AS202" s="42" t="s">
        <v>1594</v>
      </c>
      <c r="AT202" s="42"/>
      <c r="AU202" s="42"/>
      <c r="AV202" s="42"/>
      <c r="AW202" s="42"/>
      <c r="AX202" s="42"/>
      <c r="AY202" s="42"/>
      <c r="AZ202" s="42"/>
    </row>
    <row r="203" spans="1:52" ht="20.100000000000001" customHeight="1" x14ac:dyDescent="0.25">
      <c r="A203" s="39">
        <v>203</v>
      </c>
      <c r="B203" s="40" t="s">
        <v>1583</v>
      </c>
      <c r="C203" s="16"/>
      <c r="D203" s="17"/>
      <c r="E203" s="17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56"/>
      <c r="R203" s="56"/>
      <c r="S203" s="56"/>
      <c r="T203" s="58"/>
      <c r="U203" s="58"/>
      <c r="V203" s="58"/>
      <c r="W203" s="58"/>
      <c r="X203" s="58"/>
      <c r="Y203" s="58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 t="s">
        <v>1595</v>
      </c>
      <c r="AS203" s="42" t="s">
        <v>1596</v>
      </c>
      <c r="AT203" s="42"/>
      <c r="AU203" s="42"/>
      <c r="AV203" s="42"/>
      <c r="AW203" s="42"/>
      <c r="AX203" s="42"/>
      <c r="AY203" s="42"/>
      <c r="AZ203" s="42"/>
    </row>
    <row r="204" spans="1:52" ht="20.100000000000001" customHeight="1" x14ac:dyDescent="0.25">
      <c r="A204" s="39">
        <v>204</v>
      </c>
      <c r="B204" s="40" t="s">
        <v>1584</v>
      </c>
      <c r="C204" s="16"/>
      <c r="D204" s="17"/>
      <c r="E204" s="17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56"/>
      <c r="R204" s="56"/>
      <c r="S204" s="56"/>
      <c r="T204" s="58"/>
      <c r="U204" s="58"/>
      <c r="V204" s="58"/>
      <c r="W204" s="58"/>
      <c r="X204" s="58"/>
      <c r="Y204" s="58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  <c r="AQ204" s="42"/>
      <c r="AR204" s="42" t="s">
        <v>1595</v>
      </c>
      <c r="AS204" s="42" t="s">
        <v>1596</v>
      </c>
      <c r="AT204" s="42"/>
      <c r="AU204" s="42"/>
      <c r="AV204" s="42"/>
      <c r="AW204" s="42"/>
      <c r="AX204" s="42"/>
      <c r="AY204" s="42"/>
      <c r="AZ204" s="42"/>
    </row>
    <row r="205" spans="1:52" ht="20.100000000000001" customHeight="1" x14ac:dyDescent="0.25">
      <c r="A205" s="39">
        <v>205</v>
      </c>
      <c r="B205" s="40" t="s">
        <v>1585</v>
      </c>
      <c r="C205" s="16"/>
      <c r="D205" s="17"/>
      <c r="E205" s="17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56"/>
      <c r="R205" s="56"/>
      <c r="S205" s="56"/>
      <c r="T205" s="58"/>
      <c r="U205" s="58"/>
      <c r="V205" s="58"/>
      <c r="W205" s="58"/>
      <c r="X205" s="58"/>
      <c r="Y205" s="58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  <c r="AO205" s="42"/>
      <c r="AP205" s="42"/>
      <c r="AQ205" s="42"/>
      <c r="AR205" s="42" t="s">
        <v>1597</v>
      </c>
      <c r="AS205" s="42"/>
      <c r="AT205" s="42" t="s">
        <v>1598</v>
      </c>
      <c r="AU205" s="42"/>
      <c r="AV205" s="42"/>
      <c r="AW205" s="42"/>
      <c r="AX205" s="42"/>
      <c r="AY205" s="42"/>
      <c r="AZ205" s="42"/>
    </row>
    <row r="206" spans="1:52" ht="20.100000000000001" customHeight="1" x14ac:dyDescent="0.25">
      <c r="A206" s="39">
        <v>206</v>
      </c>
      <c r="B206" s="40" t="s">
        <v>1586</v>
      </c>
      <c r="C206" s="16"/>
      <c r="D206" s="17"/>
      <c r="E206" s="17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56"/>
      <c r="R206" s="56"/>
      <c r="S206" s="56"/>
      <c r="T206" s="58"/>
      <c r="U206" s="58"/>
      <c r="V206" s="58"/>
      <c r="W206" s="58"/>
      <c r="X206" s="58"/>
      <c r="Y206" s="58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 t="s">
        <v>1597</v>
      </c>
      <c r="AS206" s="42"/>
      <c r="AT206" s="42" t="s">
        <v>1598</v>
      </c>
      <c r="AU206" s="42"/>
      <c r="AV206" s="42"/>
      <c r="AW206" s="42"/>
      <c r="AX206" s="42"/>
      <c r="AY206" s="42"/>
      <c r="AZ206" s="42"/>
    </row>
    <row r="207" spans="1:52" ht="20.100000000000001" customHeight="1" x14ac:dyDescent="0.25">
      <c r="A207" s="39">
        <v>207</v>
      </c>
      <c r="B207" s="40" t="s">
        <v>1587</v>
      </c>
      <c r="C207" s="16"/>
      <c r="D207" s="17"/>
      <c r="E207" s="17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56"/>
      <c r="R207" s="56"/>
      <c r="S207" s="56"/>
      <c r="T207" s="58"/>
      <c r="U207" s="58"/>
      <c r="V207" s="58"/>
      <c r="W207" s="58"/>
      <c r="X207" s="58"/>
      <c r="Y207" s="58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  <c r="AQ207" s="42"/>
      <c r="AR207" s="42" t="s">
        <v>1540</v>
      </c>
      <c r="AS207" s="42"/>
      <c r="AT207" s="42"/>
      <c r="AU207" s="42"/>
      <c r="AV207" s="42"/>
      <c r="AW207" s="42"/>
      <c r="AX207" s="42"/>
      <c r="AY207" s="42"/>
      <c r="AZ207" s="42"/>
    </row>
    <row r="208" spans="1:52" ht="20.100000000000001" customHeight="1" x14ac:dyDescent="0.25">
      <c r="A208" s="39">
        <v>208</v>
      </c>
      <c r="B208" s="40" t="s">
        <v>1588</v>
      </c>
      <c r="C208" s="16"/>
      <c r="D208" s="17"/>
      <c r="E208" s="17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56"/>
      <c r="R208" s="56"/>
      <c r="S208" s="56"/>
      <c r="T208" s="58"/>
      <c r="U208" s="58"/>
      <c r="V208" s="58"/>
      <c r="W208" s="58"/>
      <c r="X208" s="58"/>
      <c r="Y208" s="58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  <c r="AQ208" s="42"/>
      <c r="AR208" s="42" t="s">
        <v>1599</v>
      </c>
      <c r="AS208" s="42"/>
      <c r="AT208" s="42"/>
      <c r="AU208" s="42"/>
      <c r="AV208" s="42"/>
      <c r="AW208" s="42"/>
      <c r="AX208" s="42"/>
      <c r="AY208" s="42"/>
      <c r="AZ208" s="42"/>
    </row>
    <row r="209" spans="1:52" ht="20.100000000000001" customHeight="1" x14ac:dyDescent="0.25">
      <c r="A209" s="39">
        <v>209</v>
      </c>
      <c r="B209" s="40" t="s">
        <v>1589</v>
      </c>
      <c r="C209" s="16"/>
      <c r="D209" s="17"/>
      <c r="E209" s="17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56"/>
      <c r="R209" s="56"/>
      <c r="S209" s="56"/>
      <c r="T209" s="58"/>
      <c r="U209" s="58"/>
      <c r="V209" s="58"/>
      <c r="W209" s="58"/>
      <c r="X209" s="58"/>
      <c r="Y209" s="58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  <c r="AO209" s="42"/>
      <c r="AP209" s="42"/>
      <c r="AQ209" s="42"/>
      <c r="AR209" s="42"/>
      <c r="AS209" s="42" t="s">
        <v>1600</v>
      </c>
      <c r="AT209" s="42"/>
      <c r="AU209" s="42"/>
      <c r="AV209" s="42"/>
      <c r="AW209" s="42"/>
      <c r="AX209" s="42"/>
      <c r="AY209" s="42"/>
      <c r="AZ209" s="42"/>
    </row>
    <row r="210" spans="1:52" ht="20.100000000000001" customHeight="1" x14ac:dyDescent="0.25">
      <c r="A210" s="39">
        <v>210</v>
      </c>
      <c r="B210" s="40" t="s">
        <v>1590</v>
      </c>
      <c r="C210" s="16"/>
      <c r="D210" s="17"/>
      <c r="E210" s="17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56"/>
      <c r="R210" s="56"/>
      <c r="S210" s="56"/>
      <c r="T210" s="58"/>
      <c r="U210" s="58"/>
      <c r="V210" s="58"/>
      <c r="W210" s="58"/>
      <c r="X210" s="58"/>
      <c r="Y210" s="58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  <c r="AQ210" s="42"/>
      <c r="AR210" s="42" t="s">
        <v>1601</v>
      </c>
      <c r="AS210" s="42" t="s">
        <v>1602</v>
      </c>
      <c r="AT210" s="42" t="s">
        <v>1603</v>
      </c>
      <c r="AU210" s="42"/>
      <c r="AV210" s="42"/>
      <c r="AW210" s="42"/>
      <c r="AX210" s="42"/>
      <c r="AY210" s="42"/>
      <c r="AZ210" s="42"/>
    </row>
    <row r="211" spans="1:52" ht="20.100000000000001" customHeight="1" x14ac:dyDescent="0.25">
      <c r="A211" s="39">
        <v>211</v>
      </c>
      <c r="B211" s="40" t="s">
        <v>1591</v>
      </c>
      <c r="C211" s="16"/>
      <c r="D211" s="17"/>
      <c r="E211" s="17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56"/>
      <c r="R211" s="56"/>
      <c r="S211" s="56"/>
      <c r="T211" s="58"/>
      <c r="U211" s="58"/>
      <c r="V211" s="58"/>
      <c r="W211" s="58"/>
      <c r="X211" s="58"/>
      <c r="Y211" s="58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  <c r="AQ211" s="42"/>
      <c r="AR211" s="42"/>
      <c r="AS211" s="42"/>
      <c r="AT211" s="42" t="s">
        <v>1604</v>
      </c>
      <c r="AU211" s="42"/>
      <c r="AV211" s="42"/>
      <c r="AW211" s="42"/>
      <c r="AX211" s="42"/>
      <c r="AY211" s="42"/>
      <c r="AZ211" s="42"/>
    </row>
    <row r="212" spans="1:52" ht="20.100000000000001" customHeight="1" x14ac:dyDescent="0.25">
      <c r="A212" s="39">
        <v>212</v>
      </c>
      <c r="B212" s="40" t="s">
        <v>1592</v>
      </c>
      <c r="C212" s="16"/>
      <c r="D212" s="17"/>
      <c r="E212" s="17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56"/>
      <c r="R212" s="56"/>
      <c r="S212" s="56"/>
      <c r="T212" s="58"/>
      <c r="U212" s="58"/>
      <c r="V212" s="58"/>
      <c r="W212" s="58"/>
      <c r="X212" s="58"/>
      <c r="Y212" s="58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  <c r="AO212" s="42"/>
      <c r="AP212" s="42"/>
      <c r="AQ212" s="42"/>
      <c r="AR212" s="42" t="s">
        <v>1605</v>
      </c>
      <c r="AS212" s="42"/>
      <c r="AT212" s="42"/>
      <c r="AU212" s="42"/>
      <c r="AV212" s="42"/>
      <c r="AW212" s="42"/>
      <c r="AX212" s="42"/>
      <c r="AY212" s="42"/>
      <c r="AZ212" s="42"/>
    </row>
    <row r="213" spans="1:52" ht="20.100000000000001" customHeight="1" x14ac:dyDescent="0.25">
      <c r="A213" s="39">
        <v>213</v>
      </c>
      <c r="B213" s="40" t="s">
        <v>628</v>
      </c>
      <c r="C213" s="16"/>
      <c r="D213" s="17"/>
      <c r="E213" s="17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56"/>
      <c r="R213" s="56"/>
      <c r="S213" s="56"/>
      <c r="T213" s="58"/>
      <c r="U213" s="58"/>
      <c r="V213" s="58"/>
      <c r="W213" s="58"/>
      <c r="X213" s="58"/>
      <c r="Y213" s="58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 t="s">
        <v>1650</v>
      </c>
      <c r="AV213" s="42" t="s">
        <v>1650</v>
      </c>
      <c r="AW213" s="42" t="s">
        <v>1650</v>
      </c>
      <c r="AX213" s="42"/>
      <c r="AY213" s="42"/>
      <c r="AZ213" s="42"/>
    </row>
    <row r="214" spans="1:52" ht="20.100000000000001" customHeight="1" x14ac:dyDescent="0.25">
      <c r="A214" s="39">
        <v>214</v>
      </c>
      <c r="B214" s="40" t="s">
        <v>1632</v>
      </c>
      <c r="C214" s="16"/>
      <c r="D214" s="17"/>
      <c r="E214" s="17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56"/>
      <c r="R214" s="56"/>
      <c r="S214" s="56"/>
      <c r="T214" s="58"/>
      <c r="U214" s="58"/>
      <c r="V214" s="58"/>
      <c r="W214" s="58"/>
      <c r="X214" s="58"/>
      <c r="Y214" s="58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  <c r="AQ214" s="42"/>
      <c r="AR214" s="42"/>
      <c r="AS214" s="42"/>
      <c r="AT214" s="42"/>
      <c r="AU214" s="42" t="s">
        <v>1651</v>
      </c>
      <c r="AV214" s="42" t="s">
        <v>1651</v>
      </c>
      <c r="AW214" s="42" t="s">
        <v>1651</v>
      </c>
      <c r="AX214" s="42"/>
      <c r="AY214" s="42"/>
      <c r="AZ214" s="42"/>
    </row>
    <row r="215" spans="1:52" ht="20.100000000000001" customHeight="1" x14ac:dyDescent="0.25">
      <c r="A215" s="39">
        <v>215</v>
      </c>
      <c r="B215" s="40" t="s">
        <v>1633</v>
      </c>
      <c r="C215" s="16"/>
      <c r="D215" s="17"/>
      <c r="E215" s="17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56"/>
      <c r="R215" s="56"/>
      <c r="S215" s="56"/>
      <c r="T215" s="58"/>
      <c r="U215" s="58"/>
      <c r="V215" s="58"/>
      <c r="W215" s="58"/>
      <c r="X215" s="58"/>
      <c r="Y215" s="58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  <c r="AO215" s="42"/>
      <c r="AP215" s="42"/>
      <c r="AQ215" s="42"/>
      <c r="AR215" s="42"/>
      <c r="AS215" s="42"/>
      <c r="AT215" s="42"/>
      <c r="AU215" s="42" t="s">
        <v>1652</v>
      </c>
      <c r="AV215" s="42" t="s">
        <v>1652</v>
      </c>
      <c r="AW215" s="42" t="s">
        <v>1652</v>
      </c>
      <c r="AX215" s="42"/>
      <c r="AY215" s="42"/>
      <c r="AZ215" s="42"/>
    </row>
    <row r="216" spans="1:52" ht="20.100000000000001" customHeight="1" x14ac:dyDescent="0.25">
      <c r="A216" s="39">
        <v>216</v>
      </c>
      <c r="B216" s="40" t="s">
        <v>1634</v>
      </c>
      <c r="C216" s="16"/>
      <c r="D216" s="17"/>
      <c r="E216" s="17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56"/>
      <c r="R216" s="56"/>
      <c r="S216" s="56"/>
      <c r="T216" s="58"/>
      <c r="U216" s="58"/>
      <c r="V216" s="58"/>
      <c r="W216" s="58"/>
      <c r="X216" s="58"/>
      <c r="Y216" s="58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 t="s">
        <v>1652</v>
      </c>
      <c r="AV216" s="42" t="s">
        <v>1652</v>
      </c>
      <c r="AW216" s="42" t="s">
        <v>1652</v>
      </c>
      <c r="AX216" s="42"/>
      <c r="AY216" s="42"/>
      <c r="AZ216" s="42"/>
    </row>
    <row r="217" spans="1:52" ht="20.100000000000001" customHeight="1" x14ac:dyDescent="0.25">
      <c r="A217" s="39">
        <v>217</v>
      </c>
      <c r="B217" s="40" t="s">
        <v>1635</v>
      </c>
      <c r="C217" s="16"/>
      <c r="D217" s="17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56"/>
      <c r="R217" s="56"/>
      <c r="S217" s="56"/>
      <c r="T217" s="58"/>
      <c r="U217" s="58"/>
      <c r="V217" s="58"/>
      <c r="W217" s="58"/>
      <c r="X217" s="58"/>
      <c r="Y217" s="58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  <c r="AQ217" s="42"/>
      <c r="AR217" s="42"/>
      <c r="AS217" s="42"/>
      <c r="AT217" s="42"/>
      <c r="AU217" s="42" t="s">
        <v>1653</v>
      </c>
      <c r="AV217" s="42" t="s">
        <v>1653</v>
      </c>
      <c r="AW217" s="42" t="s">
        <v>1653</v>
      </c>
      <c r="AX217" s="42"/>
      <c r="AY217" s="42"/>
      <c r="AZ217" s="42"/>
    </row>
    <row r="218" spans="1:52" ht="20.100000000000001" customHeight="1" x14ac:dyDescent="0.25">
      <c r="A218" s="39">
        <v>218</v>
      </c>
      <c r="B218" s="40" t="s">
        <v>1636</v>
      </c>
      <c r="C218" s="16"/>
      <c r="D218" s="17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56"/>
      <c r="R218" s="56"/>
      <c r="S218" s="56"/>
      <c r="T218" s="58"/>
      <c r="U218" s="58"/>
      <c r="V218" s="58"/>
      <c r="W218" s="58"/>
      <c r="X218" s="58"/>
      <c r="Y218" s="58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  <c r="AO218" s="42"/>
      <c r="AP218" s="42"/>
      <c r="AQ218" s="42"/>
      <c r="AR218" s="42"/>
      <c r="AS218" s="42"/>
      <c r="AT218" s="42"/>
      <c r="AU218" s="42" t="s">
        <v>1653</v>
      </c>
      <c r="AV218" s="42" t="s">
        <v>1653</v>
      </c>
      <c r="AW218" s="42" t="s">
        <v>1653</v>
      </c>
      <c r="AX218" s="42"/>
      <c r="AY218" s="42"/>
      <c r="AZ218" s="42"/>
    </row>
    <row r="219" spans="1:52" ht="20.100000000000001" customHeight="1" x14ac:dyDescent="0.25">
      <c r="A219" s="39">
        <v>219</v>
      </c>
      <c r="B219" s="40" t="s">
        <v>1637</v>
      </c>
      <c r="C219" s="16"/>
      <c r="D219" s="17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56"/>
      <c r="R219" s="56"/>
      <c r="S219" s="56"/>
      <c r="T219" s="58"/>
      <c r="U219" s="58"/>
      <c r="V219" s="58"/>
      <c r="W219" s="58"/>
      <c r="X219" s="58"/>
      <c r="Y219" s="58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 t="s">
        <v>1653</v>
      </c>
      <c r="AV219" s="42" t="s">
        <v>1653</v>
      </c>
      <c r="AW219" s="42" t="s">
        <v>1653</v>
      </c>
      <c r="AX219" s="42"/>
      <c r="AY219" s="42"/>
      <c r="AZ219" s="42"/>
    </row>
    <row r="220" spans="1:52" ht="20.100000000000001" customHeight="1" x14ac:dyDescent="0.25">
      <c r="A220" s="39">
        <v>220</v>
      </c>
      <c r="B220" s="40" t="s">
        <v>1638</v>
      </c>
      <c r="C220" s="16"/>
      <c r="D220" s="17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56"/>
      <c r="R220" s="56"/>
      <c r="S220" s="56"/>
      <c r="T220" s="58"/>
      <c r="U220" s="58"/>
      <c r="V220" s="58"/>
      <c r="W220" s="58"/>
      <c r="X220" s="58"/>
      <c r="Y220" s="58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  <c r="AQ220" s="42"/>
      <c r="AR220" s="42"/>
      <c r="AS220" s="42"/>
      <c r="AT220" s="42"/>
      <c r="AU220" s="42" t="s">
        <v>1654</v>
      </c>
      <c r="AV220" s="42" t="s">
        <v>1654</v>
      </c>
      <c r="AW220" s="42" t="s">
        <v>1654</v>
      </c>
      <c r="AX220" s="42"/>
      <c r="AY220" s="42"/>
      <c r="AZ220" s="42"/>
    </row>
    <row r="221" spans="1:52" ht="20.100000000000001" customHeight="1" x14ac:dyDescent="0.25">
      <c r="A221" s="39">
        <v>221</v>
      </c>
      <c r="B221" s="40" t="s">
        <v>1638</v>
      </c>
      <c r="C221" s="16"/>
      <c r="D221" s="17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56"/>
      <c r="R221" s="56"/>
      <c r="S221" s="56"/>
      <c r="T221" s="58"/>
      <c r="U221" s="58"/>
      <c r="V221" s="58"/>
      <c r="W221" s="58"/>
      <c r="X221" s="58"/>
      <c r="Y221" s="58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  <c r="AO221" s="42"/>
      <c r="AP221" s="42"/>
      <c r="AQ221" s="42"/>
      <c r="AR221" s="42"/>
      <c r="AS221" s="42"/>
      <c r="AT221" s="42"/>
      <c r="AU221" s="42" t="s">
        <v>1655</v>
      </c>
      <c r="AV221" s="42" t="s">
        <v>1655</v>
      </c>
      <c r="AW221" s="42" t="s">
        <v>1655</v>
      </c>
      <c r="AX221" s="42"/>
      <c r="AY221" s="42"/>
      <c r="AZ221" s="42"/>
    </row>
    <row r="222" spans="1:52" ht="20.100000000000001" customHeight="1" x14ac:dyDescent="0.25">
      <c r="A222" s="39">
        <v>222</v>
      </c>
      <c r="B222" s="40" t="s">
        <v>1639</v>
      </c>
      <c r="C222" s="16"/>
      <c r="D222" s="17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56"/>
      <c r="R222" s="56"/>
      <c r="S222" s="56"/>
      <c r="T222" s="58"/>
      <c r="U222" s="58"/>
      <c r="V222" s="58"/>
      <c r="W222" s="58"/>
      <c r="X222" s="58"/>
      <c r="Y222" s="58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 t="s">
        <v>1656</v>
      </c>
      <c r="AV222" s="42" t="s">
        <v>1656</v>
      </c>
      <c r="AW222" s="42" t="s">
        <v>1656</v>
      </c>
      <c r="AX222" s="42"/>
      <c r="AY222" s="42"/>
      <c r="AZ222" s="42"/>
    </row>
    <row r="223" spans="1:52" ht="20.100000000000001" customHeight="1" x14ac:dyDescent="0.25">
      <c r="A223" s="39">
        <v>223</v>
      </c>
      <c r="B223" s="40" t="s">
        <v>1639</v>
      </c>
      <c r="C223" s="16"/>
      <c r="D223" s="17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56"/>
      <c r="R223" s="56"/>
      <c r="S223" s="56"/>
      <c r="T223" s="58"/>
      <c r="U223" s="58"/>
      <c r="V223" s="58"/>
      <c r="W223" s="58"/>
      <c r="X223" s="58"/>
      <c r="Y223" s="58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  <c r="AQ223" s="42"/>
      <c r="AR223" s="42"/>
      <c r="AS223" s="42"/>
      <c r="AT223" s="42"/>
      <c r="AU223" s="42" t="s">
        <v>1657</v>
      </c>
      <c r="AV223" s="42" t="s">
        <v>1657</v>
      </c>
      <c r="AW223" s="42" t="s">
        <v>1657</v>
      </c>
      <c r="AX223" s="42"/>
      <c r="AY223" s="42"/>
      <c r="AZ223" s="42"/>
    </row>
    <row r="224" spans="1:52" ht="20.100000000000001" customHeight="1" x14ac:dyDescent="0.25">
      <c r="A224" s="39">
        <v>224</v>
      </c>
      <c r="B224" s="40" t="s">
        <v>1640</v>
      </c>
      <c r="C224" s="16"/>
      <c r="D224" s="17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56"/>
      <c r="R224" s="56"/>
      <c r="S224" s="56"/>
      <c r="T224" s="58"/>
      <c r="U224" s="58"/>
      <c r="V224" s="58"/>
      <c r="W224" s="58"/>
      <c r="X224" s="58"/>
      <c r="Y224" s="58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  <c r="AO224" s="42"/>
      <c r="AP224" s="42"/>
      <c r="AQ224" s="42"/>
      <c r="AR224" s="42"/>
      <c r="AS224" s="42"/>
      <c r="AT224" s="42"/>
      <c r="AU224" s="42" t="s">
        <v>1658</v>
      </c>
      <c r="AV224" s="42" t="s">
        <v>1658</v>
      </c>
      <c r="AW224" s="42" t="s">
        <v>1658</v>
      </c>
      <c r="AX224" s="42"/>
      <c r="AY224" s="42"/>
      <c r="AZ224" s="42"/>
    </row>
    <row r="225" spans="1:52" ht="20.100000000000001" customHeight="1" x14ac:dyDescent="0.25">
      <c r="A225" s="39">
        <v>225</v>
      </c>
      <c r="B225" s="40" t="s">
        <v>1641</v>
      </c>
      <c r="C225" s="16"/>
      <c r="D225" s="17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56"/>
      <c r="R225" s="56"/>
      <c r="S225" s="56"/>
      <c r="T225" s="58"/>
      <c r="U225" s="58"/>
      <c r="V225" s="58"/>
      <c r="W225" s="58"/>
      <c r="X225" s="58"/>
      <c r="Y225" s="58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  <c r="AO225" s="42"/>
      <c r="AP225" s="42"/>
      <c r="AQ225" s="42"/>
      <c r="AR225" s="42"/>
      <c r="AS225" s="42"/>
      <c r="AT225" s="42"/>
      <c r="AU225" s="42" t="s">
        <v>1659</v>
      </c>
      <c r="AV225" s="42" t="s">
        <v>1659</v>
      </c>
      <c r="AW225" s="42" t="s">
        <v>1659</v>
      </c>
      <c r="AX225" s="42"/>
      <c r="AY225" s="42"/>
      <c r="AZ225" s="42"/>
    </row>
    <row r="226" spans="1:52" ht="20.100000000000001" customHeight="1" x14ac:dyDescent="0.25">
      <c r="A226" s="39">
        <v>226</v>
      </c>
      <c r="B226" s="40" t="s">
        <v>1642</v>
      </c>
      <c r="C226" s="16"/>
      <c r="D226" s="17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56"/>
      <c r="R226" s="56"/>
      <c r="S226" s="56"/>
      <c r="T226" s="58"/>
      <c r="U226" s="58"/>
      <c r="V226" s="58"/>
      <c r="W226" s="58"/>
      <c r="X226" s="58"/>
      <c r="Y226" s="58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  <c r="AO226" s="42"/>
      <c r="AP226" s="42"/>
      <c r="AQ226" s="42"/>
      <c r="AR226" s="42"/>
      <c r="AS226" s="42"/>
      <c r="AT226" s="42"/>
      <c r="AU226" s="42" t="s">
        <v>1660</v>
      </c>
      <c r="AV226" s="42" t="s">
        <v>1660</v>
      </c>
      <c r="AW226" s="42" t="s">
        <v>1660</v>
      </c>
      <c r="AX226" s="42"/>
      <c r="AY226" s="42"/>
      <c r="AZ226" s="42"/>
    </row>
    <row r="227" spans="1:52" ht="20.100000000000001" customHeight="1" x14ac:dyDescent="0.25">
      <c r="A227" s="39">
        <v>227</v>
      </c>
      <c r="B227" s="40" t="s">
        <v>1643</v>
      </c>
      <c r="C227" s="16"/>
      <c r="D227" s="17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56"/>
      <c r="R227" s="56"/>
      <c r="S227" s="56"/>
      <c r="T227" s="58"/>
      <c r="U227" s="58"/>
      <c r="V227" s="58"/>
      <c r="W227" s="58"/>
      <c r="X227" s="58"/>
      <c r="Y227" s="58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  <c r="AQ227" s="42"/>
      <c r="AR227" s="42"/>
      <c r="AS227" s="42"/>
      <c r="AT227" s="42"/>
      <c r="AU227" s="42" t="s">
        <v>1661</v>
      </c>
      <c r="AV227" s="42" t="s">
        <v>1661</v>
      </c>
      <c r="AW227" s="42" t="s">
        <v>1661</v>
      </c>
      <c r="AX227" s="42"/>
      <c r="AY227" s="42"/>
      <c r="AZ227" s="42"/>
    </row>
    <row r="228" spans="1:52" ht="20.100000000000001" customHeight="1" x14ac:dyDescent="0.25">
      <c r="A228" s="39">
        <v>228</v>
      </c>
      <c r="B228" s="40" t="s">
        <v>1644</v>
      </c>
      <c r="C228" s="16"/>
      <c r="D228" s="17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56"/>
      <c r="R228" s="56"/>
      <c r="S228" s="56"/>
      <c r="T228" s="58"/>
      <c r="U228" s="58"/>
      <c r="V228" s="58"/>
      <c r="W228" s="58"/>
      <c r="X228" s="58"/>
      <c r="Y228" s="58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 t="s">
        <v>1662</v>
      </c>
      <c r="AV228" s="42" t="s">
        <v>1662</v>
      </c>
      <c r="AW228" s="42" t="s">
        <v>1662</v>
      </c>
      <c r="AX228" s="42"/>
      <c r="AY228" s="42"/>
      <c r="AZ228" s="42"/>
    </row>
    <row r="229" spans="1:52" ht="20.100000000000001" customHeight="1" x14ac:dyDescent="0.25">
      <c r="A229" s="39">
        <v>229</v>
      </c>
      <c r="B229" s="40" t="s">
        <v>1645</v>
      </c>
      <c r="C229" s="16"/>
      <c r="D229" s="17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56"/>
      <c r="R229" s="56"/>
      <c r="S229" s="56"/>
      <c r="T229" s="58"/>
      <c r="U229" s="58"/>
      <c r="V229" s="58"/>
      <c r="W229" s="58"/>
      <c r="X229" s="58"/>
      <c r="Y229" s="58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  <c r="AO229" s="42"/>
      <c r="AP229" s="42"/>
      <c r="AQ229" s="42"/>
      <c r="AR229" s="42"/>
      <c r="AS229" s="42"/>
      <c r="AT229" s="42"/>
      <c r="AU229" s="42" t="s">
        <v>1663</v>
      </c>
      <c r="AV229" s="42" t="s">
        <v>1663</v>
      </c>
      <c r="AW229" s="42" t="s">
        <v>1663</v>
      </c>
      <c r="AX229" s="42"/>
      <c r="AY229" s="42"/>
      <c r="AZ229" s="42"/>
    </row>
    <row r="230" spans="1:52" ht="20.100000000000001" customHeight="1" x14ac:dyDescent="0.25">
      <c r="A230" s="39">
        <v>230</v>
      </c>
      <c r="B230" s="40" t="s">
        <v>1646</v>
      </c>
      <c r="C230" s="16"/>
      <c r="D230" s="17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56"/>
      <c r="R230" s="56"/>
      <c r="S230" s="56"/>
      <c r="T230" s="58"/>
      <c r="U230" s="58"/>
      <c r="V230" s="58"/>
      <c r="W230" s="58"/>
      <c r="X230" s="58"/>
      <c r="Y230" s="58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  <c r="AQ230" s="42"/>
      <c r="AR230" s="42"/>
      <c r="AS230" s="42"/>
      <c r="AT230" s="42"/>
      <c r="AU230" s="42" t="s">
        <v>1664</v>
      </c>
      <c r="AV230" s="42" t="s">
        <v>1664</v>
      </c>
      <c r="AW230" s="42" t="s">
        <v>1664</v>
      </c>
      <c r="AX230" s="42"/>
      <c r="AY230" s="42"/>
      <c r="AZ230" s="42"/>
    </row>
    <row r="231" spans="1:52" ht="20.100000000000001" customHeight="1" x14ac:dyDescent="0.25">
      <c r="A231" s="39">
        <v>231</v>
      </c>
      <c r="B231" s="40" t="s">
        <v>1647</v>
      </c>
      <c r="C231" s="16"/>
      <c r="D231" s="17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56"/>
      <c r="R231" s="56"/>
      <c r="S231" s="56"/>
      <c r="T231" s="58"/>
      <c r="U231" s="58"/>
      <c r="V231" s="58"/>
      <c r="W231" s="58"/>
      <c r="X231" s="58"/>
      <c r="Y231" s="58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  <c r="AQ231" s="42"/>
      <c r="AR231" s="42"/>
      <c r="AS231" s="42"/>
      <c r="AT231" s="42"/>
      <c r="AU231" s="42" t="s">
        <v>1665</v>
      </c>
      <c r="AV231" s="42" t="s">
        <v>1665</v>
      </c>
      <c r="AW231" s="42" t="s">
        <v>1665</v>
      </c>
      <c r="AX231" s="42"/>
      <c r="AY231" s="42"/>
      <c r="AZ231" s="42"/>
    </row>
    <row r="232" spans="1:52" ht="20.100000000000001" customHeight="1" x14ac:dyDescent="0.25">
      <c r="A232" s="39">
        <v>232</v>
      </c>
      <c r="B232" s="40" t="s">
        <v>1648</v>
      </c>
      <c r="C232" s="16"/>
      <c r="D232" s="17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56"/>
      <c r="R232" s="56"/>
      <c r="S232" s="56"/>
      <c r="T232" s="58"/>
      <c r="U232" s="58"/>
      <c r="V232" s="58"/>
      <c r="W232" s="58"/>
      <c r="X232" s="58"/>
      <c r="Y232" s="58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 t="s">
        <v>1666</v>
      </c>
      <c r="AV232" s="42" t="s">
        <v>1666</v>
      </c>
      <c r="AW232" s="42" t="s">
        <v>1666</v>
      </c>
      <c r="AX232" s="42"/>
      <c r="AY232" s="42"/>
      <c r="AZ232" s="42"/>
    </row>
    <row r="233" spans="1:52" ht="20.100000000000001" customHeight="1" x14ac:dyDescent="0.25">
      <c r="A233" s="39">
        <v>233</v>
      </c>
      <c r="B233" s="40" t="s">
        <v>1649</v>
      </c>
      <c r="C233" s="16"/>
      <c r="D233" s="17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56"/>
      <c r="R233" s="56"/>
      <c r="S233" s="56"/>
      <c r="T233" s="58"/>
      <c r="U233" s="58"/>
      <c r="V233" s="58"/>
      <c r="W233" s="58"/>
      <c r="X233" s="58"/>
      <c r="Y233" s="58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  <c r="AQ233" s="42"/>
      <c r="AR233" s="42"/>
      <c r="AS233" s="42"/>
      <c r="AT233" s="42"/>
      <c r="AU233" s="42" t="s">
        <v>1667</v>
      </c>
      <c r="AV233" s="42" t="s">
        <v>1667</v>
      </c>
      <c r="AW233" s="42" t="s">
        <v>1667</v>
      </c>
      <c r="AX233" s="42"/>
      <c r="AY233" s="42"/>
      <c r="AZ233" s="42"/>
    </row>
    <row r="234" spans="1:52" ht="20.100000000000001" customHeight="1" x14ac:dyDescent="0.25">
      <c r="A234" s="39">
        <v>234</v>
      </c>
      <c r="B234" s="40" t="s">
        <v>1674</v>
      </c>
      <c r="C234" s="16"/>
      <c r="D234" s="17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56"/>
      <c r="R234" s="56"/>
      <c r="S234" s="56"/>
      <c r="T234" s="58"/>
      <c r="U234" s="58"/>
      <c r="V234" s="58"/>
      <c r="W234" s="58"/>
      <c r="X234" s="58"/>
      <c r="Y234" s="58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  <c r="AQ234" s="42"/>
      <c r="AR234" s="42"/>
      <c r="AS234" s="42"/>
      <c r="AT234" s="42"/>
      <c r="AU234" s="42"/>
      <c r="AV234" s="42"/>
      <c r="AW234" s="42"/>
      <c r="AX234" s="42">
        <v>0</v>
      </c>
      <c r="AY234" s="42"/>
      <c r="AZ234" s="42"/>
    </row>
    <row r="235" spans="1:52" ht="20.100000000000001" customHeight="1" x14ac:dyDescent="0.25">
      <c r="A235" s="39">
        <v>235</v>
      </c>
      <c r="B235" s="40" t="s">
        <v>1675</v>
      </c>
      <c r="C235" s="16"/>
      <c r="D235" s="17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56"/>
      <c r="R235" s="56"/>
      <c r="S235" s="56"/>
      <c r="T235" s="58"/>
      <c r="U235" s="58"/>
      <c r="V235" s="58"/>
      <c r="W235" s="58"/>
      <c r="X235" s="58"/>
      <c r="Y235" s="58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>
        <v>496</v>
      </c>
      <c r="AY235" s="42"/>
      <c r="AZ235" s="42"/>
    </row>
    <row r="236" spans="1:52" ht="20.100000000000001" customHeight="1" x14ac:dyDescent="0.25">
      <c r="A236" s="39">
        <v>236</v>
      </c>
      <c r="B236" s="40"/>
      <c r="C236" s="16"/>
      <c r="D236" s="17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56"/>
      <c r="R236" s="56"/>
      <c r="S236" s="56"/>
      <c r="T236" s="58"/>
      <c r="U236" s="58"/>
      <c r="V236" s="58"/>
      <c r="W236" s="58"/>
      <c r="X236" s="58"/>
      <c r="Y236" s="58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  <c r="AQ236" s="42"/>
      <c r="AR236" s="42"/>
      <c r="AS236" s="42"/>
      <c r="AT236" s="42"/>
      <c r="AU236" s="42"/>
      <c r="AV236" s="42"/>
      <c r="AW236" s="42"/>
      <c r="AX236" s="42"/>
      <c r="AY236" s="42"/>
      <c r="AZ236" s="42"/>
    </row>
    <row r="237" spans="1:52" ht="20.100000000000001" customHeight="1" x14ac:dyDescent="0.25">
      <c r="A237" s="39">
        <v>237</v>
      </c>
      <c r="B237" s="40"/>
      <c r="C237" s="16"/>
      <c r="D237" s="17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56"/>
      <c r="R237" s="56"/>
      <c r="S237" s="56"/>
      <c r="T237" s="58"/>
      <c r="U237" s="58"/>
      <c r="V237" s="58"/>
      <c r="W237" s="58"/>
      <c r="X237" s="58"/>
      <c r="Y237" s="58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  <c r="AO237" s="42"/>
      <c r="AP237" s="42"/>
      <c r="AQ237" s="42"/>
      <c r="AR237" s="42"/>
      <c r="AS237" s="42"/>
      <c r="AT237" s="42"/>
      <c r="AU237" s="42"/>
      <c r="AV237" s="42"/>
      <c r="AW237" s="42"/>
      <c r="AX237" s="42"/>
      <c r="AY237" s="42"/>
      <c r="AZ237" s="42"/>
    </row>
    <row r="238" spans="1:52" ht="20.100000000000001" customHeight="1" x14ac:dyDescent="0.25">
      <c r="A238" s="39">
        <v>238</v>
      </c>
      <c r="B238" s="40"/>
      <c r="C238" s="16"/>
      <c r="D238" s="17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56"/>
      <c r="R238" s="56"/>
      <c r="S238" s="56"/>
      <c r="T238" s="58"/>
      <c r="U238" s="58"/>
      <c r="V238" s="58"/>
      <c r="W238" s="58"/>
      <c r="X238" s="58"/>
      <c r="Y238" s="58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  <c r="AK238" s="42"/>
      <c r="AL238" s="42"/>
      <c r="AM238" s="42"/>
      <c r="AN238" s="42"/>
      <c r="AO238" s="42"/>
      <c r="AP238" s="42"/>
      <c r="AQ238" s="42"/>
      <c r="AR238" s="42"/>
      <c r="AS238" s="42"/>
      <c r="AT238" s="42"/>
      <c r="AU238" s="42"/>
      <c r="AV238" s="42"/>
      <c r="AW238" s="42"/>
      <c r="AX238" s="42"/>
      <c r="AY238" s="42"/>
      <c r="AZ238" s="42"/>
    </row>
    <row r="239" spans="1:52" ht="20.100000000000001" customHeight="1" x14ac:dyDescent="0.25">
      <c r="A239" s="39">
        <v>239</v>
      </c>
      <c r="B239" s="40"/>
      <c r="C239" s="16"/>
      <c r="D239" s="17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56"/>
      <c r="R239" s="56"/>
      <c r="S239" s="56"/>
      <c r="T239" s="58"/>
      <c r="U239" s="58"/>
      <c r="V239" s="58"/>
      <c r="W239" s="58"/>
      <c r="X239" s="58"/>
      <c r="Y239" s="58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  <c r="AO239" s="42"/>
      <c r="AP239" s="42"/>
      <c r="AQ239" s="42"/>
      <c r="AR239" s="42"/>
      <c r="AS239" s="42"/>
      <c r="AT239" s="42"/>
      <c r="AU239" s="42"/>
      <c r="AV239" s="42"/>
      <c r="AW239" s="42"/>
      <c r="AX239" s="42"/>
      <c r="AY239" s="42"/>
      <c r="AZ239" s="42"/>
    </row>
    <row r="240" spans="1:52" ht="20.100000000000001" customHeight="1" x14ac:dyDescent="0.25">
      <c r="A240" s="39">
        <v>240</v>
      </c>
      <c r="B240" s="40"/>
      <c r="C240" s="16"/>
      <c r="D240" s="17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56"/>
      <c r="R240" s="56"/>
      <c r="S240" s="56"/>
      <c r="T240" s="58"/>
      <c r="U240" s="58"/>
      <c r="V240" s="58"/>
      <c r="W240" s="58"/>
      <c r="X240" s="58"/>
      <c r="Y240" s="58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spans="1:52" ht="20.100000000000001" customHeight="1" x14ac:dyDescent="0.25">
      <c r="A241" s="39">
        <v>241</v>
      </c>
      <c r="B241" s="40"/>
      <c r="C241" s="16"/>
      <c r="D241" s="17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56"/>
      <c r="R241" s="56"/>
      <c r="S241" s="56"/>
      <c r="T241" s="58"/>
      <c r="U241" s="58"/>
      <c r="V241" s="58"/>
      <c r="W241" s="58"/>
      <c r="X241" s="58"/>
      <c r="Y241" s="58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  <c r="AK241" s="42"/>
      <c r="AL241" s="42"/>
      <c r="AM241" s="42"/>
      <c r="AN241" s="42"/>
      <c r="AO241" s="42"/>
      <c r="AP241" s="42"/>
      <c r="AQ241" s="42"/>
      <c r="AR241" s="42"/>
      <c r="AS241" s="42"/>
      <c r="AT241" s="42"/>
      <c r="AU241" s="42"/>
      <c r="AV241" s="42"/>
      <c r="AW241" s="42"/>
      <c r="AX241" s="42"/>
      <c r="AY241" s="42"/>
      <c r="AZ241" s="42"/>
    </row>
    <row r="242" spans="1:52" ht="20.100000000000001" customHeight="1" x14ac:dyDescent="0.25">
      <c r="A242" s="39">
        <v>242</v>
      </c>
      <c r="B242" s="40"/>
      <c r="C242" s="16"/>
      <c r="D242" s="17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56"/>
      <c r="R242" s="56"/>
      <c r="S242" s="56"/>
      <c r="T242" s="58"/>
      <c r="U242" s="58"/>
      <c r="V242" s="58"/>
      <c r="W242" s="58"/>
      <c r="X242" s="58"/>
      <c r="Y242" s="58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  <c r="AO242" s="42"/>
      <c r="AP242" s="42"/>
      <c r="AQ242" s="42"/>
      <c r="AR242" s="42"/>
      <c r="AS242" s="42"/>
      <c r="AT242" s="42"/>
      <c r="AU242" s="42"/>
      <c r="AV242" s="42"/>
      <c r="AW242" s="42"/>
      <c r="AX242" s="42"/>
      <c r="AY242" s="42"/>
      <c r="AZ242" s="42"/>
    </row>
    <row r="243" spans="1:52" ht="20.100000000000001" customHeight="1" x14ac:dyDescent="0.25">
      <c r="A243" s="39">
        <v>243</v>
      </c>
      <c r="B243" s="40"/>
      <c r="C243" s="16"/>
      <c r="D243" s="17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56"/>
      <c r="R243" s="56"/>
      <c r="S243" s="56"/>
      <c r="T243" s="58"/>
      <c r="U243" s="58"/>
      <c r="V243" s="58"/>
      <c r="W243" s="58"/>
      <c r="X243" s="58"/>
      <c r="Y243" s="58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spans="1:52" ht="20.100000000000001" customHeight="1" x14ac:dyDescent="0.25">
      <c r="A244" s="39">
        <v>244</v>
      </c>
      <c r="B244" s="40"/>
      <c r="C244" s="16"/>
      <c r="D244" s="17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56"/>
      <c r="R244" s="56"/>
      <c r="S244" s="56"/>
      <c r="T244" s="58"/>
      <c r="U244" s="58"/>
      <c r="V244" s="58"/>
      <c r="W244" s="58"/>
      <c r="X244" s="58"/>
      <c r="Y244" s="58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  <c r="AK244" s="42"/>
      <c r="AL244" s="42"/>
      <c r="AM244" s="42"/>
      <c r="AN244" s="42"/>
      <c r="AO244" s="42"/>
      <c r="AP244" s="42"/>
      <c r="AQ244" s="42"/>
      <c r="AR244" s="42"/>
      <c r="AS244" s="42"/>
      <c r="AT244" s="42"/>
      <c r="AU244" s="42"/>
      <c r="AV244" s="42"/>
      <c r="AW244" s="42"/>
      <c r="AX244" s="42"/>
      <c r="AY244" s="42"/>
      <c r="AZ244" s="42"/>
    </row>
    <row r="245" spans="1:52" ht="20.100000000000001" customHeight="1" x14ac:dyDescent="0.25">
      <c r="A245" s="39">
        <v>245</v>
      </c>
      <c r="B245" s="40"/>
      <c r="C245" s="16"/>
      <c r="D245" s="17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56"/>
      <c r="R245" s="56"/>
      <c r="S245" s="56"/>
      <c r="T245" s="58"/>
      <c r="U245" s="58"/>
      <c r="V245" s="58"/>
      <c r="W245" s="58"/>
      <c r="X245" s="58"/>
      <c r="Y245" s="58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  <c r="AO245" s="42"/>
      <c r="AP245" s="42"/>
      <c r="AQ245" s="42"/>
      <c r="AR245" s="42"/>
      <c r="AS245" s="42"/>
      <c r="AT245" s="42"/>
      <c r="AU245" s="42"/>
      <c r="AV245" s="42"/>
      <c r="AW245" s="42"/>
      <c r="AX245" s="42"/>
      <c r="AY245" s="42"/>
      <c r="AZ245" s="42"/>
    </row>
    <row r="246" spans="1:52" ht="20.100000000000001" customHeight="1" x14ac:dyDescent="0.25">
      <c r="A246" s="39">
        <v>246</v>
      </c>
      <c r="B246" s="40"/>
      <c r="C246" s="16"/>
      <c r="D246" s="17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56"/>
      <c r="R246" s="56"/>
      <c r="S246" s="56"/>
      <c r="T246" s="58"/>
      <c r="U246" s="58"/>
      <c r="V246" s="58"/>
      <c r="W246" s="58"/>
      <c r="X246" s="58"/>
      <c r="Y246" s="58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  <c r="AK246" s="42"/>
      <c r="AL246" s="42"/>
      <c r="AM246" s="42"/>
      <c r="AN246" s="42"/>
      <c r="AO246" s="42"/>
      <c r="AP246" s="42"/>
      <c r="AQ246" s="42"/>
      <c r="AR246" s="42"/>
      <c r="AS246" s="42"/>
      <c r="AT246" s="42"/>
      <c r="AU246" s="42"/>
      <c r="AV246" s="42"/>
      <c r="AW246" s="42"/>
      <c r="AX246" s="42"/>
      <c r="AY246" s="42"/>
      <c r="AZ246" s="42"/>
    </row>
    <row r="247" spans="1:52" ht="20.100000000000001" customHeight="1" x14ac:dyDescent="0.25">
      <c r="A247" s="39">
        <v>247</v>
      </c>
      <c r="B247" s="40"/>
      <c r="C247" s="16"/>
      <c r="D247" s="17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56"/>
      <c r="R247" s="56"/>
      <c r="S247" s="56"/>
      <c r="T247" s="58"/>
      <c r="U247" s="58"/>
      <c r="V247" s="58"/>
      <c r="W247" s="58"/>
      <c r="X247" s="58"/>
      <c r="Y247" s="58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spans="1:52" ht="20.100000000000001" customHeight="1" x14ac:dyDescent="0.25">
      <c r="A248" s="39">
        <v>248</v>
      </c>
      <c r="B248" s="40"/>
      <c r="C248" s="16"/>
      <c r="D248" s="17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56"/>
      <c r="R248" s="56"/>
      <c r="S248" s="56"/>
      <c r="T248" s="58"/>
      <c r="U248" s="58"/>
      <c r="V248" s="58"/>
      <c r="W248" s="58"/>
      <c r="X248" s="58"/>
      <c r="Y248" s="58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  <c r="AO248" s="42"/>
      <c r="AP248" s="42"/>
      <c r="AQ248" s="42"/>
      <c r="AR248" s="42"/>
      <c r="AS248" s="42"/>
      <c r="AT248" s="42"/>
      <c r="AU248" s="42"/>
      <c r="AV248" s="42"/>
      <c r="AW248" s="42"/>
      <c r="AX248" s="42"/>
      <c r="AY248" s="42"/>
      <c r="AZ248" s="42"/>
    </row>
    <row r="249" spans="1:52" ht="20.100000000000001" customHeight="1" x14ac:dyDescent="0.25">
      <c r="A249" s="39">
        <v>249</v>
      </c>
      <c r="B249" s="40"/>
      <c r="C249" s="16"/>
      <c r="D249" s="17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56"/>
      <c r="R249" s="56"/>
      <c r="S249" s="56"/>
      <c r="T249" s="58"/>
      <c r="U249" s="58"/>
      <c r="V249" s="58"/>
      <c r="W249" s="58"/>
      <c r="X249" s="58"/>
      <c r="Y249" s="58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  <c r="AN249" s="42"/>
      <c r="AO249" s="42"/>
      <c r="AP249" s="42"/>
      <c r="AQ249" s="42"/>
      <c r="AR249" s="42"/>
      <c r="AS249" s="42"/>
      <c r="AT249" s="42"/>
      <c r="AU249" s="42"/>
      <c r="AV249" s="42"/>
      <c r="AW249" s="42"/>
      <c r="AX249" s="42"/>
      <c r="AY249" s="42"/>
      <c r="AZ249" s="42"/>
    </row>
    <row r="250" spans="1:52" ht="20.100000000000001" customHeight="1" x14ac:dyDescent="0.25">
      <c r="A250" s="39">
        <v>250</v>
      </c>
      <c r="B250" s="40"/>
      <c r="C250" s="16"/>
      <c r="D250" s="17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56"/>
      <c r="R250" s="56"/>
      <c r="S250" s="56"/>
      <c r="T250" s="58"/>
      <c r="U250" s="58"/>
      <c r="V250" s="58"/>
      <c r="W250" s="58"/>
      <c r="X250" s="58"/>
      <c r="Y250" s="58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spans="1:52" ht="20.100000000000001" customHeight="1" x14ac:dyDescent="0.25">
      <c r="A251" s="39">
        <v>251</v>
      </c>
      <c r="B251" s="40"/>
      <c r="C251" s="16"/>
      <c r="D251" s="17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56"/>
      <c r="R251" s="56"/>
      <c r="S251" s="56"/>
      <c r="T251" s="58"/>
      <c r="U251" s="58"/>
      <c r="V251" s="58"/>
      <c r="W251" s="58"/>
      <c r="X251" s="58"/>
      <c r="Y251" s="58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  <c r="AK251" s="42"/>
      <c r="AL251" s="42"/>
      <c r="AM251" s="42"/>
      <c r="AN251" s="42"/>
      <c r="AO251" s="42"/>
      <c r="AP251" s="42"/>
      <c r="AQ251" s="42"/>
      <c r="AR251" s="42"/>
      <c r="AS251" s="42"/>
      <c r="AT251" s="42"/>
      <c r="AU251" s="42"/>
      <c r="AV251" s="42"/>
      <c r="AW251" s="42"/>
      <c r="AX251" s="42"/>
      <c r="AY251" s="42"/>
      <c r="AZ251" s="42"/>
    </row>
    <row r="252" spans="1:52" ht="20.100000000000001" customHeight="1" x14ac:dyDescent="0.25">
      <c r="A252" s="39">
        <v>252</v>
      </c>
      <c r="B252" s="40"/>
      <c r="C252" s="16"/>
      <c r="D252" s="17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56"/>
      <c r="R252" s="56"/>
      <c r="S252" s="56"/>
      <c r="T252" s="58"/>
      <c r="U252" s="58"/>
      <c r="V252" s="58"/>
      <c r="W252" s="58"/>
      <c r="X252" s="58"/>
      <c r="Y252" s="58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  <c r="AO252" s="42"/>
      <c r="AP252" s="42"/>
      <c r="AQ252" s="42"/>
      <c r="AR252" s="42"/>
      <c r="AS252" s="42"/>
      <c r="AT252" s="42"/>
      <c r="AU252" s="42"/>
      <c r="AV252" s="42"/>
      <c r="AW252" s="42"/>
      <c r="AX252" s="42"/>
      <c r="AY252" s="42"/>
      <c r="AZ252" s="42"/>
    </row>
    <row r="253" spans="1:52" ht="20.100000000000001" customHeight="1" x14ac:dyDescent="0.25">
      <c r="A253" s="39">
        <v>253</v>
      </c>
      <c r="B253" s="40"/>
      <c r="C253" s="16"/>
      <c r="D253" s="17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56"/>
      <c r="R253" s="56"/>
      <c r="S253" s="56"/>
      <c r="T253" s="58"/>
      <c r="U253" s="58"/>
      <c r="V253" s="58"/>
      <c r="W253" s="58"/>
      <c r="X253" s="58"/>
      <c r="Y253" s="58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spans="1:52" ht="20.100000000000001" customHeight="1" x14ac:dyDescent="0.25">
      <c r="A254" s="39">
        <v>254</v>
      </c>
      <c r="B254" s="40"/>
      <c r="C254" s="16"/>
      <c r="D254" s="17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56"/>
      <c r="R254" s="56"/>
      <c r="S254" s="56"/>
      <c r="T254" s="58"/>
      <c r="U254" s="58"/>
      <c r="V254" s="58"/>
      <c r="W254" s="58"/>
      <c r="X254" s="58"/>
      <c r="Y254" s="58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  <c r="AN254" s="42"/>
      <c r="AO254" s="42"/>
      <c r="AP254" s="42"/>
      <c r="AQ254" s="42"/>
      <c r="AR254" s="42"/>
      <c r="AS254" s="42"/>
      <c r="AT254" s="42"/>
      <c r="AU254" s="42"/>
      <c r="AV254" s="42"/>
      <c r="AW254" s="42"/>
      <c r="AX254" s="42"/>
      <c r="AY254" s="42"/>
      <c r="AZ254" s="42"/>
    </row>
    <row r="255" spans="1:52" ht="20.100000000000001" customHeight="1" x14ac:dyDescent="0.25">
      <c r="A255" s="39">
        <v>255</v>
      </c>
      <c r="B255" s="40"/>
      <c r="C255" s="16"/>
      <c r="D255" s="17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56"/>
      <c r="R255" s="56"/>
      <c r="S255" s="56"/>
      <c r="T255" s="58"/>
      <c r="U255" s="58"/>
      <c r="V255" s="58"/>
      <c r="W255" s="58"/>
      <c r="X255" s="58"/>
      <c r="Y255" s="58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  <c r="AK255" s="42"/>
      <c r="AL255" s="42"/>
      <c r="AM255" s="42"/>
      <c r="AN255" s="42"/>
      <c r="AO255" s="42"/>
      <c r="AP255" s="42"/>
      <c r="AQ255" s="42"/>
      <c r="AR255" s="42"/>
      <c r="AS255" s="42"/>
      <c r="AT255" s="42"/>
      <c r="AU255" s="42"/>
      <c r="AV255" s="42"/>
      <c r="AW255" s="42"/>
      <c r="AX255" s="42"/>
      <c r="AY255" s="42"/>
      <c r="AZ255" s="42"/>
    </row>
    <row r="256" spans="1:52" ht="20.100000000000001" customHeight="1" x14ac:dyDescent="0.25">
      <c r="A256" s="39">
        <v>256</v>
      </c>
      <c r="B256" s="40"/>
      <c r="C256" s="16"/>
      <c r="D256" s="17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56"/>
      <c r="R256" s="56"/>
      <c r="S256" s="56"/>
      <c r="T256" s="58"/>
      <c r="U256" s="58"/>
      <c r="V256" s="58"/>
      <c r="W256" s="58"/>
      <c r="X256" s="58"/>
      <c r="Y256" s="58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spans="1:52" ht="20.100000000000001" customHeight="1" x14ac:dyDescent="0.25">
      <c r="A257" s="39">
        <v>257</v>
      </c>
      <c r="B257" s="40"/>
      <c r="C257" s="16"/>
      <c r="D257" s="17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56"/>
      <c r="R257" s="56"/>
      <c r="S257" s="56"/>
      <c r="T257" s="58"/>
      <c r="U257" s="58"/>
      <c r="V257" s="58"/>
      <c r="W257" s="58"/>
      <c r="X257" s="58"/>
      <c r="Y257" s="58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  <c r="AK257" s="42"/>
      <c r="AL257" s="42"/>
      <c r="AM257" s="42"/>
      <c r="AN257" s="42"/>
      <c r="AO257" s="42"/>
      <c r="AP257" s="42"/>
      <c r="AQ257" s="42"/>
      <c r="AR257" s="42"/>
      <c r="AS257" s="42"/>
      <c r="AT257" s="42"/>
      <c r="AU257" s="42"/>
      <c r="AV257" s="42"/>
      <c r="AW257" s="42"/>
      <c r="AX257" s="42"/>
      <c r="AY257" s="42"/>
      <c r="AZ257" s="42"/>
    </row>
    <row r="258" spans="1:52" ht="20.100000000000001" customHeight="1" x14ac:dyDescent="0.25">
      <c r="A258" s="39">
        <v>258</v>
      </c>
      <c r="B258" s="40"/>
      <c r="C258" s="16"/>
      <c r="D258" s="17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56"/>
      <c r="R258" s="56"/>
      <c r="S258" s="56"/>
      <c r="T258" s="58"/>
      <c r="U258" s="58"/>
      <c r="V258" s="58"/>
      <c r="W258" s="58"/>
      <c r="X258" s="58"/>
      <c r="Y258" s="58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42"/>
      <c r="AN258" s="42"/>
      <c r="AO258" s="42"/>
      <c r="AP258" s="42"/>
      <c r="AQ258" s="42"/>
      <c r="AR258" s="42"/>
      <c r="AS258" s="42"/>
      <c r="AT258" s="42"/>
      <c r="AU258" s="42"/>
      <c r="AV258" s="42"/>
      <c r="AW258" s="42"/>
      <c r="AX258" s="42"/>
      <c r="AY258" s="42"/>
      <c r="AZ258" s="42"/>
    </row>
    <row r="259" spans="1:52" ht="20.100000000000001" customHeight="1" x14ac:dyDescent="0.25">
      <c r="A259" s="39">
        <v>259</v>
      </c>
      <c r="B259" s="40"/>
      <c r="C259" s="16"/>
      <c r="D259" s="17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56"/>
      <c r="R259" s="56"/>
      <c r="S259" s="56"/>
      <c r="T259" s="58"/>
      <c r="U259" s="58"/>
      <c r="V259" s="58"/>
      <c r="W259" s="58"/>
      <c r="X259" s="58"/>
      <c r="Y259" s="58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  <c r="AO259" s="42"/>
      <c r="AP259" s="42"/>
      <c r="AQ259" s="42"/>
      <c r="AR259" s="42"/>
      <c r="AS259" s="42"/>
      <c r="AT259" s="42"/>
      <c r="AU259" s="42"/>
      <c r="AV259" s="42"/>
      <c r="AW259" s="42"/>
      <c r="AX259" s="42"/>
      <c r="AY259" s="42"/>
      <c r="AZ259" s="42"/>
    </row>
    <row r="260" spans="1:52" ht="20.100000000000001" customHeight="1" x14ac:dyDescent="0.25">
      <c r="A260" s="39">
        <v>260</v>
      </c>
      <c r="B260" s="40"/>
      <c r="C260" s="16"/>
      <c r="D260" s="17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56"/>
      <c r="R260" s="56"/>
      <c r="S260" s="56"/>
      <c r="T260" s="58"/>
      <c r="U260" s="58"/>
      <c r="V260" s="58"/>
      <c r="W260" s="58"/>
      <c r="X260" s="58"/>
      <c r="Y260" s="58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  <c r="AK260" s="42"/>
      <c r="AL260" s="42"/>
      <c r="AM260" s="42"/>
      <c r="AN260" s="42"/>
      <c r="AO260" s="42"/>
      <c r="AP260" s="42"/>
      <c r="AQ260" s="42"/>
      <c r="AR260" s="42"/>
      <c r="AS260" s="42"/>
      <c r="AT260" s="42"/>
      <c r="AU260" s="42"/>
      <c r="AV260" s="42"/>
      <c r="AW260" s="42"/>
      <c r="AX260" s="42"/>
      <c r="AY260" s="42"/>
      <c r="AZ260" s="42"/>
    </row>
    <row r="261" spans="1:52" ht="20.100000000000001" customHeight="1" x14ac:dyDescent="0.25">
      <c r="A261" s="39">
        <v>261</v>
      </c>
      <c r="B261" s="40"/>
      <c r="C261" s="16"/>
      <c r="D261" s="17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56"/>
      <c r="R261" s="56"/>
      <c r="S261" s="56"/>
      <c r="T261" s="58"/>
      <c r="U261" s="58"/>
      <c r="V261" s="58"/>
      <c r="W261" s="58"/>
      <c r="X261" s="58"/>
      <c r="Y261" s="58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42"/>
      <c r="AN261" s="42"/>
      <c r="AO261" s="42"/>
      <c r="AP261" s="42"/>
      <c r="AQ261" s="42"/>
      <c r="AR261" s="42"/>
      <c r="AS261" s="42"/>
      <c r="AT261" s="42"/>
      <c r="AU261" s="42"/>
      <c r="AV261" s="42"/>
      <c r="AW261" s="42"/>
      <c r="AX261" s="42"/>
      <c r="AY261" s="42"/>
      <c r="AZ261" s="42"/>
    </row>
    <row r="262" spans="1:52" ht="20.100000000000001" customHeight="1" x14ac:dyDescent="0.25">
      <c r="A262" s="39">
        <v>262</v>
      </c>
      <c r="B262" s="40"/>
      <c r="C262" s="16"/>
      <c r="D262" s="17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56"/>
      <c r="R262" s="56"/>
      <c r="S262" s="56"/>
      <c r="T262" s="58"/>
      <c r="U262" s="58"/>
      <c r="V262" s="58"/>
      <c r="W262" s="58"/>
      <c r="X262" s="58"/>
      <c r="Y262" s="58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spans="1:52" ht="20.100000000000001" customHeight="1" x14ac:dyDescent="0.25">
      <c r="A263" s="39">
        <v>263</v>
      </c>
      <c r="B263" s="40"/>
      <c r="C263" s="16"/>
      <c r="D263" s="17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56"/>
      <c r="R263" s="56"/>
      <c r="S263" s="56"/>
      <c r="T263" s="58"/>
      <c r="U263" s="58"/>
      <c r="V263" s="58"/>
      <c r="W263" s="58"/>
      <c r="X263" s="58"/>
      <c r="Y263" s="58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  <c r="AO263" s="42"/>
      <c r="AP263" s="42"/>
      <c r="AQ263" s="42"/>
      <c r="AR263" s="42"/>
      <c r="AS263" s="42"/>
      <c r="AT263" s="42"/>
      <c r="AU263" s="42"/>
      <c r="AV263" s="42"/>
      <c r="AW263" s="42"/>
      <c r="AX263" s="42"/>
      <c r="AY263" s="42"/>
      <c r="AZ263" s="42"/>
    </row>
    <row r="264" spans="1:52" ht="20.100000000000001" customHeight="1" x14ac:dyDescent="0.25">
      <c r="A264" s="39">
        <v>264</v>
      </c>
      <c r="B264" s="40"/>
      <c r="C264" s="16"/>
      <c r="D264" s="17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56"/>
      <c r="R264" s="56"/>
      <c r="S264" s="56"/>
      <c r="T264" s="58"/>
      <c r="U264" s="58"/>
      <c r="V264" s="58"/>
      <c r="W264" s="58"/>
      <c r="X264" s="58"/>
      <c r="Y264" s="58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42"/>
      <c r="AN264" s="42"/>
      <c r="AO264" s="42"/>
      <c r="AP264" s="42"/>
      <c r="AQ264" s="42"/>
      <c r="AR264" s="42"/>
      <c r="AS264" s="42"/>
      <c r="AT264" s="42"/>
      <c r="AU264" s="42"/>
      <c r="AV264" s="42"/>
      <c r="AW264" s="42"/>
      <c r="AX264" s="42"/>
      <c r="AY264" s="42"/>
      <c r="AZ264" s="42"/>
    </row>
    <row r="265" spans="1:52" ht="20.100000000000001" customHeight="1" x14ac:dyDescent="0.25">
      <c r="A265" s="39">
        <v>265</v>
      </c>
      <c r="B265" s="40"/>
      <c r="C265" s="16"/>
      <c r="D265" s="17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56"/>
      <c r="R265" s="56"/>
      <c r="S265" s="56"/>
      <c r="T265" s="58"/>
      <c r="U265" s="58"/>
      <c r="V265" s="58"/>
      <c r="W265" s="58"/>
      <c r="X265" s="58"/>
      <c r="Y265" s="58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spans="1:52" ht="20.100000000000001" customHeight="1" x14ac:dyDescent="0.25">
      <c r="A266" s="39">
        <v>266</v>
      </c>
      <c r="B266" s="40"/>
      <c r="C266" s="16"/>
      <c r="D266" s="17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56"/>
      <c r="R266" s="56"/>
      <c r="S266" s="56"/>
      <c r="T266" s="58"/>
      <c r="U266" s="58"/>
      <c r="V266" s="58"/>
      <c r="W266" s="58"/>
      <c r="X266" s="58"/>
      <c r="Y266" s="58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  <c r="AO266" s="42"/>
      <c r="AP266" s="42"/>
      <c r="AQ266" s="42"/>
      <c r="AR266" s="42"/>
      <c r="AS266" s="42"/>
      <c r="AT266" s="42"/>
      <c r="AU266" s="42"/>
      <c r="AV266" s="42"/>
      <c r="AW266" s="42"/>
      <c r="AX266" s="42"/>
      <c r="AY266" s="42"/>
      <c r="AZ266" s="42"/>
    </row>
    <row r="267" spans="1:52" ht="20.100000000000001" customHeight="1" x14ac:dyDescent="0.25">
      <c r="A267" s="39">
        <v>267</v>
      </c>
      <c r="B267" s="40"/>
      <c r="C267" s="16"/>
      <c r="D267" s="17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56"/>
      <c r="R267" s="56"/>
      <c r="S267" s="56"/>
      <c r="T267" s="58"/>
      <c r="U267" s="58"/>
      <c r="V267" s="58"/>
      <c r="W267" s="58"/>
      <c r="X267" s="58"/>
      <c r="Y267" s="58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  <c r="AK267" s="42"/>
      <c r="AL267" s="42"/>
      <c r="AM267" s="42"/>
      <c r="AN267" s="42"/>
      <c r="AO267" s="42"/>
      <c r="AP267" s="42"/>
      <c r="AQ267" s="42"/>
      <c r="AR267" s="42"/>
      <c r="AS267" s="42"/>
      <c r="AT267" s="42"/>
      <c r="AU267" s="42"/>
      <c r="AV267" s="42"/>
      <c r="AW267" s="42"/>
      <c r="AX267" s="42"/>
      <c r="AY267" s="42"/>
      <c r="AZ267" s="42"/>
    </row>
    <row r="268" spans="1:52" ht="20.100000000000001" customHeight="1" x14ac:dyDescent="0.25">
      <c r="A268" s="39">
        <v>268</v>
      </c>
      <c r="B268" s="40"/>
      <c r="C268" s="16"/>
      <c r="D268" s="17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56"/>
      <c r="R268" s="56"/>
      <c r="S268" s="56"/>
      <c r="T268" s="58"/>
      <c r="U268" s="58"/>
      <c r="V268" s="58"/>
      <c r="W268" s="58"/>
      <c r="X268" s="58"/>
      <c r="Y268" s="58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  <c r="AK268" s="42"/>
      <c r="AL268" s="42"/>
      <c r="AM268" s="42"/>
      <c r="AN268" s="42"/>
      <c r="AO268" s="42"/>
      <c r="AP268" s="42"/>
      <c r="AQ268" s="42"/>
      <c r="AR268" s="42"/>
      <c r="AS268" s="42"/>
      <c r="AT268" s="42"/>
      <c r="AU268" s="42"/>
      <c r="AV268" s="42"/>
      <c r="AW268" s="42"/>
      <c r="AX268" s="42"/>
      <c r="AY268" s="42"/>
      <c r="AZ268" s="42"/>
    </row>
    <row r="269" spans="1:52" ht="20.100000000000001" customHeight="1" x14ac:dyDescent="0.25">
      <c r="A269" s="39">
        <v>269</v>
      </c>
      <c r="B269" s="40"/>
      <c r="C269" s="16"/>
      <c r="D269" s="17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56"/>
      <c r="R269" s="56"/>
      <c r="S269" s="56"/>
      <c r="T269" s="58"/>
      <c r="U269" s="58"/>
      <c r="V269" s="58"/>
      <c r="W269" s="58"/>
      <c r="X269" s="58"/>
      <c r="Y269" s="58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  <c r="AO269" s="42"/>
      <c r="AP269" s="42"/>
      <c r="AQ269" s="42"/>
      <c r="AR269" s="42"/>
      <c r="AS269" s="42"/>
      <c r="AT269" s="42"/>
      <c r="AU269" s="42"/>
      <c r="AV269" s="42"/>
      <c r="AW269" s="42"/>
      <c r="AX269" s="42"/>
      <c r="AY269" s="42"/>
      <c r="AZ269" s="42"/>
    </row>
    <row r="270" spans="1:52" ht="20.100000000000001" customHeight="1" x14ac:dyDescent="0.25">
      <c r="A270" s="39">
        <v>270</v>
      </c>
      <c r="B270" s="40"/>
      <c r="C270" s="16"/>
      <c r="D270" s="17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56"/>
      <c r="R270" s="56"/>
      <c r="S270" s="56"/>
      <c r="T270" s="58"/>
      <c r="U270" s="58"/>
      <c r="V270" s="58"/>
      <c r="W270" s="58"/>
      <c r="X270" s="58"/>
      <c r="Y270" s="58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  <c r="AK270" s="42"/>
      <c r="AL270" s="42"/>
      <c r="AM270" s="42"/>
      <c r="AN270" s="42"/>
      <c r="AO270" s="42"/>
      <c r="AP270" s="42"/>
      <c r="AQ270" s="42"/>
      <c r="AR270" s="42"/>
      <c r="AS270" s="42"/>
      <c r="AT270" s="42"/>
      <c r="AU270" s="42"/>
      <c r="AV270" s="42"/>
      <c r="AW270" s="42"/>
      <c r="AX270" s="42"/>
      <c r="AY270" s="42"/>
      <c r="AZ270" s="42"/>
    </row>
    <row r="271" spans="1:52" ht="20.100000000000001" customHeight="1" x14ac:dyDescent="0.25">
      <c r="A271" s="39">
        <v>271</v>
      </c>
      <c r="B271" s="40"/>
      <c r="C271" s="16"/>
      <c r="D271" s="17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56"/>
      <c r="R271" s="56"/>
      <c r="S271" s="56"/>
      <c r="T271" s="58"/>
      <c r="U271" s="58"/>
      <c r="V271" s="58"/>
      <c r="W271" s="58"/>
      <c r="X271" s="58"/>
      <c r="Y271" s="58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spans="1:52" ht="20.100000000000001" customHeight="1" x14ac:dyDescent="0.25">
      <c r="A272" s="39">
        <v>272</v>
      </c>
      <c r="B272" s="40"/>
      <c r="C272" s="16"/>
      <c r="D272" s="17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56"/>
      <c r="R272" s="56"/>
      <c r="S272" s="56"/>
      <c r="T272" s="58"/>
      <c r="U272" s="58"/>
      <c r="V272" s="58"/>
      <c r="W272" s="58"/>
      <c r="X272" s="58"/>
      <c r="Y272" s="58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  <c r="AO272" s="42"/>
      <c r="AP272" s="42"/>
      <c r="AQ272" s="42"/>
      <c r="AR272" s="42"/>
      <c r="AS272" s="42"/>
      <c r="AT272" s="42"/>
      <c r="AU272" s="42"/>
      <c r="AV272" s="42"/>
      <c r="AW272" s="42"/>
      <c r="AX272" s="42"/>
      <c r="AY272" s="42"/>
      <c r="AZ272" s="42"/>
    </row>
    <row r="273" spans="1:52" ht="20.100000000000001" customHeight="1" x14ac:dyDescent="0.25">
      <c r="A273" s="39">
        <v>273</v>
      </c>
      <c r="B273" s="40"/>
      <c r="C273" s="16"/>
      <c r="D273" s="17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56"/>
      <c r="R273" s="56"/>
      <c r="S273" s="56"/>
      <c r="T273" s="58"/>
      <c r="U273" s="58"/>
      <c r="V273" s="58"/>
      <c r="W273" s="58"/>
      <c r="X273" s="58"/>
      <c r="Y273" s="58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  <c r="AK273" s="42"/>
      <c r="AL273" s="42"/>
      <c r="AM273" s="42"/>
      <c r="AN273" s="42"/>
      <c r="AO273" s="42"/>
      <c r="AP273" s="42"/>
      <c r="AQ273" s="42"/>
      <c r="AR273" s="42"/>
      <c r="AS273" s="42"/>
      <c r="AT273" s="42"/>
      <c r="AU273" s="42"/>
      <c r="AV273" s="42"/>
      <c r="AW273" s="42"/>
      <c r="AX273" s="42"/>
      <c r="AY273" s="42"/>
      <c r="AZ273" s="42"/>
    </row>
    <row r="274" spans="1:52" ht="20.100000000000001" customHeight="1" x14ac:dyDescent="0.25">
      <c r="A274" s="39">
        <v>274</v>
      </c>
      <c r="B274" s="40"/>
      <c r="C274" s="16"/>
      <c r="D274" s="17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56"/>
      <c r="R274" s="56"/>
      <c r="S274" s="56"/>
      <c r="T274" s="58"/>
      <c r="U274" s="58"/>
      <c r="V274" s="58"/>
      <c r="W274" s="58"/>
      <c r="X274" s="58"/>
      <c r="Y274" s="58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spans="1:52" ht="20.100000000000001" customHeight="1" x14ac:dyDescent="0.25">
      <c r="A275" s="39">
        <v>275</v>
      </c>
      <c r="B275" s="40"/>
      <c r="C275" s="16"/>
      <c r="D275" s="17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56"/>
      <c r="R275" s="56"/>
      <c r="S275" s="56"/>
      <c r="T275" s="58"/>
      <c r="U275" s="58"/>
      <c r="V275" s="58"/>
      <c r="W275" s="58"/>
      <c r="X275" s="58"/>
      <c r="Y275" s="58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  <c r="AK275" s="42"/>
      <c r="AL275" s="42"/>
      <c r="AM275" s="42"/>
      <c r="AN275" s="42"/>
      <c r="AO275" s="42"/>
      <c r="AP275" s="42"/>
      <c r="AQ275" s="42"/>
      <c r="AR275" s="42"/>
      <c r="AS275" s="42"/>
      <c r="AT275" s="42"/>
      <c r="AU275" s="42"/>
      <c r="AV275" s="42"/>
      <c r="AW275" s="42"/>
      <c r="AX275" s="42"/>
      <c r="AY275" s="42"/>
      <c r="AZ275" s="42"/>
    </row>
    <row r="276" spans="1:52" ht="20.100000000000001" customHeight="1" x14ac:dyDescent="0.25">
      <c r="A276" s="39">
        <v>276</v>
      </c>
      <c r="B276" s="40"/>
      <c r="C276" s="16"/>
      <c r="D276" s="17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56"/>
      <c r="R276" s="56"/>
      <c r="S276" s="56"/>
      <c r="T276" s="58"/>
      <c r="U276" s="58"/>
      <c r="V276" s="58"/>
      <c r="W276" s="58"/>
      <c r="X276" s="58"/>
      <c r="Y276" s="58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  <c r="AK276" s="42"/>
      <c r="AL276" s="42"/>
      <c r="AM276" s="42"/>
      <c r="AN276" s="42"/>
      <c r="AO276" s="42"/>
      <c r="AP276" s="42"/>
      <c r="AQ276" s="42"/>
      <c r="AR276" s="42"/>
      <c r="AS276" s="42"/>
      <c r="AT276" s="42"/>
      <c r="AU276" s="42"/>
      <c r="AV276" s="42"/>
      <c r="AW276" s="42"/>
      <c r="AX276" s="42"/>
      <c r="AY276" s="42"/>
      <c r="AZ276" s="42"/>
    </row>
    <row r="277" spans="1:52" ht="20.100000000000001" customHeight="1" x14ac:dyDescent="0.25">
      <c r="A277" s="39">
        <v>277</v>
      </c>
      <c r="B277" s="40"/>
      <c r="C277" s="16"/>
      <c r="D277" s="17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56"/>
      <c r="R277" s="56"/>
      <c r="S277" s="56"/>
      <c r="T277" s="58"/>
      <c r="U277" s="58"/>
      <c r="V277" s="58"/>
      <c r="W277" s="58"/>
      <c r="X277" s="58"/>
      <c r="Y277" s="58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  <c r="AK277" s="42"/>
      <c r="AL277" s="42"/>
      <c r="AM277" s="42"/>
      <c r="AN277" s="42"/>
      <c r="AO277" s="42"/>
      <c r="AP277" s="42"/>
      <c r="AQ277" s="42"/>
      <c r="AR277" s="42"/>
      <c r="AS277" s="42"/>
      <c r="AT277" s="42"/>
      <c r="AU277" s="42"/>
      <c r="AV277" s="42"/>
      <c r="AW277" s="42"/>
      <c r="AX277" s="42"/>
      <c r="AY277" s="42"/>
      <c r="AZ277" s="42"/>
    </row>
    <row r="278" spans="1:52" ht="20.100000000000001" customHeight="1" x14ac:dyDescent="0.25">
      <c r="A278" s="39">
        <v>278</v>
      </c>
      <c r="B278" s="40"/>
      <c r="C278" s="16"/>
      <c r="D278" s="17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56"/>
      <c r="R278" s="56"/>
      <c r="S278" s="56"/>
      <c r="T278" s="58"/>
      <c r="U278" s="58"/>
      <c r="V278" s="58"/>
      <c r="W278" s="58"/>
      <c r="X278" s="58"/>
      <c r="Y278" s="58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spans="1:52" ht="20.100000000000001" customHeight="1" x14ac:dyDescent="0.25">
      <c r="A279" s="39">
        <v>279</v>
      </c>
      <c r="B279" s="40"/>
      <c r="C279" s="16"/>
      <c r="D279" s="17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56"/>
      <c r="R279" s="56"/>
      <c r="S279" s="56"/>
      <c r="T279" s="58"/>
      <c r="U279" s="58"/>
      <c r="V279" s="58"/>
      <c r="W279" s="58"/>
      <c r="X279" s="58"/>
      <c r="Y279" s="58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  <c r="AN279" s="42"/>
      <c r="AO279" s="42"/>
      <c r="AP279" s="42"/>
      <c r="AQ279" s="42"/>
      <c r="AR279" s="42"/>
      <c r="AS279" s="42"/>
      <c r="AT279" s="42"/>
      <c r="AU279" s="42"/>
      <c r="AV279" s="42"/>
      <c r="AW279" s="42"/>
      <c r="AX279" s="42"/>
      <c r="AY279" s="42"/>
      <c r="AZ279" s="42"/>
    </row>
    <row r="280" spans="1:52" ht="20.100000000000001" customHeight="1" x14ac:dyDescent="0.25">
      <c r="A280" s="39">
        <v>280</v>
      </c>
      <c r="B280" s="40"/>
      <c r="C280" s="16"/>
      <c r="D280" s="17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56"/>
      <c r="R280" s="56"/>
      <c r="S280" s="56"/>
      <c r="T280" s="58"/>
      <c r="U280" s="58"/>
      <c r="V280" s="58"/>
      <c r="W280" s="58"/>
      <c r="X280" s="58"/>
      <c r="Y280" s="58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  <c r="AK280" s="42"/>
      <c r="AL280" s="42"/>
      <c r="AM280" s="42"/>
      <c r="AN280" s="42"/>
      <c r="AO280" s="42"/>
      <c r="AP280" s="42"/>
      <c r="AQ280" s="42"/>
      <c r="AR280" s="42"/>
      <c r="AS280" s="42"/>
      <c r="AT280" s="42"/>
      <c r="AU280" s="42"/>
      <c r="AV280" s="42"/>
      <c r="AW280" s="42"/>
      <c r="AX280" s="42"/>
      <c r="AY280" s="42"/>
      <c r="AZ280" s="42"/>
    </row>
    <row r="281" spans="1:52" ht="20.100000000000001" customHeight="1" x14ac:dyDescent="0.25">
      <c r="A281" s="39">
        <v>281</v>
      </c>
      <c r="B281" s="40"/>
      <c r="C281" s="16"/>
      <c r="D281" s="17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56"/>
      <c r="R281" s="56"/>
      <c r="S281" s="56"/>
      <c r="T281" s="58"/>
      <c r="U281" s="58"/>
      <c r="V281" s="58"/>
      <c r="W281" s="58"/>
      <c r="X281" s="58"/>
      <c r="Y281" s="58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  <c r="AK281" s="42"/>
      <c r="AL281" s="42"/>
      <c r="AM281" s="42"/>
      <c r="AN281" s="42"/>
      <c r="AO281" s="42"/>
      <c r="AP281" s="42"/>
      <c r="AQ281" s="42"/>
      <c r="AR281" s="42"/>
      <c r="AS281" s="42"/>
      <c r="AT281" s="42"/>
      <c r="AU281" s="42"/>
      <c r="AV281" s="42"/>
      <c r="AW281" s="42"/>
      <c r="AX281" s="42"/>
      <c r="AY281" s="42"/>
      <c r="AZ281" s="42"/>
    </row>
    <row r="282" spans="1:52" ht="20.100000000000001" customHeight="1" x14ac:dyDescent="0.25">
      <c r="A282" s="39">
        <v>282</v>
      </c>
      <c r="B282" s="40"/>
      <c r="C282" s="16"/>
      <c r="D282" s="17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56"/>
      <c r="R282" s="56"/>
      <c r="S282" s="56"/>
      <c r="T282" s="58"/>
      <c r="U282" s="58"/>
      <c r="V282" s="58"/>
      <c r="W282" s="58"/>
      <c r="X282" s="58"/>
      <c r="Y282" s="58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spans="1:52" ht="20.100000000000001" customHeight="1" x14ac:dyDescent="0.25">
      <c r="A283" s="39">
        <v>283</v>
      </c>
      <c r="B283" s="40"/>
      <c r="C283" s="16"/>
      <c r="D283" s="17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56"/>
      <c r="R283" s="56"/>
      <c r="S283" s="56"/>
      <c r="T283" s="58"/>
      <c r="U283" s="58"/>
      <c r="V283" s="58"/>
      <c r="W283" s="58"/>
      <c r="X283" s="58"/>
      <c r="Y283" s="58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42"/>
      <c r="AN283" s="42"/>
      <c r="AO283" s="42"/>
      <c r="AP283" s="42"/>
      <c r="AQ283" s="42"/>
      <c r="AR283" s="42"/>
      <c r="AS283" s="42"/>
      <c r="AT283" s="42"/>
      <c r="AU283" s="42"/>
      <c r="AV283" s="42"/>
      <c r="AW283" s="42"/>
      <c r="AX283" s="42"/>
      <c r="AY283" s="42"/>
      <c r="AZ283" s="42"/>
    </row>
    <row r="284" spans="1:52" ht="20.100000000000001" customHeight="1" x14ac:dyDescent="0.25">
      <c r="A284" s="39">
        <v>284</v>
      </c>
      <c r="B284" s="40"/>
      <c r="C284" s="16"/>
      <c r="D284" s="17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56"/>
      <c r="R284" s="56"/>
      <c r="S284" s="56"/>
      <c r="T284" s="58"/>
      <c r="U284" s="58"/>
      <c r="V284" s="58"/>
      <c r="W284" s="58"/>
      <c r="X284" s="58"/>
      <c r="Y284" s="58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  <c r="AK284" s="42"/>
      <c r="AL284" s="42"/>
      <c r="AM284" s="42"/>
      <c r="AN284" s="42"/>
      <c r="AO284" s="42"/>
      <c r="AP284" s="42"/>
      <c r="AQ284" s="42"/>
      <c r="AR284" s="42"/>
      <c r="AS284" s="42"/>
      <c r="AT284" s="42"/>
      <c r="AU284" s="42"/>
      <c r="AV284" s="42"/>
      <c r="AW284" s="42"/>
      <c r="AX284" s="42"/>
      <c r="AY284" s="42"/>
      <c r="AZ284" s="42"/>
    </row>
    <row r="285" spans="1:52" ht="20.100000000000001" customHeight="1" x14ac:dyDescent="0.25">
      <c r="A285" s="39">
        <v>285</v>
      </c>
      <c r="B285" s="40"/>
      <c r="C285" s="16"/>
      <c r="D285" s="17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56"/>
      <c r="R285" s="56"/>
      <c r="S285" s="56"/>
      <c r="T285" s="58"/>
      <c r="U285" s="58"/>
      <c r="V285" s="58"/>
      <c r="W285" s="58"/>
      <c r="X285" s="58"/>
      <c r="Y285" s="58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2"/>
      <c r="AL285" s="42"/>
      <c r="AM285" s="42"/>
      <c r="AN285" s="42"/>
      <c r="AO285" s="42"/>
      <c r="AP285" s="42"/>
      <c r="AQ285" s="42"/>
      <c r="AR285" s="42"/>
      <c r="AS285" s="42"/>
      <c r="AT285" s="42"/>
      <c r="AU285" s="42"/>
      <c r="AV285" s="42"/>
      <c r="AW285" s="42"/>
      <c r="AX285" s="42"/>
      <c r="AY285" s="42"/>
      <c r="AZ285" s="42"/>
    </row>
    <row r="286" spans="1:52" ht="20.100000000000001" customHeight="1" x14ac:dyDescent="0.25">
      <c r="A286" s="39">
        <v>286</v>
      </c>
      <c r="B286" s="40"/>
      <c r="C286" s="16"/>
      <c r="D286" s="17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56"/>
      <c r="R286" s="56"/>
      <c r="S286" s="56"/>
      <c r="T286" s="58"/>
      <c r="U286" s="58"/>
      <c r="V286" s="58"/>
      <c r="W286" s="58"/>
      <c r="X286" s="58"/>
      <c r="Y286" s="58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spans="1:52" ht="20.100000000000001" customHeight="1" x14ac:dyDescent="0.25">
      <c r="A287" s="39">
        <v>287</v>
      </c>
      <c r="B287" s="40"/>
      <c r="C287" s="16"/>
      <c r="D287" s="17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56"/>
      <c r="R287" s="56"/>
      <c r="S287" s="56"/>
      <c r="T287" s="58"/>
      <c r="U287" s="58"/>
      <c r="V287" s="58"/>
      <c r="W287" s="58"/>
      <c r="X287" s="58"/>
      <c r="Y287" s="58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  <c r="AK287" s="42"/>
      <c r="AL287" s="42"/>
      <c r="AM287" s="42"/>
      <c r="AN287" s="42"/>
      <c r="AO287" s="42"/>
      <c r="AP287" s="42"/>
      <c r="AQ287" s="42"/>
      <c r="AR287" s="42"/>
      <c r="AS287" s="42"/>
      <c r="AT287" s="42"/>
      <c r="AU287" s="42"/>
      <c r="AV287" s="42"/>
      <c r="AW287" s="42"/>
      <c r="AX287" s="42"/>
      <c r="AY287" s="42"/>
      <c r="AZ287" s="42"/>
    </row>
    <row r="288" spans="1:52" ht="20.100000000000001" customHeight="1" x14ac:dyDescent="0.25">
      <c r="A288" s="39">
        <v>288</v>
      </c>
      <c r="B288" s="40"/>
      <c r="C288" s="16"/>
      <c r="D288" s="17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56"/>
      <c r="R288" s="56"/>
      <c r="S288" s="56"/>
      <c r="T288" s="58"/>
      <c r="U288" s="58"/>
      <c r="V288" s="58"/>
      <c r="W288" s="58"/>
      <c r="X288" s="58"/>
      <c r="Y288" s="58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2"/>
      <c r="AL288" s="42"/>
      <c r="AM288" s="42"/>
      <c r="AN288" s="42"/>
      <c r="AO288" s="42"/>
      <c r="AP288" s="42"/>
      <c r="AQ288" s="42"/>
      <c r="AR288" s="42"/>
      <c r="AS288" s="42"/>
      <c r="AT288" s="42"/>
      <c r="AU288" s="42"/>
      <c r="AV288" s="42"/>
      <c r="AW288" s="42"/>
      <c r="AX288" s="42"/>
      <c r="AY288" s="42"/>
      <c r="AZ288" s="42"/>
    </row>
    <row r="289" spans="1:52" ht="20.100000000000001" customHeight="1" x14ac:dyDescent="0.25">
      <c r="A289" s="39">
        <v>289</v>
      </c>
      <c r="B289" s="40"/>
      <c r="C289" s="16"/>
      <c r="D289" s="17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56"/>
      <c r="R289" s="56"/>
      <c r="S289" s="56"/>
      <c r="T289" s="58"/>
      <c r="U289" s="58"/>
      <c r="V289" s="58"/>
      <c r="W289" s="58"/>
      <c r="X289" s="58"/>
      <c r="Y289" s="58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  <c r="AK289" s="42"/>
      <c r="AL289" s="42"/>
      <c r="AM289" s="42"/>
      <c r="AN289" s="42"/>
      <c r="AO289" s="42"/>
      <c r="AP289" s="42"/>
      <c r="AQ289" s="42"/>
      <c r="AR289" s="42"/>
      <c r="AS289" s="42"/>
      <c r="AT289" s="42"/>
      <c r="AU289" s="42"/>
      <c r="AV289" s="42"/>
      <c r="AW289" s="42"/>
      <c r="AX289" s="42"/>
      <c r="AY289" s="42"/>
      <c r="AZ289" s="42"/>
    </row>
    <row r="290" spans="1:52" ht="20.100000000000001" customHeight="1" x14ac:dyDescent="0.25">
      <c r="A290" s="39">
        <v>290</v>
      </c>
      <c r="B290" s="40"/>
      <c r="C290" s="16"/>
      <c r="D290" s="17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56"/>
      <c r="R290" s="56"/>
      <c r="S290" s="56"/>
      <c r="T290" s="58"/>
      <c r="U290" s="58"/>
      <c r="V290" s="58"/>
      <c r="W290" s="58"/>
      <c r="X290" s="58"/>
      <c r="Y290" s="58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  <c r="AK290" s="42"/>
      <c r="AL290" s="42"/>
      <c r="AM290" s="42"/>
      <c r="AN290" s="42"/>
      <c r="AO290" s="42"/>
      <c r="AP290" s="42"/>
      <c r="AQ290" s="42"/>
      <c r="AR290" s="42"/>
      <c r="AS290" s="42"/>
      <c r="AT290" s="42"/>
      <c r="AU290" s="42"/>
      <c r="AV290" s="42"/>
      <c r="AW290" s="42"/>
      <c r="AX290" s="42"/>
      <c r="AY290" s="42"/>
      <c r="AZ290" s="42"/>
    </row>
    <row r="291" spans="1:52" ht="20.100000000000001" customHeight="1" x14ac:dyDescent="0.25">
      <c r="A291" s="39">
        <v>291</v>
      </c>
      <c r="B291" s="40"/>
      <c r="C291" s="16"/>
      <c r="D291" s="17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56"/>
      <c r="R291" s="56"/>
      <c r="S291" s="56"/>
      <c r="T291" s="58"/>
      <c r="U291" s="58"/>
      <c r="V291" s="58"/>
      <c r="W291" s="58"/>
      <c r="X291" s="58"/>
      <c r="Y291" s="58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2"/>
      <c r="AL291" s="42"/>
      <c r="AM291" s="42"/>
      <c r="AN291" s="42"/>
      <c r="AO291" s="42"/>
      <c r="AP291" s="42"/>
      <c r="AQ291" s="42"/>
      <c r="AR291" s="42"/>
      <c r="AS291" s="42"/>
      <c r="AT291" s="42"/>
      <c r="AU291" s="42"/>
      <c r="AV291" s="42"/>
      <c r="AW291" s="42"/>
      <c r="AX291" s="42"/>
      <c r="AY291" s="42"/>
      <c r="AZ291" s="42"/>
    </row>
    <row r="292" spans="1:52" ht="20.100000000000001" customHeight="1" x14ac:dyDescent="0.25">
      <c r="A292" s="39">
        <v>292</v>
      </c>
      <c r="B292" s="40"/>
      <c r="C292" s="16"/>
      <c r="D292" s="17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56"/>
      <c r="R292" s="56"/>
      <c r="S292" s="56"/>
      <c r="T292" s="58"/>
      <c r="U292" s="58"/>
      <c r="V292" s="58"/>
      <c r="W292" s="58"/>
      <c r="X292" s="58"/>
      <c r="Y292" s="58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spans="1:52" ht="20.100000000000001" customHeight="1" x14ac:dyDescent="0.25">
      <c r="A293" s="39">
        <v>293</v>
      </c>
      <c r="B293" s="40"/>
      <c r="C293" s="16"/>
      <c r="D293" s="17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56"/>
      <c r="R293" s="56"/>
      <c r="S293" s="56"/>
      <c r="T293" s="58"/>
      <c r="U293" s="58"/>
      <c r="V293" s="58"/>
      <c r="W293" s="58"/>
      <c r="X293" s="58"/>
      <c r="Y293" s="58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42"/>
      <c r="AN293" s="42"/>
      <c r="AO293" s="42"/>
      <c r="AP293" s="42"/>
      <c r="AQ293" s="42"/>
      <c r="AR293" s="42"/>
      <c r="AS293" s="42"/>
      <c r="AT293" s="42"/>
      <c r="AU293" s="42"/>
      <c r="AV293" s="42"/>
      <c r="AW293" s="42"/>
      <c r="AX293" s="42"/>
      <c r="AY293" s="42"/>
      <c r="AZ293" s="42"/>
    </row>
    <row r="294" spans="1:52" ht="20.100000000000001" customHeight="1" x14ac:dyDescent="0.25">
      <c r="A294" s="39">
        <v>294</v>
      </c>
      <c r="B294" s="40"/>
      <c r="C294" s="16"/>
      <c r="D294" s="17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56"/>
      <c r="R294" s="56"/>
      <c r="S294" s="56"/>
      <c r="T294" s="58"/>
      <c r="U294" s="58"/>
      <c r="V294" s="58"/>
      <c r="W294" s="58"/>
      <c r="X294" s="58"/>
      <c r="Y294" s="58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  <c r="AO294" s="42"/>
      <c r="AP294" s="42"/>
      <c r="AQ294" s="42"/>
      <c r="AR294" s="42"/>
      <c r="AS294" s="42"/>
      <c r="AT294" s="42"/>
      <c r="AU294" s="42"/>
      <c r="AV294" s="42"/>
      <c r="AW294" s="42"/>
      <c r="AX294" s="42"/>
      <c r="AY294" s="42"/>
      <c r="AZ294" s="42"/>
    </row>
    <row r="295" spans="1:52" ht="20.100000000000001" customHeight="1" x14ac:dyDescent="0.25">
      <c r="A295" s="39">
        <v>295</v>
      </c>
      <c r="B295" s="40"/>
      <c r="C295" s="16"/>
      <c r="D295" s="17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56"/>
      <c r="R295" s="56"/>
      <c r="S295" s="56"/>
      <c r="T295" s="58"/>
      <c r="U295" s="58"/>
      <c r="V295" s="58"/>
      <c r="W295" s="58"/>
      <c r="X295" s="58"/>
      <c r="Y295" s="58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  <c r="AO295" s="42"/>
      <c r="AP295" s="42"/>
      <c r="AQ295" s="42"/>
      <c r="AR295" s="42"/>
      <c r="AS295" s="42"/>
      <c r="AT295" s="42"/>
      <c r="AU295" s="42"/>
      <c r="AV295" s="42"/>
      <c r="AW295" s="42"/>
      <c r="AX295" s="42"/>
      <c r="AY295" s="42"/>
      <c r="AZ295" s="42"/>
    </row>
    <row r="296" spans="1:52" ht="20.100000000000001" customHeight="1" x14ac:dyDescent="0.25">
      <c r="A296" s="39">
        <v>296</v>
      </c>
      <c r="B296" s="40"/>
      <c r="C296" s="16"/>
      <c r="D296" s="17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56"/>
      <c r="R296" s="56"/>
      <c r="S296" s="56"/>
      <c r="T296" s="58"/>
      <c r="U296" s="58"/>
      <c r="V296" s="58"/>
      <c r="W296" s="58"/>
      <c r="X296" s="58"/>
      <c r="Y296" s="58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</sheetData>
  <autoFilter ref="A1:AZ296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Z37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0" sqref="B30"/>
    </sheetView>
  </sheetViews>
  <sheetFormatPr baseColWidth="10" defaultColWidth="10.85546875" defaultRowHeight="15.75" x14ac:dyDescent="0.25"/>
  <cols>
    <col min="1" max="1" width="6.85546875" style="2" bestFit="1" customWidth="1"/>
    <col min="2" max="2" width="30.5703125" style="2" customWidth="1"/>
    <col min="3" max="52" width="10.5703125" style="2" customWidth="1"/>
    <col min="53" max="16384" width="10.85546875" style="2"/>
  </cols>
  <sheetData>
    <row r="1" spans="1:52" ht="20.100000000000001" customHeight="1" x14ac:dyDescent="0.25">
      <c r="A1" s="1" t="s">
        <v>0</v>
      </c>
      <c r="B1" s="1" t="s">
        <v>1</v>
      </c>
      <c r="C1" s="54" t="s">
        <v>324</v>
      </c>
      <c r="D1" s="54" t="s">
        <v>326</v>
      </c>
      <c r="E1" s="54" t="s">
        <v>329</v>
      </c>
      <c r="F1" s="54" t="s">
        <v>332</v>
      </c>
      <c r="G1" s="54" t="s">
        <v>884</v>
      </c>
      <c r="H1" s="54" t="s">
        <v>338</v>
      </c>
      <c r="I1" s="54" t="s">
        <v>341</v>
      </c>
      <c r="J1" s="54" t="s">
        <v>343</v>
      </c>
      <c r="K1" s="54" t="s">
        <v>356</v>
      </c>
      <c r="L1" s="54" t="s">
        <v>359</v>
      </c>
      <c r="M1" s="54" t="s">
        <v>363</v>
      </c>
      <c r="N1" s="54" t="s">
        <v>348</v>
      </c>
      <c r="O1" s="54" t="s">
        <v>351</v>
      </c>
      <c r="P1" s="54" t="s">
        <v>353</v>
      </c>
      <c r="Q1" s="55" t="s">
        <v>365</v>
      </c>
      <c r="R1" s="55" t="s">
        <v>368</v>
      </c>
      <c r="S1" s="55" t="s">
        <v>371</v>
      </c>
      <c r="T1" s="57" t="s">
        <v>376</v>
      </c>
      <c r="U1" s="57" t="s">
        <v>374</v>
      </c>
      <c r="V1" s="57" t="s">
        <v>379</v>
      </c>
      <c r="W1" s="57" t="s">
        <v>382</v>
      </c>
      <c r="X1" s="57" t="s">
        <v>388</v>
      </c>
      <c r="Y1" s="57" t="s">
        <v>385</v>
      </c>
      <c r="Z1" s="1" t="s">
        <v>391</v>
      </c>
      <c r="AA1" s="1" t="s">
        <v>393</v>
      </c>
      <c r="AB1" s="1" t="s">
        <v>396</v>
      </c>
      <c r="AC1" s="1" t="s">
        <v>1027</v>
      </c>
      <c r="AD1" s="1" t="s">
        <v>399</v>
      </c>
      <c r="AE1" s="1" t="s">
        <v>401</v>
      </c>
      <c r="AF1" s="1" t="s">
        <v>403</v>
      </c>
      <c r="AG1" s="1" t="s">
        <v>1028</v>
      </c>
      <c r="AH1" s="1" t="s">
        <v>666</v>
      </c>
      <c r="AI1" s="1" t="s">
        <v>1029</v>
      </c>
      <c r="AJ1" s="1" t="s">
        <v>418</v>
      </c>
      <c r="AK1" s="1" t="s">
        <v>422</v>
      </c>
      <c r="AL1" s="1" t="s">
        <v>679</v>
      </c>
      <c r="AM1" s="1" t="s">
        <v>1030</v>
      </c>
      <c r="AN1" s="1" t="s">
        <v>431</v>
      </c>
      <c r="AO1" s="1" t="s">
        <v>434</v>
      </c>
      <c r="AP1" s="1" t="s">
        <v>458</v>
      </c>
      <c r="AQ1" s="1" t="s">
        <v>460</v>
      </c>
      <c r="AR1" s="1" t="s">
        <v>463</v>
      </c>
      <c r="AS1" s="1" t="s">
        <v>465</v>
      </c>
      <c r="AT1" s="1" t="s">
        <v>468</v>
      </c>
      <c r="AU1" s="1" t="s">
        <v>439</v>
      </c>
      <c r="AV1" s="1" t="s">
        <v>442</v>
      </c>
      <c r="AW1" s="1" t="s">
        <v>447</v>
      </c>
      <c r="AX1" s="1" t="s">
        <v>449</v>
      </c>
      <c r="AY1" s="1" t="s">
        <v>452</v>
      </c>
      <c r="AZ1" s="1" t="s">
        <v>455</v>
      </c>
    </row>
    <row r="2" spans="1:52" ht="20.100000000000001" customHeight="1" x14ac:dyDescent="0.25">
      <c r="A2" s="39">
        <v>1</v>
      </c>
      <c r="B2" s="48" t="s">
        <v>1043</v>
      </c>
      <c r="C2" s="16"/>
      <c r="D2" s="17"/>
      <c r="E2" s="17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56"/>
      <c r="R2" s="56" t="s">
        <v>1033</v>
      </c>
      <c r="S2" s="56"/>
      <c r="T2" s="58"/>
      <c r="U2" s="58"/>
      <c r="V2" s="58"/>
      <c r="W2" s="58"/>
      <c r="X2" s="58" t="s">
        <v>1033</v>
      </c>
      <c r="Y2" s="58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</row>
    <row r="3" spans="1:52" ht="20.100000000000001" customHeight="1" x14ac:dyDescent="0.25">
      <c r="A3" s="39">
        <v>2</v>
      </c>
      <c r="B3" s="48" t="s">
        <v>633</v>
      </c>
      <c r="C3" s="18" t="s">
        <v>1033</v>
      </c>
      <c r="D3" s="17"/>
      <c r="E3" s="17"/>
      <c r="F3" s="18"/>
      <c r="G3" s="18"/>
      <c r="H3" s="18"/>
      <c r="I3" s="18" t="s">
        <v>1033</v>
      </c>
      <c r="J3" s="18"/>
      <c r="K3" s="18"/>
      <c r="L3" s="18"/>
      <c r="M3" s="18"/>
      <c r="N3" s="18"/>
      <c r="O3" s="18"/>
      <c r="P3" s="18"/>
      <c r="Q3" s="56"/>
      <c r="R3" s="56"/>
      <c r="S3" s="56"/>
      <c r="T3" s="58" t="s">
        <v>1033</v>
      </c>
      <c r="U3" s="58"/>
      <c r="V3" s="58"/>
      <c r="W3" s="58"/>
      <c r="X3" s="58"/>
      <c r="Y3" s="58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 t="s">
        <v>1033</v>
      </c>
      <c r="AQ3" s="42"/>
      <c r="AR3" s="42"/>
      <c r="AS3" s="42"/>
      <c r="AT3" s="42"/>
      <c r="AU3" s="42"/>
      <c r="AV3" s="42" t="s">
        <v>1033</v>
      </c>
      <c r="AW3" s="42"/>
      <c r="AX3" s="42"/>
      <c r="AY3" s="42"/>
      <c r="AZ3" s="42"/>
    </row>
    <row r="4" spans="1:52" ht="20.100000000000001" customHeight="1" x14ac:dyDescent="0.25">
      <c r="A4" s="39">
        <v>3</v>
      </c>
      <c r="B4" s="48" t="s">
        <v>1036</v>
      </c>
      <c r="C4" s="16"/>
      <c r="D4" s="17"/>
      <c r="E4" s="17"/>
      <c r="F4" s="18"/>
      <c r="G4" s="18"/>
      <c r="H4" s="18" t="s">
        <v>1033</v>
      </c>
      <c r="I4" s="18"/>
      <c r="J4" s="18"/>
      <c r="K4" s="18"/>
      <c r="L4" s="18"/>
      <c r="M4" s="18"/>
      <c r="N4" s="18"/>
      <c r="O4" s="18"/>
      <c r="P4" s="18"/>
      <c r="Q4" s="56"/>
      <c r="R4" s="56"/>
      <c r="S4" s="56"/>
      <c r="T4" s="58"/>
      <c r="U4" s="58"/>
      <c r="V4" s="58"/>
      <c r="W4" s="58"/>
      <c r="X4" s="58"/>
      <c r="Y4" s="58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  <c r="AQ4" s="42"/>
      <c r="AR4" s="42"/>
      <c r="AS4" s="42"/>
      <c r="AT4" s="42" t="s">
        <v>1033</v>
      </c>
      <c r="AU4" s="42"/>
      <c r="AV4" s="42"/>
      <c r="AW4" s="42"/>
      <c r="AX4" s="42"/>
      <c r="AY4" s="42"/>
      <c r="AZ4" s="42"/>
    </row>
    <row r="5" spans="1:52" ht="20.100000000000001" customHeight="1" x14ac:dyDescent="0.25">
      <c r="A5" s="39">
        <v>4</v>
      </c>
      <c r="B5" s="48" t="s">
        <v>1042</v>
      </c>
      <c r="C5" s="16"/>
      <c r="D5" s="17" t="s">
        <v>1033</v>
      </c>
      <c r="E5" s="17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56"/>
      <c r="R5" s="56"/>
      <c r="S5" s="56"/>
      <c r="T5" s="58"/>
      <c r="U5" s="58"/>
      <c r="V5" s="58"/>
      <c r="W5" s="58"/>
      <c r="X5" s="58"/>
      <c r="Y5" s="58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AZ5" s="42"/>
    </row>
    <row r="6" spans="1:52" ht="20.100000000000001" customHeight="1" x14ac:dyDescent="0.25">
      <c r="A6" s="39">
        <v>5</v>
      </c>
      <c r="B6" s="48" t="s">
        <v>1031</v>
      </c>
      <c r="C6" s="18" t="s">
        <v>1033</v>
      </c>
      <c r="D6" s="17"/>
      <c r="E6" s="17"/>
      <c r="F6" s="18"/>
      <c r="G6" s="18"/>
      <c r="H6" s="18"/>
      <c r="I6" s="18"/>
      <c r="J6" s="18"/>
      <c r="K6" s="18" t="s">
        <v>1033</v>
      </c>
      <c r="L6" s="18"/>
      <c r="M6" s="18"/>
      <c r="N6" s="18"/>
      <c r="O6" s="18"/>
      <c r="P6" s="18"/>
      <c r="Q6" s="56"/>
      <c r="R6" s="56"/>
      <c r="S6" s="56"/>
      <c r="T6" s="58"/>
      <c r="U6" s="58"/>
      <c r="V6" s="58"/>
      <c r="W6" s="58"/>
      <c r="X6" s="58"/>
      <c r="Y6" s="58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 t="s">
        <v>1033</v>
      </c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</row>
    <row r="7" spans="1:52" ht="20.100000000000001" customHeight="1" x14ac:dyDescent="0.25">
      <c r="A7" s="39">
        <v>6</v>
      </c>
      <c r="B7" s="48" t="s">
        <v>670</v>
      </c>
      <c r="C7" s="18"/>
      <c r="D7" s="17" t="s">
        <v>1033</v>
      </c>
      <c r="E7" s="17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56"/>
      <c r="R7" s="56"/>
      <c r="S7" s="56"/>
      <c r="T7" s="58"/>
      <c r="U7" s="58"/>
      <c r="V7" s="58"/>
      <c r="W7" s="58" t="s">
        <v>1033</v>
      </c>
      <c r="X7" s="58" t="s">
        <v>1033</v>
      </c>
      <c r="Y7" s="58"/>
      <c r="Z7" s="42"/>
      <c r="AA7" s="42"/>
      <c r="AB7" s="42"/>
      <c r="AC7" s="42"/>
      <c r="AD7" s="42"/>
      <c r="AE7" s="42"/>
      <c r="AF7" s="42"/>
      <c r="AG7" s="42"/>
      <c r="AH7" s="42" t="s">
        <v>1033</v>
      </c>
      <c r="AI7" s="42" t="s">
        <v>1033</v>
      </c>
      <c r="AJ7" s="42"/>
      <c r="AK7" s="42"/>
      <c r="AL7" s="42"/>
      <c r="AM7" s="42"/>
      <c r="AN7" s="42"/>
      <c r="AO7" s="42"/>
      <c r="AP7" s="42"/>
      <c r="AQ7" s="42" t="s">
        <v>1033</v>
      </c>
      <c r="AR7" s="42"/>
      <c r="AS7" s="42"/>
      <c r="AT7" s="42" t="s">
        <v>1033</v>
      </c>
      <c r="AU7" s="42"/>
      <c r="AV7" s="42" t="s">
        <v>1033</v>
      </c>
      <c r="AW7" s="42" t="s">
        <v>1033</v>
      </c>
      <c r="AX7" s="42" t="s">
        <v>1033</v>
      </c>
      <c r="AY7" s="42" t="s">
        <v>1033</v>
      </c>
      <c r="AZ7" s="42"/>
    </row>
    <row r="8" spans="1:52" ht="20.100000000000001" customHeight="1" x14ac:dyDescent="0.25">
      <c r="A8" s="39">
        <v>7</v>
      </c>
      <c r="B8" s="48" t="s">
        <v>1056</v>
      </c>
      <c r="C8" s="16"/>
      <c r="D8" s="17"/>
      <c r="E8" s="17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56"/>
      <c r="R8" s="56"/>
      <c r="S8" s="56"/>
      <c r="T8" s="58"/>
      <c r="U8" s="58"/>
      <c r="V8" s="58"/>
      <c r="W8" s="58"/>
      <c r="X8" s="58"/>
      <c r="Y8" s="58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 t="s">
        <v>1033</v>
      </c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</row>
    <row r="9" spans="1:52" ht="20.100000000000001" customHeight="1" x14ac:dyDescent="0.25">
      <c r="A9" s="39">
        <v>8</v>
      </c>
      <c r="B9" s="48" t="s">
        <v>677</v>
      </c>
      <c r="C9" s="16"/>
      <c r="D9" s="17"/>
      <c r="E9" s="17"/>
      <c r="F9" s="18"/>
      <c r="G9" s="18"/>
      <c r="H9" s="18"/>
      <c r="I9" s="18"/>
      <c r="J9" s="18"/>
      <c r="K9" s="18"/>
      <c r="L9" s="18"/>
      <c r="M9" s="18"/>
      <c r="N9" s="18"/>
      <c r="O9" s="18" t="s">
        <v>1033</v>
      </c>
      <c r="P9" s="18" t="s">
        <v>1033</v>
      </c>
      <c r="Q9" s="56"/>
      <c r="R9" s="56"/>
      <c r="S9" s="56"/>
      <c r="T9" s="58"/>
      <c r="U9" s="58"/>
      <c r="V9" s="58"/>
      <c r="W9" s="58"/>
      <c r="X9" s="58" t="s">
        <v>1033</v>
      </c>
      <c r="Y9" s="58"/>
      <c r="Z9" s="42"/>
      <c r="AA9" s="42"/>
      <c r="AB9" s="42"/>
      <c r="AC9" s="42"/>
      <c r="AD9" s="42"/>
      <c r="AE9" s="42"/>
      <c r="AF9" s="42" t="s">
        <v>1033</v>
      </c>
      <c r="AG9" s="42" t="s">
        <v>1033</v>
      </c>
      <c r="AH9" s="42"/>
      <c r="AI9" s="42"/>
      <c r="AJ9" s="42"/>
      <c r="AK9" s="42" t="s">
        <v>1033</v>
      </c>
      <c r="AL9" s="42"/>
      <c r="AM9" s="42"/>
      <c r="AN9" s="42"/>
      <c r="AO9" s="42"/>
      <c r="AP9" s="42"/>
      <c r="AQ9" s="42" t="s">
        <v>1033</v>
      </c>
      <c r="AR9" s="42"/>
      <c r="AS9" s="42"/>
      <c r="AT9" s="42"/>
      <c r="AU9" s="42"/>
      <c r="AV9" s="42"/>
      <c r="AW9" s="42"/>
      <c r="AX9" s="42" t="s">
        <v>1033</v>
      </c>
      <c r="AY9" s="42"/>
      <c r="AZ9" s="42"/>
    </row>
    <row r="10" spans="1:52" ht="20.100000000000001" customHeight="1" x14ac:dyDescent="0.25">
      <c r="A10" s="39">
        <v>9</v>
      </c>
      <c r="B10" s="48" t="s">
        <v>1048</v>
      </c>
      <c r="C10" s="16"/>
      <c r="D10" s="17"/>
      <c r="E10" s="17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56"/>
      <c r="R10" s="56"/>
      <c r="S10" s="56"/>
      <c r="T10" s="58"/>
      <c r="U10" s="58"/>
      <c r="V10" s="58"/>
      <c r="W10" s="58" t="s">
        <v>1033</v>
      </c>
      <c r="X10" s="58"/>
      <c r="Y10" s="58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</row>
    <row r="11" spans="1:52" ht="20.100000000000001" customHeight="1" x14ac:dyDescent="0.25">
      <c r="A11" s="39">
        <v>10</v>
      </c>
      <c r="B11" s="48" t="s">
        <v>1046</v>
      </c>
      <c r="C11" s="16"/>
      <c r="D11" s="17"/>
      <c r="E11" s="17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56"/>
      <c r="R11" s="56"/>
      <c r="S11" s="56"/>
      <c r="T11" s="58"/>
      <c r="U11" s="58"/>
      <c r="V11" s="58"/>
      <c r="W11" s="58" t="s">
        <v>1033</v>
      </c>
      <c r="X11" s="58"/>
      <c r="Y11" s="58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 t="s">
        <v>1033</v>
      </c>
      <c r="AY11" s="42"/>
      <c r="AZ11" s="42"/>
    </row>
    <row r="12" spans="1:52" ht="20.100000000000001" customHeight="1" x14ac:dyDescent="0.25">
      <c r="A12" s="39">
        <v>11</v>
      </c>
      <c r="B12" s="48" t="s">
        <v>1050</v>
      </c>
      <c r="C12" s="16"/>
      <c r="D12" s="17"/>
      <c r="E12" s="17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56"/>
      <c r="R12" s="56"/>
      <c r="S12" s="56"/>
      <c r="T12" s="58"/>
      <c r="U12" s="58"/>
      <c r="V12" s="58"/>
      <c r="W12" s="58"/>
      <c r="X12" s="58"/>
      <c r="Y12" s="58"/>
      <c r="Z12" s="42"/>
      <c r="AA12" s="42"/>
      <c r="AB12" s="42" t="s">
        <v>1033</v>
      </c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</row>
    <row r="13" spans="1:52" ht="20.100000000000001" customHeight="1" x14ac:dyDescent="0.25">
      <c r="A13" s="39">
        <v>12</v>
      </c>
      <c r="B13" s="48" t="s">
        <v>1057</v>
      </c>
      <c r="C13" s="16"/>
      <c r="D13" s="17"/>
      <c r="E13" s="17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56"/>
      <c r="R13" s="56"/>
      <c r="S13" s="56"/>
      <c r="T13" s="58"/>
      <c r="U13" s="58"/>
      <c r="V13" s="58"/>
      <c r="W13" s="58"/>
      <c r="X13" s="58"/>
      <c r="Y13" s="58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 t="s">
        <v>1033</v>
      </c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</row>
    <row r="14" spans="1:52" ht="20.100000000000001" customHeight="1" x14ac:dyDescent="0.25">
      <c r="A14" s="39">
        <v>13</v>
      </c>
      <c r="B14" s="48" t="s">
        <v>1044</v>
      </c>
      <c r="C14" s="16"/>
      <c r="D14" s="17"/>
      <c r="E14" s="17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56"/>
      <c r="R14" s="56"/>
      <c r="S14" s="56" t="s">
        <v>1033</v>
      </c>
      <c r="T14" s="58"/>
      <c r="U14" s="58"/>
      <c r="V14" s="58"/>
      <c r="W14" s="58"/>
      <c r="X14" s="58"/>
      <c r="Y14" s="58"/>
      <c r="Z14" s="42" t="s">
        <v>1033</v>
      </c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</row>
    <row r="15" spans="1:52" ht="20.100000000000001" customHeight="1" x14ac:dyDescent="0.25">
      <c r="A15" s="39">
        <v>14</v>
      </c>
      <c r="B15" s="48" t="s">
        <v>1035</v>
      </c>
      <c r="C15" s="16"/>
      <c r="D15" s="17"/>
      <c r="E15" s="17" t="s">
        <v>1033</v>
      </c>
      <c r="F15" s="18"/>
      <c r="G15" s="18"/>
      <c r="H15" s="18"/>
      <c r="I15" s="18"/>
      <c r="J15" s="18"/>
      <c r="K15" s="18"/>
      <c r="L15" s="18"/>
      <c r="M15" s="18"/>
      <c r="N15" s="18" t="s">
        <v>1033</v>
      </c>
      <c r="O15" s="18"/>
      <c r="P15" s="18"/>
      <c r="Q15" s="56"/>
      <c r="R15" s="56"/>
      <c r="S15" s="56"/>
      <c r="T15" s="58"/>
      <c r="U15" s="58"/>
      <c r="V15" s="58"/>
      <c r="W15" s="58"/>
      <c r="X15" s="58"/>
      <c r="Y15" s="58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</row>
    <row r="16" spans="1:52" ht="20.100000000000001" customHeight="1" x14ac:dyDescent="0.25">
      <c r="A16" s="39">
        <v>15</v>
      </c>
      <c r="B16" s="48" t="s">
        <v>1037</v>
      </c>
      <c r="C16" s="16"/>
      <c r="D16" s="17"/>
      <c r="E16" s="17"/>
      <c r="F16" s="18"/>
      <c r="G16" s="18"/>
      <c r="H16" s="18" t="s">
        <v>1033</v>
      </c>
      <c r="I16" s="18"/>
      <c r="J16" s="18"/>
      <c r="K16" s="18" t="s">
        <v>1033</v>
      </c>
      <c r="L16" s="18"/>
      <c r="M16" s="18"/>
      <c r="N16" s="18"/>
      <c r="O16" s="18"/>
      <c r="P16" s="18"/>
      <c r="Q16" s="56"/>
      <c r="R16" s="56"/>
      <c r="S16" s="56"/>
      <c r="T16" s="58"/>
      <c r="U16" s="58"/>
      <c r="V16" s="58"/>
      <c r="W16" s="58" t="s">
        <v>1033</v>
      </c>
      <c r="X16" s="58"/>
      <c r="Y16" s="58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 t="s">
        <v>1033</v>
      </c>
      <c r="AY16" s="42"/>
      <c r="AZ16" s="42"/>
    </row>
    <row r="17" spans="1:52" ht="20.100000000000001" customHeight="1" x14ac:dyDescent="0.25">
      <c r="A17" s="39">
        <v>16</v>
      </c>
      <c r="B17" s="48" t="s">
        <v>1058</v>
      </c>
      <c r="C17" s="16"/>
      <c r="D17" s="17"/>
      <c r="E17" s="17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56"/>
      <c r="R17" s="56"/>
      <c r="S17" s="56"/>
      <c r="T17" s="58"/>
      <c r="U17" s="58"/>
      <c r="V17" s="58"/>
      <c r="W17" s="58"/>
      <c r="X17" s="58"/>
      <c r="Y17" s="58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 t="s">
        <v>1033</v>
      </c>
      <c r="AV17" s="42"/>
      <c r="AW17" s="42"/>
      <c r="AX17" s="42"/>
      <c r="AY17" s="42"/>
      <c r="AZ17" s="42"/>
    </row>
    <row r="18" spans="1:52" ht="20.100000000000001" customHeight="1" x14ac:dyDescent="0.25">
      <c r="A18" s="39">
        <v>17</v>
      </c>
      <c r="B18" s="48" t="s">
        <v>622</v>
      </c>
      <c r="C18" s="16"/>
      <c r="D18" s="17"/>
      <c r="E18" s="17"/>
      <c r="F18" s="18"/>
      <c r="G18" s="18"/>
      <c r="H18" s="18"/>
      <c r="I18" s="18"/>
      <c r="J18" s="18"/>
      <c r="K18" s="18"/>
      <c r="L18" s="18"/>
      <c r="M18" s="18" t="s">
        <v>1033</v>
      </c>
      <c r="N18" s="18"/>
      <c r="O18" s="18" t="s">
        <v>1033</v>
      </c>
      <c r="P18" s="18" t="s">
        <v>1033</v>
      </c>
      <c r="Q18" s="56"/>
      <c r="R18" s="56"/>
      <c r="S18" s="56"/>
      <c r="T18" s="58"/>
      <c r="U18" s="58"/>
      <c r="V18" s="58"/>
      <c r="W18" s="58" t="s">
        <v>1033</v>
      </c>
      <c r="X18" s="58"/>
      <c r="Y18" s="58"/>
      <c r="Z18" s="42"/>
      <c r="AA18" s="42"/>
      <c r="AB18" s="42"/>
      <c r="AC18" s="42"/>
      <c r="AD18" s="42"/>
      <c r="AE18" s="42"/>
      <c r="AF18" s="42"/>
      <c r="AG18" s="42"/>
      <c r="AH18" s="42" t="s">
        <v>1033</v>
      </c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</row>
    <row r="19" spans="1:52" ht="20.100000000000001" customHeight="1" x14ac:dyDescent="0.25">
      <c r="A19" s="39">
        <v>18</v>
      </c>
      <c r="B19" s="48" t="s">
        <v>1038</v>
      </c>
      <c r="C19" s="16"/>
      <c r="D19" s="17"/>
      <c r="E19" s="17"/>
      <c r="F19" s="18"/>
      <c r="G19" s="18"/>
      <c r="H19" s="18"/>
      <c r="I19" s="18"/>
      <c r="J19" s="18" t="s">
        <v>1033</v>
      </c>
      <c r="K19" s="18"/>
      <c r="L19" s="18"/>
      <c r="M19" s="18"/>
      <c r="N19" s="18"/>
      <c r="O19" s="18"/>
      <c r="P19" s="18"/>
      <c r="Q19" s="56"/>
      <c r="R19" s="56"/>
      <c r="S19" s="56"/>
      <c r="T19" s="58"/>
      <c r="U19" s="58"/>
      <c r="V19" s="58"/>
      <c r="W19" s="58"/>
      <c r="X19" s="58"/>
      <c r="Y19" s="58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</row>
    <row r="20" spans="1:52" ht="20.100000000000001" customHeight="1" x14ac:dyDescent="0.25">
      <c r="A20" s="39">
        <v>19</v>
      </c>
      <c r="B20" s="48" t="s">
        <v>1052</v>
      </c>
      <c r="C20" s="16"/>
      <c r="D20" s="17"/>
      <c r="E20" s="17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56"/>
      <c r="R20" s="56"/>
      <c r="S20" s="56"/>
      <c r="T20" s="58"/>
      <c r="U20" s="58"/>
      <c r="V20" s="58"/>
      <c r="W20" s="58"/>
      <c r="X20" s="58"/>
      <c r="Y20" s="58"/>
      <c r="Z20" s="42"/>
      <c r="AA20" s="42"/>
      <c r="AB20" s="42"/>
      <c r="AC20" s="42"/>
      <c r="AD20" s="42"/>
      <c r="AE20" s="42"/>
      <c r="AF20" s="42"/>
      <c r="AG20" s="42"/>
      <c r="AH20" s="42" t="s">
        <v>1033</v>
      </c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</row>
    <row r="21" spans="1:52" ht="20.100000000000001" customHeight="1" x14ac:dyDescent="0.25">
      <c r="A21" s="39">
        <v>20</v>
      </c>
      <c r="B21" s="48" t="s">
        <v>1051</v>
      </c>
      <c r="C21" s="16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56"/>
      <c r="R21" s="56"/>
      <c r="S21" s="56"/>
      <c r="T21" s="58"/>
      <c r="U21" s="58"/>
      <c r="V21" s="58"/>
      <c r="W21" s="58"/>
      <c r="X21" s="58"/>
      <c r="Y21" s="58"/>
      <c r="Z21" s="42"/>
      <c r="AA21" s="42"/>
      <c r="AB21" s="42"/>
      <c r="AC21" s="42"/>
      <c r="AD21" s="42" t="s">
        <v>1033</v>
      </c>
      <c r="AE21" s="42"/>
      <c r="AF21" s="42" t="s">
        <v>1033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</row>
    <row r="22" spans="1:52" ht="20.100000000000001" customHeight="1" x14ac:dyDescent="0.25">
      <c r="A22" s="39">
        <v>21</v>
      </c>
      <c r="B22" s="48" t="s">
        <v>1055</v>
      </c>
      <c r="C22" s="16"/>
      <c r="D22" s="17"/>
      <c r="E22" s="17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56"/>
      <c r="R22" s="56" t="s">
        <v>1033</v>
      </c>
      <c r="S22" s="56"/>
      <c r="T22" s="58"/>
      <c r="U22" s="58"/>
      <c r="V22" s="58"/>
      <c r="W22" s="58"/>
      <c r="X22" s="58"/>
      <c r="Y22" s="58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 t="s">
        <v>1033</v>
      </c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</row>
    <row r="23" spans="1:52" ht="20.100000000000001" customHeight="1" x14ac:dyDescent="0.25">
      <c r="A23" s="39">
        <v>22</v>
      </c>
      <c r="B23" s="48" t="s">
        <v>711</v>
      </c>
      <c r="C23" s="16"/>
      <c r="D23" s="17"/>
      <c r="E23" s="17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56"/>
      <c r="R23" s="56"/>
      <c r="S23" s="56"/>
      <c r="T23" s="58"/>
      <c r="U23" s="58"/>
      <c r="V23" s="58"/>
      <c r="W23" s="58"/>
      <c r="X23" s="58"/>
      <c r="Y23" s="58"/>
      <c r="Z23" s="42"/>
      <c r="AA23" s="42"/>
      <c r="AB23" s="42"/>
      <c r="AC23" s="42"/>
      <c r="AD23" s="42" t="s">
        <v>1033</v>
      </c>
      <c r="AE23" s="42"/>
      <c r="AF23" s="42" t="s">
        <v>1033</v>
      </c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 t="s">
        <v>1033</v>
      </c>
      <c r="AT23" s="42"/>
      <c r="AU23" s="42"/>
      <c r="AV23" s="42"/>
      <c r="AW23" s="42"/>
      <c r="AX23" s="42"/>
      <c r="AY23" s="42"/>
      <c r="AZ23" s="42"/>
    </row>
    <row r="24" spans="1:52" ht="20.100000000000001" customHeight="1" x14ac:dyDescent="0.25">
      <c r="A24" s="39">
        <v>23</v>
      </c>
      <c r="B24" s="48" t="s">
        <v>636</v>
      </c>
      <c r="C24" s="18"/>
      <c r="D24" s="17" t="s">
        <v>1033</v>
      </c>
      <c r="E24" s="17"/>
      <c r="F24" s="18"/>
      <c r="G24" s="18"/>
      <c r="H24" s="18"/>
      <c r="I24" s="18"/>
      <c r="J24" s="18" t="s">
        <v>1033</v>
      </c>
      <c r="K24" s="18"/>
      <c r="L24" s="18"/>
      <c r="M24" s="18"/>
      <c r="N24" s="18"/>
      <c r="O24" s="18"/>
      <c r="P24" s="18"/>
      <c r="Q24" s="56" t="s">
        <v>1033</v>
      </c>
      <c r="R24" s="56"/>
      <c r="S24" s="56"/>
      <c r="T24" s="58"/>
      <c r="U24" s="58"/>
      <c r="V24" s="58" t="s">
        <v>1033</v>
      </c>
      <c r="W24" s="58"/>
      <c r="X24" s="58"/>
      <c r="Y24" s="58"/>
      <c r="Z24" s="42"/>
      <c r="AA24" s="42"/>
      <c r="AB24" s="42" t="s">
        <v>1033</v>
      </c>
      <c r="AC24" s="42"/>
      <c r="AD24" s="42"/>
      <c r="AE24" s="42"/>
      <c r="AF24" s="42"/>
      <c r="AG24" s="42"/>
      <c r="AH24" s="42"/>
      <c r="AI24" s="42"/>
      <c r="AJ24" s="42" t="s">
        <v>1033</v>
      </c>
      <c r="AK24" s="42"/>
      <c r="AL24" s="42" t="s">
        <v>1033</v>
      </c>
      <c r="AM24" s="42" t="s">
        <v>1033</v>
      </c>
      <c r="AN24" s="42"/>
      <c r="AO24" s="42"/>
      <c r="AP24" s="42"/>
      <c r="AQ24" s="42"/>
      <c r="AR24" s="42" t="s">
        <v>1033</v>
      </c>
      <c r="AS24" s="42"/>
      <c r="AT24" s="42"/>
      <c r="AU24" s="42"/>
      <c r="AV24" s="42"/>
      <c r="AW24" s="42"/>
      <c r="AX24" s="42"/>
      <c r="AY24" s="42"/>
      <c r="AZ24" s="42"/>
    </row>
    <row r="25" spans="1:52" ht="20.100000000000001" customHeight="1" x14ac:dyDescent="0.25">
      <c r="A25" s="39">
        <v>24</v>
      </c>
      <c r="B25" s="48" t="s">
        <v>1049</v>
      </c>
      <c r="C25" s="16"/>
      <c r="D25" s="17"/>
      <c r="E25" s="17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56"/>
      <c r="R25" s="56"/>
      <c r="S25" s="56"/>
      <c r="T25" s="58"/>
      <c r="U25" s="58"/>
      <c r="V25" s="58"/>
      <c r="W25" s="58"/>
      <c r="X25" s="58" t="s">
        <v>1033</v>
      </c>
      <c r="Y25" s="58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</row>
    <row r="26" spans="1:52" ht="20.100000000000001" customHeight="1" x14ac:dyDescent="0.25">
      <c r="A26" s="39">
        <v>25</v>
      </c>
      <c r="B26" s="48" t="s">
        <v>1039</v>
      </c>
      <c r="C26" s="16"/>
      <c r="D26" s="17"/>
      <c r="E26" s="17"/>
      <c r="F26" s="18"/>
      <c r="G26" s="18"/>
      <c r="H26" s="18"/>
      <c r="I26" s="18"/>
      <c r="J26" s="18"/>
      <c r="K26" s="18" t="s">
        <v>1033</v>
      </c>
      <c r="L26" s="18"/>
      <c r="M26" s="18"/>
      <c r="N26" s="18"/>
      <c r="O26" s="18"/>
      <c r="P26" s="18"/>
      <c r="Q26" s="56"/>
      <c r="R26" s="56"/>
      <c r="S26" s="56"/>
      <c r="T26" s="58"/>
      <c r="U26" s="58"/>
      <c r="V26" s="58"/>
      <c r="W26" s="58"/>
      <c r="X26" s="58"/>
      <c r="Y26" s="58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</row>
    <row r="27" spans="1:52" ht="20.100000000000001" customHeight="1" x14ac:dyDescent="0.25">
      <c r="A27" s="39">
        <v>26</v>
      </c>
      <c r="B27" s="48" t="s">
        <v>1040</v>
      </c>
      <c r="C27" s="16"/>
      <c r="D27" s="17"/>
      <c r="E27" s="17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56" t="s">
        <v>1033</v>
      </c>
      <c r="R27" s="56"/>
      <c r="S27" s="56"/>
      <c r="T27" s="58"/>
      <c r="U27" s="58"/>
      <c r="V27" s="58"/>
      <c r="W27" s="58"/>
      <c r="X27" s="58"/>
      <c r="Y27" s="58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</row>
    <row r="28" spans="1:52" ht="20.100000000000001" customHeight="1" x14ac:dyDescent="0.25">
      <c r="A28" s="39">
        <v>27</v>
      </c>
      <c r="B28" s="48" t="s">
        <v>1034</v>
      </c>
      <c r="C28" s="16"/>
      <c r="D28" s="17"/>
      <c r="E28" s="17" t="s">
        <v>1033</v>
      </c>
      <c r="F28" s="18"/>
      <c r="G28" s="18"/>
      <c r="H28" s="18"/>
      <c r="I28" s="18"/>
      <c r="J28" s="18"/>
      <c r="K28" s="18"/>
      <c r="L28" s="18"/>
      <c r="M28" s="18"/>
      <c r="N28" s="18" t="s">
        <v>1033</v>
      </c>
      <c r="O28" s="18"/>
      <c r="P28" s="18"/>
      <c r="Q28" s="56"/>
      <c r="R28" s="56"/>
      <c r="S28" s="56"/>
      <c r="T28" s="58"/>
      <c r="U28" s="58"/>
      <c r="V28" s="58"/>
      <c r="W28" s="58"/>
      <c r="X28" s="58"/>
      <c r="Y28" s="58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</row>
    <row r="29" spans="1:52" ht="20.100000000000001" customHeight="1" x14ac:dyDescent="0.25">
      <c r="A29" s="39">
        <v>28</v>
      </c>
      <c r="B29" s="48" t="s">
        <v>1045</v>
      </c>
      <c r="C29" s="16"/>
      <c r="D29" s="17"/>
      <c r="E29" s="17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56"/>
      <c r="R29" s="56"/>
      <c r="S29" s="56" t="s">
        <v>1033</v>
      </c>
      <c r="T29" s="58"/>
      <c r="U29" s="58"/>
      <c r="V29" s="58"/>
      <c r="W29" s="58"/>
      <c r="X29" s="58"/>
      <c r="Y29" s="58"/>
      <c r="Z29" s="42" t="s">
        <v>1033</v>
      </c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</row>
    <row r="30" spans="1:52" ht="20.100000000000001" customHeight="1" x14ac:dyDescent="0.25">
      <c r="A30" s="39">
        <v>29</v>
      </c>
      <c r="B30" s="48" t="s">
        <v>1047</v>
      </c>
      <c r="C30" s="16"/>
      <c r="D30" s="17"/>
      <c r="E30" s="17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56"/>
      <c r="R30" s="56"/>
      <c r="S30" s="56"/>
      <c r="T30" s="58"/>
      <c r="U30" s="58"/>
      <c r="V30" s="58"/>
      <c r="W30" s="58" t="s">
        <v>1033</v>
      </c>
      <c r="X30" s="58"/>
      <c r="Y30" s="58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</row>
    <row r="31" spans="1:52" ht="20.100000000000001" customHeight="1" x14ac:dyDescent="0.25">
      <c r="A31" s="39">
        <v>30</v>
      </c>
      <c r="B31" s="48" t="s">
        <v>1041</v>
      </c>
      <c r="C31" s="18"/>
      <c r="D31" s="17" t="s">
        <v>1033</v>
      </c>
      <c r="E31" s="17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56"/>
      <c r="R31" s="56"/>
      <c r="S31" s="56"/>
      <c r="T31" s="58"/>
      <c r="U31" s="58"/>
      <c r="V31" s="58"/>
      <c r="W31" s="58"/>
      <c r="X31" s="58"/>
      <c r="Y31" s="58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</row>
    <row r="32" spans="1:52" ht="20.100000000000001" customHeight="1" x14ac:dyDescent="0.25">
      <c r="A32" s="39">
        <v>31</v>
      </c>
      <c r="B32" s="48" t="s">
        <v>1032</v>
      </c>
      <c r="C32" s="18"/>
      <c r="D32" s="17" t="s">
        <v>1033</v>
      </c>
      <c r="E32" s="17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56"/>
      <c r="R32" s="56"/>
      <c r="S32" s="56"/>
      <c r="T32" s="58"/>
      <c r="U32" s="58"/>
      <c r="V32" s="58"/>
      <c r="W32" s="58"/>
      <c r="X32" s="58"/>
      <c r="Y32" s="58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</row>
    <row r="33" spans="1:52" ht="20.100000000000001" customHeight="1" x14ac:dyDescent="0.25">
      <c r="A33" s="39">
        <v>32</v>
      </c>
      <c r="B33" s="48" t="s">
        <v>646</v>
      </c>
      <c r="C33" s="16"/>
      <c r="D33" s="17"/>
      <c r="E33" s="17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56"/>
      <c r="R33" s="56"/>
      <c r="S33" s="56"/>
      <c r="T33" s="58"/>
      <c r="U33" s="58"/>
      <c r="V33" s="58"/>
      <c r="W33" s="58"/>
      <c r="X33" s="58"/>
      <c r="Y33" s="58" t="s">
        <v>1033</v>
      </c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</row>
    <row r="34" spans="1:52" ht="20.100000000000001" customHeight="1" x14ac:dyDescent="0.25">
      <c r="A34" s="39">
        <v>33</v>
      </c>
      <c r="B34" s="48" t="s">
        <v>1059</v>
      </c>
      <c r="C34" s="16"/>
      <c r="D34" s="17"/>
      <c r="E34" s="17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56"/>
      <c r="R34" s="56"/>
      <c r="S34" s="56"/>
      <c r="T34" s="58"/>
      <c r="U34" s="58"/>
      <c r="V34" s="58"/>
      <c r="W34" s="58"/>
      <c r="X34" s="58"/>
      <c r="Y34" s="58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 t="s">
        <v>1033</v>
      </c>
      <c r="AV34" s="42"/>
      <c r="AW34" s="42"/>
      <c r="AX34" s="42"/>
      <c r="AY34" s="42"/>
      <c r="AZ34" s="42"/>
    </row>
    <row r="35" spans="1:52" ht="20.100000000000001" customHeight="1" x14ac:dyDescent="0.25">
      <c r="A35" s="39">
        <v>34</v>
      </c>
      <c r="B35" s="48" t="s">
        <v>574</v>
      </c>
      <c r="C35" s="16"/>
      <c r="D35" s="17"/>
      <c r="E35" s="17"/>
      <c r="F35" s="18" t="s">
        <v>1033</v>
      </c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56"/>
      <c r="R35" s="56"/>
      <c r="S35" s="56"/>
      <c r="T35" s="58"/>
      <c r="U35" s="58"/>
      <c r="V35" s="58"/>
      <c r="W35" s="58"/>
      <c r="X35" s="58"/>
      <c r="Y35" s="58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</row>
    <row r="36" spans="1:52" ht="20.100000000000001" customHeight="1" x14ac:dyDescent="0.25">
      <c r="A36" s="39">
        <v>35</v>
      </c>
      <c r="B36" s="48" t="s">
        <v>1054</v>
      </c>
      <c r="C36" s="16"/>
      <c r="D36" s="17"/>
      <c r="E36" s="17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56"/>
      <c r="R36" s="56"/>
      <c r="S36" s="56"/>
      <c r="T36" s="58"/>
      <c r="U36" s="58"/>
      <c r="V36" s="58"/>
      <c r="W36" s="58"/>
      <c r="X36" s="58"/>
      <c r="Y36" s="58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 t="s">
        <v>1033</v>
      </c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</row>
    <row r="37" spans="1:52" ht="20.100000000000001" customHeight="1" x14ac:dyDescent="0.25">
      <c r="A37" s="39">
        <v>36</v>
      </c>
      <c r="B37" s="48" t="s">
        <v>1053</v>
      </c>
      <c r="C37" s="16"/>
      <c r="D37" s="17"/>
      <c r="E37" s="17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56"/>
      <c r="R37" s="56"/>
      <c r="S37" s="56"/>
      <c r="T37" s="58"/>
      <c r="U37" s="58"/>
      <c r="V37" s="58"/>
      <c r="W37" s="58"/>
      <c r="X37" s="58"/>
      <c r="Y37" s="58"/>
      <c r="Z37" s="42"/>
      <c r="AA37" s="42"/>
      <c r="AB37" s="42"/>
      <c r="AC37" s="42"/>
      <c r="AD37" s="42"/>
      <c r="AE37" s="42"/>
      <c r="AF37" s="42"/>
      <c r="AG37" s="42"/>
      <c r="AH37" s="42" t="s">
        <v>1033</v>
      </c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</row>
  </sheetData>
  <autoFilter ref="A1:AZ37">
    <sortState ref="A2:AZ236">
      <sortCondition ref="B1:B236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D18" sqref="D18"/>
    </sheetView>
  </sheetViews>
  <sheetFormatPr baseColWidth="10" defaultRowHeight="15" x14ac:dyDescent="0.25"/>
  <sheetData>
    <row r="13" spans="3:3" ht="15.75" x14ac:dyDescent="0.25">
      <c r="C13" s="52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02-03-01</vt:lpstr>
      <vt:lpstr>02-03-08</vt:lpstr>
      <vt:lpstr>02-03-09</vt:lpstr>
      <vt:lpstr>02-03-PS</vt:lpstr>
      <vt:lpstr>02-03-PC</vt:lpstr>
      <vt:lpstr>02-03-PPR</vt:lpstr>
      <vt:lpstr>02-03-PI</vt:lpstr>
      <vt:lpstr>02-03-PP</vt:lpstr>
      <vt:lpstr>02-03-PRVD</vt:lpstr>
      <vt:lpstr>Feuil1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2026-02-18T12:51:25Z</dcterms:modified>
</cp:coreProperties>
</file>